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9c97073307406c/0. FreeLas/GetNinjas/Laerth da Silva Araújo/"/>
    </mc:Choice>
  </mc:AlternateContent>
  <xr:revisionPtr revIDLastSave="9870" documentId="8_{7269ED31-BBBE-415D-BB51-BC31E62E1756}" xr6:coauthVersionLast="47" xr6:coauthVersionMax="47" xr10:uidLastSave="{15C777E6-8682-467C-84E5-39AE8C814933}"/>
  <bookViews>
    <workbookView xWindow="-110" yWindow="-110" windowWidth="19420" windowHeight="10560" tabRatio="816" activeTab="2" xr2:uid="{B04450B7-D071-4B11-A0B3-6C212B23EF38}"/>
  </bookViews>
  <sheets>
    <sheet name="1. Parâmetros" sheetId="2" r:id="rId1"/>
    <sheet name="2. Importação do PDF" sheetId="1" r:id="rId2"/>
    <sheet name="3. Exportação" sheetId="3" r:id="rId3"/>
    <sheet name="ExportaçãoGerente" sheetId="4" r:id="rId4"/>
  </sheets>
  <functionGroups builtInGroupCount="19"/>
  <definedNames>
    <definedName name="_xlnm._FilterDatabase" localSheetId="0" hidden="1">'1. Parâmetros'!$G$1:$G$291</definedName>
    <definedName name="DadosExternos_1" localSheetId="1" hidden="1">'2. Importação do PDF'!$A$9:$N$297</definedName>
    <definedName name="DadosExternos_2" localSheetId="1" hidden="1">'2. Importação do PDF'!$A$4:$A$5</definedName>
    <definedName name="gerente">ExportaçãoGerente!$B$4</definedName>
  </definedNames>
  <calcPr calcId="191029"/>
  <pivotCaches>
    <pivotCache cacheId="68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" l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C6" i="3"/>
  <c r="C8" i="3"/>
  <c r="E4" i="4"/>
  <c r="D4" i="4" s="1"/>
  <c r="C2" i="3"/>
  <c r="C3" i="3"/>
  <c r="C4" i="3"/>
  <c r="C5" i="3"/>
  <c r="C7" i="3"/>
  <c r="C9" i="3" a="1"/>
  <c r="C9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EB7362-8D82-4180-B3F6-4F1C5E93B80F}" keepAlive="1" name="Consulta - DataHoraFechamento" description="Conexão com a consulta 'DataHoraFechamento' na pasta de trabalho." type="5" refreshedVersion="7" background="1" saveData="1">
    <dbPr connection="Provider=Microsoft.Mashup.OleDb.1;Data Source=$Workbook$;Location=DataHoraFechamento;Extended Properties=&quot;&quot;" command="SELECT * FROM [DataHoraFechamento]"/>
  </connection>
  <connection id="2" xr16:uid="{243AA01E-9612-4671-9AC0-D65318E50A67}" keepAlive="1" name="Consulta - fxAjudaCusto" description="Conexão com a consulta 'fxAjudaCusto' na pasta de trabalho." type="5" refreshedVersion="0" background="1">
    <dbPr connection="Provider=Microsoft.Mashup.OleDb.1;Data Source=$Workbook$;Location=fxAjudaCusto;Extended Properties=&quot;&quot;" command="SELECT * FROM [fxAjudaCusto]"/>
  </connection>
  <connection id="3" xr16:uid="{E2B91A20-18EF-4B3D-B30C-08A9C84655A1}" keepAlive="1" name="Consulta - Param" description="Conexão com a consulta 'Param' na pasta de trabalho." type="5" refreshedVersion="0" background="1">
    <dbPr connection="Provider=Microsoft.Mashup.OleDb.1;Data Source=$Workbook$;Location=Param;Extended Properties=&quot;&quot;" command="SELECT * FROM [Param]"/>
  </connection>
  <connection id="4" xr16:uid="{B8AE5D68-5680-4CB6-9A12-1D44E9EF1DB3}" keepAlive="1" name="Consulta - resumo" description="Conexão com a consulta 'resumo' na pasta de trabalho." type="5" refreshedVersion="7" background="1" saveData="1">
    <dbPr connection="Provider=Microsoft.Mashup.OleDb.1;Data Source=$Workbook$;Location=resumo;Extended Properties=&quot;&quot;" command="SELECT * FROM [resumo]"/>
  </connection>
  <connection id="5" xr16:uid="{676CF603-56AB-4FC5-B726-2A61BA68209B}" keepAlive="1" name="Consulta - strResume" description="Conexão com a consulta 'strResume' na pasta de trabalho." type="5" refreshedVersion="0" background="1" saveData="1">
    <dbPr connection="Provider=Microsoft.Mashup.OleDb.1;Data Source=$Workbook$;Location=strResume;Extended Properties=&quot;&quot;" command="SELECT * FROM [strResume]"/>
  </connection>
  <connection id="6" xr16:uid="{20E5B3FB-16BD-4AB4-B4F0-E94A99CDCDB1}" keepAlive="1" name="Consulta - Table001 (Page 1)" description="Conexão com a consulta 'Table001 (Page 1)' na pasta de trabalho." type="5" refreshedVersion="0" background="1">
    <dbPr connection="Provider=Microsoft.Mashup.OleDb.1;Data Source=$Workbook$;Location=&quot;Table001 (Page 1)&quot;;Extended Properties=&quot;&quot;" command="SELECT * FROM [Table001 (Page 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<sst xmlns="http://schemas.openxmlformats.org/spreadsheetml/2006/main" count="1594" uniqueCount="411">
  <si>
    <t>Colaborador</t>
  </si>
  <si>
    <t>Entradas</t>
  </si>
  <si>
    <t>Entradas em Aberto</t>
  </si>
  <si>
    <t>Saídas</t>
  </si>
  <si>
    <t>Lançamentos</t>
  </si>
  <si>
    <t>Comissões</t>
  </si>
  <si>
    <t>Qtd. Apostas</t>
  </si>
  <si>
    <t>Saldo Colaborador</t>
  </si>
  <si>
    <t>Saldo Final Banca</t>
  </si>
  <si>
    <t>GERENTE</t>
  </si>
  <si>
    <t>TIO NOVO</t>
  </si>
  <si>
    <t>BEBILEITI</t>
  </si>
  <si>
    <t>MARINHO</t>
  </si>
  <si>
    <t>LORIMAR</t>
  </si>
  <si>
    <t>ROMARIO</t>
  </si>
  <si>
    <t>MOURA</t>
  </si>
  <si>
    <t>DIEGO SÁ</t>
  </si>
  <si>
    <t>WILLIAN</t>
  </si>
  <si>
    <t>LUCAS PATRICK</t>
  </si>
  <si>
    <t>GILDASIO SOUSA</t>
  </si>
  <si>
    <t>ROMÁRIO17</t>
  </si>
  <si>
    <t>BAR PREMIERE</t>
  </si>
  <si>
    <t>RAFAEL MARINHO</t>
  </si>
  <si>
    <t>LAERTH</t>
  </si>
  <si>
    <t>RAIMUNDO 10</t>
  </si>
  <si>
    <t>ADMIN</t>
  </si>
  <si>
    <t>REGINALDO SOUSA</t>
  </si>
  <si>
    <t>RIVALDO KAUARY</t>
  </si>
  <si>
    <t>DANILLO FN</t>
  </si>
  <si>
    <t>DELCY</t>
  </si>
  <si>
    <t>NATAN</t>
  </si>
  <si>
    <t>LUIS PAULO</t>
  </si>
  <si>
    <t>NEILTON</t>
  </si>
  <si>
    <t>WARLLES FRANÇA</t>
  </si>
  <si>
    <t>DENILSON RIBEIRO</t>
  </si>
  <si>
    <t>LUJECKSON</t>
  </si>
  <si>
    <t>JOÃO LUCAS10</t>
  </si>
  <si>
    <t>BERNARDO</t>
  </si>
  <si>
    <t>VANESSA</t>
  </si>
  <si>
    <t>VALMIR FILHO</t>
  </si>
  <si>
    <t>GUSTAVO FN</t>
  </si>
  <si>
    <t>ADRIANO</t>
  </si>
  <si>
    <t>THIAGO SOUZA</t>
  </si>
  <si>
    <t>WANDERSON17</t>
  </si>
  <si>
    <t>DEMI SANTOS</t>
  </si>
  <si>
    <t>JUSCELINO GUIDA</t>
  </si>
  <si>
    <t>MARCELO PIRES</t>
  </si>
  <si>
    <t>LACASSIO19</t>
  </si>
  <si>
    <t>RAIMUNDO19</t>
  </si>
  <si>
    <t>ANDREY19</t>
  </si>
  <si>
    <t>EDUARDO31</t>
  </si>
  <si>
    <t>TIAGO19</t>
  </si>
  <si>
    <t>JUNIORCORRO19</t>
  </si>
  <si>
    <t>RAIFRAN</t>
  </si>
  <si>
    <t>DEUSIMAR19</t>
  </si>
  <si>
    <t>CLECIO19</t>
  </si>
  <si>
    <t>JOERFERSON19</t>
  </si>
  <si>
    <t>CARLOS19</t>
  </si>
  <si>
    <t>CRISTINA19</t>
  </si>
  <si>
    <t>ALEXANDRE19</t>
  </si>
  <si>
    <t>BENEILSON19</t>
  </si>
  <si>
    <t>ELIEZIO19</t>
  </si>
  <si>
    <t>ELZIVANIA19</t>
  </si>
  <si>
    <t>HELIO19</t>
  </si>
  <si>
    <t>JORGE19</t>
  </si>
  <si>
    <t>KAIKE19</t>
  </si>
  <si>
    <t>NNEMIAS19</t>
  </si>
  <si>
    <t>JOABE19</t>
  </si>
  <si>
    <t>ODAIR19</t>
  </si>
  <si>
    <t>SERRINHA FN</t>
  </si>
  <si>
    <t>DENILSON FN</t>
  </si>
  <si>
    <t>RONALDO FN</t>
  </si>
  <si>
    <t>LAYSSA FN</t>
  </si>
  <si>
    <t>JOÃO NETO FN</t>
  </si>
  <si>
    <t>GERNANDO FN</t>
  </si>
  <si>
    <t>ADRIANO FN</t>
  </si>
  <si>
    <t>WANDERSON FN</t>
  </si>
  <si>
    <t>EEDUARDO FN</t>
  </si>
  <si>
    <t>TIO PEBA</t>
  </si>
  <si>
    <t>GAMA</t>
  </si>
  <si>
    <t>EDUARDO ABREU</t>
  </si>
  <si>
    <t>MARIA SANTOS</t>
  </si>
  <si>
    <t>MAYSON</t>
  </si>
  <si>
    <t>EMERSON ALVES</t>
  </si>
  <si>
    <t>NELSON PORTO</t>
  </si>
  <si>
    <t>IZABELA</t>
  </si>
  <si>
    <t>LUIZ SEBASTIÃO</t>
  </si>
  <si>
    <t>ARLEY AMORIM</t>
  </si>
  <si>
    <t>MARQUIM</t>
  </si>
  <si>
    <t>FELLYPE SOUSA</t>
  </si>
  <si>
    <t>MANOEL FERREIRA</t>
  </si>
  <si>
    <t>GUSTAVO VIEIRA</t>
  </si>
  <si>
    <t>ADONIS</t>
  </si>
  <si>
    <t>VICTOR SANTANA</t>
  </si>
  <si>
    <t>BRUNO02</t>
  </si>
  <si>
    <t>KAIO</t>
  </si>
  <si>
    <t>CAVALCANTE04</t>
  </si>
  <si>
    <t>QUIRINO</t>
  </si>
  <si>
    <t>DAVI</t>
  </si>
  <si>
    <t>JEAN03</t>
  </si>
  <si>
    <t>FERNANDO 01</t>
  </si>
  <si>
    <t>GUILHERME</t>
  </si>
  <si>
    <t>LUIZ BORGES</t>
  </si>
  <si>
    <t>BEATRIZ COSTA</t>
  </si>
  <si>
    <t>ADÃO SANTOS</t>
  </si>
  <si>
    <t>SÉRGIO SOUSA</t>
  </si>
  <si>
    <t>JOSÉ VICENTE</t>
  </si>
  <si>
    <t>JOSÉ AILTON</t>
  </si>
  <si>
    <t>LUIZ CARLOS</t>
  </si>
  <si>
    <t>JOSÉ ARIMATEIA</t>
  </si>
  <si>
    <t>ELIABE FERREIRA</t>
  </si>
  <si>
    <t>DORIVAL MIRANDA</t>
  </si>
  <si>
    <t>KELSON SANTOS</t>
  </si>
  <si>
    <t>GEOVANE SANTOS</t>
  </si>
  <si>
    <t>LEILDO FN</t>
  </si>
  <si>
    <t>DIONE FN</t>
  </si>
  <si>
    <t>MOISÉS FN</t>
  </si>
  <si>
    <t>FRANCE FN</t>
  </si>
  <si>
    <t>EDUARDO2 FN</t>
  </si>
  <si>
    <t>CÁSSIO FN</t>
  </si>
  <si>
    <t>LUCAS FN</t>
  </si>
  <si>
    <t>LUCAS2 FN</t>
  </si>
  <si>
    <t>EDUARDO FN</t>
  </si>
  <si>
    <t>PAULO CESAR</t>
  </si>
  <si>
    <t>RAEL FN</t>
  </si>
  <si>
    <t>SHOWMEN</t>
  </si>
  <si>
    <t>PELEZINHO</t>
  </si>
  <si>
    <t>YURE SANTOS</t>
  </si>
  <si>
    <t>VINICIUS</t>
  </si>
  <si>
    <t>RAEL AVIZ</t>
  </si>
  <si>
    <t>HEBER JOHNSON</t>
  </si>
  <si>
    <t>JÚNIOR CARDOSO</t>
  </si>
  <si>
    <t>ALEF SOUSA</t>
  </si>
  <si>
    <t>BRUNO CESAR</t>
  </si>
  <si>
    <t>STEFNY</t>
  </si>
  <si>
    <t>URUÇUÍ</t>
  </si>
  <si>
    <t>WELISON</t>
  </si>
  <si>
    <t>PAULINHA FLORES</t>
  </si>
  <si>
    <t>ALAN TIGRÃO</t>
  </si>
  <si>
    <t>CARLOS HENRIQUE</t>
  </si>
  <si>
    <t>VAQUEJADA</t>
  </si>
  <si>
    <t>SEBASTIÃO GRETA</t>
  </si>
  <si>
    <t>MARIA ELVINA</t>
  </si>
  <si>
    <t>SANDRA ALVES</t>
  </si>
  <si>
    <t>LUIS PEREIRA</t>
  </si>
  <si>
    <t>ALTEMON SANTOS</t>
  </si>
  <si>
    <t>LUCAS 03</t>
  </si>
  <si>
    <t>GLEISON 04</t>
  </si>
  <si>
    <t>KAUAN 11</t>
  </si>
  <si>
    <t>GIDEÃO 05</t>
  </si>
  <si>
    <t>BERIM 08</t>
  </si>
  <si>
    <t>MAGAL 10</t>
  </si>
  <si>
    <t>JEFFERSON 05</t>
  </si>
  <si>
    <t>AILTON 07</t>
  </si>
  <si>
    <t>LEONARDO 01</t>
  </si>
  <si>
    <t>CARLOS 12</t>
  </si>
  <si>
    <t>MAKSUEL 20</t>
  </si>
  <si>
    <t>LARISSA 03</t>
  </si>
  <si>
    <t>FLAVIOFG 05</t>
  </si>
  <si>
    <t>BRUNO 25</t>
  </si>
  <si>
    <t>DEJANE 25</t>
  </si>
  <si>
    <t>HERIC 06</t>
  </si>
  <si>
    <t>AGEU 11</t>
  </si>
  <si>
    <t>FABRÍCIO 21</t>
  </si>
  <si>
    <t>WYLLYAN 10</t>
  </si>
  <si>
    <t>LEANDRO 10</t>
  </si>
  <si>
    <t>DIEGO 20</t>
  </si>
  <si>
    <t>KATSO 04</t>
  </si>
  <si>
    <t>MATHEUS 04</t>
  </si>
  <si>
    <t>ROMARIO 01</t>
  </si>
  <si>
    <t>JOELLYZ</t>
  </si>
  <si>
    <t>PAULO HENRIQUE</t>
  </si>
  <si>
    <t>ROGÉRIO SILVA</t>
  </si>
  <si>
    <t>MIGUEL BARBOSA</t>
  </si>
  <si>
    <t>JOÃO BATISTA</t>
  </si>
  <si>
    <t>NEGÃO</t>
  </si>
  <si>
    <t>ARNALDO MORAIS</t>
  </si>
  <si>
    <t>YGOR19</t>
  </si>
  <si>
    <t>ANDERSON19</t>
  </si>
  <si>
    <t>MIKAELA</t>
  </si>
  <si>
    <t>PAULO CESAR19</t>
  </si>
  <si>
    <t>SUEL19</t>
  </si>
  <si>
    <t>MAURO19</t>
  </si>
  <si>
    <t>NOÉ MORAES</t>
  </si>
  <si>
    <t>JHONE SOUZA</t>
  </si>
  <si>
    <t>DHIEGO</t>
  </si>
  <si>
    <t>BERRUGA</t>
  </si>
  <si>
    <t>RONALDO</t>
  </si>
  <si>
    <t>GIL KENEDE</t>
  </si>
  <si>
    <t>DANIEL ESTREITO</t>
  </si>
  <si>
    <t>NADIR</t>
  </si>
  <si>
    <t>GUSTAVO ST</t>
  </si>
  <si>
    <t>MANI JP</t>
  </si>
  <si>
    <t>JOSÉ FL</t>
  </si>
  <si>
    <t>ANTÔNIO AGUERO</t>
  </si>
  <si>
    <t>F. CARVALHO ST</t>
  </si>
  <si>
    <t>CEARÁ C.M</t>
  </si>
  <si>
    <t>JOÃO VITO M.R</t>
  </si>
  <si>
    <t>LUCAS MC</t>
  </si>
  <si>
    <t>ZE</t>
  </si>
  <si>
    <t>MAURO</t>
  </si>
  <si>
    <t>FERNANDO</t>
  </si>
  <si>
    <t>RAFAEL</t>
  </si>
  <si>
    <t>RAQUEL RIBEIRO</t>
  </si>
  <si>
    <t>ANDRÉ</t>
  </si>
  <si>
    <t>RAFAEL TORRES</t>
  </si>
  <si>
    <t>WEVERSON</t>
  </si>
  <si>
    <t>LEANDRO RIBEIRO</t>
  </si>
  <si>
    <t>BRUNO CASINHAS</t>
  </si>
  <si>
    <t>MILTON CUNHA</t>
  </si>
  <si>
    <t>JOELSON</t>
  </si>
  <si>
    <t>GUSTAVO</t>
  </si>
  <si>
    <t>JOÃO LUCAS</t>
  </si>
  <si>
    <t>RONALDO BATAVO</t>
  </si>
  <si>
    <t>WALTER</t>
  </si>
  <si>
    <t>PAULO JR</t>
  </si>
  <si>
    <t>LEANDRO BARROS</t>
  </si>
  <si>
    <t>DORIEL MOTA</t>
  </si>
  <si>
    <t>WANDERSON</t>
  </si>
  <si>
    <t>WARLLEY</t>
  </si>
  <si>
    <t>VICTOR HUGO</t>
  </si>
  <si>
    <t>CHARLES BBS</t>
  </si>
  <si>
    <t>THEK BEBIDAS</t>
  </si>
  <si>
    <t>JARDEL BBS</t>
  </si>
  <si>
    <t>MATHEUS</t>
  </si>
  <si>
    <t>FRANCISCO BBS</t>
  </si>
  <si>
    <t>MORAIS BBS</t>
  </si>
  <si>
    <t>MARIA COELHO</t>
  </si>
  <si>
    <t>KESIA BBS</t>
  </si>
  <si>
    <t>FLORÊNCIO BBS</t>
  </si>
  <si>
    <t>LINDOMAR BBS</t>
  </si>
  <si>
    <t>GUSTAVO BBS</t>
  </si>
  <si>
    <t>ANA VITORIA</t>
  </si>
  <si>
    <t>URCYLENE BBS</t>
  </si>
  <si>
    <t>VANDERSON BBS</t>
  </si>
  <si>
    <t>ZELANDIO</t>
  </si>
  <si>
    <t>JOSIELMA BBS</t>
  </si>
  <si>
    <t>RAFAELA</t>
  </si>
  <si>
    <t>RS ESPORTES BBS</t>
  </si>
  <si>
    <t>ISMAEL BBS</t>
  </si>
  <si>
    <t>ELTIN BBS</t>
  </si>
  <si>
    <t>ROMARIO BBS</t>
  </si>
  <si>
    <t>LUANA BBS</t>
  </si>
  <si>
    <t>JR BBS</t>
  </si>
  <si>
    <t>PH BBS</t>
  </si>
  <si>
    <t>RAELTON BBS</t>
  </si>
  <si>
    <t>ZE FERREIRA</t>
  </si>
  <si>
    <t>CLARA BBS</t>
  </si>
  <si>
    <t>DOUGLAS BBS</t>
  </si>
  <si>
    <t>Gerente</t>
  </si>
  <si>
    <t>Comissão Gerente</t>
  </si>
  <si>
    <t>[CAMBISTA] Ajuda de Custo Fixa?</t>
  </si>
  <si>
    <t>[Cambista] Comissão?</t>
  </si>
  <si>
    <t>[CAMBISTA] Ajuda de Custo?</t>
  </si>
  <si>
    <t>SIM</t>
  </si>
  <si>
    <t>NÃO</t>
  </si>
  <si>
    <t>SEM GERENTE</t>
  </si>
  <si>
    <t>ADRIANO FORTALEZA</t>
  </si>
  <si>
    <t>ADRIVAN</t>
  </si>
  <si>
    <t>ANTONIESIO ESTREITO</t>
  </si>
  <si>
    <t>ARNALDO</t>
  </si>
  <si>
    <t>BENE GERENTE</t>
  </si>
  <si>
    <t>COSTA</t>
  </si>
  <si>
    <t>DENILSON FORTALEZA</t>
  </si>
  <si>
    <t>DIÓGENES</t>
  </si>
  <si>
    <t>EDUARDO ABREU10</t>
  </si>
  <si>
    <t>FERNANDO COSTA</t>
  </si>
  <si>
    <t>GUILHERME FORTALEZA</t>
  </si>
  <si>
    <t>HUGO FORTALEZA</t>
  </si>
  <si>
    <t>JOÃO PARAGOMINAS</t>
  </si>
  <si>
    <t>JUNIOR COCOS</t>
  </si>
  <si>
    <t>LENILSON GERENTE</t>
  </si>
  <si>
    <t>LUIS FERREIRA</t>
  </si>
  <si>
    <t>LUIS SÃO DOMINGOS</t>
  </si>
  <si>
    <t>MAGAL GERENTE</t>
  </si>
  <si>
    <t>MAKSUEL10</t>
  </si>
  <si>
    <t>MAYSON GERENTE</t>
  </si>
  <si>
    <t>NEGÃO GERENTE</t>
  </si>
  <si>
    <t>NELSON GERENTE</t>
  </si>
  <si>
    <t>NERIVAN</t>
  </si>
  <si>
    <t>NOÉ GERENTE</t>
  </si>
  <si>
    <t>PAULO JR ESTREITO</t>
  </si>
  <si>
    <t>RAIMUNDINHO</t>
  </si>
  <si>
    <t>VALDIR ESTREITO</t>
  </si>
  <si>
    <t>WAGNER MOURA</t>
  </si>
  <si>
    <t>WALTER17</t>
  </si>
  <si>
    <t>WANDERSON MARINHO</t>
  </si>
  <si>
    <t>WILLIAN BISPO</t>
  </si>
  <si>
    <t>ZE WILLIAM</t>
  </si>
  <si>
    <t>Ajuda de Custo</t>
  </si>
  <si>
    <t>Valor a Pagar</t>
  </si>
  <si>
    <t>CaminhoArquivo</t>
  </si>
  <si>
    <t>MATANIASARRUDA</t>
  </si>
  <si>
    <t>INOVA CELLBALSAS</t>
  </si>
  <si>
    <t>GÁS DODOUTORZINHO</t>
  </si>
  <si>
    <t>CARLOSFORTALEZA</t>
  </si>
  <si>
    <t>BRUNO DAMÁQUINA</t>
  </si>
  <si>
    <t>ADRIVAN DAMAQUINA</t>
  </si>
  <si>
    <t>LUCIANO DOACORDEON</t>
  </si>
  <si>
    <t>LENILSONNASCIMENTO</t>
  </si>
  <si>
    <t>RAIMUNDOMESQUITA</t>
  </si>
  <si>
    <t>DOMINGOSOLIVEIRA</t>
  </si>
  <si>
    <t>JEFERSONTEIXEIRA</t>
  </si>
  <si>
    <t>GENIVALDOPEREIRA</t>
  </si>
  <si>
    <t>VALDEMIRPEREIRA</t>
  </si>
  <si>
    <t>JONATHANNOGUEIRA</t>
  </si>
  <si>
    <t>JOÃO BATISTAALVES PORTO</t>
  </si>
  <si>
    <t>CARLOS EDUARDOST</t>
  </si>
  <si>
    <t>WELITON COELHOST</t>
  </si>
  <si>
    <t>JAILSON SÍTIONOVO</t>
  </si>
  <si>
    <t>EDISONCOLOMBIANO</t>
  </si>
  <si>
    <t>Data/Hora Fechamento</t>
  </si>
  <si>
    <t>Total Geral</t>
  </si>
  <si>
    <t>.Entradas</t>
  </si>
  <si>
    <t>.Entradas em Aberto</t>
  </si>
  <si>
    <t>.Saídas</t>
  </si>
  <si>
    <t>.Comissões</t>
  </si>
  <si>
    <t>.Qtde. de Apostas</t>
  </si>
  <si>
    <t>.Saldo Colaborador</t>
  </si>
  <si>
    <t>.Saldo final da banca</t>
  </si>
  <si>
    <t>.Ajuda de Custo</t>
  </si>
  <si>
    <t>Comissão Lucro</t>
  </si>
  <si>
    <t>J L MARTINS</t>
  </si>
  <si>
    <t>ARNALDO19</t>
  </si>
  <si>
    <t>FELIX19</t>
  </si>
  <si>
    <t>CLEVIO FN</t>
  </si>
  <si>
    <t>JOALISSONMENDONÇA</t>
  </si>
  <si>
    <t>ALISSON VIEIRA</t>
  </si>
  <si>
    <t>DENILSON SILVA</t>
  </si>
  <si>
    <t>ARILSONSOBRINHO</t>
  </si>
  <si>
    <t>ADRIANO BARROS</t>
  </si>
  <si>
    <t>DIEGO FN</t>
  </si>
  <si>
    <t>JUAN PABLO</t>
  </si>
  <si>
    <t>JOÃO MOREIRA</t>
  </si>
  <si>
    <t>SUZANE ERICA</t>
  </si>
  <si>
    <t>FERNANDOGEORGE</t>
  </si>
  <si>
    <t>TAILANE SOUSA</t>
  </si>
  <si>
    <t>ZELINA PIRES</t>
  </si>
  <si>
    <t>CLÁUDIO SANTOS</t>
  </si>
  <si>
    <t>GUTIERRE SOUZA</t>
  </si>
  <si>
    <t>LUIZ SEBASTIÃO GERENTE</t>
  </si>
  <si>
    <t>GORDINHO SILVA</t>
  </si>
  <si>
    <t>DIEGO TAVARES</t>
  </si>
  <si>
    <t>JOÃO FERNANDES</t>
  </si>
  <si>
    <t>HYPE BARBER 16</t>
  </si>
  <si>
    <t>MARIA SANTOS GERENTE</t>
  </si>
  <si>
    <t>TAYNARA SANTOS02</t>
  </si>
  <si>
    <t>HENRIQUE SILVA</t>
  </si>
  <si>
    <t>MARIEL</t>
  </si>
  <si>
    <t>PATRICKCARVALHO</t>
  </si>
  <si>
    <t>PATRICK RG</t>
  </si>
  <si>
    <t>LUAN</t>
  </si>
  <si>
    <t>KAUAN RG</t>
  </si>
  <si>
    <t>MICHEL</t>
  </si>
  <si>
    <t>CEONICIO ZELAO</t>
  </si>
  <si>
    <t>DIOGES SANTOS</t>
  </si>
  <si>
    <t>LEANDRO BBS</t>
  </si>
  <si>
    <t>DataHoraFechamento</t>
  </si>
  <si>
    <t>Valor a pagar</t>
  </si>
  <si>
    <t>Comissão</t>
  </si>
  <si>
    <t>Nova Comissao</t>
  </si>
  <si>
    <t>.Lançamentos</t>
  </si>
  <si>
    <t>WARLEI FN</t>
  </si>
  <si>
    <t>ELIABE</t>
  </si>
  <si>
    <t>ELENILTONMORAES</t>
  </si>
  <si>
    <t>CELL BALSAS</t>
  </si>
  <si>
    <t>GISELY POPOLIN</t>
  </si>
  <si>
    <t>HIGOR GOMES</t>
  </si>
  <si>
    <t>VINÍCIUS FN</t>
  </si>
  <si>
    <t>PP COCOS</t>
  </si>
  <si>
    <t>LUCAS 05</t>
  </si>
  <si>
    <t>CLEITON SILVA 03</t>
  </si>
  <si>
    <t>MAILA</t>
  </si>
  <si>
    <t>J.PEDRO</t>
  </si>
  <si>
    <t>HENRIQUE</t>
  </si>
  <si>
    <t>.Comissão de Lucro</t>
  </si>
  <si>
    <t>Comissão Lucro Val</t>
  </si>
  <si>
    <t>C:\Users\usernet\OneDrive\0. FreeLas\GetNinjas\Laerth da Silva Araújo\Resumo-09-06-2021-06-13-59.pdf</t>
  </si>
  <si>
    <t>09/06/2021 06:13:59</t>
  </si>
  <si>
    <t>GSTIPSTER19</t>
  </si>
  <si>
    <t>PABLO19</t>
  </si>
  <si>
    <t>ISAC LOPES</t>
  </si>
  <si>
    <t>RODRIGO ALVES</t>
  </si>
  <si>
    <t>FERNANDO PAIXÃO</t>
  </si>
  <si>
    <t>WELINGTON 06</t>
  </si>
  <si>
    <t>FRANCISCO 09</t>
  </si>
  <si>
    <t>HENRIQUE 28</t>
  </si>
  <si>
    <t>LUCIVALDO 21</t>
  </si>
  <si>
    <t>THAYNA 06</t>
  </si>
  <si>
    <t>DIEMERSON 07</t>
  </si>
  <si>
    <t>DANIZACHEU</t>
  </si>
  <si>
    <t>ANTÔNIO PORTO</t>
  </si>
  <si>
    <t>FRANCISCO10</t>
  </si>
  <si>
    <t>LUIZ ANTONIO</t>
  </si>
  <si>
    <t>RAFAEL DAVID</t>
  </si>
  <si>
    <t>ODB SAMPA</t>
  </si>
  <si>
    <t>DO CARMO</t>
  </si>
  <si>
    <t>GABRIELRODRIGUES</t>
  </si>
  <si>
    <t>MILSON PEDRO</t>
  </si>
  <si>
    <t>DANNIEL CELULAR</t>
  </si>
  <si>
    <t>WARLLY</t>
  </si>
  <si>
    <t>ISRAELRODRIGUES</t>
  </si>
  <si>
    <t>BRUNO SILVA</t>
  </si>
  <si>
    <t>JOSE RICARDO</t>
  </si>
  <si>
    <t>LEONARDO SOUZA</t>
  </si>
  <si>
    <t>JONATAS ARRUDA</t>
  </si>
  <si>
    <t>LEONIZAR</t>
  </si>
  <si>
    <t>ÍNDIO NC</t>
  </si>
  <si>
    <t>LORAN OLIVEIRA</t>
  </si>
  <si>
    <t>Exportando gerente: EDUARDO ABREU10 10 de 36 &gt;&gt;&gt;&gt; 27,7% concluído</t>
  </si>
  <si>
    <t>Exportando colaboradores: 9 de 18 &gt;&gt;&gt;&gt; 50% concluído.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</si>
</sst>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sz val="12"/>
      <color theme="8" tint="-0.499984740745262"/>
      <name val="Segoe UI"/>
      <family val="2"/>
    </font>
    <font>
      <sz val="12"/>
      <color theme="8" tint="-0.499984740745262"/>
      <name val="Segoe UI"/>
      <family val="2"/>
    </font>
    <font>
      <b/>
      <sz val="12"/>
      <color theme="7" tint="0.79998168889431442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</font>
    <font>
      <sz val="14"/>
      <color theme="1"/>
      <name val="Segoe UI"/>
    </font>
    <font>
      <sz val="16"/>
      <color theme="1"/>
      <name val="Segoe UI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2" applyFont="1" applyAlignment="1">
      <alignment horizontal="center"/>
    </xf>
    <xf numFmtId="164" fontId="0" fillId="0" borderId="0" xfId="2" applyFont="1"/>
    <xf numFmtId="10" fontId="0" fillId="0" borderId="0" xfId="1" applyNumberFormat="1" applyFont="1"/>
    <xf numFmtId="0" fontId="0" fillId="0" borderId="0" xfId="0" applyNumberFormat="1"/>
    <xf numFmtId="0" fontId="4" fillId="2" borderId="1" xfId="0" applyFont="1" applyFill="1" applyBorder="1"/>
    <xf numFmtId="0" fontId="5" fillId="2" borderId="2" xfId="0" applyFont="1" applyFill="1" applyBorder="1" applyAlignment="1">
      <alignment horizontal="center" wrapText="1"/>
    </xf>
    <xf numFmtId="0" fontId="6" fillId="3" borderId="3" xfId="0" applyFont="1" applyFill="1" applyBorder="1"/>
    <xf numFmtId="164" fontId="7" fillId="3" borderId="4" xfId="2" applyFont="1" applyFill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11" fillId="0" borderId="0" xfId="3" applyFont="1"/>
    <xf numFmtId="164" fontId="0" fillId="0" borderId="0" xfId="2" applyNumberFormat="1" applyFont="1"/>
    <xf numFmtId="164" fontId="8" fillId="4" borderId="4" xfId="2" applyFont="1" applyFill="1" applyBorder="1" applyAlignment="1">
      <alignment horizontal="center" vertical="center"/>
    </xf>
    <xf numFmtId="0" fontId="8" fillId="4" borderId="3" xfId="0" applyFont="1" applyFill="1" applyBorder="1" applyAlignment="1">
      <alignment vertical="center"/>
    </xf>
    <xf numFmtId="9" fontId="0" fillId="0" borderId="0" xfId="1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164" fontId="0" fillId="0" borderId="0" xfId="2" applyNumberFormat="1" applyFont="1" applyAlignment="1">
      <alignment horizontal="center"/>
    </xf>
    <xf numFmtId="0" fontId="12" fillId="6" borderId="5" xfId="0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4" fillId="7" borderId="3" xfId="0" applyFont="1" applyFill="1" applyBorder="1"/>
    <xf numFmtId="164" fontId="4" fillId="7" borderId="4" xfId="2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 wrapText="1"/>
    </xf>
    <xf numFmtId="0" fontId="0" fillId="0" borderId="0" xfId="0" applyAlignment="1">
      <alignment vertical="center"/>
    </xf>
    <xf numFmtId="10" fontId="0" fillId="0" borderId="0" xfId="1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3" fillId="0" borderId="0" xfId="0" applyFont="1"/>
    <xf numFmtId="164" fontId="13" fillId="5" borderId="0" xfId="2" applyFont="1" applyFill="1"/>
    <xf numFmtId="44" fontId="13" fillId="0" borderId="0" xfId="0" applyNumberFormat="1" applyFont="1"/>
    <xf numFmtId="0" fontId="14" fillId="0" borderId="0" xfId="0" pivotButton="1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pivotButton="1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44" fontId="14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4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left" vertical="center"/>
    </xf>
    <xf numFmtId="0" fontId="0" fillId="8" borderId="0" xfId="0" applyNumberFormat="1" applyFill="1" applyAlignment="1">
      <alignment horizontal="center" vertical="center"/>
    </xf>
    <xf numFmtId="0" fontId="0" fillId="8" borderId="0" xfId="0" applyNumberFormat="1" applyFill="1" applyAlignment="1">
      <alignment horizontal="center"/>
    </xf>
    <xf numFmtId="10" fontId="0" fillId="8" borderId="0" xfId="1" applyNumberFormat="1" applyFon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9" fontId="0" fillId="8" borderId="0" xfId="1" applyNumberFormat="1" applyFont="1" applyFill="1" applyAlignment="1">
      <alignment horizontal="center" vertical="center"/>
    </xf>
    <xf numFmtId="44" fontId="0" fillId="0" borderId="0" xfId="0" applyNumberFormat="1"/>
    <xf numFmtId="44" fontId="0" fillId="0" borderId="0" xfId="0" applyNumberFormat="1" applyAlignment="1">
      <alignment horizontal="center"/>
    </xf>
    <xf numFmtId="44" fontId="0" fillId="0" borderId="0" xfId="2" applyNumberFormat="1" applyFont="1"/>
  </cellXfs>
  <cellStyles count="4">
    <cellStyle name="Hiperlink" xfId="3" builtinId="8"/>
    <cellStyle name="Moeda" xfId="2" builtinId="4"/>
    <cellStyle name="Normal" xfId="0" builtinId="0"/>
    <cellStyle name="Porcentagem" xfId="1" builtinId="5"/>
  </cellStyles>
  <dxfs count="96"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sz val="14"/>
      </font>
    </dxf>
    <dxf>
      <numFmt numFmtId="34" formatCode="_-&quot;R$&quot;\ * #,##0.00_-;\-&quot;R$&quot;\ * #,##0.00_-;_-&quot;R$&quot;\ * &quot;-&quot;??_-;_-@_-"/>
    </dxf>
    <dxf>
      <font>
        <sz val="14"/>
      </font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left"/>
    </dxf>
    <dxf>
      <alignment horizontal="left"/>
    </dxf>
    <dxf>
      <font>
        <sz val="16"/>
      </font>
    </dxf>
    <dxf>
      <font>
        <sz val="16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$&quot;* #,##0.00_);_(&quot;R$&quot;* \(#,##0.00\);_(&quot;R$&quot;* &quot;-&quot;??_);_(@_)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64" formatCode="_(&quot;R$&quot;* #,##0.00_);_(&quot;R$&quot;* \(#,##0.00\);_(&quot;R$&quot;* &quot;-&quot;??_);_(@_)"/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5388</xdr:colOff>
      <xdr:row>5</xdr:row>
      <xdr:rowOff>46707</xdr:rowOff>
    </xdr:from>
    <xdr:to>
      <xdr:col>0</xdr:col>
      <xdr:colOff>463549</xdr:colOff>
      <xdr:row>7</xdr:row>
      <xdr:rowOff>131466</xdr:rowOff>
    </xdr:to>
    <xdr:pic macro="[0]!ETL.ETL">
      <xdr:nvPicPr>
        <xdr:cNvPr id="3" name="Imagem 2">
          <a:extLst>
            <a:ext uri="{FF2B5EF4-FFF2-40B4-BE49-F238E27FC236}">
              <a16:creationId xmlns:a16="http://schemas.microsoft.com/office/drawing/2014/main" id="{B92D1D50-A115-4668-ABA6-3AADDAF15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8" y="415007"/>
          <a:ext cx="458161" cy="4530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285750</xdr:colOff>
      <xdr:row>1</xdr:row>
      <xdr:rowOff>101600</xdr:rowOff>
    </xdr:from>
    <xdr:to>
      <xdr:col>5</xdr:col>
      <xdr:colOff>533400</xdr:colOff>
      <xdr:row>6</xdr:row>
      <xdr:rowOff>177800</xdr:rowOff>
    </xdr:to>
    <xdr:grpSp>
      <xdr:nvGrpSpPr>
        <xdr:cNvPr id="2894" name="agg">
          <a:extLst>
            <a:ext uri="{FF2B5EF4-FFF2-40B4-BE49-F238E27FC236}">
              <a16:creationId xmlns:a16="http://schemas.microsoft.com/office/drawing/2014/main" id="{DE368761-72C9-4667-A39D-B89A2CE36F55}"/>
            </a:ext>
          </a:extLst>
        </xdr:cNvPr>
        <xdr:cNvGrpSpPr/>
      </xdr:nvGrpSpPr>
      <xdr:grpSpPr>
        <a:xfrm>
          <a:off x="5810250" y="327378"/>
          <a:ext cx="1461206" cy="979311"/>
          <a:chOff x="5715000" y="622300"/>
          <a:chExt cx="1466850" cy="857250"/>
        </a:xfrm>
      </xdr:grpSpPr>
      <xdr:sp macro="[0]!GeneralExecution" textlink="">
        <xdr:nvSpPr>
          <xdr:cNvPr id="2886" name="rt">
            <a:extLst>
              <a:ext uri="{FF2B5EF4-FFF2-40B4-BE49-F238E27FC236}">
                <a16:creationId xmlns:a16="http://schemas.microsoft.com/office/drawing/2014/main" id="{AFB0680D-129A-4D43-889D-471B108434CD}"/>
              </a:ext>
            </a:extLst>
          </xdr:cNvPr>
          <xdr:cNvSpPr/>
        </xdr:nvSpPr>
        <xdr:spPr>
          <a:xfrm>
            <a:off x="5715000" y="622300"/>
            <a:ext cx="1466850" cy="857250"/>
          </a:xfrm>
          <a:prstGeom prst="roundRect">
            <a:avLst/>
          </a:prstGeom>
          <a:noFill/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GeneralExecution" textlink="">
        <xdr:nvSpPr>
          <xdr:cNvPr id="2882" name="sta">
            <a:extLst>
              <a:ext uri="{FF2B5EF4-FFF2-40B4-BE49-F238E27FC236}">
                <a16:creationId xmlns:a16="http://schemas.microsoft.com/office/drawing/2014/main" id="{DECBC060-0958-487B-8513-9C34B9D3BFD5}"/>
              </a:ext>
            </a:extLst>
          </xdr:cNvPr>
          <xdr:cNvSpPr/>
        </xdr:nvSpPr>
        <xdr:spPr>
          <a:xfrm>
            <a:off x="5803900" y="806450"/>
            <a:ext cx="596900" cy="425450"/>
          </a:xfrm>
          <a:prstGeom prst="rightArrow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GeneralExecution">
        <xdr:nvPicPr>
          <xdr:cNvPr id="2885" name="img">
            <a:extLst>
              <a:ext uri="{FF2B5EF4-FFF2-40B4-BE49-F238E27FC236}">
                <a16:creationId xmlns:a16="http://schemas.microsoft.com/office/drawing/2014/main" id="{9E233D38-AEE0-45A4-A580-38DA5839E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2550" y="685800"/>
            <a:ext cx="634390" cy="63439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63500</xdr:rowOff>
    </xdr:from>
    <xdr:to>
      <xdr:col>2</xdr:col>
      <xdr:colOff>1563688</xdr:colOff>
      <xdr:row>4</xdr:row>
      <xdr:rowOff>79375</xdr:rowOff>
    </xdr:to>
    <xdr:sp macro="" textlink="$B$4">
      <xdr:nvSpPr>
        <xdr:cNvPr id="2" name="CaixaDeTexto 1">
          <a:extLst>
            <a:ext uri="{FF2B5EF4-FFF2-40B4-BE49-F238E27FC236}">
              <a16:creationId xmlns:a16="http://schemas.microsoft.com/office/drawing/2014/main" id="{2D7DF5B9-30D9-4193-876E-DBDD899A3C8A}"/>
            </a:ext>
          </a:extLst>
        </xdr:cNvPr>
        <xdr:cNvSpPr txBox="1"/>
      </xdr:nvSpPr>
      <xdr:spPr>
        <a:xfrm>
          <a:off x="0" y="63500"/>
          <a:ext cx="4913313" cy="769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B2A38E-1AAD-4497-805D-A91EE0B25E64}" type="TxLink">
            <a:rPr lang="en-US" sz="2400" b="0" i="0" u="none" strike="noStrike">
              <a:solidFill>
                <a:srgbClr val="000000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"/>
            </a:rPr>
            <a:pPr algn="ctr"/>
            <a:t>EDUARDO ABREU10</a:t>
          </a:fld>
          <a:endParaRPr lang="pt-BR" sz="1800"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1638299</xdr:colOff>
      <xdr:row>0</xdr:row>
      <xdr:rowOff>55563</xdr:rowOff>
    </xdr:from>
    <xdr:to>
      <xdr:col>6</xdr:col>
      <xdr:colOff>1293812</xdr:colOff>
      <xdr:row>4</xdr:row>
      <xdr:rowOff>65088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E292343-1580-4754-8A41-BD4C61AC3B27}"/>
            </a:ext>
          </a:extLst>
        </xdr:cNvPr>
        <xdr:cNvGrpSpPr/>
      </xdr:nvGrpSpPr>
      <xdr:grpSpPr>
        <a:xfrm>
          <a:off x="5160584" y="56325"/>
          <a:ext cx="5042051" cy="771271"/>
          <a:chOff x="5178425" y="25400"/>
          <a:chExt cx="4878388" cy="763588"/>
        </a:xfrm>
      </xdr:grpSpPr>
      <xdr:sp macro="" textlink="$D$4">
        <xdr:nvSpPr>
          <xdr:cNvPr id="3" name="CaixaDeTexto 2">
            <a:extLst>
              <a:ext uri="{FF2B5EF4-FFF2-40B4-BE49-F238E27FC236}">
                <a16:creationId xmlns:a16="http://schemas.microsoft.com/office/drawing/2014/main" id="{9F410B15-0214-4B0A-BB63-D9C3F118B540}"/>
              </a:ext>
            </a:extLst>
          </xdr:cNvPr>
          <xdr:cNvSpPr txBox="1"/>
        </xdr:nvSpPr>
        <xdr:spPr>
          <a:xfrm>
            <a:off x="7764463" y="400050"/>
            <a:ext cx="2292350" cy="38893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448FB53-8B6D-4A5A-B0A7-0D7DDE683FAB}" type="TxLink">
              <a:rPr lang="en-US" sz="2400" b="1" i="0" u="none" strike="noStrike">
                <a:solidFill>
                  <a:srgbClr val="000000"/>
                </a:solidFill>
                <a:latin typeface="+mn-lt"/>
                <a:ea typeface="Segoe UI Black" panose="020B0A02040204020203" pitchFamily="34" charset="0"/>
                <a:cs typeface="Segoe UI" panose="020B0502040204020203" pitchFamily="34" charset="0"/>
              </a:rPr>
              <a:pPr algn="ctr"/>
              <a:t> R$2.413,88 </a:t>
            </a:fld>
            <a:endParaRPr lang="pt-BR" sz="4000" b="1">
              <a:latin typeface="+mn-lt"/>
              <a:ea typeface="Segoe UI Black" panose="020B0A02040204020203" pitchFamily="34" charset="0"/>
              <a:cs typeface="Segoe UI" panose="020B0502040204020203" pitchFamily="34" charset="0"/>
            </a:endParaRPr>
          </a:p>
        </xdr:txBody>
      </xdr:sp>
      <xdr:sp macro="" textlink="$E$4">
        <xdr:nvSpPr>
          <xdr:cNvPr id="4" name="CaixaDeTexto 3">
            <a:extLst>
              <a:ext uri="{FF2B5EF4-FFF2-40B4-BE49-F238E27FC236}">
                <a16:creationId xmlns:a16="http://schemas.microsoft.com/office/drawing/2014/main" id="{0086A395-8A9E-4E2A-BEE5-1283DB9F6319}"/>
              </a:ext>
            </a:extLst>
          </xdr:cNvPr>
          <xdr:cNvSpPr txBox="1"/>
        </xdr:nvSpPr>
        <xdr:spPr>
          <a:xfrm>
            <a:off x="5178425" y="390525"/>
            <a:ext cx="2976563" cy="37306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F934C23-76F7-4C34-99F0-C00BA0EA48A2}" type="TxLink">
              <a:rPr lang="en-US" sz="24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pPr algn="ctr"/>
              <a:t> R$ 804,63 </a:t>
            </a:fld>
            <a:endParaRPr lang="pt-BR" sz="2400" b="1"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777F55A-937D-42CB-9F07-67E03A49BFD6}"/>
              </a:ext>
            </a:extLst>
          </xdr:cNvPr>
          <xdr:cNvSpPr txBox="1"/>
        </xdr:nvSpPr>
        <xdr:spPr>
          <a:xfrm>
            <a:off x="5788025" y="25400"/>
            <a:ext cx="1728788" cy="3746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t>Comissão</a:t>
            </a: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6C059C21-858F-4B04-A573-03FEB43B5D0B}"/>
              </a:ext>
            </a:extLst>
          </xdr:cNvPr>
          <xdr:cNvSpPr txBox="1"/>
        </xdr:nvSpPr>
        <xdr:spPr>
          <a:xfrm>
            <a:off x="7970838" y="25400"/>
            <a:ext cx="1914525" cy="380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rgbClr val="000000"/>
                </a:solidFill>
                <a:latin typeface="Calibri"/>
                <a:ea typeface="Segoe UI Black" panose="020B0A02040204020203" pitchFamily="34" charset="0"/>
                <a:cs typeface="Calibri"/>
              </a:rPr>
              <a:t>Valor a Pagar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N_USER" refreshedDate="44461.920322106482" createdVersion="7" refreshedVersion="7" minRefreshableVersion="3" recordCount="288" xr:uid="{EE5E1AD5-1022-4E5A-89DE-05F3889BEB5C}">
  <cacheSource type="worksheet">
    <worksheetSource name="resumo"/>
  </cacheSource>
  <cacheFields count="16">
    <cacheField name="Colaborador" numFmtId="0">
      <sharedItems count="334">
        <s v="WARLLES FRANÇA"/>
        <s v="NEILTON"/>
        <s v="CARLOSFORTALEZA"/>
        <s v="LUIS PAULO"/>
        <s v="LUJECKSON"/>
        <s v="BRUNO DAMÁQUINA"/>
        <s v="ADRIVAN DAMAQUINA"/>
        <s v="DENILSON RIBEIRO"/>
        <s v="VANESSA"/>
        <s v="JOÃO LUCAS10"/>
        <s v="BERNARDO"/>
        <s v="JUSCELINO GUIDA"/>
        <s v="ADRIANO"/>
        <s v="WANDERSON17"/>
        <s v="GUSTAVO FN"/>
        <s v="THIAGO SOUZA"/>
        <s v="VALMIR FILHO"/>
        <s v="DEMI SANTOS"/>
        <s v="MARCELO PIRES"/>
        <s v="NNEMIAS19"/>
        <s v="RAIMUNDO19"/>
        <s v="CLECIO19"/>
        <s v="CARLOS19"/>
        <s v="JUNIORCORRO19"/>
        <s v="BENEILSON19"/>
        <s v="ALEXANDRE19"/>
        <s v="ELZIVANIA19"/>
        <s v="JORGE19"/>
        <s v="CRISTINA19"/>
        <s v="ELIEZIO19"/>
        <s v="JOERFERSON19"/>
        <s v="TIAGO19"/>
        <s v="LACASSIO19"/>
        <s v="RAIFRAN"/>
        <s v="ANDREY19"/>
        <s v="KAIKE19"/>
        <s v="EDUARDO31"/>
        <s v="ODAIR19"/>
        <s v="DEUSIMAR19"/>
        <s v="JOABE19"/>
        <s v="GSTIPSTER19"/>
        <s v="PABLO19"/>
        <s v="HELIO19"/>
        <s v="JOÃO NETO FN"/>
        <s v="EEDUARDO FN"/>
        <s v="SERRINHA FN"/>
        <s v="ADRIANO FN"/>
        <s v="DENILSON FN"/>
        <s v="WANDERSON FN"/>
        <s v="LUCIANO DOACORDEON"/>
        <s v="GERNANDO FN"/>
        <s v="LAYSSA FN"/>
        <s v="RONALDO FN"/>
        <s v="TIO PEBA"/>
        <s v="GAMA"/>
        <s v="GUSTAVO VIEIRA"/>
        <s v="ISAC LOPES"/>
        <s v="FELLYPE SOUSA"/>
        <s v="RODRIGO ALVES"/>
        <s v="ADONIS"/>
        <s v="MAYSON"/>
        <s v="RAIMUNDOMESQUITA"/>
        <s v="MANOEL FERREIRA"/>
        <s v="ARLEY AMORIM"/>
        <s v="LENILSONNASCIMENTO"/>
        <s v="LUIZ SEBASTIÃO"/>
        <s v="VICTOR SANTANA"/>
        <s v="MARQUIM"/>
        <s v="EDUARDO ABREU"/>
        <s v="IZABELA"/>
        <s v="EMERSON ALVES"/>
        <s v="MARIA SANTOS"/>
        <s v="NELSON PORTO"/>
        <s v="FERNANDO 01"/>
        <s v="JEAN03"/>
        <s v="BRUNO02"/>
        <s v="KAIO"/>
        <s v="DAVI"/>
        <s v="CAVALCANTE04"/>
        <s v="QUIRINO"/>
        <s v="DOMINGOSOLIVEIRA"/>
        <s v="JOSÉ VICENTE"/>
        <s v="LUIZ BORGES"/>
        <s v="ELIABE FERREIRA"/>
        <s v="KELSON SANTOS"/>
        <s v="GUILHERME"/>
        <s v="JOSÉ AILTON"/>
        <s v="LUIZ CARLOS"/>
        <s v="JOSÉ ARIMATEIA"/>
        <s v="JEFERSONTEIXEIRA"/>
        <s v="ADÃO SANTOS"/>
        <s v="BEATRIZ COSTA"/>
        <s v="SÉRGIO SOUSA"/>
        <s v="DORIVAL MIRANDA"/>
        <s v="GEOVANE SANTOS"/>
        <s v="PAULO CESAR"/>
        <s v="DIONE FN"/>
        <s v="LEILDO FN"/>
        <s v="LUCAS FN"/>
        <s v="RAEL FN"/>
        <s v="CÁSSIO FN"/>
        <s v="LUCAS2 FN"/>
        <s v="EDUARDO2 FN"/>
        <s v="MOISÉS FN"/>
        <s v="FRANCE FN"/>
        <s v="EDUARDO FN"/>
        <s v="SHOWMEN"/>
        <s v="VINICIUS"/>
        <s v="RAEL AVIZ"/>
        <s v="YURE SANTOS"/>
        <s v="PELEZINHO"/>
        <s v="FERNANDO PAIXÃO"/>
        <s v="JÚNIOR CARDOSO"/>
        <s v="HEBER JOHNSON"/>
        <s v="BRUNO CESAR"/>
        <s v="VALDEMIRPEREIRA"/>
        <s v="ALEF SOUSA"/>
        <s v="GENIVALDOPEREIRA"/>
        <s v="URUÇUÍ"/>
        <s v="PAULINHA FLORES"/>
        <s v="WELISON"/>
        <s v="STEFNY"/>
        <s v="VAQUEJADA"/>
        <s v="SEBASTIÃO GRETA"/>
        <s v="ALAN TIGRÃO"/>
        <s v="CARLOS HENRIQUE"/>
        <s v="MARIA ELVINA"/>
        <s v="SANDRA ALVES"/>
        <s v="LUIS PEREIRA"/>
        <s v="ALTEMON SANTOS"/>
        <s v="AILTON 07"/>
        <s v="JEFFERSON 05"/>
        <s v="LEONARDO 01"/>
        <s v="GIDEÃO 05"/>
        <s v="BERIM 08"/>
        <s v="MAGAL 10"/>
        <s v="LUCAS 03"/>
        <s v="GLEISON 04"/>
        <s v="KAUAN 11"/>
        <s v="WELINGTON 06"/>
        <s v="FRANCISCO 09"/>
        <s v="DIEGO 20"/>
        <s v="LEANDRO 10"/>
        <s v="WYLLYAN 10"/>
        <s v="MATHEUS 04"/>
        <s v="LARISSA 03"/>
        <s v="ROMARIO 01"/>
        <s v="KATSO 04"/>
        <s v="FABRÍCIO 21"/>
        <s v="CARLOS 12"/>
        <s v="MAKSUEL 20"/>
        <s v="BRUNO 25"/>
        <s v="DEJANE 25"/>
        <s v="FLAVIOFG 05"/>
        <s v="AGEU 11"/>
        <s v="HERIC 06"/>
        <s v="HENRIQUE 28"/>
        <s v="LUCIVALDO 21"/>
        <s v="THAYNA 06"/>
        <s v="DIEMERSON 07"/>
        <s v="DANIZACHEU"/>
        <s v="JOELLYZ"/>
        <s v="ARNALDO MORAIS"/>
        <s v="JONATHANNOGUEIRA"/>
        <s v="JOÃO BATISTA"/>
        <s v="MIGUEL BARBOSA"/>
        <s v="NEGÃO"/>
        <s v="PAULO HENRIQUE"/>
        <s v="ROGÉRIO SILVA"/>
        <s v="JOÃO BATISTAALVES PORTO"/>
        <s v="ANTÔNIO PORTO"/>
        <s v="PAULO CESAR19"/>
        <s v="ANDERSON19"/>
        <s v="YGOR19"/>
        <s v="MIKAELA"/>
        <s v="MAURO19"/>
        <s v="SUEL19"/>
        <s v="RONALDO"/>
        <s v="NOÉ MORAES"/>
        <s v="BERRUGA"/>
        <s v="JHONE SOUZA"/>
        <s v="DHIEGO"/>
        <s v="DANIEL ESTREITO"/>
        <s v="NADIR"/>
        <s v="GIL KENEDE"/>
        <s v="FRANCISCO10"/>
        <s v="LUIZ ANTONIO"/>
        <s v="RAFAEL DAVID"/>
        <s v="CARLOS EDUARDOST"/>
        <s v="MANI JP"/>
        <s v="GUSTAVO ST"/>
        <s v="JOSÉ FL"/>
        <s v="F. CARVALHO ST"/>
        <s v="CEARÁ C.M"/>
        <s v="WELITON COELHOST"/>
        <s v="ANTÔNIO AGUERO"/>
        <s v="JAILSON SÍTIONOVO"/>
        <s v="LUCAS MC"/>
        <s v="JOÃO VITO M.R"/>
        <s v="ODB SAMPA"/>
        <s v="DO CARMO"/>
        <s v="GABRIELRODRIGUES"/>
        <s v="MILSON PEDRO"/>
        <s v="DANNIEL CELULAR"/>
        <s v="LAERTH"/>
        <s v="ROMARIO"/>
        <s v="MATANIASARRUDA"/>
        <s v="LUCAS PATRICK"/>
        <s v="WILLIAN"/>
        <s v="DELCY"/>
        <s v="REGINALDO SOUSA"/>
        <s v="BEBILEITI"/>
        <s v="LORIMAR"/>
        <s v="MARINHO"/>
        <s v="BAR PREMIERE"/>
        <s v="RAIMUNDO 10"/>
        <s v="GILDASIO SOUSA"/>
        <s v="GÁS DODOUTORZINHO"/>
        <s v="ADMIN"/>
        <s v="RAFAEL MARINHO"/>
        <s v="ROMÁRIO17"/>
        <s v="MOURA"/>
        <s v="INOVA CELLBALSAS"/>
        <s v="DIEGO SÁ"/>
        <s v="DANILLO FN"/>
        <s v="RIVALDO KAUARY"/>
        <s v="NATAN"/>
        <s v="TIO NOVO"/>
        <s v="WEVERSON"/>
        <s v="RAFAEL TORRES"/>
        <s v="LEANDRO RIBEIRO"/>
        <s v="WARLLY"/>
        <s v="BRUNO CASINHAS"/>
        <s v="ANDRÉ"/>
        <s v="MAURO"/>
        <s v="ZE"/>
        <s v="FERNANDO"/>
        <s v="RAQUEL RIBEIRO"/>
        <s v="RAFAEL"/>
        <s v="ISRAELRODRIGUES"/>
        <s v="BRUNO SILVA"/>
        <s v="JOSE RICARDO"/>
        <s v="EDISONCOLOMBIANO"/>
        <s v="LEONARDO SOUZA"/>
        <s v="GUSTAVO"/>
        <s v="MILTON CUNHA"/>
        <s v="JOÃO LUCAS"/>
        <s v="JOELSON"/>
        <s v="RONALDO BATAVO"/>
        <s v="WALTER"/>
        <s v="PAULO JR"/>
        <s v="JONATAS ARRUDA"/>
        <s v="LEONIZAR"/>
        <s v="ÍNDIO NC"/>
        <s v="WANDERSON"/>
        <s v="WARLLEY"/>
        <s v="LORAN OLIVEIRA"/>
        <s v="VICTOR HUGO"/>
        <s v="LEANDRO BARROS"/>
        <s v="DORIEL MOTA"/>
        <s v="MORAIS BBS"/>
        <s v="LINDOMAR BBS"/>
        <s v="ROMARIO BBS"/>
        <s v="MARIA COELHO"/>
        <s v="ZELANDIO"/>
        <s v="JARDEL BBS"/>
        <s v="THEK BEBIDAS"/>
        <s v="VANDERSON BBS"/>
        <s v="FRANCISCO BBS"/>
        <s v="MATHEUS"/>
        <s v="KESIA BBS"/>
        <s v="FLORÊNCIO BBS"/>
        <s v="CLARA BBS"/>
        <s v="JR BBS"/>
        <s v="DOUGLAS BBS"/>
        <s v="ISMAEL BBS"/>
        <s v="PH BBS"/>
        <s v="ZE FERREIRA"/>
        <s v="CHARLES BBS"/>
        <s v="RAELTON BBS"/>
        <s v="URCYLENE BBS"/>
        <s v="JOSIELMA BBS"/>
        <s v="GUSTAVO BBS"/>
        <s v="ANA VITORIA"/>
        <s v="LUANA BBS"/>
        <s v="RS ESPORTES BBS"/>
        <s v="ELTIN BBS"/>
        <s v="RAFAELA"/>
        <s v="HENRIQUE SILVA" u="1"/>
        <s v="JUAN PABLO" u="1"/>
        <s v="MARIEL" u="1"/>
        <s v="ZELINA PIRES" u="1"/>
        <s v="GUTIERRE SOUZA" u="1"/>
        <s v="J.PEDRO" u="1"/>
        <s v="ELIABE" u="1"/>
        <s v="FELIX19" u="1"/>
        <s v="HIGOR GOMES" u="1"/>
        <s v="ELENILTONMORAES" u="1"/>
        <s v="J L MARTINS" u="1"/>
        <s v="JOÃO MOREIRA" u="1"/>
        <s v="ARNALDO19" u="1"/>
        <s v="CLEVIO FN" u="1"/>
        <s v="SUZANE ERICA" u="1"/>
        <s v="DIEGO TAVARES" u="1"/>
        <s v="CLÁUDIO SANTOS" u="1"/>
        <s v="ALISSON VIEIRA" u="1"/>
        <s v="CLEITON SILVA 03" u="1"/>
        <s v="PATRICKCARVALHO" u="1"/>
        <s v="VINÍCIUS FN" u="1"/>
        <s v="TAILANE SOUSA" u="1"/>
        <s v="GORDINHO SILVA" u="1"/>
        <s v="DIEGO FN" u="1"/>
        <s v="HYPE BARBER 16" u="1"/>
        <s v="KAUAN RG" u="1"/>
        <s v="PP COCOS" u="1"/>
        <s v="ADRIANO BARROS" u="1"/>
        <s v="LUAN" u="1"/>
        <s v="CEONICIO ZELAO" u="1"/>
        <s v="JOÃO FERNANDES" u="1"/>
        <s v="KIKO BURITIRANA" u="1"/>
        <s v="JOALISSONMENDONÇA" u="1"/>
        <s v="ARILSONSOBRINHO" u="1"/>
        <s v="CELL BALSAS" u="1"/>
        <s v="DENILSON SILVA" u="1"/>
        <s v="LUCAS 05" u="1"/>
        <s v="DIOGES SANTOS" u="1"/>
        <s v="WARLEI FN" u="1"/>
        <s v="FERNANDOGEORGE" u="1"/>
        <s v="HENRIQUE" u="1"/>
        <s v="LEANDRO BBS" u="1"/>
        <s v="GISELY POPOLIN" u="1"/>
        <s v="MAILA" u="1"/>
        <s v="MICHEL" u="1"/>
        <s v="TAYNARA SANTOS02" u="1"/>
      </sharedItems>
    </cacheField>
    <cacheField name="Entradas" numFmtId="164">
      <sharedItems containsSemiMixedTypes="0" containsString="0" containsNumber="1" minValue="0" maxValue="5000"/>
    </cacheField>
    <cacheField name="Entradas em Aberto" numFmtId="164">
      <sharedItems containsSemiMixedTypes="0" containsString="0" containsNumber="1" minValue="0" maxValue="1800"/>
    </cacheField>
    <cacheField name="Saídas" numFmtId="164">
      <sharedItems containsSemiMixedTypes="0" containsString="0" containsNumber="1" minValue="0" maxValue="2519.5"/>
    </cacheField>
    <cacheField name="Lançamentos" numFmtId="164">
      <sharedItems containsSemiMixedTypes="0" containsString="0" containsNumber="1" containsInteger="1" minValue="-200" maxValue="400"/>
    </cacheField>
    <cacheField name="Comissões" numFmtId="164">
      <sharedItems containsSemiMixedTypes="0" containsString="0" containsNumber="1" minValue="0" maxValue="803.26"/>
    </cacheField>
    <cacheField name="Qtd. Apostas" numFmtId="0">
      <sharedItems containsSemiMixedTypes="0" containsString="0" containsNumber="1" containsInteger="1" minValue="0" maxValue="192"/>
    </cacheField>
    <cacheField name="Saldo Colaborador" numFmtId="164">
      <sharedItems containsSemiMixedTypes="0" containsString="0" containsNumber="1" minValue="-1360.65" maxValue="2868.75"/>
    </cacheField>
    <cacheField name="Saldo Final Banca" numFmtId="164">
      <sharedItems containsSemiMixedTypes="0" containsString="0" containsNumber="1" minValue="-1360.65" maxValue="2868.75"/>
    </cacheField>
    <cacheField name="GERENTE" numFmtId="0">
      <sharedItems count="36">
        <s v="ADRIANO FORTALEZA"/>
        <s v="ADRIVAN"/>
        <s v="ANTONIESIO ESTREITO"/>
        <s v="ARNALDO"/>
        <s v="BENE GERENTE"/>
        <s v="COSTA"/>
        <s v="DENILSON FORTALEZA"/>
        <s v="DIÓGENES"/>
        <s v="EDUARDO ABREU10"/>
        <s v="FERNANDO COSTA"/>
        <s v="GUILHERME FORTALEZA"/>
        <s v="HUGO FORTALEZA"/>
        <s v="JOÃO PARAGOMINAS"/>
        <s v="JUNIOR COCOS"/>
        <s v="LENILSON GERENTE"/>
        <s v="LUIS FERREIRA"/>
        <s v="LUIS SÃO DOMINGOS"/>
        <s v="MAGAL GERENTE"/>
        <s v="MAKSUEL10"/>
        <s v="MAYSON GERENTE"/>
        <s v="NEGÃO GERENTE"/>
        <s v="NELSON GERENTE"/>
        <s v="NERIVAN"/>
        <s v="NOÉ GERENTE"/>
        <s v="PAULO JR ESTREITO"/>
        <s v="RAIMUNDINHO"/>
        <s v="SEM GERENTE"/>
        <s v="VALDIR ESTREITO"/>
        <s v="WAGNER MOURA"/>
        <s v="WALTER17"/>
        <s v="WANDERSON MARINHO"/>
        <s v="WILLIAN BISPO"/>
        <s v="ZE WILLIAM"/>
        <s v="PATRICK RG" u="1"/>
        <s v="MARIA SANTOS GERENTE" u="1"/>
        <s v="LUIZ SEBASTIÃO GERENTE" u="1"/>
      </sharedItems>
    </cacheField>
    <cacheField name="Ajuda de Custo" numFmtId="164">
      <sharedItems containsSemiMixedTypes="0" containsString="0" containsNumber="1" containsInteger="1" minValue="0" maxValue="50"/>
    </cacheField>
    <cacheField name="Comissão Lucro" numFmtId="164">
      <sharedItems containsString="0" containsBlank="1" containsNumber="1" minValue="0" maxValue="286.875"/>
    </cacheField>
    <cacheField name="Valor a pagar" numFmtId="44">
      <sharedItems containsString="0" containsBlank="1" containsNumber="1" minValue="-1215.585" maxValue="3225"/>
    </cacheField>
    <cacheField name="Comissão Gerente" numFmtId="164">
      <sharedItems containsString="0" containsBlank="1" containsNumber="1" minValue="-345.16250000000002" maxValue="903.65625"/>
    </cacheField>
    <cacheField name="Comissão Lucro Val" numFmtId="44">
      <sharedItems containsMixedTypes="1" containsNumber="1" minValue="0" maxValue="2581.875"/>
    </cacheField>
    <cacheField name="SaldoColaborador" numFmtId="0" formula="Entradas-Saídas-Comissõ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n v="61"/>
    <n v="0"/>
    <n v="4"/>
    <n v="0"/>
    <n v="9.2100000000000009"/>
    <n v="16"/>
    <n v="47.79"/>
    <n v="47.79"/>
    <x v="0"/>
    <n v="0"/>
    <n v="0"/>
    <n v="47.79"/>
    <n v="4.7789999999999999"/>
    <n v="0"/>
  </r>
  <r>
    <x v="1"/>
    <n v="171"/>
    <n v="2"/>
    <n v="21.9"/>
    <n v="0"/>
    <n v="27.15"/>
    <n v="20"/>
    <n v="119.95"/>
    <n v="119.95"/>
    <x v="0"/>
    <n v="10"/>
    <n v="0"/>
    <n v="111.94999999999999"/>
    <n v="10.994999999999999"/>
    <n v="0"/>
  </r>
  <r>
    <x v="2"/>
    <n v="210"/>
    <n v="5"/>
    <n v="0"/>
    <n v="0"/>
    <n v="35.31"/>
    <n v="24"/>
    <n v="169.69"/>
    <n v="169.69"/>
    <x v="0"/>
    <n v="20"/>
    <n v="0"/>
    <n v="154.69"/>
    <n v="14.968999999999999"/>
    <n v="0"/>
  </r>
  <r>
    <x v="3"/>
    <n v="530.5"/>
    <n v="5"/>
    <n v="10.8"/>
    <n v="0"/>
    <n v="95.57"/>
    <n v="46"/>
    <n v="419.13"/>
    <n v="419.13"/>
    <x v="0"/>
    <n v="30"/>
    <n v="0"/>
    <n v="394.13000000000005"/>
    <n v="38.912999999999997"/>
    <n v="0"/>
  </r>
  <r>
    <x v="4"/>
    <n v="0"/>
    <n v="0"/>
    <n v="0"/>
    <n v="0"/>
    <n v="0"/>
    <n v="0"/>
    <n v="0"/>
    <n v="0"/>
    <x v="1"/>
    <n v="0"/>
    <n v="0"/>
    <n v="0"/>
    <n v="0"/>
    <n v="0"/>
  </r>
  <r>
    <x v="5"/>
    <n v="86"/>
    <n v="0"/>
    <n v="0"/>
    <n v="0"/>
    <n v="16.14"/>
    <n v="14"/>
    <n v="69.86"/>
    <n v="69.86"/>
    <x v="1"/>
    <n v="0"/>
    <n v="0"/>
    <n v="69.86"/>
    <n v="13.972"/>
    <n v="0"/>
  </r>
  <r>
    <x v="6"/>
    <n v="58"/>
    <n v="0"/>
    <n v="0"/>
    <n v="0"/>
    <n v="11.24"/>
    <n v="12"/>
    <n v="46.76"/>
    <n v="46.76"/>
    <x v="1"/>
    <n v="0"/>
    <n v="0"/>
    <n v="46.76"/>
    <n v="9.3520000000000003"/>
    <n v="0"/>
  </r>
  <r>
    <x v="7"/>
    <n v="115"/>
    <n v="0"/>
    <n v="0"/>
    <n v="0"/>
    <n v="18.84"/>
    <n v="23"/>
    <n v="96.16"/>
    <n v="96.16"/>
    <x v="1"/>
    <n v="0"/>
    <n v="0"/>
    <n v="96.16"/>
    <n v="19.231999999999999"/>
    <n v="0"/>
  </r>
  <r>
    <x v="8"/>
    <n v="0"/>
    <n v="0"/>
    <n v="0"/>
    <n v="0"/>
    <n v="0"/>
    <n v="0"/>
    <n v="0"/>
    <n v="0"/>
    <x v="2"/>
    <n v="0"/>
    <n v="0"/>
    <n v="0"/>
    <n v="0"/>
    <n v="0"/>
  </r>
  <r>
    <x v="9"/>
    <n v="480"/>
    <n v="200"/>
    <n v="0"/>
    <n v="0"/>
    <n v="48.98"/>
    <n v="6"/>
    <n v="231.02"/>
    <n v="231.02"/>
    <x v="2"/>
    <n v="30"/>
    <n v="0"/>
    <n v="401.02"/>
    <n v="50.255000000000003"/>
    <n v="0"/>
  </r>
  <r>
    <x v="10"/>
    <n v="246"/>
    <n v="31"/>
    <n v="0"/>
    <n v="0"/>
    <n v="42.25"/>
    <n v="9"/>
    <n v="172.75"/>
    <n v="172.75"/>
    <x v="2"/>
    <n v="20"/>
    <n v="0"/>
    <n v="183.75"/>
    <n v="38.1875"/>
    <n v="0"/>
  </r>
  <r>
    <x v="11"/>
    <n v="55"/>
    <n v="0"/>
    <n v="252.5"/>
    <n v="0"/>
    <n v="10.25"/>
    <n v="5"/>
    <n v="-207.75"/>
    <n v="-207.75"/>
    <x v="3"/>
    <n v="0"/>
    <n v="0"/>
    <n v="-207.75"/>
    <n v="-41.55"/>
    <n v="0"/>
  </r>
  <r>
    <x v="12"/>
    <n v="669"/>
    <n v="0"/>
    <n v="561.04999999999995"/>
    <n v="0"/>
    <n v="89.22"/>
    <n v="53"/>
    <n v="18.73"/>
    <n v="18.73"/>
    <x v="3"/>
    <n v="40"/>
    <n v="0"/>
    <n v="-21.269999999999953"/>
    <n v="-4.2539999999999996"/>
    <n v="0"/>
  </r>
  <r>
    <x v="13"/>
    <n v="5"/>
    <n v="0"/>
    <n v="0"/>
    <n v="0"/>
    <n v="1"/>
    <n v="1"/>
    <n v="4"/>
    <n v="4"/>
    <x v="3"/>
    <n v="0"/>
    <n v="0"/>
    <n v="4"/>
    <n v="0.8"/>
    <n v="0"/>
  </r>
  <r>
    <x v="14"/>
    <n v="32"/>
    <n v="0"/>
    <n v="0"/>
    <n v="0"/>
    <n v="5.88"/>
    <n v="8"/>
    <n v="26.12"/>
    <n v="26.12"/>
    <x v="3"/>
    <n v="0"/>
    <n v="0"/>
    <n v="26.12"/>
    <n v="5.2240000000000002"/>
    <n v="0"/>
  </r>
  <r>
    <x v="15"/>
    <n v="62"/>
    <n v="4"/>
    <n v="30.15"/>
    <n v="0"/>
    <n v="9.67"/>
    <n v="24"/>
    <n v="18.18"/>
    <n v="18.18"/>
    <x v="3"/>
    <n v="0"/>
    <n v="0"/>
    <n v="22.18"/>
    <n v="3.6360000000000001"/>
    <n v="0"/>
  </r>
  <r>
    <x v="16"/>
    <n v="36"/>
    <n v="0"/>
    <n v="0"/>
    <n v="0"/>
    <n v="6.98"/>
    <n v="13"/>
    <n v="29.02"/>
    <n v="29.02"/>
    <x v="3"/>
    <n v="0"/>
    <n v="0"/>
    <n v="29.02"/>
    <n v="5.8040000000000003"/>
    <n v="0"/>
  </r>
  <r>
    <x v="17"/>
    <n v="0"/>
    <n v="0"/>
    <n v="0"/>
    <n v="0"/>
    <n v="0"/>
    <n v="0"/>
    <n v="0"/>
    <n v="0"/>
    <x v="3"/>
    <n v="0"/>
    <n v="0"/>
    <n v="0"/>
    <n v="0"/>
    <n v="0"/>
  </r>
  <r>
    <x v="18"/>
    <n v="0"/>
    <n v="0"/>
    <n v="0"/>
    <n v="0"/>
    <n v="0"/>
    <n v="0"/>
    <n v="0"/>
    <n v="0"/>
    <x v="4"/>
    <n v="0"/>
    <n v="0"/>
    <n v="0"/>
    <n v="0"/>
    <n v="0"/>
  </r>
  <r>
    <x v="19"/>
    <n v="0"/>
    <n v="0"/>
    <n v="0"/>
    <n v="0"/>
    <n v="0"/>
    <n v="0"/>
    <n v="0"/>
    <n v="0"/>
    <x v="5"/>
    <n v="0"/>
    <n v="0"/>
    <n v="0"/>
    <n v="0"/>
    <n v="0"/>
  </r>
  <r>
    <x v="20"/>
    <n v="1106.17"/>
    <n v="143"/>
    <n v="36.22"/>
    <n v="0"/>
    <n v="171.95"/>
    <n v="112"/>
    <n v="755"/>
    <n v="755"/>
    <x v="5"/>
    <n v="50"/>
    <n v="84.800000000000011"/>
    <n v="763.2"/>
    <n v="310.10000000000002"/>
    <n v="763.2"/>
  </r>
  <r>
    <x v="21"/>
    <n v="47"/>
    <n v="0"/>
    <n v="0"/>
    <n v="0"/>
    <n v="8.32"/>
    <n v="14"/>
    <n v="38.68"/>
    <n v="38.68"/>
    <x v="5"/>
    <n v="0"/>
    <n v="3.8680000000000003"/>
    <n v="34.811999999999998"/>
    <n v="17.405999999999999"/>
    <n v="34.811999999999998"/>
  </r>
  <r>
    <x v="22"/>
    <n v="55"/>
    <n v="0"/>
    <n v="45.45"/>
    <n v="0"/>
    <n v="5.1100000000000003"/>
    <n v="11"/>
    <n v="4.4400000000000004"/>
    <n v="4.4400000000000004"/>
    <x v="5"/>
    <n v="0"/>
    <n v="0.44399999999999973"/>
    <n v="3.9959999999999973"/>
    <n v="1.998"/>
    <n v="3.9959999999999973"/>
  </r>
  <r>
    <x v="23"/>
    <n v="180"/>
    <n v="5"/>
    <n v="0"/>
    <n v="0"/>
    <n v="28.58"/>
    <n v="31"/>
    <n v="146.41999999999999"/>
    <n v="146.41999999999999"/>
    <x v="5"/>
    <n v="0"/>
    <n v="15.142000000000003"/>
    <n v="136.27800000000002"/>
    <n v="65.638999999999996"/>
    <n v="136.27800000000002"/>
  </r>
  <r>
    <x v="24"/>
    <n v="0"/>
    <n v="0"/>
    <n v="0"/>
    <n v="0"/>
    <n v="0"/>
    <n v="0"/>
    <n v="0"/>
    <n v="0"/>
    <x v="5"/>
    <n v="0"/>
    <n v="0"/>
    <n v="0"/>
    <n v="0"/>
    <n v="0"/>
  </r>
  <r>
    <x v="25"/>
    <n v="0"/>
    <n v="0"/>
    <n v="0"/>
    <n v="0"/>
    <n v="0"/>
    <n v="0"/>
    <n v="0"/>
    <n v="0"/>
    <x v="5"/>
    <n v="0"/>
    <n v="0"/>
    <n v="0"/>
    <n v="0"/>
    <n v="0"/>
  </r>
  <r>
    <x v="26"/>
    <n v="0"/>
    <n v="0"/>
    <n v="0"/>
    <n v="0"/>
    <n v="0"/>
    <n v="0"/>
    <n v="0"/>
    <n v="0"/>
    <x v="5"/>
    <n v="0"/>
    <n v="0"/>
    <n v="0"/>
    <n v="0"/>
    <n v="0"/>
  </r>
  <r>
    <x v="27"/>
    <n v="0"/>
    <n v="0"/>
    <n v="0"/>
    <n v="0"/>
    <n v="0"/>
    <n v="0"/>
    <n v="0"/>
    <n v="0"/>
    <x v="5"/>
    <n v="0"/>
    <n v="0"/>
    <n v="0"/>
    <n v="0"/>
    <n v="0"/>
  </r>
  <r>
    <x v="28"/>
    <n v="15"/>
    <n v="10"/>
    <n v="0"/>
    <n v="0"/>
    <n v="1"/>
    <n v="3"/>
    <n v="4"/>
    <n v="4"/>
    <x v="5"/>
    <n v="0"/>
    <n v="1.4000000000000001"/>
    <n v="12.6"/>
    <n v="1.3"/>
    <n v="12.6"/>
  </r>
  <r>
    <x v="29"/>
    <n v="0"/>
    <n v="0"/>
    <n v="0"/>
    <n v="0"/>
    <n v="0"/>
    <n v="0"/>
    <n v="0"/>
    <n v="0"/>
    <x v="5"/>
    <n v="0"/>
    <n v="0"/>
    <n v="0"/>
    <n v="0"/>
    <n v="0"/>
  </r>
  <r>
    <x v="30"/>
    <n v="54"/>
    <n v="12"/>
    <n v="0"/>
    <n v="0"/>
    <n v="7.05"/>
    <n v="14"/>
    <n v="34.950000000000003"/>
    <n v="34.950000000000003"/>
    <x v="5"/>
    <n v="0"/>
    <n v="4.6950000000000003"/>
    <n v="42.255000000000003"/>
    <n v="15.1275"/>
    <n v="42.255000000000003"/>
  </r>
  <r>
    <x v="31"/>
    <n v="640"/>
    <n v="0"/>
    <n v="345.6"/>
    <n v="0"/>
    <n v="42.3"/>
    <n v="33"/>
    <n v="252.1"/>
    <n v="252.1"/>
    <x v="5"/>
    <n v="0"/>
    <n v="25.209999999999997"/>
    <n v="226.89"/>
    <n v="113.44499999999999"/>
    <n v="226.89"/>
  </r>
  <r>
    <x v="32"/>
    <n v="1837"/>
    <n v="20"/>
    <n v="788.4"/>
    <n v="0"/>
    <n v="261.33"/>
    <n v="109"/>
    <n v="767.27"/>
    <n v="767.27"/>
    <x v="5"/>
    <n v="0"/>
    <n v="78.727000000000004"/>
    <n v="708.54300000000001"/>
    <n v="344.2715"/>
    <n v="708.54300000000001"/>
  </r>
  <r>
    <x v="33"/>
    <n v="842"/>
    <n v="5"/>
    <n v="643"/>
    <n v="0"/>
    <n v="76.099999999999994"/>
    <n v="16"/>
    <n v="117.9"/>
    <n v="117.9"/>
    <x v="5"/>
    <n v="0"/>
    <n v="18.434999999999999"/>
    <n v="104.465"/>
    <n v="49.732500000000002"/>
    <n v="110.61000000000001"/>
  </r>
  <r>
    <x v="34"/>
    <n v="521.4"/>
    <n v="15"/>
    <n v="0"/>
    <n v="0"/>
    <n v="87.88"/>
    <n v="55"/>
    <n v="418.52"/>
    <n v="418.52"/>
    <x v="5"/>
    <n v="0"/>
    <n v="43.352000000000004"/>
    <n v="390.16800000000001"/>
    <n v="187.584"/>
    <n v="390.16800000000001"/>
  </r>
  <r>
    <x v="35"/>
    <n v="0"/>
    <n v="0"/>
    <n v="0"/>
    <n v="0"/>
    <n v="0"/>
    <n v="0"/>
    <n v="0"/>
    <n v="0"/>
    <x v="5"/>
    <n v="0"/>
    <n v="0"/>
    <n v="0"/>
    <n v="0"/>
    <n v="0"/>
  </r>
  <r>
    <x v="36"/>
    <n v="772"/>
    <n v="35"/>
    <n v="220.4"/>
    <n v="0"/>
    <n v="142.06"/>
    <n v="38"/>
    <n v="374.54"/>
    <n v="374.54"/>
    <x v="5"/>
    <n v="0"/>
    <n v="40.954000000000008"/>
    <n v="368.58600000000001"/>
    <n v="166.79300000000001"/>
    <n v="368.58600000000001"/>
  </r>
  <r>
    <x v="37"/>
    <n v="274"/>
    <n v="13"/>
    <n v="316.3"/>
    <n v="0"/>
    <n v="48"/>
    <n v="24"/>
    <n v="-103.3"/>
    <n v="-103.3"/>
    <x v="5"/>
    <n v="0"/>
    <n v="0"/>
    <n v="-81.27000000000001"/>
    <n v="-51.65"/>
    <n v="0"/>
  </r>
  <r>
    <x v="38"/>
    <n v="146"/>
    <n v="2"/>
    <n v="0"/>
    <n v="0"/>
    <n v="26.49"/>
    <n v="21"/>
    <n v="117.51"/>
    <n v="117.51"/>
    <x v="5"/>
    <n v="0"/>
    <n v="11.951000000000001"/>
    <n v="107.55900000000001"/>
    <n v="52.779499999999999"/>
    <n v="107.55900000000001"/>
  </r>
  <r>
    <x v="39"/>
    <n v="142"/>
    <n v="0"/>
    <n v="194.3"/>
    <n v="0"/>
    <n v="23.83"/>
    <n v="22"/>
    <n v="-76.13"/>
    <n v="-76.13"/>
    <x v="5"/>
    <n v="0"/>
    <n v="0"/>
    <n v="-68.51700000000001"/>
    <n v="-38.064999999999998"/>
    <n v="0"/>
  </r>
  <r>
    <x v="40"/>
    <n v="0"/>
    <n v="0"/>
    <n v="0"/>
    <n v="0"/>
    <n v="0"/>
    <n v="0"/>
    <n v="0"/>
    <n v="0"/>
    <x v="5"/>
    <n v="0"/>
    <m/>
    <m/>
    <m/>
    <e v="#N/A"/>
  </r>
  <r>
    <x v="41"/>
    <n v="0"/>
    <n v="0"/>
    <n v="0"/>
    <n v="0"/>
    <n v="0"/>
    <n v="0"/>
    <n v="0"/>
    <n v="0"/>
    <x v="5"/>
    <n v="0"/>
    <m/>
    <m/>
    <m/>
    <e v="#N/A"/>
  </r>
  <r>
    <x v="42"/>
    <n v="0"/>
    <n v="0"/>
    <n v="0"/>
    <n v="0"/>
    <n v="0"/>
    <n v="0"/>
    <n v="0"/>
    <n v="0"/>
    <x v="5"/>
    <n v="0"/>
    <n v="0"/>
    <n v="0"/>
    <n v="0"/>
    <n v="0"/>
  </r>
  <r>
    <x v="43"/>
    <n v="129"/>
    <n v="5"/>
    <n v="0"/>
    <n v="0"/>
    <n v="19.8"/>
    <n v="13"/>
    <n v="104.2"/>
    <n v="104.2"/>
    <x v="6"/>
    <n v="0"/>
    <n v="10.920000000000002"/>
    <n v="98.28"/>
    <n v="32.648000000000003"/>
    <n v="98.28"/>
  </r>
  <r>
    <x v="44"/>
    <n v="25"/>
    <n v="0"/>
    <n v="791.2"/>
    <n v="0"/>
    <n v="4.7"/>
    <n v="3"/>
    <n v="-770.9"/>
    <n v="-770.9"/>
    <x v="6"/>
    <n v="0"/>
    <n v="0"/>
    <n v="-693.81000000000006"/>
    <n v="-269.815"/>
    <n v="0"/>
  </r>
  <r>
    <x v="45"/>
    <n v="1180"/>
    <n v="0"/>
    <n v="0"/>
    <n v="0"/>
    <n v="231.5"/>
    <n v="9"/>
    <n v="948.5"/>
    <n v="948.5"/>
    <x v="6"/>
    <n v="50"/>
    <n v="89.850000000000009"/>
    <n v="808.65"/>
    <n v="283.02749999999997"/>
    <n v="808.65"/>
  </r>
  <r>
    <x v="46"/>
    <n v="48"/>
    <n v="5"/>
    <n v="16"/>
    <n v="0"/>
    <n v="7.33"/>
    <n v="10"/>
    <n v="19.670000000000002"/>
    <n v="19.670000000000002"/>
    <x v="6"/>
    <n v="0"/>
    <n v="2.4670000000000005"/>
    <n v="22.203000000000003"/>
    <n v="6.0210499999999998"/>
    <n v="22.203000000000003"/>
  </r>
  <r>
    <x v="47"/>
    <n v="339"/>
    <n v="100"/>
    <n v="0"/>
    <n v="0"/>
    <n v="44.63"/>
    <n v="25"/>
    <n v="194.37"/>
    <n v="194.37"/>
    <x v="6"/>
    <n v="20"/>
    <n v="27.437000000000001"/>
    <n v="246.93300000000002"/>
    <n v="51.426549999999999"/>
    <n v="246.93300000000002"/>
  </r>
  <r>
    <x v="48"/>
    <n v="99"/>
    <n v="0"/>
    <n v="99.28"/>
    <n v="0"/>
    <n v="17.899999999999999"/>
    <n v="19"/>
    <n v="-18.18"/>
    <n v="-18.18"/>
    <x v="6"/>
    <n v="0"/>
    <n v="0"/>
    <n v="-16.362000000000002"/>
    <n v="-6.3630000000000004"/>
    <n v="0"/>
  </r>
  <r>
    <x v="49"/>
    <n v="1785.5"/>
    <n v="120"/>
    <n v="846.7"/>
    <n v="0"/>
    <n v="299.27"/>
    <n v="99"/>
    <n v="519.53"/>
    <n v="519.53"/>
    <x v="6"/>
    <n v="50"/>
    <n v="58.953000000000003"/>
    <n v="530.577"/>
    <n v="143.70195000000001"/>
    <n v="530.577"/>
  </r>
  <r>
    <x v="50"/>
    <n v="83"/>
    <n v="40"/>
    <n v="0"/>
    <n v="0"/>
    <n v="8.2100000000000009"/>
    <n v="8"/>
    <n v="34.79"/>
    <n v="34.79"/>
    <x v="6"/>
    <n v="0"/>
    <n v="7.4789999999999992"/>
    <n v="67.310999999999993"/>
    <n v="9.5588499999999996"/>
    <n v="67.310999999999993"/>
  </r>
  <r>
    <x v="51"/>
    <n v="219"/>
    <n v="45"/>
    <n v="30.9"/>
    <n v="0"/>
    <n v="31.95"/>
    <n v="22"/>
    <n v="111.15"/>
    <n v="111.15"/>
    <x v="6"/>
    <n v="20"/>
    <n v="13.615000000000002"/>
    <n v="122.53500000000001"/>
    <n v="27.137250000000002"/>
    <n v="122.53500000000001"/>
  </r>
  <r>
    <x v="52"/>
    <n v="840"/>
    <n v="100"/>
    <n v="517"/>
    <n v="0"/>
    <n v="78.599999999999994"/>
    <n v="23"/>
    <n v="144.4"/>
    <n v="144.4"/>
    <x v="6"/>
    <n v="40"/>
    <n v="20.440000000000001"/>
    <n v="183.96"/>
    <n v="29.385999999999999"/>
    <n v="183.96"/>
  </r>
  <r>
    <x v="53"/>
    <n v="80"/>
    <n v="0"/>
    <n v="0"/>
    <n v="0"/>
    <n v="13.9"/>
    <n v="13"/>
    <n v="66.099999999999994"/>
    <n v="66.099999999999994"/>
    <x v="7"/>
    <n v="0"/>
    <n v="0"/>
    <n v="66.099999999999994"/>
    <n v="16.524999999999999"/>
    <n v="0"/>
  </r>
  <r>
    <x v="54"/>
    <n v="0"/>
    <n v="0"/>
    <n v="0"/>
    <n v="0"/>
    <n v="0"/>
    <n v="0"/>
    <n v="0"/>
    <n v="0"/>
    <x v="7"/>
    <n v="0"/>
    <n v="0"/>
    <n v="0"/>
    <n v="0"/>
    <n v="0"/>
  </r>
  <r>
    <x v="55"/>
    <n v="15"/>
    <n v="0"/>
    <n v="0"/>
    <n v="0"/>
    <n v="3"/>
    <n v="1"/>
    <n v="12"/>
    <n v="12"/>
    <x v="8"/>
    <n v="0"/>
    <n v="0"/>
    <n v="12"/>
    <n v="3"/>
    <n v="0"/>
  </r>
  <r>
    <x v="56"/>
    <n v="0"/>
    <n v="0"/>
    <n v="0"/>
    <n v="0"/>
    <n v="0"/>
    <n v="0"/>
    <n v="0"/>
    <n v="0"/>
    <x v="8"/>
    <n v="0"/>
    <m/>
    <m/>
    <m/>
    <e v="#N/A"/>
  </r>
  <r>
    <x v="57"/>
    <n v="30"/>
    <n v="0"/>
    <n v="0"/>
    <n v="0"/>
    <n v="5.4"/>
    <n v="2"/>
    <n v="24.6"/>
    <n v="24.6"/>
    <x v="8"/>
    <n v="0"/>
    <n v="0"/>
    <n v="24.6"/>
    <n v="6.15"/>
    <n v="0"/>
  </r>
  <r>
    <x v="58"/>
    <n v="0"/>
    <n v="0"/>
    <n v="0"/>
    <n v="0"/>
    <n v="0"/>
    <n v="0"/>
    <n v="0"/>
    <n v="0"/>
    <x v="8"/>
    <n v="0"/>
    <m/>
    <m/>
    <m/>
    <e v="#N/A"/>
  </r>
  <r>
    <x v="59"/>
    <n v="0"/>
    <n v="0"/>
    <n v="0"/>
    <n v="0"/>
    <n v="0"/>
    <n v="0"/>
    <n v="0"/>
    <n v="0"/>
    <x v="8"/>
    <n v="0"/>
    <n v="0"/>
    <n v="0"/>
    <n v="0"/>
    <n v="0"/>
  </r>
  <r>
    <x v="60"/>
    <n v="865"/>
    <n v="40"/>
    <n v="206.7"/>
    <n v="0"/>
    <n v="147.30000000000001"/>
    <n v="192"/>
    <n v="471"/>
    <n v="471"/>
    <x v="8"/>
    <n v="40"/>
    <n v="0"/>
    <n v="470.99999999999994"/>
    <n v="107.75"/>
    <n v="0"/>
  </r>
  <r>
    <x v="61"/>
    <n v="68"/>
    <n v="0"/>
    <n v="0"/>
    <n v="0"/>
    <n v="10.9"/>
    <n v="24"/>
    <n v="57.1"/>
    <n v="57.1"/>
    <x v="8"/>
    <n v="0"/>
    <n v="0"/>
    <n v="57.1"/>
    <n v="14.275"/>
    <n v="0"/>
  </r>
  <r>
    <x v="62"/>
    <n v="25"/>
    <n v="0"/>
    <n v="0"/>
    <n v="0"/>
    <n v="4.8499999999999996"/>
    <n v="4"/>
    <n v="20.149999999999999"/>
    <n v="20.149999999999999"/>
    <x v="8"/>
    <n v="0"/>
    <n v="0"/>
    <n v="20.149999999999999"/>
    <n v="5.0374999999999996"/>
    <n v="0"/>
  </r>
  <r>
    <x v="63"/>
    <n v="105.57"/>
    <n v="2.71"/>
    <n v="0"/>
    <n v="0"/>
    <n v="19.16"/>
    <n v="17"/>
    <n v="83.7"/>
    <n v="83.7"/>
    <x v="8"/>
    <n v="0"/>
    <n v="0"/>
    <n v="86.41"/>
    <n v="20.925000000000001"/>
    <n v="0"/>
  </r>
  <r>
    <x v="64"/>
    <n v="1615"/>
    <n v="130"/>
    <n v="565.5"/>
    <n v="0"/>
    <n v="251.69"/>
    <n v="113"/>
    <n v="667.81"/>
    <n v="667.81"/>
    <x v="8"/>
    <n v="50"/>
    <n v="74.780999999999992"/>
    <n v="673.029"/>
    <n v="135.75725"/>
    <n v="673.029"/>
  </r>
  <r>
    <x v="65"/>
    <n v="700.34"/>
    <n v="15"/>
    <n v="483.35"/>
    <n v="0"/>
    <n v="114.19"/>
    <n v="97"/>
    <n v="87.8"/>
    <n v="87.8"/>
    <x v="8"/>
    <n v="40"/>
    <n v="0"/>
    <n v="62.800000000000011"/>
    <n v="11.95"/>
    <n v="0"/>
  </r>
  <r>
    <x v="66"/>
    <n v="255"/>
    <n v="0"/>
    <n v="418.1"/>
    <n v="0"/>
    <n v="29.5"/>
    <n v="10"/>
    <n v="-192.6"/>
    <n v="-192.6"/>
    <x v="8"/>
    <n v="20"/>
    <n v="0"/>
    <n v="-212.60000000000002"/>
    <n v="-53.15"/>
    <n v="0"/>
  </r>
  <r>
    <x v="67"/>
    <n v="80"/>
    <n v="10"/>
    <n v="0"/>
    <n v="0"/>
    <n v="10.8"/>
    <n v="10"/>
    <n v="59.2"/>
    <n v="59.2"/>
    <x v="8"/>
    <n v="0"/>
    <n v="0"/>
    <n v="69.2"/>
    <n v="14.8"/>
    <n v="0"/>
  </r>
  <r>
    <x v="68"/>
    <n v="3551"/>
    <n v="850"/>
    <n v="1040.3499999999999"/>
    <n v="0"/>
    <n v="406.86"/>
    <n v="87"/>
    <n v="1253.79"/>
    <n v="1253.79"/>
    <x v="8"/>
    <n v="50"/>
    <n v="205.37900000000002"/>
    <n v="1848.4110000000001"/>
    <n v="249.60274999999999"/>
    <n v="1848.4110000000001"/>
  </r>
  <r>
    <x v="69"/>
    <n v="346.5"/>
    <n v="50"/>
    <n v="84.2"/>
    <n v="0"/>
    <n v="58.29"/>
    <n v="20"/>
    <n v="154.01"/>
    <n v="154.01"/>
    <x v="8"/>
    <n v="20"/>
    <n v="0"/>
    <n v="184.01000000000002"/>
    <n v="33.502499999999998"/>
    <n v="0"/>
  </r>
  <r>
    <x v="70"/>
    <n v="500"/>
    <n v="0"/>
    <n v="0"/>
    <n v="0"/>
    <n v="50"/>
    <n v="1"/>
    <n v="450"/>
    <n v="450"/>
    <x v="8"/>
    <n v="30"/>
    <n v="0"/>
    <n v="420"/>
    <n v="105"/>
    <n v="0"/>
  </r>
  <r>
    <x v="71"/>
    <n v="594.70000000000005"/>
    <n v="0"/>
    <n v="0"/>
    <n v="0"/>
    <n v="105.99"/>
    <n v="45"/>
    <n v="488.71"/>
    <n v="488.71"/>
    <x v="8"/>
    <n v="30"/>
    <n v="0"/>
    <n v="458.71000000000004"/>
    <n v="114.67749999999999"/>
    <n v="0"/>
  </r>
  <r>
    <x v="72"/>
    <n v="201"/>
    <n v="0"/>
    <n v="0"/>
    <n v="0"/>
    <n v="39.6"/>
    <n v="15"/>
    <n v="161.4"/>
    <n v="161.4"/>
    <x v="8"/>
    <n v="20"/>
    <n v="0"/>
    <n v="141.4"/>
    <n v="35.35"/>
    <n v="0"/>
  </r>
  <r>
    <x v="73"/>
    <n v="237"/>
    <n v="2"/>
    <n v="205"/>
    <n v="-22"/>
    <n v="29.62"/>
    <n v="20"/>
    <n v="-21.62"/>
    <n v="0.38"/>
    <x v="9"/>
    <n v="20"/>
    <n v="0"/>
    <n v="-39.620000000000005"/>
    <n v="-4.9050000000000002"/>
    <n v="0"/>
  </r>
  <r>
    <x v="74"/>
    <n v="7"/>
    <n v="0"/>
    <n v="0"/>
    <n v="0"/>
    <n v="0.7"/>
    <n v="2"/>
    <n v="6.3"/>
    <n v="6.3"/>
    <x v="9"/>
    <n v="0"/>
    <n v="0"/>
    <n v="6.3"/>
    <n v="1.575"/>
    <n v="0"/>
  </r>
  <r>
    <x v="75"/>
    <n v="218"/>
    <n v="15"/>
    <n v="51.05"/>
    <n v="22"/>
    <n v="37.200000000000003"/>
    <n v="21"/>
    <n v="136.75"/>
    <n v="114.75"/>
    <x v="9"/>
    <n v="20"/>
    <n v="0"/>
    <n v="131.75"/>
    <n v="23.6875"/>
    <n v="0"/>
  </r>
  <r>
    <x v="76"/>
    <n v="188"/>
    <n v="24"/>
    <n v="0"/>
    <n v="0"/>
    <n v="31.22"/>
    <n v="37"/>
    <n v="132.78"/>
    <n v="132.78"/>
    <x v="9"/>
    <n v="10"/>
    <n v="0"/>
    <n v="146.78"/>
    <n v="30.695"/>
    <n v="0"/>
  </r>
  <r>
    <x v="77"/>
    <n v="19"/>
    <n v="0"/>
    <n v="0"/>
    <n v="0"/>
    <n v="3.5"/>
    <n v="8"/>
    <n v="15.5"/>
    <n v="15.5"/>
    <x v="9"/>
    <n v="0"/>
    <n v="0"/>
    <n v="15.5"/>
    <n v="3.875"/>
    <n v="0"/>
  </r>
  <r>
    <x v="78"/>
    <n v="263"/>
    <n v="14"/>
    <n v="121.89"/>
    <n v="0"/>
    <n v="41.69"/>
    <n v="45"/>
    <n v="85.42"/>
    <n v="85.42"/>
    <x v="9"/>
    <n v="20"/>
    <n v="0"/>
    <n v="79.420000000000016"/>
    <n v="16.355"/>
    <n v="0"/>
  </r>
  <r>
    <x v="79"/>
    <n v="88"/>
    <n v="7"/>
    <n v="29.75"/>
    <n v="0"/>
    <n v="13.45"/>
    <n v="22"/>
    <n v="37.799999999999997"/>
    <n v="37.799999999999997"/>
    <x v="9"/>
    <n v="0"/>
    <n v="0"/>
    <n v="44.8"/>
    <n v="9.4499999999999993"/>
    <n v="0"/>
  </r>
  <r>
    <x v="80"/>
    <n v="260"/>
    <n v="38"/>
    <n v="0"/>
    <n v="0"/>
    <n v="26.79"/>
    <n v="32"/>
    <n v="195.21"/>
    <n v="195.21"/>
    <x v="10"/>
    <n v="20"/>
    <n v="0"/>
    <n v="213.21"/>
    <n v="61.323500000000003"/>
    <n v="0"/>
  </r>
  <r>
    <x v="81"/>
    <n v="255.5"/>
    <n v="2"/>
    <n v="122.5"/>
    <n v="0"/>
    <n v="45.67"/>
    <n v="27"/>
    <n v="85.33"/>
    <n v="85.33"/>
    <x v="10"/>
    <n v="20"/>
    <n v="0"/>
    <n v="67.33"/>
    <n v="22.865500000000001"/>
    <n v="0"/>
  </r>
  <r>
    <x v="82"/>
    <n v="215"/>
    <n v="0"/>
    <n v="0"/>
    <n v="0"/>
    <n v="34.36"/>
    <n v="20"/>
    <n v="180.64"/>
    <n v="180.64"/>
    <x v="10"/>
    <n v="20"/>
    <n v="0"/>
    <n v="160.63999999999999"/>
    <n v="56.223999999999997"/>
    <n v="0"/>
  </r>
  <r>
    <x v="83"/>
    <n v="26"/>
    <n v="0"/>
    <n v="0"/>
    <n v="0"/>
    <n v="5.05"/>
    <n v="6"/>
    <n v="20.95"/>
    <n v="20.95"/>
    <x v="10"/>
    <n v="0"/>
    <n v="0"/>
    <n v="20.95"/>
    <n v="7.3324999999999996"/>
    <n v="0"/>
  </r>
  <r>
    <x v="84"/>
    <n v="171"/>
    <n v="22"/>
    <n v="176.9"/>
    <n v="0"/>
    <n v="29.2"/>
    <n v="19"/>
    <n v="-57.1"/>
    <n v="-57.1"/>
    <x v="10"/>
    <n v="10"/>
    <n v="0"/>
    <n v="-45.100000000000009"/>
    <n v="-23.484999999999999"/>
    <n v="0"/>
  </r>
  <r>
    <x v="85"/>
    <n v="3254"/>
    <n v="520"/>
    <n v="1742.36"/>
    <n v="150"/>
    <n v="453.05"/>
    <n v="161"/>
    <n v="688.59"/>
    <n v="538.59"/>
    <x v="10"/>
    <n v="50"/>
    <n v="0"/>
    <n v="1158.5900000000001"/>
    <n v="171.00649999999999"/>
    <n v="0"/>
  </r>
  <r>
    <x v="86"/>
    <n v="304.5"/>
    <n v="8"/>
    <n v="158.69999999999999"/>
    <n v="0"/>
    <n v="52.65"/>
    <n v="40"/>
    <n v="85.15"/>
    <n v="85.15"/>
    <x v="10"/>
    <n v="20"/>
    <n v="7.3150000000000013"/>
    <n v="65.835000000000008"/>
    <n v="20.242249999999999"/>
    <n v="65.835000000000008"/>
  </r>
  <r>
    <x v="87"/>
    <n v="80"/>
    <n v="0"/>
    <n v="0"/>
    <n v="0"/>
    <n v="14.48"/>
    <n v="8"/>
    <n v="65.52"/>
    <n v="65.52"/>
    <x v="10"/>
    <n v="0"/>
    <n v="0"/>
    <n v="65.52"/>
    <n v="22.931999999999999"/>
    <n v="0"/>
  </r>
  <r>
    <x v="88"/>
    <n v="25"/>
    <n v="0"/>
    <n v="0"/>
    <n v="0"/>
    <n v="3.8"/>
    <n v="3"/>
    <n v="21.2"/>
    <n v="21.2"/>
    <x v="10"/>
    <n v="0"/>
    <n v="0"/>
    <n v="21.2"/>
    <n v="7.42"/>
    <n v="0"/>
  </r>
  <r>
    <x v="89"/>
    <n v="90"/>
    <n v="0"/>
    <n v="0"/>
    <n v="0"/>
    <n v="17.7"/>
    <n v="9"/>
    <n v="72.3"/>
    <n v="72.3"/>
    <x v="10"/>
    <n v="0"/>
    <n v="0"/>
    <n v="72.3"/>
    <n v="25.305"/>
    <n v="0"/>
  </r>
  <r>
    <x v="90"/>
    <n v="185.75"/>
    <n v="0"/>
    <n v="0"/>
    <n v="0"/>
    <n v="31.02"/>
    <n v="27"/>
    <n v="154.72999999999999"/>
    <n v="154.72999999999999"/>
    <x v="10"/>
    <n v="10"/>
    <n v="0"/>
    <n v="144.72999999999999"/>
    <n v="50.655500000000004"/>
    <n v="0"/>
  </r>
  <r>
    <x v="91"/>
    <n v="193"/>
    <n v="0"/>
    <n v="0"/>
    <n v="0"/>
    <n v="35.9"/>
    <n v="17"/>
    <n v="157.1"/>
    <n v="157.1"/>
    <x v="10"/>
    <n v="10"/>
    <n v="0"/>
    <n v="147.1"/>
    <n v="51.484999999999999"/>
    <n v="0"/>
  </r>
  <r>
    <x v="92"/>
    <n v="315"/>
    <n v="2"/>
    <n v="0"/>
    <n v="-150"/>
    <n v="58.8"/>
    <n v="27"/>
    <n v="104.2"/>
    <n v="254.2"/>
    <x v="10"/>
    <n v="20"/>
    <n v="23.62"/>
    <n v="62.579999999999984"/>
    <n v="73.703000000000003"/>
    <n v="62.579999999999984"/>
  </r>
  <r>
    <x v="93"/>
    <n v="131"/>
    <n v="20"/>
    <n v="94.67"/>
    <n v="0"/>
    <n v="16.36"/>
    <n v="19"/>
    <n v="-0.03"/>
    <n v="-0.03"/>
    <x v="10"/>
    <n v="0"/>
    <n v="0"/>
    <n v="19.97"/>
    <n v="-1.0500000000000001E-2"/>
    <n v="0"/>
  </r>
  <r>
    <x v="94"/>
    <n v="410"/>
    <n v="10"/>
    <n v="446.1"/>
    <n v="0"/>
    <n v="59.96"/>
    <n v="23"/>
    <n v="-106.06"/>
    <n v="-106.06"/>
    <x v="10"/>
    <n v="30"/>
    <n v="0"/>
    <n v="-126.06000000000003"/>
    <n v="-47.621000000000002"/>
    <n v="0"/>
  </r>
  <r>
    <x v="95"/>
    <n v="103"/>
    <n v="25"/>
    <n v="224.1"/>
    <n v="0"/>
    <n v="12.47"/>
    <n v="6"/>
    <n v="-158.57"/>
    <n v="-158.57"/>
    <x v="11"/>
    <n v="0"/>
    <n v="0"/>
    <n v="-120.21299999999999"/>
    <n v="-55.499499999999998"/>
    <n v="0"/>
  </r>
  <r>
    <x v="96"/>
    <n v="200"/>
    <n v="0"/>
    <n v="0"/>
    <n v="0"/>
    <n v="28.36"/>
    <n v="20"/>
    <n v="171.64"/>
    <n v="171.64"/>
    <x v="11"/>
    <n v="0"/>
    <n v="17.163999999999998"/>
    <n v="154.476"/>
    <n v="54.066600000000001"/>
    <n v="154.476"/>
  </r>
  <r>
    <x v="97"/>
    <n v="462"/>
    <n v="0"/>
    <n v="110.8"/>
    <n v="0"/>
    <n v="85.8"/>
    <n v="24"/>
    <n v="265.39999999999998"/>
    <n v="265.39999999999998"/>
    <x v="11"/>
    <n v="0"/>
    <n v="26.54"/>
    <n v="238.85999999999999"/>
    <n v="83.600999999999999"/>
    <n v="238.85999999999999"/>
  </r>
  <r>
    <x v="98"/>
    <n v="29"/>
    <n v="0"/>
    <n v="0"/>
    <n v="0"/>
    <n v="5.38"/>
    <n v="5"/>
    <n v="23.62"/>
    <n v="23.62"/>
    <x v="11"/>
    <n v="0"/>
    <n v="2.3620000000000001"/>
    <n v="21.258000000000003"/>
    <n v="7.4402999999999997"/>
    <n v="21.258000000000003"/>
  </r>
  <r>
    <x v="99"/>
    <n v="1213"/>
    <n v="113"/>
    <n v="1373"/>
    <n v="0"/>
    <n v="169.95"/>
    <n v="32"/>
    <n v="-442.95"/>
    <n v="-442.95"/>
    <x v="11"/>
    <n v="50"/>
    <n v="0"/>
    <n v="-341.95499999999998"/>
    <n v="-172.5325"/>
    <n v="0"/>
  </r>
  <r>
    <x v="100"/>
    <n v="130"/>
    <n v="0"/>
    <n v="100"/>
    <n v="0"/>
    <n v="6"/>
    <n v="2"/>
    <n v="24"/>
    <n v="24"/>
    <x v="11"/>
    <n v="0"/>
    <n v="2.4000000000000004"/>
    <n v="21.6"/>
    <n v="7.56"/>
    <n v="21.6"/>
  </r>
  <r>
    <x v="101"/>
    <n v="25"/>
    <n v="0"/>
    <n v="0"/>
    <n v="0"/>
    <n v="5"/>
    <n v="3"/>
    <n v="20"/>
    <n v="20"/>
    <x v="11"/>
    <n v="0"/>
    <n v="2"/>
    <n v="18"/>
    <n v="6.3"/>
    <n v="18"/>
  </r>
  <r>
    <x v="102"/>
    <n v="37"/>
    <n v="0"/>
    <n v="0"/>
    <n v="0"/>
    <n v="7.4"/>
    <n v="10"/>
    <n v="29.6"/>
    <n v="29.6"/>
    <x v="11"/>
    <n v="0"/>
    <n v="2.9600000000000004"/>
    <n v="26.64"/>
    <n v="9.3239999999999998"/>
    <n v="26.64"/>
  </r>
  <r>
    <x v="103"/>
    <n v="165"/>
    <n v="0"/>
    <n v="0"/>
    <n v="0"/>
    <n v="32.700000000000003"/>
    <n v="10"/>
    <n v="132.30000000000001"/>
    <n v="132.30000000000001"/>
    <x v="11"/>
    <n v="0"/>
    <n v="13.230000000000002"/>
    <n v="119.07000000000001"/>
    <n v="41.674500000000002"/>
    <n v="119.07000000000001"/>
  </r>
  <r>
    <x v="104"/>
    <n v="60"/>
    <n v="5"/>
    <n v="0"/>
    <n v="0"/>
    <n v="9.75"/>
    <n v="11"/>
    <n v="45.25"/>
    <n v="45.25"/>
    <x v="11"/>
    <n v="0"/>
    <n v="5.0250000000000004"/>
    <n v="45.225000000000001"/>
    <n v="14.078749999999999"/>
    <n v="45.225000000000001"/>
  </r>
  <r>
    <x v="105"/>
    <n v="5"/>
    <n v="0"/>
    <n v="0"/>
    <n v="0"/>
    <n v="1"/>
    <n v="1"/>
    <n v="4"/>
    <n v="4"/>
    <x v="11"/>
    <n v="0"/>
    <n v="0.4"/>
    <n v="3.6"/>
    <n v="1.26"/>
    <n v="3.6"/>
  </r>
  <r>
    <x v="106"/>
    <n v="88"/>
    <n v="0"/>
    <n v="0"/>
    <n v="0"/>
    <n v="14.1"/>
    <n v="13"/>
    <n v="73.900000000000006"/>
    <n v="73.900000000000006"/>
    <x v="12"/>
    <n v="0"/>
    <n v="0"/>
    <n v="73.900000000000006"/>
    <n v="18.475000000000001"/>
    <n v="0"/>
  </r>
  <r>
    <x v="107"/>
    <n v="55"/>
    <n v="0"/>
    <n v="43.9"/>
    <n v="0"/>
    <n v="9.1999999999999993"/>
    <n v="8"/>
    <n v="1.9"/>
    <n v="1.9"/>
    <x v="12"/>
    <n v="0"/>
    <n v="0"/>
    <n v="1.9000000000000021"/>
    <n v="0.47499999999999998"/>
    <n v="0"/>
  </r>
  <r>
    <x v="108"/>
    <n v="0"/>
    <n v="0"/>
    <n v="0"/>
    <n v="0"/>
    <n v="0"/>
    <n v="0"/>
    <n v="0"/>
    <n v="0"/>
    <x v="12"/>
    <n v="0"/>
    <n v="0"/>
    <n v="0"/>
    <n v="0"/>
    <n v="0"/>
  </r>
  <r>
    <x v="109"/>
    <n v="4"/>
    <n v="0"/>
    <n v="0"/>
    <n v="0"/>
    <n v="0.8"/>
    <n v="2"/>
    <n v="3.2"/>
    <n v="3.2"/>
    <x v="12"/>
    <n v="0"/>
    <n v="0"/>
    <n v="3.2"/>
    <n v="0.8"/>
    <n v="0"/>
  </r>
  <r>
    <x v="110"/>
    <n v="210"/>
    <n v="5"/>
    <n v="145.35"/>
    <n v="0"/>
    <n v="32.950000000000003"/>
    <n v="18"/>
    <n v="26.7"/>
    <n v="26.7"/>
    <x v="12"/>
    <n v="20"/>
    <n v="0"/>
    <n v="11.700000000000003"/>
    <n v="1.675"/>
    <n v="0"/>
  </r>
  <r>
    <x v="111"/>
    <n v="0"/>
    <n v="0"/>
    <n v="0"/>
    <n v="0"/>
    <n v="0"/>
    <n v="0"/>
    <n v="0"/>
    <n v="0"/>
    <x v="13"/>
    <n v="0"/>
    <m/>
    <m/>
    <m/>
    <e v="#N/A"/>
  </r>
  <r>
    <x v="112"/>
    <n v="292"/>
    <n v="10"/>
    <n v="0"/>
    <n v="0"/>
    <n v="37.1"/>
    <n v="31"/>
    <n v="244.9"/>
    <n v="244.9"/>
    <x v="14"/>
    <n v="20"/>
    <n v="0"/>
    <n v="234.9"/>
    <n v="56.225000000000001"/>
    <n v="0"/>
  </r>
  <r>
    <x v="113"/>
    <n v="686"/>
    <n v="7"/>
    <n v="34.299999999999997"/>
    <n v="0"/>
    <n v="114.51"/>
    <n v="121"/>
    <n v="530.19000000000005"/>
    <n v="530.19000000000005"/>
    <x v="14"/>
    <n v="40"/>
    <n v="0"/>
    <n v="497.19000000000005"/>
    <n v="122.5475"/>
    <n v="0"/>
  </r>
  <r>
    <x v="114"/>
    <n v="2034"/>
    <n v="10"/>
    <n v="2235.85"/>
    <n v="0"/>
    <n v="327.89"/>
    <n v="82"/>
    <n v="-539.74"/>
    <n v="-539.74"/>
    <x v="14"/>
    <n v="50"/>
    <n v="0"/>
    <n v="-579.7399999999999"/>
    <n v="-147.435"/>
    <n v="0"/>
  </r>
  <r>
    <x v="115"/>
    <n v="0"/>
    <n v="0"/>
    <n v="0"/>
    <n v="0"/>
    <n v="0"/>
    <n v="0"/>
    <n v="0"/>
    <n v="0"/>
    <x v="14"/>
    <n v="0"/>
    <n v="0"/>
    <n v="0"/>
    <n v="0"/>
    <n v="0"/>
  </r>
  <r>
    <x v="116"/>
    <n v="4"/>
    <n v="0"/>
    <n v="0"/>
    <n v="0"/>
    <n v="0.38"/>
    <n v="2"/>
    <n v="3.62"/>
    <n v="3.62"/>
    <x v="14"/>
    <n v="0"/>
    <n v="0"/>
    <n v="3.62"/>
    <n v="0.90500000000000003"/>
    <n v="0"/>
  </r>
  <r>
    <x v="117"/>
    <n v="121.7"/>
    <n v="0"/>
    <n v="82.7"/>
    <n v="0"/>
    <n v="21.04"/>
    <n v="20"/>
    <n v="17.96"/>
    <n v="17.96"/>
    <x v="14"/>
    <n v="0"/>
    <n v="0"/>
    <n v="17.96"/>
    <n v="4.49"/>
    <n v="0"/>
  </r>
  <r>
    <x v="118"/>
    <n v="455"/>
    <n v="0"/>
    <n v="97.2"/>
    <n v="0"/>
    <n v="86.8"/>
    <n v="31"/>
    <n v="271"/>
    <n v="271"/>
    <x v="15"/>
    <n v="30"/>
    <n v="24.1"/>
    <n v="216.9"/>
    <n v="43.38"/>
    <n v="216.9"/>
  </r>
  <r>
    <x v="119"/>
    <n v="79"/>
    <n v="0"/>
    <n v="0"/>
    <n v="0"/>
    <n v="12.43"/>
    <n v="20"/>
    <n v="66.569999999999993"/>
    <n v="66.569999999999993"/>
    <x v="15"/>
    <n v="0"/>
    <n v="6.657"/>
    <n v="59.912999999999997"/>
    <n v="11.9826"/>
    <n v="59.912999999999997"/>
  </r>
  <r>
    <x v="120"/>
    <n v="190.5"/>
    <n v="26"/>
    <n v="0"/>
    <n v="0"/>
    <n v="29.27"/>
    <n v="25"/>
    <n v="135.22999999999999"/>
    <n v="135.22999999999999"/>
    <x v="15"/>
    <n v="10"/>
    <n v="15.122999999999999"/>
    <n v="136.107"/>
    <n v="22.0214"/>
    <n v="136.107"/>
  </r>
  <r>
    <x v="121"/>
    <n v="439"/>
    <n v="0"/>
    <n v="0"/>
    <n v="0"/>
    <n v="69"/>
    <n v="20"/>
    <n v="370"/>
    <n v="370"/>
    <x v="15"/>
    <n v="30"/>
    <n v="34"/>
    <n v="306"/>
    <n v="61.2"/>
    <n v="306"/>
  </r>
  <r>
    <x v="122"/>
    <n v="20"/>
    <n v="0"/>
    <n v="0"/>
    <n v="0"/>
    <n v="3.22"/>
    <n v="7"/>
    <n v="16.78"/>
    <n v="16.78"/>
    <x v="15"/>
    <n v="0"/>
    <n v="1.6780000000000002"/>
    <n v="15.102000000000002"/>
    <n v="3.0204"/>
    <n v="15.102000000000002"/>
  </r>
  <r>
    <x v="123"/>
    <n v="759"/>
    <n v="35"/>
    <n v="1077.5"/>
    <n v="0"/>
    <n v="98.51"/>
    <n v="55"/>
    <n v="-452.01"/>
    <n v="-452.01"/>
    <x v="15"/>
    <n v="40"/>
    <n v="0"/>
    <n v="-411.30900000000003"/>
    <n v="-98.402000000000001"/>
    <n v="0"/>
  </r>
  <r>
    <x v="124"/>
    <n v="2274.5"/>
    <n v="126"/>
    <n v="2221.0700000000002"/>
    <n v="400"/>
    <n v="263.01"/>
    <n v="164"/>
    <n v="64.42"/>
    <n v="-335.58"/>
    <x v="15"/>
    <n v="50"/>
    <n v="0"/>
    <n v="166.37799999999984"/>
    <n v="-77.116"/>
    <n v="0"/>
  </r>
  <r>
    <x v="125"/>
    <n v="105"/>
    <n v="50"/>
    <n v="0"/>
    <n v="0"/>
    <n v="10.25"/>
    <n v="4"/>
    <n v="44.75"/>
    <n v="44.75"/>
    <x v="15"/>
    <n v="0"/>
    <n v="9.4749999999999996"/>
    <n v="85.275000000000006"/>
    <n v="7.0549999999999997"/>
    <n v="85.275000000000006"/>
  </r>
  <r>
    <x v="126"/>
    <n v="58"/>
    <n v="0"/>
    <n v="0"/>
    <n v="0"/>
    <n v="10.64"/>
    <n v="22"/>
    <n v="47.36"/>
    <n v="47.36"/>
    <x v="16"/>
    <n v="0"/>
    <n v="0"/>
    <n v="47.36"/>
    <n v="11.84"/>
    <n v="0"/>
  </r>
  <r>
    <x v="127"/>
    <n v="9"/>
    <n v="0"/>
    <n v="0"/>
    <n v="0"/>
    <n v="1.56"/>
    <n v="3"/>
    <n v="7.44"/>
    <n v="7.44"/>
    <x v="16"/>
    <n v="0"/>
    <n v="0"/>
    <n v="7.4399999999999995"/>
    <n v="1.86"/>
    <n v="0"/>
  </r>
  <r>
    <x v="128"/>
    <n v="72"/>
    <n v="0"/>
    <n v="62.15"/>
    <n v="0"/>
    <n v="9.5299999999999994"/>
    <n v="16"/>
    <n v="0.32"/>
    <n v="0.32"/>
    <x v="16"/>
    <n v="0"/>
    <n v="0"/>
    <n v="0.32000000000000206"/>
    <n v="0.08"/>
    <n v="0"/>
  </r>
  <r>
    <x v="129"/>
    <n v="400"/>
    <n v="35"/>
    <n v="371.2"/>
    <n v="0"/>
    <n v="45.84"/>
    <n v="21"/>
    <n v="-52.04"/>
    <n v="-52.04"/>
    <x v="16"/>
    <n v="20"/>
    <n v="0"/>
    <n v="-37.039999999999992"/>
    <n v="-18.010000000000002"/>
    <n v="0"/>
  </r>
  <r>
    <x v="130"/>
    <n v="0"/>
    <n v="0"/>
    <n v="0"/>
    <n v="0"/>
    <n v="0"/>
    <n v="0"/>
    <n v="0"/>
    <n v="0"/>
    <x v="17"/>
    <n v="0"/>
    <n v="0"/>
    <n v="0"/>
    <n v="0"/>
    <n v="0"/>
  </r>
  <r>
    <x v="131"/>
    <n v="70"/>
    <n v="0"/>
    <n v="0"/>
    <n v="0"/>
    <n v="13.4"/>
    <n v="5"/>
    <n v="56.6"/>
    <n v="56.6"/>
    <x v="17"/>
    <n v="0"/>
    <n v="5.66"/>
    <n v="50.940000000000005"/>
    <n v="12.734999999999999"/>
    <n v="50.940000000000005"/>
  </r>
  <r>
    <x v="132"/>
    <n v="0"/>
    <n v="0"/>
    <n v="0"/>
    <n v="0"/>
    <n v="0"/>
    <n v="0"/>
    <n v="0"/>
    <n v="0"/>
    <x v="17"/>
    <n v="0"/>
    <n v="0"/>
    <n v="0"/>
    <n v="0"/>
    <n v="0"/>
  </r>
  <r>
    <x v="133"/>
    <n v="899"/>
    <n v="27"/>
    <n v="449"/>
    <n v="0"/>
    <n v="127.66"/>
    <n v="49"/>
    <n v="295.33999999999997"/>
    <n v="295.33999999999997"/>
    <x v="17"/>
    <n v="0"/>
    <n v="32.234000000000002"/>
    <n v="290.10600000000005"/>
    <n v="65.776499999999999"/>
    <n v="290.10600000000005"/>
  </r>
  <r>
    <x v="134"/>
    <n v="215"/>
    <n v="0"/>
    <n v="0"/>
    <n v="0"/>
    <n v="38.729999999999997"/>
    <n v="34"/>
    <n v="176.27"/>
    <n v="176.27"/>
    <x v="17"/>
    <n v="0"/>
    <n v="17.627000000000002"/>
    <n v="158.643"/>
    <n v="39.66075"/>
    <n v="158.643"/>
  </r>
  <r>
    <x v="135"/>
    <n v="1123"/>
    <n v="30"/>
    <n v="850"/>
    <n v="0"/>
    <n v="112.3"/>
    <n v="37"/>
    <n v="130.69999999999999"/>
    <n v="130.69999999999999"/>
    <x v="17"/>
    <n v="0"/>
    <n v="16.07"/>
    <n v="144.63"/>
    <n v="28.657499999999999"/>
    <n v="144.63"/>
  </r>
  <r>
    <x v="136"/>
    <n v="924.6"/>
    <n v="110"/>
    <n v="0"/>
    <n v="0"/>
    <n v="154.96"/>
    <n v="107"/>
    <n v="659.64"/>
    <n v="659.64"/>
    <x v="17"/>
    <n v="0"/>
    <n v="76.963999999999999"/>
    <n v="692.67600000000004"/>
    <n v="145.66900000000001"/>
    <n v="692.67600000000004"/>
  </r>
  <r>
    <x v="137"/>
    <n v="1797"/>
    <n v="120"/>
    <n v="978.8"/>
    <n v="0"/>
    <n v="161.18"/>
    <n v="27"/>
    <n v="537.02"/>
    <n v="537.02"/>
    <x v="17"/>
    <n v="0"/>
    <n v="65.701999999999998"/>
    <n v="591.31799999999998"/>
    <n v="117.8295"/>
    <n v="591.31799999999998"/>
  </r>
  <r>
    <x v="138"/>
    <n v="535"/>
    <n v="0"/>
    <n v="0"/>
    <n v="0"/>
    <n v="45.09"/>
    <n v="21"/>
    <n v="489.91"/>
    <n v="489.91"/>
    <x v="17"/>
    <n v="0"/>
    <n v="48.991"/>
    <n v="440.91899999999998"/>
    <n v="110.22975"/>
    <n v="440.91899999999998"/>
  </r>
  <r>
    <x v="139"/>
    <n v="0"/>
    <n v="0"/>
    <n v="0"/>
    <n v="0"/>
    <n v="0"/>
    <n v="0"/>
    <n v="0"/>
    <n v="0"/>
    <x v="17"/>
    <n v="0"/>
    <m/>
    <m/>
    <m/>
    <e v="#N/A"/>
  </r>
  <r>
    <x v="140"/>
    <n v="0"/>
    <n v="0"/>
    <n v="0"/>
    <n v="0"/>
    <n v="0"/>
    <n v="0"/>
    <n v="0"/>
    <n v="0"/>
    <x v="17"/>
    <n v="0"/>
    <m/>
    <m/>
    <m/>
    <e v="#N/A"/>
  </r>
  <r>
    <x v="141"/>
    <n v="30"/>
    <n v="0"/>
    <n v="0"/>
    <n v="0"/>
    <n v="6"/>
    <n v="1"/>
    <n v="24"/>
    <n v="24"/>
    <x v="18"/>
    <n v="0"/>
    <n v="2.4000000000000004"/>
    <n v="21.6"/>
    <n v="7.56"/>
    <n v="21.6"/>
  </r>
  <r>
    <x v="142"/>
    <n v="50"/>
    <n v="0"/>
    <n v="0"/>
    <n v="0"/>
    <n v="7"/>
    <n v="3"/>
    <n v="43"/>
    <n v="43"/>
    <x v="18"/>
    <n v="0"/>
    <n v="4.3"/>
    <n v="38.700000000000003"/>
    <n v="13.545"/>
    <n v="38.700000000000003"/>
  </r>
  <r>
    <x v="143"/>
    <n v="241"/>
    <n v="11"/>
    <n v="309.27999999999997"/>
    <n v="178"/>
    <n v="31.1"/>
    <n v="37"/>
    <n v="67.62"/>
    <n v="-110.38"/>
    <x v="18"/>
    <n v="0"/>
    <n v="0"/>
    <n v="88.558000000000021"/>
    <n v="-38.633000000000003"/>
    <n v="0"/>
  </r>
  <r>
    <x v="144"/>
    <n v="0"/>
    <n v="0"/>
    <n v="0"/>
    <n v="0"/>
    <n v="0"/>
    <n v="0"/>
    <n v="0"/>
    <n v="0"/>
    <x v="18"/>
    <n v="0"/>
    <n v="0"/>
    <n v="0"/>
    <n v="0"/>
    <n v="0"/>
  </r>
  <r>
    <x v="145"/>
    <n v="1310"/>
    <n v="0"/>
    <n v="302.5"/>
    <n v="0"/>
    <n v="114.5"/>
    <n v="7"/>
    <n v="893"/>
    <n v="893"/>
    <x v="18"/>
    <n v="0"/>
    <n v="89.300000000000011"/>
    <n v="803.7"/>
    <n v="281.29500000000002"/>
    <n v="803.7"/>
  </r>
  <r>
    <x v="146"/>
    <n v="0"/>
    <n v="0"/>
    <n v="0"/>
    <n v="0"/>
    <n v="0"/>
    <n v="0"/>
    <n v="0"/>
    <n v="0"/>
    <x v="18"/>
    <n v="0"/>
    <n v="0"/>
    <n v="0"/>
    <n v="0"/>
    <n v="0"/>
  </r>
  <r>
    <x v="147"/>
    <n v="0"/>
    <n v="0"/>
    <n v="0"/>
    <n v="0"/>
    <n v="0"/>
    <n v="0"/>
    <n v="0"/>
    <n v="0"/>
    <x v="18"/>
    <n v="0"/>
    <n v="0"/>
    <n v="0"/>
    <n v="0"/>
    <n v="0"/>
  </r>
  <r>
    <x v="148"/>
    <n v="173"/>
    <n v="0"/>
    <n v="62.92"/>
    <n v="0"/>
    <n v="32.17"/>
    <n v="38"/>
    <n v="77.91"/>
    <n v="77.91"/>
    <x v="18"/>
    <n v="0"/>
    <n v="7.7910000000000004"/>
    <n v="70.119"/>
    <n v="24.541650000000001"/>
    <n v="70.119"/>
  </r>
  <r>
    <x v="149"/>
    <n v="3375"/>
    <n v="0"/>
    <n v="0"/>
    <n v="0"/>
    <n v="506.25"/>
    <n v="12"/>
    <n v="2868.75"/>
    <n v="2868.75"/>
    <x v="18"/>
    <n v="0"/>
    <n v="286.875"/>
    <n v="2581.875"/>
    <n v="903.65625"/>
    <n v="2581.875"/>
  </r>
  <r>
    <x v="150"/>
    <n v="2272"/>
    <n v="0"/>
    <n v="0"/>
    <n v="0"/>
    <n v="382.2"/>
    <n v="113"/>
    <n v="1889.8"/>
    <n v="1889.8"/>
    <x v="18"/>
    <n v="0"/>
    <n v="188.98000000000002"/>
    <n v="1700.82"/>
    <n v="595.28700000000003"/>
    <n v="1700.82"/>
  </r>
  <r>
    <x v="151"/>
    <n v="135"/>
    <n v="0"/>
    <n v="0"/>
    <n v="0"/>
    <n v="25.8"/>
    <n v="12"/>
    <n v="109.2"/>
    <n v="109.2"/>
    <x v="18"/>
    <n v="0"/>
    <n v="10.920000000000002"/>
    <n v="98.28"/>
    <n v="34.398000000000003"/>
    <n v="98.28"/>
  </r>
  <r>
    <x v="152"/>
    <n v="115"/>
    <n v="0"/>
    <n v="0"/>
    <n v="0"/>
    <n v="20"/>
    <n v="5"/>
    <n v="95"/>
    <n v="95"/>
    <x v="18"/>
    <n v="0"/>
    <n v="9.5"/>
    <n v="85.5"/>
    <n v="29.925000000000001"/>
    <n v="85.5"/>
  </r>
  <r>
    <x v="153"/>
    <n v="590"/>
    <n v="150"/>
    <n v="239"/>
    <n v="0"/>
    <n v="47"/>
    <n v="10"/>
    <n v="154"/>
    <n v="154"/>
    <x v="18"/>
    <n v="0"/>
    <n v="30.400000000000002"/>
    <n v="273.60000000000002"/>
    <n v="43.26"/>
    <n v="273.60000000000002"/>
  </r>
  <r>
    <x v="154"/>
    <n v="88"/>
    <n v="0"/>
    <n v="0"/>
    <n v="0"/>
    <n v="8.99"/>
    <n v="7"/>
    <n v="79.010000000000005"/>
    <n v="79.010000000000005"/>
    <x v="18"/>
    <n v="0"/>
    <n v="7.9010000000000007"/>
    <n v="71.109000000000009"/>
    <n v="24.88815"/>
    <n v="71.109000000000009"/>
  </r>
  <r>
    <x v="155"/>
    <n v="104"/>
    <n v="0"/>
    <n v="0"/>
    <n v="0"/>
    <n v="20.56"/>
    <n v="11"/>
    <n v="83.44"/>
    <n v="83.44"/>
    <x v="18"/>
    <n v="0"/>
    <n v="8.3439999999999994"/>
    <n v="75.096000000000004"/>
    <n v="26.2836"/>
    <n v="75.096000000000004"/>
  </r>
  <r>
    <x v="156"/>
    <n v="0"/>
    <n v="0"/>
    <n v="0"/>
    <n v="0"/>
    <n v="0"/>
    <n v="0"/>
    <n v="0"/>
    <n v="0"/>
    <x v="18"/>
    <n v="0"/>
    <m/>
    <m/>
    <m/>
    <e v="#N/A"/>
  </r>
  <r>
    <x v="157"/>
    <n v="0"/>
    <n v="0"/>
    <n v="0"/>
    <n v="0"/>
    <n v="0"/>
    <n v="0"/>
    <n v="0"/>
    <n v="0"/>
    <x v="18"/>
    <n v="0"/>
    <m/>
    <m/>
    <m/>
    <e v="#N/A"/>
  </r>
  <r>
    <x v="158"/>
    <n v="0"/>
    <n v="0"/>
    <n v="0"/>
    <n v="0"/>
    <n v="0"/>
    <n v="0"/>
    <n v="0"/>
    <n v="0"/>
    <x v="18"/>
    <n v="0"/>
    <m/>
    <m/>
    <m/>
    <e v="#N/A"/>
  </r>
  <r>
    <x v="159"/>
    <n v="0"/>
    <n v="0"/>
    <n v="0"/>
    <n v="0"/>
    <n v="0"/>
    <n v="0"/>
    <n v="0"/>
    <n v="0"/>
    <x v="18"/>
    <n v="0"/>
    <m/>
    <m/>
    <m/>
    <e v="#N/A"/>
  </r>
  <r>
    <x v="160"/>
    <n v="0"/>
    <n v="0"/>
    <n v="0"/>
    <n v="0"/>
    <n v="0"/>
    <n v="0"/>
    <n v="0"/>
    <n v="0"/>
    <x v="18"/>
    <n v="0"/>
    <m/>
    <m/>
    <m/>
    <e v="#N/A"/>
  </r>
  <r>
    <x v="161"/>
    <n v="40"/>
    <n v="10"/>
    <n v="0"/>
    <n v="0"/>
    <n v="4.0999999999999996"/>
    <n v="7"/>
    <n v="25.9"/>
    <n v="25.9"/>
    <x v="19"/>
    <n v="0"/>
    <n v="0"/>
    <n v="35.9"/>
    <n v="6.4749999999999996"/>
    <n v="0"/>
  </r>
  <r>
    <x v="162"/>
    <n v="686"/>
    <n v="70"/>
    <n v="1178.4000000000001"/>
    <n v="0"/>
    <n v="97.07"/>
    <n v="27"/>
    <n v="-659.47"/>
    <n v="-659.47"/>
    <x v="20"/>
    <n v="40"/>
    <n v="0"/>
    <n v="-629.47"/>
    <n v="-174.86750000000001"/>
    <n v="0"/>
  </r>
  <r>
    <x v="163"/>
    <n v="80"/>
    <n v="0"/>
    <n v="0"/>
    <n v="0"/>
    <n v="11.2"/>
    <n v="1"/>
    <n v="68.8"/>
    <n v="68.8"/>
    <x v="20"/>
    <n v="0"/>
    <n v="0"/>
    <n v="68.8"/>
    <n v="17.2"/>
    <n v="0"/>
  </r>
  <r>
    <x v="164"/>
    <n v="0"/>
    <n v="0"/>
    <n v="0"/>
    <n v="0"/>
    <n v="0"/>
    <n v="0"/>
    <n v="0"/>
    <n v="0"/>
    <x v="20"/>
    <n v="0"/>
    <n v="0"/>
    <n v="0"/>
    <n v="0"/>
    <n v="0"/>
  </r>
  <r>
    <x v="165"/>
    <n v="100"/>
    <n v="0"/>
    <n v="0"/>
    <n v="0"/>
    <n v="18.5"/>
    <n v="5"/>
    <n v="81.5"/>
    <n v="81.5"/>
    <x v="20"/>
    <n v="0"/>
    <n v="0"/>
    <n v="81.5"/>
    <n v="20.375"/>
    <n v="0"/>
  </r>
  <r>
    <x v="166"/>
    <n v="0"/>
    <n v="0"/>
    <n v="0"/>
    <n v="0"/>
    <n v="0"/>
    <n v="0"/>
    <n v="0"/>
    <n v="0"/>
    <x v="20"/>
    <n v="0"/>
    <n v="0"/>
    <n v="0"/>
    <n v="0"/>
    <n v="0"/>
  </r>
  <r>
    <x v="167"/>
    <n v="151"/>
    <n v="2"/>
    <n v="0"/>
    <n v="0"/>
    <n v="14.8"/>
    <n v="9"/>
    <n v="134.19999999999999"/>
    <n v="134.19999999999999"/>
    <x v="20"/>
    <n v="10"/>
    <n v="0"/>
    <n v="126.19999999999999"/>
    <n v="31.05"/>
    <n v="0"/>
  </r>
  <r>
    <x v="168"/>
    <n v="144"/>
    <n v="0"/>
    <n v="0"/>
    <n v="0"/>
    <n v="25.98"/>
    <n v="16"/>
    <n v="118.02"/>
    <n v="118.02"/>
    <x v="20"/>
    <n v="0"/>
    <n v="0"/>
    <n v="118.02"/>
    <n v="29.504999999999999"/>
    <n v="0"/>
  </r>
  <r>
    <x v="169"/>
    <n v="10"/>
    <n v="0"/>
    <n v="0"/>
    <n v="0"/>
    <n v="1.61"/>
    <n v="3"/>
    <n v="8.39"/>
    <n v="8.39"/>
    <x v="21"/>
    <n v="0"/>
    <n v="0"/>
    <n v="8.39"/>
    <n v="2.0975000000000001"/>
    <n v="0"/>
  </r>
  <r>
    <x v="170"/>
    <n v="0"/>
    <n v="0"/>
    <n v="0"/>
    <n v="0"/>
    <n v="0"/>
    <n v="0"/>
    <n v="0"/>
    <n v="0"/>
    <x v="21"/>
    <n v="0"/>
    <m/>
    <m/>
    <m/>
    <e v="#N/A"/>
  </r>
  <r>
    <x v="171"/>
    <n v="14"/>
    <n v="0"/>
    <n v="0"/>
    <n v="0"/>
    <n v="2.48"/>
    <n v="7"/>
    <n v="11.52"/>
    <n v="11.52"/>
    <x v="22"/>
    <n v="0"/>
    <n v="0"/>
    <n v="11.52"/>
    <n v="2.88"/>
    <n v="0"/>
  </r>
  <r>
    <x v="172"/>
    <n v="65"/>
    <n v="0"/>
    <n v="0"/>
    <n v="0"/>
    <n v="12.22"/>
    <n v="24"/>
    <n v="52.78"/>
    <n v="52.78"/>
    <x v="22"/>
    <n v="0"/>
    <n v="0"/>
    <n v="52.78"/>
    <n v="13.195"/>
    <n v="0"/>
  </r>
  <r>
    <x v="173"/>
    <n v="89"/>
    <n v="0"/>
    <n v="20.149999999999999"/>
    <n v="0"/>
    <n v="15.16"/>
    <n v="11"/>
    <n v="53.69"/>
    <n v="53.69"/>
    <x v="22"/>
    <n v="0"/>
    <n v="0"/>
    <n v="53.69"/>
    <n v="13.422499999999999"/>
    <n v="0"/>
  </r>
  <r>
    <x v="174"/>
    <n v="31"/>
    <n v="0"/>
    <n v="0"/>
    <n v="0"/>
    <n v="4.79"/>
    <n v="8"/>
    <n v="26.21"/>
    <n v="26.21"/>
    <x v="22"/>
    <n v="0"/>
    <n v="0"/>
    <n v="26.21"/>
    <n v="6.5525000000000002"/>
    <n v="0"/>
  </r>
  <r>
    <x v="175"/>
    <n v="0"/>
    <n v="0"/>
    <n v="0"/>
    <n v="0"/>
    <n v="0"/>
    <n v="0"/>
    <n v="0"/>
    <n v="0"/>
    <x v="22"/>
    <n v="0"/>
    <n v="0"/>
    <n v="0"/>
    <n v="0"/>
    <n v="0"/>
  </r>
  <r>
    <x v="176"/>
    <n v="134"/>
    <n v="33"/>
    <n v="77.900000000000006"/>
    <n v="0"/>
    <n v="18.93"/>
    <n v="25"/>
    <n v="4.17"/>
    <n v="4.17"/>
    <x v="22"/>
    <n v="0"/>
    <n v="0"/>
    <n v="37.169999999999995"/>
    <n v="1.0425"/>
    <n v="0"/>
  </r>
  <r>
    <x v="177"/>
    <n v="21"/>
    <n v="0"/>
    <n v="0"/>
    <n v="0"/>
    <n v="4.2"/>
    <n v="3"/>
    <n v="16.8"/>
    <n v="16.8"/>
    <x v="23"/>
    <n v="0"/>
    <n v="0"/>
    <n v="16.8"/>
    <n v="4.2"/>
    <n v="0"/>
  </r>
  <r>
    <x v="178"/>
    <n v="539"/>
    <n v="20"/>
    <n v="91.85"/>
    <n v="0"/>
    <n v="97.35"/>
    <n v="60"/>
    <n v="329.8"/>
    <n v="329.8"/>
    <x v="23"/>
    <n v="30"/>
    <n v="0"/>
    <n v="319.79999999999995"/>
    <n v="74.95"/>
    <n v="0"/>
  </r>
  <r>
    <x v="179"/>
    <n v="59"/>
    <n v="0"/>
    <n v="0"/>
    <n v="0"/>
    <n v="11.65"/>
    <n v="10"/>
    <n v="47.35"/>
    <n v="47.35"/>
    <x v="23"/>
    <n v="0"/>
    <n v="0"/>
    <n v="47.35"/>
    <n v="11.8375"/>
    <n v="0"/>
  </r>
  <r>
    <x v="180"/>
    <n v="478"/>
    <n v="0"/>
    <n v="212.66"/>
    <n v="0"/>
    <n v="89.45"/>
    <n v="34"/>
    <n v="175.89"/>
    <n v="175.89"/>
    <x v="23"/>
    <n v="30"/>
    <n v="0"/>
    <n v="145.89000000000004"/>
    <n v="36.472499999999997"/>
    <n v="0"/>
  </r>
  <r>
    <x v="181"/>
    <n v="185"/>
    <n v="5"/>
    <n v="0"/>
    <n v="0"/>
    <n v="35.549999999999997"/>
    <n v="17"/>
    <n v="144.44999999999999"/>
    <n v="144.44999999999999"/>
    <x v="23"/>
    <n v="10"/>
    <n v="0"/>
    <n v="139.44999999999999"/>
    <n v="33.612499999999997"/>
    <n v="0"/>
  </r>
  <r>
    <x v="182"/>
    <n v="617"/>
    <n v="0"/>
    <n v="22.9"/>
    <n v="0"/>
    <n v="88.15"/>
    <n v="51"/>
    <n v="505.95"/>
    <n v="505.95"/>
    <x v="24"/>
    <n v="40"/>
    <n v="0"/>
    <n v="465.95000000000005"/>
    <n v="46.594999999999999"/>
    <n v="0"/>
  </r>
  <r>
    <x v="183"/>
    <n v="40"/>
    <n v="0"/>
    <n v="0"/>
    <n v="0"/>
    <n v="8"/>
    <n v="4"/>
    <n v="32"/>
    <n v="32"/>
    <x v="24"/>
    <n v="0"/>
    <n v="0"/>
    <n v="32"/>
    <n v="3.2"/>
    <n v="0"/>
  </r>
  <r>
    <x v="184"/>
    <n v="5000"/>
    <n v="1800"/>
    <n v="1472.5"/>
    <n v="0"/>
    <n v="252.5"/>
    <n v="15"/>
    <n v="1475"/>
    <n v="1475"/>
    <x v="24"/>
    <n v="50"/>
    <n v="0"/>
    <n v="3225"/>
    <n v="142.5"/>
    <n v="0"/>
  </r>
  <r>
    <x v="185"/>
    <n v="0"/>
    <n v="0"/>
    <n v="0"/>
    <n v="0"/>
    <n v="0"/>
    <n v="0"/>
    <n v="0"/>
    <n v="0"/>
    <x v="24"/>
    <n v="0"/>
    <m/>
    <m/>
    <m/>
    <e v="#N/A"/>
  </r>
  <r>
    <x v="186"/>
    <n v="0"/>
    <n v="0"/>
    <n v="0"/>
    <n v="0"/>
    <n v="0"/>
    <n v="0"/>
    <n v="0"/>
    <n v="0"/>
    <x v="24"/>
    <n v="0"/>
    <m/>
    <m/>
    <m/>
    <e v="#N/A"/>
  </r>
  <r>
    <x v="187"/>
    <n v="0"/>
    <n v="0"/>
    <n v="0"/>
    <n v="0"/>
    <n v="0"/>
    <n v="0"/>
    <n v="0"/>
    <n v="0"/>
    <x v="24"/>
    <n v="0"/>
    <m/>
    <m/>
    <m/>
    <e v="#N/A"/>
  </r>
  <r>
    <x v="188"/>
    <n v="217"/>
    <n v="17"/>
    <n v="0"/>
    <n v="0"/>
    <n v="36.53"/>
    <n v="51"/>
    <n v="163.47"/>
    <n v="163.47"/>
    <x v="25"/>
    <n v="20"/>
    <n v="0"/>
    <n v="160.47"/>
    <n v="35.8675"/>
    <n v="0"/>
  </r>
  <r>
    <x v="189"/>
    <n v="296"/>
    <n v="0"/>
    <n v="0"/>
    <n v="0"/>
    <n v="36.159999999999997"/>
    <n v="11"/>
    <n v="259.83999999999997"/>
    <n v="259.83999999999997"/>
    <x v="25"/>
    <n v="20"/>
    <n v="0"/>
    <n v="239.84000000000003"/>
    <n v="59.96"/>
    <n v="0"/>
  </r>
  <r>
    <x v="190"/>
    <n v="1500"/>
    <n v="0"/>
    <n v="0"/>
    <n v="0"/>
    <n v="240"/>
    <n v="3"/>
    <n v="1260"/>
    <n v="1260"/>
    <x v="25"/>
    <n v="50"/>
    <n v="0"/>
    <n v="1210"/>
    <n v="302.5"/>
    <n v="0"/>
  </r>
  <r>
    <x v="191"/>
    <n v="200"/>
    <n v="0"/>
    <n v="0"/>
    <n v="0"/>
    <n v="38.5"/>
    <n v="3"/>
    <n v="161.5"/>
    <n v="161.5"/>
    <x v="25"/>
    <n v="10"/>
    <n v="0"/>
    <n v="151.5"/>
    <n v="37.875"/>
    <n v="0"/>
  </r>
  <r>
    <x v="192"/>
    <n v="35"/>
    <n v="0"/>
    <n v="0"/>
    <n v="0"/>
    <n v="4"/>
    <n v="3"/>
    <n v="31"/>
    <n v="31"/>
    <x v="25"/>
    <n v="0"/>
    <n v="0"/>
    <n v="31"/>
    <n v="7.75"/>
    <n v="0"/>
  </r>
  <r>
    <x v="193"/>
    <n v="20"/>
    <n v="0"/>
    <n v="0"/>
    <n v="0"/>
    <n v="4"/>
    <n v="1"/>
    <n v="16"/>
    <n v="16"/>
    <x v="25"/>
    <n v="0"/>
    <n v="0"/>
    <n v="16"/>
    <n v="4"/>
    <n v="0"/>
  </r>
  <r>
    <x v="194"/>
    <n v="75"/>
    <n v="0"/>
    <n v="0"/>
    <n v="0"/>
    <n v="13.44"/>
    <n v="5"/>
    <n v="61.56"/>
    <n v="61.56"/>
    <x v="25"/>
    <n v="0"/>
    <n v="0"/>
    <n v="61.56"/>
    <n v="15.39"/>
    <n v="0"/>
  </r>
  <r>
    <x v="195"/>
    <n v="156"/>
    <n v="0"/>
    <n v="91"/>
    <n v="0"/>
    <n v="22.3"/>
    <n v="27"/>
    <n v="42.7"/>
    <n v="42.7"/>
    <x v="25"/>
    <n v="10"/>
    <n v="0"/>
    <n v="32.700000000000003"/>
    <n v="8.1750000000000007"/>
    <n v="0"/>
  </r>
  <r>
    <x v="196"/>
    <n v="1500"/>
    <n v="500"/>
    <n v="1045"/>
    <n v="0"/>
    <n v="185"/>
    <n v="3"/>
    <n v="-230"/>
    <n v="-230"/>
    <x v="25"/>
    <n v="50"/>
    <n v="0"/>
    <n v="220"/>
    <n v="-70"/>
    <n v="0"/>
  </r>
  <r>
    <x v="197"/>
    <n v="0"/>
    <n v="0"/>
    <n v="0"/>
    <n v="0"/>
    <n v="0"/>
    <n v="0"/>
    <n v="0"/>
    <n v="0"/>
    <x v="25"/>
    <n v="0"/>
    <n v="0"/>
    <n v="0"/>
    <n v="0"/>
    <n v="0"/>
  </r>
  <r>
    <x v="198"/>
    <n v="0"/>
    <n v="0"/>
    <n v="0"/>
    <n v="0"/>
    <n v="0"/>
    <n v="0"/>
    <n v="0"/>
    <n v="0"/>
    <x v="25"/>
    <n v="0"/>
    <n v="0"/>
    <n v="0"/>
    <n v="0"/>
    <n v="0"/>
  </r>
  <r>
    <x v="199"/>
    <n v="600"/>
    <n v="0"/>
    <n v="233"/>
    <n v="0"/>
    <n v="107.5"/>
    <n v="7"/>
    <n v="259.5"/>
    <n v="259.5"/>
    <x v="26"/>
    <n v="0"/>
    <m/>
    <m/>
    <m/>
    <e v="#N/A"/>
  </r>
  <r>
    <x v="200"/>
    <n v="0"/>
    <n v="0"/>
    <n v="0"/>
    <n v="0"/>
    <n v="0"/>
    <n v="0"/>
    <n v="0"/>
    <n v="0"/>
    <x v="26"/>
    <n v="0"/>
    <m/>
    <m/>
    <m/>
    <e v="#N/A"/>
  </r>
  <r>
    <x v="201"/>
    <n v="500"/>
    <n v="0"/>
    <n v="0"/>
    <n v="-200"/>
    <n v="97"/>
    <n v="6"/>
    <n v="203"/>
    <n v="403"/>
    <x v="26"/>
    <n v="0"/>
    <m/>
    <m/>
    <m/>
    <e v="#N/A"/>
  </r>
  <r>
    <x v="202"/>
    <n v="0"/>
    <n v="0"/>
    <n v="0"/>
    <n v="0"/>
    <n v="0"/>
    <n v="0"/>
    <n v="0"/>
    <n v="0"/>
    <x v="26"/>
    <n v="0"/>
    <m/>
    <m/>
    <m/>
    <e v="#N/A"/>
  </r>
  <r>
    <x v="203"/>
    <n v="0"/>
    <n v="0"/>
    <n v="0"/>
    <n v="0"/>
    <n v="0"/>
    <n v="0"/>
    <n v="0"/>
    <n v="0"/>
    <x v="26"/>
    <n v="0"/>
    <m/>
    <m/>
    <m/>
    <e v="#N/A"/>
  </r>
  <r>
    <x v="204"/>
    <n v="82"/>
    <n v="0"/>
    <n v="0"/>
    <n v="0"/>
    <n v="12.3"/>
    <n v="12"/>
    <n v="69.7"/>
    <n v="69.7"/>
    <x v="26"/>
    <n v="0"/>
    <n v="6.9700000000000006"/>
    <n v="62.730000000000004"/>
    <n v="0"/>
    <n v="62.730000000000004"/>
  </r>
  <r>
    <x v="205"/>
    <n v="489.5"/>
    <n v="0"/>
    <n v="127.05"/>
    <n v="0"/>
    <n v="72.709999999999994"/>
    <n v="46"/>
    <n v="289.74"/>
    <n v="289.74"/>
    <x v="26"/>
    <n v="0"/>
    <n v="28.974000000000004"/>
    <n v="260.76600000000002"/>
    <n v="0"/>
    <n v="260.76600000000002"/>
  </r>
  <r>
    <x v="206"/>
    <n v="315.5"/>
    <n v="0"/>
    <n v="0"/>
    <n v="0"/>
    <n v="37.909999999999997"/>
    <n v="23"/>
    <n v="277.58999999999997"/>
    <n v="277.58999999999997"/>
    <x v="26"/>
    <n v="0"/>
    <n v="27.759000000000004"/>
    <n v="249.83100000000005"/>
    <n v="0"/>
    <n v="249.83100000000005"/>
  </r>
  <r>
    <x v="207"/>
    <n v="254"/>
    <n v="35"/>
    <n v="74.400000000000006"/>
    <n v="0"/>
    <n v="39.14"/>
    <n v="31"/>
    <n v="105.46"/>
    <n v="105.46"/>
    <x v="26"/>
    <n v="0"/>
    <n v="14.045999999999999"/>
    <n v="126.41399999999999"/>
    <n v="0"/>
    <n v="126.41399999999999"/>
  </r>
  <r>
    <x v="208"/>
    <n v="156"/>
    <n v="0"/>
    <n v="0"/>
    <n v="0"/>
    <n v="28.59"/>
    <n v="22"/>
    <n v="127.41"/>
    <n v="127.41"/>
    <x v="26"/>
    <n v="0"/>
    <n v="12.741"/>
    <n v="114.669"/>
    <n v="0"/>
    <n v="114.669"/>
  </r>
  <r>
    <x v="209"/>
    <n v="1325"/>
    <n v="0"/>
    <n v="1606.06"/>
    <n v="385"/>
    <n v="247.22"/>
    <n v="64"/>
    <n v="-143.28"/>
    <n v="-528.28"/>
    <x v="26"/>
    <n v="10"/>
    <n v="0"/>
    <n v="-99.451999999999998"/>
    <n v="0"/>
    <n v="0"/>
  </r>
  <r>
    <x v="210"/>
    <n v="0"/>
    <n v="0"/>
    <n v="0"/>
    <n v="0"/>
    <n v="0"/>
    <n v="0"/>
    <n v="0"/>
    <n v="0"/>
    <x v="26"/>
    <n v="0"/>
    <n v="0"/>
    <n v="0"/>
    <n v="0"/>
    <n v="0"/>
  </r>
  <r>
    <x v="211"/>
    <n v="1197"/>
    <n v="0"/>
    <n v="0"/>
    <n v="0"/>
    <n v="180.53"/>
    <n v="30"/>
    <n v="1016.47"/>
    <n v="1016.47"/>
    <x v="26"/>
    <n v="0"/>
    <n v="101.64700000000001"/>
    <n v="914.82300000000009"/>
    <n v="0"/>
    <n v="914.82300000000009"/>
  </r>
  <r>
    <x v="212"/>
    <n v="626.70000000000005"/>
    <n v="25"/>
    <n v="0"/>
    <n v="0"/>
    <n v="116.41"/>
    <n v="80"/>
    <n v="485.29"/>
    <n v="485.29"/>
    <x v="26"/>
    <n v="40"/>
    <n v="0"/>
    <n v="470.29000000000008"/>
    <n v="0"/>
    <n v="0"/>
  </r>
  <r>
    <x v="213"/>
    <n v="1879"/>
    <n v="10"/>
    <n v="713.7"/>
    <n v="0"/>
    <n v="308.85000000000002"/>
    <n v="28"/>
    <n v="846.45"/>
    <n v="846.45"/>
    <x v="26"/>
    <n v="0"/>
    <n v="0"/>
    <n v="856.44999999999993"/>
    <n v="0"/>
    <n v="0"/>
  </r>
  <r>
    <x v="214"/>
    <n v="391"/>
    <n v="0"/>
    <n v="238"/>
    <n v="0"/>
    <n v="60.75"/>
    <n v="21"/>
    <n v="92.25"/>
    <n v="92.25"/>
    <x v="26"/>
    <n v="0"/>
    <n v="23.0625"/>
    <n v="69.1875"/>
    <n v="0"/>
    <n v="83.025000000000006"/>
  </r>
  <r>
    <x v="215"/>
    <n v="126"/>
    <n v="68"/>
    <n v="0"/>
    <n v="0"/>
    <n v="11.06"/>
    <n v="18"/>
    <n v="46.94"/>
    <n v="46.94"/>
    <x v="26"/>
    <n v="0"/>
    <n v="11.494"/>
    <n v="103.446"/>
    <n v="0"/>
    <n v="103.446"/>
  </r>
  <r>
    <x v="216"/>
    <n v="135"/>
    <n v="15"/>
    <n v="0"/>
    <n v="0"/>
    <n v="16.8"/>
    <n v="19"/>
    <n v="103.2"/>
    <n v="103.2"/>
    <x v="26"/>
    <n v="0"/>
    <n v="11.82"/>
    <n v="106.38000000000001"/>
    <n v="0"/>
    <n v="106.38000000000001"/>
  </r>
  <r>
    <x v="217"/>
    <n v="8"/>
    <n v="0"/>
    <n v="0"/>
    <n v="0"/>
    <n v="1.34"/>
    <n v="4"/>
    <n v="6.66"/>
    <n v="6.66"/>
    <x v="26"/>
    <n v="0"/>
    <n v="0.66600000000000004"/>
    <n v="5.9940000000000007"/>
    <n v="0"/>
    <n v="5.9940000000000007"/>
  </r>
  <r>
    <x v="218"/>
    <n v="0"/>
    <n v="0"/>
    <n v="0"/>
    <n v="0"/>
    <n v="0"/>
    <n v="0"/>
    <n v="0"/>
    <n v="0"/>
    <x v="26"/>
    <n v="0"/>
    <n v="0"/>
    <n v="0"/>
    <n v="0"/>
    <n v="0"/>
  </r>
  <r>
    <x v="219"/>
    <n v="103"/>
    <n v="0"/>
    <n v="0"/>
    <n v="0"/>
    <n v="15.56"/>
    <n v="17"/>
    <n v="87.44"/>
    <n v="87.44"/>
    <x v="26"/>
    <n v="0"/>
    <n v="8.7439999999999998"/>
    <n v="78.695999999999998"/>
    <n v="0"/>
    <n v="78.695999999999998"/>
  </r>
  <r>
    <x v="220"/>
    <n v="165"/>
    <n v="25"/>
    <n v="18.7"/>
    <n v="0"/>
    <n v="22.1"/>
    <n v="6"/>
    <n v="99.2"/>
    <n v="99.2"/>
    <x v="26"/>
    <n v="0"/>
    <n v="12.420000000000002"/>
    <n v="111.78000000000002"/>
    <n v="0"/>
    <n v="111.78000000000002"/>
  </r>
  <r>
    <x v="221"/>
    <n v="323"/>
    <n v="0"/>
    <n v="116.2"/>
    <n v="0"/>
    <n v="54.72"/>
    <n v="24"/>
    <n v="152.08000000000001"/>
    <n v="152.08000000000001"/>
    <x v="26"/>
    <n v="0"/>
    <n v="15.208000000000002"/>
    <n v="136.87200000000001"/>
    <n v="0"/>
    <n v="136.87200000000001"/>
  </r>
  <r>
    <x v="222"/>
    <n v="177"/>
    <n v="0"/>
    <n v="0"/>
    <n v="0"/>
    <n v="31.95"/>
    <n v="23"/>
    <n v="145.05000000000001"/>
    <n v="145.05000000000001"/>
    <x v="26"/>
    <n v="0"/>
    <n v="14.505000000000003"/>
    <n v="130.54500000000002"/>
    <n v="0"/>
    <n v="130.54500000000002"/>
  </r>
  <r>
    <x v="223"/>
    <n v="157"/>
    <n v="0"/>
    <n v="0"/>
    <n v="0"/>
    <n v="23.26"/>
    <n v="16"/>
    <n v="133.74"/>
    <n v="133.74"/>
    <x v="26"/>
    <n v="0"/>
    <n v="13.374000000000002"/>
    <n v="120.36600000000001"/>
    <n v="0"/>
    <n v="120.36600000000001"/>
  </r>
  <r>
    <x v="224"/>
    <n v="344"/>
    <n v="52"/>
    <n v="349.7"/>
    <n v="0"/>
    <n v="39.25"/>
    <n v="12"/>
    <n v="-96.95"/>
    <n v="-96.95"/>
    <x v="26"/>
    <n v="0"/>
    <n v="0"/>
    <n v="-40.454999999999991"/>
    <n v="0"/>
    <n v="0"/>
  </r>
  <r>
    <x v="225"/>
    <n v="33"/>
    <n v="5"/>
    <n v="64.14"/>
    <n v="0"/>
    <n v="5.09"/>
    <n v="9"/>
    <n v="-41.23"/>
    <n v="-41.23"/>
    <x v="26"/>
    <n v="0"/>
    <n v="0"/>
    <n v="-32.607000000000006"/>
    <n v="0"/>
    <n v="0"/>
  </r>
  <r>
    <x v="226"/>
    <n v="913"/>
    <n v="23"/>
    <n v="1300"/>
    <n v="0"/>
    <n v="133.6"/>
    <n v="19"/>
    <n v="-543.6"/>
    <n v="-543.6"/>
    <x v="26"/>
    <n v="0"/>
    <n v="0"/>
    <n v="-468.54"/>
    <n v="0"/>
    <n v="0"/>
  </r>
  <r>
    <x v="227"/>
    <n v="2069"/>
    <n v="281"/>
    <n v="0"/>
    <n v="0"/>
    <n v="228.57"/>
    <n v="50"/>
    <n v="1559.43"/>
    <n v="1559.43"/>
    <x v="26"/>
    <n v="0"/>
    <n v="184.04300000000001"/>
    <n v="1656.3870000000002"/>
    <n v="0"/>
    <n v="1656.3870000000002"/>
  </r>
  <r>
    <x v="228"/>
    <n v="37"/>
    <n v="0"/>
    <n v="0"/>
    <n v="0"/>
    <n v="6.5"/>
    <n v="5"/>
    <n v="30.5"/>
    <n v="30.5"/>
    <x v="27"/>
    <n v="20"/>
    <n v="1.05"/>
    <n v="9.4500000000000011"/>
    <n v="2.3624999999999998"/>
    <n v="9.4500000000000011"/>
  </r>
  <r>
    <x v="229"/>
    <n v="54"/>
    <n v="3"/>
    <n v="0"/>
    <n v="0"/>
    <n v="9.9"/>
    <n v="14"/>
    <n v="41.1"/>
    <n v="41.1"/>
    <x v="27"/>
    <n v="20"/>
    <n v="2.41"/>
    <n v="21.69"/>
    <n v="4.6725000000000003"/>
    <n v="21.69"/>
  </r>
  <r>
    <x v="230"/>
    <n v="89"/>
    <n v="0"/>
    <n v="45.8"/>
    <n v="0"/>
    <n v="15.63"/>
    <n v="10"/>
    <n v="27.57"/>
    <n v="27.57"/>
    <x v="27"/>
    <n v="20"/>
    <n v="0.75700000000000012"/>
    <n v="6.8130000000000006"/>
    <n v="1.7032499999999999"/>
    <n v="6.8130000000000006"/>
  </r>
  <r>
    <x v="231"/>
    <n v="0"/>
    <n v="0"/>
    <n v="0"/>
    <n v="0"/>
    <n v="0"/>
    <n v="0"/>
    <n v="0"/>
    <n v="0"/>
    <x v="27"/>
    <n v="0"/>
    <m/>
    <m/>
    <m/>
    <e v="#N/A"/>
  </r>
  <r>
    <x v="232"/>
    <n v="30"/>
    <n v="0"/>
    <n v="0"/>
    <n v="0"/>
    <n v="5.55"/>
    <n v="3"/>
    <n v="24.45"/>
    <n v="24.45"/>
    <x v="27"/>
    <n v="20"/>
    <n v="0.44499999999999995"/>
    <n v="4.0049999999999999"/>
    <n v="1.00125"/>
    <n v="4.0049999999999999"/>
  </r>
  <r>
    <x v="233"/>
    <n v="77"/>
    <n v="25"/>
    <n v="0"/>
    <n v="0"/>
    <n v="9.0500000000000007"/>
    <n v="11"/>
    <n v="42.95"/>
    <n v="42.95"/>
    <x v="27"/>
    <n v="20"/>
    <n v="4.7950000000000008"/>
    <n v="43.155000000000001"/>
    <n v="4.5387500000000003"/>
    <n v="43.155000000000001"/>
  </r>
  <r>
    <x v="234"/>
    <n v="111"/>
    <n v="0"/>
    <n v="0"/>
    <n v="0"/>
    <n v="18.100000000000001"/>
    <n v="21"/>
    <n v="92.9"/>
    <n v="92.9"/>
    <x v="27"/>
    <n v="20"/>
    <n v="7.2900000000000009"/>
    <n v="65.610000000000014"/>
    <n v="16.4025"/>
    <n v="65.610000000000014"/>
  </r>
  <r>
    <x v="235"/>
    <n v="372"/>
    <n v="10"/>
    <n v="328.4"/>
    <n v="202"/>
    <n v="72.099999999999994"/>
    <n v="19"/>
    <n v="163.5"/>
    <n v="-38.5"/>
    <x v="27"/>
    <n v="20"/>
    <n v="0"/>
    <n v="158.35000000000002"/>
    <n v="-14.625"/>
    <n v="0"/>
  </r>
  <r>
    <x v="236"/>
    <n v="99"/>
    <n v="0"/>
    <n v="0"/>
    <n v="0"/>
    <n v="18.100000000000001"/>
    <n v="14"/>
    <n v="80.900000000000006"/>
    <n v="80.900000000000006"/>
    <x v="27"/>
    <n v="20"/>
    <n v="6.0900000000000007"/>
    <n v="54.810000000000009"/>
    <n v="13.702500000000001"/>
    <n v="54.810000000000009"/>
  </r>
  <r>
    <x v="237"/>
    <n v="58"/>
    <n v="0"/>
    <n v="0"/>
    <n v="0"/>
    <n v="6.47"/>
    <n v="14"/>
    <n v="51.53"/>
    <n v="51.53"/>
    <x v="27"/>
    <n v="20"/>
    <n v="3.1530000000000005"/>
    <n v="28.377000000000002"/>
    <n v="7.0942499999999997"/>
    <n v="28.377000000000002"/>
  </r>
  <r>
    <x v="238"/>
    <n v="64"/>
    <n v="0"/>
    <n v="0"/>
    <n v="0"/>
    <n v="12.14"/>
    <n v="13"/>
    <n v="51.86"/>
    <n v="51.86"/>
    <x v="27"/>
    <n v="20"/>
    <n v="3.1859999999999999"/>
    <n v="28.673999999999999"/>
    <n v="7.1684999999999999"/>
    <n v="28.673999999999999"/>
  </r>
  <r>
    <x v="239"/>
    <n v="0"/>
    <n v="0"/>
    <n v="0"/>
    <n v="0"/>
    <n v="0"/>
    <n v="0"/>
    <n v="0"/>
    <n v="0"/>
    <x v="27"/>
    <n v="0"/>
    <m/>
    <m/>
    <m/>
    <e v="#N/A"/>
  </r>
  <r>
    <x v="240"/>
    <n v="0"/>
    <n v="0"/>
    <n v="0"/>
    <n v="0"/>
    <n v="0"/>
    <n v="0"/>
    <n v="0"/>
    <n v="0"/>
    <x v="27"/>
    <n v="0"/>
    <m/>
    <m/>
    <m/>
    <e v="#N/A"/>
  </r>
  <r>
    <x v="241"/>
    <n v="0"/>
    <n v="0"/>
    <n v="0"/>
    <n v="0"/>
    <n v="0"/>
    <n v="0"/>
    <n v="0"/>
    <n v="0"/>
    <x v="27"/>
    <n v="0"/>
    <m/>
    <m/>
    <m/>
    <e v="#N/A"/>
  </r>
  <r>
    <x v="242"/>
    <n v="1378"/>
    <n v="30"/>
    <n v="2519.5"/>
    <n v="0"/>
    <n v="189.15"/>
    <n v="25"/>
    <n v="-1360.65"/>
    <n v="-1360.65"/>
    <x v="27"/>
    <n v="20"/>
    <n v="0"/>
    <n v="-1215.585"/>
    <n v="-345.16250000000002"/>
    <n v="0"/>
  </r>
  <r>
    <x v="243"/>
    <n v="0"/>
    <n v="0"/>
    <n v="0"/>
    <n v="0"/>
    <n v="0"/>
    <n v="0"/>
    <n v="0"/>
    <n v="0"/>
    <x v="27"/>
    <n v="0"/>
    <m/>
    <m/>
    <m/>
    <e v="#N/A"/>
  </r>
  <r>
    <x v="244"/>
    <n v="38.5"/>
    <n v="0"/>
    <n v="97.16"/>
    <n v="0"/>
    <n v="6.31"/>
    <n v="14"/>
    <n v="-64.97"/>
    <n v="-64.97"/>
    <x v="27"/>
    <n v="20"/>
    <n v="0"/>
    <n v="-76.472999999999999"/>
    <n v="-21.2425"/>
    <n v="0"/>
  </r>
  <r>
    <x v="245"/>
    <n v="29"/>
    <n v="0"/>
    <n v="0"/>
    <n v="0"/>
    <n v="4.6500000000000004"/>
    <n v="5"/>
    <n v="24.35"/>
    <n v="24.35"/>
    <x v="27"/>
    <n v="20"/>
    <n v="0.43500000000000016"/>
    <n v="3.9150000000000014"/>
    <n v="0.97875000000000001"/>
    <n v="3.9150000000000014"/>
  </r>
  <r>
    <x v="246"/>
    <n v="328"/>
    <n v="0"/>
    <n v="388.7"/>
    <n v="0"/>
    <n v="50.4"/>
    <n v="21"/>
    <n v="-111.1"/>
    <n v="-111.1"/>
    <x v="27"/>
    <n v="20"/>
    <n v="0"/>
    <n v="-117.99"/>
    <n v="-32.774999999999999"/>
    <n v="0"/>
  </r>
  <r>
    <x v="247"/>
    <n v="422.5"/>
    <n v="50"/>
    <n v="300.54000000000002"/>
    <n v="0"/>
    <n v="61.04"/>
    <n v="15"/>
    <n v="10.92"/>
    <n v="10.92"/>
    <x v="27"/>
    <n v="20"/>
    <n v="4.0919999999999979"/>
    <n v="36.827999999999982"/>
    <n v="-3.2930000000000001"/>
    <n v="36.827999999999982"/>
  </r>
  <r>
    <x v="248"/>
    <n v="323"/>
    <n v="0"/>
    <n v="0"/>
    <n v="0"/>
    <n v="58.15"/>
    <n v="12"/>
    <n v="264.85000000000002"/>
    <n v="264.85000000000002"/>
    <x v="28"/>
    <n v="20"/>
    <n v="0"/>
    <n v="244.85000000000002"/>
    <n v="24.484999999999999"/>
    <n v="0"/>
  </r>
  <r>
    <x v="249"/>
    <n v="4833.1000000000004"/>
    <n v="0"/>
    <n v="1717.05"/>
    <n v="0"/>
    <n v="803.26"/>
    <n v="59"/>
    <n v="2312.79"/>
    <n v="2312.79"/>
    <x v="29"/>
    <n v="0"/>
    <n v="0"/>
    <n v="2312.79"/>
    <n v="0"/>
    <n v="0"/>
  </r>
  <r>
    <x v="250"/>
    <n v="1086"/>
    <n v="52"/>
    <n v="0"/>
    <n v="0"/>
    <n v="195.66"/>
    <n v="60"/>
    <n v="838.34"/>
    <n v="838.34"/>
    <x v="30"/>
    <n v="0"/>
    <n v="89.034000000000006"/>
    <n v="801.30600000000004"/>
    <n v="74.930599999999998"/>
    <n v="801.30600000000004"/>
  </r>
  <r>
    <x v="251"/>
    <n v="0"/>
    <n v="0"/>
    <n v="0"/>
    <n v="0"/>
    <n v="0"/>
    <n v="0"/>
    <n v="0"/>
    <n v="0"/>
    <x v="30"/>
    <n v="0"/>
    <m/>
    <m/>
    <m/>
    <e v="#N/A"/>
  </r>
  <r>
    <x v="252"/>
    <n v="0"/>
    <n v="0"/>
    <n v="0"/>
    <n v="0"/>
    <n v="0"/>
    <n v="0"/>
    <n v="0"/>
    <n v="0"/>
    <x v="31"/>
    <n v="0"/>
    <m/>
    <m/>
    <m/>
    <e v="#N/A"/>
  </r>
  <r>
    <x v="253"/>
    <n v="0"/>
    <n v="0"/>
    <n v="0"/>
    <n v="0"/>
    <n v="0"/>
    <n v="0"/>
    <n v="0"/>
    <n v="0"/>
    <x v="31"/>
    <n v="0"/>
    <m/>
    <m/>
    <m/>
    <e v="#N/A"/>
  </r>
  <r>
    <x v="254"/>
    <n v="240"/>
    <n v="50"/>
    <n v="97.75"/>
    <n v="0"/>
    <n v="26.6"/>
    <n v="15"/>
    <n v="65.650000000000006"/>
    <n v="65.650000000000006"/>
    <x v="31"/>
    <n v="0"/>
    <n v="11.565000000000001"/>
    <n v="104.08500000000001"/>
    <n v="5.4085000000000001"/>
    <n v="104.08500000000001"/>
  </r>
  <r>
    <x v="255"/>
    <n v="98"/>
    <n v="5"/>
    <n v="9.8000000000000007"/>
    <n v="0"/>
    <n v="17.71"/>
    <n v="20"/>
    <n v="65.489999999999995"/>
    <n v="65.489999999999995"/>
    <x v="31"/>
    <n v="0"/>
    <n v="7.0490000000000013"/>
    <n v="63.44100000000001"/>
    <n v="5.8441000000000001"/>
    <n v="63.44100000000001"/>
  </r>
  <r>
    <x v="256"/>
    <n v="0"/>
    <n v="0"/>
    <n v="0"/>
    <n v="0"/>
    <n v="0"/>
    <n v="0"/>
    <n v="0"/>
    <n v="0"/>
    <x v="31"/>
    <n v="0"/>
    <m/>
    <m/>
    <m/>
    <e v="#N/A"/>
  </r>
  <r>
    <x v="257"/>
    <n v="107"/>
    <n v="47"/>
    <n v="0"/>
    <n v="0"/>
    <n v="11.4"/>
    <n v="11"/>
    <n v="48.6"/>
    <n v="48.6"/>
    <x v="31"/>
    <n v="0"/>
    <n v="9.56"/>
    <n v="86.039999999999992"/>
    <n v="3.9039999999999999"/>
    <n v="86.039999999999992"/>
  </r>
  <r>
    <x v="258"/>
    <n v="463"/>
    <n v="18"/>
    <n v="0"/>
    <n v="0"/>
    <n v="82.23"/>
    <n v="58"/>
    <n v="362.77"/>
    <n v="362.77"/>
    <x v="31"/>
    <n v="0"/>
    <n v="38.076999999999998"/>
    <n v="342.69299999999998"/>
    <n v="32.469299999999997"/>
    <n v="342.69299999999998"/>
  </r>
  <r>
    <x v="259"/>
    <n v="298"/>
    <n v="15"/>
    <n v="0"/>
    <n v="0"/>
    <n v="52.46"/>
    <n v="48"/>
    <n v="230.54"/>
    <n v="230.54"/>
    <x v="31"/>
    <n v="0"/>
    <n v="24.554000000000002"/>
    <n v="220.98599999999999"/>
    <n v="20.598600000000001"/>
    <n v="220.98599999999999"/>
  </r>
  <r>
    <x v="260"/>
    <n v="164"/>
    <n v="0"/>
    <n v="0"/>
    <n v="0"/>
    <n v="28.35"/>
    <n v="18"/>
    <n v="135.65"/>
    <n v="135.65"/>
    <x v="32"/>
    <n v="0"/>
    <n v="0"/>
    <n v="122.08500000000001"/>
    <n v="33.912500000000001"/>
    <n v="122.08500000000001"/>
  </r>
  <r>
    <x v="261"/>
    <n v="184.5"/>
    <n v="34"/>
    <n v="30.62"/>
    <n v="0"/>
    <n v="26.93"/>
    <n v="29"/>
    <n v="92.95"/>
    <n v="92.95"/>
    <x v="32"/>
    <n v="0"/>
    <n v="0"/>
    <n v="114.255"/>
    <n v="23.237500000000001"/>
    <n v="114.255"/>
  </r>
  <r>
    <x v="262"/>
    <n v="40"/>
    <n v="0"/>
    <n v="17.399999999999999"/>
    <n v="0"/>
    <n v="5.95"/>
    <n v="7"/>
    <n v="16.649999999999999"/>
    <n v="16.649999999999999"/>
    <x v="32"/>
    <n v="0"/>
    <n v="0"/>
    <n v="14.985000000000003"/>
    <n v="4.1624999999999996"/>
    <n v="14.985000000000003"/>
  </r>
  <r>
    <x v="263"/>
    <n v="145"/>
    <n v="0"/>
    <n v="0"/>
    <n v="0"/>
    <n v="28.7"/>
    <n v="5"/>
    <n v="116.3"/>
    <n v="116.3"/>
    <x v="32"/>
    <n v="0"/>
    <n v="0"/>
    <n v="104.67"/>
    <n v="29.074999999999999"/>
    <n v="104.67"/>
  </r>
  <r>
    <x v="264"/>
    <n v="66"/>
    <n v="0"/>
    <n v="0"/>
    <n v="0"/>
    <n v="11.46"/>
    <n v="4"/>
    <n v="54.54"/>
    <n v="54.54"/>
    <x v="32"/>
    <n v="0"/>
    <n v="0"/>
    <n v="49.085999999999999"/>
    <n v="13.635"/>
    <n v="49.085999999999999"/>
  </r>
  <r>
    <x v="265"/>
    <n v="253"/>
    <n v="5"/>
    <n v="0"/>
    <n v="0"/>
    <n v="46.09"/>
    <n v="35"/>
    <n v="201.91"/>
    <n v="201.91"/>
    <x v="32"/>
    <n v="25"/>
    <n v="18.190999999999999"/>
    <n v="163.71899999999999"/>
    <n v="39.679749999999999"/>
    <n v="163.71899999999999"/>
  </r>
  <r>
    <x v="266"/>
    <n v="272"/>
    <n v="0"/>
    <n v="0"/>
    <n v="0"/>
    <n v="39.25"/>
    <n v="18"/>
    <n v="232.75"/>
    <n v="232.75"/>
    <x v="32"/>
    <n v="25"/>
    <n v="20.775000000000002"/>
    <n v="186.97499999999999"/>
    <n v="46.743749999999999"/>
    <n v="186.97499999999999"/>
  </r>
  <r>
    <x v="267"/>
    <n v="111.5"/>
    <n v="0"/>
    <n v="33.200000000000003"/>
    <n v="0"/>
    <n v="13.77"/>
    <n v="25"/>
    <n v="64.53"/>
    <n v="64.53"/>
    <x v="32"/>
    <n v="0"/>
    <n v="0"/>
    <n v="58.077000000000005"/>
    <n v="16.1325"/>
    <n v="58.077000000000005"/>
  </r>
  <r>
    <x v="268"/>
    <n v="234"/>
    <n v="0"/>
    <n v="43.06"/>
    <n v="0"/>
    <n v="32.159999999999997"/>
    <n v="47"/>
    <n v="158.78"/>
    <n v="158.78"/>
    <x v="32"/>
    <n v="0"/>
    <n v="0"/>
    <n v="142.90200000000002"/>
    <n v="39.695"/>
    <n v="142.90200000000002"/>
  </r>
  <r>
    <x v="269"/>
    <n v="215.8"/>
    <n v="8"/>
    <n v="0"/>
    <n v="0"/>
    <n v="35.86"/>
    <n v="50"/>
    <n v="171.94"/>
    <n v="171.94"/>
    <x v="32"/>
    <n v="0"/>
    <n v="0"/>
    <n v="161.946"/>
    <n v="42.984999999999999"/>
    <n v="161.946"/>
  </r>
  <r>
    <x v="270"/>
    <n v="207"/>
    <n v="0"/>
    <n v="65.14"/>
    <n v="0"/>
    <n v="38.97"/>
    <n v="45"/>
    <n v="102.89"/>
    <n v="102.89"/>
    <x v="32"/>
    <n v="0"/>
    <n v="0"/>
    <n v="92.601000000000013"/>
    <n v="25.7225"/>
    <n v="92.601000000000013"/>
  </r>
  <r>
    <x v="271"/>
    <n v="176.44"/>
    <n v="26"/>
    <n v="25.26"/>
    <n v="0"/>
    <n v="26.15"/>
    <n v="38"/>
    <n v="99.03"/>
    <n v="99.03"/>
    <x v="32"/>
    <n v="0"/>
    <n v="0"/>
    <n v="112.527"/>
    <n v="24.7575"/>
    <n v="112.527"/>
  </r>
  <r>
    <x v="272"/>
    <n v="45"/>
    <n v="5"/>
    <n v="57.05"/>
    <n v="0"/>
    <n v="6.6"/>
    <n v="15"/>
    <n v="-23.65"/>
    <n v="-23.65"/>
    <x v="32"/>
    <n v="0"/>
    <n v="0"/>
    <n v="-16.785"/>
    <n v="-5.9124999999999996"/>
    <n v="0"/>
  </r>
  <r>
    <x v="273"/>
    <n v="0"/>
    <n v="0"/>
    <n v="0"/>
    <n v="0"/>
    <n v="0"/>
    <n v="0"/>
    <n v="0"/>
    <n v="0"/>
    <x v="32"/>
    <n v="0"/>
    <n v="0"/>
    <n v="0"/>
    <n v="0"/>
    <n v="0"/>
  </r>
  <r>
    <x v="274"/>
    <n v="82"/>
    <n v="0"/>
    <n v="100"/>
    <n v="0"/>
    <n v="11.9"/>
    <n v="9"/>
    <n v="-29.9"/>
    <n v="-29.9"/>
    <x v="32"/>
    <n v="0"/>
    <n v="0"/>
    <n v="-26.91"/>
    <n v="-7.4749999999999996"/>
    <n v="0"/>
  </r>
  <r>
    <x v="275"/>
    <n v="142.5"/>
    <n v="20"/>
    <n v="82.49"/>
    <n v="0"/>
    <n v="14.1"/>
    <n v="23"/>
    <n v="25.91"/>
    <n v="25.91"/>
    <x v="32"/>
    <n v="0"/>
    <n v="0"/>
    <n v="41.319000000000003"/>
    <n v="6.4775"/>
    <n v="41.319000000000003"/>
  </r>
  <r>
    <x v="276"/>
    <n v="0"/>
    <n v="0"/>
    <n v="0"/>
    <n v="0"/>
    <n v="0"/>
    <n v="0"/>
    <n v="0"/>
    <n v="0"/>
    <x v="32"/>
    <n v="0"/>
    <n v="0"/>
    <n v="0"/>
    <n v="0"/>
    <n v="0"/>
  </r>
  <r>
    <x v="277"/>
    <n v="0"/>
    <n v="0"/>
    <n v="0"/>
    <n v="0"/>
    <n v="0"/>
    <n v="0"/>
    <n v="0"/>
    <n v="0"/>
    <x v="32"/>
    <n v="0"/>
    <n v="0"/>
    <n v="0"/>
    <n v="0"/>
    <n v="0"/>
  </r>
  <r>
    <x v="278"/>
    <n v="359.5"/>
    <n v="5"/>
    <n v="0"/>
    <n v="0"/>
    <n v="60.55"/>
    <n v="38"/>
    <n v="293.95"/>
    <n v="293.95"/>
    <x v="32"/>
    <n v="25"/>
    <n v="27.395"/>
    <n v="246.55500000000001"/>
    <n v="60.388750000000002"/>
    <n v="246.55500000000001"/>
  </r>
  <r>
    <x v="279"/>
    <n v="0"/>
    <n v="0"/>
    <n v="0"/>
    <n v="0"/>
    <n v="0"/>
    <n v="0"/>
    <n v="0"/>
    <n v="0"/>
    <x v="32"/>
    <n v="0"/>
    <n v="0"/>
    <n v="0"/>
    <n v="0"/>
    <n v="0"/>
  </r>
  <r>
    <x v="280"/>
    <n v="89"/>
    <n v="0"/>
    <n v="6"/>
    <n v="0"/>
    <n v="17.11"/>
    <n v="13"/>
    <n v="65.89"/>
    <n v="65.89"/>
    <x v="32"/>
    <n v="0"/>
    <n v="0"/>
    <n v="59.301000000000002"/>
    <n v="16.4725"/>
    <n v="59.301000000000002"/>
  </r>
  <r>
    <x v="281"/>
    <n v="140.5"/>
    <n v="0"/>
    <n v="78"/>
    <n v="0"/>
    <n v="22.46"/>
    <n v="43"/>
    <n v="40.04"/>
    <n v="40.04"/>
    <x v="32"/>
    <n v="0"/>
    <n v="0"/>
    <n v="36.036000000000001"/>
    <n v="10.01"/>
    <n v="36.036000000000001"/>
  </r>
  <r>
    <x v="282"/>
    <n v="109"/>
    <n v="4"/>
    <n v="0"/>
    <n v="0"/>
    <n v="19.5"/>
    <n v="17"/>
    <n v="85.5"/>
    <n v="85.5"/>
    <x v="32"/>
    <n v="0"/>
    <n v="0"/>
    <n v="80.55"/>
    <n v="21.375"/>
    <n v="80.55"/>
  </r>
  <r>
    <x v="283"/>
    <n v="87"/>
    <n v="0"/>
    <n v="0"/>
    <n v="0"/>
    <n v="14.92"/>
    <n v="18"/>
    <n v="72.08"/>
    <n v="72.08"/>
    <x v="32"/>
    <n v="0"/>
    <n v="0"/>
    <n v="64.872"/>
    <n v="18.02"/>
    <n v="64.872"/>
  </r>
  <r>
    <x v="284"/>
    <n v="9.5"/>
    <n v="0"/>
    <n v="0"/>
    <n v="0"/>
    <n v="1.9"/>
    <n v="4"/>
    <n v="7.6"/>
    <n v="7.6"/>
    <x v="32"/>
    <n v="0"/>
    <n v="0"/>
    <n v="6.84"/>
    <n v="1.9"/>
    <n v="6.84"/>
  </r>
  <r>
    <x v="285"/>
    <n v="43.5"/>
    <n v="0"/>
    <n v="0"/>
    <n v="0"/>
    <n v="7.62"/>
    <n v="12"/>
    <n v="35.880000000000003"/>
    <n v="35.880000000000003"/>
    <x v="32"/>
    <n v="0"/>
    <n v="0"/>
    <n v="32.292000000000002"/>
    <n v="8.9700000000000006"/>
    <n v="32.292000000000002"/>
  </r>
  <r>
    <x v="286"/>
    <n v="29"/>
    <n v="0"/>
    <n v="0"/>
    <n v="0"/>
    <n v="5.5"/>
    <n v="5"/>
    <n v="23.5"/>
    <n v="23.5"/>
    <x v="32"/>
    <n v="0"/>
    <n v="0"/>
    <n v="21.150000000000002"/>
    <n v="5.875"/>
    <n v="21.150000000000002"/>
  </r>
  <r>
    <x v="287"/>
    <n v="118.5"/>
    <n v="0"/>
    <n v="57.6"/>
    <n v="0"/>
    <n v="21.06"/>
    <n v="29"/>
    <n v="39.840000000000003"/>
    <n v="39.840000000000003"/>
    <x v="32"/>
    <n v="0"/>
    <n v="0"/>
    <n v="35.856000000000002"/>
    <n v="9.9600000000000009"/>
    <n v="35.856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54623A-4799-473B-A598-3DB0DFB96AF5}" name="rptGerente" cacheId="6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Colaborador">
  <location ref="A6:K25" firstHeaderRow="0" firstDataRow="1" firstDataCol="1" rowPageCount="1" colPageCount="1"/>
  <pivotFields count="16">
    <pivotField axis="axisRow" showAll="0">
      <items count="335">
        <item x="90"/>
        <item x="218"/>
        <item x="59"/>
        <item x="12"/>
        <item m="1" x="315"/>
        <item x="46"/>
        <item x="6"/>
        <item x="154"/>
        <item x="130"/>
        <item x="124"/>
        <item x="116"/>
        <item x="25"/>
        <item x="129"/>
        <item x="283"/>
        <item x="172"/>
        <item x="233"/>
        <item x="34"/>
        <item x="195"/>
        <item x="170"/>
        <item m="1" x="321"/>
        <item x="63"/>
        <item x="162"/>
        <item m="1" x="300"/>
        <item x="214"/>
        <item x="91"/>
        <item x="211"/>
        <item x="24"/>
        <item x="134"/>
        <item x="10"/>
        <item x="179"/>
        <item x="151"/>
        <item x="232"/>
        <item x="114"/>
        <item x="5"/>
        <item x="75"/>
        <item x="149"/>
        <item x="188"/>
        <item x="125"/>
        <item x="22"/>
        <item x="2"/>
        <item x="100"/>
        <item x="78"/>
        <item x="193"/>
        <item m="1" x="317"/>
        <item x="278"/>
        <item x="272"/>
        <item x="21"/>
        <item m="1" x="301"/>
        <item x="28"/>
        <item x="182"/>
        <item x="224"/>
        <item x="203"/>
        <item x="77"/>
        <item x="152"/>
        <item x="209"/>
        <item x="17"/>
        <item x="47"/>
        <item x="7"/>
        <item x="38"/>
        <item x="181"/>
        <item x="141"/>
        <item m="1" x="311"/>
        <item x="223"/>
        <item m="1" x="303"/>
        <item m="1" x="325"/>
        <item x="96"/>
        <item x="80"/>
        <item x="259"/>
        <item x="93"/>
        <item x="274"/>
        <item x="242"/>
        <item x="68"/>
        <item x="105"/>
        <item x="102"/>
        <item x="36"/>
        <item x="44"/>
        <item x="83"/>
        <item x="29"/>
        <item x="286"/>
        <item x="26"/>
        <item x="70"/>
        <item x="192"/>
        <item x="148"/>
        <item m="1" x="295"/>
        <item x="57"/>
        <item x="236"/>
        <item x="73"/>
        <item x="111"/>
        <item m="1" x="327"/>
        <item x="153"/>
        <item x="271"/>
        <item x="104"/>
        <item x="268"/>
        <item x="185"/>
        <item x="201"/>
        <item x="54"/>
        <item x="217"/>
        <item x="117"/>
        <item x="94"/>
        <item x="50"/>
        <item x="133"/>
        <item x="184"/>
        <item x="216"/>
        <item x="137"/>
        <item m="1" x="310"/>
        <item x="40"/>
        <item x="85"/>
        <item x="244"/>
        <item x="282"/>
        <item x="14"/>
        <item x="190"/>
        <item x="55"/>
        <item m="1" x="292"/>
        <item x="113"/>
        <item x="42"/>
        <item m="1" x="288"/>
        <item x="155"/>
        <item x="253"/>
        <item x="222"/>
        <item x="275"/>
        <item x="69"/>
        <item x="196"/>
        <item x="265"/>
        <item x="74"/>
        <item x="89"/>
        <item x="131"/>
        <item x="180"/>
        <item x="39"/>
        <item m="1" x="320"/>
        <item x="164"/>
        <item x="169"/>
        <item m="1" x="318"/>
        <item x="246"/>
        <item x="9"/>
        <item m="1" x="299"/>
        <item x="43"/>
        <item x="198"/>
        <item x="161"/>
        <item x="247"/>
        <item x="30"/>
        <item x="251"/>
        <item x="163"/>
        <item x="27"/>
        <item x="86"/>
        <item x="88"/>
        <item x="191"/>
        <item x="81"/>
        <item x="281"/>
        <item x="273"/>
        <item m="1" x="289"/>
        <item x="112"/>
        <item x="23"/>
        <item x="11"/>
        <item x="35"/>
        <item x="76"/>
        <item x="147"/>
        <item x="138"/>
        <item m="1" x="313"/>
        <item x="84"/>
        <item x="270"/>
        <item m="1" x="319"/>
        <item x="32"/>
        <item x="204"/>
        <item x="145"/>
        <item x="51"/>
        <item x="142"/>
        <item x="258"/>
        <item m="1" x="329"/>
        <item x="230"/>
        <item x="97"/>
        <item x="64"/>
        <item x="132"/>
        <item x="252"/>
        <item x="261"/>
        <item x="256"/>
        <item x="212"/>
        <item m="1" x="316"/>
        <item x="284"/>
        <item x="136"/>
        <item x="98"/>
        <item x="197"/>
        <item x="207"/>
        <item x="101"/>
        <item x="49"/>
        <item x="3"/>
        <item x="128"/>
        <item x="186"/>
        <item x="82"/>
        <item x="87"/>
        <item x="65"/>
        <item x="4"/>
        <item x="135"/>
        <item x="150"/>
        <item x="189"/>
        <item x="62"/>
        <item x="18"/>
        <item x="263"/>
        <item x="126"/>
        <item x="71"/>
        <item m="1" x="290"/>
        <item x="213"/>
        <item x="67"/>
        <item x="206"/>
        <item x="269"/>
        <item x="144"/>
        <item x="234"/>
        <item x="175"/>
        <item x="60"/>
        <item x="165"/>
        <item x="174"/>
        <item x="202"/>
        <item x="245"/>
        <item x="103"/>
        <item x="260"/>
        <item x="221"/>
        <item x="183"/>
        <item x="226"/>
        <item x="166"/>
        <item x="1"/>
        <item x="72"/>
        <item x="19"/>
        <item x="178"/>
        <item x="37"/>
        <item x="199"/>
        <item x="41"/>
        <item m="1" x="307"/>
        <item x="119"/>
        <item x="95"/>
        <item x="171"/>
        <item x="167"/>
        <item x="250"/>
        <item x="110"/>
        <item x="276"/>
        <item x="79"/>
        <item x="108"/>
        <item x="99"/>
        <item x="279"/>
        <item x="238"/>
        <item x="187"/>
        <item x="219"/>
        <item x="229"/>
        <item x="287"/>
        <item x="33"/>
        <item x="215"/>
        <item x="20"/>
        <item x="61"/>
        <item x="237"/>
        <item x="210"/>
        <item x="225"/>
        <item x="58"/>
        <item x="168"/>
        <item x="205"/>
        <item x="146"/>
        <item x="262"/>
        <item x="220"/>
        <item x="177"/>
        <item x="248"/>
        <item x="52"/>
        <item x="285"/>
        <item x="127"/>
        <item x="123"/>
        <item x="92"/>
        <item x="45"/>
        <item x="106"/>
        <item x="121"/>
        <item x="176"/>
        <item m="1" x="302"/>
        <item m="1" x="333"/>
        <item x="266"/>
        <item x="15"/>
        <item x="31"/>
        <item x="227"/>
        <item x="53"/>
        <item x="280"/>
        <item x="118"/>
        <item x="115"/>
        <item x="16"/>
        <item x="267"/>
        <item x="8"/>
        <item x="122"/>
        <item x="257"/>
        <item x="66"/>
        <item x="107"/>
        <item x="249"/>
        <item x="254"/>
        <item x="48"/>
        <item x="13"/>
        <item x="0"/>
        <item x="255"/>
        <item x="120"/>
        <item x="194"/>
        <item x="228"/>
        <item x="208"/>
        <item x="143"/>
        <item x="173"/>
        <item x="109"/>
        <item x="235"/>
        <item x="277"/>
        <item x="264"/>
        <item x="200"/>
        <item x="56"/>
        <item x="140"/>
        <item x="139"/>
        <item x="160"/>
        <item x="159"/>
        <item x="156"/>
        <item x="157"/>
        <item x="158"/>
        <item x="240"/>
        <item x="239"/>
        <item x="241"/>
        <item x="243"/>
        <item x="231"/>
        <item m="1" x="298"/>
        <item m="1" x="305"/>
        <item m="1" x="323"/>
        <item m="1" x="309"/>
        <item m="1" x="291"/>
        <item m="1" x="304"/>
        <item m="1" x="312"/>
        <item m="1" x="332"/>
        <item m="1" x="326"/>
        <item m="1" x="294"/>
        <item m="1" x="297"/>
        <item m="1" x="322"/>
        <item m="1" x="330"/>
        <item m="1" x="296"/>
        <item m="1" x="308"/>
        <item m="1" x="314"/>
        <item m="1" x="324"/>
        <item m="1" x="306"/>
        <item m="1" x="331"/>
        <item m="1" x="293"/>
        <item m="1" x="328"/>
        <item t="default"/>
      </items>
    </pivotField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numFmtId="164" showAll="0"/>
    <pivotField dataField="1" numFmtId="164" showAll="0"/>
    <pivotField axis="axisPage" showAll="0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35"/>
        <item x="17"/>
        <item x="18"/>
        <item m="1" x="34"/>
        <item x="19"/>
        <item x="20"/>
        <item x="21"/>
        <item x="22"/>
        <item x="23"/>
        <item m="1" x="3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dataField="1" showAll="0"/>
    <pivotField dataField="1" numFmtId="164" showAll="0"/>
    <pivotField numFmtId="164" showAll="0"/>
    <pivotField showAll="0"/>
    <pivotField numFmtId="44" showAll="0"/>
    <pivotField dragToRow="0" dragToCol="0" dragToPage="0" showAll="0" defaultSubtotal="0"/>
  </pivotFields>
  <rowFields count="1">
    <field x="0"/>
  </rowFields>
  <rowItems count="19">
    <i>
      <x v="2"/>
    </i>
    <i>
      <x v="20"/>
    </i>
    <i>
      <x v="71"/>
    </i>
    <i>
      <x v="80"/>
    </i>
    <i>
      <x v="84"/>
    </i>
    <i>
      <x v="111"/>
    </i>
    <i>
      <x v="120"/>
    </i>
    <i>
      <x v="170"/>
    </i>
    <i>
      <x v="189"/>
    </i>
    <i>
      <x v="194"/>
    </i>
    <i>
      <x v="198"/>
    </i>
    <i>
      <x v="201"/>
    </i>
    <i>
      <x v="207"/>
    </i>
    <i>
      <x v="219"/>
    </i>
    <i>
      <x v="245"/>
    </i>
    <i>
      <x v="249"/>
    </i>
    <i>
      <x v="281"/>
    </i>
    <i>
      <x v="300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9" item="8" hier="-1"/>
  </pageFields>
  <dataFields count="10">
    <dataField name=".Entradas" fld="1" baseField="0" baseItem="0" numFmtId="164"/>
    <dataField name=".Entradas em Aberto" fld="2" baseField="0" baseItem="0" numFmtId="164"/>
    <dataField name=".Saídas" fld="3" baseField="0" baseItem="0" numFmtId="164"/>
    <dataField name=".Lançamentos" fld="4" baseField="0" baseItem="0" numFmtId="164"/>
    <dataField name=".Comissões" fld="5" baseField="0" baseItem="0" numFmtId="164"/>
    <dataField name=".Qtde. de Apostas" fld="6" baseField="0" baseItem="0"/>
    <dataField name=".Saldo Colaborador" fld="7" baseField="0" baseItem="0" numFmtId="44"/>
    <dataField name=".Saldo final da banca" fld="8" baseField="0" baseItem="0" numFmtId="164"/>
    <dataField name=".Ajuda de Custo" fld="10" baseField="0" baseItem="0" numFmtId="164"/>
    <dataField name=".Comissão de Lucro" fld="11" baseField="0" baseItem="0" numFmtId="44"/>
  </dataFields>
  <formats count="43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7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6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4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3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62">
      <pivotArea dataOnly="0" labelOnly="1" grandRow="1" outline="0" fieldPosition="0"/>
    </format>
    <format dxfId="6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60">
      <pivotArea outline="0" collapsedLevelsAreSubtotals="1" fieldPosition="0">
        <references count="1">
          <reference field="4294967294" count="5" selected="0">
            <x v="0"/>
            <x v="1"/>
            <x v="2"/>
            <x v="3"/>
            <x v="4"/>
          </reference>
        </references>
      </pivotArea>
    </format>
    <format dxfId="59">
      <pivotArea outline="0" collapsedLevelsAreSubtotals="1" fieldPosition="0">
        <references count="1">
          <reference field="4294967294" count="2" selected="0">
            <x v="7"/>
            <x v="8"/>
          </reference>
        </references>
      </pivotArea>
    </format>
    <format dxfId="58">
      <pivotArea field="0" type="button" dataOnly="0" labelOnly="1" outline="0" axis="axisRow" fieldPosition="0"/>
    </format>
    <format dxfId="57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6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5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4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3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52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51">
      <pivotArea dataOnly="0" labelOnly="1" grandRow="1" outline="0" fieldPosition="0"/>
    </format>
    <format dxfId="50">
      <pivotArea field="0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0" type="button" dataOnly="0" labelOnly="1" outline="0" axis="axisRow" fieldPosition="0"/>
    </format>
    <format dxfId="45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4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3">
      <pivotArea dataOnly="0" labelOnly="1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42">
      <pivotArea dataOnly="0" labelOnly="1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41">
      <pivotArea dataOnly="0" labelOnly="1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40">
      <pivotArea dataOnly="0" labelOnly="1" fieldPosition="0">
        <references count="1">
          <reference field="0" count="49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7"/>
            <x v="8"/>
          </reference>
        </references>
      </pivotArea>
    </format>
    <format dxfId="37">
      <pivotArea grandRow="1" outline="0" collapsedLevelsAreSubtotals="1" fieldPosition="0"/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0" count="4">
            <x v="39"/>
            <x v="184"/>
            <x v="218"/>
            <x v="287"/>
          </reference>
        </references>
      </pivotArea>
    </format>
    <format dxfId="34">
      <pivotArea dataOnly="0" labelOnly="1" grandRow="1" outline="0" fieldPosition="0"/>
    </format>
    <format dxfId="33">
      <pivotArea field="0" type="button" dataOnly="0" labelOnly="1" outline="0" axis="axisRow" fieldPosition="0"/>
    </format>
    <format dxfId="3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9"/>
          </reference>
        </references>
      </pivotArea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7E44D6EB-3F5F-46FE-A2EA-BFB3B3EA0E87}" autoFormatId="16" applyNumberFormats="0" applyBorderFormats="0" applyFontFormats="0" applyPatternFormats="0" applyAlignmentFormats="0" applyWidthHeightFormats="0">
  <queryTableRefresh nextId="51" unboundColumnsRight="1">
    <queryTableFields count="15">
      <queryTableField id="1" name="Colaborador" tableColumnId="1"/>
      <queryTableField id="2" name="Entradas" tableColumnId="2"/>
      <queryTableField id="3" name="Entradas em Aberto" tableColumnId="3"/>
      <queryTableField id="4" name="Saídas" tableColumnId="4"/>
      <queryTableField id="5" name="Lançamentos" tableColumnId="5"/>
      <queryTableField id="6" name="Comissões" tableColumnId="6"/>
      <queryTableField id="7" name="Qtd. Apostas" tableColumnId="7"/>
      <queryTableField id="8" name="Saldo Colaborador" tableColumnId="8"/>
      <queryTableField id="9" name="Saldo Final Banca" tableColumnId="9"/>
      <queryTableField id="10" name="GERENTE" tableColumnId="10"/>
      <queryTableField id="20" name="Ajuda de Custo" tableColumnId="19"/>
      <queryTableField id="29" name="Comissão Lucro" tableColumnId="11"/>
      <queryTableField id="34" name="Valor a pagar" tableColumnId="14"/>
      <queryTableField id="21" name="Comissão Gerente" tableColumnId="20"/>
      <queryTableField id="49" dataBound="0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EFF5E935-2580-44BC-8AE4-2B08E1E2483C}" autoFormatId="16" applyNumberFormats="0" applyBorderFormats="0" applyFontFormats="0" applyPatternFormats="0" applyAlignmentFormats="0" applyWidthHeightFormats="0">
  <queryTableRefresh nextId="2">
    <queryTableFields count="1">
      <queryTableField id="1" name="DataHoraFechamento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06F8B8-2AD0-48C9-B674-B0540352B803}" name="ParamColaboradores" displayName="ParamColaboradores" ref="A1:F304" totalsRowShown="0" headerRowDxfId="95" dataDxfId="94">
  <tableColumns count="6">
    <tableColumn id="2" xr3:uid="{9DB5D130-3FE0-419C-B2B2-B654F04E12B0}" name="Colaborador" dataDxfId="93"/>
    <tableColumn id="1" xr3:uid="{593B4B97-4F25-4FBE-9CC6-3B4D04A4E099}" name="Gerente" dataDxfId="92"/>
    <tableColumn id="3" xr3:uid="{1A589AEA-C348-4328-A5D4-C82BAF2A9F9B}" name="Comissão Gerente" dataDxfId="91" dataCellStyle="Porcentagem"/>
    <tableColumn id="4" xr3:uid="{7EEA3638-7EE9-4C97-87C0-3597D7D5DB0F}" name="[CAMBISTA] Ajuda de Custo Fixa?" dataDxfId="90"/>
    <tableColumn id="6" xr3:uid="{39DA9E80-430A-44B8-AE05-7B2D14F3F477}" name="[CAMBISTA] Ajuda de Custo?" dataDxfId="89"/>
    <tableColumn id="5" xr3:uid="{576ABF63-0C23-47E5-A16B-16AF0A62C313}" name="[Cambista] Comissão?" dataDxfId="88" dataCellStyle="Porcenta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A06AF2-A8C1-421D-BEC1-E530C9564469}" name="ParamGerente" displayName="ParamGerente" ref="H1:I37" totalsRowShown="0" headerRowDxfId="87">
  <tableColumns count="2">
    <tableColumn id="1" xr3:uid="{F44BF316-2550-459C-9985-B287B5562DDC}" name="Gerente" dataDxfId="86"/>
    <tableColumn id="2" xr3:uid="{786EF5A5-930C-436C-B8FE-7E0E58374CF3}" name="Comissão" dataDxfId="85" dataCellStyle="Porcenta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A47F9B-6EAC-499B-A61C-EB0897B68DA0}" name="resumo" displayName="resumo" ref="A9:O297" tableType="queryTable" headerRowDxfId="84" dataDxfId="83">
  <autoFilter ref="A9:O297" xr:uid="{7AA47F9B-6EAC-499B-A61C-EB0897B68DA0}">
    <filterColumn colId="9">
      <filters>
        <filter val="EDUARDO ABREU10"/>
      </filters>
    </filterColumn>
  </autoFilter>
  <tableColumns count="15">
    <tableColumn id="1" xr3:uid="{7C8F1ED4-1EEF-4F73-89E2-C3D8375E27FA}" uniqueName="1" name="Colaborador" queryTableFieldId="1" dataDxfId="14" totalsRowDxfId="82"/>
    <tableColumn id="2" xr3:uid="{0ACA71BF-7271-4943-8CA3-A0715C4EE639}" uniqueName="2" name="Entradas" queryTableFieldId="2" dataDxfId="13" totalsRowDxfId="81"/>
    <tableColumn id="3" xr3:uid="{48A44C1B-E23F-4978-A9C7-6EF2FB12838C}" uniqueName="3" name="Entradas em Aberto" queryTableFieldId="3" dataDxfId="12" totalsRowDxfId="80"/>
    <tableColumn id="4" xr3:uid="{07AEC9F7-6AF4-4E1A-BE04-6DBE14769698}" uniqueName="4" name="Saídas" queryTableFieldId="4" dataDxfId="11" totalsRowDxfId="79"/>
    <tableColumn id="5" xr3:uid="{C523412F-8B00-41C2-B9A8-E41C4280CC76}" uniqueName="5" name="Lançamentos" queryTableFieldId="5" dataDxfId="10" totalsRowDxfId="78"/>
    <tableColumn id="6" xr3:uid="{68844AB4-7F96-4C3D-AF4E-877FC74BD81A}" uniqueName="6" name="Comissões" queryTableFieldId="6" dataDxfId="9" totalsRowDxfId="77"/>
    <tableColumn id="7" xr3:uid="{0CCFC45B-357F-4765-BA41-9684F10C51B7}" uniqueName="7" name="Qtd. Apostas" queryTableFieldId="7" dataDxfId="8" totalsRowDxfId="76"/>
    <tableColumn id="8" xr3:uid="{87642B2B-739D-4590-AE31-510922A188F7}" uniqueName="8" name="Saldo Colaborador" queryTableFieldId="8" dataDxfId="7" totalsRowDxfId="75"/>
    <tableColumn id="9" xr3:uid="{F4CD5464-59F3-46C5-AA93-ADBABF4587F9}" uniqueName="9" name="Saldo Final Banca" queryTableFieldId="9" dataDxfId="6" totalsRowDxfId="74"/>
    <tableColumn id="10" xr3:uid="{8549E9E5-DC53-4A82-BFF8-A0B01698AEAE}" uniqueName="10" name="GERENTE" queryTableFieldId="10" dataDxfId="5" totalsRowDxfId="73"/>
    <tableColumn id="19" xr3:uid="{935E69F3-99F1-4C08-A5B5-3046519E6B9E}" uniqueName="19" name="Ajuda de Custo" queryTableFieldId="20" dataDxfId="4" totalsRowDxfId="72" dataCellStyle="Moeda"/>
    <tableColumn id="11" xr3:uid="{F6013A45-9D8E-4F13-A716-B5672F6B43CC}" uniqueName="11" name="Comissão Lucro" queryTableFieldId="29" dataDxfId="3" dataCellStyle="Moeda"/>
    <tableColumn id="14" xr3:uid="{363D6F28-4F62-40DA-B544-2A3E7C4952D4}" uniqueName="14" name="Valor a pagar" queryTableFieldId="34" dataDxfId="2" dataCellStyle="Moeda"/>
    <tableColumn id="20" xr3:uid="{A778CEF1-9578-4B2D-87B7-1009B1DD1842}" uniqueName="20" name="Comissão Gerente" queryTableFieldId="21" dataDxfId="1"/>
    <tableColumn id="16" xr3:uid="{7AF02D4E-98C2-41B3-A326-861EA86336DD}" uniqueName="16" name="Comissão Lucro Val" queryTableFieldId="49" dataDxfId="0">
      <calculatedColumnFormula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613826-3230-46D4-AE76-FF4D99D6881C}" name="loArquivo" displayName="loArquivo" ref="A1:A2" totalsRowShown="0">
  <autoFilter ref="A1:A2" xr:uid="{8B613826-3230-46D4-AE76-FF4D99D6881C}"/>
  <tableColumns count="1">
    <tableColumn id="1" xr3:uid="{BC03701D-2C77-4A4A-B182-9D8CA6479D6A}" name="CaminhoArquiv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44F7DD-FF1F-43FB-A388-A75685A62384}" name="DataHoraFechamento" displayName="DataHoraFechamento" ref="A4:A5" tableType="queryTable" totalsRowShown="0">
  <autoFilter ref="A4:A5" xr:uid="{FC44F7DD-FF1F-43FB-A388-A75685A62384}"/>
  <tableColumns count="1">
    <tableColumn id="1" xr3:uid="{188409F6-8F4D-406B-A82F-2B882F0371B2}" uniqueName="1" name="DataHoraFechamento" queryTableFieldId="1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260B-3BA2-4F31-8DBB-FCA05222B181}">
  <sheetPr codeName="wsParam"/>
  <dimension ref="A1:I304"/>
  <sheetViews>
    <sheetView showGridLines="0" zoomScale="90" zoomScaleNormal="90" workbookViewId="0">
      <selection activeCell="A2" sqref="A2"/>
    </sheetView>
  </sheetViews>
  <sheetFormatPr defaultColWidth="20.81640625" defaultRowHeight="14.5" x14ac:dyDescent="0.35"/>
  <cols>
    <col min="1" max="1" width="24.453125" style="5" bestFit="1" customWidth="1"/>
    <col min="2" max="2" width="22.7265625" style="5" bestFit="1" customWidth="1"/>
    <col min="3" max="3" width="16.453125" style="5" bestFit="1" customWidth="1"/>
    <col min="4" max="4" width="29.81640625" style="5" bestFit="1" customWidth="1"/>
    <col min="5" max="5" width="25.81640625" style="5" bestFit="1" customWidth="1"/>
    <col min="6" max="6" width="19.81640625" style="5" bestFit="1" customWidth="1"/>
    <col min="7" max="7" width="24.453125" style="5" bestFit="1" customWidth="1"/>
    <col min="8" max="16384" width="20.81640625" style="5"/>
  </cols>
  <sheetData>
    <row r="1" spans="1:9" x14ac:dyDescent="0.35">
      <c r="A1" s="23" t="s">
        <v>0</v>
      </c>
      <c r="B1" s="5" t="s">
        <v>249</v>
      </c>
      <c r="C1" s="5" t="s">
        <v>250</v>
      </c>
      <c r="D1" s="5" t="s">
        <v>251</v>
      </c>
      <c r="E1" s="5" t="s">
        <v>253</v>
      </c>
      <c r="F1" s="5" t="s">
        <v>252</v>
      </c>
      <c r="H1" s="31" t="s">
        <v>249</v>
      </c>
      <c r="I1" s="31" t="s">
        <v>359</v>
      </c>
    </row>
    <row r="2" spans="1:9" x14ac:dyDescent="0.35">
      <c r="A2" s="24" t="s">
        <v>29</v>
      </c>
      <c r="B2" s="3" t="s">
        <v>256</v>
      </c>
      <c r="C2" s="25">
        <v>0</v>
      </c>
      <c r="D2" s="6">
        <v>10</v>
      </c>
      <c r="E2" s="6" t="s">
        <v>255</v>
      </c>
      <c r="F2" s="20">
        <v>0.1</v>
      </c>
      <c r="H2" s="29" t="s">
        <v>256</v>
      </c>
      <c r="I2" s="30">
        <v>0</v>
      </c>
    </row>
    <row r="3" spans="1:9" x14ac:dyDescent="0.35">
      <c r="A3" s="24" t="s">
        <v>12</v>
      </c>
      <c r="B3" s="24" t="s">
        <v>256</v>
      </c>
      <c r="C3" s="25">
        <v>0</v>
      </c>
      <c r="D3" s="6">
        <v>0</v>
      </c>
      <c r="E3" s="6" t="s">
        <v>255</v>
      </c>
      <c r="F3" s="20">
        <v>0</v>
      </c>
      <c r="H3" s="29" t="s">
        <v>257</v>
      </c>
      <c r="I3" s="30">
        <v>0.1</v>
      </c>
    </row>
    <row r="4" spans="1:9" x14ac:dyDescent="0.35">
      <c r="A4" s="24" t="s">
        <v>13</v>
      </c>
      <c r="B4" s="24" t="s">
        <v>256</v>
      </c>
      <c r="C4" s="25">
        <v>0</v>
      </c>
      <c r="D4" s="6">
        <v>0</v>
      </c>
      <c r="E4" s="6" t="s">
        <v>254</v>
      </c>
      <c r="F4" s="20">
        <v>0</v>
      </c>
      <c r="H4" s="29" t="s">
        <v>258</v>
      </c>
      <c r="I4" s="30">
        <v>0.2</v>
      </c>
    </row>
    <row r="5" spans="1:9" x14ac:dyDescent="0.35">
      <c r="A5" s="24" t="s">
        <v>10</v>
      </c>
      <c r="B5" s="24" t="s">
        <v>256</v>
      </c>
      <c r="C5" s="25">
        <v>0</v>
      </c>
      <c r="D5" s="6">
        <v>0</v>
      </c>
      <c r="E5" s="6" t="s">
        <v>255</v>
      </c>
      <c r="F5" s="20">
        <v>0.1</v>
      </c>
      <c r="H5" s="29" t="s">
        <v>259</v>
      </c>
      <c r="I5" s="30">
        <v>0.25</v>
      </c>
    </row>
    <row r="6" spans="1:9" x14ac:dyDescent="0.35">
      <c r="A6" s="24" t="s">
        <v>23</v>
      </c>
      <c r="B6" s="24" t="s">
        <v>256</v>
      </c>
      <c r="C6" s="25">
        <v>0</v>
      </c>
      <c r="D6" s="6">
        <v>0</v>
      </c>
      <c r="E6" s="6" t="s">
        <v>255</v>
      </c>
      <c r="F6" s="20">
        <v>0.1</v>
      </c>
      <c r="H6" s="29" t="s">
        <v>260</v>
      </c>
      <c r="I6" s="30">
        <v>0.2</v>
      </c>
    </row>
    <row r="7" spans="1:9" x14ac:dyDescent="0.35">
      <c r="A7" s="24" t="s">
        <v>17</v>
      </c>
      <c r="B7" s="24" t="s">
        <v>256</v>
      </c>
      <c r="C7" s="25">
        <v>0</v>
      </c>
      <c r="D7" s="6">
        <v>0</v>
      </c>
      <c r="E7" s="6" t="s">
        <v>255</v>
      </c>
      <c r="F7" s="20">
        <v>0.1</v>
      </c>
      <c r="H7" s="29" t="s">
        <v>261</v>
      </c>
      <c r="I7" s="30">
        <v>0.25</v>
      </c>
    </row>
    <row r="8" spans="1:9" x14ac:dyDescent="0.35">
      <c r="A8" s="24" t="s">
        <v>18</v>
      </c>
      <c r="B8" s="24" t="s">
        <v>256</v>
      </c>
      <c r="C8" s="25">
        <v>0</v>
      </c>
      <c r="D8" s="6">
        <v>0</v>
      </c>
      <c r="E8" s="6" t="s">
        <v>255</v>
      </c>
      <c r="F8" s="20">
        <v>0.1</v>
      </c>
      <c r="H8" s="29" t="s">
        <v>262</v>
      </c>
      <c r="I8" s="30">
        <v>0.5</v>
      </c>
    </row>
    <row r="9" spans="1:9" x14ac:dyDescent="0.35">
      <c r="A9" s="24" t="s">
        <v>21</v>
      </c>
      <c r="B9" s="24" t="s">
        <v>256</v>
      </c>
      <c r="C9" s="25">
        <v>0</v>
      </c>
      <c r="D9" s="6">
        <v>0</v>
      </c>
      <c r="E9" s="6" t="s">
        <v>255</v>
      </c>
      <c r="F9" s="20">
        <v>0.25</v>
      </c>
      <c r="H9" s="29" t="s">
        <v>263</v>
      </c>
      <c r="I9" s="30">
        <v>0.35</v>
      </c>
    </row>
    <row r="10" spans="1:9" x14ac:dyDescent="0.35">
      <c r="A10" s="24" t="s">
        <v>20</v>
      </c>
      <c r="B10" s="5" t="s">
        <v>256</v>
      </c>
      <c r="C10" s="25">
        <v>0</v>
      </c>
      <c r="D10" s="6">
        <v>0</v>
      </c>
      <c r="E10" s="6" t="s">
        <v>255</v>
      </c>
      <c r="F10" s="20">
        <v>0.1</v>
      </c>
      <c r="H10" s="29" t="s">
        <v>264</v>
      </c>
      <c r="I10" s="30">
        <v>0.25</v>
      </c>
    </row>
    <row r="11" spans="1:9" x14ac:dyDescent="0.35">
      <c r="A11" s="24" t="s">
        <v>28</v>
      </c>
      <c r="B11" s="24" t="s">
        <v>256</v>
      </c>
      <c r="C11" s="25">
        <v>0</v>
      </c>
      <c r="D11" s="6">
        <v>0</v>
      </c>
      <c r="E11" s="6" t="s">
        <v>255</v>
      </c>
      <c r="F11" s="20">
        <v>0.1</v>
      </c>
      <c r="H11" s="29" t="s">
        <v>265</v>
      </c>
      <c r="I11" s="30">
        <v>0.25</v>
      </c>
    </row>
    <row r="12" spans="1:9" x14ac:dyDescent="0.35">
      <c r="A12" s="24" t="s">
        <v>292</v>
      </c>
      <c r="B12" s="24" t="s">
        <v>256</v>
      </c>
      <c r="C12" s="25">
        <v>0</v>
      </c>
      <c r="D12" s="6">
        <v>0</v>
      </c>
      <c r="E12" s="6" t="s">
        <v>255</v>
      </c>
      <c r="F12" s="20">
        <v>0.1</v>
      </c>
      <c r="H12" s="29" t="s">
        <v>266</v>
      </c>
      <c r="I12" s="30">
        <v>0.25</v>
      </c>
    </row>
    <row r="13" spans="1:9" x14ac:dyDescent="0.35">
      <c r="A13" s="24" t="s">
        <v>16</v>
      </c>
      <c r="B13" s="5" t="s">
        <v>256</v>
      </c>
      <c r="C13" s="25">
        <v>0</v>
      </c>
      <c r="D13" s="6">
        <v>0</v>
      </c>
      <c r="E13" s="6" t="s">
        <v>255</v>
      </c>
      <c r="F13" s="20">
        <v>0.1</v>
      </c>
      <c r="H13" s="29" t="s">
        <v>267</v>
      </c>
      <c r="I13" s="30">
        <v>0.35</v>
      </c>
    </row>
    <row r="14" spans="1:9" x14ac:dyDescent="0.35">
      <c r="A14" s="24" t="s">
        <v>293</v>
      </c>
      <c r="B14" s="24" t="s">
        <v>256</v>
      </c>
      <c r="C14" s="25">
        <v>0</v>
      </c>
      <c r="D14" s="6">
        <v>0</v>
      </c>
      <c r="E14" s="6" t="s">
        <v>255</v>
      </c>
      <c r="F14" s="20">
        <v>0.1</v>
      </c>
      <c r="H14" s="29" t="s">
        <v>268</v>
      </c>
      <c r="I14" s="30">
        <v>0.35</v>
      </c>
    </row>
    <row r="15" spans="1:9" x14ac:dyDescent="0.35">
      <c r="A15" s="24" t="s">
        <v>24</v>
      </c>
      <c r="B15" s="24" t="s">
        <v>256</v>
      </c>
      <c r="C15" s="25">
        <v>0</v>
      </c>
      <c r="D15" s="6">
        <v>0</v>
      </c>
      <c r="E15" s="6" t="s">
        <v>255</v>
      </c>
      <c r="F15" s="20">
        <v>0.1</v>
      </c>
      <c r="H15" s="29" t="s">
        <v>269</v>
      </c>
      <c r="I15" s="30">
        <v>0.25</v>
      </c>
    </row>
    <row r="16" spans="1:9" x14ac:dyDescent="0.35">
      <c r="A16" s="24" t="s">
        <v>322</v>
      </c>
      <c r="B16" s="24" t="s">
        <v>256</v>
      </c>
      <c r="C16" s="25">
        <v>0</v>
      </c>
      <c r="D16" s="6">
        <v>0</v>
      </c>
      <c r="E16" s="6" t="s">
        <v>255</v>
      </c>
      <c r="F16" s="20">
        <v>0.1</v>
      </c>
      <c r="H16" s="29" t="s">
        <v>270</v>
      </c>
      <c r="I16" s="30">
        <v>0.25</v>
      </c>
    </row>
    <row r="17" spans="1:9" x14ac:dyDescent="0.35">
      <c r="A17" s="24" t="s">
        <v>294</v>
      </c>
      <c r="B17" s="24" t="s">
        <v>256</v>
      </c>
      <c r="C17" s="25">
        <v>0</v>
      </c>
      <c r="D17" s="6">
        <v>0</v>
      </c>
      <c r="E17" s="6" t="s">
        <v>255</v>
      </c>
      <c r="F17" s="20">
        <v>0.1</v>
      </c>
      <c r="H17" s="29" t="s">
        <v>271</v>
      </c>
      <c r="I17" s="30">
        <v>0.25</v>
      </c>
    </row>
    <row r="18" spans="1:9" x14ac:dyDescent="0.35">
      <c r="A18" s="24" t="s">
        <v>22</v>
      </c>
      <c r="B18" s="5" t="s">
        <v>256</v>
      </c>
      <c r="C18" s="25">
        <v>0</v>
      </c>
      <c r="D18" s="6">
        <v>0</v>
      </c>
      <c r="E18" s="6" t="s">
        <v>255</v>
      </c>
      <c r="F18" s="20">
        <v>0.1</v>
      </c>
      <c r="H18" s="29" t="s">
        <v>272</v>
      </c>
      <c r="I18" s="30">
        <v>0.2</v>
      </c>
    </row>
    <row r="19" spans="1:9" x14ac:dyDescent="0.35">
      <c r="A19" s="24" t="s">
        <v>25</v>
      </c>
      <c r="B19" s="5" t="s">
        <v>256</v>
      </c>
      <c r="C19" s="25">
        <v>0</v>
      </c>
      <c r="D19" s="6">
        <v>0</v>
      </c>
      <c r="E19" s="6" t="s">
        <v>255</v>
      </c>
      <c r="F19" s="20">
        <v>0.1</v>
      </c>
      <c r="H19" s="29" t="s">
        <v>273</v>
      </c>
      <c r="I19" s="30">
        <v>0.25</v>
      </c>
    </row>
    <row r="20" spans="1:9" x14ac:dyDescent="0.35">
      <c r="A20" s="24" t="s">
        <v>26</v>
      </c>
      <c r="B20" s="24" t="s">
        <v>256</v>
      </c>
      <c r="C20" s="25">
        <v>0</v>
      </c>
      <c r="D20" s="6">
        <v>0</v>
      </c>
      <c r="E20" s="6" t="s">
        <v>255</v>
      </c>
      <c r="F20" s="20">
        <v>0.1</v>
      </c>
      <c r="H20" s="29" t="s">
        <v>340</v>
      </c>
      <c r="I20" s="30">
        <v>0</v>
      </c>
    </row>
    <row r="21" spans="1:9" x14ac:dyDescent="0.35">
      <c r="A21" s="24" t="s">
        <v>27</v>
      </c>
      <c r="B21" s="24" t="s">
        <v>256</v>
      </c>
      <c r="C21" s="25">
        <v>0</v>
      </c>
      <c r="D21" s="6">
        <v>0</v>
      </c>
      <c r="E21" s="6" t="s">
        <v>255</v>
      </c>
      <c r="F21" s="20">
        <v>0.1</v>
      </c>
      <c r="H21" s="29" t="s">
        <v>274</v>
      </c>
      <c r="I21" s="30">
        <v>0.25</v>
      </c>
    </row>
    <row r="22" spans="1:9" x14ac:dyDescent="0.35">
      <c r="A22" s="24" t="s">
        <v>11</v>
      </c>
      <c r="B22" s="24" t="s">
        <v>256</v>
      </c>
      <c r="C22" s="25">
        <v>0</v>
      </c>
      <c r="D22" s="6">
        <v>0</v>
      </c>
      <c r="E22" s="6" t="s">
        <v>255</v>
      </c>
      <c r="F22" s="20">
        <v>0.1</v>
      </c>
      <c r="H22" s="29" t="s">
        <v>275</v>
      </c>
      <c r="I22" s="30">
        <v>0.35</v>
      </c>
    </row>
    <row r="23" spans="1:9" x14ac:dyDescent="0.35">
      <c r="A23" s="24" t="s">
        <v>19</v>
      </c>
      <c r="B23" s="5" t="s">
        <v>256</v>
      </c>
      <c r="C23" s="25">
        <v>0</v>
      </c>
      <c r="D23" s="6">
        <v>0</v>
      </c>
      <c r="E23" s="6" t="s">
        <v>255</v>
      </c>
      <c r="F23" s="20">
        <v>0.1</v>
      </c>
      <c r="H23" s="29" t="s">
        <v>345</v>
      </c>
      <c r="I23" s="30">
        <v>0</v>
      </c>
    </row>
    <row r="24" spans="1:9" x14ac:dyDescent="0.35">
      <c r="A24" s="24" t="s">
        <v>15</v>
      </c>
      <c r="B24" s="24" t="s">
        <v>256</v>
      </c>
      <c r="C24" s="25">
        <v>0</v>
      </c>
      <c r="D24" s="6">
        <v>0</v>
      </c>
      <c r="E24" s="6" t="s">
        <v>255</v>
      </c>
      <c r="F24" s="20">
        <v>0.1</v>
      </c>
      <c r="H24" s="29" t="s">
        <v>276</v>
      </c>
      <c r="I24" s="30">
        <v>0.25</v>
      </c>
    </row>
    <row r="25" spans="1:9" x14ac:dyDescent="0.35">
      <c r="A25" s="24" t="s">
        <v>30</v>
      </c>
      <c r="B25" s="24" t="s">
        <v>256</v>
      </c>
      <c r="C25" s="25">
        <v>0</v>
      </c>
      <c r="D25" s="6">
        <v>0</v>
      </c>
      <c r="E25" s="6" t="s">
        <v>255</v>
      </c>
      <c r="F25" s="20">
        <v>0.1</v>
      </c>
      <c r="H25" s="29" t="s">
        <v>277</v>
      </c>
      <c r="I25" s="30">
        <v>0.25</v>
      </c>
    </row>
    <row r="26" spans="1:9" x14ac:dyDescent="0.35">
      <c r="A26" s="24" t="s">
        <v>14</v>
      </c>
      <c r="B26" s="24" t="s">
        <v>256</v>
      </c>
      <c r="C26" s="25">
        <v>0</v>
      </c>
      <c r="D26" s="6">
        <v>0</v>
      </c>
      <c r="E26" s="6" t="s">
        <v>255</v>
      </c>
      <c r="F26" s="20">
        <v>0.1</v>
      </c>
      <c r="H26" s="29" t="s">
        <v>278</v>
      </c>
      <c r="I26" s="30">
        <v>0.25</v>
      </c>
    </row>
    <row r="27" spans="1:9" x14ac:dyDescent="0.35">
      <c r="A27" s="24" t="s">
        <v>33</v>
      </c>
      <c r="B27" s="24" t="s">
        <v>257</v>
      </c>
      <c r="C27" s="25">
        <v>0.1</v>
      </c>
      <c r="D27" s="6">
        <v>0</v>
      </c>
      <c r="E27" s="6" t="s">
        <v>254</v>
      </c>
      <c r="F27" s="20">
        <v>0</v>
      </c>
      <c r="H27" s="29" t="s">
        <v>279</v>
      </c>
      <c r="I27" s="30">
        <v>0.25</v>
      </c>
    </row>
    <row r="28" spans="1:9" x14ac:dyDescent="0.35">
      <c r="A28" s="24" t="s">
        <v>32</v>
      </c>
      <c r="B28" s="24" t="s">
        <v>257</v>
      </c>
      <c r="C28" s="25">
        <v>0.1</v>
      </c>
      <c r="D28" s="6">
        <v>0</v>
      </c>
      <c r="E28" s="6" t="s">
        <v>254</v>
      </c>
      <c r="F28" s="20">
        <v>0</v>
      </c>
      <c r="H28" s="29" t="s">
        <v>280</v>
      </c>
      <c r="I28" s="30">
        <v>0.25</v>
      </c>
    </row>
    <row r="29" spans="1:9" x14ac:dyDescent="0.35">
      <c r="A29" s="24" t="s">
        <v>295</v>
      </c>
      <c r="B29" s="24" t="s">
        <v>257</v>
      </c>
      <c r="C29" s="25">
        <v>0.1</v>
      </c>
      <c r="D29" s="6">
        <v>0</v>
      </c>
      <c r="E29" s="6" t="s">
        <v>254</v>
      </c>
      <c r="F29" s="20">
        <v>0</v>
      </c>
      <c r="H29" s="29" t="s">
        <v>350</v>
      </c>
      <c r="I29" s="30">
        <v>0.25</v>
      </c>
    </row>
    <row r="30" spans="1:9" x14ac:dyDescent="0.35">
      <c r="A30" s="24" t="s">
        <v>31</v>
      </c>
      <c r="B30" s="24" t="s">
        <v>257</v>
      </c>
      <c r="C30" s="25">
        <v>0.1</v>
      </c>
      <c r="D30" s="6">
        <v>0</v>
      </c>
      <c r="E30" s="6" t="s">
        <v>254</v>
      </c>
      <c r="F30" s="20">
        <v>0</v>
      </c>
      <c r="H30" s="29" t="s">
        <v>281</v>
      </c>
      <c r="I30" s="30">
        <v>0.1</v>
      </c>
    </row>
    <row r="31" spans="1:9" x14ac:dyDescent="0.35">
      <c r="A31" s="24" t="s">
        <v>297</v>
      </c>
      <c r="B31" s="24" t="s">
        <v>258</v>
      </c>
      <c r="C31" s="25">
        <v>0.2</v>
      </c>
      <c r="D31" s="6">
        <v>0</v>
      </c>
      <c r="E31" s="6" t="s">
        <v>255</v>
      </c>
      <c r="F31" s="20">
        <v>0</v>
      </c>
      <c r="H31" s="29" t="s">
        <v>282</v>
      </c>
      <c r="I31" s="30">
        <v>0.25</v>
      </c>
    </row>
    <row r="32" spans="1:9" x14ac:dyDescent="0.35">
      <c r="A32" s="24" t="s">
        <v>35</v>
      </c>
      <c r="B32" s="24" t="s">
        <v>258</v>
      </c>
      <c r="C32" s="25">
        <v>0.2</v>
      </c>
      <c r="D32" s="6">
        <v>0</v>
      </c>
      <c r="E32" s="6" t="s">
        <v>254</v>
      </c>
      <c r="F32" s="20">
        <v>0</v>
      </c>
      <c r="H32" s="29" t="s">
        <v>283</v>
      </c>
      <c r="I32" s="30">
        <v>0.25</v>
      </c>
    </row>
    <row r="33" spans="1:9" x14ac:dyDescent="0.35">
      <c r="A33" s="24" t="s">
        <v>296</v>
      </c>
      <c r="B33" s="24" t="s">
        <v>258</v>
      </c>
      <c r="C33" s="25">
        <v>0.2</v>
      </c>
      <c r="D33" s="6">
        <v>0</v>
      </c>
      <c r="E33" s="6" t="s">
        <v>255</v>
      </c>
      <c r="F33" s="20">
        <v>0</v>
      </c>
      <c r="H33" s="29" t="s">
        <v>284</v>
      </c>
      <c r="I33" s="30">
        <v>0.1</v>
      </c>
    </row>
    <row r="34" spans="1:9" x14ac:dyDescent="0.35">
      <c r="A34" s="24" t="s">
        <v>34</v>
      </c>
      <c r="B34" s="24" t="s">
        <v>258</v>
      </c>
      <c r="C34" s="25">
        <v>0.2</v>
      </c>
      <c r="D34" s="6">
        <v>0</v>
      </c>
      <c r="E34" s="6" t="s">
        <v>254</v>
      </c>
      <c r="F34" s="20">
        <v>0</v>
      </c>
      <c r="H34" s="29" t="s">
        <v>285</v>
      </c>
      <c r="I34" s="30">
        <v>0</v>
      </c>
    </row>
    <row r="35" spans="1:9" x14ac:dyDescent="0.35">
      <c r="A35" s="24" t="s">
        <v>37</v>
      </c>
      <c r="B35" s="24" t="s">
        <v>259</v>
      </c>
      <c r="C35" s="25">
        <v>0.25</v>
      </c>
      <c r="D35" s="6">
        <v>0</v>
      </c>
      <c r="E35" s="6" t="s">
        <v>254</v>
      </c>
      <c r="F35" s="20">
        <v>0</v>
      </c>
      <c r="H35" s="29" t="s">
        <v>286</v>
      </c>
      <c r="I35" s="30">
        <v>0.1</v>
      </c>
    </row>
    <row r="36" spans="1:9" x14ac:dyDescent="0.35">
      <c r="A36" s="24" t="s">
        <v>36</v>
      </c>
      <c r="B36" s="24" t="s">
        <v>259</v>
      </c>
      <c r="C36" s="25">
        <v>0.25</v>
      </c>
      <c r="D36" s="6">
        <v>0</v>
      </c>
      <c r="E36" s="6" t="s">
        <v>254</v>
      </c>
      <c r="F36" s="20">
        <v>0</v>
      </c>
      <c r="H36" s="29" t="s">
        <v>287</v>
      </c>
      <c r="I36" s="30">
        <v>0.1</v>
      </c>
    </row>
    <row r="37" spans="1:9" x14ac:dyDescent="0.35">
      <c r="A37" s="24" t="s">
        <v>38</v>
      </c>
      <c r="B37" s="24" t="s">
        <v>259</v>
      </c>
      <c r="C37" s="25">
        <v>0.25</v>
      </c>
      <c r="D37" s="6">
        <v>0</v>
      </c>
      <c r="E37" s="6" t="s">
        <v>254</v>
      </c>
      <c r="F37" s="20">
        <v>0</v>
      </c>
      <c r="H37" s="29" t="s">
        <v>288</v>
      </c>
      <c r="I37" s="30">
        <v>0.25</v>
      </c>
    </row>
    <row r="38" spans="1:9" x14ac:dyDescent="0.35">
      <c r="A38" s="24" t="s">
        <v>44</v>
      </c>
      <c r="B38" s="24" t="s">
        <v>260</v>
      </c>
      <c r="C38" s="25">
        <v>0.2</v>
      </c>
      <c r="D38" s="6">
        <v>0</v>
      </c>
      <c r="E38" s="6" t="s">
        <v>254</v>
      </c>
      <c r="F38" s="20">
        <v>0</v>
      </c>
      <c r="H38"/>
      <c r="I38"/>
    </row>
    <row r="39" spans="1:9" x14ac:dyDescent="0.35">
      <c r="A39" s="24" t="s">
        <v>42</v>
      </c>
      <c r="B39" s="24" t="s">
        <v>260</v>
      </c>
      <c r="C39" s="25">
        <v>0.2</v>
      </c>
      <c r="D39" s="6">
        <v>0</v>
      </c>
      <c r="E39" s="6" t="s">
        <v>254</v>
      </c>
      <c r="F39" s="20">
        <v>0</v>
      </c>
      <c r="H39"/>
      <c r="I39"/>
    </row>
    <row r="40" spans="1:9" x14ac:dyDescent="0.35">
      <c r="A40" s="24" t="s">
        <v>43</v>
      </c>
      <c r="B40" s="24" t="s">
        <v>260</v>
      </c>
      <c r="C40" s="25">
        <v>0.2</v>
      </c>
      <c r="D40" s="6">
        <v>0</v>
      </c>
      <c r="E40" s="6" t="s">
        <v>254</v>
      </c>
      <c r="F40" s="20">
        <v>0</v>
      </c>
      <c r="H40"/>
      <c r="I40"/>
    </row>
    <row r="41" spans="1:9" x14ac:dyDescent="0.35">
      <c r="A41" s="24" t="s">
        <v>40</v>
      </c>
      <c r="B41" s="24" t="s">
        <v>260</v>
      </c>
      <c r="C41" s="25">
        <v>0.2</v>
      </c>
      <c r="D41" s="6">
        <v>0</v>
      </c>
      <c r="E41" s="6" t="s">
        <v>254</v>
      </c>
      <c r="F41" s="20">
        <v>0</v>
      </c>
      <c r="H41"/>
      <c r="I41"/>
    </row>
    <row r="42" spans="1:9" x14ac:dyDescent="0.35">
      <c r="A42" s="24" t="s">
        <v>39</v>
      </c>
      <c r="B42" s="24" t="s">
        <v>260</v>
      </c>
      <c r="C42" s="25">
        <v>0.2</v>
      </c>
      <c r="D42" s="6">
        <v>0</v>
      </c>
      <c r="E42" s="6" t="s">
        <v>254</v>
      </c>
      <c r="F42" s="20">
        <v>0</v>
      </c>
      <c r="H42"/>
      <c r="I42"/>
    </row>
    <row r="43" spans="1:9" x14ac:dyDescent="0.35">
      <c r="A43" s="24" t="s">
        <v>45</v>
      </c>
      <c r="B43" s="24" t="s">
        <v>260</v>
      </c>
      <c r="C43" s="25">
        <v>0.2</v>
      </c>
      <c r="D43" s="6">
        <v>0</v>
      </c>
      <c r="E43" s="6" t="s">
        <v>254</v>
      </c>
      <c r="F43" s="20">
        <v>0</v>
      </c>
      <c r="H43"/>
      <c r="I43"/>
    </row>
    <row r="44" spans="1:9" x14ac:dyDescent="0.35">
      <c r="A44" s="24" t="s">
        <v>41</v>
      </c>
      <c r="B44" s="24" t="s">
        <v>260</v>
      </c>
      <c r="C44" s="25">
        <v>0.2</v>
      </c>
      <c r="D44" s="6">
        <v>0</v>
      </c>
      <c r="E44" s="6" t="s">
        <v>254</v>
      </c>
      <c r="F44" s="20">
        <v>0</v>
      </c>
      <c r="H44"/>
      <c r="I44"/>
    </row>
    <row r="45" spans="1:9" x14ac:dyDescent="0.35">
      <c r="A45" s="24" t="s">
        <v>46</v>
      </c>
      <c r="B45" s="24" t="s">
        <v>261</v>
      </c>
      <c r="C45" s="25">
        <v>0.25</v>
      </c>
      <c r="D45" s="6">
        <v>0</v>
      </c>
      <c r="E45" s="6" t="s">
        <v>254</v>
      </c>
      <c r="F45" s="20">
        <v>0</v>
      </c>
      <c r="H45"/>
      <c r="I45"/>
    </row>
    <row r="46" spans="1:9" x14ac:dyDescent="0.35">
      <c r="A46" s="24" t="s">
        <v>48</v>
      </c>
      <c r="B46" s="24" t="s">
        <v>262</v>
      </c>
      <c r="C46" s="25">
        <v>0.5</v>
      </c>
      <c r="D46" s="6">
        <v>0</v>
      </c>
      <c r="E46" s="6" t="s">
        <v>254</v>
      </c>
      <c r="F46" s="20">
        <v>0.1</v>
      </c>
      <c r="H46"/>
      <c r="I46"/>
    </row>
    <row r="47" spans="1:9" x14ac:dyDescent="0.35">
      <c r="A47" s="24" t="s">
        <v>53</v>
      </c>
      <c r="B47" s="24" t="s">
        <v>262</v>
      </c>
      <c r="C47" s="25">
        <v>0.5</v>
      </c>
      <c r="D47" s="6">
        <v>0</v>
      </c>
      <c r="E47" s="6" t="s">
        <v>255</v>
      </c>
      <c r="F47" s="20">
        <v>0.15</v>
      </c>
      <c r="H47"/>
      <c r="I47"/>
    </row>
    <row r="48" spans="1:9" x14ac:dyDescent="0.35">
      <c r="A48" s="24" t="s">
        <v>49</v>
      </c>
      <c r="B48" s="24" t="s">
        <v>262</v>
      </c>
      <c r="C48" s="25">
        <v>0.5</v>
      </c>
      <c r="D48" s="6">
        <v>0</v>
      </c>
      <c r="E48" s="6" t="s">
        <v>255</v>
      </c>
      <c r="F48" s="20">
        <v>0.1</v>
      </c>
      <c r="H48"/>
      <c r="I48"/>
    </row>
    <row r="49" spans="1:9" x14ac:dyDescent="0.35">
      <c r="A49" s="24" t="s">
        <v>51</v>
      </c>
      <c r="B49" s="24" t="s">
        <v>262</v>
      </c>
      <c r="C49" s="25">
        <v>0.5</v>
      </c>
      <c r="D49" s="6">
        <v>0</v>
      </c>
      <c r="E49" s="6" t="s">
        <v>255</v>
      </c>
      <c r="F49" s="20">
        <v>0.1</v>
      </c>
      <c r="H49"/>
      <c r="I49"/>
    </row>
    <row r="50" spans="1:9" x14ac:dyDescent="0.35">
      <c r="A50" s="24" t="s">
        <v>65</v>
      </c>
      <c r="B50" s="24" t="s">
        <v>262</v>
      </c>
      <c r="C50" s="25">
        <v>0.5</v>
      </c>
      <c r="D50" s="6">
        <v>0</v>
      </c>
      <c r="E50" s="6" t="s">
        <v>255</v>
      </c>
      <c r="F50" s="20">
        <v>0.1</v>
      </c>
      <c r="H50"/>
      <c r="I50"/>
    </row>
    <row r="51" spans="1:9" x14ac:dyDescent="0.35">
      <c r="A51" s="24" t="s">
        <v>54</v>
      </c>
      <c r="B51" s="24" t="s">
        <v>262</v>
      </c>
      <c r="C51" s="25">
        <v>0.5</v>
      </c>
      <c r="D51" s="6">
        <v>0</v>
      </c>
      <c r="E51" s="6" t="s">
        <v>255</v>
      </c>
      <c r="F51" s="20">
        <v>0.1</v>
      </c>
      <c r="H51"/>
      <c r="I51"/>
    </row>
    <row r="52" spans="1:9" x14ac:dyDescent="0.35">
      <c r="A52" s="24" t="s">
        <v>67</v>
      </c>
      <c r="B52" s="24" t="s">
        <v>262</v>
      </c>
      <c r="C52" s="25">
        <v>0.5</v>
      </c>
      <c r="D52" s="6">
        <v>0</v>
      </c>
      <c r="E52" s="6" t="s">
        <v>255</v>
      </c>
      <c r="F52" s="20">
        <v>0.1</v>
      </c>
      <c r="H52"/>
      <c r="I52"/>
    </row>
    <row r="53" spans="1:9" x14ac:dyDescent="0.35">
      <c r="A53" s="24" t="s">
        <v>68</v>
      </c>
      <c r="B53" s="24" t="s">
        <v>262</v>
      </c>
      <c r="C53" s="25">
        <v>0.5</v>
      </c>
      <c r="D53" s="6">
        <v>0</v>
      </c>
      <c r="E53" s="6" t="s">
        <v>255</v>
      </c>
      <c r="F53" s="20">
        <v>0.1</v>
      </c>
      <c r="H53"/>
      <c r="I53"/>
    </row>
    <row r="54" spans="1:9" x14ac:dyDescent="0.35">
      <c r="A54" s="24" t="s">
        <v>56</v>
      </c>
      <c r="B54" s="24" t="s">
        <v>262</v>
      </c>
      <c r="C54" s="25">
        <v>0.5</v>
      </c>
      <c r="D54" s="6">
        <v>0</v>
      </c>
      <c r="E54" s="6" t="s">
        <v>255</v>
      </c>
      <c r="F54" s="20">
        <v>0.1</v>
      </c>
      <c r="H54"/>
      <c r="I54"/>
    </row>
    <row r="55" spans="1:9" x14ac:dyDescent="0.35">
      <c r="A55" s="24" t="s">
        <v>60</v>
      </c>
      <c r="B55" s="24" t="s">
        <v>262</v>
      </c>
      <c r="C55" s="25">
        <v>0.5</v>
      </c>
      <c r="D55" s="6">
        <v>0</v>
      </c>
      <c r="E55" s="6" t="s">
        <v>255</v>
      </c>
      <c r="F55" s="20">
        <v>0.1</v>
      </c>
      <c r="H55"/>
      <c r="I55"/>
    </row>
    <row r="56" spans="1:9" x14ac:dyDescent="0.35">
      <c r="A56" s="24" t="s">
        <v>52</v>
      </c>
      <c r="B56" s="24" t="s">
        <v>262</v>
      </c>
      <c r="C56" s="25">
        <v>0.5</v>
      </c>
      <c r="D56" s="6">
        <v>0</v>
      </c>
      <c r="E56" s="6" t="s">
        <v>255</v>
      </c>
      <c r="F56" s="20">
        <v>0.1</v>
      </c>
      <c r="H56"/>
      <c r="I56"/>
    </row>
    <row r="57" spans="1:9" x14ac:dyDescent="0.35">
      <c r="A57" s="24" t="s">
        <v>323</v>
      </c>
      <c r="B57" s="24" t="s">
        <v>262</v>
      </c>
      <c r="C57" s="25">
        <v>0.5</v>
      </c>
      <c r="D57" s="6">
        <v>0</v>
      </c>
      <c r="E57" s="6" t="s">
        <v>255</v>
      </c>
      <c r="F57" s="20">
        <v>0.1</v>
      </c>
      <c r="H57"/>
      <c r="I57"/>
    </row>
    <row r="58" spans="1:9" x14ac:dyDescent="0.35">
      <c r="A58" s="24" t="s">
        <v>55</v>
      </c>
      <c r="B58" s="24" t="s">
        <v>262</v>
      </c>
      <c r="C58" s="25">
        <v>0.5</v>
      </c>
      <c r="D58" s="6">
        <v>0</v>
      </c>
      <c r="E58" s="6" t="s">
        <v>255</v>
      </c>
      <c r="F58" s="20">
        <v>0.1</v>
      </c>
      <c r="H58"/>
      <c r="I58"/>
    </row>
    <row r="59" spans="1:9" x14ac:dyDescent="0.35">
      <c r="A59" s="24" t="s">
        <v>324</v>
      </c>
      <c r="B59" s="24" t="s">
        <v>262</v>
      </c>
      <c r="C59" s="25">
        <v>0.5</v>
      </c>
      <c r="D59" s="6">
        <v>0</v>
      </c>
      <c r="E59" s="6" t="s">
        <v>255</v>
      </c>
      <c r="F59" s="20">
        <v>0.1</v>
      </c>
      <c r="H59"/>
      <c r="I59"/>
    </row>
    <row r="60" spans="1:9" x14ac:dyDescent="0.35">
      <c r="A60" s="24" t="s">
        <v>59</v>
      </c>
      <c r="B60" s="24" t="s">
        <v>262</v>
      </c>
      <c r="C60" s="25">
        <v>0.5</v>
      </c>
      <c r="D60" s="6">
        <v>0</v>
      </c>
      <c r="E60" s="6" t="s">
        <v>255</v>
      </c>
      <c r="F60" s="20">
        <v>0.1</v>
      </c>
      <c r="H60"/>
      <c r="I60"/>
    </row>
    <row r="61" spans="1:9" x14ac:dyDescent="0.35">
      <c r="A61" s="24" t="s">
        <v>57</v>
      </c>
      <c r="B61" s="24" t="s">
        <v>262</v>
      </c>
      <c r="C61" s="25">
        <v>0.5</v>
      </c>
      <c r="D61" s="6">
        <v>0</v>
      </c>
      <c r="E61" s="6" t="s">
        <v>255</v>
      </c>
      <c r="F61" s="20">
        <v>0.1</v>
      </c>
      <c r="H61"/>
      <c r="I61"/>
    </row>
    <row r="62" spans="1:9" x14ac:dyDescent="0.35">
      <c r="A62" s="24" t="s">
        <v>58</v>
      </c>
      <c r="B62" s="24" t="s">
        <v>262</v>
      </c>
      <c r="C62" s="25">
        <v>0.5</v>
      </c>
      <c r="D62" s="6">
        <v>0</v>
      </c>
      <c r="E62" s="6" t="s">
        <v>255</v>
      </c>
      <c r="F62" s="20">
        <v>0.1</v>
      </c>
      <c r="H62"/>
      <c r="I62"/>
    </row>
    <row r="63" spans="1:9" x14ac:dyDescent="0.35">
      <c r="A63" s="24" t="s">
        <v>61</v>
      </c>
      <c r="B63" s="24" t="s">
        <v>262</v>
      </c>
      <c r="C63" s="25">
        <v>0.5</v>
      </c>
      <c r="D63" s="6">
        <v>0</v>
      </c>
      <c r="E63" s="6" t="s">
        <v>255</v>
      </c>
      <c r="F63" s="20">
        <v>0.1</v>
      </c>
      <c r="H63"/>
      <c r="I63"/>
    </row>
    <row r="64" spans="1:9" x14ac:dyDescent="0.35">
      <c r="A64" s="24" t="s">
        <v>62</v>
      </c>
      <c r="B64" s="24" t="s">
        <v>262</v>
      </c>
      <c r="C64" s="25">
        <v>0.5</v>
      </c>
      <c r="D64" s="6">
        <v>0</v>
      </c>
      <c r="E64" s="6" t="s">
        <v>255</v>
      </c>
      <c r="F64" s="20">
        <v>0.1</v>
      </c>
      <c r="H64"/>
      <c r="I64"/>
    </row>
    <row r="65" spans="1:9" x14ac:dyDescent="0.35">
      <c r="A65" s="24" t="s">
        <v>63</v>
      </c>
      <c r="B65" s="24" t="s">
        <v>262</v>
      </c>
      <c r="C65" s="25">
        <v>0.5</v>
      </c>
      <c r="D65" s="6">
        <v>0</v>
      </c>
      <c r="E65" s="6" t="s">
        <v>255</v>
      </c>
      <c r="F65" s="20">
        <v>0.1</v>
      </c>
      <c r="H65"/>
      <c r="I65"/>
    </row>
    <row r="66" spans="1:9" x14ac:dyDescent="0.35">
      <c r="A66" s="24" t="s">
        <v>64</v>
      </c>
      <c r="B66" s="24" t="s">
        <v>262</v>
      </c>
      <c r="C66" s="25">
        <v>0.5</v>
      </c>
      <c r="D66" s="6">
        <v>0</v>
      </c>
      <c r="E66" s="6" t="s">
        <v>255</v>
      </c>
      <c r="F66" s="20">
        <v>0.1</v>
      </c>
      <c r="H66"/>
      <c r="I66"/>
    </row>
    <row r="67" spans="1:9" x14ac:dyDescent="0.35">
      <c r="A67" s="24" t="s">
        <v>66</v>
      </c>
      <c r="B67" s="24" t="s">
        <v>262</v>
      </c>
      <c r="C67" s="25">
        <v>0.5</v>
      </c>
      <c r="D67" s="6">
        <v>0</v>
      </c>
      <c r="E67" s="6" t="s">
        <v>255</v>
      </c>
      <c r="F67" s="20">
        <v>0.1</v>
      </c>
      <c r="H67"/>
      <c r="I67"/>
    </row>
    <row r="68" spans="1:9" x14ac:dyDescent="0.35">
      <c r="A68" s="24" t="s">
        <v>47</v>
      </c>
      <c r="B68" s="24" t="s">
        <v>262</v>
      </c>
      <c r="C68" s="25">
        <v>0.5</v>
      </c>
      <c r="D68" s="6">
        <v>0</v>
      </c>
      <c r="E68" s="6" t="s">
        <v>255</v>
      </c>
      <c r="F68" s="20">
        <v>0.1</v>
      </c>
      <c r="H68"/>
      <c r="I68"/>
    </row>
    <row r="69" spans="1:9" x14ac:dyDescent="0.35">
      <c r="A69" s="24" t="s">
        <v>50</v>
      </c>
      <c r="B69" s="24" t="s">
        <v>262</v>
      </c>
      <c r="C69" s="25">
        <v>0.5</v>
      </c>
      <c r="D69" s="6">
        <v>0</v>
      </c>
      <c r="E69" s="6" t="s">
        <v>255</v>
      </c>
      <c r="F69" s="20">
        <v>0.1</v>
      </c>
      <c r="H69"/>
      <c r="I69"/>
    </row>
    <row r="70" spans="1:9" x14ac:dyDescent="0.35">
      <c r="A70" s="24" t="s">
        <v>69</v>
      </c>
      <c r="B70" s="24" t="s">
        <v>263</v>
      </c>
      <c r="C70" s="25">
        <v>0.35</v>
      </c>
      <c r="D70" s="6">
        <v>0</v>
      </c>
      <c r="E70" s="6" t="s">
        <v>254</v>
      </c>
      <c r="F70" s="20">
        <v>0.1</v>
      </c>
      <c r="H70"/>
      <c r="I70"/>
    </row>
    <row r="71" spans="1:9" x14ac:dyDescent="0.35">
      <c r="A71" s="24" t="s">
        <v>71</v>
      </c>
      <c r="B71" s="24" t="s">
        <v>263</v>
      </c>
      <c r="C71" s="25">
        <v>0.35</v>
      </c>
      <c r="D71" s="6">
        <v>0</v>
      </c>
      <c r="E71" s="6" t="s">
        <v>254</v>
      </c>
      <c r="F71" s="20">
        <v>0.1</v>
      </c>
      <c r="H71"/>
      <c r="I71"/>
    </row>
    <row r="72" spans="1:9" x14ac:dyDescent="0.35">
      <c r="A72" s="24" t="s">
        <v>298</v>
      </c>
      <c r="B72" s="24" t="s">
        <v>263</v>
      </c>
      <c r="C72" s="25">
        <v>0.35</v>
      </c>
      <c r="D72" s="6">
        <v>0</v>
      </c>
      <c r="E72" s="6" t="s">
        <v>254</v>
      </c>
      <c r="F72" s="20">
        <v>0.1</v>
      </c>
      <c r="H72"/>
      <c r="I72"/>
    </row>
    <row r="73" spans="1:9" x14ac:dyDescent="0.35">
      <c r="A73" s="24" t="s">
        <v>74</v>
      </c>
      <c r="B73" s="24" t="s">
        <v>263</v>
      </c>
      <c r="C73" s="25">
        <v>0.35</v>
      </c>
      <c r="D73" s="6">
        <v>0</v>
      </c>
      <c r="E73" s="6" t="s">
        <v>254</v>
      </c>
      <c r="F73" s="20">
        <v>0.1</v>
      </c>
      <c r="H73"/>
      <c r="I73"/>
    </row>
    <row r="74" spans="1:9" x14ac:dyDescent="0.35">
      <c r="A74" s="24" t="s">
        <v>72</v>
      </c>
      <c r="B74" s="24" t="s">
        <v>263</v>
      </c>
      <c r="C74" s="25">
        <v>0.35</v>
      </c>
      <c r="D74" s="6">
        <v>0</v>
      </c>
      <c r="E74" s="6" t="s">
        <v>254</v>
      </c>
      <c r="F74" s="20">
        <v>0.1</v>
      </c>
      <c r="H74"/>
      <c r="I74"/>
    </row>
    <row r="75" spans="1:9" x14ac:dyDescent="0.35">
      <c r="A75" s="24" t="s">
        <v>75</v>
      </c>
      <c r="B75" s="24" t="s">
        <v>263</v>
      </c>
      <c r="C75" s="25">
        <v>0.35</v>
      </c>
      <c r="D75" s="6">
        <v>0</v>
      </c>
      <c r="E75" s="6" t="s">
        <v>254</v>
      </c>
      <c r="F75" s="20">
        <v>0.1</v>
      </c>
      <c r="H75"/>
      <c r="I75"/>
    </row>
    <row r="76" spans="1:9" x14ac:dyDescent="0.35">
      <c r="A76" s="24" t="s">
        <v>76</v>
      </c>
      <c r="B76" s="24" t="s">
        <v>263</v>
      </c>
      <c r="C76" s="25">
        <v>0.35</v>
      </c>
      <c r="D76" s="6">
        <v>0</v>
      </c>
      <c r="E76" s="6" t="s">
        <v>254</v>
      </c>
      <c r="F76" s="20">
        <v>0.1</v>
      </c>
      <c r="H76"/>
      <c r="I76"/>
    </row>
    <row r="77" spans="1:9" x14ac:dyDescent="0.35">
      <c r="A77" s="24" t="s">
        <v>325</v>
      </c>
      <c r="B77" s="24" t="s">
        <v>263</v>
      </c>
      <c r="C77" s="25">
        <v>0.35</v>
      </c>
      <c r="D77" s="6">
        <v>0</v>
      </c>
      <c r="E77" s="6" t="s">
        <v>254</v>
      </c>
      <c r="F77" s="20">
        <v>0.1</v>
      </c>
      <c r="H77"/>
      <c r="I77"/>
    </row>
    <row r="78" spans="1:9" x14ac:dyDescent="0.35">
      <c r="A78" s="24" t="s">
        <v>77</v>
      </c>
      <c r="B78" s="24" t="s">
        <v>263</v>
      </c>
      <c r="C78" s="25">
        <v>0.35</v>
      </c>
      <c r="D78" s="6">
        <v>0</v>
      </c>
      <c r="E78" s="6" t="s">
        <v>254</v>
      </c>
      <c r="F78" s="20">
        <v>0.1</v>
      </c>
      <c r="H78"/>
      <c r="I78"/>
    </row>
    <row r="79" spans="1:9" x14ac:dyDescent="0.35">
      <c r="A79" s="24" t="s">
        <v>73</v>
      </c>
      <c r="B79" s="24" t="s">
        <v>263</v>
      </c>
      <c r="C79" s="25">
        <v>0.35</v>
      </c>
      <c r="D79" s="6">
        <v>0</v>
      </c>
      <c r="E79" s="6" t="s">
        <v>254</v>
      </c>
      <c r="F79" s="20">
        <v>0.1</v>
      </c>
      <c r="H79"/>
      <c r="I79"/>
    </row>
    <row r="80" spans="1:9" x14ac:dyDescent="0.35">
      <c r="A80" s="24" t="s">
        <v>70</v>
      </c>
      <c r="B80" s="24" t="s">
        <v>263</v>
      </c>
      <c r="C80" s="25">
        <v>0.35</v>
      </c>
      <c r="D80" s="6">
        <v>0</v>
      </c>
      <c r="E80" s="6" t="s">
        <v>254</v>
      </c>
      <c r="F80" s="20">
        <v>0.1</v>
      </c>
      <c r="H80"/>
      <c r="I80"/>
    </row>
    <row r="81" spans="1:9" x14ac:dyDescent="0.35">
      <c r="A81" s="24" t="s">
        <v>78</v>
      </c>
      <c r="B81" s="24" t="s">
        <v>264</v>
      </c>
      <c r="C81" s="25">
        <v>0.25</v>
      </c>
      <c r="D81" s="6">
        <v>0</v>
      </c>
      <c r="E81" s="6" t="s">
        <v>254</v>
      </c>
      <c r="F81" s="20">
        <v>0</v>
      </c>
      <c r="H81"/>
      <c r="I81"/>
    </row>
    <row r="82" spans="1:9" x14ac:dyDescent="0.35">
      <c r="A82" s="24" t="s">
        <v>79</v>
      </c>
      <c r="B82" s="24" t="s">
        <v>264</v>
      </c>
      <c r="C82" s="25">
        <v>0.25</v>
      </c>
      <c r="D82" s="6">
        <v>0</v>
      </c>
      <c r="E82" s="6" t="s">
        <v>254</v>
      </c>
      <c r="F82" s="20">
        <v>0</v>
      </c>
      <c r="H82"/>
      <c r="I82"/>
    </row>
    <row r="83" spans="1:9" x14ac:dyDescent="0.35">
      <c r="A83" s="24" t="s">
        <v>80</v>
      </c>
      <c r="B83" s="24" t="s">
        <v>265</v>
      </c>
      <c r="C83" s="25">
        <v>0.25</v>
      </c>
      <c r="D83" s="6">
        <v>0</v>
      </c>
      <c r="E83" s="6" t="s">
        <v>254</v>
      </c>
      <c r="F83" s="20">
        <v>0.1</v>
      </c>
      <c r="H83"/>
      <c r="I83"/>
    </row>
    <row r="84" spans="1:9" x14ac:dyDescent="0.35">
      <c r="A84" s="24" t="s">
        <v>83</v>
      </c>
      <c r="B84" s="24" t="s">
        <v>265</v>
      </c>
      <c r="C84" s="25">
        <v>0.25</v>
      </c>
      <c r="D84" s="6">
        <v>0</v>
      </c>
      <c r="E84" s="6" t="s">
        <v>254</v>
      </c>
      <c r="F84" s="20">
        <v>0</v>
      </c>
      <c r="H84"/>
      <c r="I84"/>
    </row>
    <row r="85" spans="1:9" x14ac:dyDescent="0.35">
      <c r="A85" s="24" t="s">
        <v>84</v>
      </c>
      <c r="B85" s="24" t="s">
        <v>265</v>
      </c>
      <c r="C85" s="25">
        <v>0.25</v>
      </c>
      <c r="D85" s="6">
        <v>0</v>
      </c>
      <c r="E85" s="6" t="s">
        <v>254</v>
      </c>
      <c r="F85" s="20">
        <v>0</v>
      </c>
      <c r="H85"/>
      <c r="I85"/>
    </row>
    <row r="86" spans="1:9" x14ac:dyDescent="0.35">
      <c r="A86" s="24" t="s">
        <v>81</v>
      </c>
      <c r="B86" s="24" t="s">
        <v>265</v>
      </c>
      <c r="C86" s="25">
        <v>0.25</v>
      </c>
      <c r="D86" s="6">
        <v>0</v>
      </c>
      <c r="E86" s="6" t="s">
        <v>254</v>
      </c>
      <c r="F86" s="20">
        <v>0</v>
      </c>
      <c r="H86"/>
      <c r="I86"/>
    </row>
    <row r="87" spans="1:9" x14ac:dyDescent="0.35">
      <c r="A87" s="24" t="s">
        <v>82</v>
      </c>
      <c r="B87" s="24" t="s">
        <v>265</v>
      </c>
      <c r="C87" s="25">
        <v>0.25</v>
      </c>
      <c r="D87" s="6">
        <v>0</v>
      </c>
      <c r="E87" s="6" t="s">
        <v>254</v>
      </c>
      <c r="F87" s="20">
        <v>0</v>
      </c>
      <c r="H87"/>
      <c r="I87"/>
    </row>
    <row r="88" spans="1:9" x14ac:dyDescent="0.35">
      <c r="A88" s="24" t="s">
        <v>86</v>
      </c>
      <c r="B88" s="24" t="s">
        <v>265</v>
      </c>
      <c r="C88" s="25">
        <v>0.25</v>
      </c>
      <c r="D88" s="6">
        <v>0</v>
      </c>
      <c r="E88" s="6" t="s">
        <v>254</v>
      </c>
      <c r="F88" s="20">
        <v>0</v>
      </c>
      <c r="H88"/>
      <c r="I88"/>
    </row>
    <row r="89" spans="1:9" x14ac:dyDescent="0.35">
      <c r="A89" s="24" t="s">
        <v>88</v>
      </c>
      <c r="B89" s="24" t="s">
        <v>265</v>
      </c>
      <c r="C89" s="25">
        <v>0.25</v>
      </c>
      <c r="D89" s="6">
        <v>0</v>
      </c>
      <c r="E89" s="6" t="s">
        <v>254</v>
      </c>
      <c r="F89" s="20">
        <v>0</v>
      </c>
      <c r="H89"/>
      <c r="I89"/>
    </row>
    <row r="90" spans="1:9" x14ac:dyDescent="0.35">
      <c r="A90" s="24" t="s">
        <v>93</v>
      </c>
      <c r="B90" s="24" t="s">
        <v>265</v>
      </c>
      <c r="C90" s="25">
        <v>0.25</v>
      </c>
      <c r="D90" s="6">
        <v>0</v>
      </c>
      <c r="E90" s="6" t="s">
        <v>254</v>
      </c>
      <c r="F90" s="20">
        <v>0</v>
      </c>
      <c r="H90"/>
      <c r="I90"/>
    </row>
    <row r="91" spans="1:9" x14ac:dyDescent="0.35">
      <c r="A91" s="24" t="s">
        <v>326</v>
      </c>
      <c r="B91" s="24" t="s">
        <v>265</v>
      </c>
      <c r="C91" s="25">
        <v>0.25</v>
      </c>
      <c r="D91" s="6">
        <v>0</v>
      </c>
      <c r="E91" s="6" t="s">
        <v>254</v>
      </c>
      <c r="F91" s="20">
        <v>0</v>
      </c>
      <c r="H91"/>
      <c r="I91"/>
    </row>
    <row r="92" spans="1:9" x14ac:dyDescent="0.35">
      <c r="A92" s="24" t="s">
        <v>327</v>
      </c>
      <c r="B92" s="24" t="s">
        <v>265</v>
      </c>
      <c r="C92" s="25">
        <v>0.25</v>
      </c>
      <c r="D92" s="6">
        <v>0</v>
      </c>
      <c r="E92" s="6" t="s">
        <v>254</v>
      </c>
      <c r="F92" s="20">
        <v>0</v>
      </c>
      <c r="H92"/>
      <c r="I92"/>
    </row>
    <row r="93" spans="1:9" x14ac:dyDescent="0.35">
      <c r="A93" s="24" t="s">
        <v>87</v>
      </c>
      <c r="B93" s="24" t="s">
        <v>265</v>
      </c>
      <c r="C93" s="25">
        <v>0.25</v>
      </c>
      <c r="D93" s="6">
        <v>0</v>
      </c>
      <c r="E93" s="6" t="s">
        <v>254</v>
      </c>
      <c r="F93" s="20">
        <v>0</v>
      </c>
      <c r="H93"/>
      <c r="I93"/>
    </row>
    <row r="94" spans="1:9" x14ac:dyDescent="0.35">
      <c r="A94" s="24" t="s">
        <v>85</v>
      </c>
      <c r="B94" s="24" t="s">
        <v>265</v>
      </c>
      <c r="C94" s="25">
        <v>0.25</v>
      </c>
      <c r="D94" s="6">
        <v>0</v>
      </c>
      <c r="E94" s="6" t="s">
        <v>254</v>
      </c>
      <c r="F94" s="20">
        <v>0</v>
      </c>
      <c r="H94"/>
      <c r="I94"/>
    </row>
    <row r="95" spans="1:9" x14ac:dyDescent="0.35">
      <c r="A95" s="24" t="s">
        <v>91</v>
      </c>
      <c r="B95" s="24" t="s">
        <v>265</v>
      </c>
      <c r="C95" s="25">
        <v>0.25</v>
      </c>
      <c r="D95" s="6">
        <v>0</v>
      </c>
      <c r="E95" s="6" t="s">
        <v>254</v>
      </c>
      <c r="F95" s="20">
        <v>0</v>
      </c>
      <c r="H95"/>
      <c r="I95"/>
    </row>
    <row r="96" spans="1:9" x14ac:dyDescent="0.35">
      <c r="A96" s="24" t="s">
        <v>300</v>
      </c>
      <c r="B96" s="24" t="s">
        <v>265</v>
      </c>
      <c r="C96" s="25">
        <v>0.25</v>
      </c>
      <c r="D96" s="6">
        <v>0</v>
      </c>
      <c r="E96" s="6" t="s">
        <v>254</v>
      </c>
      <c r="F96" s="20">
        <v>0</v>
      </c>
      <c r="H96"/>
      <c r="I96"/>
    </row>
    <row r="97" spans="1:9" x14ac:dyDescent="0.35">
      <c r="A97" s="24" t="s">
        <v>89</v>
      </c>
      <c r="B97" s="24" t="s">
        <v>265</v>
      </c>
      <c r="C97" s="25">
        <v>0.25</v>
      </c>
      <c r="D97" s="6">
        <v>0</v>
      </c>
      <c r="E97" s="6" t="s">
        <v>254</v>
      </c>
      <c r="F97" s="20">
        <v>0</v>
      </c>
      <c r="H97"/>
      <c r="I97"/>
    </row>
    <row r="98" spans="1:9" x14ac:dyDescent="0.35">
      <c r="A98" s="24" t="s">
        <v>92</v>
      </c>
      <c r="B98" s="24" t="s">
        <v>265</v>
      </c>
      <c r="C98" s="25">
        <v>0.25</v>
      </c>
      <c r="D98" s="6">
        <v>0</v>
      </c>
      <c r="E98" s="6" t="s">
        <v>254</v>
      </c>
      <c r="F98" s="20">
        <v>0</v>
      </c>
      <c r="H98"/>
      <c r="I98"/>
    </row>
    <row r="99" spans="1:9" x14ac:dyDescent="0.35">
      <c r="A99" s="24" t="s">
        <v>328</v>
      </c>
      <c r="B99" s="24" t="s">
        <v>265</v>
      </c>
      <c r="C99" s="25">
        <v>0.25</v>
      </c>
      <c r="D99" s="6">
        <v>0</v>
      </c>
      <c r="E99" s="6" t="s">
        <v>254</v>
      </c>
      <c r="F99" s="20">
        <v>0</v>
      </c>
      <c r="H99"/>
      <c r="I99"/>
    </row>
    <row r="100" spans="1:9" x14ac:dyDescent="0.35">
      <c r="A100" s="24" t="s">
        <v>90</v>
      </c>
      <c r="B100" s="24" t="s">
        <v>265</v>
      </c>
      <c r="C100" s="25">
        <v>0.25</v>
      </c>
      <c r="D100" s="6">
        <v>0</v>
      </c>
      <c r="E100" s="6" t="s">
        <v>254</v>
      </c>
      <c r="F100" s="20">
        <v>0</v>
      </c>
      <c r="H100"/>
      <c r="I100"/>
    </row>
    <row r="101" spans="1:9" x14ac:dyDescent="0.35">
      <c r="A101" s="24" t="s">
        <v>100</v>
      </c>
      <c r="B101" s="24" t="s">
        <v>266</v>
      </c>
      <c r="C101" s="25">
        <v>0.25</v>
      </c>
      <c r="D101" s="6">
        <v>0</v>
      </c>
      <c r="E101" s="6" t="s">
        <v>254</v>
      </c>
      <c r="F101" s="20">
        <v>0</v>
      </c>
      <c r="H101"/>
      <c r="I101"/>
    </row>
    <row r="102" spans="1:9" x14ac:dyDescent="0.35">
      <c r="A102" s="24" t="s">
        <v>97</v>
      </c>
      <c r="B102" s="24" t="s">
        <v>266</v>
      </c>
      <c r="C102" s="25">
        <v>0.25</v>
      </c>
      <c r="D102" s="6">
        <v>0</v>
      </c>
      <c r="E102" s="6" t="s">
        <v>254</v>
      </c>
      <c r="F102" s="20">
        <v>0</v>
      </c>
      <c r="H102"/>
      <c r="I102"/>
    </row>
    <row r="103" spans="1:9" x14ac:dyDescent="0.35">
      <c r="A103" s="24" t="s">
        <v>96</v>
      </c>
      <c r="B103" s="24" t="s">
        <v>266</v>
      </c>
      <c r="C103" s="25">
        <v>0.25</v>
      </c>
      <c r="D103" s="6">
        <v>0</v>
      </c>
      <c r="E103" s="6" t="s">
        <v>254</v>
      </c>
      <c r="F103" s="20">
        <v>0</v>
      </c>
      <c r="H103"/>
      <c r="I103"/>
    </row>
    <row r="104" spans="1:9" x14ac:dyDescent="0.35">
      <c r="A104" s="24" t="s">
        <v>94</v>
      </c>
      <c r="B104" s="24" t="s">
        <v>266</v>
      </c>
      <c r="C104" s="25">
        <v>0.25</v>
      </c>
      <c r="D104" s="6">
        <v>0</v>
      </c>
      <c r="E104" s="6" t="s">
        <v>254</v>
      </c>
      <c r="F104" s="20">
        <v>0</v>
      </c>
      <c r="H104"/>
      <c r="I104"/>
    </row>
    <row r="105" spans="1:9" x14ac:dyDescent="0.35">
      <c r="A105" s="24" t="s">
        <v>95</v>
      </c>
      <c r="B105" s="24" t="s">
        <v>266</v>
      </c>
      <c r="C105" s="25">
        <v>0.25</v>
      </c>
      <c r="D105" s="6">
        <v>0</v>
      </c>
      <c r="E105" s="6" t="s">
        <v>254</v>
      </c>
      <c r="F105" s="20">
        <v>0</v>
      </c>
      <c r="H105"/>
      <c r="I105"/>
    </row>
    <row r="106" spans="1:9" x14ac:dyDescent="0.35">
      <c r="A106" s="24" t="s">
        <v>98</v>
      </c>
      <c r="B106" s="24" t="s">
        <v>266</v>
      </c>
      <c r="C106" s="25">
        <v>0.25</v>
      </c>
      <c r="D106" s="6">
        <v>0</v>
      </c>
      <c r="E106" s="6" t="s">
        <v>254</v>
      </c>
      <c r="F106" s="20">
        <v>0</v>
      </c>
      <c r="H106"/>
      <c r="I106"/>
    </row>
    <row r="107" spans="1:9" x14ac:dyDescent="0.35">
      <c r="A107" s="24" t="s">
        <v>99</v>
      </c>
      <c r="B107" s="24" t="s">
        <v>266</v>
      </c>
      <c r="C107" s="25">
        <v>0.25</v>
      </c>
      <c r="D107" s="6">
        <v>0</v>
      </c>
      <c r="E107" s="6" t="s">
        <v>254</v>
      </c>
      <c r="F107" s="20">
        <v>0</v>
      </c>
      <c r="H107"/>
      <c r="I107"/>
    </row>
    <row r="108" spans="1:9" x14ac:dyDescent="0.35">
      <c r="A108" s="24" t="s">
        <v>101</v>
      </c>
      <c r="B108" s="24" t="s">
        <v>267</v>
      </c>
      <c r="C108" s="25">
        <v>0.35</v>
      </c>
      <c r="D108" s="6">
        <v>0</v>
      </c>
      <c r="E108" s="6" t="s">
        <v>254</v>
      </c>
      <c r="F108" s="20">
        <v>0</v>
      </c>
      <c r="H108"/>
      <c r="I108"/>
    </row>
    <row r="109" spans="1:9" x14ac:dyDescent="0.35">
      <c r="A109" s="24" t="s">
        <v>329</v>
      </c>
      <c r="B109" s="24" t="s">
        <v>267</v>
      </c>
      <c r="C109" s="25">
        <v>0.35</v>
      </c>
      <c r="D109" s="6">
        <v>0</v>
      </c>
      <c r="E109" s="6" t="s">
        <v>254</v>
      </c>
      <c r="F109" s="20">
        <v>0</v>
      </c>
      <c r="H109"/>
      <c r="I109"/>
    </row>
    <row r="110" spans="1:9" x14ac:dyDescent="0.35">
      <c r="A110" s="24" t="s">
        <v>330</v>
      </c>
      <c r="B110" s="24" t="s">
        <v>267</v>
      </c>
      <c r="C110" s="25">
        <v>0.35</v>
      </c>
      <c r="D110" s="6">
        <v>0</v>
      </c>
      <c r="E110" s="6" t="s">
        <v>254</v>
      </c>
      <c r="F110" s="20">
        <v>0</v>
      </c>
      <c r="H110"/>
      <c r="I110"/>
    </row>
    <row r="111" spans="1:9" x14ac:dyDescent="0.35">
      <c r="A111" s="24" t="s">
        <v>113</v>
      </c>
      <c r="B111" s="24" t="s">
        <v>267</v>
      </c>
      <c r="C111" s="25">
        <v>0.35</v>
      </c>
      <c r="D111" s="6">
        <v>0</v>
      </c>
      <c r="E111" s="6" t="s">
        <v>254</v>
      </c>
      <c r="F111" s="20">
        <v>0</v>
      </c>
      <c r="H111"/>
      <c r="I111"/>
    </row>
    <row r="112" spans="1:9" x14ac:dyDescent="0.35">
      <c r="A112" s="24" t="s">
        <v>106</v>
      </c>
      <c r="B112" s="24" t="s">
        <v>267</v>
      </c>
      <c r="C112" s="25">
        <v>0.35</v>
      </c>
      <c r="D112" s="6">
        <v>0</v>
      </c>
      <c r="E112" s="6" t="s">
        <v>254</v>
      </c>
      <c r="F112" s="20">
        <v>0</v>
      </c>
      <c r="H112"/>
      <c r="I112"/>
    </row>
    <row r="113" spans="1:9" x14ac:dyDescent="0.35">
      <c r="A113" s="24" t="s">
        <v>103</v>
      </c>
      <c r="B113" s="24" t="s">
        <v>267</v>
      </c>
      <c r="C113" s="25">
        <v>0.35</v>
      </c>
      <c r="D113" s="6">
        <v>0</v>
      </c>
      <c r="E113" s="6" t="s">
        <v>254</v>
      </c>
      <c r="F113" s="20">
        <v>0</v>
      </c>
      <c r="H113"/>
      <c r="I113"/>
    </row>
    <row r="114" spans="1:9" x14ac:dyDescent="0.35">
      <c r="A114" s="24" t="s">
        <v>104</v>
      </c>
      <c r="B114" s="24" t="s">
        <v>267</v>
      </c>
      <c r="C114" s="25">
        <v>0.35</v>
      </c>
      <c r="D114" s="6">
        <v>0</v>
      </c>
      <c r="E114" s="6" t="s">
        <v>254</v>
      </c>
      <c r="F114" s="20">
        <v>0</v>
      </c>
      <c r="H114"/>
      <c r="I114"/>
    </row>
    <row r="115" spans="1:9" x14ac:dyDescent="0.35">
      <c r="A115" s="24" t="s">
        <v>112</v>
      </c>
      <c r="B115" s="24" t="s">
        <v>267</v>
      </c>
      <c r="C115" s="25">
        <v>0.35</v>
      </c>
      <c r="D115" s="6">
        <v>0</v>
      </c>
      <c r="E115" s="6" t="s">
        <v>254</v>
      </c>
      <c r="F115" s="20">
        <v>0</v>
      </c>
      <c r="H115"/>
      <c r="I115"/>
    </row>
    <row r="116" spans="1:9" x14ac:dyDescent="0.35">
      <c r="A116" s="24" t="s">
        <v>108</v>
      </c>
      <c r="B116" s="24" t="s">
        <v>267</v>
      </c>
      <c r="C116" s="25">
        <v>0.35</v>
      </c>
      <c r="D116" s="6">
        <v>0</v>
      </c>
      <c r="E116" s="6" t="s">
        <v>254</v>
      </c>
      <c r="F116" s="20">
        <v>0</v>
      </c>
      <c r="H116"/>
      <c r="I116"/>
    </row>
    <row r="117" spans="1:9" x14ac:dyDescent="0.35">
      <c r="A117" s="24" t="s">
        <v>102</v>
      </c>
      <c r="B117" s="24" t="s">
        <v>267</v>
      </c>
      <c r="C117" s="25">
        <v>0.35</v>
      </c>
      <c r="D117" s="6">
        <v>0</v>
      </c>
      <c r="E117" s="6" t="s">
        <v>254</v>
      </c>
      <c r="F117" s="20">
        <v>0</v>
      </c>
      <c r="H117"/>
      <c r="I117"/>
    </row>
    <row r="118" spans="1:9" x14ac:dyDescent="0.35">
      <c r="A118" s="24" t="s">
        <v>302</v>
      </c>
      <c r="B118" s="24" t="s">
        <v>267</v>
      </c>
      <c r="C118" s="25">
        <v>0.35</v>
      </c>
      <c r="D118" s="6">
        <v>0</v>
      </c>
      <c r="E118" s="6" t="s">
        <v>254</v>
      </c>
      <c r="F118" s="20">
        <v>0</v>
      </c>
      <c r="H118"/>
      <c r="I118"/>
    </row>
    <row r="119" spans="1:9" x14ac:dyDescent="0.35">
      <c r="A119" s="24" t="s">
        <v>105</v>
      </c>
      <c r="B119" s="24" t="s">
        <v>267</v>
      </c>
      <c r="C119" s="25">
        <v>0.35</v>
      </c>
      <c r="D119" s="6">
        <v>0</v>
      </c>
      <c r="E119" s="6" t="s">
        <v>254</v>
      </c>
      <c r="F119" s="20">
        <v>0.1</v>
      </c>
      <c r="H119"/>
      <c r="I119"/>
    </row>
    <row r="120" spans="1:9" x14ac:dyDescent="0.35">
      <c r="A120" s="24" t="s">
        <v>107</v>
      </c>
      <c r="B120" s="24" t="s">
        <v>267</v>
      </c>
      <c r="C120" s="25">
        <v>0.35</v>
      </c>
      <c r="D120" s="6">
        <v>0</v>
      </c>
      <c r="E120" s="6" t="s">
        <v>254</v>
      </c>
      <c r="F120" s="20">
        <v>0.1</v>
      </c>
      <c r="H120"/>
      <c r="I120"/>
    </row>
    <row r="121" spans="1:9" x14ac:dyDescent="0.35">
      <c r="A121" s="24" t="s">
        <v>111</v>
      </c>
      <c r="B121" s="24" t="s">
        <v>267</v>
      </c>
      <c r="C121" s="25">
        <v>0.35</v>
      </c>
      <c r="D121" s="6">
        <v>0</v>
      </c>
      <c r="E121" s="6" t="s">
        <v>254</v>
      </c>
      <c r="F121" s="20">
        <v>0</v>
      </c>
      <c r="H121"/>
      <c r="I121"/>
    </row>
    <row r="122" spans="1:9" x14ac:dyDescent="0.35">
      <c r="A122" s="24" t="s">
        <v>301</v>
      </c>
      <c r="B122" s="24" t="s">
        <v>267</v>
      </c>
      <c r="C122" s="25">
        <v>0.35</v>
      </c>
      <c r="D122" s="6">
        <v>0</v>
      </c>
      <c r="E122" s="6" t="s">
        <v>254</v>
      </c>
      <c r="F122" s="20">
        <v>0</v>
      </c>
      <c r="H122"/>
      <c r="I122"/>
    </row>
    <row r="123" spans="1:9" x14ac:dyDescent="0.35">
      <c r="A123" s="24" t="s">
        <v>110</v>
      </c>
      <c r="B123" s="24" t="s">
        <v>267</v>
      </c>
      <c r="C123" s="25">
        <v>0.35</v>
      </c>
      <c r="D123" s="6">
        <v>0</v>
      </c>
      <c r="E123" s="6" t="s">
        <v>254</v>
      </c>
      <c r="F123" s="20">
        <v>0</v>
      </c>
      <c r="H123"/>
      <c r="I123"/>
    </row>
    <row r="124" spans="1:9" x14ac:dyDescent="0.35">
      <c r="A124" s="24" t="s">
        <v>109</v>
      </c>
      <c r="B124" s="24" t="s">
        <v>267</v>
      </c>
      <c r="C124" s="25">
        <v>0.35</v>
      </c>
      <c r="D124" s="6">
        <v>0</v>
      </c>
      <c r="E124" s="6" t="s">
        <v>254</v>
      </c>
      <c r="F124" s="20">
        <v>0</v>
      </c>
      <c r="H124"/>
      <c r="I124"/>
    </row>
    <row r="125" spans="1:9" x14ac:dyDescent="0.35">
      <c r="A125" s="24" t="s">
        <v>124</v>
      </c>
      <c r="B125" s="24" t="s">
        <v>268</v>
      </c>
      <c r="C125" s="25">
        <v>0.35</v>
      </c>
      <c r="D125" s="6">
        <v>0</v>
      </c>
      <c r="E125" s="6" t="s">
        <v>254</v>
      </c>
      <c r="F125" s="20">
        <v>0.1</v>
      </c>
      <c r="H125"/>
      <c r="I125"/>
    </row>
    <row r="126" spans="1:9" x14ac:dyDescent="0.35">
      <c r="A126" s="24" t="s">
        <v>123</v>
      </c>
      <c r="B126" s="24" t="s">
        <v>268</v>
      </c>
      <c r="C126" s="25">
        <v>0.35</v>
      </c>
      <c r="D126" s="6">
        <v>0</v>
      </c>
      <c r="E126" s="6" t="s">
        <v>255</v>
      </c>
      <c r="F126" s="20">
        <v>0.1</v>
      </c>
      <c r="H126"/>
      <c r="I126"/>
    </row>
    <row r="127" spans="1:9" x14ac:dyDescent="0.35">
      <c r="A127" s="24" t="s">
        <v>114</v>
      </c>
      <c r="B127" s="24" t="s">
        <v>268</v>
      </c>
      <c r="C127" s="25">
        <v>0.35</v>
      </c>
      <c r="D127" s="6">
        <v>0</v>
      </c>
      <c r="E127" s="6" t="s">
        <v>255</v>
      </c>
      <c r="F127" s="20">
        <v>0.1</v>
      </c>
      <c r="H127"/>
      <c r="I127"/>
    </row>
    <row r="128" spans="1:9" x14ac:dyDescent="0.35">
      <c r="A128" s="24" t="s">
        <v>116</v>
      </c>
      <c r="B128" s="24" t="s">
        <v>268</v>
      </c>
      <c r="C128" s="25">
        <v>0.35</v>
      </c>
      <c r="D128" s="6">
        <v>0</v>
      </c>
      <c r="E128" s="6" t="s">
        <v>255</v>
      </c>
      <c r="F128" s="20">
        <v>0.1</v>
      </c>
      <c r="H128"/>
      <c r="I128"/>
    </row>
    <row r="129" spans="1:9" x14ac:dyDescent="0.35">
      <c r="A129" s="24" t="s">
        <v>115</v>
      </c>
      <c r="B129" s="24" t="s">
        <v>268</v>
      </c>
      <c r="C129" s="25">
        <v>0.35</v>
      </c>
      <c r="D129" s="6">
        <v>0</v>
      </c>
      <c r="E129" s="6" t="s">
        <v>255</v>
      </c>
      <c r="F129" s="20">
        <v>0.1</v>
      </c>
      <c r="H129"/>
      <c r="I129"/>
    </row>
    <row r="130" spans="1:9" x14ac:dyDescent="0.35">
      <c r="A130" s="24" t="s">
        <v>118</v>
      </c>
      <c r="B130" s="24" t="s">
        <v>268</v>
      </c>
      <c r="C130" s="25">
        <v>0.35</v>
      </c>
      <c r="D130" s="6">
        <v>0</v>
      </c>
      <c r="E130" s="6" t="s">
        <v>255</v>
      </c>
      <c r="F130" s="20">
        <v>0.1</v>
      </c>
      <c r="H130"/>
      <c r="I130"/>
    </row>
    <row r="131" spans="1:9" x14ac:dyDescent="0.35">
      <c r="A131" s="24" t="s">
        <v>121</v>
      </c>
      <c r="B131" s="24" t="s">
        <v>268</v>
      </c>
      <c r="C131" s="25">
        <v>0.35</v>
      </c>
      <c r="D131" s="6">
        <v>0</v>
      </c>
      <c r="E131" s="6" t="s">
        <v>255</v>
      </c>
      <c r="F131" s="20">
        <v>0.1</v>
      </c>
      <c r="H131"/>
      <c r="I131"/>
    </row>
    <row r="132" spans="1:9" x14ac:dyDescent="0.35">
      <c r="A132" s="24" t="s">
        <v>120</v>
      </c>
      <c r="B132" s="24" t="s">
        <v>268</v>
      </c>
      <c r="C132" s="25">
        <v>0.35</v>
      </c>
      <c r="D132" s="6">
        <v>0</v>
      </c>
      <c r="E132" s="6" t="s">
        <v>255</v>
      </c>
      <c r="F132" s="20">
        <v>0.1</v>
      </c>
      <c r="H132"/>
      <c r="I132"/>
    </row>
    <row r="133" spans="1:9" x14ac:dyDescent="0.35">
      <c r="A133" s="24" t="s">
        <v>119</v>
      </c>
      <c r="B133" s="24" t="s">
        <v>268</v>
      </c>
      <c r="C133" s="25">
        <v>0.35</v>
      </c>
      <c r="D133" s="6">
        <v>0</v>
      </c>
      <c r="E133" s="6" t="s">
        <v>255</v>
      </c>
      <c r="F133" s="20">
        <v>0.1</v>
      </c>
      <c r="H133"/>
      <c r="I133"/>
    </row>
    <row r="134" spans="1:9" x14ac:dyDescent="0.35">
      <c r="A134" s="24" t="s">
        <v>331</v>
      </c>
      <c r="B134" s="24" t="s">
        <v>268</v>
      </c>
      <c r="C134" s="25">
        <v>0.35</v>
      </c>
      <c r="D134" s="6">
        <v>0</v>
      </c>
      <c r="E134" s="6" t="s">
        <v>255</v>
      </c>
      <c r="F134" s="20">
        <v>0.1</v>
      </c>
      <c r="H134"/>
      <c r="I134"/>
    </row>
    <row r="135" spans="1:9" x14ac:dyDescent="0.35">
      <c r="A135" s="24" t="s">
        <v>122</v>
      </c>
      <c r="B135" s="24" t="s">
        <v>268</v>
      </c>
      <c r="C135" s="25">
        <v>0.35</v>
      </c>
      <c r="D135" s="6">
        <v>0</v>
      </c>
      <c r="E135" s="6" t="s">
        <v>255</v>
      </c>
      <c r="F135" s="20">
        <v>0.1</v>
      </c>
      <c r="H135"/>
      <c r="I135"/>
    </row>
    <row r="136" spans="1:9" x14ac:dyDescent="0.35">
      <c r="A136" s="24" t="s">
        <v>117</v>
      </c>
      <c r="B136" s="24" t="s">
        <v>268</v>
      </c>
      <c r="C136" s="25">
        <v>0.35</v>
      </c>
      <c r="D136" s="6">
        <v>0</v>
      </c>
      <c r="E136" s="6" t="s">
        <v>255</v>
      </c>
      <c r="F136" s="20">
        <v>0.1</v>
      </c>
      <c r="H136"/>
      <c r="I136"/>
    </row>
    <row r="137" spans="1:9" x14ac:dyDescent="0.35">
      <c r="A137" s="24" t="s">
        <v>126</v>
      </c>
      <c r="B137" s="24" t="s">
        <v>269</v>
      </c>
      <c r="C137" s="25">
        <v>0.25</v>
      </c>
      <c r="D137" s="6">
        <v>0</v>
      </c>
      <c r="E137" s="6" t="s">
        <v>254</v>
      </c>
      <c r="F137" s="20">
        <v>0</v>
      </c>
      <c r="H137"/>
      <c r="I137"/>
    </row>
    <row r="138" spans="1:9" x14ac:dyDescent="0.35">
      <c r="A138" s="24" t="s">
        <v>128</v>
      </c>
      <c r="B138" s="24" t="s">
        <v>269</v>
      </c>
      <c r="C138" s="25">
        <v>0.25</v>
      </c>
      <c r="D138" s="6">
        <v>0</v>
      </c>
      <c r="E138" s="6" t="s">
        <v>254</v>
      </c>
      <c r="F138" s="20">
        <v>0</v>
      </c>
      <c r="H138"/>
      <c r="I138"/>
    </row>
    <row r="139" spans="1:9" x14ac:dyDescent="0.35">
      <c r="A139" s="24" t="s">
        <v>125</v>
      </c>
      <c r="B139" s="24" t="s">
        <v>269</v>
      </c>
      <c r="C139" s="25">
        <v>0.25</v>
      </c>
      <c r="D139" s="6">
        <v>0</v>
      </c>
      <c r="E139" s="6" t="s">
        <v>254</v>
      </c>
      <c r="F139" s="20">
        <v>0</v>
      </c>
      <c r="H139"/>
      <c r="I139"/>
    </row>
    <row r="140" spans="1:9" x14ac:dyDescent="0.35">
      <c r="A140" s="24" t="s">
        <v>127</v>
      </c>
      <c r="B140" s="24" t="s">
        <v>269</v>
      </c>
      <c r="C140" s="25">
        <v>0.25</v>
      </c>
      <c r="D140" s="6">
        <v>0</v>
      </c>
      <c r="E140" s="6" t="s">
        <v>254</v>
      </c>
      <c r="F140" s="20">
        <v>0</v>
      </c>
      <c r="H140"/>
      <c r="I140"/>
    </row>
    <row r="141" spans="1:9" x14ac:dyDescent="0.35">
      <c r="A141" s="24" t="s">
        <v>332</v>
      </c>
      <c r="B141" s="24" t="s">
        <v>269</v>
      </c>
      <c r="C141" s="25">
        <v>0.25</v>
      </c>
      <c r="D141" s="6">
        <v>0</v>
      </c>
      <c r="E141" s="6" t="s">
        <v>254</v>
      </c>
      <c r="F141" s="20">
        <v>0</v>
      </c>
      <c r="H141"/>
      <c r="I141"/>
    </row>
    <row r="142" spans="1:9" x14ac:dyDescent="0.35">
      <c r="A142" s="24" t="s">
        <v>333</v>
      </c>
      <c r="B142" s="24" t="s">
        <v>269</v>
      </c>
      <c r="C142" s="25">
        <v>0.25</v>
      </c>
      <c r="D142" s="6">
        <v>0</v>
      </c>
      <c r="E142" s="6" t="s">
        <v>254</v>
      </c>
      <c r="F142" s="20">
        <v>0</v>
      </c>
      <c r="H142"/>
      <c r="I142"/>
    </row>
    <row r="143" spans="1:9" x14ac:dyDescent="0.35">
      <c r="A143" s="24" t="s">
        <v>129</v>
      </c>
      <c r="B143" s="24" t="s">
        <v>269</v>
      </c>
      <c r="C143" s="25">
        <v>0.25</v>
      </c>
      <c r="D143" s="6">
        <v>0</v>
      </c>
      <c r="E143" s="6" t="s">
        <v>254</v>
      </c>
      <c r="F143" s="20">
        <v>0</v>
      </c>
      <c r="H143"/>
      <c r="I143"/>
    </row>
    <row r="144" spans="1:9" x14ac:dyDescent="0.35">
      <c r="A144" s="24" t="s">
        <v>334</v>
      </c>
      <c r="B144" s="24" t="s">
        <v>270</v>
      </c>
      <c r="C144" s="25">
        <v>0.25</v>
      </c>
      <c r="D144" s="6">
        <v>0</v>
      </c>
      <c r="E144" s="6" t="s">
        <v>254</v>
      </c>
      <c r="F144" s="20">
        <v>0</v>
      </c>
      <c r="H144"/>
      <c r="I144"/>
    </row>
    <row r="145" spans="1:9" x14ac:dyDescent="0.35">
      <c r="A145" s="24" t="s">
        <v>299</v>
      </c>
      <c r="B145" s="24" t="s">
        <v>271</v>
      </c>
      <c r="C145" s="25">
        <v>0.25</v>
      </c>
      <c r="D145" s="6">
        <v>0</v>
      </c>
      <c r="E145" s="6" t="s">
        <v>254</v>
      </c>
      <c r="F145" s="20">
        <v>0.1</v>
      </c>
      <c r="H145"/>
      <c r="I145"/>
    </row>
    <row r="146" spans="1:9" x14ac:dyDescent="0.35">
      <c r="A146" s="24" t="s">
        <v>133</v>
      </c>
      <c r="B146" s="24" t="s">
        <v>271</v>
      </c>
      <c r="C146" s="25">
        <v>0.25</v>
      </c>
      <c r="D146" s="6">
        <v>0</v>
      </c>
      <c r="E146" s="6" t="s">
        <v>254</v>
      </c>
      <c r="F146" s="20">
        <v>0</v>
      </c>
      <c r="H146"/>
      <c r="I146"/>
    </row>
    <row r="147" spans="1:9" x14ac:dyDescent="0.35">
      <c r="A147" s="24" t="s">
        <v>130</v>
      </c>
      <c r="B147" s="24" t="s">
        <v>271</v>
      </c>
      <c r="C147" s="25">
        <v>0.25</v>
      </c>
      <c r="D147" s="6">
        <v>0</v>
      </c>
      <c r="E147" s="6" t="s">
        <v>254</v>
      </c>
      <c r="F147" s="20">
        <v>0</v>
      </c>
      <c r="H147"/>
      <c r="I147"/>
    </row>
    <row r="148" spans="1:9" x14ac:dyDescent="0.35">
      <c r="A148" s="24" t="s">
        <v>335</v>
      </c>
      <c r="B148" s="24" t="s">
        <v>271</v>
      </c>
      <c r="C148" s="25">
        <v>0.25</v>
      </c>
      <c r="D148" s="6">
        <v>0</v>
      </c>
      <c r="E148" s="6" t="s">
        <v>254</v>
      </c>
      <c r="F148" s="20">
        <v>0</v>
      </c>
      <c r="H148"/>
      <c r="I148"/>
    </row>
    <row r="149" spans="1:9" x14ac:dyDescent="0.35">
      <c r="A149" s="24" t="s">
        <v>304</v>
      </c>
      <c r="B149" s="24" t="s">
        <v>271</v>
      </c>
      <c r="C149" s="25">
        <v>0.25</v>
      </c>
      <c r="D149" s="6">
        <v>0</v>
      </c>
      <c r="E149" s="6" t="s">
        <v>254</v>
      </c>
      <c r="F149" s="20">
        <v>0</v>
      </c>
      <c r="H149"/>
      <c r="I149"/>
    </row>
    <row r="150" spans="1:9" x14ac:dyDescent="0.35">
      <c r="A150" s="24" t="s">
        <v>132</v>
      </c>
      <c r="B150" s="24" t="s">
        <v>271</v>
      </c>
      <c r="C150" s="25">
        <v>0.25</v>
      </c>
      <c r="D150" s="6">
        <v>0</v>
      </c>
      <c r="E150" s="6" t="s">
        <v>254</v>
      </c>
      <c r="F150" s="20">
        <v>0</v>
      </c>
      <c r="H150"/>
      <c r="I150"/>
    </row>
    <row r="151" spans="1:9" x14ac:dyDescent="0.35">
      <c r="A151" s="24" t="s">
        <v>303</v>
      </c>
      <c r="B151" s="24" t="s">
        <v>271</v>
      </c>
      <c r="C151" s="25">
        <v>0.25</v>
      </c>
      <c r="D151" s="6">
        <v>0</v>
      </c>
      <c r="E151" s="6" t="s">
        <v>254</v>
      </c>
      <c r="F151" s="20">
        <v>0</v>
      </c>
      <c r="H151"/>
      <c r="I151"/>
    </row>
    <row r="152" spans="1:9" x14ac:dyDescent="0.35">
      <c r="A152" s="24" t="s">
        <v>131</v>
      </c>
      <c r="B152" s="24" t="s">
        <v>271</v>
      </c>
      <c r="C152" s="25">
        <v>0.25</v>
      </c>
      <c r="D152" s="6">
        <v>0</v>
      </c>
      <c r="E152" s="6" t="s">
        <v>254</v>
      </c>
      <c r="F152" s="20">
        <v>0</v>
      </c>
      <c r="H152"/>
      <c r="I152"/>
    </row>
    <row r="153" spans="1:9" x14ac:dyDescent="0.35">
      <c r="A153" s="24" t="s">
        <v>141</v>
      </c>
      <c r="B153" s="24" t="s">
        <v>272</v>
      </c>
      <c r="C153" s="25">
        <v>0.2</v>
      </c>
      <c r="D153" s="6">
        <v>0</v>
      </c>
      <c r="E153" s="6" t="s">
        <v>254</v>
      </c>
      <c r="F153" s="20">
        <v>0.1</v>
      </c>
      <c r="H153"/>
      <c r="I153"/>
    </row>
    <row r="154" spans="1:9" x14ac:dyDescent="0.35">
      <c r="A154" s="24" t="s">
        <v>138</v>
      </c>
      <c r="B154" s="24" t="s">
        <v>272</v>
      </c>
      <c r="C154" s="25">
        <v>0.2</v>
      </c>
      <c r="D154" s="6">
        <v>0</v>
      </c>
      <c r="E154" s="6" t="s">
        <v>254</v>
      </c>
      <c r="F154" s="20">
        <v>0.1</v>
      </c>
      <c r="H154"/>
      <c r="I154"/>
    </row>
    <row r="155" spans="1:9" x14ac:dyDescent="0.35">
      <c r="A155" s="24" t="s">
        <v>135</v>
      </c>
      <c r="B155" s="24" t="s">
        <v>272</v>
      </c>
      <c r="C155" s="25">
        <v>0.2</v>
      </c>
      <c r="D155" s="6">
        <v>0</v>
      </c>
      <c r="E155" s="6" t="s">
        <v>254</v>
      </c>
      <c r="F155" s="20">
        <v>0.1</v>
      </c>
      <c r="H155"/>
      <c r="I155"/>
    </row>
    <row r="156" spans="1:9" x14ac:dyDescent="0.35">
      <c r="A156" s="24" t="s">
        <v>137</v>
      </c>
      <c r="B156" s="24" t="s">
        <v>272</v>
      </c>
      <c r="C156" s="25">
        <v>0.2</v>
      </c>
      <c r="D156" s="6">
        <v>0</v>
      </c>
      <c r="E156" s="6" t="s">
        <v>254</v>
      </c>
      <c r="F156" s="20">
        <v>0.1</v>
      </c>
      <c r="H156"/>
      <c r="I156"/>
    </row>
    <row r="157" spans="1:9" x14ac:dyDescent="0.35">
      <c r="A157" s="24" t="s">
        <v>139</v>
      </c>
      <c r="B157" s="24" t="s">
        <v>272</v>
      </c>
      <c r="C157" s="25">
        <v>0.2</v>
      </c>
      <c r="D157" s="6">
        <v>0</v>
      </c>
      <c r="E157" s="6" t="s">
        <v>254</v>
      </c>
      <c r="F157" s="20">
        <v>0.1</v>
      </c>
      <c r="H157"/>
      <c r="I157"/>
    </row>
    <row r="158" spans="1:9" x14ac:dyDescent="0.35">
      <c r="A158" s="24" t="s">
        <v>136</v>
      </c>
      <c r="B158" s="24" t="s">
        <v>272</v>
      </c>
      <c r="C158" s="25">
        <v>0.2</v>
      </c>
      <c r="D158" s="6">
        <v>0</v>
      </c>
      <c r="E158" s="6" t="s">
        <v>254</v>
      </c>
      <c r="F158" s="20">
        <v>0.1</v>
      </c>
      <c r="H158"/>
      <c r="I158"/>
    </row>
    <row r="159" spans="1:9" x14ac:dyDescent="0.35">
      <c r="A159" s="24" t="s">
        <v>140</v>
      </c>
      <c r="B159" s="24" t="s">
        <v>272</v>
      </c>
      <c r="C159" s="25">
        <v>0.2</v>
      </c>
      <c r="D159" s="6">
        <v>0</v>
      </c>
      <c r="E159" s="6" t="s">
        <v>254</v>
      </c>
      <c r="F159" s="20">
        <v>0.1</v>
      </c>
      <c r="H159"/>
      <c r="I159"/>
    </row>
    <row r="160" spans="1:9" x14ac:dyDescent="0.35">
      <c r="A160" s="24" t="s">
        <v>134</v>
      </c>
      <c r="B160" s="24" t="s">
        <v>272</v>
      </c>
      <c r="C160" s="25">
        <v>0.2</v>
      </c>
      <c r="D160" s="6">
        <v>0</v>
      </c>
      <c r="E160" s="6" t="s">
        <v>254</v>
      </c>
      <c r="F160" s="20">
        <v>0.1</v>
      </c>
      <c r="H160"/>
      <c r="I160"/>
    </row>
    <row r="161" spans="1:9" x14ac:dyDescent="0.35">
      <c r="A161" s="24" t="s">
        <v>144</v>
      </c>
      <c r="B161" s="24" t="s">
        <v>273</v>
      </c>
      <c r="C161" s="25">
        <v>0.25</v>
      </c>
      <c r="D161" s="6">
        <v>0</v>
      </c>
      <c r="E161" s="6" t="s">
        <v>254</v>
      </c>
      <c r="F161" s="20">
        <v>0</v>
      </c>
      <c r="H161"/>
      <c r="I161"/>
    </row>
    <row r="162" spans="1:9" x14ac:dyDescent="0.35">
      <c r="A162" s="24" t="s">
        <v>336</v>
      </c>
      <c r="B162" s="24" t="s">
        <v>273</v>
      </c>
      <c r="C162" s="25">
        <v>0.25</v>
      </c>
      <c r="D162" s="6">
        <v>0</v>
      </c>
      <c r="E162" s="6" t="s">
        <v>254</v>
      </c>
      <c r="F162" s="20">
        <v>0</v>
      </c>
      <c r="H162"/>
      <c r="I162"/>
    </row>
    <row r="163" spans="1:9" x14ac:dyDescent="0.35">
      <c r="A163" s="24" t="s">
        <v>142</v>
      </c>
      <c r="B163" s="24" t="s">
        <v>273</v>
      </c>
      <c r="C163" s="25">
        <v>0.25</v>
      </c>
      <c r="D163" s="6">
        <v>0</v>
      </c>
      <c r="E163" s="6" t="s">
        <v>254</v>
      </c>
      <c r="F163" s="20">
        <v>0</v>
      </c>
      <c r="H163"/>
      <c r="I163"/>
    </row>
    <row r="164" spans="1:9" x14ac:dyDescent="0.35">
      <c r="A164" s="24" t="s">
        <v>145</v>
      </c>
      <c r="B164" s="24" t="s">
        <v>273</v>
      </c>
      <c r="C164" s="25">
        <v>0.25</v>
      </c>
      <c r="D164" s="6">
        <v>0</v>
      </c>
      <c r="E164" s="6" t="s">
        <v>254</v>
      </c>
      <c r="F164" s="20">
        <v>0</v>
      </c>
      <c r="H164"/>
      <c r="I164"/>
    </row>
    <row r="165" spans="1:9" x14ac:dyDescent="0.35">
      <c r="A165" s="24" t="s">
        <v>337</v>
      </c>
      <c r="B165" s="24" t="s">
        <v>273</v>
      </c>
      <c r="C165" s="25">
        <v>0.25</v>
      </c>
      <c r="D165" s="6">
        <v>0</v>
      </c>
      <c r="E165" s="6" t="s">
        <v>254</v>
      </c>
      <c r="F165" s="20">
        <v>0</v>
      </c>
      <c r="H165"/>
      <c r="I165"/>
    </row>
    <row r="166" spans="1:9" x14ac:dyDescent="0.35">
      <c r="A166" s="24" t="s">
        <v>143</v>
      </c>
      <c r="B166" s="24" t="s">
        <v>273</v>
      </c>
      <c r="C166" s="25">
        <v>0.25</v>
      </c>
      <c r="D166" s="6">
        <v>0</v>
      </c>
      <c r="E166" s="6" t="s">
        <v>254</v>
      </c>
      <c r="F166" s="20">
        <v>0</v>
      </c>
      <c r="H166"/>
      <c r="I166"/>
    </row>
    <row r="167" spans="1:9" x14ac:dyDescent="0.35">
      <c r="A167" s="24" t="s">
        <v>338</v>
      </c>
      <c r="B167" s="24" t="s">
        <v>273</v>
      </c>
      <c r="C167" s="25">
        <v>0.25</v>
      </c>
      <c r="D167" s="6">
        <v>0</v>
      </c>
      <c r="E167" s="6" t="s">
        <v>254</v>
      </c>
      <c r="F167" s="20">
        <v>0</v>
      </c>
      <c r="H167"/>
      <c r="I167"/>
    </row>
    <row r="168" spans="1:9" x14ac:dyDescent="0.35">
      <c r="A168" s="24" t="s">
        <v>339</v>
      </c>
      <c r="B168" s="24" t="s">
        <v>340</v>
      </c>
      <c r="C168" s="25">
        <v>0.25</v>
      </c>
      <c r="D168" s="6">
        <v>0</v>
      </c>
      <c r="E168" s="6" t="s">
        <v>254</v>
      </c>
      <c r="F168" s="20">
        <v>0</v>
      </c>
      <c r="H168"/>
      <c r="I168"/>
    </row>
    <row r="169" spans="1:9" x14ac:dyDescent="0.35">
      <c r="A169" s="24" t="s">
        <v>146</v>
      </c>
      <c r="B169" s="24" t="s">
        <v>274</v>
      </c>
      <c r="C169" s="25">
        <v>0.25</v>
      </c>
      <c r="D169" s="6">
        <v>0</v>
      </c>
      <c r="E169" s="6" t="s">
        <v>255</v>
      </c>
      <c r="F169" s="20">
        <v>0.1</v>
      </c>
      <c r="H169"/>
      <c r="I169"/>
    </row>
    <row r="170" spans="1:9" x14ac:dyDescent="0.35">
      <c r="A170" s="24" t="s">
        <v>150</v>
      </c>
      <c r="B170" s="24" t="s">
        <v>274</v>
      </c>
      <c r="C170" s="25">
        <v>0.25</v>
      </c>
      <c r="D170" s="6">
        <v>0</v>
      </c>
      <c r="E170" s="6" t="s">
        <v>255</v>
      </c>
      <c r="F170" s="20">
        <v>0.1</v>
      </c>
      <c r="H170"/>
      <c r="I170"/>
    </row>
    <row r="171" spans="1:9" x14ac:dyDescent="0.35">
      <c r="A171" s="24" t="s">
        <v>151</v>
      </c>
      <c r="B171" s="24" t="s">
        <v>274</v>
      </c>
      <c r="C171" s="25">
        <v>0.25</v>
      </c>
      <c r="D171" s="6">
        <v>0</v>
      </c>
      <c r="E171" s="6" t="s">
        <v>255</v>
      </c>
      <c r="F171" s="20">
        <v>0.1</v>
      </c>
      <c r="H171"/>
      <c r="I171"/>
    </row>
    <row r="172" spans="1:9" x14ac:dyDescent="0.35">
      <c r="A172" s="24" t="s">
        <v>148</v>
      </c>
      <c r="B172" s="24" t="s">
        <v>274</v>
      </c>
      <c r="C172" s="25">
        <v>0.25</v>
      </c>
      <c r="D172" s="6">
        <v>0</v>
      </c>
      <c r="E172" s="6" t="s">
        <v>255</v>
      </c>
      <c r="F172" s="20">
        <v>0.1</v>
      </c>
      <c r="H172"/>
      <c r="I172"/>
    </row>
    <row r="173" spans="1:9" x14ac:dyDescent="0.35">
      <c r="A173" s="24" t="s">
        <v>147</v>
      </c>
      <c r="B173" s="24" t="s">
        <v>274</v>
      </c>
      <c r="C173" s="25">
        <v>0.25</v>
      </c>
      <c r="D173" s="6">
        <v>0</v>
      </c>
      <c r="E173" s="6" t="s">
        <v>255</v>
      </c>
      <c r="F173" s="20">
        <v>0.1</v>
      </c>
      <c r="H173"/>
      <c r="I173"/>
    </row>
    <row r="174" spans="1:9" x14ac:dyDescent="0.35">
      <c r="A174" s="24" t="s">
        <v>149</v>
      </c>
      <c r="B174" s="24" t="s">
        <v>274</v>
      </c>
      <c r="C174" s="25">
        <v>0.25</v>
      </c>
      <c r="D174" s="6">
        <v>0</v>
      </c>
      <c r="E174" s="6" t="s">
        <v>255</v>
      </c>
      <c r="F174" s="20">
        <v>0.1</v>
      </c>
      <c r="H174"/>
      <c r="I174"/>
    </row>
    <row r="175" spans="1:9" x14ac:dyDescent="0.35">
      <c r="A175" s="24" t="s">
        <v>152</v>
      </c>
      <c r="B175" s="24" t="s">
        <v>274</v>
      </c>
      <c r="C175" s="25">
        <v>0.25</v>
      </c>
      <c r="D175" s="6">
        <v>0</v>
      </c>
      <c r="E175" s="6" t="s">
        <v>255</v>
      </c>
      <c r="F175" s="20">
        <v>0.1</v>
      </c>
      <c r="H175"/>
      <c r="I175"/>
    </row>
    <row r="176" spans="1:9" x14ac:dyDescent="0.35">
      <c r="A176" s="24" t="s">
        <v>341</v>
      </c>
      <c r="B176" s="24" t="s">
        <v>274</v>
      </c>
      <c r="C176" s="25">
        <v>0.25</v>
      </c>
      <c r="D176" s="6">
        <v>0</v>
      </c>
      <c r="E176" s="6" t="s">
        <v>255</v>
      </c>
      <c r="F176" s="20">
        <v>0.1</v>
      </c>
      <c r="H176"/>
      <c r="I176"/>
    </row>
    <row r="177" spans="1:9" x14ac:dyDescent="0.35">
      <c r="A177" s="24" t="s">
        <v>153</v>
      </c>
      <c r="B177" s="24" t="s">
        <v>274</v>
      </c>
      <c r="C177" s="25">
        <v>0.25</v>
      </c>
      <c r="D177" s="6">
        <v>0</v>
      </c>
      <c r="E177" s="6" t="s">
        <v>255</v>
      </c>
      <c r="F177" s="20">
        <v>0.1</v>
      </c>
      <c r="H177"/>
      <c r="I177"/>
    </row>
    <row r="178" spans="1:9" x14ac:dyDescent="0.35">
      <c r="A178" s="24" t="s">
        <v>154</v>
      </c>
      <c r="B178" s="24" t="s">
        <v>274</v>
      </c>
      <c r="C178" s="25">
        <v>0.25</v>
      </c>
      <c r="D178" s="6">
        <v>0</v>
      </c>
      <c r="E178" s="6" t="s">
        <v>255</v>
      </c>
      <c r="F178" s="20">
        <v>0.1</v>
      </c>
      <c r="H178"/>
      <c r="I178"/>
    </row>
    <row r="179" spans="1:9" x14ac:dyDescent="0.35">
      <c r="A179" s="24" t="s">
        <v>156</v>
      </c>
      <c r="B179" s="24" t="s">
        <v>275</v>
      </c>
      <c r="C179" s="25">
        <v>0.35</v>
      </c>
      <c r="D179" s="6">
        <v>0</v>
      </c>
      <c r="E179" s="6" t="s">
        <v>255</v>
      </c>
      <c r="F179" s="20">
        <v>0.1</v>
      </c>
      <c r="H179"/>
      <c r="I179"/>
    </row>
    <row r="180" spans="1:9" x14ac:dyDescent="0.35">
      <c r="A180" s="24" t="s">
        <v>155</v>
      </c>
      <c r="B180" s="24" t="s">
        <v>275</v>
      </c>
      <c r="C180" s="25">
        <v>0.35</v>
      </c>
      <c r="D180" s="6">
        <v>0</v>
      </c>
      <c r="E180" s="6" t="s">
        <v>255</v>
      </c>
      <c r="F180" s="20">
        <v>0.1</v>
      </c>
      <c r="H180"/>
      <c r="I180"/>
    </row>
    <row r="181" spans="1:9" x14ac:dyDescent="0.35">
      <c r="A181" s="24" t="s">
        <v>157</v>
      </c>
      <c r="B181" s="24" t="s">
        <v>275</v>
      </c>
      <c r="C181" s="25">
        <v>0.35</v>
      </c>
      <c r="D181" s="6">
        <v>0</v>
      </c>
      <c r="E181" s="6" t="s">
        <v>255</v>
      </c>
      <c r="F181" s="20">
        <v>0.1</v>
      </c>
      <c r="H181"/>
      <c r="I181"/>
    </row>
    <row r="182" spans="1:9" x14ac:dyDescent="0.35">
      <c r="A182" s="24" t="s">
        <v>164</v>
      </c>
      <c r="B182" s="24" t="s">
        <v>275</v>
      </c>
      <c r="C182" s="25">
        <v>0.35</v>
      </c>
      <c r="D182" s="6">
        <v>0</v>
      </c>
      <c r="E182" s="6" t="s">
        <v>255</v>
      </c>
      <c r="F182" s="20">
        <v>0.1</v>
      </c>
      <c r="H182"/>
      <c r="I182"/>
    </row>
    <row r="183" spans="1:9" x14ac:dyDescent="0.35">
      <c r="A183" s="24" t="s">
        <v>342</v>
      </c>
      <c r="B183" s="24" t="s">
        <v>275</v>
      </c>
      <c r="C183" s="25">
        <v>0.35</v>
      </c>
      <c r="D183" s="6">
        <v>0</v>
      </c>
      <c r="E183" s="6" t="s">
        <v>255</v>
      </c>
      <c r="F183" s="20">
        <v>0.1</v>
      </c>
      <c r="H183"/>
      <c r="I183"/>
    </row>
    <row r="184" spans="1:9" x14ac:dyDescent="0.35">
      <c r="A184" s="24" t="s">
        <v>169</v>
      </c>
      <c r="B184" s="24" t="s">
        <v>275</v>
      </c>
      <c r="C184" s="25">
        <v>0.35</v>
      </c>
      <c r="D184" s="6">
        <v>0</v>
      </c>
      <c r="E184" s="6" t="s">
        <v>255</v>
      </c>
      <c r="F184" s="20">
        <v>0.1</v>
      </c>
      <c r="H184"/>
      <c r="I184"/>
    </row>
    <row r="185" spans="1:9" x14ac:dyDescent="0.35">
      <c r="A185" s="24" t="s">
        <v>343</v>
      </c>
      <c r="B185" s="24" t="s">
        <v>275</v>
      </c>
      <c r="C185" s="25">
        <v>0.35</v>
      </c>
      <c r="D185" s="6">
        <v>0</v>
      </c>
      <c r="E185" s="6" t="s">
        <v>255</v>
      </c>
      <c r="F185" s="20">
        <v>0.1</v>
      </c>
      <c r="H185"/>
      <c r="I185"/>
    </row>
    <row r="186" spans="1:9" x14ac:dyDescent="0.35">
      <c r="A186" s="24" t="s">
        <v>163</v>
      </c>
      <c r="B186" s="24" t="s">
        <v>275</v>
      </c>
      <c r="C186" s="25">
        <v>0.35</v>
      </c>
      <c r="D186" s="6">
        <v>0</v>
      </c>
      <c r="E186" s="6" t="s">
        <v>255</v>
      </c>
      <c r="F186" s="20">
        <v>0.1</v>
      </c>
      <c r="H186"/>
      <c r="I186"/>
    </row>
    <row r="187" spans="1:9" x14ac:dyDescent="0.35">
      <c r="A187" s="24" t="s">
        <v>161</v>
      </c>
      <c r="B187" s="24" t="s">
        <v>275</v>
      </c>
      <c r="C187" s="25">
        <v>0.35</v>
      </c>
      <c r="D187" s="6">
        <v>0</v>
      </c>
      <c r="E187" s="6" t="s">
        <v>255</v>
      </c>
      <c r="F187" s="20">
        <v>0.1</v>
      </c>
      <c r="H187"/>
      <c r="I187"/>
    </row>
    <row r="188" spans="1:9" x14ac:dyDescent="0.35">
      <c r="A188" s="24" t="s">
        <v>160</v>
      </c>
      <c r="B188" s="24" t="s">
        <v>275</v>
      </c>
      <c r="C188" s="25">
        <v>0.35</v>
      </c>
      <c r="D188" s="6">
        <v>0</v>
      </c>
      <c r="E188" s="6" t="s">
        <v>255</v>
      </c>
      <c r="F188" s="20">
        <v>0.1</v>
      </c>
      <c r="H188"/>
      <c r="I188"/>
    </row>
    <row r="189" spans="1:9" x14ac:dyDescent="0.35">
      <c r="A189" s="24" t="s">
        <v>165</v>
      </c>
      <c r="B189" s="24" t="s">
        <v>275</v>
      </c>
      <c r="C189" s="25">
        <v>0.35</v>
      </c>
      <c r="D189" s="6">
        <v>0</v>
      </c>
      <c r="E189" s="6" t="s">
        <v>255</v>
      </c>
      <c r="F189" s="20">
        <v>0.1</v>
      </c>
      <c r="H189"/>
      <c r="I189"/>
    </row>
    <row r="190" spans="1:9" x14ac:dyDescent="0.35">
      <c r="A190" s="24" t="s">
        <v>168</v>
      </c>
      <c r="B190" s="24" t="s">
        <v>275</v>
      </c>
      <c r="C190" s="25">
        <v>0.35</v>
      </c>
      <c r="D190" s="6">
        <v>0</v>
      </c>
      <c r="E190" s="6" t="s">
        <v>255</v>
      </c>
      <c r="F190" s="20">
        <v>0.1</v>
      </c>
      <c r="H190"/>
      <c r="I190"/>
    </row>
    <row r="191" spans="1:9" x14ac:dyDescent="0.35">
      <c r="A191" s="24" t="s">
        <v>162</v>
      </c>
      <c r="B191" s="24" t="s">
        <v>275</v>
      </c>
      <c r="C191" s="25">
        <v>0.35</v>
      </c>
      <c r="D191" s="6">
        <v>0</v>
      </c>
      <c r="E191" s="6" t="s">
        <v>255</v>
      </c>
      <c r="F191" s="20">
        <v>0.1</v>
      </c>
      <c r="H191"/>
      <c r="I191"/>
    </row>
    <row r="192" spans="1:9" x14ac:dyDescent="0.35">
      <c r="A192" s="24" t="s">
        <v>166</v>
      </c>
      <c r="B192" s="24" t="s">
        <v>275</v>
      </c>
      <c r="C192" s="25">
        <v>0.35</v>
      </c>
      <c r="D192" s="6">
        <v>0</v>
      </c>
      <c r="E192" s="6" t="s">
        <v>255</v>
      </c>
      <c r="F192" s="20">
        <v>0.1</v>
      </c>
      <c r="H192"/>
      <c r="I192"/>
    </row>
    <row r="193" spans="1:9" x14ac:dyDescent="0.35">
      <c r="A193" s="24" t="s">
        <v>167</v>
      </c>
      <c r="B193" s="24" t="s">
        <v>275</v>
      </c>
      <c r="C193" s="25">
        <v>0.35</v>
      </c>
      <c r="D193" s="6">
        <v>0</v>
      </c>
      <c r="E193" s="6" t="s">
        <v>255</v>
      </c>
      <c r="F193" s="20">
        <v>0.1</v>
      </c>
      <c r="H193"/>
      <c r="I193"/>
    </row>
    <row r="194" spans="1:9" x14ac:dyDescent="0.35">
      <c r="A194" s="24" t="s">
        <v>158</v>
      </c>
      <c r="B194" s="24" t="s">
        <v>275</v>
      </c>
      <c r="C194" s="25">
        <v>0.35</v>
      </c>
      <c r="D194" s="6">
        <v>0</v>
      </c>
      <c r="E194" s="6" t="s">
        <v>255</v>
      </c>
      <c r="F194" s="20">
        <v>0.1</v>
      </c>
      <c r="H194"/>
      <c r="I194"/>
    </row>
    <row r="195" spans="1:9" x14ac:dyDescent="0.35">
      <c r="A195" s="24" t="s">
        <v>159</v>
      </c>
      <c r="B195" s="24" t="s">
        <v>275</v>
      </c>
      <c r="C195" s="25">
        <v>0.35</v>
      </c>
      <c r="D195" s="6">
        <v>0</v>
      </c>
      <c r="E195" s="6" t="s">
        <v>255</v>
      </c>
      <c r="F195" s="20">
        <v>0.1</v>
      </c>
      <c r="H195"/>
      <c r="I195"/>
    </row>
    <row r="196" spans="1:9" x14ac:dyDescent="0.35">
      <c r="A196" s="24" t="s">
        <v>344</v>
      </c>
      <c r="B196" s="24" t="s">
        <v>345</v>
      </c>
      <c r="C196" s="25">
        <v>0.25</v>
      </c>
      <c r="D196" s="6">
        <v>0</v>
      </c>
      <c r="E196" s="6" t="s">
        <v>254</v>
      </c>
      <c r="F196" s="20">
        <v>0</v>
      </c>
      <c r="H196"/>
      <c r="I196"/>
    </row>
    <row r="197" spans="1:9" x14ac:dyDescent="0.35">
      <c r="A197" s="24" t="s">
        <v>346</v>
      </c>
      <c r="B197" s="24" t="s">
        <v>345</v>
      </c>
      <c r="C197" s="25">
        <v>0.25</v>
      </c>
      <c r="D197" s="6">
        <v>0</v>
      </c>
      <c r="E197" s="6" t="s">
        <v>254</v>
      </c>
      <c r="F197" s="20">
        <v>0</v>
      </c>
      <c r="H197"/>
      <c r="I197"/>
    </row>
    <row r="198" spans="1:9" x14ac:dyDescent="0.35">
      <c r="A198" s="24" t="s">
        <v>347</v>
      </c>
      <c r="B198" s="24" t="s">
        <v>345</v>
      </c>
      <c r="C198" s="25">
        <v>0.25</v>
      </c>
      <c r="D198" s="6">
        <v>0</v>
      </c>
      <c r="E198" s="6" t="s">
        <v>254</v>
      </c>
      <c r="F198" s="20">
        <v>0</v>
      </c>
      <c r="H198"/>
      <c r="I198"/>
    </row>
    <row r="199" spans="1:9" x14ac:dyDescent="0.35">
      <c r="A199" s="24" t="s">
        <v>170</v>
      </c>
      <c r="B199" s="24" t="s">
        <v>276</v>
      </c>
      <c r="C199" s="25">
        <v>0.25</v>
      </c>
      <c r="D199" s="6">
        <v>0</v>
      </c>
      <c r="E199" s="6" t="s">
        <v>254</v>
      </c>
      <c r="F199" s="20">
        <v>0</v>
      </c>
      <c r="H199"/>
      <c r="I199"/>
    </row>
    <row r="200" spans="1:9" x14ac:dyDescent="0.35">
      <c r="A200" s="24" t="s">
        <v>173</v>
      </c>
      <c r="B200" s="24" t="s">
        <v>277</v>
      </c>
      <c r="C200" s="25">
        <v>0.25</v>
      </c>
      <c r="D200" s="6">
        <v>0</v>
      </c>
      <c r="E200" s="6" t="s">
        <v>254</v>
      </c>
      <c r="F200" s="20">
        <v>0</v>
      </c>
      <c r="H200"/>
      <c r="I200"/>
    </row>
    <row r="201" spans="1:9" x14ac:dyDescent="0.35">
      <c r="A201" s="24" t="s">
        <v>172</v>
      </c>
      <c r="B201" s="24" t="s">
        <v>277</v>
      </c>
      <c r="C201" s="25">
        <v>0.25</v>
      </c>
      <c r="D201" s="6">
        <v>0</v>
      </c>
      <c r="E201" s="6" t="s">
        <v>254</v>
      </c>
      <c r="F201" s="20">
        <v>0</v>
      </c>
      <c r="H201"/>
      <c r="I201"/>
    </row>
    <row r="202" spans="1:9" x14ac:dyDescent="0.35">
      <c r="A202" s="24" t="s">
        <v>171</v>
      </c>
      <c r="B202" s="24" t="s">
        <v>277</v>
      </c>
      <c r="C202" s="25">
        <v>0.25</v>
      </c>
      <c r="D202" s="6">
        <v>0</v>
      </c>
      <c r="E202" s="6" t="s">
        <v>254</v>
      </c>
      <c r="F202" s="20">
        <v>0</v>
      </c>
      <c r="H202"/>
      <c r="I202"/>
    </row>
    <row r="203" spans="1:9" x14ac:dyDescent="0.35">
      <c r="A203" s="24" t="s">
        <v>176</v>
      </c>
      <c r="B203" s="24" t="s">
        <v>277</v>
      </c>
      <c r="C203" s="25">
        <v>0.25</v>
      </c>
      <c r="D203" s="6">
        <v>0</v>
      </c>
      <c r="E203" s="6" t="s">
        <v>254</v>
      </c>
      <c r="F203" s="20">
        <v>0</v>
      </c>
      <c r="H203"/>
      <c r="I203"/>
    </row>
    <row r="204" spans="1:9" x14ac:dyDescent="0.35">
      <c r="A204" s="24" t="s">
        <v>174</v>
      </c>
      <c r="B204" s="24" t="s">
        <v>277</v>
      </c>
      <c r="C204" s="25">
        <v>0.25</v>
      </c>
      <c r="D204" s="6">
        <v>0</v>
      </c>
      <c r="E204" s="6" t="s">
        <v>254</v>
      </c>
      <c r="F204" s="20">
        <v>0</v>
      </c>
      <c r="H204"/>
      <c r="I204"/>
    </row>
    <row r="205" spans="1:9" x14ac:dyDescent="0.35">
      <c r="A205" s="24" t="s">
        <v>175</v>
      </c>
      <c r="B205" s="24" t="s">
        <v>277</v>
      </c>
      <c r="C205" s="25">
        <v>0.25</v>
      </c>
      <c r="D205" s="6">
        <v>0</v>
      </c>
      <c r="E205" s="6" t="s">
        <v>254</v>
      </c>
      <c r="F205" s="20">
        <v>0</v>
      </c>
      <c r="H205"/>
      <c r="I205"/>
    </row>
    <row r="206" spans="1:9" x14ac:dyDescent="0.35">
      <c r="A206" s="24" t="s">
        <v>305</v>
      </c>
      <c r="B206" s="24" t="s">
        <v>277</v>
      </c>
      <c r="C206" s="25">
        <v>0.25</v>
      </c>
      <c r="D206" s="6">
        <v>0</v>
      </c>
      <c r="E206" s="6" t="s">
        <v>254</v>
      </c>
      <c r="F206" s="20">
        <v>0</v>
      </c>
      <c r="H206"/>
      <c r="I206"/>
    </row>
    <row r="207" spans="1:9" x14ac:dyDescent="0.35">
      <c r="A207" s="24" t="s">
        <v>306</v>
      </c>
      <c r="B207" s="24" t="s">
        <v>278</v>
      </c>
      <c r="C207" s="25">
        <v>0.25</v>
      </c>
      <c r="D207" s="6">
        <v>0</v>
      </c>
      <c r="E207" s="6" t="s">
        <v>254</v>
      </c>
      <c r="F207" s="20">
        <v>0</v>
      </c>
      <c r="H207"/>
      <c r="I207"/>
    </row>
    <row r="208" spans="1:9" x14ac:dyDescent="0.35">
      <c r="A208" s="24" t="s">
        <v>181</v>
      </c>
      <c r="B208" s="24" t="s">
        <v>279</v>
      </c>
      <c r="C208" s="25">
        <v>0.25</v>
      </c>
      <c r="D208" s="6">
        <v>0</v>
      </c>
      <c r="E208" s="6" t="s">
        <v>254</v>
      </c>
      <c r="F208" s="20">
        <v>0</v>
      </c>
      <c r="H208"/>
      <c r="I208"/>
    </row>
    <row r="209" spans="1:9" x14ac:dyDescent="0.35">
      <c r="A209" s="24" t="s">
        <v>179</v>
      </c>
      <c r="B209" s="24" t="s">
        <v>279</v>
      </c>
      <c r="C209" s="25">
        <v>0.25</v>
      </c>
      <c r="D209" s="6">
        <v>0</v>
      </c>
      <c r="E209" s="6" t="s">
        <v>254</v>
      </c>
      <c r="F209" s="20">
        <v>0</v>
      </c>
      <c r="H209"/>
      <c r="I209"/>
    </row>
    <row r="210" spans="1:9" x14ac:dyDescent="0.35">
      <c r="A210" s="24" t="s">
        <v>182</v>
      </c>
      <c r="B210" s="24" t="s">
        <v>279</v>
      </c>
      <c r="C210" s="25">
        <v>0.25</v>
      </c>
      <c r="D210" s="6">
        <v>0</v>
      </c>
      <c r="E210" s="6" t="s">
        <v>254</v>
      </c>
      <c r="F210" s="20">
        <v>0</v>
      </c>
      <c r="H210"/>
      <c r="I210"/>
    </row>
    <row r="211" spans="1:9" x14ac:dyDescent="0.35">
      <c r="A211" s="24" t="s">
        <v>177</v>
      </c>
      <c r="B211" s="24" t="s">
        <v>279</v>
      </c>
      <c r="C211" s="25">
        <v>0.25</v>
      </c>
      <c r="D211" s="6">
        <v>0</v>
      </c>
      <c r="E211" s="6" t="s">
        <v>254</v>
      </c>
      <c r="F211" s="20">
        <v>0</v>
      </c>
      <c r="H211"/>
      <c r="I211"/>
    </row>
    <row r="212" spans="1:9" x14ac:dyDescent="0.35">
      <c r="A212" s="24" t="s">
        <v>178</v>
      </c>
      <c r="B212" s="24" t="s">
        <v>279</v>
      </c>
      <c r="C212" s="25">
        <v>0.25</v>
      </c>
      <c r="D212" s="6">
        <v>0</v>
      </c>
      <c r="E212" s="6" t="s">
        <v>254</v>
      </c>
      <c r="F212" s="20">
        <v>0</v>
      </c>
      <c r="H212"/>
      <c r="I212"/>
    </row>
    <row r="213" spans="1:9" x14ac:dyDescent="0.35">
      <c r="A213" s="24" t="s">
        <v>180</v>
      </c>
      <c r="B213" s="24" t="s">
        <v>279</v>
      </c>
      <c r="C213" s="25">
        <v>0.25</v>
      </c>
      <c r="D213" s="6">
        <v>0</v>
      </c>
      <c r="E213" s="6" t="s">
        <v>254</v>
      </c>
      <c r="F213" s="20">
        <v>0</v>
      </c>
      <c r="H213"/>
      <c r="I213"/>
    </row>
    <row r="214" spans="1:9" x14ac:dyDescent="0.35">
      <c r="A214" s="24" t="s">
        <v>184</v>
      </c>
      <c r="B214" s="24" t="s">
        <v>280</v>
      </c>
      <c r="C214" s="25">
        <v>0.25</v>
      </c>
      <c r="D214" s="6">
        <v>0</v>
      </c>
      <c r="E214" s="6" t="s">
        <v>254</v>
      </c>
      <c r="F214" s="20">
        <v>0</v>
      </c>
      <c r="H214"/>
      <c r="I214"/>
    </row>
    <row r="215" spans="1:9" x14ac:dyDescent="0.35">
      <c r="A215" s="24" t="s">
        <v>183</v>
      </c>
      <c r="B215" s="24" t="s">
        <v>280</v>
      </c>
      <c r="C215" s="25">
        <v>0.25</v>
      </c>
      <c r="D215" s="6">
        <v>0</v>
      </c>
      <c r="E215" s="6" t="s">
        <v>254</v>
      </c>
      <c r="F215" s="20">
        <v>0</v>
      </c>
      <c r="H215"/>
      <c r="I215"/>
    </row>
    <row r="216" spans="1:9" x14ac:dyDescent="0.35">
      <c r="A216" s="24" t="s">
        <v>185</v>
      </c>
      <c r="B216" s="24" t="s">
        <v>280</v>
      </c>
      <c r="C216" s="25">
        <v>0.25</v>
      </c>
      <c r="D216" s="6">
        <v>0</v>
      </c>
      <c r="E216" s="6" t="s">
        <v>254</v>
      </c>
      <c r="F216" s="20">
        <v>0</v>
      </c>
      <c r="H216"/>
      <c r="I216"/>
    </row>
    <row r="217" spans="1:9" x14ac:dyDescent="0.35">
      <c r="A217" s="24" t="s">
        <v>348</v>
      </c>
      <c r="B217" s="24" t="s">
        <v>280</v>
      </c>
      <c r="C217" s="25">
        <v>0.25</v>
      </c>
      <c r="D217" s="6">
        <v>0</v>
      </c>
      <c r="E217" s="6" t="s">
        <v>254</v>
      </c>
      <c r="F217" s="20">
        <v>0</v>
      </c>
      <c r="H217"/>
      <c r="I217"/>
    </row>
    <row r="218" spans="1:9" x14ac:dyDescent="0.35">
      <c r="A218" s="24" t="s">
        <v>186</v>
      </c>
      <c r="B218" s="24" t="s">
        <v>280</v>
      </c>
      <c r="C218" s="25">
        <v>0.25</v>
      </c>
      <c r="D218" s="6">
        <v>0</v>
      </c>
      <c r="E218" s="6" t="s">
        <v>254</v>
      </c>
      <c r="F218" s="20">
        <v>0</v>
      </c>
      <c r="H218"/>
      <c r="I218"/>
    </row>
    <row r="219" spans="1:9" x14ac:dyDescent="0.35">
      <c r="A219" s="24" t="s">
        <v>187</v>
      </c>
      <c r="B219" s="24" t="s">
        <v>280</v>
      </c>
      <c r="C219" s="25">
        <v>0.25</v>
      </c>
      <c r="D219" s="6">
        <v>0</v>
      </c>
      <c r="E219" s="6" t="s">
        <v>254</v>
      </c>
      <c r="F219" s="20">
        <v>0</v>
      </c>
      <c r="H219"/>
      <c r="I219"/>
    </row>
    <row r="220" spans="1:9" x14ac:dyDescent="0.35">
      <c r="A220" s="24" t="s">
        <v>349</v>
      </c>
      <c r="B220" s="24" t="s">
        <v>350</v>
      </c>
      <c r="C220" s="25">
        <v>0.25</v>
      </c>
      <c r="D220" s="6">
        <v>0</v>
      </c>
      <c r="E220" s="6" t="s">
        <v>254</v>
      </c>
      <c r="F220" s="20">
        <v>0</v>
      </c>
      <c r="H220"/>
      <c r="I220"/>
    </row>
    <row r="221" spans="1:9" x14ac:dyDescent="0.35">
      <c r="A221" s="24" t="s">
        <v>351</v>
      </c>
      <c r="B221" s="24" t="s">
        <v>350</v>
      </c>
      <c r="C221" s="25">
        <v>0.25</v>
      </c>
      <c r="D221" s="6">
        <v>0</v>
      </c>
      <c r="E221" s="6" t="s">
        <v>254</v>
      </c>
      <c r="F221" s="20">
        <v>0</v>
      </c>
      <c r="H221"/>
      <c r="I221"/>
    </row>
    <row r="222" spans="1:9" x14ac:dyDescent="0.35">
      <c r="A222" s="24" t="s">
        <v>352</v>
      </c>
      <c r="B222" s="24" t="s">
        <v>350</v>
      </c>
      <c r="C222" s="25">
        <v>0.25</v>
      </c>
      <c r="D222" s="6">
        <v>0</v>
      </c>
      <c r="E222" s="6" t="s">
        <v>254</v>
      </c>
      <c r="F222" s="20">
        <v>0</v>
      </c>
      <c r="H222"/>
      <c r="I222"/>
    </row>
    <row r="223" spans="1:9" x14ac:dyDescent="0.35">
      <c r="A223" s="24" t="s">
        <v>353</v>
      </c>
      <c r="B223" s="24" t="s">
        <v>350</v>
      </c>
      <c r="C223" s="25">
        <v>0.25</v>
      </c>
      <c r="D223" s="6">
        <v>0</v>
      </c>
      <c r="E223" s="6" t="s">
        <v>254</v>
      </c>
      <c r="F223" s="20">
        <v>0</v>
      </c>
      <c r="H223"/>
      <c r="I223"/>
    </row>
    <row r="224" spans="1:9" x14ac:dyDescent="0.35">
      <c r="A224" s="24" t="s">
        <v>188</v>
      </c>
      <c r="B224" s="24" t="s">
        <v>281</v>
      </c>
      <c r="C224" s="25">
        <v>0.1</v>
      </c>
      <c r="D224" s="6">
        <v>0</v>
      </c>
      <c r="E224" s="6" t="s">
        <v>254</v>
      </c>
      <c r="F224" s="20">
        <v>0</v>
      </c>
      <c r="H224"/>
      <c r="I224"/>
    </row>
    <row r="225" spans="1:9" x14ac:dyDescent="0.35">
      <c r="A225" s="24" t="s">
        <v>190</v>
      </c>
      <c r="B225" s="24" t="s">
        <v>281</v>
      </c>
      <c r="C225" s="25">
        <v>0.1</v>
      </c>
      <c r="D225" s="6">
        <v>0</v>
      </c>
      <c r="E225" s="6" t="s">
        <v>254</v>
      </c>
      <c r="F225" s="20">
        <v>0</v>
      </c>
      <c r="H225"/>
      <c r="I225"/>
    </row>
    <row r="226" spans="1:9" x14ac:dyDescent="0.35">
      <c r="A226" s="24" t="s">
        <v>189</v>
      </c>
      <c r="B226" s="24" t="s">
        <v>281</v>
      </c>
      <c r="C226" s="25">
        <v>0.1</v>
      </c>
      <c r="D226" s="6">
        <v>0</v>
      </c>
      <c r="E226" s="6" t="s">
        <v>254</v>
      </c>
      <c r="F226" s="20">
        <v>0</v>
      </c>
      <c r="H226"/>
      <c r="I226"/>
    </row>
    <row r="227" spans="1:9" x14ac:dyDescent="0.35">
      <c r="A227" s="24" t="s">
        <v>354</v>
      </c>
      <c r="B227" s="24" t="s">
        <v>281</v>
      </c>
      <c r="C227" s="25">
        <v>0.1</v>
      </c>
      <c r="D227" s="6">
        <v>0</v>
      </c>
      <c r="E227" s="6" t="s">
        <v>254</v>
      </c>
      <c r="F227" s="20">
        <v>0</v>
      </c>
      <c r="H227"/>
      <c r="I227"/>
    </row>
    <row r="228" spans="1:9" x14ac:dyDescent="0.35">
      <c r="A228" s="24" t="s">
        <v>309</v>
      </c>
      <c r="B228" s="24" t="s">
        <v>282</v>
      </c>
      <c r="C228" s="25">
        <v>0.25</v>
      </c>
      <c r="D228" s="6">
        <v>0</v>
      </c>
      <c r="E228" s="6" t="s">
        <v>254</v>
      </c>
      <c r="F228" s="20">
        <v>0</v>
      </c>
      <c r="H228"/>
      <c r="I228"/>
    </row>
    <row r="229" spans="1:9" x14ac:dyDescent="0.35">
      <c r="A229" s="24" t="s">
        <v>195</v>
      </c>
      <c r="B229" s="24" t="s">
        <v>282</v>
      </c>
      <c r="C229" s="25">
        <v>0.25</v>
      </c>
      <c r="D229" s="6">
        <v>0</v>
      </c>
      <c r="E229" s="6" t="s">
        <v>254</v>
      </c>
      <c r="F229" s="20">
        <v>0</v>
      </c>
      <c r="H229"/>
      <c r="I229"/>
    </row>
    <row r="230" spans="1:9" x14ac:dyDescent="0.35">
      <c r="A230" s="24" t="s">
        <v>308</v>
      </c>
      <c r="B230" s="24" t="s">
        <v>282</v>
      </c>
      <c r="C230" s="25">
        <v>0.25</v>
      </c>
      <c r="D230" s="6">
        <v>0</v>
      </c>
      <c r="E230" s="6" t="s">
        <v>254</v>
      </c>
      <c r="F230" s="20">
        <v>0</v>
      </c>
      <c r="H230"/>
      <c r="I230"/>
    </row>
    <row r="231" spans="1:9" x14ac:dyDescent="0.35">
      <c r="A231" s="24" t="s">
        <v>193</v>
      </c>
      <c r="B231" s="24" t="s">
        <v>282</v>
      </c>
      <c r="C231" s="25">
        <v>0.25</v>
      </c>
      <c r="D231" s="6">
        <v>0</v>
      </c>
      <c r="E231" s="6" t="s">
        <v>254</v>
      </c>
      <c r="F231" s="20">
        <v>0</v>
      </c>
      <c r="H231"/>
      <c r="I231"/>
    </row>
    <row r="232" spans="1:9" x14ac:dyDescent="0.35">
      <c r="A232" s="24" t="s">
        <v>194</v>
      </c>
      <c r="B232" s="24" t="s">
        <v>282</v>
      </c>
      <c r="C232" s="25">
        <v>0.25</v>
      </c>
      <c r="D232" s="6">
        <v>0</v>
      </c>
      <c r="E232" s="6" t="s">
        <v>254</v>
      </c>
      <c r="F232" s="20">
        <v>0</v>
      </c>
      <c r="H232"/>
      <c r="I232"/>
    </row>
    <row r="233" spans="1:9" x14ac:dyDescent="0.35">
      <c r="A233" s="24" t="s">
        <v>196</v>
      </c>
      <c r="B233" s="24" t="s">
        <v>282</v>
      </c>
      <c r="C233" s="25">
        <v>0.25</v>
      </c>
      <c r="D233" s="6">
        <v>0</v>
      </c>
      <c r="E233" s="6" t="s">
        <v>254</v>
      </c>
      <c r="F233" s="20">
        <v>0</v>
      </c>
      <c r="H233"/>
      <c r="I233"/>
    </row>
    <row r="234" spans="1:9" x14ac:dyDescent="0.35">
      <c r="A234" s="24" t="s">
        <v>197</v>
      </c>
      <c r="B234" s="24" t="s">
        <v>282</v>
      </c>
      <c r="C234" s="25">
        <v>0.25</v>
      </c>
      <c r="D234" s="6">
        <v>0</v>
      </c>
      <c r="E234" s="6" t="s">
        <v>254</v>
      </c>
      <c r="F234" s="20">
        <v>0</v>
      </c>
      <c r="H234"/>
      <c r="I234"/>
    </row>
    <row r="235" spans="1:9" x14ac:dyDescent="0.35">
      <c r="A235" s="24" t="s">
        <v>198</v>
      </c>
      <c r="B235" s="24" t="s">
        <v>282</v>
      </c>
      <c r="C235" s="25">
        <v>0.25</v>
      </c>
      <c r="D235" s="6">
        <v>0</v>
      </c>
      <c r="E235" s="6" t="s">
        <v>254</v>
      </c>
      <c r="F235" s="20">
        <v>0</v>
      </c>
      <c r="H235"/>
      <c r="I235"/>
    </row>
    <row r="236" spans="1:9" x14ac:dyDescent="0.35">
      <c r="A236" s="24" t="s">
        <v>307</v>
      </c>
      <c r="B236" s="24" t="s">
        <v>282</v>
      </c>
      <c r="C236" s="25">
        <v>0.25</v>
      </c>
      <c r="D236" s="6">
        <v>0</v>
      </c>
      <c r="E236" s="6" t="s">
        <v>254</v>
      </c>
      <c r="F236" s="20">
        <v>0</v>
      </c>
      <c r="H236"/>
      <c r="I236"/>
    </row>
    <row r="237" spans="1:9" x14ac:dyDescent="0.35">
      <c r="A237" s="24" t="s">
        <v>192</v>
      </c>
      <c r="B237" s="24" t="s">
        <v>282</v>
      </c>
      <c r="C237" s="25">
        <v>0.25</v>
      </c>
      <c r="D237" s="6">
        <v>0</v>
      </c>
      <c r="E237" s="6" t="s">
        <v>254</v>
      </c>
      <c r="F237" s="20">
        <v>0</v>
      </c>
      <c r="H237"/>
      <c r="I237"/>
    </row>
    <row r="238" spans="1:9" x14ac:dyDescent="0.35">
      <c r="A238" s="24" t="s">
        <v>191</v>
      </c>
      <c r="B238" s="24" t="s">
        <v>282</v>
      </c>
      <c r="C238" s="25">
        <v>0.25</v>
      </c>
      <c r="D238" s="6">
        <v>0</v>
      </c>
      <c r="E238" s="6" t="s">
        <v>254</v>
      </c>
      <c r="F238" s="20">
        <v>0</v>
      </c>
      <c r="H238"/>
      <c r="I238"/>
    </row>
    <row r="239" spans="1:9" x14ac:dyDescent="0.35">
      <c r="A239" s="24" t="s">
        <v>310</v>
      </c>
      <c r="B239" s="24" t="s">
        <v>283</v>
      </c>
      <c r="C239" s="25">
        <v>0.25</v>
      </c>
      <c r="D239" s="6">
        <v>20</v>
      </c>
      <c r="E239" s="6" t="s">
        <v>255</v>
      </c>
      <c r="F239" s="20">
        <v>0.1</v>
      </c>
      <c r="H239"/>
      <c r="I239"/>
    </row>
    <row r="240" spans="1:9" x14ac:dyDescent="0.35">
      <c r="A240" s="24" t="s">
        <v>207</v>
      </c>
      <c r="B240" s="24" t="s">
        <v>283</v>
      </c>
      <c r="C240" s="25">
        <v>0.25</v>
      </c>
      <c r="D240" s="6">
        <v>20</v>
      </c>
      <c r="E240" s="6" t="s">
        <v>255</v>
      </c>
      <c r="F240" s="20">
        <v>0.1</v>
      </c>
      <c r="H240"/>
      <c r="I240"/>
    </row>
    <row r="241" spans="1:9" x14ac:dyDescent="0.35">
      <c r="A241" s="24" t="s">
        <v>355</v>
      </c>
      <c r="B241" s="24" t="s">
        <v>283</v>
      </c>
      <c r="C241" s="25">
        <v>0.25</v>
      </c>
      <c r="D241" s="6">
        <v>20</v>
      </c>
      <c r="E241" s="6" t="s">
        <v>255</v>
      </c>
      <c r="F241" s="20">
        <v>0.1</v>
      </c>
      <c r="H241"/>
      <c r="I241"/>
    </row>
    <row r="242" spans="1:9" x14ac:dyDescent="0.35">
      <c r="A242" s="24" t="s">
        <v>209</v>
      </c>
      <c r="B242" s="24" t="s">
        <v>283</v>
      </c>
      <c r="C242" s="25">
        <v>0.25</v>
      </c>
      <c r="D242" s="6">
        <v>20</v>
      </c>
      <c r="E242" s="6" t="s">
        <v>255</v>
      </c>
      <c r="F242" s="20">
        <v>0.1</v>
      </c>
      <c r="H242"/>
      <c r="I242"/>
    </row>
    <row r="243" spans="1:9" x14ac:dyDescent="0.35">
      <c r="A243" s="24" t="s">
        <v>206</v>
      </c>
      <c r="B243" s="24" t="s">
        <v>283</v>
      </c>
      <c r="C243" s="25">
        <v>0.25</v>
      </c>
      <c r="D243" s="6">
        <v>20</v>
      </c>
      <c r="E243" s="6" t="s">
        <v>255</v>
      </c>
      <c r="F243" s="20">
        <v>0.1</v>
      </c>
      <c r="H243"/>
      <c r="I243"/>
    </row>
    <row r="244" spans="1:9" x14ac:dyDescent="0.35">
      <c r="A244" s="24" t="s">
        <v>199</v>
      </c>
      <c r="B244" s="24" t="s">
        <v>283</v>
      </c>
      <c r="C244" s="25">
        <v>0.25</v>
      </c>
      <c r="D244" s="6">
        <v>20</v>
      </c>
      <c r="E244" s="6" t="s">
        <v>255</v>
      </c>
      <c r="F244" s="20">
        <v>0.1</v>
      </c>
      <c r="H244"/>
      <c r="I244"/>
    </row>
    <row r="245" spans="1:9" x14ac:dyDescent="0.35">
      <c r="A245" s="24" t="s">
        <v>202</v>
      </c>
      <c r="B245" s="24" t="s">
        <v>283</v>
      </c>
      <c r="C245" s="25">
        <v>0.25</v>
      </c>
      <c r="D245" s="6">
        <v>20</v>
      </c>
      <c r="E245" s="6" t="s">
        <v>255</v>
      </c>
      <c r="F245" s="20">
        <v>0.1</v>
      </c>
      <c r="H245"/>
      <c r="I245"/>
    </row>
    <row r="246" spans="1:9" x14ac:dyDescent="0.35">
      <c r="A246" s="24" t="s">
        <v>204</v>
      </c>
      <c r="B246" s="24" t="s">
        <v>283</v>
      </c>
      <c r="C246" s="25">
        <v>0.25</v>
      </c>
      <c r="D246" s="6">
        <v>20</v>
      </c>
      <c r="E246" s="6" t="s">
        <v>255</v>
      </c>
      <c r="F246" s="20">
        <v>0.1</v>
      </c>
      <c r="H246"/>
      <c r="I246"/>
    </row>
    <row r="247" spans="1:9" x14ac:dyDescent="0.35">
      <c r="A247" s="24" t="s">
        <v>210</v>
      </c>
      <c r="B247" s="24" t="s">
        <v>283</v>
      </c>
      <c r="C247" s="25">
        <v>0.25</v>
      </c>
      <c r="D247" s="6">
        <v>20</v>
      </c>
      <c r="E247" s="6" t="s">
        <v>255</v>
      </c>
      <c r="F247" s="20">
        <v>0.1</v>
      </c>
      <c r="H247"/>
      <c r="I247"/>
    </row>
    <row r="248" spans="1:9" x14ac:dyDescent="0.35">
      <c r="A248" s="24" t="s">
        <v>205</v>
      </c>
      <c r="B248" s="24" t="s">
        <v>283</v>
      </c>
      <c r="C248" s="25">
        <v>0.25</v>
      </c>
      <c r="D248" s="6">
        <v>20</v>
      </c>
      <c r="E248" s="6" t="s">
        <v>255</v>
      </c>
      <c r="F248" s="20">
        <v>0.1</v>
      </c>
      <c r="H248"/>
      <c r="I248"/>
    </row>
    <row r="249" spans="1:9" x14ac:dyDescent="0.35">
      <c r="A249" s="24" t="s">
        <v>212</v>
      </c>
      <c r="B249" s="24" t="s">
        <v>283</v>
      </c>
      <c r="C249" s="25">
        <v>0.25</v>
      </c>
      <c r="D249" s="6">
        <v>20</v>
      </c>
      <c r="E249" s="6" t="s">
        <v>255</v>
      </c>
      <c r="F249" s="20">
        <v>0.1</v>
      </c>
      <c r="H249"/>
      <c r="I249"/>
    </row>
    <row r="250" spans="1:9" x14ac:dyDescent="0.35">
      <c r="A250" s="24" t="s">
        <v>211</v>
      </c>
      <c r="B250" s="24" t="s">
        <v>283</v>
      </c>
      <c r="C250" s="25">
        <v>0.25</v>
      </c>
      <c r="D250" s="6">
        <v>20</v>
      </c>
      <c r="E250" s="6" t="s">
        <v>255</v>
      </c>
      <c r="F250" s="20">
        <v>0.1</v>
      </c>
      <c r="H250"/>
      <c r="I250"/>
    </row>
    <row r="251" spans="1:9" x14ac:dyDescent="0.35">
      <c r="A251" s="24" t="s">
        <v>200</v>
      </c>
      <c r="B251" s="24" t="s">
        <v>283</v>
      </c>
      <c r="C251" s="25">
        <v>0.25</v>
      </c>
      <c r="D251" s="6">
        <v>20</v>
      </c>
      <c r="E251" s="6" t="s">
        <v>255</v>
      </c>
      <c r="F251" s="20">
        <v>0.1</v>
      </c>
      <c r="H251"/>
      <c r="I251"/>
    </row>
    <row r="252" spans="1:9" x14ac:dyDescent="0.35">
      <c r="A252" s="24" t="s">
        <v>201</v>
      </c>
      <c r="B252" s="24" t="s">
        <v>283</v>
      </c>
      <c r="C252" s="25">
        <v>0.25</v>
      </c>
      <c r="D252" s="6">
        <v>20</v>
      </c>
      <c r="E252" s="6" t="s">
        <v>255</v>
      </c>
      <c r="F252" s="20">
        <v>0.1</v>
      </c>
      <c r="H252"/>
      <c r="I252"/>
    </row>
    <row r="253" spans="1:9" x14ac:dyDescent="0.35">
      <c r="A253" s="24" t="s">
        <v>203</v>
      </c>
      <c r="B253" s="24" t="s">
        <v>283</v>
      </c>
      <c r="C253" s="25">
        <v>0.25</v>
      </c>
      <c r="D253" s="6">
        <v>20</v>
      </c>
      <c r="E253" s="6" t="s">
        <v>255</v>
      </c>
      <c r="F253" s="20">
        <v>0.1</v>
      </c>
      <c r="H253"/>
      <c r="I253"/>
    </row>
    <row r="254" spans="1:9" x14ac:dyDescent="0.35">
      <c r="A254" s="24" t="s">
        <v>208</v>
      </c>
      <c r="B254" s="24" t="s">
        <v>283</v>
      </c>
      <c r="C254" s="25">
        <v>0.25</v>
      </c>
      <c r="D254" s="6">
        <v>20</v>
      </c>
      <c r="E254" s="6" t="s">
        <v>255</v>
      </c>
      <c r="F254" s="20">
        <v>0.1</v>
      </c>
      <c r="H254"/>
      <c r="I254"/>
    </row>
    <row r="255" spans="1:9" x14ac:dyDescent="0.35">
      <c r="A255" s="24" t="s">
        <v>213</v>
      </c>
      <c r="B255" s="24" t="s">
        <v>284</v>
      </c>
      <c r="C255" s="25">
        <v>0.1</v>
      </c>
      <c r="D255" s="6">
        <v>0</v>
      </c>
      <c r="E255" s="6" t="s">
        <v>254</v>
      </c>
      <c r="F255" s="20">
        <v>0</v>
      </c>
      <c r="H255"/>
      <c r="I255"/>
    </row>
    <row r="256" spans="1:9" x14ac:dyDescent="0.35">
      <c r="A256" s="24" t="s">
        <v>214</v>
      </c>
      <c r="B256" s="24" t="s">
        <v>285</v>
      </c>
      <c r="C256" s="25">
        <v>0</v>
      </c>
      <c r="D256" s="6">
        <v>0</v>
      </c>
      <c r="E256" s="6" t="s">
        <v>255</v>
      </c>
      <c r="F256" s="20">
        <v>0</v>
      </c>
      <c r="H256"/>
      <c r="I256"/>
    </row>
    <row r="257" spans="1:9" x14ac:dyDescent="0.35">
      <c r="A257" s="24" t="s">
        <v>215</v>
      </c>
      <c r="B257" s="24" t="s">
        <v>286</v>
      </c>
      <c r="C257" s="25">
        <v>0.1</v>
      </c>
      <c r="D257" s="6">
        <v>0</v>
      </c>
      <c r="E257" s="6" t="s">
        <v>255</v>
      </c>
      <c r="F257" s="20">
        <v>0.1</v>
      </c>
      <c r="H257"/>
      <c r="I257"/>
    </row>
    <row r="258" spans="1:9" x14ac:dyDescent="0.35">
      <c r="A258" s="24" t="s">
        <v>218</v>
      </c>
      <c r="B258" s="24" t="s">
        <v>287</v>
      </c>
      <c r="C258" s="25">
        <v>0.1</v>
      </c>
      <c r="D258" s="6">
        <v>0</v>
      </c>
      <c r="E258" s="6" t="s">
        <v>255</v>
      </c>
      <c r="F258" s="20">
        <v>0.1</v>
      </c>
      <c r="H258"/>
      <c r="I258"/>
    </row>
    <row r="259" spans="1:9" x14ac:dyDescent="0.35">
      <c r="A259" s="24" t="s">
        <v>217</v>
      </c>
      <c r="B259" s="24" t="s">
        <v>287</v>
      </c>
      <c r="C259" s="25">
        <v>0.1</v>
      </c>
      <c r="D259" s="6">
        <v>0</v>
      </c>
      <c r="E259" s="6" t="s">
        <v>255</v>
      </c>
      <c r="F259" s="20">
        <v>0.1</v>
      </c>
      <c r="H259"/>
      <c r="I259"/>
    </row>
    <row r="260" spans="1:9" x14ac:dyDescent="0.35">
      <c r="A260" s="24" t="s">
        <v>219</v>
      </c>
      <c r="B260" s="24" t="s">
        <v>287</v>
      </c>
      <c r="C260" s="25">
        <v>0.1</v>
      </c>
      <c r="D260" s="6">
        <v>0</v>
      </c>
      <c r="E260" s="6" t="s">
        <v>255</v>
      </c>
      <c r="F260" s="20">
        <v>0.1</v>
      </c>
      <c r="H260"/>
      <c r="I260"/>
    </row>
    <row r="261" spans="1:9" x14ac:dyDescent="0.35">
      <c r="A261" s="24" t="s">
        <v>216</v>
      </c>
      <c r="B261" s="24" t="s">
        <v>287</v>
      </c>
      <c r="C261" s="25">
        <v>0.1</v>
      </c>
      <c r="D261" s="6">
        <v>0</v>
      </c>
      <c r="E261" s="6" t="s">
        <v>255</v>
      </c>
      <c r="F261" s="20">
        <v>0.1</v>
      </c>
      <c r="H261"/>
      <c r="I261"/>
    </row>
    <row r="262" spans="1:9" x14ac:dyDescent="0.35">
      <c r="A262" s="24" t="s">
        <v>220</v>
      </c>
      <c r="B262" s="24" t="s">
        <v>287</v>
      </c>
      <c r="C262" s="25">
        <v>0.1</v>
      </c>
      <c r="D262" s="6">
        <v>0</v>
      </c>
      <c r="E262" s="6" t="s">
        <v>255</v>
      </c>
      <c r="F262" s="20">
        <v>0.1</v>
      </c>
      <c r="H262"/>
      <c r="I262"/>
    </row>
    <row r="263" spans="1:9" x14ac:dyDescent="0.35">
      <c r="A263" s="24" t="s">
        <v>222</v>
      </c>
      <c r="B263" s="24" t="s">
        <v>288</v>
      </c>
      <c r="C263" s="25">
        <v>0.25</v>
      </c>
      <c r="D263" s="6">
        <v>25</v>
      </c>
      <c r="E263" s="6" t="s">
        <v>255</v>
      </c>
      <c r="F263" s="20">
        <v>0.1</v>
      </c>
      <c r="H263"/>
      <c r="I263"/>
    </row>
    <row r="264" spans="1:9" x14ac:dyDescent="0.35">
      <c r="A264" s="24" t="s">
        <v>228</v>
      </c>
      <c r="B264" s="24" t="s">
        <v>288</v>
      </c>
      <c r="C264" s="25">
        <v>0.25</v>
      </c>
      <c r="D264" s="6">
        <v>25</v>
      </c>
      <c r="E264" s="6" t="s">
        <v>255</v>
      </c>
      <c r="F264" s="20">
        <v>0.1</v>
      </c>
      <c r="H264"/>
      <c r="I264"/>
    </row>
    <row r="265" spans="1:9" x14ac:dyDescent="0.35">
      <c r="A265" s="24" t="s">
        <v>223</v>
      </c>
      <c r="B265" s="24" t="s">
        <v>288</v>
      </c>
      <c r="C265" s="25">
        <v>0.25</v>
      </c>
      <c r="D265" s="6">
        <v>25</v>
      </c>
      <c r="E265" s="6" t="s">
        <v>255</v>
      </c>
      <c r="F265" s="20">
        <v>0.1</v>
      </c>
      <c r="H265"/>
      <c r="I265"/>
    </row>
    <row r="266" spans="1:9" x14ac:dyDescent="0.35">
      <c r="A266" s="24" t="s">
        <v>230</v>
      </c>
      <c r="B266" s="24" t="s">
        <v>288</v>
      </c>
      <c r="C266" s="25">
        <v>0.25</v>
      </c>
      <c r="D266" s="6">
        <v>25</v>
      </c>
      <c r="E266" s="6" t="s">
        <v>255</v>
      </c>
      <c r="F266" s="20">
        <v>0.1</v>
      </c>
      <c r="H266"/>
      <c r="I266"/>
    </row>
    <row r="267" spans="1:9" x14ac:dyDescent="0.35">
      <c r="A267" s="24" t="s">
        <v>235</v>
      </c>
      <c r="B267" s="24" t="s">
        <v>288</v>
      </c>
      <c r="C267" s="25">
        <v>0.25</v>
      </c>
      <c r="D267" s="6">
        <v>25</v>
      </c>
      <c r="E267" s="6" t="s">
        <v>255</v>
      </c>
      <c r="F267" s="20">
        <v>0.1</v>
      </c>
      <c r="H267"/>
      <c r="I267"/>
    </row>
    <row r="268" spans="1:9" x14ac:dyDescent="0.35">
      <c r="A268" s="24" t="s">
        <v>241</v>
      </c>
      <c r="B268" s="24" t="s">
        <v>288</v>
      </c>
      <c r="C268" s="25">
        <v>0.25</v>
      </c>
      <c r="D268" s="6">
        <v>25</v>
      </c>
      <c r="E268" s="6" t="s">
        <v>255</v>
      </c>
      <c r="F268" s="20">
        <v>0.1</v>
      </c>
      <c r="H268"/>
      <c r="I268"/>
    </row>
    <row r="269" spans="1:9" x14ac:dyDescent="0.35">
      <c r="A269" s="24" t="s">
        <v>224</v>
      </c>
      <c r="B269" s="24" t="s">
        <v>288</v>
      </c>
      <c r="C269" s="25">
        <v>0.25</v>
      </c>
      <c r="D269" s="6">
        <v>25</v>
      </c>
      <c r="E269" s="6" t="s">
        <v>255</v>
      </c>
      <c r="F269" s="20">
        <v>0.1</v>
      </c>
      <c r="H269"/>
      <c r="I269"/>
    </row>
    <row r="270" spans="1:9" x14ac:dyDescent="0.35">
      <c r="A270" s="24" t="s">
        <v>225</v>
      </c>
      <c r="B270" s="24" t="s">
        <v>288</v>
      </c>
      <c r="C270" s="25">
        <v>0.25</v>
      </c>
      <c r="D270" s="6">
        <v>25</v>
      </c>
      <c r="E270" s="6" t="s">
        <v>255</v>
      </c>
      <c r="F270" s="20">
        <v>0.1</v>
      </c>
      <c r="H270"/>
      <c r="I270"/>
    </row>
    <row r="271" spans="1:9" x14ac:dyDescent="0.35">
      <c r="A271" s="24" t="s">
        <v>356</v>
      </c>
      <c r="B271" s="24" t="s">
        <v>288</v>
      </c>
      <c r="C271" s="25">
        <v>0.25</v>
      </c>
      <c r="D271" s="6">
        <v>25</v>
      </c>
      <c r="E271" s="6" t="s">
        <v>255</v>
      </c>
      <c r="F271" s="20">
        <v>0.1</v>
      </c>
      <c r="H271"/>
      <c r="I271"/>
    </row>
    <row r="272" spans="1:9" x14ac:dyDescent="0.35">
      <c r="A272" s="24" t="s">
        <v>229</v>
      </c>
      <c r="B272" s="24" t="s">
        <v>288</v>
      </c>
      <c r="C272" s="25">
        <v>0.25</v>
      </c>
      <c r="D272" s="6">
        <v>25</v>
      </c>
      <c r="E272" s="6" t="s">
        <v>255</v>
      </c>
      <c r="F272" s="20">
        <v>0.1</v>
      </c>
      <c r="H272"/>
      <c r="I272"/>
    </row>
    <row r="273" spans="1:9" x14ac:dyDescent="0.35">
      <c r="A273" s="24" t="s">
        <v>226</v>
      </c>
      <c r="B273" s="24" t="s">
        <v>288</v>
      </c>
      <c r="C273" s="25">
        <v>0.25</v>
      </c>
      <c r="D273" s="6">
        <v>25</v>
      </c>
      <c r="E273" s="6" t="s">
        <v>255</v>
      </c>
      <c r="F273" s="20">
        <v>0.1</v>
      </c>
      <c r="H273"/>
      <c r="I273"/>
    </row>
    <row r="274" spans="1:9" x14ac:dyDescent="0.35">
      <c r="A274" s="24" t="s">
        <v>236</v>
      </c>
      <c r="B274" s="24" t="s">
        <v>288</v>
      </c>
      <c r="C274" s="25">
        <v>0.25</v>
      </c>
      <c r="D274" s="6">
        <v>25</v>
      </c>
      <c r="E274" s="6" t="s">
        <v>255</v>
      </c>
      <c r="F274" s="20">
        <v>0.1</v>
      </c>
      <c r="H274"/>
      <c r="I274"/>
    </row>
    <row r="275" spans="1:9" x14ac:dyDescent="0.35">
      <c r="A275" s="24" t="s">
        <v>231</v>
      </c>
      <c r="B275" s="24" t="s">
        <v>288</v>
      </c>
      <c r="C275" s="25">
        <v>0.25</v>
      </c>
      <c r="D275" s="6">
        <v>25</v>
      </c>
      <c r="E275" s="6" t="s">
        <v>255</v>
      </c>
      <c r="F275" s="20">
        <v>0.1</v>
      </c>
      <c r="H275"/>
      <c r="I275"/>
    </row>
    <row r="276" spans="1:9" x14ac:dyDescent="0.35">
      <c r="A276" s="24" t="s">
        <v>240</v>
      </c>
      <c r="B276" s="24" t="s">
        <v>288</v>
      </c>
      <c r="C276" s="25">
        <v>0.25</v>
      </c>
      <c r="D276" s="6">
        <v>25</v>
      </c>
      <c r="E276" s="6" t="s">
        <v>255</v>
      </c>
      <c r="F276" s="20">
        <v>0.1</v>
      </c>
      <c r="H276"/>
      <c r="I276"/>
    </row>
    <row r="277" spans="1:9" x14ac:dyDescent="0.35">
      <c r="A277" s="24" t="s">
        <v>227</v>
      </c>
      <c r="B277" s="24" t="s">
        <v>288</v>
      </c>
      <c r="C277" s="25">
        <v>0.25</v>
      </c>
      <c r="D277" s="6">
        <v>25</v>
      </c>
      <c r="E277" s="6" t="s">
        <v>255</v>
      </c>
      <c r="F277" s="20">
        <v>0.1</v>
      </c>
      <c r="H277"/>
      <c r="I277"/>
    </row>
    <row r="278" spans="1:9" x14ac:dyDescent="0.35">
      <c r="A278" s="24" t="s">
        <v>242</v>
      </c>
      <c r="B278" s="24" t="s">
        <v>288</v>
      </c>
      <c r="C278" s="25">
        <v>0.25</v>
      </c>
      <c r="D278" s="6">
        <v>25</v>
      </c>
      <c r="E278" s="6" t="s">
        <v>255</v>
      </c>
      <c r="F278" s="20">
        <v>0.1</v>
      </c>
      <c r="H278"/>
      <c r="I278"/>
    </row>
    <row r="279" spans="1:9" x14ac:dyDescent="0.35">
      <c r="A279" s="24" t="s">
        <v>248</v>
      </c>
      <c r="B279" s="24" t="s">
        <v>288</v>
      </c>
      <c r="C279" s="25">
        <v>0.25</v>
      </c>
      <c r="D279" s="6">
        <v>25</v>
      </c>
      <c r="E279" s="6" t="s">
        <v>255</v>
      </c>
      <c r="F279" s="20">
        <v>0.1</v>
      </c>
      <c r="H279"/>
      <c r="I279"/>
    </row>
    <row r="280" spans="1:9" x14ac:dyDescent="0.35">
      <c r="A280" s="24" t="s">
        <v>247</v>
      </c>
      <c r="B280" s="24" t="s">
        <v>288</v>
      </c>
      <c r="C280" s="25">
        <v>0.25</v>
      </c>
      <c r="D280" s="6">
        <v>25</v>
      </c>
      <c r="E280" s="6" t="s">
        <v>255</v>
      </c>
      <c r="F280" s="20">
        <v>0.1</v>
      </c>
      <c r="H280"/>
      <c r="I280"/>
    </row>
    <row r="281" spans="1:9" x14ac:dyDescent="0.35">
      <c r="A281" s="24" t="s">
        <v>239</v>
      </c>
      <c r="B281" s="24" t="s">
        <v>288</v>
      </c>
      <c r="C281" s="25">
        <v>0.25</v>
      </c>
      <c r="D281" s="6">
        <v>25</v>
      </c>
      <c r="E281" s="6" t="s">
        <v>255</v>
      </c>
      <c r="F281" s="20">
        <v>0.1</v>
      </c>
      <c r="H281"/>
      <c r="I281"/>
    </row>
    <row r="282" spans="1:9" x14ac:dyDescent="0.35">
      <c r="A282" s="24" t="s">
        <v>237</v>
      </c>
      <c r="B282" s="24" t="s">
        <v>288</v>
      </c>
      <c r="C282" s="25">
        <v>0.25</v>
      </c>
      <c r="D282" s="6">
        <v>25</v>
      </c>
      <c r="E282" s="6" t="s">
        <v>255</v>
      </c>
      <c r="F282" s="20">
        <v>0.1</v>
      </c>
      <c r="H282"/>
      <c r="I282"/>
    </row>
    <row r="283" spans="1:9" x14ac:dyDescent="0.35">
      <c r="A283" s="24" t="s">
        <v>232</v>
      </c>
      <c r="B283" s="24" t="s">
        <v>288</v>
      </c>
      <c r="C283" s="25">
        <v>0.25</v>
      </c>
      <c r="D283" s="6">
        <v>25</v>
      </c>
      <c r="E283" s="6" t="s">
        <v>255</v>
      </c>
      <c r="F283" s="20">
        <v>0.1</v>
      </c>
      <c r="H283"/>
      <c r="I283"/>
    </row>
    <row r="284" spans="1:9" x14ac:dyDescent="0.35">
      <c r="A284" s="24" t="s">
        <v>246</v>
      </c>
      <c r="B284" s="24" t="s">
        <v>288</v>
      </c>
      <c r="C284" s="25">
        <v>0.25</v>
      </c>
      <c r="D284" s="6">
        <v>25</v>
      </c>
      <c r="E284" s="6" t="s">
        <v>255</v>
      </c>
      <c r="F284" s="20">
        <v>0.1</v>
      </c>
      <c r="H284"/>
      <c r="I284"/>
    </row>
    <row r="285" spans="1:9" x14ac:dyDescent="0.35">
      <c r="A285" s="24" t="s">
        <v>234</v>
      </c>
      <c r="B285" s="24" t="s">
        <v>288</v>
      </c>
      <c r="C285" s="25">
        <v>0.25</v>
      </c>
      <c r="D285" s="6">
        <v>25</v>
      </c>
      <c r="E285" s="6" t="s">
        <v>255</v>
      </c>
      <c r="F285" s="20">
        <v>0.1</v>
      </c>
      <c r="H285"/>
      <c r="I285"/>
    </row>
    <row r="286" spans="1:9" x14ac:dyDescent="0.35">
      <c r="A286" s="24" t="s">
        <v>238</v>
      </c>
      <c r="B286" s="24" t="s">
        <v>288</v>
      </c>
      <c r="C286" s="25">
        <v>0.25</v>
      </c>
      <c r="D286" s="6">
        <v>25</v>
      </c>
      <c r="E286" s="6" t="s">
        <v>255</v>
      </c>
      <c r="F286" s="20">
        <v>0.1</v>
      </c>
      <c r="H286"/>
      <c r="I286"/>
    </row>
    <row r="287" spans="1:9" x14ac:dyDescent="0.35">
      <c r="A287" s="24" t="s">
        <v>243</v>
      </c>
      <c r="B287" s="24" t="s">
        <v>288</v>
      </c>
      <c r="C287" s="25">
        <v>0.25</v>
      </c>
      <c r="D287" s="6">
        <v>25</v>
      </c>
      <c r="E287" s="6" t="s">
        <v>255</v>
      </c>
      <c r="F287" s="20">
        <v>0.1</v>
      </c>
      <c r="H287"/>
      <c r="I287"/>
    </row>
    <row r="288" spans="1:9" x14ac:dyDescent="0.35">
      <c r="A288" s="24" t="s">
        <v>244</v>
      </c>
      <c r="B288" s="24" t="s">
        <v>288</v>
      </c>
      <c r="C288" s="25">
        <v>0.25</v>
      </c>
      <c r="D288" s="6">
        <v>25</v>
      </c>
      <c r="E288" s="6" t="s">
        <v>255</v>
      </c>
      <c r="F288" s="20">
        <v>0.1</v>
      </c>
      <c r="H288"/>
      <c r="I288"/>
    </row>
    <row r="289" spans="1:9" x14ac:dyDescent="0.35">
      <c r="A289" s="24" t="s">
        <v>245</v>
      </c>
      <c r="B289" s="24" t="s">
        <v>288</v>
      </c>
      <c r="C289" s="25">
        <v>0.25</v>
      </c>
      <c r="D289" s="6">
        <v>25</v>
      </c>
      <c r="E289" s="6" t="s">
        <v>255</v>
      </c>
      <c r="F289" s="20">
        <v>0.1</v>
      </c>
      <c r="H289"/>
      <c r="I289"/>
    </row>
    <row r="290" spans="1:9" x14ac:dyDescent="0.35">
      <c r="A290" s="24" t="s">
        <v>233</v>
      </c>
      <c r="B290" s="24" t="s">
        <v>288</v>
      </c>
      <c r="C290" s="25">
        <v>0.25</v>
      </c>
      <c r="D290" s="6">
        <v>25</v>
      </c>
      <c r="E290" s="6" t="s">
        <v>255</v>
      </c>
      <c r="F290" s="20">
        <v>0.1</v>
      </c>
      <c r="H290"/>
      <c r="I290"/>
    </row>
    <row r="291" spans="1:9" x14ac:dyDescent="0.35">
      <c r="A291" s="24" t="s">
        <v>221</v>
      </c>
      <c r="B291" s="24" t="s">
        <v>288</v>
      </c>
      <c r="C291" s="25">
        <v>0.25</v>
      </c>
      <c r="D291" s="6">
        <v>25</v>
      </c>
      <c r="E291" s="6" t="s">
        <v>255</v>
      </c>
      <c r="F291" s="20">
        <v>0.1</v>
      </c>
    </row>
    <row r="292" spans="1:9" x14ac:dyDescent="0.35">
      <c r="A292" s="47" t="s">
        <v>362</v>
      </c>
      <c r="B292" s="47" t="s">
        <v>268</v>
      </c>
      <c r="C292" s="49">
        <v>0.25</v>
      </c>
      <c r="D292" s="50">
        <v>25</v>
      </c>
      <c r="E292" s="50" t="s">
        <v>255</v>
      </c>
      <c r="F292" s="51">
        <v>0.1</v>
      </c>
    </row>
    <row r="293" spans="1:9" x14ac:dyDescent="0.35">
      <c r="A293" s="48" t="s">
        <v>364</v>
      </c>
      <c r="B293" s="47" t="s">
        <v>256</v>
      </c>
      <c r="C293" s="49">
        <v>0.25</v>
      </c>
      <c r="D293" s="50">
        <v>0</v>
      </c>
      <c r="E293" s="50" t="s">
        <v>254</v>
      </c>
      <c r="F293" s="51">
        <v>0</v>
      </c>
    </row>
    <row r="294" spans="1:9" x14ac:dyDescent="0.35">
      <c r="A294" s="47" t="s">
        <v>363</v>
      </c>
      <c r="B294" s="47" t="s">
        <v>350</v>
      </c>
      <c r="C294" s="49">
        <v>0.25</v>
      </c>
      <c r="D294" s="50">
        <v>0</v>
      </c>
      <c r="E294" s="50" t="s">
        <v>254</v>
      </c>
      <c r="F294" s="51">
        <v>0</v>
      </c>
    </row>
    <row r="295" spans="1:9" x14ac:dyDescent="0.35">
      <c r="A295" s="47" t="s">
        <v>365</v>
      </c>
      <c r="B295" s="47" t="s">
        <v>256</v>
      </c>
      <c r="C295" s="49">
        <v>0</v>
      </c>
      <c r="D295" s="50">
        <v>0</v>
      </c>
      <c r="E295" s="50" t="s">
        <v>255</v>
      </c>
      <c r="F295" s="51">
        <v>0</v>
      </c>
    </row>
    <row r="296" spans="1:9" x14ac:dyDescent="0.35">
      <c r="A296" s="47" t="s">
        <v>366</v>
      </c>
      <c r="B296" s="47" t="s">
        <v>256</v>
      </c>
      <c r="C296" s="49">
        <v>0</v>
      </c>
      <c r="D296" s="50">
        <v>0</v>
      </c>
      <c r="E296" s="50" t="s">
        <v>255</v>
      </c>
      <c r="F296" s="51">
        <v>0</v>
      </c>
    </row>
    <row r="297" spans="1:9" x14ac:dyDescent="0.35">
      <c r="A297" s="47" t="s">
        <v>367</v>
      </c>
      <c r="B297" s="47" t="s">
        <v>256</v>
      </c>
      <c r="C297" s="49">
        <v>0</v>
      </c>
      <c r="D297" s="50">
        <v>0</v>
      </c>
      <c r="E297" s="50" t="s">
        <v>255</v>
      </c>
      <c r="F297" s="51">
        <v>0</v>
      </c>
    </row>
    <row r="298" spans="1:9" x14ac:dyDescent="0.35">
      <c r="A298" s="47" t="s">
        <v>368</v>
      </c>
      <c r="B298" s="47" t="s">
        <v>256</v>
      </c>
      <c r="C298" s="49">
        <v>0</v>
      </c>
      <c r="D298" s="50">
        <v>0</v>
      </c>
      <c r="E298" s="50" t="s">
        <v>255</v>
      </c>
      <c r="F298" s="51">
        <v>0</v>
      </c>
    </row>
    <row r="299" spans="1:9" x14ac:dyDescent="0.35">
      <c r="A299" s="47" t="s">
        <v>369</v>
      </c>
      <c r="B299" s="47" t="s">
        <v>256</v>
      </c>
      <c r="C299" s="49">
        <v>0</v>
      </c>
      <c r="D299" s="50">
        <v>0</v>
      </c>
      <c r="E299" s="50" t="s">
        <v>255</v>
      </c>
      <c r="F299" s="51">
        <v>0</v>
      </c>
    </row>
    <row r="300" spans="1:9" x14ac:dyDescent="0.35">
      <c r="A300" s="47" t="s">
        <v>371</v>
      </c>
      <c r="B300" s="47" t="s">
        <v>256</v>
      </c>
      <c r="C300" s="49">
        <v>0</v>
      </c>
      <c r="D300" s="50">
        <v>0</v>
      </c>
      <c r="E300" s="50" t="s">
        <v>255</v>
      </c>
      <c r="F300" s="51">
        <v>0</v>
      </c>
    </row>
    <row r="301" spans="1:9" x14ac:dyDescent="0.35">
      <c r="A301" s="47" t="s">
        <v>372</v>
      </c>
      <c r="B301" s="47" t="s">
        <v>256</v>
      </c>
      <c r="C301" s="49">
        <v>0</v>
      </c>
      <c r="D301" s="50">
        <v>0</v>
      </c>
      <c r="E301" s="50" t="s">
        <v>255</v>
      </c>
      <c r="F301" s="51">
        <v>0</v>
      </c>
    </row>
    <row r="302" spans="1:9" x14ac:dyDescent="0.35">
      <c r="A302" s="47" t="s">
        <v>370</v>
      </c>
      <c r="B302" s="47" t="s">
        <v>256</v>
      </c>
      <c r="C302" s="49">
        <v>0</v>
      </c>
      <c r="D302" s="50">
        <v>0</v>
      </c>
      <c r="E302" s="50" t="s">
        <v>255</v>
      </c>
      <c r="F302" s="51">
        <v>0</v>
      </c>
    </row>
    <row r="303" spans="1:9" x14ac:dyDescent="0.35">
      <c r="A303" s="47" t="s">
        <v>373</v>
      </c>
      <c r="B303" s="47" t="s">
        <v>256</v>
      </c>
      <c r="C303" s="49">
        <v>0</v>
      </c>
      <c r="D303" s="50">
        <v>0</v>
      </c>
      <c r="E303" s="50" t="s">
        <v>255</v>
      </c>
      <c r="F303" s="51">
        <v>0</v>
      </c>
    </row>
    <row r="304" spans="1:9" x14ac:dyDescent="0.35">
      <c r="A304" s="47" t="s">
        <v>374</v>
      </c>
      <c r="B304" s="47" t="s">
        <v>256</v>
      </c>
      <c r="C304" s="49">
        <v>0</v>
      </c>
      <c r="D304" s="50">
        <v>0</v>
      </c>
      <c r="E304" s="50" t="s">
        <v>255</v>
      </c>
      <c r="F304" s="51">
        <v>0</v>
      </c>
    </row>
  </sheetData>
  <conditionalFormatting sqref="F2:F31">
    <cfRule type="cellIs" dxfId="28" priority="12" operator="greaterThan">
      <formula>0</formula>
    </cfRule>
  </conditionalFormatting>
  <conditionalFormatting sqref="E2:E31">
    <cfRule type="cellIs" dxfId="27" priority="11" operator="equal">
      <formula>"SIM"</formula>
    </cfRule>
  </conditionalFormatting>
  <conditionalFormatting sqref="D2:D31">
    <cfRule type="cellIs" dxfId="26" priority="10" operator="greaterThan">
      <formula>0</formula>
    </cfRule>
  </conditionalFormatting>
  <conditionalFormatting sqref="F32:F34">
    <cfRule type="cellIs" dxfId="25" priority="9" operator="greaterThan">
      <formula>0</formula>
    </cfRule>
  </conditionalFormatting>
  <conditionalFormatting sqref="E32:E34">
    <cfRule type="cellIs" dxfId="24" priority="8" operator="equal">
      <formula>"SIM"</formula>
    </cfRule>
  </conditionalFormatting>
  <conditionalFormatting sqref="D32:D34">
    <cfRule type="cellIs" dxfId="23" priority="7" operator="greaterThan">
      <formula>0</formula>
    </cfRule>
  </conditionalFormatting>
  <conditionalFormatting sqref="F35:F294">
    <cfRule type="cellIs" dxfId="22" priority="3" operator="greaterThan">
      <formula>0</formula>
    </cfRule>
  </conditionalFormatting>
  <conditionalFormatting sqref="E35:E294">
    <cfRule type="cellIs" dxfId="21" priority="2" operator="equal">
      <formula>"SIM"</formula>
    </cfRule>
  </conditionalFormatting>
  <conditionalFormatting sqref="D35:D294">
    <cfRule type="cellIs" dxfId="2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B1AA-1AFB-42A9-BC74-AC4174B85D72}">
  <sheetPr codeName="wsResumo"/>
  <dimension ref="A1:T307"/>
  <sheetViews>
    <sheetView showGridLines="0" topLeftCell="A4" zoomScaleNormal="100" workbookViewId="0">
      <selection activeCell="D16" sqref="D16"/>
    </sheetView>
  </sheetViews>
  <sheetFormatPr defaultRowHeight="14.5" x14ac:dyDescent="0.35"/>
  <cols>
    <col min="1" max="1" width="24.26953125" bestFit="1" customWidth="1"/>
    <col min="2" max="2" width="11.1796875" bestFit="1" customWidth="1"/>
    <col min="3" max="3" width="17.81640625" bestFit="1" customWidth="1"/>
    <col min="4" max="4" width="11.1796875" bestFit="1" customWidth="1"/>
    <col min="5" max="5" width="11.90625" bestFit="1" customWidth="1"/>
    <col min="6" max="6" width="9.6328125" bestFit="1" customWidth="1"/>
    <col min="7" max="7" width="11.7265625" bestFit="1" customWidth="1"/>
    <col min="8" max="8" width="16.36328125" bestFit="1" customWidth="1"/>
    <col min="9" max="9" width="15.26953125" bestFit="1" customWidth="1"/>
    <col min="10" max="10" width="21.1796875" bestFit="1" customWidth="1"/>
    <col min="11" max="11" width="14.90625" bestFit="1" customWidth="1"/>
    <col min="12" max="12" width="13.90625" bestFit="1" customWidth="1"/>
    <col min="13" max="13" width="11.90625" style="8" bestFit="1" customWidth="1"/>
    <col min="14" max="14" width="16.1796875" bestFit="1" customWidth="1"/>
    <col min="15" max="15" width="17.08984375" bestFit="1" customWidth="1"/>
    <col min="16" max="16" width="16.1796875" customWidth="1"/>
    <col min="17" max="17" width="20.7265625" bestFit="1" customWidth="1"/>
    <col min="18" max="19" width="13.26953125" bestFit="1" customWidth="1"/>
    <col min="20" max="20" width="13.26953125" style="1" bestFit="1" customWidth="1"/>
    <col min="21" max="21" width="18.81640625" bestFit="1" customWidth="1"/>
    <col min="22" max="22" width="13.54296875" customWidth="1"/>
    <col min="23" max="23" width="17.26953125" bestFit="1" customWidth="1"/>
    <col min="24" max="24" width="16.54296875" bestFit="1" customWidth="1"/>
    <col min="25" max="26" width="17.54296875" bestFit="1" customWidth="1"/>
    <col min="27" max="27" width="22.7265625" bestFit="1" customWidth="1"/>
    <col min="28" max="28" width="16.54296875" bestFit="1" customWidth="1"/>
  </cols>
  <sheetData>
    <row r="1" spans="1:20" hidden="1" x14ac:dyDescent="0.35">
      <c r="A1" t="s">
        <v>291</v>
      </c>
    </row>
    <row r="2" spans="1:20" hidden="1" x14ac:dyDescent="0.35">
      <c r="A2" t="s">
        <v>377</v>
      </c>
    </row>
    <row r="3" spans="1:20" hidden="1" x14ac:dyDescent="0.35"/>
    <row r="4" spans="1:20" x14ac:dyDescent="0.35">
      <c r="A4" t="s">
        <v>357</v>
      </c>
    </row>
    <row r="5" spans="1:20" x14ac:dyDescent="0.35">
      <c r="A5" s="10" t="s">
        <v>378</v>
      </c>
      <c r="B5" s="10"/>
    </row>
    <row r="8" spans="1:20" x14ac:dyDescent="0.35">
      <c r="D8" s="10"/>
    </row>
    <row r="9" spans="1:20" x14ac:dyDescent="0.35">
      <c r="A9" s="21" t="s">
        <v>0</v>
      </c>
      <c r="B9" s="2" t="s">
        <v>1</v>
      </c>
      <c r="C9" s="2" t="s">
        <v>2</v>
      </c>
      <c r="D9" s="2" t="s">
        <v>3</v>
      </c>
      <c r="E9" s="2" t="s">
        <v>4</v>
      </c>
      <c r="F9" s="2" t="s">
        <v>5</v>
      </c>
      <c r="G9" s="2" t="s">
        <v>6</v>
      </c>
      <c r="H9" s="2" t="s">
        <v>7</v>
      </c>
      <c r="I9" s="2" t="s">
        <v>8</v>
      </c>
      <c r="J9" s="2" t="s">
        <v>9</v>
      </c>
      <c r="K9" s="7" t="s">
        <v>289</v>
      </c>
      <c r="L9" t="s">
        <v>321</v>
      </c>
      <c r="M9" t="s">
        <v>358</v>
      </c>
      <c r="N9" s="2" t="s">
        <v>250</v>
      </c>
      <c r="O9" s="2" t="s">
        <v>376</v>
      </c>
      <c r="T9"/>
    </row>
    <row r="10" spans="1:20" hidden="1" x14ac:dyDescent="0.35">
      <c r="A10" s="3" t="s">
        <v>33</v>
      </c>
      <c r="B10" s="4">
        <v>61</v>
      </c>
      <c r="C10" s="4">
        <v>0</v>
      </c>
      <c r="D10" s="4">
        <v>4</v>
      </c>
      <c r="E10" s="4">
        <v>0</v>
      </c>
      <c r="F10" s="4">
        <v>9.2100000000000009</v>
      </c>
      <c r="G10" s="2">
        <v>16</v>
      </c>
      <c r="H10" s="4">
        <v>47.79</v>
      </c>
      <c r="I10" s="4">
        <v>47.79</v>
      </c>
      <c r="J10" s="3" t="s">
        <v>257</v>
      </c>
      <c r="K10" s="22">
        <v>0</v>
      </c>
      <c r="L10" s="17">
        <v>0</v>
      </c>
      <c r="M10" s="54">
        <v>47.79</v>
      </c>
      <c r="N10" s="4">
        <v>4.7789999999999999</v>
      </c>
      <c r="O1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"/>
    </row>
    <row r="11" spans="1:20" hidden="1" x14ac:dyDescent="0.35">
      <c r="A11" s="3" t="s">
        <v>32</v>
      </c>
      <c r="B11" s="4">
        <v>171</v>
      </c>
      <c r="C11" s="4">
        <v>2</v>
      </c>
      <c r="D11" s="4">
        <v>21.9</v>
      </c>
      <c r="E11" s="4">
        <v>0</v>
      </c>
      <c r="F11" s="4">
        <v>27.15</v>
      </c>
      <c r="G11" s="2">
        <v>20</v>
      </c>
      <c r="H11" s="4">
        <v>119.95</v>
      </c>
      <c r="I11" s="4">
        <v>119.95</v>
      </c>
      <c r="J11" s="3" t="s">
        <v>257</v>
      </c>
      <c r="K11" s="22">
        <v>10</v>
      </c>
      <c r="L11" s="17">
        <v>0</v>
      </c>
      <c r="M11" s="54">
        <v>111.94999999999999</v>
      </c>
      <c r="N11" s="4">
        <v>10.994999999999999</v>
      </c>
      <c r="O1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1"/>
    </row>
    <row r="12" spans="1:20" hidden="1" x14ac:dyDescent="0.35">
      <c r="A12" s="3" t="s">
        <v>295</v>
      </c>
      <c r="B12" s="4">
        <v>210</v>
      </c>
      <c r="C12" s="4">
        <v>5</v>
      </c>
      <c r="D12" s="4">
        <v>0</v>
      </c>
      <c r="E12" s="4">
        <v>0</v>
      </c>
      <c r="F12" s="4">
        <v>35.31</v>
      </c>
      <c r="G12" s="2">
        <v>24</v>
      </c>
      <c r="H12" s="4">
        <v>169.69</v>
      </c>
      <c r="I12" s="4">
        <v>169.69</v>
      </c>
      <c r="J12" s="3" t="s">
        <v>257</v>
      </c>
      <c r="K12" s="22">
        <v>20</v>
      </c>
      <c r="L12" s="17">
        <v>0</v>
      </c>
      <c r="M12" s="54">
        <v>154.69</v>
      </c>
      <c r="N12" s="4">
        <v>14.968999999999999</v>
      </c>
      <c r="O1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"/>
    </row>
    <row r="13" spans="1:20" hidden="1" x14ac:dyDescent="0.35">
      <c r="A13" s="3" t="s">
        <v>31</v>
      </c>
      <c r="B13" s="4">
        <v>530.5</v>
      </c>
      <c r="C13" s="4">
        <v>5</v>
      </c>
      <c r="D13" s="4">
        <v>10.8</v>
      </c>
      <c r="E13" s="4">
        <v>0</v>
      </c>
      <c r="F13" s="4">
        <v>95.57</v>
      </c>
      <c r="G13" s="2">
        <v>46</v>
      </c>
      <c r="H13" s="4">
        <v>419.13</v>
      </c>
      <c r="I13" s="4">
        <v>419.13</v>
      </c>
      <c r="J13" s="3" t="s">
        <v>257</v>
      </c>
      <c r="K13" s="22">
        <v>30</v>
      </c>
      <c r="L13" s="17">
        <v>0</v>
      </c>
      <c r="M13" s="54">
        <v>394.13000000000005</v>
      </c>
      <c r="N13" s="4">
        <v>38.912999999999997</v>
      </c>
      <c r="O1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"/>
    </row>
    <row r="14" spans="1:20" hidden="1" x14ac:dyDescent="0.35">
      <c r="A14" s="3" t="s">
        <v>35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2">
        <v>0</v>
      </c>
      <c r="H14" s="4">
        <v>0</v>
      </c>
      <c r="I14" s="4">
        <v>0</v>
      </c>
      <c r="J14" s="3" t="s">
        <v>258</v>
      </c>
      <c r="K14" s="22">
        <v>0</v>
      </c>
      <c r="L14" s="17">
        <v>0</v>
      </c>
      <c r="M14" s="54">
        <v>0</v>
      </c>
      <c r="N14" s="4">
        <v>0</v>
      </c>
      <c r="O1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4"/>
    </row>
    <row r="15" spans="1:20" hidden="1" x14ac:dyDescent="0.35">
      <c r="A15" s="3" t="s">
        <v>296</v>
      </c>
      <c r="B15" s="4">
        <v>86</v>
      </c>
      <c r="C15" s="4">
        <v>0</v>
      </c>
      <c r="D15" s="4">
        <v>0</v>
      </c>
      <c r="E15" s="4">
        <v>0</v>
      </c>
      <c r="F15" s="4">
        <v>16.14</v>
      </c>
      <c r="G15" s="2">
        <v>14</v>
      </c>
      <c r="H15" s="4">
        <v>69.86</v>
      </c>
      <c r="I15" s="4">
        <v>69.86</v>
      </c>
      <c r="J15" s="3" t="s">
        <v>258</v>
      </c>
      <c r="K15" s="22">
        <v>0</v>
      </c>
      <c r="L15" s="17">
        <v>0</v>
      </c>
      <c r="M15" s="54">
        <v>69.86</v>
      </c>
      <c r="N15" s="4">
        <v>13.972</v>
      </c>
      <c r="O1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5"/>
    </row>
    <row r="16" spans="1:20" hidden="1" x14ac:dyDescent="0.35">
      <c r="A16" s="3" t="s">
        <v>297</v>
      </c>
      <c r="B16" s="4">
        <v>58</v>
      </c>
      <c r="C16" s="4">
        <v>0</v>
      </c>
      <c r="D16" s="4">
        <v>0</v>
      </c>
      <c r="E16" s="4">
        <v>0</v>
      </c>
      <c r="F16" s="4">
        <v>11.24</v>
      </c>
      <c r="G16" s="2">
        <v>12</v>
      </c>
      <c r="H16" s="4">
        <v>46.76</v>
      </c>
      <c r="I16" s="4">
        <v>46.76</v>
      </c>
      <c r="J16" s="3" t="s">
        <v>258</v>
      </c>
      <c r="K16" s="22">
        <v>0</v>
      </c>
      <c r="L16" s="17">
        <v>0</v>
      </c>
      <c r="M16" s="54">
        <v>46.76</v>
      </c>
      <c r="N16" s="4">
        <v>9.3520000000000003</v>
      </c>
      <c r="O1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6"/>
    </row>
    <row r="17" spans="1:20" hidden="1" x14ac:dyDescent="0.35">
      <c r="A17" s="3" t="s">
        <v>34</v>
      </c>
      <c r="B17" s="4">
        <v>115</v>
      </c>
      <c r="C17" s="4">
        <v>0</v>
      </c>
      <c r="D17" s="4">
        <v>0</v>
      </c>
      <c r="E17" s="4">
        <v>0</v>
      </c>
      <c r="F17" s="4">
        <v>18.84</v>
      </c>
      <c r="G17" s="2">
        <v>23</v>
      </c>
      <c r="H17" s="4">
        <v>96.16</v>
      </c>
      <c r="I17" s="4">
        <v>96.16</v>
      </c>
      <c r="J17" s="3" t="s">
        <v>258</v>
      </c>
      <c r="K17" s="22">
        <v>0</v>
      </c>
      <c r="L17" s="17">
        <v>0</v>
      </c>
      <c r="M17" s="54">
        <v>96.16</v>
      </c>
      <c r="N17" s="4">
        <v>19.231999999999999</v>
      </c>
      <c r="O1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"/>
    </row>
    <row r="18" spans="1:20" hidden="1" x14ac:dyDescent="0.35">
      <c r="A18" s="3" t="s">
        <v>38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2">
        <v>0</v>
      </c>
      <c r="H18" s="4">
        <v>0</v>
      </c>
      <c r="I18" s="4">
        <v>0</v>
      </c>
      <c r="J18" s="3" t="s">
        <v>259</v>
      </c>
      <c r="K18" s="22">
        <v>0</v>
      </c>
      <c r="L18" s="17">
        <v>0</v>
      </c>
      <c r="M18" s="54">
        <v>0</v>
      </c>
      <c r="N18" s="4">
        <v>0</v>
      </c>
      <c r="O1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"/>
    </row>
    <row r="19" spans="1:20" hidden="1" x14ac:dyDescent="0.35">
      <c r="A19" s="3" t="s">
        <v>36</v>
      </c>
      <c r="B19" s="4">
        <v>480</v>
      </c>
      <c r="C19" s="4">
        <v>200</v>
      </c>
      <c r="D19" s="4">
        <v>0</v>
      </c>
      <c r="E19" s="4">
        <v>0</v>
      </c>
      <c r="F19" s="4">
        <v>48.98</v>
      </c>
      <c r="G19" s="2">
        <v>6</v>
      </c>
      <c r="H19" s="4">
        <v>231.02</v>
      </c>
      <c r="I19" s="4">
        <v>231.02</v>
      </c>
      <c r="J19" s="3" t="s">
        <v>259</v>
      </c>
      <c r="K19" s="22">
        <v>30</v>
      </c>
      <c r="L19" s="17">
        <v>0</v>
      </c>
      <c r="M19" s="54">
        <v>401.02</v>
      </c>
      <c r="N19" s="4">
        <v>50.255000000000003</v>
      </c>
      <c r="O1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"/>
    </row>
    <row r="20" spans="1:20" hidden="1" x14ac:dyDescent="0.35">
      <c r="A20" s="3" t="s">
        <v>37</v>
      </c>
      <c r="B20" s="4">
        <v>246</v>
      </c>
      <c r="C20" s="4">
        <v>31</v>
      </c>
      <c r="D20" s="4">
        <v>0</v>
      </c>
      <c r="E20" s="4">
        <v>0</v>
      </c>
      <c r="F20" s="4">
        <v>42.25</v>
      </c>
      <c r="G20" s="2">
        <v>9</v>
      </c>
      <c r="H20" s="4">
        <v>172.75</v>
      </c>
      <c r="I20" s="4">
        <v>172.75</v>
      </c>
      <c r="J20" s="3" t="s">
        <v>259</v>
      </c>
      <c r="K20" s="22">
        <v>20</v>
      </c>
      <c r="L20" s="17">
        <v>0</v>
      </c>
      <c r="M20" s="54">
        <v>183.75</v>
      </c>
      <c r="N20" s="4">
        <v>38.1875</v>
      </c>
      <c r="O2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"/>
    </row>
    <row r="21" spans="1:20" hidden="1" x14ac:dyDescent="0.35">
      <c r="A21" s="3" t="s">
        <v>45</v>
      </c>
      <c r="B21" s="4">
        <v>55</v>
      </c>
      <c r="C21" s="4">
        <v>0</v>
      </c>
      <c r="D21" s="4">
        <v>252.5</v>
      </c>
      <c r="E21" s="4">
        <v>0</v>
      </c>
      <c r="F21" s="4">
        <v>10.25</v>
      </c>
      <c r="G21" s="2">
        <v>5</v>
      </c>
      <c r="H21" s="4">
        <v>-207.75</v>
      </c>
      <c r="I21" s="4">
        <v>-207.75</v>
      </c>
      <c r="J21" s="3" t="s">
        <v>260</v>
      </c>
      <c r="K21" s="22">
        <v>0</v>
      </c>
      <c r="L21" s="17">
        <v>0</v>
      </c>
      <c r="M21" s="54">
        <v>-207.75</v>
      </c>
      <c r="N21" s="4">
        <v>-41.55</v>
      </c>
      <c r="O2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1"/>
    </row>
    <row r="22" spans="1:20" hidden="1" x14ac:dyDescent="0.35">
      <c r="A22" s="3" t="s">
        <v>41</v>
      </c>
      <c r="B22" s="4">
        <v>669</v>
      </c>
      <c r="C22" s="4">
        <v>0</v>
      </c>
      <c r="D22" s="4">
        <v>561.04999999999995</v>
      </c>
      <c r="E22" s="4">
        <v>0</v>
      </c>
      <c r="F22" s="4">
        <v>89.22</v>
      </c>
      <c r="G22" s="2">
        <v>53</v>
      </c>
      <c r="H22" s="4">
        <v>18.73</v>
      </c>
      <c r="I22" s="4">
        <v>18.73</v>
      </c>
      <c r="J22" s="3" t="s">
        <v>260</v>
      </c>
      <c r="K22" s="22">
        <v>40</v>
      </c>
      <c r="L22" s="17">
        <v>0</v>
      </c>
      <c r="M22" s="54">
        <v>-21.269999999999953</v>
      </c>
      <c r="N22" s="4">
        <v>-4.2539999999999996</v>
      </c>
      <c r="O2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2"/>
    </row>
    <row r="23" spans="1:20" hidden="1" x14ac:dyDescent="0.35">
      <c r="A23" s="3" t="s">
        <v>43</v>
      </c>
      <c r="B23" s="4">
        <v>5</v>
      </c>
      <c r="C23" s="4">
        <v>0</v>
      </c>
      <c r="D23" s="4">
        <v>0</v>
      </c>
      <c r="E23" s="4">
        <v>0</v>
      </c>
      <c r="F23" s="4">
        <v>1</v>
      </c>
      <c r="G23" s="2">
        <v>1</v>
      </c>
      <c r="H23" s="4">
        <v>4</v>
      </c>
      <c r="I23" s="4">
        <v>4</v>
      </c>
      <c r="J23" s="3" t="s">
        <v>260</v>
      </c>
      <c r="K23" s="22">
        <v>0</v>
      </c>
      <c r="L23" s="17">
        <v>0</v>
      </c>
      <c r="M23" s="54">
        <v>4</v>
      </c>
      <c r="N23" s="4">
        <v>0.8</v>
      </c>
      <c r="O2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3"/>
    </row>
    <row r="24" spans="1:20" hidden="1" x14ac:dyDescent="0.35">
      <c r="A24" s="3" t="s">
        <v>40</v>
      </c>
      <c r="B24" s="4">
        <v>32</v>
      </c>
      <c r="C24" s="4">
        <v>0</v>
      </c>
      <c r="D24" s="4">
        <v>0</v>
      </c>
      <c r="E24" s="4">
        <v>0</v>
      </c>
      <c r="F24" s="4">
        <v>5.88</v>
      </c>
      <c r="G24" s="2">
        <v>8</v>
      </c>
      <c r="H24" s="4">
        <v>26.12</v>
      </c>
      <c r="I24" s="4">
        <v>26.12</v>
      </c>
      <c r="J24" s="3" t="s">
        <v>260</v>
      </c>
      <c r="K24" s="22">
        <v>0</v>
      </c>
      <c r="L24" s="17">
        <v>0</v>
      </c>
      <c r="M24" s="54">
        <v>26.12</v>
      </c>
      <c r="N24" s="4">
        <v>5.2240000000000002</v>
      </c>
      <c r="O2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4"/>
    </row>
    <row r="25" spans="1:20" hidden="1" x14ac:dyDescent="0.35">
      <c r="A25" s="3" t="s">
        <v>42</v>
      </c>
      <c r="B25" s="4">
        <v>62</v>
      </c>
      <c r="C25" s="4">
        <v>4</v>
      </c>
      <c r="D25" s="4">
        <v>30.15</v>
      </c>
      <c r="E25" s="4">
        <v>0</v>
      </c>
      <c r="F25" s="4">
        <v>9.67</v>
      </c>
      <c r="G25" s="2">
        <v>24</v>
      </c>
      <c r="H25" s="4">
        <v>18.18</v>
      </c>
      <c r="I25" s="4">
        <v>18.18</v>
      </c>
      <c r="J25" s="3" t="s">
        <v>260</v>
      </c>
      <c r="K25" s="22">
        <v>0</v>
      </c>
      <c r="L25" s="17">
        <v>0</v>
      </c>
      <c r="M25" s="54">
        <v>22.18</v>
      </c>
      <c r="N25" s="4">
        <v>3.6360000000000001</v>
      </c>
      <c r="O2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"/>
    </row>
    <row r="26" spans="1:20" hidden="1" x14ac:dyDescent="0.35">
      <c r="A26" s="3" t="s">
        <v>39</v>
      </c>
      <c r="B26" s="4">
        <v>36</v>
      </c>
      <c r="C26" s="4">
        <v>0</v>
      </c>
      <c r="D26" s="4">
        <v>0</v>
      </c>
      <c r="E26" s="4">
        <v>0</v>
      </c>
      <c r="F26" s="4">
        <v>6.98</v>
      </c>
      <c r="G26" s="2">
        <v>13</v>
      </c>
      <c r="H26" s="4">
        <v>29.02</v>
      </c>
      <c r="I26" s="4">
        <v>29.02</v>
      </c>
      <c r="J26" s="3" t="s">
        <v>260</v>
      </c>
      <c r="K26" s="22">
        <v>0</v>
      </c>
      <c r="L26" s="17">
        <v>0</v>
      </c>
      <c r="M26" s="54">
        <v>29.02</v>
      </c>
      <c r="N26" s="4">
        <v>5.8040000000000003</v>
      </c>
      <c r="O2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6"/>
    </row>
    <row r="27" spans="1:20" hidden="1" x14ac:dyDescent="0.35">
      <c r="A27" s="3" t="s">
        <v>44</v>
      </c>
      <c r="B27" s="4">
        <v>0</v>
      </c>
      <c r="C27" s="4">
        <v>0</v>
      </c>
      <c r="D27" s="4">
        <v>0</v>
      </c>
      <c r="E27" s="4">
        <v>0</v>
      </c>
      <c r="F27" s="4">
        <v>0</v>
      </c>
      <c r="G27" s="2">
        <v>0</v>
      </c>
      <c r="H27" s="4">
        <v>0</v>
      </c>
      <c r="I27" s="4">
        <v>0</v>
      </c>
      <c r="J27" s="3" t="s">
        <v>260</v>
      </c>
      <c r="K27" s="22">
        <v>0</v>
      </c>
      <c r="L27" s="17">
        <v>0</v>
      </c>
      <c r="M27" s="54">
        <v>0</v>
      </c>
      <c r="N27" s="4">
        <v>0</v>
      </c>
      <c r="O2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7"/>
    </row>
    <row r="28" spans="1:20" hidden="1" x14ac:dyDescent="0.35">
      <c r="A28" s="3" t="s">
        <v>46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2">
        <v>0</v>
      </c>
      <c r="H28" s="4">
        <v>0</v>
      </c>
      <c r="I28" s="4">
        <v>0</v>
      </c>
      <c r="J28" s="3" t="s">
        <v>261</v>
      </c>
      <c r="K28" s="22">
        <v>0</v>
      </c>
      <c r="L28" s="17">
        <v>0</v>
      </c>
      <c r="M28" s="54">
        <v>0</v>
      </c>
      <c r="N28" s="4">
        <v>0</v>
      </c>
      <c r="O2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"/>
    </row>
    <row r="29" spans="1:20" hidden="1" x14ac:dyDescent="0.35">
      <c r="A29" s="3" t="s">
        <v>66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2">
        <v>0</v>
      </c>
      <c r="H29" s="4">
        <v>0</v>
      </c>
      <c r="I29" s="4">
        <v>0</v>
      </c>
      <c r="J29" s="3" t="s">
        <v>262</v>
      </c>
      <c r="K29" s="22">
        <v>0</v>
      </c>
      <c r="L29" s="17">
        <v>0</v>
      </c>
      <c r="M29" s="54">
        <v>0</v>
      </c>
      <c r="N29" s="4">
        <v>0</v>
      </c>
      <c r="O2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9"/>
    </row>
    <row r="30" spans="1:20" hidden="1" x14ac:dyDescent="0.35">
      <c r="A30" s="3" t="s">
        <v>48</v>
      </c>
      <c r="B30" s="4">
        <v>1106.17</v>
      </c>
      <c r="C30" s="4">
        <v>143</v>
      </c>
      <c r="D30" s="4">
        <v>36.22</v>
      </c>
      <c r="E30" s="4">
        <v>0</v>
      </c>
      <c r="F30" s="4">
        <v>171.95</v>
      </c>
      <c r="G30" s="2">
        <v>112</v>
      </c>
      <c r="H30" s="4">
        <v>755</v>
      </c>
      <c r="I30" s="4">
        <v>755</v>
      </c>
      <c r="J30" s="3" t="s">
        <v>262</v>
      </c>
      <c r="K30" s="22">
        <v>50</v>
      </c>
      <c r="L30" s="17">
        <v>84.800000000000011</v>
      </c>
      <c r="M30" s="54">
        <v>763.2</v>
      </c>
      <c r="N30" s="4">
        <v>310.10000000000002</v>
      </c>
      <c r="O3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763.2</v>
      </c>
      <c r="T30"/>
    </row>
    <row r="31" spans="1:20" hidden="1" x14ac:dyDescent="0.35">
      <c r="A31" s="3" t="s">
        <v>55</v>
      </c>
      <c r="B31" s="4">
        <v>47</v>
      </c>
      <c r="C31" s="4">
        <v>0</v>
      </c>
      <c r="D31" s="4">
        <v>0</v>
      </c>
      <c r="E31" s="4">
        <v>0</v>
      </c>
      <c r="F31" s="4">
        <v>8.32</v>
      </c>
      <c r="G31" s="2">
        <v>14</v>
      </c>
      <c r="H31" s="4">
        <v>38.68</v>
      </c>
      <c r="I31" s="4">
        <v>38.68</v>
      </c>
      <c r="J31" s="3" t="s">
        <v>262</v>
      </c>
      <c r="K31" s="22">
        <v>0</v>
      </c>
      <c r="L31" s="17">
        <v>3.8680000000000003</v>
      </c>
      <c r="M31" s="54">
        <v>34.811999999999998</v>
      </c>
      <c r="N31" s="4">
        <v>17.405999999999999</v>
      </c>
      <c r="O3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34.811999999999998</v>
      </c>
      <c r="T31"/>
    </row>
    <row r="32" spans="1:20" hidden="1" x14ac:dyDescent="0.35">
      <c r="A32" s="3" t="s">
        <v>57</v>
      </c>
      <c r="B32" s="4">
        <v>55</v>
      </c>
      <c r="C32" s="4">
        <v>0</v>
      </c>
      <c r="D32" s="4">
        <v>45.45</v>
      </c>
      <c r="E32" s="4">
        <v>0</v>
      </c>
      <c r="F32" s="4">
        <v>5.1100000000000003</v>
      </c>
      <c r="G32" s="2">
        <v>11</v>
      </c>
      <c r="H32" s="4">
        <v>4.4400000000000004</v>
      </c>
      <c r="I32" s="4">
        <v>4.4400000000000004</v>
      </c>
      <c r="J32" s="3" t="s">
        <v>262</v>
      </c>
      <c r="K32" s="22">
        <v>0</v>
      </c>
      <c r="L32" s="17">
        <v>0.44399999999999973</v>
      </c>
      <c r="M32" s="54">
        <v>3.9959999999999973</v>
      </c>
      <c r="N32" s="4">
        <v>1.998</v>
      </c>
      <c r="O3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3.9959999999999973</v>
      </c>
      <c r="T32"/>
    </row>
    <row r="33" spans="1:20" hidden="1" x14ac:dyDescent="0.35">
      <c r="A33" s="3" t="s">
        <v>52</v>
      </c>
      <c r="B33" s="4">
        <v>180</v>
      </c>
      <c r="C33" s="4">
        <v>5</v>
      </c>
      <c r="D33" s="4">
        <v>0</v>
      </c>
      <c r="E33" s="4">
        <v>0</v>
      </c>
      <c r="F33" s="4">
        <v>28.58</v>
      </c>
      <c r="G33" s="2">
        <v>31</v>
      </c>
      <c r="H33" s="4">
        <v>146.41999999999999</v>
      </c>
      <c r="I33" s="4">
        <v>146.41999999999999</v>
      </c>
      <c r="J33" s="3" t="s">
        <v>262</v>
      </c>
      <c r="K33" s="22">
        <v>0</v>
      </c>
      <c r="L33" s="17">
        <v>15.142000000000003</v>
      </c>
      <c r="M33" s="54">
        <v>136.27800000000002</v>
      </c>
      <c r="N33" s="4">
        <v>65.638999999999996</v>
      </c>
      <c r="O3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136.27800000000002</v>
      </c>
      <c r="T33"/>
    </row>
    <row r="34" spans="1:20" hidden="1" x14ac:dyDescent="0.35">
      <c r="A34" s="3" t="s">
        <v>60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2">
        <v>0</v>
      </c>
      <c r="H34" s="4">
        <v>0</v>
      </c>
      <c r="I34" s="4">
        <v>0</v>
      </c>
      <c r="J34" s="3" t="s">
        <v>262</v>
      </c>
      <c r="K34" s="22">
        <v>0</v>
      </c>
      <c r="L34" s="17">
        <v>0</v>
      </c>
      <c r="M34" s="54">
        <v>0</v>
      </c>
      <c r="N34" s="4">
        <v>0</v>
      </c>
      <c r="O3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34"/>
    </row>
    <row r="35" spans="1:20" hidden="1" x14ac:dyDescent="0.35">
      <c r="A35" s="3" t="s">
        <v>59</v>
      </c>
      <c r="B35" s="4">
        <v>0</v>
      </c>
      <c r="C35" s="4">
        <v>0</v>
      </c>
      <c r="D35" s="4">
        <v>0</v>
      </c>
      <c r="E35" s="4">
        <v>0</v>
      </c>
      <c r="F35" s="4">
        <v>0</v>
      </c>
      <c r="G35" s="2">
        <v>0</v>
      </c>
      <c r="H35" s="4">
        <v>0</v>
      </c>
      <c r="I35" s="4">
        <v>0</v>
      </c>
      <c r="J35" s="3" t="s">
        <v>262</v>
      </c>
      <c r="K35" s="22">
        <v>0</v>
      </c>
      <c r="L35" s="17">
        <v>0</v>
      </c>
      <c r="M35" s="54">
        <v>0</v>
      </c>
      <c r="N35" s="4">
        <v>0</v>
      </c>
      <c r="O3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35"/>
    </row>
    <row r="36" spans="1:20" hidden="1" x14ac:dyDescent="0.35">
      <c r="A36" s="3" t="s">
        <v>62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2">
        <v>0</v>
      </c>
      <c r="H36" s="4">
        <v>0</v>
      </c>
      <c r="I36" s="4">
        <v>0</v>
      </c>
      <c r="J36" s="3" t="s">
        <v>262</v>
      </c>
      <c r="K36" s="22">
        <v>0</v>
      </c>
      <c r="L36" s="17">
        <v>0</v>
      </c>
      <c r="M36" s="54">
        <v>0</v>
      </c>
      <c r="N36" s="4">
        <v>0</v>
      </c>
      <c r="O3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36"/>
    </row>
    <row r="37" spans="1:20" hidden="1" x14ac:dyDescent="0.35">
      <c r="A37" s="3" t="s">
        <v>64</v>
      </c>
      <c r="B37" s="4">
        <v>0</v>
      </c>
      <c r="C37" s="4">
        <v>0</v>
      </c>
      <c r="D37" s="4">
        <v>0</v>
      </c>
      <c r="E37" s="4">
        <v>0</v>
      </c>
      <c r="F37" s="4">
        <v>0</v>
      </c>
      <c r="G37" s="2">
        <v>0</v>
      </c>
      <c r="H37" s="4">
        <v>0</v>
      </c>
      <c r="I37" s="4">
        <v>0</v>
      </c>
      <c r="J37" s="3" t="s">
        <v>262</v>
      </c>
      <c r="K37" s="22">
        <v>0</v>
      </c>
      <c r="L37" s="17">
        <v>0</v>
      </c>
      <c r="M37" s="54">
        <v>0</v>
      </c>
      <c r="N37" s="4">
        <v>0</v>
      </c>
      <c r="O3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37"/>
    </row>
    <row r="38" spans="1:20" hidden="1" x14ac:dyDescent="0.35">
      <c r="A38" s="3" t="s">
        <v>58</v>
      </c>
      <c r="B38" s="4">
        <v>15</v>
      </c>
      <c r="C38" s="4">
        <v>10</v>
      </c>
      <c r="D38" s="4">
        <v>0</v>
      </c>
      <c r="E38" s="4">
        <v>0</v>
      </c>
      <c r="F38" s="4">
        <v>1</v>
      </c>
      <c r="G38" s="2">
        <v>3</v>
      </c>
      <c r="H38" s="4">
        <v>4</v>
      </c>
      <c r="I38" s="4">
        <v>4</v>
      </c>
      <c r="J38" s="3" t="s">
        <v>262</v>
      </c>
      <c r="K38" s="22">
        <v>0</v>
      </c>
      <c r="L38" s="17">
        <v>1.4000000000000001</v>
      </c>
      <c r="M38" s="54">
        <v>12.6</v>
      </c>
      <c r="N38" s="4">
        <v>1.3</v>
      </c>
      <c r="O3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12.6</v>
      </c>
      <c r="T38"/>
    </row>
    <row r="39" spans="1:20" hidden="1" x14ac:dyDescent="0.35">
      <c r="A39" s="3" t="s">
        <v>61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2">
        <v>0</v>
      </c>
      <c r="H39" s="4">
        <v>0</v>
      </c>
      <c r="I39" s="4">
        <v>0</v>
      </c>
      <c r="J39" s="3" t="s">
        <v>262</v>
      </c>
      <c r="K39" s="22">
        <v>0</v>
      </c>
      <c r="L39" s="17">
        <v>0</v>
      </c>
      <c r="M39" s="54">
        <v>0</v>
      </c>
      <c r="N39" s="4">
        <v>0</v>
      </c>
      <c r="O3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39"/>
    </row>
    <row r="40" spans="1:20" hidden="1" x14ac:dyDescent="0.35">
      <c r="A40" s="3" t="s">
        <v>56</v>
      </c>
      <c r="B40" s="4">
        <v>54</v>
      </c>
      <c r="C40" s="4">
        <v>12</v>
      </c>
      <c r="D40" s="4">
        <v>0</v>
      </c>
      <c r="E40" s="4">
        <v>0</v>
      </c>
      <c r="F40" s="4">
        <v>7.05</v>
      </c>
      <c r="G40" s="2">
        <v>14</v>
      </c>
      <c r="H40" s="4">
        <v>34.950000000000003</v>
      </c>
      <c r="I40" s="4">
        <v>34.950000000000003</v>
      </c>
      <c r="J40" s="3" t="s">
        <v>262</v>
      </c>
      <c r="K40" s="22">
        <v>0</v>
      </c>
      <c r="L40" s="17">
        <v>4.6950000000000003</v>
      </c>
      <c r="M40" s="54">
        <v>42.255000000000003</v>
      </c>
      <c r="N40" s="4">
        <v>15.1275</v>
      </c>
      <c r="O4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42.255000000000003</v>
      </c>
      <c r="T40"/>
    </row>
    <row r="41" spans="1:20" hidden="1" x14ac:dyDescent="0.35">
      <c r="A41" s="3" t="s">
        <v>51</v>
      </c>
      <c r="B41" s="4">
        <v>640</v>
      </c>
      <c r="C41" s="4">
        <v>0</v>
      </c>
      <c r="D41" s="4">
        <v>345.6</v>
      </c>
      <c r="E41" s="4">
        <v>0</v>
      </c>
      <c r="F41" s="4">
        <v>42.3</v>
      </c>
      <c r="G41" s="2">
        <v>33</v>
      </c>
      <c r="H41" s="4">
        <v>252.1</v>
      </c>
      <c r="I41" s="4">
        <v>252.1</v>
      </c>
      <c r="J41" s="3" t="s">
        <v>262</v>
      </c>
      <c r="K41" s="22">
        <v>0</v>
      </c>
      <c r="L41" s="17">
        <v>25.209999999999997</v>
      </c>
      <c r="M41" s="54">
        <v>226.89</v>
      </c>
      <c r="N41" s="4">
        <v>113.44499999999999</v>
      </c>
      <c r="O4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226.89</v>
      </c>
      <c r="T41"/>
    </row>
    <row r="42" spans="1:20" hidden="1" x14ac:dyDescent="0.35">
      <c r="A42" s="3" t="s">
        <v>47</v>
      </c>
      <c r="B42" s="4">
        <v>1837</v>
      </c>
      <c r="C42" s="4">
        <v>20</v>
      </c>
      <c r="D42" s="4">
        <v>788.4</v>
      </c>
      <c r="E42" s="4">
        <v>0</v>
      </c>
      <c r="F42" s="4">
        <v>261.33</v>
      </c>
      <c r="G42" s="2">
        <v>109</v>
      </c>
      <c r="H42" s="4">
        <v>767.27</v>
      </c>
      <c r="I42" s="4">
        <v>767.27</v>
      </c>
      <c r="J42" s="3" t="s">
        <v>262</v>
      </c>
      <c r="K42" s="22">
        <v>0</v>
      </c>
      <c r="L42" s="17">
        <v>78.727000000000004</v>
      </c>
      <c r="M42" s="54">
        <v>708.54300000000001</v>
      </c>
      <c r="N42" s="4">
        <v>344.2715</v>
      </c>
      <c r="O4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708.54300000000001</v>
      </c>
      <c r="T42"/>
    </row>
    <row r="43" spans="1:20" hidden="1" x14ac:dyDescent="0.35">
      <c r="A43" s="3" t="s">
        <v>53</v>
      </c>
      <c r="B43" s="4">
        <v>842</v>
      </c>
      <c r="C43" s="4">
        <v>5</v>
      </c>
      <c r="D43" s="4">
        <v>643</v>
      </c>
      <c r="E43" s="4">
        <v>0</v>
      </c>
      <c r="F43" s="4">
        <v>76.099999999999994</v>
      </c>
      <c r="G43" s="2">
        <v>16</v>
      </c>
      <c r="H43" s="4">
        <v>117.9</v>
      </c>
      <c r="I43" s="4">
        <v>117.9</v>
      </c>
      <c r="J43" s="3" t="s">
        <v>262</v>
      </c>
      <c r="K43" s="22">
        <v>0</v>
      </c>
      <c r="L43" s="17">
        <v>18.434999999999999</v>
      </c>
      <c r="M43" s="54">
        <v>104.465</v>
      </c>
      <c r="N43" s="4">
        <v>49.732500000000002</v>
      </c>
      <c r="O4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110.61000000000001</v>
      </c>
      <c r="T43"/>
    </row>
    <row r="44" spans="1:20" hidden="1" x14ac:dyDescent="0.35">
      <c r="A44" s="3" t="s">
        <v>49</v>
      </c>
      <c r="B44" s="4">
        <v>521.4</v>
      </c>
      <c r="C44" s="4">
        <v>15</v>
      </c>
      <c r="D44" s="4">
        <v>0</v>
      </c>
      <c r="E44" s="4">
        <v>0</v>
      </c>
      <c r="F44" s="4">
        <v>87.88</v>
      </c>
      <c r="G44" s="2">
        <v>55</v>
      </c>
      <c r="H44" s="4">
        <v>418.52</v>
      </c>
      <c r="I44" s="4">
        <v>418.52</v>
      </c>
      <c r="J44" s="3" t="s">
        <v>262</v>
      </c>
      <c r="K44" s="22">
        <v>0</v>
      </c>
      <c r="L44" s="17">
        <v>43.352000000000004</v>
      </c>
      <c r="M44" s="54">
        <v>390.16800000000001</v>
      </c>
      <c r="N44" s="4">
        <v>187.584</v>
      </c>
      <c r="O4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390.16800000000001</v>
      </c>
      <c r="T44"/>
    </row>
    <row r="45" spans="1:20" hidden="1" x14ac:dyDescent="0.35">
      <c r="A45" s="3" t="s">
        <v>65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2">
        <v>0</v>
      </c>
      <c r="H45" s="4">
        <v>0</v>
      </c>
      <c r="I45" s="4">
        <v>0</v>
      </c>
      <c r="J45" s="3" t="s">
        <v>262</v>
      </c>
      <c r="K45" s="22">
        <v>0</v>
      </c>
      <c r="L45" s="17">
        <v>0</v>
      </c>
      <c r="M45" s="54">
        <v>0</v>
      </c>
      <c r="N45" s="4">
        <v>0</v>
      </c>
      <c r="O4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45"/>
    </row>
    <row r="46" spans="1:20" hidden="1" x14ac:dyDescent="0.35">
      <c r="A46" s="3" t="s">
        <v>50</v>
      </c>
      <c r="B46" s="4">
        <v>772</v>
      </c>
      <c r="C46" s="4">
        <v>35</v>
      </c>
      <c r="D46" s="4">
        <v>220.4</v>
      </c>
      <c r="E46" s="4">
        <v>0</v>
      </c>
      <c r="F46" s="4">
        <v>142.06</v>
      </c>
      <c r="G46" s="2">
        <v>38</v>
      </c>
      <c r="H46" s="4">
        <v>374.54</v>
      </c>
      <c r="I46" s="4">
        <v>374.54</v>
      </c>
      <c r="J46" s="3" t="s">
        <v>262</v>
      </c>
      <c r="K46" s="22">
        <v>0</v>
      </c>
      <c r="L46" s="17">
        <v>40.954000000000008</v>
      </c>
      <c r="M46" s="54">
        <v>368.58600000000001</v>
      </c>
      <c r="N46" s="4">
        <v>166.79300000000001</v>
      </c>
      <c r="O4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368.58600000000001</v>
      </c>
      <c r="T46"/>
    </row>
    <row r="47" spans="1:20" hidden="1" x14ac:dyDescent="0.35">
      <c r="A47" s="3" t="s">
        <v>68</v>
      </c>
      <c r="B47" s="4">
        <v>274</v>
      </c>
      <c r="C47" s="4">
        <v>13</v>
      </c>
      <c r="D47" s="4">
        <v>316.3</v>
      </c>
      <c r="E47" s="4">
        <v>0</v>
      </c>
      <c r="F47" s="4">
        <v>48</v>
      </c>
      <c r="G47" s="2">
        <v>24</v>
      </c>
      <c r="H47" s="4">
        <v>-103.3</v>
      </c>
      <c r="I47" s="4">
        <v>-103.3</v>
      </c>
      <c r="J47" s="3" t="s">
        <v>262</v>
      </c>
      <c r="K47" s="22">
        <v>0</v>
      </c>
      <c r="L47" s="17">
        <v>0</v>
      </c>
      <c r="M47" s="54">
        <v>-81.27000000000001</v>
      </c>
      <c r="N47" s="4">
        <v>-51.65</v>
      </c>
      <c r="O4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47"/>
    </row>
    <row r="48" spans="1:20" hidden="1" x14ac:dyDescent="0.35">
      <c r="A48" s="3" t="s">
        <v>54</v>
      </c>
      <c r="B48" s="4">
        <v>146</v>
      </c>
      <c r="C48" s="4">
        <v>2</v>
      </c>
      <c r="D48" s="4">
        <v>0</v>
      </c>
      <c r="E48" s="4">
        <v>0</v>
      </c>
      <c r="F48" s="4">
        <v>26.49</v>
      </c>
      <c r="G48" s="2">
        <v>21</v>
      </c>
      <c r="H48" s="4">
        <v>117.51</v>
      </c>
      <c r="I48" s="4">
        <v>117.51</v>
      </c>
      <c r="J48" s="3" t="s">
        <v>262</v>
      </c>
      <c r="K48" s="22">
        <v>0</v>
      </c>
      <c r="L48" s="17">
        <v>11.951000000000001</v>
      </c>
      <c r="M48" s="54">
        <v>107.55900000000001</v>
      </c>
      <c r="N48" s="4">
        <v>52.779499999999999</v>
      </c>
      <c r="O4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107.55900000000001</v>
      </c>
      <c r="T48"/>
    </row>
    <row r="49" spans="1:20" hidden="1" x14ac:dyDescent="0.35">
      <c r="A49" s="3" t="s">
        <v>67</v>
      </c>
      <c r="B49" s="4">
        <v>142</v>
      </c>
      <c r="C49" s="4">
        <v>0</v>
      </c>
      <c r="D49" s="4">
        <v>194.3</v>
      </c>
      <c r="E49" s="4">
        <v>0</v>
      </c>
      <c r="F49" s="4">
        <v>23.83</v>
      </c>
      <c r="G49" s="2">
        <v>22</v>
      </c>
      <c r="H49" s="4">
        <v>-76.13</v>
      </c>
      <c r="I49" s="4">
        <v>-76.13</v>
      </c>
      <c r="J49" s="3" t="s">
        <v>262</v>
      </c>
      <c r="K49" s="22">
        <v>0</v>
      </c>
      <c r="L49" s="17">
        <v>0</v>
      </c>
      <c r="M49" s="54">
        <v>-68.51700000000001</v>
      </c>
      <c r="N49" s="4">
        <v>-38.064999999999998</v>
      </c>
      <c r="O4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49"/>
    </row>
    <row r="50" spans="1:20" hidden="1" x14ac:dyDescent="0.35">
      <c r="A50" s="3" t="s">
        <v>379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2">
        <v>0</v>
      </c>
      <c r="H50" s="4">
        <v>0</v>
      </c>
      <c r="I50" s="4">
        <v>0</v>
      </c>
      <c r="J50" s="3" t="s">
        <v>262</v>
      </c>
      <c r="K50" s="22">
        <v>0</v>
      </c>
      <c r="L50" s="17"/>
      <c r="M50" s="54"/>
      <c r="N50" s="4"/>
      <c r="O5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50"/>
    </row>
    <row r="51" spans="1:20" hidden="1" x14ac:dyDescent="0.35">
      <c r="A51" s="3" t="s">
        <v>380</v>
      </c>
      <c r="B51" s="4">
        <v>0</v>
      </c>
      <c r="C51" s="4">
        <v>0</v>
      </c>
      <c r="D51" s="4">
        <v>0</v>
      </c>
      <c r="E51" s="4">
        <v>0</v>
      </c>
      <c r="F51" s="4">
        <v>0</v>
      </c>
      <c r="G51" s="2">
        <v>0</v>
      </c>
      <c r="H51" s="4">
        <v>0</v>
      </c>
      <c r="I51" s="4">
        <v>0</v>
      </c>
      <c r="J51" s="3" t="s">
        <v>262</v>
      </c>
      <c r="K51" s="22">
        <v>0</v>
      </c>
      <c r="L51" s="17"/>
      <c r="M51" s="54"/>
      <c r="N51" s="4"/>
      <c r="O5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51"/>
    </row>
    <row r="52" spans="1:20" hidden="1" x14ac:dyDescent="0.35">
      <c r="A52" s="3" t="s">
        <v>63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2">
        <v>0</v>
      </c>
      <c r="H52" s="4">
        <v>0</v>
      </c>
      <c r="I52" s="4">
        <v>0</v>
      </c>
      <c r="J52" s="3" t="s">
        <v>262</v>
      </c>
      <c r="K52" s="22">
        <v>0</v>
      </c>
      <c r="L52" s="17">
        <v>0</v>
      </c>
      <c r="M52" s="54">
        <v>0</v>
      </c>
      <c r="N52" s="4">
        <v>0</v>
      </c>
      <c r="O5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52"/>
    </row>
    <row r="53" spans="1:20" hidden="1" x14ac:dyDescent="0.35">
      <c r="A53" s="3" t="s">
        <v>73</v>
      </c>
      <c r="B53" s="4">
        <v>129</v>
      </c>
      <c r="C53" s="4">
        <v>5</v>
      </c>
      <c r="D53" s="4">
        <v>0</v>
      </c>
      <c r="E53" s="4">
        <v>0</v>
      </c>
      <c r="F53" s="4">
        <v>19.8</v>
      </c>
      <c r="G53" s="2">
        <v>13</v>
      </c>
      <c r="H53" s="4">
        <v>104.2</v>
      </c>
      <c r="I53" s="4">
        <v>104.2</v>
      </c>
      <c r="J53" s="3" t="s">
        <v>263</v>
      </c>
      <c r="K53" s="22">
        <v>0</v>
      </c>
      <c r="L53" s="17">
        <v>10.920000000000002</v>
      </c>
      <c r="M53" s="54">
        <v>98.28</v>
      </c>
      <c r="N53" s="4">
        <v>32.648000000000003</v>
      </c>
      <c r="O5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98.28</v>
      </c>
      <c r="T53"/>
    </row>
    <row r="54" spans="1:20" hidden="1" x14ac:dyDescent="0.35">
      <c r="A54" s="3" t="s">
        <v>77</v>
      </c>
      <c r="B54" s="4">
        <v>25</v>
      </c>
      <c r="C54" s="4">
        <v>0</v>
      </c>
      <c r="D54" s="4">
        <v>791.2</v>
      </c>
      <c r="E54" s="4">
        <v>0</v>
      </c>
      <c r="F54" s="4">
        <v>4.7</v>
      </c>
      <c r="G54" s="2">
        <v>3</v>
      </c>
      <c r="H54" s="4">
        <v>-770.9</v>
      </c>
      <c r="I54" s="4">
        <v>-770.9</v>
      </c>
      <c r="J54" s="3" t="s">
        <v>263</v>
      </c>
      <c r="K54" s="22">
        <v>0</v>
      </c>
      <c r="L54" s="17">
        <v>0</v>
      </c>
      <c r="M54" s="54">
        <v>-693.81000000000006</v>
      </c>
      <c r="N54" s="4">
        <v>-269.815</v>
      </c>
      <c r="O5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54"/>
    </row>
    <row r="55" spans="1:20" hidden="1" x14ac:dyDescent="0.35">
      <c r="A55" s="3" t="s">
        <v>69</v>
      </c>
      <c r="B55" s="4">
        <v>1180</v>
      </c>
      <c r="C55" s="4">
        <v>0</v>
      </c>
      <c r="D55" s="4">
        <v>0</v>
      </c>
      <c r="E55" s="4">
        <v>0</v>
      </c>
      <c r="F55" s="4">
        <v>231.5</v>
      </c>
      <c r="G55" s="2">
        <v>9</v>
      </c>
      <c r="H55" s="4">
        <v>948.5</v>
      </c>
      <c r="I55" s="4">
        <v>948.5</v>
      </c>
      <c r="J55" s="3" t="s">
        <v>263</v>
      </c>
      <c r="K55" s="22">
        <v>50</v>
      </c>
      <c r="L55" s="17">
        <v>89.850000000000009</v>
      </c>
      <c r="M55" s="54">
        <v>808.65</v>
      </c>
      <c r="N55" s="4">
        <v>283.02749999999997</v>
      </c>
      <c r="O5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808.65</v>
      </c>
      <c r="T55"/>
    </row>
    <row r="56" spans="1:20" hidden="1" x14ac:dyDescent="0.35">
      <c r="A56" s="3" t="s">
        <v>75</v>
      </c>
      <c r="B56" s="4">
        <v>48</v>
      </c>
      <c r="C56" s="4">
        <v>5</v>
      </c>
      <c r="D56" s="4">
        <v>16</v>
      </c>
      <c r="E56" s="4">
        <v>0</v>
      </c>
      <c r="F56" s="4">
        <v>7.33</v>
      </c>
      <c r="G56" s="2">
        <v>10</v>
      </c>
      <c r="H56" s="4">
        <v>19.670000000000002</v>
      </c>
      <c r="I56" s="4">
        <v>19.670000000000002</v>
      </c>
      <c r="J56" s="3" t="s">
        <v>263</v>
      </c>
      <c r="K56" s="22">
        <v>0</v>
      </c>
      <c r="L56" s="17">
        <v>2.4670000000000005</v>
      </c>
      <c r="M56" s="54">
        <v>22.203000000000003</v>
      </c>
      <c r="N56" s="4">
        <v>6.0210499999999998</v>
      </c>
      <c r="O5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22.203000000000003</v>
      </c>
      <c r="T56"/>
    </row>
    <row r="57" spans="1:20" hidden="1" x14ac:dyDescent="0.35">
      <c r="A57" s="3" t="s">
        <v>70</v>
      </c>
      <c r="B57" s="4">
        <v>339</v>
      </c>
      <c r="C57" s="4">
        <v>100</v>
      </c>
      <c r="D57" s="4">
        <v>0</v>
      </c>
      <c r="E57" s="4">
        <v>0</v>
      </c>
      <c r="F57" s="4">
        <v>44.63</v>
      </c>
      <c r="G57" s="2">
        <v>25</v>
      </c>
      <c r="H57" s="4">
        <v>194.37</v>
      </c>
      <c r="I57" s="4">
        <v>194.37</v>
      </c>
      <c r="J57" s="3" t="s">
        <v>263</v>
      </c>
      <c r="K57" s="22">
        <v>20</v>
      </c>
      <c r="L57" s="17">
        <v>27.437000000000001</v>
      </c>
      <c r="M57" s="54">
        <v>246.93300000000002</v>
      </c>
      <c r="N57" s="4">
        <v>51.426549999999999</v>
      </c>
      <c r="O5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246.93300000000002</v>
      </c>
      <c r="T57"/>
    </row>
    <row r="58" spans="1:20" hidden="1" x14ac:dyDescent="0.35">
      <c r="A58" s="3" t="s">
        <v>76</v>
      </c>
      <c r="B58" s="4">
        <v>99</v>
      </c>
      <c r="C58" s="4">
        <v>0</v>
      </c>
      <c r="D58" s="4">
        <v>99.28</v>
      </c>
      <c r="E58" s="4">
        <v>0</v>
      </c>
      <c r="F58" s="4">
        <v>17.899999999999999</v>
      </c>
      <c r="G58" s="2">
        <v>19</v>
      </c>
      <c r="H58" s="4">
        <v>-18.18</v>
      </c>
      <c r="I58" s="4">
        <v>-18.18</v>
      </c>
      <c r="J58" s="3" t="s">
        <v>263</v>
      </c>
      <c r="K58" s="22">
        <v>0</v>
      </c>
      <c r="L58" s="17">
        <v>0</v>
      </c>
      <c r="M58" s="54">
        <v>-16.362000000000002</v>
      </c>
      <c r="N58" s="4">
        <v>-6.3630000000000004</v>
      </c>
      <c r="O5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58"/>
    </row>
    <row r="59" spans="1:20" hidden="1" x14ac:dyDescent="0.35">
      <c r="A59" s="3" t="s">
        <v>298</v>
      </c>
      <c r="B59" s="4">
        <v>1785.5</v>
      </c>
      <c r="C59" s="4">
        <v>120</v>
      </c>
      <c r="D59" s="4">
        <v>846.7</v>
      </c>
      <c r="E59" s="4">
        <v>0</v>
      </c>
      <c r="F59" s="4">
        <v>299.27</v>
      </c>
      <c r="G59" s="2">
        <v>99</v>
      </c>
      <c r="H59" s="4">
        <v>519.53</v>
      </c>
      <c r="I59" s="4">
        <v>519.53</v>
      </c>
      <c r="J59" s="3" t="s">
        <v>263</v>
      </c>
      <c r="K59" s="22">
        <v>50</v>
      </c>
      <c r="L59" s="17">
        <v>58.953000000000003</v>
      </c>
      <c r="M59" s="54">
        <v>530.577</v>
      </c>
      <c r="N59" s="4">
        <v>143.70195000000001</v>
      </c>
      <c r="O5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530.577</v>
      </c>
      <c r="T59"/>
    </row>
    <row r="60" spans="1:20" hidden="1" x14ac:dyDescent="0.35">
      <c r="A60" s="3" t="s">
        <v>74</v>
      </c>
      <c r="B60" s="4">
        <v>83</v>
      </c>
      <c r="C60" s="4">
        <v>40</v>
      </c>
      <c r="D60" s="4">
        <v>0</v>
      </c>
      <c r="E60" s="4">
        <v>0</v>
      </c>
      <c r="F60" s="4">
        <v>8.2100000000000009</v>
      </c>
      <c r="G60" s="2">
        <v>8</v>
      </c>
      <c r="H60" s="4">
        <v>34.79</v>
      </c>
      <c r="I60" s="4">
        <v>34.79</v>
      </c>
      <c r="J60" s="3" t="s">
        <v>263</v>
      </c>
      <c r="K60" s="22">
        <v>0</v>
      </c>
      <c r="L60" s="17">
        <v>7.4789999999999992</v>
      </c>
      <c r="M60" s="54">
        <v>67.310999999999993</v>
      </c>
      <c r="N60" s="4">
        <v>9.5588499999999996</v>
      </c>
      <c r="O6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67.310999999999993</v>
      </c>
      <c r="T60"/>
    </row>
    <row r="61" spans="1:20" hidden="1" x14ac:dyDescent="0.35">
      <c r="A61" s="3" t="s">
        <v>72</v>
      </c>
      <c r="B61" s="4">
        <v>219</v>
      </c>
      <c r="C61" s="4">
        <v>45</v>
      </c>
      <c r="D61" s="4">
        <v>30.9</v>
      </c>
      <c r="E61" s="4">
        <v>0</v>
      </c>
      <c r="F61" s="4">
        <v>31.95</v>
      </c>
      <c r="G61" s="2">
        <v>22</v>
      </c>
      <c r="H61" s="4">
        <v>111.15</v>
      </c>
      <c r="I61" s="4">
        <v>111.15</v>
      </c>
      <c r="J61" s="3" t="s">
        <v>263</v>
      </c>
      <c r="K61" s="22">
        <v>20</v>
      </c>
      <c r="L61" s="17">
        <v>13.615000000000002</v>
      </c>
      <c r="M61" s="54">
        <v>122.53500000000001</v>
      </c>
      <c r="N61" s="4">
        <v>27.137250000000002</v>
      </c>
      <c r="O6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122.53500000000001</v>
      </c>
      <c r="T61"/>
    </row>
    <row r="62" spans="1:20" hidden="1" x14ac:dyDescent="0.35">
      <c r="A62" s="3" t="s">
        <v>71</v>
      </c>
      <c r="B62" s="4">
        <v>840</v>
      </c>
      <c r="C62" s="4">
        <v>100</v>
      </c>
      <c r="D62" s="4">
        <v>517</v>
      </c>
      <c r="E62" s="4">
        <v>0</v>
      </c>
      <c r="F62" s="4">
        <v>78.599999999999994</v>
      </c>
      <c r="G62" s="2">
        <v>23</v>
      </c>
      <c r="H62" s="4">
        <v>144.4</v>
      </c>
      <c r="I62" s="4">
        <v>144.4</v>
      </c>
      <c r="J62" s="3" t="s">
        <v>263</v>
      </c>
      <c r="K62" s="22">
        <v>40</v>
      </c>
      <c r="L62" s="17">
        <v>20.440000000000001</v>
      </c>
      <c r="M62" s="54">
        <v>183.96</v>
      </c>
      <c r="N62" s="4">
        <v>29.385999999999999</v>
      </c>
      <c r="O6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183.96</v>
      </c>
      <c r="T62"/>
    </row>
    <row r="63" spans="1:20" hidden="1" x14ac:dyDescent="0.35">
      <c r="A63" s="3" t="s">
        <v>78</v>
      </c>
      <c r="B63" s="4">
        <v>80</v>
      </c>
      <c r="C63" s="4">
        <v>0</v>
      </c>
      <c r="D63" s="4">
        <v>0</v>
      </c>
      <c r="E63" s="4">
        <v>0</v>
      </c>
      <c r="F63" s="4">
        <v>13.9</v>
      </c>
      <c r="G63" s="2">
        <v>13</v>
      </c>
      <c r="H63" s="4">
        <v>66.099999999999994</v>
      </c>
      <c r="I63" s="4">
        <v>66.099999999999994</v>
      </c>
      <c r="J63" s="3" t="s">
        <v>264</v>
      </c>
      <c r="K63" s="22">
        <v>0</v>
      </c>
      <c r="L63" s="17">
        <v>0</v>
      </c>
      <c r="M63" s="54">
        <v>66.099999999999994</v>
      </c>
      <c r="N63" s="4">
        <v>16.524999999999999</v>
      </c>
      <c r="O6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63"/>
    </row>
    <row r="64" spans="1:20" hidden="1" x14ac:dyDescent="0.35">
      <c r="A64" s="3" t="s">
        <v>79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2">
        <v>0</v>
      </c>
      <c r="H64" s="4">
        <v>0</v>
      </c>
      <c r="I64" s="4">
        <v>0</v>
      </c>
      <c r="J64" s="3" t="s">
        <v>264</v>
      </c>
      <c r="K64" s="22">
        <v>0</v>
      </c>
      <c r="L64" s="17">
        <v>0</v>
      </c>
      <c r="M64" s="54">
        <v>0</v>
      </c>
      <c r="N64" s="4">
        <v>0</v>
      </c>
      <c r="O6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64"/>
    </row>
    <row r="65" spans="1:20" x14ac:dyDescent="0.35">
      <c r="A65" s="3" t="s">
        <v>91</v>
      </c>
      <c r="B65" s="4">
        <v>15</v>
      </c>
      <c r="C65" s="4">
        <v>0</v>
      </c>
      <c r="D65" s="4">
        <v>0</v>
      </c>
      <c r="E65" s="4">
        <v>0</v>
      </c>
      <c r="F65" s="4">
        <v>3</v>
      </c>
      <c r="G65" s="2">
        <v>1</v>
      </c>
      <c r="H65" s="4">
        <v>12</v>
      </c>
      <c r="I65" s="4">
        <v>12</v>
      </c>
      <c r="J65" s="3" t="s">
        <v>265</v>
      </c>
      <c r="K65" s="22">
        <v>0</v>
      </c>
      <c r="L65" s="17">
        <v>0</v>
      </c>
      <c r="M65" s="54">
        <v>12</v>
      </c>
      <c r="N65" s="4">
        <v>3</v>
      </c>
      <c r="O6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65"/>
    </row>
    <row r="66" spans="1:20" x14ac:dyDescent="0.35">
      <c r="A66" s="3" t="s">
        <v>381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2">
        <v>0</v>
      </c>
      <c r="H66" s="4">
        <v>0</v>
      </c>
      <c r="I66" s="4">
        <v>0</v>
      </c>
      <c r="J66" s="3" t="s">
        <v>265</v>
      </c>
      <c r="K66" s="22">
        <v>0</v>
      </c>
      <c r="L66" s="17"/>
      <c r="M66" s="54"/>
      <c r="N66" s="4"/>
      <c r="O66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66"/>
    </row>
    <row r="67" spans="1:20" x14ac:dyDescent="0.35">
      <c r="A67" s="3" t="s">
        <v>89</v>
      </c>
      <c r="B67" s="4">
        <v>30</v>
      </c>
      <c r="C67" s="4">
        <v>0</v>
      </c>
      <c r="D67" s="4">
        <v>0</v>
      </c>
      <c r="E67" s="4">
        <v>0</v>
      </c>
      <c r="F67" s="4">
        <v>5.4</v>
      </c>
      <c r="G67" s="2">
        <v>2</v>
      </c>
      <c r="H67" s="4">
        <v>24.6</v>
      </c>
      <c r="I67" s="4">
        <v>24.6</v>
      </c>
      <c r="J67" s="3" t="s">
        <v>265</v>
      </c>
      <c r="K67" s="22">
        <v>0</v>
      </c>
      <c r="L67" s="17">
        <v>0</v>
      </c>
      <c r="M67" s="54">
        <v>24.6</v>
      </c>
      <c r="N67" s="4">
        <v>6.15</v>
      </c>
      <c r="O6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67"/>
    </row>
    <row r="68" spans="1:20" x14ac:dyDescent="0.35">
      <c r="A68" s="3" t="s">
        <v>382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2">
        <v>0</v>
      </c>
      <c r="H68" s="4">
        <v>0</v>
      </c>
      <c r="I68" s="4">
        <v>0</v>
      </c>
      <c r="J68" s="3" t="s">
        <v>265</v>
      </c>
      <c r="K68" s="22">
        <v>0</v>
      </c>
      <c r="L68" s="17"/>
      <c r="M68" s="54"/>
      <c r="N68" s="4"/>
      <c r="O68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68"/>
    </row>
    <row r="69" spans="1:20" x14ac:dyDescent="0.35">
      <c r="A69" s="3" t="s">
        <v>92</v>
      </c>
      <c r="B69" s="4">
        <v>0</v>
      </c>
      <c r="C69" s="4">
        <v>0</v>
      </c>
      <c r="D69" s="4">
        <v>0</v>
      </c>
      <c r="E69" s="4">
        <v>0</v>
      </c>
      <c r="F69" s="4">
        <v>0</v>
      </c>
      <c r="G69" s="2">
        <v>0</v>
      </c>
      <c r="H69" s="4">
        <v>0</v>
      </c>
      <c r="I69" s="4">
        <v>0</v>
      </c>
      <c r="J69" s="3" t="s">
        <v>265</v>
      </c>
      <c r="K69" s="22">
        <v>0</v>
      </c>
      <c r="L69" s="17">
        <v>0</v>
      </c>
      <c r="M69" s="54">
        <v>0</v>
      </c>
      <c r="N69" s="4">
        <v>0</v>
      </c>
      <c r="O6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69"/>
    </row>
    <row r="70" spans="1:20" x14ac:dyDescent="0.35">
      <c r="A70" s="3" t="s">
        <v>82</v>
      </c>
      <c r="B70" s="4">
        <v>865</v>
      </c>
      <c r="C70" s="4">
        <v>40</v>
      </c>
      <c r="D70" s="4">
        <v>206.7</v>
      </c>
      <c r="E70" s="4">
        <v>0</v>
      </c>
      <c r="F70" s="4">
        <v>147.30000000000001</v>
      </c>
      <c r="G70" s="2">
        <v>192</v>
      </c>
      <c r="H70" s="4">
        <v>471</v>
      </c>
      <c r="I70" s="4">
        <v>471</v>
      </c>
      <c r="J70" s="3" t="s">
        <v>265</v>
      </c>
      <c r="K70" s="22">
        <v>40</v>
      </c>
      <c r="L70" s="17">
        <v>0</v>
      </c>
      <c r="M70" s="54">
        <v>470.99999999999994</v>
      </c>
      <c r="N70" s="4">
        <v>107.75</v>
      </c>
      <c r="O7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0"/>
    </row>
    <row r="71" spans="1:20" x14ac:dyDescent="0.35">
      <c r="A71" s="3" t="s">
        <v>300</v>
      </c>
      <c r="B71" s="4">
        <v>68</v>
      </c>
      <c r="C71" s="4">
        <v>0</v>
      </c>
      <c r="D71" s="4">
        <v>0</v>
      </c>
      <c r="E71" s="4">
        <v>0</v>
      </c>
      <c r="F71" s="4">
        <v>10.9</v>
      </c>
      <c r="G71" s="2">
        <v>24</v>
      </c>
      <c r="H71" s="4">
        <v>57.1</v>
      </c>
      <c r="I71" s="4">
        <v>57.1</v>
      </c>
      <c r="J71" s="3" t="s">
        <v>265</v>
      </c>
      <c r="K71" s="22">
        <v>0</v>
      </c>
      <c r="L71" s="17">
        <v>0</v>
      </c>
      <c r="M71" s="54">
        <v>57.1</v>
      </c>
      <c r="N71" s="4">
        <v>14.275</v>
      </c>
      <c r="O7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1"/>
    </row>
    <row r="72" spans="1:20" x14ac:dyDescent="0.35">
      <c r="A72" s="3" t="s">
        <v>90</v>
      </c>
      <c r="B72" s="4">
        <v>25</v>
      </c>
      <c r="C72" s="4">
        <v>0</v>
      </c>
      <c r="D72" s="4">
        <v>0</v>
      </c>
      <c r="E72" s="4">
        <v>0</v>
      </c>
      <c r="F72" s="4">
        <v>4.8499999999999996</v>
      </c>
      <c r="G72" s="2">
        <v>4</v>
      </c>
      <c r="H72" s="4">
        <v>20.149999999999999</v>
      </c>
      <c r="I72" s="4">
        <v>20.149999999999999</v>
      </c>
      <c r="J72" s="3" t="s">
        <v>265</v>
      </c>
      <c r="K72" s="22">
        <v>0</v>
      </c>
      <c r="L72" s="17">
        <v>0</v>
      </c>
      <c r="M72" s="54">
        <v>20.149999999999999</v>
      </c>
      <c r="N72" s="4">
        <v>5.0374999999999996</v>
      </c>
      <c r="O7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2"/>
    </row>
    <row r="73" spans="1:20" x14ac:dyDescent="0.35">
      <c r="A73" s="3" t="s">
        <v>87</v>
      </c>
      <c r="B73" s="4">
        <v>105.57</v>
      </c>
      <c r="C73" s="4">
        <v>2.71</v>
      </c>
      <c r="D73" s="4">
        <v>0</v>
      </c>
      <c r="E73" s="4">
        <v>0</v>
      </c>
      <c r="F73" s="4">
        <v>19.16</v>
      </c>
      <c r="G73" s="2">
        <v>17</v>
      </c>
      <c r="H73" s="4">
        <v>83.7</v>
      </c>
      <c r="I73" s="4">
        <v>83.7</v>
      </c>
      <c r="J73" s="3" t="s">
        <v>265</v>
      </c>
      <c r="K73" s="22">
        <v>0</v>
      </c>
      <c r="L73" s="17">
        <v>0</v>
      </c>
      <c r="M73" s="54">
        <v>86.41</v>
      </c>
      <c r="N73" s="4">
        <v>20.925000000000001</v>
      </c>
      <c r="O7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3"/>
    </row>
    <row r="74" spans="1:20" x14ac:dyDescent="0.35">
      <c r="A74" s="3" t="s">
        <v>299</v>
      </c>
      <c r="B74" s="4">
        <v>1615</v>
      </c>
      <c r="C74" s="4">
        <v>130</v>
      </c>
      <c r="D74" s="4">
        <v>565.5</v>
      </c>
      <c r="E74" s="4">
        <v>0</v>
      </c>
      <c r="F74" s="4">
        <v>251.69</v>
      </c>
      <c r="G74" s="2">
        <v>113</v>
      </c>
      <c r="H74" s="4">
        <v>667.81</v>
      </c>
      <c r="I74" s="4">
        <v>667.81</v>
      </c>
      <c r="J74" s="3" t="s">
        <v>265</v>
      </c>
      <c r="K74" s="22">
        <v>50</v>
      </c>
      <c r="L74" s="17">
        <v>74.780999999999992</v>
      </c>
      <c r="M74" s="54">
        <v>673.029</v>
      </c>
      <c r="N74" s="4">
        <v>135.75725</v>
      </c>
      <c r="O7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673.029</v>
      </c>
      <c r="T74"/>
    </row>
    <row r="75" spans="1:20" x14ac:dyDescent="0.35">
      <c r="A75" s="3" t="s">
        <v>86</v>
      </c>
      <c r="B75" s="4">
        <v>700.34</v>
      </c>
      <c r="C75" s="4">
        <v>15</v>
      </c>
      <c r="D75" s="4">
        <v>483.35</v>
      </c>
      <c r="E75" s="4">
        <v>0</v>
      </c>
      <c r="F75" s="4">
        <v>114.19</v>
      </c>
      <c r="G75" s="2">
        <v>97</v>
      </c>
      <c r="H75" s="4">
        <v>87.8</v>
      </c>
      <c r="I75" s="4">
        <v>87.8</v>
      </c>
      <c r="J75" s="3" t="s">
        <v>265</v>
      </c>
      <c r="K75" s="22">
        <v>40</v>
      </c>
      <c r="L75" s="17">
        <v>0</v>
      </c>
      <c r="M75" s="54">
        <v>62.800000000000011</v>
      </c>
      <c r="N75" s="4">
        <v>11.95</v>
      </c>
      <c r="O7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5"/>
    </row>
    <row r="76" spans="1:20" x14ac:dyDescent="0.35">
      <c r="A76" s="3" t="s">
        <v>93</v>
      </c>
      <c r="B76" s="4">
        <v>255</v>
      </c>
      <c r="C76" s="4">
        <v>0</v>
      </c>
      <c r="D76" s="4">
        <v>418.1</v>
      </c>
      <c r="E76" s="4">
        <v>0</v>
      </c>
      <c r="F76" s="4">
        <v>29.5</v>
      </c>
      <c r="G76" s="2">
        <v>10</v>
      </c>
      <c r="H76" s="4">
        <v>-192.6</v>
      </c>
      <c r="I76" s="4">
        <v>-192.6</v>
      </c>
      <c r="J76" s="3" t="s">
        <v>265</v>
      </c>
      <c r="K76" s="22">
        <v>20</v>
      </c>
      <c r="L76" s="17">
        <v>0</v>
      </c>
      <c r="M76" s="54">
        <v>-212.60000000000002</v>
      </c>
      <c r="N76" s="4">
        <v>-53.15</v>
      </c>
      <c r="O7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6"/>
    </row>
    <row r="77" spans="1:20" x14ac:dyDescent="0.35">
      <c r="A77" s="3" t="s">
        <v>88</v>
      </c>
      <c r="B77" s="4">
        <v>80</v>
      </c>
      <c r="C77" s="4">
        <v>10</v>
      </c>
      <c r="D77" s="4">
        <v>0</v>
      </c>
      <c r="E77" s="4">
        <v>0</v>
      </c>
      <c r="F77" s="4">
        <v>10.8</v>
      </c>
      <c r="G77" s="2">
        <v>10</v>
      </c>
      <c r="H77" s="4">
        <v>59.2</v>
      </c>
      <c r="I77" s="4">
        <v>59.2</v>
      </c>
      <c r="J77" s="3" t="s">
        <v>265</v>
      </c>
      <c r="K77" s="22">
        <v>0</v>
      </c>
      <c r="L77" s="17">
        <v>0</v>
      </c>
      <c r="M77" s="54">
        <v>69.2</v>
      </c>
      <c r="N77" s="4">
        <v>14.8</v>
      </c>
      <c r="O7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7"/>
    </row>
    <row r="78" spans="1:20" x14ac:dyDescent="0.35">
      <c r="A78" s="3" t="s">
        <v>80</v>
      </c>
      <c r="B78" s="4">
        <v>3551</v>
      </c>
      <c r="C78" s="4">
        <v>850</v>
      </c>
      <c r="D78" s="4">
        <v>1040.3499999999999</v>
      </c>
      <c r="E78" s="4">
        <v>0</v>
      </c>
      <c r="F78" s="4">
        <v>406.86</v>
      </c>
      <c r="G78" s="2">
        <v>87</v>
      </c>
      <c r="H78" s="4">
        <v>1253.79</v>
      </c>
      <c r="I78" s="4">
        <v>1253.79</v>
      </c>
      <c r="J78" s="3" t="s">
        <v>265</v>
      </c>
      <c r="K78" s="22">
        <v>50</v>
      </c>
      <c r="L78" s="17">
        <v>205.37900000000002</v>
      </c>
      <c r="M78" s="54">
        <v>1848.4110000000001</v>
      </c>
      <c r="N78" s="4">
        <v>249.60274999999999</v>
      </c>
      <c r="O7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1848.4110000000001</v>
      </c>
      <c r="T78"/>
    </row>
    <row r="79" spans="1:20" x14ac:dyDescent="0.35">
      <c r="A79" s="3" t="s">
        <v>85</v>
      </c>
      <c r="B79" s="4">
        <v>346.5</v>
      </c>
      <c r="C79" s="4">
        <v>50</v>
      </c>
      <c r="D79" s="4">
        <v>84.2</v>
      </c>
      <c r="E79" s="4">
        <v>0</v>
      </c>
      <c r="F79" s="4">
        <v>58.29</v>
      </c>
      <c r="G79" s="2">
        <v>20</v>
      </c>
      <c r="H79" s="4">
        <v>154.01</v>
      </c>
      <c r="I79" s="4">
        <v>154.01</v>
      </c>
      <c r="J79" s="3" t="s">
        <v>265</v>
      </c>
      <c r="K79" s="22">
        <v>20</v>
      </c>
      <c r="L79" s="17">
        <v>0</v>
      </c>
      <c r="M79" s="54">
        <v>184.01000000000002</v>
      </c>
      <c r="N79" s="4">
        <v>33.502499999999998</v>
      </c>
      <c r="O7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79"/>
    </row>
    <row r="80" spans="1:20" x14ac:dyDescent="0.35">
      <c r="A80" s="3" t="s">
        <v>83</v>
      </c>
      <c r="B80" s="4">
        <v>500</v>
      </c>
      <c r="C80" s="4">
        <v>0</v>
      </c>
      <c r="D80" s="4">
        <v>0</v>
      </c>
      <c r="E80" s="4">
        <v>0</v>
      </c>
      <c r="F80" s="4">
        <v>50</v>
      </c>
      <c r="G80" s="2">
        <v>1</v>
      </c>
      <c r="H80" s="4">
        <v>450</v>
      </c>
      <c r="I80" s="4">
        <v>450</v>
      </c>
      <c r="J80" s="3" t="s">
        <v>265</v>
      </c>
      <c r="K80" s="22">
        <v>30</v>
      </c>
      <c r="L80" s="17">
        <v>0</v>
      </c>
      <c r="M80" s="54">
        <v>420</v>
      </c>
      <c r="N80" s="4">
        <v>105</v>
      </c>
      <c r="O8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0"/>
    </row>
    <row r="81" spans="1:20" x14ac:dyDescent="0.35">
      <c r="A81" s="3" t="s">
        <v>81</v>
      </c>
      <c r="B81" s="4">
        <v>594.70000000000005</v>
      </c>
      <c r="C81" s="4">
        <v>0</v>
      </c>
      <c r="D81" s="4">
        <v>0</v>
      </c>
      <c r="E81" s="4">
        <v>0</v>
      </c>
      <c r="F81" s="4">
        <v>105.99</v>
      </c>
      <c r="G81" s="2">
        <v>45</v>
      </c>
      <c r="H81" s="4">
        <v>488.71</v>
      </c>
      <c r="I81" s="4">
        <v>488.71</v>
      </c>
      <c r="J81" s="3" t="s">
        <v>265</v>
      </c>
      <c r="K81" s="22">
        <v>30</v>
      </c>
      <c r="L81" s="17">
        <v>0</v>
      </c>
      <c r="M81" s="54">
        <v>458.71000000000004</v>
      </c>
      <c r="N81" s="4">
        <v>114.67749999999999</v>
      </c>
      <c r="O8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1"/>
    </row>
    <row r="82" spans="1:20" x14ac:dyDescent="0.35">
      <c r="A82" s="3" t="s">
        <v>84</v>
      </c>
      <c r="B82" s="4">
        <v>201</v>
      </c>
      <c r="C82" s="4">
        <v>0</v>
      </c>
      <c r="D82" s="4">
        <v>0</v>
      </c>
      <c r="E82" s="4">
        <v>0</v>
      </c>
      <c r="F82" s="4">
        <v>39.6</v>
      </c>
      <c r="G82" s="2">
        <v>15</v>
      </c>
      <c r="H82" s="4">
        <v>161.4</v>
      </c>
      <c r="I82" s="4">
        <v>161.4</v>
      </c>
      <c r="J82" s="3" t="s">
        <v>265</v>
      </c>
      <c r="K82" s="22">
        <v>20</v>
      </c>
      <c r="L82" s="17">
        <v>0</v>
      </c>
      <c r="M82" s="54">
        <v>141.4</v>
      </c>
      <c r="N82" s="4">
        <v>35.35</v>
      </c>
      <c r="O8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2"/>
    </row>
    <row r="83" spans="1:20" hidden="1" x14ac:dyDescent="0.35">
      <c r="A83" s="3" t="s">
        <v>100</v>
      </c>
      <c r="B83" s="4">
        <v>237</v>
      </c>
      <c r="C83" s="4">
        <v>2</v>
      </c>
      <c r="D83" s="4">
        <v>205</v>
      </c>
      <c r="E83" s="4">
        <v>-22</v>
      </c>
      <c r="F83" s="4">
        <v>29.62</v>
      </c>
      <c r="G83" s="2">
        <v>20</v>
      </c>
      <c r="H83" s="4">
        <v>-21.62</v>
      </c>
      <c r="I83" s="4">
        <v>0.38</v>
      </c>
      <c r="J83" s="3" t="s">
        <v>266</v>
      </c>
      <c r="K83" s="22">
        <v>20</v>
      </c>
      <c r="L83" s="17">
        <v>0</v>
      </c>
      <c r="M83" s="54">
        <v>-39.620000000000005</v>
      </c>
      <c r="N83" s="4">
        <v>-4.9050000000000002</v>
      </c>
      <c r="O8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3"/>
    </row>
    <row r="84" spans="1:20" hidden="1" x14ac:dyDescent="0.35">
      <c r="A84" s="3" t="s">
        <v>99</v>
      </c>
      <c r="B84" s="4">
        <v>7</v>
      </c>
      <c r="C84" s="4">
        <v>0</v>
      </c>
      <c r="D84" s="4">
        <v>0</v>
      </c>
      <c r="E84" s="4">
        <v>0</v>
      </c>
      <c r="F84" s="4">
        <v>0.7</v>
      </c>
      <c r="G84" s="2">
        <v>2</v>
      </c>
      <c r="H84" s="4">
        <v>6.3</v>
      </c>
      <c r="I84" s="4">
        <v>6.3</v>
      </c>
      <c r="J84" s="3" t="s">
        <v>266</v>
      </c>
      <c r="K84" s="22">
        <v>0</v>
      </c>
      <c r="L84" s="17">
        <v>0</v>
      </c>
      <c r="M84" s="54">
        <v>6.3</v>
      </c>
      <c r="N84" s="4">
        <v>1.575</v>
      </c>
      <c r="O8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4"/>
    </row>
    <row r="85" spans="1:20" hidden="1" x14ac:dyDescent="0.35">
      <c r="A85" s="3" t="s">
        <v>94</v>
      </c>
      <c r="B85" s="4">
        <v>218</v>
      </c>
      <c r="C85" s="4">
        <v>15</v>
      </c>
      <c r="D85" s="4">
        <v>51.05</v>
      </c>
      <c r="E85" s="4">
        <v>22</v>
      </c>
      <c r="F85" s="4">
        <v>37.200000000000003</v>
      </c>
      <c r="G85" s="2">
        <v>21</v>
      </c>
      <c r="H85" s="4">
        <v>136.75</v>
      </c>
      <c r="I85" s="4">
        <v>114.75</v>
      </c>
      <c r="J85" s="3" t="s">
        <v>266</v>
      </c>
      <c r="K85" s="22">
        <v>20</v>
      </c>
      <c r="L85" s="17">
        <v>0</v>
      </c>
      <c r="M85" s="54">
        <v>131.75</v>
      </c>
      <c r="N85" s="4">
        <v>23.6875</v>
      </c>
      <c r="O8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5"/>
    </row>
    <row r="86" spans="1:20" hidden="1" x14ac:dyDescent="0.35">
      <c r="A86" s="3" t="s">
        <v>95</v>
      </c>
      <c r="B86" s="4">
        <v>188</v>
      </c>
      <c r="C86" s="4">
        <v>24</v>
      </c>
      <c r="D86" s="4">
        <v>0</v>
      </c>
      <c r="E86" s="4">
        <v>0</v>
      </c>
      <c r="F86" s="4">
        <v>31.22</v>
      </c>
      <c r="G86" s="2">
        <v>37</v>
      </c>
      <c r="H86" s="4">
        <v>132.78</v>
      </c>
      <c r="I86" s="4">
        <v>132.78</v>
      </c>
      <c r="J86" s="3" t="s">
        <v>266</v>
      </c>
      <c r="K86" s="22">
        <v>10</v>
      </c>
      <c r="L86" s="17">
        <v>0</v>
      </c>
      <c r="M86" s="54">
        <v>146.78</v>
      </c>
      <c r="N86" s="4">
        <v>30.695</v>
      </c>
      <c r="O8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6"/>
    </row>
    <row r="87" spans="1:20" hidden="1" x14ac:dyDescent="0.35">
      <c r="A87" s="3" t="s">
        <v>98</v>
      </c>
      <c r="B87" s="4">
        <v>19</v>
      </c>
      <c r="C87" s="4">
        <v>0</v>
      </c>
      <c r="D87" s="4">
        <v>0</v>
      </c>
      <c r="E87" s="4">
        <v>0</v>
      </c>
      <c r="F87" s="4">
        <v>3.5</v>
      </c>
      <c r="G87" s="2">
        <v>8</v>
      </c>
      <c r="H87" s="4">
        <v>15.5</v>
      </c>
      <c r="I87" s="4">
        <v>15.5</v>
      </c>
      <c r="J87" s="3" t="s">
        <v>266</v>
      </c>
      <c r="K87" s="22">
        <v>0</v>
      </c>
      <c r="L87" s="17">
        <v>0</v>
      </c>
      <c r="M87" s="54">
        <v>15.5</v>
      </c>
      <c r="N87" s="4">
        <v>3.875</v>
      </c>
      <c r="O8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7"/>
    </row>
    <row r="88" spans="1:20" hidden="1" x14ac:dyDescent="0.35">
      <c r="A88" s="3" t="s">
        <v>96</v>
      </c>
      <c r="B88" s="4">
        <v>263</v>
      </c>
      <c r="C88" s="4">
        <v>14</v>
      </c>
      <c r="D88" s="4">
        <v>121.89</v>
      </c>
      <c r="E88" s="4">
        <v>0</v>
      </c>
      <c r="F88" s="4">
        <v>41.69</v>
      </c>
      <c r="G88" s="2">
        <v>45</v>
      </c>
      <c r="H88" s="4">
        <v>85.42</v>
      </c>
      <c r="I88" s="4">
        <v>85.42</v>
      </c>
      <c r="J88" s="3" t="s">
        <v>266</v>
      </c>
      <c r="K88" s="22">
        <v>20</v>
      </c>
      <c r="L88" s="17">
        <v>0</v>
      </c>
      <c r="M88" s="54">
        <v>79.420000000000016</v>
      </c>
      <c r="N88" s="4">
        <v>16.355</v>
      </c>
      <c r="O8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8"/>
    </row>
    <row r="89" spans="1:20" hidden="1" x14ac:dyDescent="0.35">
      <c r="A89" s="3" t="s">
        <v>97</v>
      </c>
      <c r="B89" s="4">
        <v>88</v>
      </c>
      <c r="C89" s="4">
        <v>7</v>
      </c>
      <c r="D89" s="4">
        <v>29.75</v>
      </c>
      <c r="E89" s="4">
        <v>0</v>
      </c>
      <c r="F89" s="4">
        <v>13.45</v>
      </c>
      <c r="G89" s="2">
        <v>22</v>
      </c>
      <c r="H89" s="4">
        <v>37.799999999999997</v>
      </c>
      <c r="I89" s="4">
        <v>37.799999999999997</v>
      </c>
      <c r="J89" s="3" t="s">
        <v>266</v>
      </c>
      <c r="K89" s="22">
        <v>0</v>
      </c>
      <c r="L89" s="17">
        <v>0</v>
      </c>
      <c r="M89" s="54">
        <v>44.8</v>
      </c>
      <c r="N89" s="4">
        <v>9.4499999999999993</v>
      </c>
      <c r="O8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89"/>
    </row>
    <row r="90" spans="1:20" hidden="1" x14ac:dyDescent="0.35">
      <c r="A90" s="3" t="s">
        <v>301</v>
      </c>
      <c r="B90" s="4">
        <v>260</v>
      </c>
      <c r="C90" s="4">
        <v>38</v>
      </c>
      <c r="D90" s="4">
        <v>0</v>
      </c>
      <c r="E90" s="4">
        <v>0</v>
      </c>
      <c r="F90" s="4">
        <v>26.79</v>
      </c>
      <c r="G90" s="2">
        <v>32</v>
      </c>
      <c r="H90" s="4">
        <v>195.21</v>
      </c>
      <c r="I90" s="4">
        <v>195.21</v>
      </c>
      <c r="J90" s="3" t="s">
        <v>267</v>
      </c>
      <c r="K90" s="22">
        <v>20</v>
      </c>
      <c r="L90" s="17">
        <v>0</v>
      </c>
      <c r="M90" s="54">
        <v>213.21</v>
      </c>
      <c r="N90" s="4">
        <v>61.323500000000003</v>
      </c>
      <c r="O9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0"/>
    </row>
    <row r="91" spans="1:20" hidden="1" x14ac:dyDescent="0.35">
      <c r="A91" s="3" t="s">
        <v>106</v>
      </c>
      <c r="B91" s="4">
        <v>255.5</v>
      </c>
      <c r="C91" s="4">
        <v>2</v>
      </c>
      <c r="D91" s="4">
        <v>122.5</v>
      </c>
      <c r="E91" s="4">
        <v>0</v>
      </c>
      <c r="F91" s="4">
        <v>45.67</v>
      </c>
      <c r="G91" s="2">
        <v>27</v>
      </c>
      <c r="H91" s="4">
        <v>85.33</v>
      </c>
      <c r="I91" s="4">
        <v>85.33</v>
      </c>
      <c r="J91" s="3" t="s">
        <v>267</v>
      </c>
      <c r="K91" s="22">
        <v>20</v>
      </c>
      <c r="L91" s="17">
        <v>0</v>
      </c>
      <c r="M91" s="54">
        <v>67.33</v>
      </c>
      <c r="N91" s="4">
        <v>22.865500000000001</v>
      </c>
      <c r="O9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1"/>
    </row>
    <row r="92" spans="1:20" hidden="1" x14ac:dyDescent="0.35">
      <c r="A92" s="3" t="s">
        <v>102</v>
      </c>
      <c r="B92" s="4">
        <v>215</v>
      </c>
      <c r="C92" s="4">
        <v>0</v>
      </c>
      <c r="D92" s="4">
        <v>0</v>
      </c>
      <c r="E92" s="4">
        <v>0</v>
      </c>
      <c r="F92" s="4">
        <v>34.36</v>
      </c>
      <c r="G92" s="2">
        <v>20</v>
      </c>
      <c r="H92" s="4">
        <v>180.64</v>
      </c>
      <c r="I92" s="4">
        <v>180.64</v>
      </c>
      <c r="J92" s="3" t="s">
        <v>267</v>
      </c>
      <c r="K92" s="22">
        <v>20</v>
      </c>
      <c r="L92" s="17">
        <v>0</v>
      </c>
      <c r="M92" s="54">
        <v>160.63999999999999</v>
      </c>
      <c r="N92" s="4">
        <v>56.223999999999997</v>
      </c>
      <c r="O9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2"/>
    </row>
    <row r="93" spans="1:20" hidden="1" x14ac:dyDescent="0.35">
      <c r="A93" s="3" t="s">
        <v>110</v>
      </c>
      <c r="B93" s="4">
        <v>26</v>
      </c>
      <c r="C93" s="4">
        <v>0</v>
      </c>
      <c r="D93" s="4">
        <v>0</v>
      </c>
      <c r="E93" s="4">
        <v>0</v>
      </c>
      <c r="F93" s="4">
        <v>5.05</v>
      </c>
      <c r="G93" s="2">
        <v>6</v>
      </c>
      <c r="H93" s="4">
        <v>20.95</v>
      </c>
      <c r="I93" s="4">
        <v>20.95</v>
      </c>
      <c r="J93" s="3" t="s">
        <v>267</v>
      </c>
      <c r="K93" s="22">
        <v>0</v>
      </c>
      <c r="L93" s="17">
        <v>0</v>
      </c>
      <c r="M93" s="54">
        <v>20.95</v>
      </c>
      <c r="N93" s="4">
        <v>7.3324999999999996</v>
      </c>
      <c r="O9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3"/>
    </row>
    <row r="94" spans="1:20" hidden="1" x14ac:dyDescent="0.35">
      <c r="A94" s="3" t="s">
        <v>112</v>
      </c>
      <c r="B94" s="4">
        <v>171</v>
      </c>
      <c r="C94" s="4">
        <v>22</v>
      </c>
      <c r="D94" s="4">
        <v>176.9</v>
      </c>
      <c r="E94" s="4">
        <v>0</v>
      </c>
      <c r="F94" s="4">
        <v>29.2</v>
      </c>
      <c r="G94" s="2">
        <v>19</v>
      </c>
      <c r="H94" s="4">
        <v>-57.1</v>
      </c>
      <c r="I94" s="4">
        <v>-57.1</v>
      </c>
      <c r="J94" s="3" t="s">
        <v>267</v>
      </c>
      <c r="K94" s="22">
        <v>10</v>
      </c>
      <c r="L94" s="17">
        <v>0</v>
      </c>
      <c r="M94" s="54">
        <v>-45.100000000000009</v>
      </c>
      <c r="N94" s="4">
        <v>-23.484999999999999</v>
      </c>
      <c r="O9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4"/>
    </row>
    <row r="95" spans="1:20" hidden="1" x14ac:dyDescent="0.35">
      <c r="A95" s="3" t="s">
        <v>101</v>
      </c>
      <c r="B95" s="4">
        <v>3254</v>
      </c>
      <c r="C95" s="4">
        <v>520</v>
      </c>
      <c r="D95" s="4">
        <v>1742.36</v>
      </c>
      <c r="E95" s="4">
        <v>150</v>
      </c>
      <c r="F95" s="4">
        <v>453.05</v>
      </c>
      <c r="G95" s="2">
        <v>161</v>
      </c>
      <c r="H95" s="4">
        <v>688.59</v>
      </c>
      <c r="I95" s="4">
        <v>538.59</v>
      </c>
      <c r="J95" s="3" t="s">
        <v>267</v>
      </c>
      <c r="K95" s="22">
        <v>50</v>
      </c>
      <c r="L95" s="17">
        <v>0</v>
      </c>
      <c r="M95" s="54">
        <v>1158.5900000000001</v>
      </c>
      <c r="N95" s="4">
        <v>171.00649999999999</v>
      </c>
      <c r="O9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5"/>
    </row>
    <row r="96" spans="1:20" hidden="1" x14ac:dyDescent="0.35">
      <c r="A96" s="3" t="s">
        <v>107</v>
      </c>
      <c r="B96" s="4">
        <v>304.5</v>
      </c>
      <c r="C96" s="4">
        <v>8</v>
      </c>
      <c r="D96" s="4">
        <v>158.69999999999999</v>
      </c>
      <c r="E96" s="4">
        <v>0</v>
      </c>
      <c r="F96" s="4">
        <v>52.65</v>
      </c>
      <c r="G96" s="2">
        <v>40</v>
      </c>
      <c r="H96" s="4">
        <v>85.15</v>
      </c>
      <c r="I96" s="4">
        <v>85.15</v>
      </c>
      <c r="J96" s="3" t="s">
        <v>267</v>
      </c>
      <c r="K96" s="22">
        <v>20</v>
      </c>
      <c r="L96" s="17">
        <v>7.3150000000000013</v>
      </c>
      <c r="M96" s="54">
        <v>65.835000000000008</v>
      </c>
      <c r="N96" s="4">
        <v>20.242249999999999</v>
      </c>
      <c r="O9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65.835000000000008</v>
      </c>
      <c r="T96"/>
    </row>
    <row r="97" spans="1:20" hidden="1" x14ac:dyDescent="0.35">
      <c r="A97" s="3" t="s">
        <v>108</v>
      </c>
      <c r="B97" s="4">
        <v>80</v>
      </c>
      <c r="C97" s="4">
        <v>0</v>
      </c>
      <c r="D97" s="4">
        <v>0</v>
      </c>
      <c r="E97" s="4">
        <v>0</v>
      </c>
      <c r="F97" s="4">
        <v>14.48</v>
      </c>
      <c r="G97" s="2">
        <v>8</v>
      </c>
      <c r="H97" s="4">
        <v>65.52</v>
      </c>
      <c r="I97" s="4">
        <v>65.52</v>
      </c>
      <c r="J97" s="3" t="s">
        <v>267</v>
      </c>
      <c r="K97" s="22">
        <v>0</v>
      </c>
      <c r="L97" s="17">
        <v>0</v>
      </c>
      <c r="M97" s="54">
        <v>65.52</v>
      </c>
      <c r="N97" s="4">
        <v>22.931999999999999</v>
      </c>
      <c r="O9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7"/>
    </row>
    <row r="98" spans="1:20" hidden="1" x14ac:dyDescent="0.35">
      <c r="A98" s="3" t="s">
        <v>109</v>
      </c>
      <c r="B98" s="4">
        <v>25</v>
      </c>
      <c r="C98" s="4">
        <v>0</v>
      </c>
      <c r="D98" s="4">
        <v>0</v>
      </c>
      <c r="E98" s="4">
        <v>0</v>
      </c>
      <c r="F98" s="4">
        <v>3.8</v>
      </c>
      <c r="G98" s="2">
        <v>3</v>
      </c>
      <c r="H98" s="4">
        <v>21.2</v>
      </c>
      <c r="I98" s="4">
        <v>21.2</v>
      </c>
      <c r="J98" s="3" t="s">
        <v>267</v>
      </c>
      <c r="K98" s="22">
        <v>0</v>
      </c>
      <c r="L98" s="17">
        <v>0</v>
      </c>
      <c r="M98" s="54">
        <v>21.2</v>
      </c>
      <c r="N98" s="4">
        <v>7.42</v>
      </c>
      <c r="O9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8"/>
    </row>
    <row r="99" spans="1:20" hidden="1" x14ac:dyDescent="0.35">
      <c r="A99" s="3" t="s">
        <v>302</v>
      </c>
      <c r="B99" s="4">
        <v>90</v>
      </c>
      <c r="C99" s="4">
        <v>0</v>
      </c>
      <c r="D99" s="4">
        <v>0</v>
      </c>
      <c r="E99" s="4">
        <v>0</v>
      </c>
      <c r="F99" s="4">
        <v>17.7</v>
      </c>
      <c r="G99" s="2">
        <v>9</v>
      </c>
      <c r="H99" s="4">
        <v>72.3</v>
      </c>
      <c r="I99" s="4">
        <v>72.3</v>
      </c>
      <c r="J99" s="3" t="s">
        <v>267</v>
      </c>
      <c r="K99" s="22">
        <v>0</v>
      </c>
      <c r="L99" s="17">
        <v>0</v>
      </c>
      <c r="M99" s="54">
        <v>72.3</v>
      </c>
      <c r="N99" s="4">
        <v>25.305</v>
      </c>
      <c r="O9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99"/>
    </row>
    <row r="100" spans="1:20" hidden="1" x14ac:dyDescent="0.35">
      <c r="A100" s="3" t="s">
        <v>104</v>
      </c>
      <c r="B100" s="4">
        <v>185.75</v>
      </c>
      <c r="C100" s="4">
        <v>0</v>
      </c>
      <c r="D100" s="4">
        <v>0</v>
      </c>
      <c r="E100" s="4">
        <v>0</v>
      </c>
      <c r="F100" s="4">
        <v>31.02</v>
      </c>
      <c r="G100" s="2">
        <v>27</v>
      </c>
      <c r="H100" s="4">
        <v>154.72999999999999</v>
      </c>
      <c r="I100" s="4">
        <v>154.72999999999999</v>
      </c>
      <c r="J100" s="3" t="s">
        <v>267</v>
      </c>
      <c r="K100" s="22">
        <v>10</v>
      </c>
      <c r="L100" s="17">
        <v>0</v>
      </c>
      <c r="M100" s="54">
        <v>144.72999999999999</v>
      </c>
      <c r="N100" s="4">
        <v>50.655500000000004</v>
      </c>
      <c r="O10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0"/>
    </row>
    <row r="101" spans="1:20" hidden="1" x14ac:dyDescent="0.35">
      <c r="A101" s="3" t="s">
        <v>103</v>
      </c>
      <c r="B101" s="4">
        <v>193</v>
      </c>
      <c r="C101" s="4">
        <v>0</v>
      </c>
      <c r="D101" s="4">
        <v>0</v>
      </c>
      <c r="E101" s="4">
        <v>0</v>
      </c>
      <c r="F101" s="4">
        <v>35.9</v>
      </c>
      <c r="G101" s="2">
        <v>17</v>
      </c>
      <c r="H101" s="4">
        <v>157.1</v>
      </c>
      <c r="I101" s="4">
        <v>157.1</v>
      </c>
      <c r="J101" s="3" t="s">
        <v>267</v>
      </c>
      <c r="K101" s="22">
        <v>10</v>
      </c>
      <c r="L101" s="17">
        <v>0</v>
      </c>
      <c r="M101" s="54">
        <v>147.1</v>
      </c>
      <c r="N101" s="4">
        <v>51.484999999999999</v>
      </c>
      <c r="O10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1"/>
    </row>
    <row r="102" spans="1:20" hidden="1" x14ac:dyDescent="0.35">
      <c r="A102" s="3" t="s">
        <v>105</v>
      </c>
      <c r="B102" s="4">
        <v>315</v>
      </c>
      <c r="C102" s="4">
        <v>2</v>
      </c>
      <c r="D102" s="4">
        <v>0</v>
      </c>
      <c r="E102" s="4">
        <v>-150</v>
      </c>
      <c r="F102" s="4">
        <v>58.8</v>
      </c>
      <c r="G102" s="2">
        <v>27</v>
      </c>
      <c r="H102" s="4">
        <v>104.2</v>
      </c>
      <c r="I102" s="4">
        <v>254.2</v>
      </c>
      <c r="J102" s="3" t="s">
        <v>267</v>
      </c>
      <c r="K102" s="22">
        <v>20</v>
      </c>
      <c r="L102" s="17">
        <v>23.62</v>
      </c>
      <c r="M102" s="54">
        <v>62.579999999999984</v>
      </c>
      <c r="N102" s="4">
        <v>73.703000000000003</v>
      </c>
      <c r="O10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62.579999999999984</v>
      </c>
      <c r="T102"/>
    </row>
    <row r="103" spans="1:20" hidden="1" x14ac:dyDescent="0.35">
      <c r="A103" s="3" t="s">
        <v>111</v>
      </c>
      <c r="B103" s="4">
        <v>131</v>
      </c>
      <c r="C103" s="4">
        <v>20</v>
      </c>
      <c r="D103" s="4">
        <v>94.67</v>
      </c>
      <c r="E103" s="4">
        <v>0</v>
      </c>
      <c r="F103" s="4">
        <v>16.36</v>
      </c>
      <c r="G103" s="2">
        <v>19</v>
      </c>
      <c r="H103" s="4">
        <v>-0.03</v>
      </c>
      <c r="I103" s="4">
        <v>-0.03</v>
      </c>
      <c r="J103" s="3" t="s">
        <v>267</v>
      </c>
      <c r="K103" s="22">
        <v>0</v>
      </c>
      <c r="L103" s="17">
        <v>0</v>
      </c>
      <c r="M103" s="54">
        <v>19.97</v>
      </c>
      <c r="N103" s="4">
        <v>-1.0500000000000001E-2</v>
      </c>
      <c r="O10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3"/>
    </row>
    <row r="104" spans="1:20" hidden="1" x14ac:dyDescent="0.35">
      <c r="A104" s="3" t="s">
        <v>113</v>
      </c>
      <c r="B104" s="4">
        <v>410</v>
      </c>
      <c r="C104" s="4">
        <v>10</v>
      </c>
      <c r="D104" s="4">
        <v>446.1</v>
      </c>
      <c r="E104" s="4">
        <v>0</v>
      </c>
      <c r="F104" s="4">
        <v>59.96</v>
      </c>
      <c r="G104" s="2">
        <v>23</v>
      </c>
      <c r="H104" s="4">
        <v>-106.06</v>
      </c>
      <c r="I104" s="4">
        <v>-106.06</v>
      </c>
      <c r="J104" s="3" t="s">
        <v>267</v>
      </c>
      <c r="K104" s="22">
        <v>30</v>
      </c>
      <c r="L104" s="17">
        <v>0</v>
      </c>
      <c r="M104" s="54">
        <v>-126.06000000000003</v>
      </c>
      <c r="N104" s="4">
        <v>-47.621000000000002</v>
      </c>
      <c r="O10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4"/>
    </row>
    <row r="105" spans="1:20" hidden="1" x14ac:dyDescent="0.35">
      <c r="A105" s="3" t="s">
        <v>123</v>
      </c>
      <c r="B105" s="4">
        <v>103</v>
      </c>
      <c r="C105" s="4">
        <v>25</v>
      </c>
      <c r="D105" s="4">
        <v>224.1</v>
      </c>
      <c r="E105" s="4">
        <v>0</v>
      </c>
      <c r="F105" s="4">
        <v>12.47</v>
      </c>
      <c r="G105" s="2">
        <v>6</v>
      </c>
      <c r="H105" s="4">
        <v>-158.57</v>
      </c>
      <c r="I105" s="4">
        <v>-158.57</v>
      </c>
      <c r="J105" s="3" t="s">
        <v>268</v>
      </c>
      <c r="K105" s="22">
        <v>0</v>
      </c>
      <c r="L105" s="17">
        <v>0</v>
      </c>
      <c r="M105" s="54">
        <v>-120.21299999999999</v>
      </c>
      <c r="N105" s="4">
        <v>-55.499499999999998</v>
      </c>
      <c r="O10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5"/>
    </row>
    <row r="106" spans="1:20" hidden="1" x14ac:dyDescent="0.35">
      <c r="A106" s="3" t="s">
        <v>115</v>
      </c>
      <c r="B106" s="4">
        <v>200</v>
      </c>
      <c r="C106" s="4">
        <v>0</v>
      </c>
      <c r="D106" s="4">
        <v>0</v>
      </c>
      <c r="E106" s="4">
        <v>0</v>
      </c>
      <c r="F106" s="4">
        <v>28.36</v>
      </c>
      <c r="G106" s="2">
        <v>20</v>
      </c>
      <c r="H106" s="4">
        <v>171.64</v>
      </c>
      <c r="I106" s="4">
        <v>171.64</v>
      </c>
      <c r="J106" s="3" t="s">
        <v>268</v>
      </c>
      <c r="K106" s="22">
        <v>0</v>
      </c>
      <c r="L106" s="17">
        <v>17.163999999999998</v>
      </c>
      <c r="M106" s="54">
        <v>154.476</v>
      </c>
      <c r="N106" s="4">
        <v>54.066600000000001</v>
      </c>
      <c r="O10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154.476</v>
      </c>
      <c r="T106"/>
    </row>
    <row r="107" spans="1:20" hidden="1" x14ac:dyDescent="0.35">
      <c r="A107" s="3" t="s">
        <v>114</v>
      </c>
      <c r="B107" s="4">
        <v>462</v>
      </c>
      <c r="C107" s="4">
        <v>0</v>
      </c>
      <c r="D107" s="4">
        <v>110.8</v>
      </c>
      <c r="E107" s="4">
        <v>0</v>
      </c>
      <c r="F107" s="4">
        <v>85.8</v>
      </c>
      <c r="G107" s="2">
        <v>24</v>
      </c>
      <c r="H107" s="4">
        <v>265.39999999999998</v>
      </c>
      <c r="I107" s="4">
        <v>265.39999999999998</v>
      </c>
      <c r="J107" s="3" t="s">
        <v>268</v>
      </c>
      <c r="K107" s="22">
        <v>0</v>
      </c>
      <c r="L107" s="17">
        <v>26.54</v>
      </c>
      <c r="M107" s="54">
        <v>238.85999999999999</v>
      </c>
      <c r="N107" s="4">
        <v>83.600999999999999</v>
      </c>
      <c r="O10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238.85999999999999</v>
      </c>
      <c r="T107"/>
    </row>
    <row r="108" spans="1:20" hidden="1" x14ac:dyDescent="0.35">
      <c r="A108" s="3" t="s">
        <v>120</v>
      </c>
      <c r="B108" s="4">
        <v>29</v>
      </c>
      <c r="C108" s="4">
        <v>0</v>
      </c>
      <c r="D108" s="4">
        <v>0</v>
      </c>
      <c r="E108" s="4">
        <v>0</v>
      </c>
      <c r="F108" s="4">
        <v>5.38</v>
      </c>
      <c r="G108" s="2">
        <v>5</v>
      </c>
      <c r="H108" s="4">
        <v>23.62</v>
      </c>
      <c r="I108" s="4">
        <v>23.62</v>
      </c>
      <c r="J108" s="3" t="s">
        <v>268</v>
      </c>
      <c r="K108" s="22">
        <v>0</v>
      </c>
      <c r="L108" s="17">
        <v>2.3620000000000001</v>
      </c>
      <c r="M108" s="54">
        <v>21.258000000000003</v>
      </c>
      <c r="N108" s="4">
        <v>7.4402999999999997</v>
      </c>
      <c r="O10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21.258000000000003</v>
      </c>
      <c r="T108"/>
    </row>
    <row r="109" spans="1:20" hidden="1" x14ac:dyDescent="0.35">
      <c r="A109" s="3" t="s">
        <v>124</v>
      </c>
      <c r="B109" s="4">
        <v>1213</v>
      </c>
      <c r="C109" s="4">
        <v>113</v>
      </c>
      <c r="D109" s="4">
        <v>1373</v>
      </c>
      <c r="E109" s="4">
        <v>0</v>
      </c>
      <c r="F109" s="4">
        <v>169.95</v>
      </c>
      <c r="G109" s="2">
        <v>32</v>
      </c>
      <c r="H109" s="4">
        <v>-442.95</v>
      </c>
      <c r="I109" s="4">
        <v>-442.95</v>
      </c>
      <c r="J109" s="3" t="s">
        <v>268</v>
      </c>
      <c r="K109" s="22">
        <v>50</v>
      </c>
      <c r="L109" s="17">
        <v>0</v>
      </c>
      <c r="M109" s="54">
        <v>-341.95499999999998</v>
      </c>
      <c r="N109" s="4">
        <v>-172.5325</v>
      </c>
      <c r="O10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09"/>
    </row>
    <row r="110" spans="1:20" hidden="1" x14ac:dyDescent="0.35">
      <c r="A110" s="3" t="s">
        <v>119</v>
      </c>
      <c r="B110" s="4">
        <v>130</v>
      </c>
      <c r="C110" s="4">
        <v>0</v>
      </c>
      <c r="D110" s="4">
        <v>100</v>
      </c>
      <c r="E110" s="4">
        <v>0</v>
      </c>
      <c r="F110" s="4">
        <v>6</v>
      </c>
      <c r="G110" s="2">
        <v>2</v>
      </c>
      <c r="H110" s="4">
        <v>24</v>
      </c>
      <c r="I110" s="4">
        <v>24</v>
      </c>
      <c r="J110" s="3" t="s">
        <v>268</v>
      </c>
      <c r="K110" s="22">
        <v>0</v>
      </c>
      <c r="L110" s="17">
        <v>2.4000000000000004</v>
      </c>
      <c r="M110" s="54">
        <v>21.6</v>
      </c>
      <c r="N110" s="4">
        <v>7.56</v>
      </c>
      <c r="O11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21.6</v>
      </c>
      <c r="T110"/>
    </row>
    <row r="111" spans="1:20" hidden="1" x14ac:dyDescent="0.35">
      <c r="A111" s="3" t="s">
        <v>121</v>
      </c>
      <c r="B111" s="4">
        <v>25</v>
      </c>
      <c r="C111" s="4">
        <v>0</v>
      </c>
      <c r="D111" s="4">
        <v>0</v>
      </c>
      <c r="E111" s="4">
        <v>0</v>
      </c>
      <c r="F111" s="4">
        <v>5</v>
      </c>
      <c r="G111" s="2">
        <v>3</v>
      </c>
      <c r="H111" s="4">
        <v>20</v>
      </c>
      <c r="I111" s="4">
        <v>20</v>
      </c>
      <c r="J111" s="3" t="s">
        <v>268</v>
      </c>
      <c r="K111" s="22">
        <v>0</v>
      </c>
      <c r="L111" s="17">
        <v>2</v>
      </c>
      <c r="M111" s="54">
        <v>18</v>
      </c>
      <c r="N111" s="4">
        <v>6.3</v>
      </c>
      <c r="O11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18</v>
      </c>
      <c r="T111"/>
    </row>
    <row r="112" spans="1:20" hidden="1" x14ac:dyDescent="0.35">
      <c r="A112" s="3" t="s">
        <v>118</v>
      </c>
      <c r="B112" s="4">
        <v>37</v>
      </c>
      <c r="C112" s="4">
        <v>0</v>
      </c>
      <c r="D112" s="4">
        <v>0</v>
      </c>
      <c r="E112" s="4">
        <v>0</v>
      </c>
      <c r="F112" s="4">
        <v>7.4</v>
      </c>
      <c r="G112" s="2">
        <v>10</v>
      </c>
      <c r="H112" s="4">
        <v>29.6</v>
      </c>
      <c r="I112" s="4">
        <v>29.6</v>
      </c>
      <c r="J112" s="3" t="s">
        <v>268</v>
      </c>
      <c r="K112" s="22">
        <v>0</v>
      </c>
      <c r="L112" s="17">
        <v>2.9600000000000004</v>
      </c>
      <c r="M112" s="54">
        <v>26.64</v>
      </c>
      <c r="N112" s="4">
        <v>9.3239999999999998</v>
      </c>
      <c r="O11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26.64</v>
      </c>
      <c r="T112"/>
    </row>
    <row r="113" spans="1:20" hidden="1" x14ac:dyDescent="0.35">
      <c r="A113" s="3" t="s">
        <v>116</v>
      </c>
      <c r="B113" s="4">
        <v>165</v>
      </c>
      <c r="C113" s="4">
        <v>0</v>
      </c>
      <c r="D113" s="4">
        <v>0</v>
      </c>
      <c r="E113" s="4">
        <v>0</v>
      </c>
      <c r="F113" s="4">
        <v>32.700000000000003</v>
      </c>
      <c r="G113" s="2">
        <v>10</v>
      </c>
      <c r="H113" s="4">
        <v>132.30000000000001</v>
      </c>
      <c r="I113" s="4">
        <v>132.30000000000001</v>
      </c>
      <c r="J113" s="3" t="s">
        <v>268</v>
      </c>
      <c r="K113" s="22">
        <v>0</v>
      </c>
      <c r="L113" s="17">
        <v>13.230000000000002</v>
      </c>
      <c r="M113" s="54">
        <v>119.07000000000001</v>
      </c>
      <c r="N113" s="4">
        <v>41.674500000000002</v>
      </c>
      <c r="O11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119.07000000000001</v>
      </c>
      <c r="T113"/>
    </row>
    <row r="114" spans="1:20" hidden="1" x14ac:dyDescent="0.35">
      <c r="A114" s="3" t="s">
        <v>117</v>
      </c>
      <c r="B114" s="4">
        <v>60</v>
      </c>
      <c r="C114" s="4">
        <v>5</v>
      </c>
      <c r="D114" s="4">
        <v>0</v>
      </c>
      <c r="E114" s="4">
        <v>0</v>
      </c>
      <c r="F114" s="4">
        <v>9.75</v>
      </c>
      <c r="G114" s="2">
        <v>11</v>
      </c>
      <c r="H114" s="4">
        <v>45.25</v>
      </c>
      <c r="I114" s="4">
        <v>45.25</v>
      </c>
      <c r="J114" s="3" t="s">
        <v>268</v>
      </c>
      <c r="K114" s="22">
        <v>0</v>
      </c>
      <c r="L114" s="17">
        <v>5.0250000000000004</v>
      </c>
      <c r="M114" s="54">
        <v>45.225000000000001</v>
      </c>
      <c r="N114" s="4">
        <v>14.078749999999999</v>
      </c>
      <c r="O11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45.225000000000001</v>
      </c>
      <c r="T114"/>
    </row>
    <row r="115" spans="1:20" hidden="1" x14ac:dyDescent="0.35">
      <c r="A115" s="3" t="s">
        <v>122</v>
      </c>
      <c r="B115" s="4">
        <v>5</v>
      </c>
      <c r="C115" s="4">
        <v>0</v>
      </c>
      <c r="D115" s="4">
        <v>0</v>
      </c>
      <c r="E115" s="4">
        <v>0</v>
      </c>
      <c r="F115" s="4">
        <v>1</v>
      </c>
      <c r="G115" s="2">
        <v>1</v>
      </c>
      <c r="H115" s="4">
        <v>4</v>
      </c>
      <c r="I115" s="4">
        <v>4</v>
      </c>
      <c r="J115" s="3" t="s">
        <v>268</v>
      </c>
      <c r="K115" s="22">
        <v>0</v>
      </c>
      <c r="L115" s="17">
        <v>0.4</v>
      </c>
      <c r="M115" s="54">
        <v>3.6</v>
      </c>
      <c r="N115" s="4">
        <v>1.26</v>
      </c>
      <c r="O11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3.6</v>
      </c>
      <c r="T115"/>
    </row>
    <row r="116" spans="1:20" hidden="1" x14ac:dyDescent="0.35">
      <c r="A116" s="3" t="s">
        <v>125</v>
      </c>
      <c r="B116" s="4">
        <v>88</v>
      </c>
      <c r="C116" s="4">
        <v>0</v>
      </c>
      <c r="D116" s="4">
        <v>0</v>
      </c>
      <c r="E116" s="4">
        <v>0</v>
      </c>
      <c r="F116" s="4">
        <v>14.1</v>
      </c>
      <c r="G116" s="2">
        <v>13</v>
      </c>
      <c r="H116" s="4">
        <v>73.900000000000006</v>
      </c>
      <c r="I116" s="4">
        <v>73.900000000000006</v>
      </c>
      <c r="J116" s="3" t="s">
        <v>269</v>
      </c>
      <c r="K116" s="22">
        <v>0</v>
      </c>
      <c r="L116" s="17">
        <v>0</v>
      </c>
      <c r="M116" s="54">
        <v>73.900000000000006</v>
      </c>
      <c r="N116" s="4">
        <v>18.475000000000001</v>
      </c>
      <c r="O11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16"/>
    </row>
    <row r="117" spans="1:20" hidden="1" x14ac:dyDescent="0.35">
      <c r="A117" s="3" t="s">
        <v>128</v>
      </c>
      <c r="B117" s="4">
        <v>55</v>
      </c>
      <c r="C117" s="4">
        <v>0</v>
      </c>
      <c r="D117" s="4">
        <v>43.9</v>
      </c>
      <c r="E117" s="4">
        <v>0</v>
      </c>
      <c r="F117" s="4">
        <v>9.1999999999999993</v>
      </c>
      <c r="G117" s="2">
        <v>8</v>
      </c>
      <c r="H117" s="4">
        <v>1.9</v>
      </c>
      <c r="I117" s="4">
        <v>1.9</v>
      </c>
      <c r="J117" s="3" t="s">
        <v>269</v>
      </c>
      <c r="K117" s="22">
        <v>0</v>
      </c>
      <c r="L117" s="17">
        <v>0</v>
      </c>
      <c r="M117" s="54">
        <v>1.9000000000000021</v>
      </c>
      <c r="N117" s="4">
        <v>0.47499999999999998</v>
      </c>
      <c r="O11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17"/>
    </row>
    <row r="118" spans="1:20" hidden="1" x14ac:dyDescent="0.35">
      <c r="A118" s="3" t="s">
        <v>129</v>
      </c>
      <c r="B118" s="4">
        <v>0</v>
      </c>
      <c r="C118" s="4">
        <v>0</v>
      </c>
      <c r="D118" s="4">
        <v>0</v>
      </c>
      <c r="E118" s="4">
        <v>0</v>
      </c>
      <c r="F118" s="4">
        <v>0</v>
      </c>
      <c r="G118" s="2">
        <v>0</v>
      </c>
      <c r="H118" s="4">
        <v>0</v>
      </c>
      <c r="I118" s="4">
        <v>0</v>
      </c>
      <c r="J118" s="3" t="s">
        <v>269</v>
      </c>
      <c r="K118" s="22">
        <v>0</v>
      </c>
      <c r="L118" s="17">
        <v>0</v>
      </c>
      <c r="M118" s="54">
        <v>0</v>
      </c>
      <c r="N118" s="4">
        <v>0</v>
      </c>
      <c r="O11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18"/>
    </row>
    <row r="119" spans="1:20" hidden="1" x14ac:dyDescent="0.35">
      <c r="A119" s="3" t="s">
        <v>127</v>
      </c>
      <c r="B119" s="4">
        <v>4</v>
      </c>
      <c r="C119" s="4">
        <v>0</v>
      </c>
      <c r="D119" s="4">
        <v>0</v>
      </c>
      <c r="E119" s="4">
        <v>0</v>
      </c>
      <c r="F119" s="4">
        <v>0.8</v>
      </c>
      <c r="G119" s="2">
        <v>2</v>
      </c>
      <c r="H119" s="4">
        <v>3.2</v>
      </c>
      <c r="I119" s="4">
        <v>3.2</v>
      </c>
      <c r="J119" s="3" t="s">
        <v>269</v>
      </c>
      <c r="K119" s="22">
        <v>0</v>
      </c>
      <c r="L119" s="17">
        <v>0</v>
      </c>
      <c r="M119" s="54">
        <v>3.2</v>
      </c>
      <c r="N119" s="4">
        <v>0.8</v>
      </c>
      <c r="O11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19"/>
    </row>
    <row r="120" spans="1:20" hidden="1" x14ac:dyDescent="0.35">
      <c r="A120" s="3" t="s">
        <v>126</v>
      </c>
      <c r="B120" s="4">
        <v>210</v>
      </c>
      <c r="C120" s="4">
        <v>5</v>
      </c>
      <c r="D120" s="4">
        <v>145.35</v>
      </c>
      <c r="E120" s="4">
        <v>0</v>
      </c>
      <c r="F120" s="4">
        <v>32.950000000000003</v>
      </c>
      <c r="G120" s="2">
        <v>18</v>
      </c>
      <c r="H120" s="4">
        <v>26.7</v>
      </c>
      <c r="I120" s="4">
        <v>26.7</v>
      </c>
      <c r="J120" s="3" t="s">
        <v>269</v>
      </c>
      <c r="K120" s="22">
        <v>20</v>
      </c>
      <c r="L120" s="17">
        <v>0</v>
      </c>
      <c r="M120" s="54">
        <v>11.700000000000003</v>
      </c>
      <c r="N120" s="4">
        <v>1.675</v>
      </c>
      <c r="O12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0"/>
    </row>
    <row r="121" spans="1:20" hidden="1" x14ac:dyDescent="0.35">
      <c r="A121" s="3" t="s">
        <v>383</v>
      </c>
      <c r="B121" s="4">
        <v>0</v>
      </c>
      <c r="C121" s="4">
        <v>0</v>
      </c>
      <c r="D121" s="4">
        <v>0</v>
      </c>
      <c r="E121" s="4">
        <v>0</v>
      </c>
      <c r="F121" s="4">
        <v>0</v>
      </c>
      <c r="G121" s="2">
        <v>0</v>
      </c>
      <c r="H121" s="4">
        <v>0</v>
      </c>
      <c r="I121" s="4">
        <v>0</v>
      </c>
      <c r="J121" s="3" t="s">
        <v>270</v>
      </c>
      <c r="K121" s="22">
        <v>0</v>
      </c>
      <c r="L121" s="17"/>
      <c r="M121" s="54"/>
      <c r="N121" s="4"/>
      <c r="O12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21"/>
    </row>
    <row r="122" spans="1:20" hidden="1" x14ac:dyDescent="0.35">
      <c r="A122" s="3" t="s">
        <v>131</v>
      </c>
      <c r="B122" s="4">
        <v>292</v>
      </c>
      <c r="C122" s="4">
        <v>10</v>
      </c>
      <c r="D122" s="4">
        <v>0</v>
      </c>
      <c r="E122" s="4">
        <v>0</v>
      </c>
      <c r="F122" s="4">
        <v>37.1</v>
      </c>
      <c r="G122" s="2">
        <v>31</v>
      </c>
      <c r="H122" s="4">
        <v>244.9</v>
      </c>
      <c r="I122" s="4">
        <v>244.9</v>
      </c>
      <c r="J122" s="3" t="s">
        <v>271</v>
      </c>
      <c r="K122" s="22">
        <v>20</v>
      </c>
      <c r="L122" s="17">
        <v>0</v>
      </c>
      <c r="M122" s="54">
        <v>234.9</v>
      </c>
      <c r="N122" s="4">
        <v>56.225000000000001</v>
      </c>
      <c r="O12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2"/>
    </row>
    <row r="123" spans="1:20" hidden="1" x14ac:dyDescent="0.35">
      <c r="A123" s="3" t="s">
        <v>130</v>
      </c>
      <c r="B123" s="4">
        <v>686</v>
      </c>
      <c r="C123" s="4">
        <v>7</v>
      </c>
      <c r="D123" s="4">
        <v>34.299999999999997</v>
      </c>
      <c r="E123" s="4">
        <v>0</v>
      </c>
      <c r="F123" s="4">
        <v>114.51</v>
      </c>
      <c r="G123" s="2">
        <v>121</v>
      </c>
      <c r="H123" s="4">
        <v>530.19000000000005</v>
      </c>
      <c r="I123" s="4">
        <v>530.19000000000005</v>
      </c>
      <c r="J123" s="3" t="s">
        <v>271</v>
      </c>
      <c r="K123" s="22">
        <v>40</v>
      </c>
      <c r="L123" s="17">
        <v>0</v>
      </c>
      <c r="M123" s="54">
        <v>497.19000000000005</v>
      </c>
      <c r="N123" s="4">
        <v>122.5475</v>
      </c>
      <c r="O12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3"/>
    </row>
    <row r="124" spans="1:20" hidden="1" x14ac:dyDescent="0.35">
      <c r="A124" s="3" t="s">
        <v>133</v>
      </c>
      <c r="B124" s="4">
        <v>2034</v>
      </c>
      <c r="C124" s="4">
        <v>10</v>
      </c>
      <c r="D124" s="4">
        <v>2235.85</v>
      </c>
      <c r="E124" s="4">
        <v>0</v>
      </c>
      <c r="F124" s="4">
        <v>327.89</v>
      </c>
      <c r="G124" s="2">
        <v>82</v>
      </c>
      <c r="H124" s="4">
        <v>-539.74</v>
      </c>
      <c r="I124" s="4">
        <v>-539.74</v>
      </c>
      <c r="J124" s="3" t="s">
        <v>271</v>
      </c>
      <c r="K124" s="22">
        <v>50</v>
      </c>
      <c r="L124" s="17">
        <v>0</v>
      </c>
      <c r="M124" s="54">
        <v>-579.7399999999999</v>
      </c>
      <c r="N124" s="4">
        <v>-147.435</v>
      </c>
      <c r="O12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4"/>
    </row>
    <row r="125" spans="1:20" hidden="1" x14ac:dyDescent="0.35">
      <c r="A125" s="3" t="s">
        <v>304</v>
      </c>
      <c r="B125" s="4">
        <v>0</v>
      </c>
      <c r="C125" s="4">
        <v>0</v>
      </c>
      <c r="D125" s="4">
        <v>0</v>
      </c>
      <c r="E125" s="4">
        <v>0</v>
      </c>
      <c r="F125" s="4">
        <v>0</v>
      </c>
      <c r="G125" s="2">
        <v>0</v>
      </c>
      <c r="H125" s="4">
        <v>0</v>
      </c>
      <c r="I125" s="4">
        <v>0</v>
      </c>
      <c r="J125" s="3" t="s">
        <v>271</v>
      </c>
      <c r="K125" s="22">
        <v>0</v>
      </c>
      <c r="L125" s="17">
        <v>0</v>
      </c>
      <c r="M125" s="54">
        <v>0</v>
      </c>
      <c r="N125" s="4">
        <v>0</v>
      </c>
      <c r="O12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5"/>
    </row>
    <row r="126" spans="1:20" hidden="1" x14ac:dyDescent="0.35">
      <c r="A126" s="3" t="s">
        <v>132</v>
      </c>
      <c r="B126" s="4">
        <v>4</v>
      </c>
      <c r="C126" s="4">
        <v>0</v>
      </c>
      <c r="D126" s="4">
        <v>0</v>
      </c>
      <c r="E126" s="4">
        <v>0</v>
      </c>
      <c r="F126" s="4">
        <v>0.38</v>
      </c>
      <c r="G126" s="2">
        <v>2</v>
      </c>
      <c r="H126" s="4">
        <v>3.62</v>
      </c>
      <c r="I126" s="4">
        <v>3.62</v>
      </c>
      <c r="J126" s="3" t="s">
        <v>271</v>
      </c>
      <c r="K126" s="22">
        <v>0</v>
      </c>
      <c r="L126" s="17">
        <v>0</v>
      </c>
      <c r="M126" s="54">
        <v>3.62</v>
      </c>
      <c r="N126" s="4">
        <v>0.90500000000000003</v>
      </c>
      <c r="O12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6"/>
    </row>
    <row r="127" spans="1:20" hidden="1" x14ac:dyDescent="0.35">
      <c r="A127" s="3" t="s">
        <v>303</v>
      </c>
      <c r="B127" s="4">
        <v>121.7</v>
      </c>
      <c r="C127" s="4">
        <v>0</v>
      </c>
      <c r="D127" s="4">
        <v>82.7</v>
      </c>
      <c r="E127" s="4">
        <v>0</v>
      </c>
      <c r="F127" s="4">
        <v>21.04</v>
      </c>
      <c r="G127" s="2">
        <v>20</v>
      </c>
      <c r="H127" s="4">
        <v>17.96</v>
      </c>
      <c r="I127" s="4">
        <v>17.96</v>
      </c>
      <c r="J127" s="3" t="s">
        <v>271</v>
      </c>
      <c r="K127" s="22">
        <v>0</v>
      </c>
      <c r="L127" s="17">
        <v>0</v>
      </c>
      <c r="M127" s="54">
        <v>17.96</v>
      </c>
      <c r="N127" s="4">
        <v>4.49</v>
      </c>
      <c r="O12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27"/>
    </row>
    <row r="128" spans="1:20" hidden="1" x14ac:dyDescent="0.35">
      <c r="A128" s="3" t="s">
        <v>135</v>
      </c>
      <c r="B128" s="4">
        <v>455</v>
      </c>
      <c r="C128" s="4">
        <v>0</v>
      </c>
      <c r="D128" s="4">
        <v>97.2</v>
      </c>
      <c r="E128" s="4">
        <v>0</v>
      </c>
      <c r="F128" s="4">
        <v>86.8</v>
      </c>
      <c r="G128" s="2">
        <v>31</v>
      </c>
      <c r="H128" s="4">
        <v>271</v>
      </c>
      <c r="I128" s="4">
        <v>271</v>
      </c>
      <c r="J128" s="3" t="s">
        <v>272</v>
      </c>
      <c r="K128" s="22">
        <v>30</v>
      </c>
      <c r="L128" s="17">
        <v>24.1</v>
      </c>
      <c r="M128" s="54">
        <v>216.9</v>
      </c>
      <c r="N128" s="4">
        <v>43.38</v>
      </c>
      <c r="O12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216.9</v>
      </c>
      <c r="T128"/>
    </row>
    <row r="129" spans="1:20" hidden="1" x14ac:dyDescent="0.35">
      <c r="A129" s="3" t="s">
        <v>137</v>
      </c>
      <c r="B129" s="4">
        <v>79</v>
      </c>
      <c r="C129" s="4">
        <v>0</v>
      </c>
      <c r="D129" s="4">
        <v>0</v>
      </c>
      <c r="E129" s="4">
        <v>0</v>
      </c>
      <c r="F129" s="4">
        <v>12.43</v>
      </c>
      <c r="G129" s="2">
        <v>20</v>
      </c>
      <c r="H129" s="4">
        <v>66.569999999999993</v>
      </c>
      <c r="I129" s="4">
        <v>66.569999999999993</v>
      </c>
      <c r="J129" s="3" t="s">
        <v>272</v>
      </c>
      <c r="K129" s="22">
        <v>0</v>
      </c>
      <c r="L129" s="17">
        <v>6.657</v>
      </c>
      <c r="M129" s="54">
        <v>59.912999999999997</v>
      </c>
      <c r="N129" s="4">
        <v>11.9826</v>
      </c>
      <c r="O12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59.912999999999997</v>
      </c>
      <c r="T129"/>
    </row>
    <row r="130" spans="1:20" hidden="1" x14ac:dyDescent="0.35">
      <c r="A130" s="3" t="s">
        <v>136</v>
      </c>
      <c r="B130" s="4">
        <v>190.5</v>
      </c>
      <c r="C130" s="4">
        <v>26</v>
      </c>
      <c r="D130" s="4">
        <v>0</v>
      </c>
      <c r="E130" s="4">
        <v>0</v>
      </c>
      <c r="F130" s="4">
        <v>29.27</v>
      </c>
      <c r="G130" s="2">
        <v>25</v>
      </c>
      <c r="H130" s="4">
        <v>135.22999999999999</v>
      </c>
      <c r="I130" s="4">
        <v>135.22999999999999</v>
      </c>
      <c r="J130" s="3" t="s">
        <v>272</v>
      </c>
      <c r="K130" s="22">
        <v>10</v>
      </c>
      <c r="L130" s="17">
        <v>15.122999999999999</v>
      </c>
      <c r="M130" s="54">
        <v>136.107</v>
      </c>
      <c r="N130" s="4">
        <v>22.0214</v>
      </c>
      <c r="O13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136.107</v>
      </c>
      <c r="T130"/>
    </row>
    <row r="131" spans="1:20" hidden="1" x14ac:dyDescent="0.35">
      <c r="A131" s="3" t="s">
        <v>134</v>
      </c>
      <c r="B131" s="4">
        <v>439</v>
      </c>
      <c r="C131" s="4">
        <v>0</v>
      </c>
      <c r="D131" s="4">
        <v>0</v>
      </c>
      <c r="E131" s="4">
        <v>0</v>
      </c>
      <c r="F131" s="4">
        <v>69</v>
      </c>
      <c r="G131" s="2">
        <v>20</v>
      </c>
      <c r="H131" s="4">
        <v>370</v>
      </c>
      <c r="I131" s="4">
        <v>370</v>
      </c>
      <c r="J131" s="3" t="s">
        <v>272</v>
      </c>
      <c r="K131" s="22">
        <v>30</v>
      </c>
      <c r="L131" s="17">
        <v>34</v>
      </c>
      <c r="M131" s="54">
        <v>306</v>
      </c>
      <c r="N131" s="4">
        <v>61.2</v>
      </c>
      <c r="O13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306</v>
      </c>
      <c r="T131"/>
    </row>
    <row r="132" spans="1:20" hidden="1" x14ac:dyDescent="0.35">
      <c r="A132" s="3" t="s">
        <v>140</v>
      </c>
      <c r="B132" s="4">
        <v>20</v>
      </c>
      <c r="C132" s="4">
        <v>0</v>
      </c>
      <c r="D132" s="4">
        <v>0</v>
      </c>
      <c r="E132" s="4">
        <v>0</v>
      </c>
      <c r="F132" s="4">
        <v>3.22</v>
      </c>
      <c r="G132" s="2">
        <v>7</v>
      </c>
      <c r="H132" s="4">
        <v>16.78</v>
      </c>
      <c r="I132" s="4">
        <v>16.78</v>
      </c>
      <c r="J132" s="3" t="s">
        <v>272</v>
      </c>
      <c r="K132" s="22">
        <v>0</v>
      </c>
      <c r="L132" s="17">
        <v>1.6780000000000002</v>
      </c>
      <c r="M132" s="54">
        <v>15.102000000000002</v>
      </c>
      <c r="N132" s="4">
        <v>3.0204</v>
      </c>
      <c r="O13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15.102000000000002</v>
      </c>
      <c r="T132"/>
    </row>
    <row r="133" spans="1:20" hidden="1" x14ac:dyDescent="0.35">
      <c r="A133" s="3" t="s">
        <v>141</v>
      </c>
      <c r="B133" s="4">
        <v>759</v>
      </c>
      <c r="C133" s="4">
        <v>35</v>
      </c>
      <c r="D133" s="4">
        <v>1077.5</v>
      </c>
      <c r="E133" s="4">
        <v>0</v>
      </c>
      <c r="F133" s="4">
        <v>98.51</v>
      </c>
      <c r="G133" s="2">
        <v>55</v>
      </c>
      <c r="H133" s="4">
        <v>-452.01</v>
      </c>
      <c r="I133" s="4">
        <v>-452.01</v>
      </c>
      <c r="J133" s="3" t="s">
        <v>272</v>
      </c>
      <c r="K133" s="22">
        <v>40</v>
      </c>
      <c r="L133" s="17">
        <v>0</v>
      </c>
      <c r="M133" s="54">
        <v>-411.30900000000003</v>
      </c>
      <c r="N133" s="4">
        <v>-98.402000000000001</v>
      </c>
      <c r="O13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3"/>
    </row>
    <row r="134" spans="1:20" hidden="1" x14ac:dyDescent="0.35">
      <c r="A134" s="3" t="s">
        <v>138</v>
      </c>
      <c r="B134" s="4">
        <v>2274.5</v>
      </c>
      <c r="C134" s="4">
        <v>126</v>
      </c>
      <c r="D134" s="4">
        <v>2221.0700000000002</v>
      </c>
      <c r="E134" s="4">
        <v>400</v>
      </c>
      <c r="F134" s="4">
        <v>263.01</v>
      </c>
      <c r="G134" s="2">
        <v>164</v>
      </c>
      <c r="H134" s="4">
        <v>64.42</v>
      </c>
      <c r="I134" s="4">
        <v>-335.58</v>
      </c>
      <c r="J134" s="3" t="s">
        <v>272</v>
      </c>
      <c r="K134" s="22">
        <v>50</v>
      </c>
      <c r="L134" s="17">
        <v>0</v>
      </c>
      <c r="M134" s="54">
        <v>166.37799999999984</v>
      </c>
      <c r="N134" s="4">
        <v>-77.116</v>
      </c>
      <c r="O13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4"/>
    </row>
    <row r="135" spans="1:20" hidden="1" x14ac:dyDescent="0.35">
      <c r="A135" s="3" t="s">
        <v>139</v>
      </c>
      <c r="B135" s="4">
        <v>105</v>
      </c>
      <c r="C135" s="4">
        <v>50</v>
      </c>
      <c r="D135" s="4">
        <v>0</v>
      </c>
      <c r="E135" s="4">
        <v>0</v>
      </c>
      <c r="F135" s="4">
        <v>10.25</v>
      </c>
      <c r="G135" s="2">
        <v>4</v>
      </c>
      <c r="H135" s="4">
        <v>44.75</v>
      </c>
      <c r="I135" s="4">
        <v>44.75</v>
      </c>
      <c r="J135" s="3" t="s">
        <v>272</v>
      </c>
      <c r="K135" s="22">
        <v>0</v>
      </c>
      <c r="L135" s="17">
        <v>9.4749999999999996</v>
      </c>
      <c r="M135" s="54">
        <v>85.275000000000006</v>
      </c>
      <c r="N135" s="4">
        <v>7.0549999999999997</v>
      </c>
      <c r="O13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85.275000000000006</v>
      </c>
      <c r="T135"/>
    </row>
    <row r="136" spans="1:20" hidden="1" x14ac:dyDescent="0.35">
      <c r="A136" s="3" t="s">
        <v>142</v>
      </c>
      <c r="B136" s="4">
        <v>58</v>
      </c>
      <c r="C136" s="4">
        <v>0</v>
      </c>
      <c r="D136" s="4">
        <v>0</v>
      </c>
      <c r="E136" s="4">
        <v>0</v>
      </c>
      <c r="F136" s="4">
        <v>10.64</v>
      </c>
      <c r="G136" s="2">
        <v>22</v>
      </c>
      <c r="H136" s="4">
        <v>47.36</v>
      </c>
      <c r="I136" s="4">
        <v>47.36</v>
      </c>
      <c r="J136" s="3" t="s">
        <v>273</v>
      </c>
      <c r="K136" s="22">
        <v>0</v>
      </c>
      <c r="L136" s="17">
        <v>0</v>
      </c>
      <c r="M136" s="54">
        <v>47.36</v>
      </c>
      <c r="N136" s="4">
        <v>11.84</v>
      </c>
      <c r="O13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6"/>
    </row>
    <row r="137" spans="1:20" hidden="1" x14ac:dyDescent="0.35">
      <c r="A137" s="3" t="s">
        <v>143</v>
      </c>
      <c r="B137" s="4">
        <v>9</v>
      </c>
      <c r="C137" s="4">
        <v>0</v>
      </c>
      <c r="D137" s="4">
        <v>0</v>
      </c>
      <c r="E137" s="4">
        <v>0</v>
      </c>
      <c r="F137" s="4">
        <v>1.56</v>
      </c>
      <c r="G137" s="2">
        <v>3</v>
      </c>
      <c r="H137" s="4">
        <v>7.44</v>
      </c>
      <c r="I137" s="4">
        <v>7.44</v>
      </c>
      <c r="J137" s="3" t="s">
        <v>273</v>
      </c>
      <c r="K137" s="22">
        <v>0</v>
      </c>
      <c r="L137" s="17">
        <v>0</v>
      </c>
      <c r="M137" s="54">
        <v>7.4399999999999995</v>
      </c>
      <c r="N137" s="4">
        <v>1.86</v>
      </c>
      <c r="O13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7"/>
    </row>
    <row r="138" spans="1:20" hidden="1" x14ac:dyDescent="0.35">
      <c r="A138" s="3" t="s">
        <v>144</v>
      </c>
      <c r="B138" s="4">
        <v>72</v>
      </c>
      <c r="C138" s="4">
        <v>0</v>
      </c>
      <c r="D138" s="4">
        <v>62.15</v>
      </c>
      <c r="E138" s="4">
        <v>0</v>
      </c>
      <c r="F138" s="4">
        <v>9.5299999999999994</v>
      </c>
      <c r="G138" s="2">
        <v>16</v>
      </c>
      <c r="H138" s="4">
        <v>0.32</v>
      </c>
      <c r="I138" s="4">
        <v>0.32</v>
      </c>
      <c r="J138" s="3" t="s">
        <v>273</v>
      </c>
      <c r="K138" s="22">
        <v>0</v>
      </c>
      <c r="L138" s="17">
        <v>0</v>
      </c>
      <c r="M138" s="54">
        <v>0.32000000000000206</v>
      </c>
      <c r="N138" s="4">
        <v>0.08</v>
      </c>
      <c r="O13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8"/>
    </row>
    <row r="139" spans="1:20" hidden="1" x14ac:dyDescent="0.35">
      <c r="A139" s="3" t="s">
        <v>145</v>
      </c>
      <c r="B139" s="4">
        <v>400</v>
      </c>
      <c r="C139" s="4">
        <v>35</v>
      </c>
      <c r="D139" s="4">
        <v>371.2</v>
      </c>
      <c r="E139" s="4">
        <v>0</v>
      </c>
      <c r="F139" s="4">
        <v>45.84</v>
      </c>
      <c r="G139" s="2">
        <v>21</v>
      </c>
      <c r="H139" s="4">
        <v>-52.04</v>
      </c>
      <c r="I139" s="4">
        <v>-52.04</v>
      </c>
      <c r="J139" s="3" t="s">
        <v>273</v>
      </c>
      <c r="K139" s="22">
        <v>20</v>
      </c>
      <c r="L139" s="17">
        <v>0</v>
      </c>
      <c r="M139" s="54">
        <v>-37.039999999999992</v>
      </c>
      <c r="N139" s="4">
        <v>-18.010000000000002</v>
      </c>
      <c r="O13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39"/>
    </row>
    <row r="140" spans="1:20" hidden="1" x14ac:dyDescent="0.35">
      <c r="A140" s="3" t="s">
        <v>153</v>
      </c>
      <c r="B140" s="4">
        <v>0</v>
      </c>
      <c r="C140" s="4">
        <v>0</v>
      </c>
      <c r="D140" s="4">
        <v>0</v>
      </c>
      <c r="E140" s="4">
        <v>0</v>
      </c>
      <c r="F140" s="4">
        <v>0</v>
      </c>
      <c r="G140" s="2">
        <v>0</v>
      </c>
      <c r="H140" s="4">
        <v>0</v>
      </c>
      <c r="I140" s="4">
        <v>0</v>
      </c>
      <c r="J140" s="3" t="s">
        <v>274</v>
      </c>
      <c r="K140" s="22">
        <v>0</v>
      </c>
      <c r="L140" s="17">
        <v>0</v>
      </c>
      <c r="M140" s="54">
        <v>0</v>
      </c>
      <c r="N140" s="4">
        <v>0</v>
      </c>
      <c r="O14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40"/>
    </row>
    <row r="141" spans="1:20" hidden="1" x14ac:dyDescent="0.35">
      <c r="A141" s="3" t="s">
        <v>152</v>
      </c>
      <c r="B141" s="4">
        <v>70</v>
      </c>
      <c r="C141" s="4">
        <v>0</v>
      </c>
      <c r="D141" s="4">
        <v>0</v>
      </c>
      <c r="E141" s="4">
        <v>0</v>
      </c>
      <c r="F141" s="4">
        <v>13.4</v>
      </c>
      <c r="G141" s="2">
        <v>5</v>
      </c>
      <c r="H141" s="4">
        <v>56.6</v>
      </c>
      <c r="I141" s="4">
        <v>56.6</v>
      </c>
      <c r="J141" s="3" t="s">
        <v>274</v>
      </c>
      <c r="K141" s="22">
        <v>0</v>
      </c>
      <c r="L141" s="17">
        <v>5.66</v>
      </c>
      <c r="M141" s="54">
        <v>50.940000000000005</v>
      </c>
      <c r="N141" s="4">
        <v>12.734999999999999</v>
      </c>
      <c r="O14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50.940000000000005</v>
      </c>
      <c r="T141"/>
    </row>
    <row r="142" spans="1:20" hidden="1" x14ac:dyDescent="0.35">
      <c r="A142" s="3" t="s">
        <v>154</v>
      </c>
      <c r="B142" s="4">
        <v>0</v>
      </c>
      <c r="C142" s="4">
        <v>0</v>
      </c>
      <c r="D142" s="4">
        <v>0</v>
      </c>
      <c r="E142" s="4">
        <v>0</v>
      </c>
      <c r="F142" s="4">
        <v>0</v>
      </c>
      <c r="G142" s="2">
        <v>0</v>
      </c>
      <c r="H142" s="4">
        <v>0</v>
      </c>
      <c r="I142" s="4">
        <v>0</v>
      </c>
      <c r="J142" s="3" t="s">
        <v>274</v>
      </c>
      <c r="K142" s="22">
        <v>0</v>
      </c>
      <c r="L142" s="17">
        <v>0</v>
      </c>
      <c r="M142" s="54">
        <v>0</v>
      </c>
      <c r="N142" s="4">
        <v>0</v>
      </c>
      <c r="O14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42"/>
    </row>
    <row r="143" spans="1:20" hidden="1" x14ac:dyDescent="0.35">
      <c r="A143" s="3" t="s">
        <v>149</v>
      </c>
      <c r="B143" s="4">
        <v>899</v>
      </c>
      <c r="C143" s="4">
        <v>27</v>
      </c>
      <c r="D143" s="4">
        <v>449</v>
      </c>
      <c r="E143" s="4">
        <v>0</v>
      </c>
      <c r="F143" s="4">
        <v>127.66</v>
      </c>
      <c r="G143" s="2">
        <v>49</v>
      </c>
      <c r="H143" s="4">
        <v>295.33999999999997</v>
      </c>
      <c r="I143" s="4">
        <v>295.33999999999997</v>
      </c>
      <c r="J143" s="3" t="s">
        <v>274</v>
      </c>
      <c r="K143" s="22">
        <v>0</v>
      </c>
      <c r="L143" s="17">
        <v>32.234000000000002</v>
      </c>
      <c r="M143" s="54">
        <v>290.10600000000005</v>
      </c>
      <c r="N143" s="4">
        <v>65.776499999999999</v>
      </c>
      <c r="O14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290.10600000000005</v>
      </c>
      <c r="T143"/>
    </row>
    <row r="144" spans="1:20" hidden="1" x14ac:dyDescent="0.35">
      <c r="A144" s="3" t="s">
        <v>150</v>
      </c>
      <c r="B144" s="4">
        <v>215</v>
      </c>
      <c r="C144" s="4">
        <v>0</v>
      </c>
      <c r="D144" s="4">
        <v>0</v>
      </c>
      <c r="E144" s="4">
        <v>0</v>
      </c>
      <c r="F144" s="4">
        <v>38.729999999999997</v>
      </c>
      <c r="G144" s="2">
        <v>34</v>
      </c>
      <c r="H144" s="4">
        <v>176.27</v>
      </c>
      <c r="I144" s="4">
        <v>176.27</v>
      </c>
      <c r="J144" s="3" t="s">
        <v>274</v>
      </c>
      <c r="K144" s="22">
        <v>0</v>
      </c>
      <c r="L144" s="17">
        <v>17.627000000000002</v>
      </c>
      <c r="M144" s="54">
        <v>158.643</v>
      </c>
      <c r="N144" s="4">
        <v>39.66075</v>
      </c>
      <c r="O14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158.643</v>
      </c>
      <c r="T144"/>
    </row>
    <row r="145" spans="1:20" hidden="1" x14ac:dyDescent="0.35">
      <c r="A145" s="3" t="s">
        <v>151</v>
      </c>
      <c r="B145" s="4">
        <v>1123</v>
      </c>
      <c r="C145" s="4">
        <v>30</v>
      </c>
      <c r="D145" s="4">
        <v>850</v>
      </c>
      <c r="E145" s="4">
        <v>0</v>
      </c>
      <c r="F145" s="4">
        <v>112.3</v>
      </c>
      <c r="G145" s="2">
        <v>37</v>
      </c>
      <c r="H145" s="4">
        <v>130.69999999999999</v>
      </c>
      <c r="I145" s="4">
        <v>130.69999999999999</v>
      </c>
      <c r="J145" s="3" t="s">
        <v>274</v>
      </c>
      <c r="K145" s="22">
        <v>0</v>
      </c>
      <c r="L145" s="17">
        <v>16.07</v>
      </c>
      <c r="M145" s="54">
        <v>144.63</v>
      </c>
      <c r="N145" s="4">
        <v>28.657499999999999</v>
      </c>
      <c r="O14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144.63</v>
      </c>
      <c r="T145"/>
    </row>
    <row r="146" spans="1:20" hidden="1" x14ac:dyDescent="0.35">
      <c r="A146" s="3" t="s">
        <v>146</v>
      </c>
      <c r="B146" s="4">
        <v>924.6</v>
      </c>
      <c r="C146" s="4">
        <v>110</v>
      </c>
      <c r="D146" s="4">
        <v>0</v>
      </c>
      <c r="E146" s="4">
        <v>0</v>
      </c>
      <c r="F146" s="4">
        <v>154.96</v>
      </c>
      <c r="G146" s="2">
        <v>107</v>
      </c>
      <c r="H146" s="4">
        <v>659.64</v>
      </c>
      <c r="I146" s="4">
        <v>659.64</v>
      </c>
      <c r="J146" s="3" t="s">
        <v>274</v>
      </c>
      <c r="K146" s="22">
        <v>0</v>
      </c>
      <c r="L146" s="17">
        <v>76.963999999999999</v>
      </c>
      <c r="M146" s="54">
        <v>692.67600000000004</v>
      </c>
      <c r="N146" s="4">
        <v>145.66900000000001</v>
      </c>
      <c r="O14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692.67600000000004</v>
      </c>
      <c r="T146"/>
    </row>
    <row r="147" spans="1:20" hidden="1" x14ac:dyDescent="0.35">
      <c r="A147" s="3" t="s">
        <v>147</v>
      </c>
      <c r="B147" s="4">
        <v>1797</v>
      </c>
      <c r="C147" s="4">
        <v>120</v>
      </c>
      <c r="D147" s="4">
        <v>978.8</v>
      </c>
      <c r="E147" s="4">
        <v>0</v>
      </c>
      <c r="F147" s="4">
        <v>161.18</v>
      </c>
      <c r="G147" s="2">
        <v>27</v>
      </c>
      <c r="H147" s="4">
        <v>537.02</v>
      </c>
      <c r="I147" s="4">
        <v>537.02</v>
      </c>
      <c r="J147" s="3" t="s">
        <v>274</v>
      </c>
      <c r="K147" s="22">
        <v>0</v>
      </c>
      <c r="L147" s="17">
        <v>65.701999999999998</v>
      </c>
      <c r="M147" s="54">
        <v>591.31799999999998</v>
      </c>
      <c r="N147" s="4">
        <v>117.8295</v>
      </c>
      <c r="O14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591.31799999999998</v>
      </c>
      <c r="T147"/>
    </row>
    <row r="148" spans="1:20" hidden="1" x14ac:dyDescent="0.35">
      <c r="A148" s="3" t="s">
        <v>148</v>
      </c>
      <c r="B148" s="4">
        <v>535</v>
      </c>
      <c r="C148" s="4">
        <v>0</v>
      </c>
      <c r="D148" s="4">
        <v>0</v>
      </c>
      <c r="E148" s="4">
        <v>0</v>
      </c>
      <c r="F148" s="4">
        <v>45.09</v>
      </c>
      <c r="G148" s="2">
        <v>21</v>
      </c>
      <c r="H148" s="4">
        <v>489.91</v>
      </c>
      <c r="I148" s="4">
        <v>489.91</v>
      </c>
      <c r="J148" s="3" t="s">
        <v>274</v>
      </c>
      <c r="K148" s="22">
        <v>0</v>
      </c>
      <c r="L148" s="17">
        <v>48.991</v>
      </c>
      <c r="M148" s="54">
        <v>440.91899999999998</v>
      </c>
      <c r="N148" s="4">
        <v>110.22975</v>
      </c>
      <c r="O14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440.91899999999998</v>
      </c>
      <c r="T148"/>
    </row>
    <row r="149" spans="1:20" hidden="1" x14ac:dyDescent="0.35">
      <c r="A149" s="3" t="s">
        <v>384</v>
      </c>
      <c r="B149" s="4">
        <v>0</v>
      </c>
      <c r="C149" s="4">
        <v>0</v>
      </c>
      <c r="D149" s="4">
        <v>0</v>
      </c>
      <c r="E149" s="4">
        <v>0</v>
      </c>
      <c r="F149" s="4">
        <v>0</v>
      </c>
      <c r="G149" s="2">
        <v>0</v>
      </c>
      <c r="H149" s="4">
        <v>0</v>
      </c>
      <c r="I149" s="4">
        <v>0</v>
      </c>
      <c r="J149" s="3" t="s">
        <v>274</v>
      </c>
      <c r="K149" s="22">
        <v>0</v>
      </c>
      <c r="L149" s="17"/>
      <c r="M149" s="54"/>
      <c r="N149" s="4"/>
      <c r="O149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49"/>
    </row>
    <row r="150" spans="1:20" hidden="1" x14ac:dyDescent="0.35">
      <c r="A150" s="3" t="s">
        <v>385</v>
      </c>
      <c r="B150" s="4">
        <v>0</v>
      </c>
      <c r="C150" s="4">
        <v>0</v>
      </c>
      <c r="D150" s="4">
        <v>0</v>
      </c>
      <c r="E150" s="4">
        <v>0</v>
      </c>
      <c r="F150" s="4">
        <v>0</v>
      </c>
      <c r="G150" s="2">
        <v>0</v>
      </c>
      <c r="H150" s="4">
        <v>0</v>
      </c>
      <c r="I150" s="4">
        <v>0</v>
      </c>
      <c r="J150" s="3" t="s">
        <v>274</v>
      </c>
      <c r="K150" s="22">
        <v>0</v>
      </c>
      <c r="L150" s="17"/>
      <c r="M150" s="54"/>
      <c r="N150" s="4"/>
      <c r="O15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50"/>
    </row>
    <row r="151" spans="1:20" hidden="1" x14ac:dyDescent="0.35">
      <c r="A151" s="3" t="s">
        <v>166</v>
      </c>
      <c r="B151" s="4">
        <v>30</v>
      </c>
      <c r="C151" s="4">
        <v>0</v>
      </c>
      <c r="D151" s="4">
        <v>0</v>
      </c>
      <c r="E151" s="4">
        <v>0</v>
      </c>
      <c r="F151" s="4">
        <v>6</v>
      </c>
      <c r="G151" s="2">
        <v>1</v>
      </c>
      <c r="H151" s="4">
        <v>24</v>
      </c>
      <c r="I151" s="4">
        <v>24</v>
      </c>
      <c r="J151" s="3" t="s">
        <v>275</v>
      </c>
      <c r="K151" s="22">
        <v>0</v>
      </c>
      <c r="L151" s="17">
        <v>2.4000000000000004</v>
      </c>
      <c r="M151" s="54">
        <v>21.6</v>
      </c>
      <c r="N151" s="4">
        <v>7.56</v>
      </c>
      <c r="O15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21.6</v>
      </c>
      <c r="T151"/>
    </row>
    <row r="152" spans="1:20" hidden="1" x14ac:dyDescent="0.35">
      <c r="A152" s="3" t="s">
        <v>165</v>
      </c>
      <c r="B152" s="4">
        <v>50</v>
      </c>
      <c r="C152" s="4">
        <v>0</v>
      </c>
      <c r="D152" s="4">
        <v>0</v>
      </c>
      <c r="E152" s="4">
        <v>0</v>
      </c>
      <c r="F152" s="4">
        <v>7</v>
      </c>
      <c r="G152" s="2">
        <v>3</v>
      </c>
      <c r="H152" s="4">
        <v>43</v>
      </c>
      <c r="I152" s="4">
        <v>43</v>
      </c>
      <c r="J152" s="3" t="s">
        <v>275</v>
      </c>
      <c r="K152" s="22">
        <v>0</v>
      </c>
      <c r="L152" s="17">
        <v>4.3</v>
      </c>
      <c r="M152" s="54">
        <v>38.700000000000003</v>
      </c>
      <c r="N152" s="4">
        <v>13.545</v>
      </c>
      <c r="O15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38.700000000000003</v>
      </c>
      <c r="T152"/>
    </row>
    <row r="153" spans="1:20" hidden="1" x14ac:dyDescent="0.35">
      <c r="A153" s="3" t="s">
        <v>164</v>
      </c>
      <c r="B153" s="4">
        <v>241</v>
      </c>
      <c r="C153" s="4">
        <v>11</v>
      </c>
      <c r="D153" s="4">
        <v>309.27999999999997</v>
      </c>
      <c r="E153" s="4">
        <v>178</v>
      </c>
      <c r="F153" s="4">
        <v>31.1</v>
      </c>
      <c r="G153" s="2">
        <v>37</v>
      </c>
      <c r="H153" s="4">
        <v>67.62</v>
      </c>
      <c r="I153" s="4">
        <v>-110.38</v>
      </c>
      <c r="J153" s="3" t="s">
        <v>275</v>
      </c>
      <c r="K153" s="22">
        <v>0</v>
      </c>
      <c r="L153" s="17">
        <v>0</v>
      </c>
      <c r="M153" s="54">
        <v>88.558000000000021</v>
      </c>
      <c r="N153" s="4">
        <v>-38.633000000000003</v>
      </c>
      <c r="O15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53"/>
    </row>
    <row r="154" spans="1:20" hidden="1" x14ac:dyDescent="0.35">
      <c r="A154" s="3" t="s">
        <v>168</v>
      </c>
      <c r="B154" s="4">
        <v>0</v>
      </c>
      <c r="C154" s="4">
        <v>0</v>
      </c>
      <c r="D154" s="4">
        <v>0</v>
      </c>
      <c r="E154" s="4">
        <v>0</v>
      </c>
      <c r="F154" s="4">
        <v>0</v>
      </c>
      <c r="G154" s="2">
        <v>0</v>
      </c>
      <c r="H154" s="4">
        <v>0</v>
      </c>
      <c r="I154" s="4">
        <v>0</v>
      </c>
      <c r="J154" s="3" t="s">
        <v>275</v>
      </c>
      <c r="K154" s="22">
        <v>0</v>
      </c>
      <c r="L154" s="17">
        <v>0</v>
      </c>
      <c r="M154" s="54">
        <v>0</v>
      </c>
      <c r="N154" s="4">
        <v>0</v>
      </c>
      <c r="O15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54"/>
    </row>
    <row r="155" spans="1:20" hidden="1" x14ac:dyDescent="0.35">
      <c r="A155" s="3" t="s">
        <v>157</v>
      </c>
      <c r="B155" s="4">
        <v>1310</v>
      </c>
      <c r="C155" s="4">
        <v>0</v>
      </c>
      <c r="D155" s="4">
        <v>302.5</v>
      </c>
      <c r="E155" s="4">
        <v>0</v>
      </c>
      <c r="F155" s="4">
        <v>114.5</v>
      </c>
      <c r="G155" s="2">
        <v>7</v>
      </c>
      <c r="H155" s="4">
        <v>893</v>
      </c>
      <c r="I155" s="4">
        <v>893</v>
      </c>
      <c r="J155" s="3" t="s">
        <v>275</v>
      </c>
      <c r="K155" s="22">
        <v>0</v>
      </c>
      <c r="L155" s="17">
        <v>89.300000000000011</v>
      </c>
      <c r="M155" s="54">
        <v>803.7</v>
      </c>
      <c r="N155" s="4">
        <v>281.29500000000002</v>
      </c>
      <c r="O15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803.7</v>
      </c>
      <c r="T155"/>
    </row>
    <row r="156" spans="1:20" hidden="1" x14ac:dyDescent="0.35">
      <c r="A156" s="3" t="s">
        <v>169</v>
      </c>
      <c r="B156" s="4">
        <v>0</v>
      </c>
      <c r="C156" s="4">
        <v>0</v>
      </c>
      <c r="D156" s="4">
        <v>0</v>
      </c>
      <c r="E156" s="4">
        <v>0</v>
      </c>
      <c r="F156" s="4">
        <v>0</v>
      </c>
      <c r="G156" s="2">
        <v>0</v>
      </c>
      <c r="H156" s="4">
        <v>0</v>
      </c>
      <c r="I156" s="4">
        <v>0</v>
      </c>
      <c r="J156" s="3" t="s">
        <v>275</v>
      </c>
      <c r="K156" s="22">
        <v>0</v>
      </c>
      <c r="L156" s="17">
        <v>0</v>
      </c>
      <c r="M156" s="54">
        <v>0</v>
      </c>
      <c r="N156" s="4">
        <v>0</v>
      </c>
      <c r="O15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56"/>
    </row>
    <row r="157" spans="1:20" hidden="1" x14ac:dyDescent="0.35">
      <c r="A157" s="3" t="s">
        <v>167</v>
      </c>
      <c r="B157" s="4">
        <v>0</v>
      </c>
      <c r="C157" s="4">
        <v>0</v>
      </c>
      <c r="D157" s="4">
        <v>0</v>
      </c>
      <c r="E157" s="4">
        <v>0</v>
      </c>
      <c r="F157" s="4">
        <v>0</v>
      </c>
      <c r="G157" s="2">
        <v>0</v>
      </c>
      <c r="H157" s="4">
        <v>0</v>
      </c>
      <c r="I157" s="4">
        <v>0</v>
      </c>
      <c r="J157" s="3" t="s">
        <v>275</v>
      </c>
      <c r="K157" s="22">
        <v>0</v>
      </c>
      <c r="L157" s="17">
        <v>0</v>
      </c>
      <c r="M157" s="54">
        <v>0</v>
      </c>
      <c r="N157" s="4">
        <v>0</v>
      </c>
      <c r="O15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57"/>
    </row>
    <row r="158" spans="1:20" hidden="1" x14ac:dyDescent="0.35">
      <c r="A158" s="3" t="s">
        <v>163</v>
      </c>
      <c r="B158" s="4">
        <v>173</v>
      </c>
      <c r="C158" s="4">
        <v>0</v>
      </c>
      <c r="D158" s="4">
        <v>62.92</v>
      </c>
      <c r="E158" s="4">
        <v>0</v>
      </c>
      <c r="F158" s="4">
        <v>32.17</v>
      </c>
      <c r="G158" s="2">
        <v>38</v>
      </c>
      <c r="H158" s="4">
        <v>77.91</v>
      </c>
      <c r="I158" s="4">
        <v>77.91</v>
      </c>
      <c r="J158" s="3" t="s">
        <v>275</v>
      </c>
      <c r="K158" s="22">
        <v>0</v>
      </c>
      <c r="L158" s="17">
        <v>7.7910000000000004</v>
      </c>
      <c r="M158" s="54">
        <v>70.119</v>
      </c>
      <c r="N158" s="4">
        <v>24.541650000000001</v>
      </c>
      <c r="O15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70.119</v>
      </c>
      <c r="T158"/>
    </row>
    <row r="159" spans="1:20" hidden="1" x14ac:dyDescent="0.35">
      <c r="A159" s="3" t="s">
        <v>155</v>
      </c>
      <c r="B159" s="4">
        <v>3375</v>
      </c>
      <c r="C159" s="4">
        <v>0</v>
      </c>
      <c r="D159" s="4">
        <v>0</v>
      </c>
      <c r="E159" s="4">
        <v>0</v>
      </c>
      <c r="F159" s="4">
        <v>506.25</v>
      </c>
      <c r="G159" s="2">
        <v>12</v>
      </c>
      <c r="H159" s="4">
        <v>2868.75</v>
      </c>
      <c r="I159" s="4">
        <v>2868.75</v>
      </c>
      <c r="J159" s="3" t="s">
        <v>275</v>
      </c>
      <c r="K159" s="22">
        <v>0</v>
      </c>
      <c r="L159" s="17">
        <v>286.875</v>
      </c>
      <c r="M159" s="54">
        <v>2581.875</v>
      </c>
      <c r="N159" s="4">
        <v>903.65625</v>
      </c>
      <c r="O15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2581.875</v>
      </c>
      <c r="T159"/>
    </row>
    <row r="160" spans="1:20" hidden="1" x14ac:dyDescent="0.35">
      <c r="A160" s="3" t="s">
        <v>156</v>
      </c>
      <c r="B160" s="4">
        <v>2272</v>
      </c>
      <c r="C160" s="4">
        <v>0</v>
      </c>
      <c r="D160" s="4">
        <v>0</v>
      </c>
      <c r="E160" s="4">
        <v>0</v>
      </c>
      <c r="F160" s="4">
        <v>382.2</v>
      </c>
      <c r="G160" s="2">
        <v>113</v>
      </c>
      <c r="H160" s="4">
        <v>1889.8</v>
      </c>
      <c r="I160" s="4">
        <v>1889.8</v>
      </c>
      <c r="J160" s="3" t="s">
        <v>275</v>
      </c>
      <c r="K160" s="22">
        <v>0</v>
      </c>
      <c r="L160" s="17">
        <v>188.98000000000002</v>
      </c>
      <c r="M160" s="54">
        <v>1700.82</v>
      </c>
      <c r="N160" s="4">
        <v>595.28700000000003</v>
      </c>
      <c r="O16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1700.82</v>
      </c>
      <c r="T160"/>
    </row>
    <row r="161" spans="1:20" hidden="1" x14ac:dyDescent="0.35">
      <c r="A161" s="3" t="s">
        <v>159</v>
      </c>
      <c r="B161" s="4">
        <v>135</v>
      </c>
      <c r="C161" s="4">
        <v>0</v>
      </c>
      <c r="D161" s="4">
        <v>0</v>
      </c>
      <c r="E161" s="4">
        <v>0</v>
      </c>
      <c r="F161" s="4">
        <v>25.8</v>
      </c>
      <c r="G161" s="2">
        <v>12</v>
      </c>
      <c r="H161" s="4">
        <v>109.2</v>
      </c>
      <c r="I161" s="4">
        <v>109.2</v>
      </c>
      <c r="J161" s="3" t="s">
        <v>275</v>
      </c>
      <c r="K161" s="22">
        <v>0</v>
      </c>
      <c r="L161" s="17">
        <v>10.920000000000002</v>
      </c>
      <c r="M161" s="54">
        <v>98.28</v>
      </c>
      <c r="N161" s="4">
        <v>34.398000000000003</v>
      </c>
      <c r="O16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98.28</v>
      </c>
      <c r="T161"/>
    </row>
    <row r="162" spans="1:20" hidden="1" x14ac:dyDescent="0.35">
      <c r="A162" s="3" t="s">
        <v>160</v>
      </c>
      <c r="B162" s="4">
        <v>115</v>
      </c>
      <c r="C162" s="4">
        <v>0</v>
      </c>
      <c r="D162" s="4">
        <v>0</v>
      </c>
      <c r="E162" s="4">
        <v>0</v>
      </c>
      <c r="F162" s="4">
        <v>20</v>
      </c>
      <c r="G162" s="2">
        <v>5</v>
      </c>
      <c r="H162" s="4">
        <v>95</v>
      </c>
      <c r="I162" s="4">
        <v>95</v>
      </c>
      <c r="J162" s="3" t="s">
        <v>275</v>
      </c>
      <c r="K162" s="22">
        <v>0</v>
      </c>
      <c r="L162" s="17">
        <v>9.5</v>
      </c>
      <c r="M162" s="54">
        <v>85.5</v>
      </c>
      <c r="N162" s="4">
        <v>29.925000000000001</v>
      </c>
      <c r="O16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85.5</v>
      </c>
      <c r="T162"/>
    </row>
    <row r="163" spans="1:20" hidden="1" x14ac:dyDescent="0.35">
      <c r="A163" s="3" t="s">
        <v>158</v>
      </c>
      <c r="B163" s="4">
        <v>590</v>
      </c>
      <c r="C163" s="4">
        <v>150</v>
      </c>
      <c r="D163" s="4">
        <v>239</v>
      </c>
      <c r="E163" s="4">
        <v>0</v>
      </c>
      <c r="F163" s="4">
        <v>47</v>
      </c>
      <c r="G163" s="2">
        <v>10</v>
      </c>
      <c r="H163" s="4">
        <v>154</v>
      </c>
      <c r="I163" s="4">
        <v>154</v>
      </c>
      <c r="J163" s="3" t="s">
        <v>275</v>
      </c>
      <c r="K163" s="22">
        <v>0</v>
      </c>
      <c r="L163" s="17">
        <v>30.400000000000002</v>
      </c>
      <c r="M163" s="54">
        <v>273.60000000000002</v>
      </c>
      <c r="N163" s="4">
        <v>43.26</v>
      </c>
      <c r="O16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273.60000000000002</v>
      </c>
      <c r="T163"/>
    </row>
    <row r="164" spans="1:20" hidden="1" x14ac:dyDescent="0.35">
      <c r="A164" s="3" t="s">
        <v>162</v>
      </c>
      <c r="B164" s="4">
        <v>88</v>
      </c>
      <c r="C164" s="4">
        <v>0</v>
      </c>
      <c r="D164" s="4">
        <v>0</v>
      </c>
      <c r="E164" s="4">
        <v>0</v>
      </c>
      <c r="F164" s="4">
        <v>8.99</v>
      </c>
      <c r="G164" s="2">
        <v>7</v>
      </c>
      <c r="H164" s="4">
        <v>79.010000000000005</v>
      </c>
      <c r="I164" s="4">
        <v>79.010000000000005</v>
      </c>
      <c r="J164" s="3" t="s">
        <v>275</v>
      </c>
      <c r="K164" s="22">
        <v>0</v>
      </c>
      <c r="L164" s="17">
        <v>7.9010000000000007</v>
      </c>
      <c r="M164" s="54">
        <v>71.109000000000009</v>
      </c>
      <c r="N164" s="4">
        <v>24.88815</v>
      </c>
      <c r="O16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71.109000000000009</v>
      </c>
      <c r="T164"/>
    </row>
    <row r="165" spans="1:20" hidden="1" x14ac:dyDescent="0.35">
      <c r="A165" s="3" t="s">
        <v>161</v>
      </c>
      <c r="B165" s="4">
        <v>104</v>
      </c>
      <c r="C165" s="4">
        <v>0</v>
      </c>
      <c r="D165" s="4">
        <v>0</v>
      </c>
      <c r="E165" s="4">
        <v>0</v>
      </c>
      <c r="F165" s="4">
        <v>20.56</v>
      </c>
      <c r="G165" s="2">
        <v>11</v>
      </c>
      <c r="H165" s="4">
        <v>83.44</v>
      </c>
      <c r="I165" s="4">
        <v>83.44</v>
      </c>
      <c r="J165" s="3" t="s">
        <v>275</v>
      </c>
      <c r="K165" s="22">
        <v>0</v>
      </c>
      <c r="L165" s="17">
        <v>8.3439999999999994</v>
      </c>
      <c r="M165" s="54">
        <v>75.096000000000004</v>
      </c>
      <c r="N165" s="4">
        <v>26.2836</v>
      </c>
      <c r="O16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75.096000000000004</v>
      </c>
      <c r="T165"/>
    </row>
    <row r="166" spans="1:20" hidden="1" x14ac:dyDescent="0.35">
      <c r="A166" s="3" t="s">
        <v>386</v>
      </c>
      <c r="B166" s="4">
        <v>0</v>
      </c>
      <c r="C166" s="4">
        <v>0</v>
      </c>
      <c r="D166" s="4">
        <v>0</v>
      </c>
      <c r="E166" s="4">
        <v>0</v>
      </c>
      <c r="F166" s="4">
        <v>0</v>
      </c>
      <c r="G166" s="2">
        <v>0</v>
      </c>
      <c r="H166" s="4">
        <v>0</v>
      </c>
      <c r="I166" s="4">
        <v>0</v>
      </c>
      <c r="J166" s="3" t="s">
        <v>275</v>
      </c>
      <c r="K166" s="22">
        <v>0</v>
      </c>
      <c r="L166" s="17"/>
      <c r="M166" s="54"/>
      <c r="N166" s="4"/>
      <c r="O166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66"/>
    </row>
    <row r="167" spans="1:20" hidden="1" x14ac:dyDescent="0.35">
      <c r="A167" s="3" t="s">
        <v>387</v>
      </c>
      <c r="B167" s="4">
        <v>0</v>
      </c>
      <c r="C167" s="4">
        <v>0</v>
      </c>
      <c r="D167" s="4">
        <v>0</v>
      </c>
      <c r="E167" s="4">
        <v>0</v>
      </c>
      <c r="F167" s="4">
        <v>0</v>
      </c>
      <c r="G167" s="2">
        <v>0</v>
      </c>
      <c r="H167" s="4">
        <v>0</v>
      </c>
      <c r="I167" s="4">
        <v>0</v>
      </c>
      <c r="J167" s="3" t="s">
        <v>275</v>
      </c>
      <c r="K167" s="22">
        <v>0</v>
      </c>
      <c r="L167" s="17"/>
      <c r="M167" s="54"/>
      <c r="N167" s="4"/>
      <c r="O167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67"/>
    </row>
    <row r="168" spans="1:20" hidden="1" x14ac:dyDescent="0.35">
      <c r="A168" s="3" t="s">
        <v>388</v>
      </c>
      <c r="B168" s="4">
        <v>0</v>
      </c>
      <c r="C168" s="4">
        <v>0</v>
      </c>
      <c r="D168" s="4">
        <v>0</v>
      </c>
      <c r="E168" s="4">
        <v>0</v>
      </c>
      <c r="F168" s="4">
        <v>0</v>
      </c>
      <c r="G168" s="2">
        <v>0</v>
      </c>
      <c r="H168" s="4">
        <v>0</v>
      </c>
      <c r="I168" s="4">
        <v>0</v>
      </c>
      <c r="J168" s="3" t="s">
        <v>275</v>
      </c>
      <c r="K168" s="22">
        <v>0</v>
      </c>
      <c r="L168" s="17"/>
      <c r="M168" s="54"/>
      <c r="N168" s="4"/>
      <c r="O168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68"/>
    </row>
    <row r="169" spans="1:20" hidden="1" x14ac:dyDescent="0.35">
      <c r="A169" s="3" t="s">
        <v>389</v>
      </c>
      <c r="B169" s="4">
        <v>0</v>
      </c>
      <c r="C169" s="4">
        <v>0</v>
      </c>
      <c r="D169" s="4">
        <v>0</v>
      </c>
      <c r="E169" s="4">
        <v>0</v>
      </c>
      <c r="F169" s="4">
        <v>0</v>
      </c>
      <c r="G169" s="2">
        <v>0</v>
      </c>
      <c r="H169" s="4">
        <v>0</v>
      </c>
      <c r="I169" s="4">
        <v>0</v>
      </c>
      <c r="J169" s="3" t="s">
        <v>275</v>
      </c>
      <c r="K169" s="22">
        <v>0</v>
      </c>
      <c r="L169" s="17"/>
      <c r="M169" s="54"/>
      <c r="N169" s="4"/>
      <c r="O169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69"/>
    </row>
    <row r="170" spans="1:20" hidden="1" x14ac:dyDescent="0.35">
      <c r="A170" s="3" t="s">
        <v>390</v>
      </c>
      <c r="B170" s="4">
        <v>0</v>
      </c>
      <c r="C170" s="4">
        <v>0</v>
      </c>
      <c r="D170" s="4">
        <v>0</v>
      </c>
      <c r="E170" s="4">
        <v>0</v>
      </c>
      <c r="F170" s="4">
        <v>0</v>
      </c>
      <c r="G170" s="2">
        <v>0</v>
      </c>
      <c r="H170" s="4">
        <v>0</v>
      </c>
      <c r="I170" s="4">
        <v>0</v>
      </c>
      <c r="J170" s="3" t="s">
        <v>275</v>
      </c>
      <c r="K170" s="22">
        <v>0</v>
      </c>
      <c r="L170" s="17"/>
      <c r="M170" s="54"/>
      <c r="N170" s="4"/>
      <c r="O17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70"/>
    </row>
    <row r="171" spans="1:20" hidden="1" x14ac:dyDescent="0.35">
      <c r="A171" s="3" t="s">
        <v>170</v>
      </c>
      <c r="B171" s="4">
        <v>40</v>
      </c>
      <c r="C171" s="4">
        <v>10</v>
      </c>
      <c r="D171" s="4">
        <v>0</v>
      </c>
      <c r="E171" s="4">
        <v>0</v>
      </c>
      <c r="F171" s="4">
        <v>4.0999999999999996</v>
      </c>
      <c r="G171" s="2">
        <v>7</v>
      </c>
      <c r="H171" s="4">
        <v>25.9</v>
      </c>
      <c r="I171" s="4">
        <v>25.9</v>
      </c>
      <c r="J171" s="3" t="s">
        <v>276</v>
      </c>
      <c r="K171" s="22">
        <v>0</v>
      </c>
      <c r="L171" s="17">
        <v>0</v>
      </c>
      <c r="M171" s="54">
        <v>35.9</v>
      </c>
      <c r="N171" s="4">
        <v>6.4749999999999996</v>
      </c>
      <c r="O17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1"/>
    </row>
    <row r="172" spans="1:20" hidden="1" x14ac:dyDescent="0.35">
      <c r="A172" s="3" t="s">
        <v>176</v>
      </c>
      <c r="B172" s="4">
        <v>686</v>
      </c>
      <c r="C172" s="4">
        <v>70</v>
      </c>
      <c r="D172" s="4">
        <v>1178.4000000000001</v>
      </c>
      <c r="E172" s="4">
        <v>0</v>
      </c>
      <c r="F172" s="4">
        <v>97.07</v>
      </c>
      <c r="G172" s="2">
        <v>27</v>
      </c>
      <c r="H172" s="4">
        <v>-659.47</v>
      </c>
      <c r="I172" s="4">
        <v>-659.47</v>
      </c>
      <c r="J172" s="3" t="s">
        <v>277</v>
      </c>
      <c r="K172" s="22">
        <v>40</v>
      </c>
      <c r="L172" s="17">
        <v>0</v>
      </c>
      <c r="M172" s="54">
        <v>-629.47</v>
      </c>
      <c r="N172" s="4">
        <v>-174.86750000000001</v>
      </c>
      <c r="O17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2"/>
    </row>
    <row r="173" spans="1:20" hidden="1" x14ac:dyDescent="0.35">
      <c r="A173" s="3" t="s">
        <v>305</v>
      </c>
      <c r="B173" s="4">
        <v>80</v>
      </c>
      <c r="C173" s="4">
        <v>0</v>
      </c>
      <c r="D173" s="4">
        <v>0</v>
      </c>
      <c r="E173" s="4">
        <v>0</v>
      </c>
      <c r="F173" s="4">
        <v>11.2</v>
      </c>
      <c r="G173" s="2">
        <v>1</v>
      </c>
      <c r="H173" s="4">
        <v>68.8</v>
      </c>
      <c r="I173" s="4">
        <v>68.8</v>
      </c>
      <c r="J173" s="3" t="s">
        <v>277</v>
      </c>
      <c r="K173" s="22">
        <v>0</v>
      </c>
      <c r="L173" s="17">
        <v>0</v>
      </c>
      <c r="M173" s="54">
        <v>68.8</v>
      </c>
      <c r="N173" s="4">
        <v>17.2</v>
      </c>
      <c r="O17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3"/>
    </row>
    <row r="174" spans="1:20" hidden="1" x14ac:dyDescent="0.35">
      <c r="A174" s="3" t="s">
        <v>174</v>
      </c>
      <c r="B174" s="4">
        <v>0</v>
      </c>
      <c r="C174" s="4">
        <v>0</v>
      </c>
      <c r="D174" s="4">
        <v>0</v>
      </c>
      <c r="E174" s="4">
        <v>0</v>
      </c>
      <c r="F174" s="4">
        <v>0</v>
      </c>
      <c r="G174" s="2">
        <v>0</v>
      </c>
      <c r="H174" s="4">
        <v>0</v>
      </c>
      <c r="I174" s="4">
        <v>0</v>
      </c>
      <c r="J174" s="3" t="s">
        <v>277</v>
      </c>
      <c r="K174" s="22">
        <v>0</v>
      </c>
      <c r="L174" s="17">
        <v>0</v>
      </c>
      <c r="M174" s="54">
        <v>0</v>
      </c>
      <c r="N174" s="4">
        <v>0</v>
      </c>
      <c r="O17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4"/>
    </row>
    <row r="175" spans="1:20" hidden="1" x14ac:dyDescent="0.35">
      <c r="A175" s="3" t="s">
        <v>173</v>
      </c>
      <c r="B175" s="4">
        <v>100</v>
      </c>
      <c r="C175" s="4">
        <v>0</v>
      </c>
      <c r="D175" s="4">
        <v>0</v>
      </c>
      <c r="E175" s="4">
        <v>0</v>
      </c>
      <c r="F175" s="4">
        <v>18.5</v>
      </c>
      <c r="G175" s="2">
        <v>5</v>
      </c>
      <c r="H175" s="4">
        <v>81.5</v>
      </c>
      <c r="I175" s="4">
        <v>81.5</v>
      </c>
      <c r="J175" s="3" t="s">
        <v>277</v>
      </c>
      <c r="K175" s="22">
        <v>0</v>
      </c>
      <c r="L175" s="17">
        <v>0</v>
      </c>
      <c r="M175" s="54">
        <v>81.5</v>
      </c>
      <c r="N175" s="4">
        <v>20.375</v>
      </c>
      <c r="O17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5"/>
    </row>
    <row r="176" spans="1:20" hidden="1" x14ac:dyDescent="0.35">
      <c r="A176" s="3" t="s">
        <v>175</v>
      </c>
      <c r="B176" s="4">
        <v>0</v>
      </c>
      <c r="C176" s="4">
        <v>0</v>
      </c>
      <c r="D176" s="4">
        <v>0</v>
      </c>
      <c r="E176" s="4">
        <v>0</v>
      </c>
      <c r="F176" s="4">
        <v>0</v>
      </c>
      <c r="G176" s="2">
        <v>0</v>
      </c>
      <c r="H176" s="4">
        <v>0</v>
      </c>
      <c r="I176" s="4">
        <v>0</v>
      </c>
      <c r="J176" s="3" t="s">
        <v>277</v>
      </c>
      <c r="K176" s="22">
        <v>0</v>
      </c>
      <c r="L176" s="17">
        <v>0</v>
      </c>
      <c r="M176" s="54">
        <v>0</v>
      </c>
      <c r="N176" s="4">
        <v>0</v>
      </c>
      <c r="O17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6"/>
    </row>
    <row r="177" spans="1:20" hidden="1" x14ac:dyDescent="0.35">
      <c r="A177" s="3" t="s">
        <v>171</v>
      </c>
      <c r="B177" s="4">
        <v>151</v>
      </c>
      <c r="C177" s="4">
        <v>2</v>
      </c>
      <c r="D177" s="4">
        <v>0</v>
      </c>
      <c r="E177" s="4">
        <v>0</v>
      </c>
      <c r="F177" s="4">
        <v>14.8</v>
      </c>
      <c r="G177" s="2">
        <v>9</v>
      </c>
      <c r="H177" s="4">
        <v>134.19999999999999</v>
      </c>
      <c r="I177" s="4">
        <v>134.19999999999999</v>
      </c>
      <c r="J177" s="3" t="s">
        <v>277</v>
      </c>
      <c r="K177" s="22">
        <v>10</v>
      </c>
      <c r="L177" s="17">
        <v>0</v>
      </c>
      <c r="M177" s="54">
        <v>126.19999999999999</v>
      </c>
      <c r="N177" s="4">
        <v>31.05</v>
      </c>
      <c r="O17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7"/>
    </row>
    <row r="178" spans="1:20" hidden="1" x14ac:dyDescent="0.35">
      <c r="A178" s="3" t="s">
        <v>172</v>
      </c>
      <c r="B178" s="4">
        <v>144</v>
      </c>
      <c r="C178" s="4">
        <v>0</v>
      </c>
      <c r="D178" s="4">
        <v>0</v>
      </c>
      <c r="E178" s="4">
        <v>0</v>
      </c>
      <c r="F178" s="4">
        <v>25.98</v>
      </c>
      <c r="G178" s="2">
        <v>16</v>
      </c>
      <c r="H178" s="4">
        <v>118.02</v>
      </c>
      <c r="I178" s="4">
        <v>118.02</v>
      </c>
      <c r="J178" s="3" t="s">
        <v>277</v>
      </c>
      <c r="K178" s="22">
        <v>0</v>
      </c>
      <c r="L178" s="17">
        <v>0</v>
      </c>
      <c r="M178" s="54">
        <v>118.02</v>
      </c>
      <c r="N178" s="4">
        <v>29.504999999999999</v>
      </c>
      <c r="O17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8"/>
    </row>
    <row r="179" spans="1:20" hidden="1" x14ac:dyDescent="0.35">
      <c r="A179" s="3" t="s">
        <v>306</v>
      </c>
      <c r="B179" s="4">
        <v>10</v>
      </c>
      <c r="C179" s="4">
        <v>0</v>
      </c>
      <c r="D179" s="4">
        <v>0</v>
      </c>
      <c r="E179" s="4">
        <v>0</v>
      </c>
      <c r="F179" s="4">
        <v>1.61</v>
      </c>
      <c r="G179" s="2">
        <v>3</v>
      </c>
      <c r="H179" s="4">
        <v>8.39</v>
      </c>
      <c r="I179" s="4">
        <v>8.39</v>
      </c>
      <c r="J179" s="3" t="s">
        <v>278</v>
      </c>
      <c r="K179" s="22">
        <v>0</v>
      </c>
      <c r="L179" s="17">
        <v>0</v>
      </c>
      <c r="M179" s="54">
        <v>8.39</v>
      </c>
      <c r="N179" s="4">
        <v>2.0975000000000001</v>
      </c>
      <c r="O17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79"/>
    </row>
    <row r="180" spans="1:20" hidden="1" x14ac:dyDescent="0.35">
      <c r="A180" s="3" t="s">
        <v>391</v>
      </c>
      <c r="B180" s="4">
        <v>0</v>
      </c>
      <c r="C180" s="4">
        <v>0</v>
      </c>
      <c r="D180" s="4">
        <v>0</v>
      </c>
      <c r="E180" s="4">
        <v>0</v>
      </c>
      <c r="F180" s="4">
        <v>0</v>
      </c>
      <c r="G180" s="2">
        <v>0</v>
      </c>
      <c r="H180" s="4">
        <v>0</v>
      </c>
      <c r="I180" s="4">
        <v>0</v>
      </c>
      <c r="J180" s="3" t="s">
        <v>278</v>
      </c>
      <c r="K180" s="22">
        <v>0</v>
      </c>
      <c r="L180" s="17"/>
      <c r="M180" s="54"/>
      <c r="N180" s="4"/>
      <c r="O18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80"/>
    </row>
    <row r="181" spans="1:20" hidden="1" x14ac:dyDescent="0.35">
      <c r="A181" s="3" t="s">
        <v>180</v>
      </c>
      <c r="B181" s="4">
        <v>14</v>
      </c>
      <c r="C181" s="4">
        <v>0</v>
      </c>
      <c r="D181" s="4">
        <v>0</v>
      </c>
      <c r="E181" s="4">
        <v>0</v>
      </c>
      <c r="F181" s="4">
        <v>2.48</v>
      </c>
      <c r="G181" s="2">
        <v>7</v>
      </c>
      <c r="H181" s="4">
        <v>11.52</v>
      </c>
      <c r="I181" s="4">
        <v>11.52</v>
      </c>
      <c r="J181" s="3" t="s">
        <v>279</v>
      </c>
      <c r="K181" s="22">
        <v>0</v>
      </c>
      <c r="L181" s="17">
        <v>0</v>
      </c>
      <c r="M181" s="54">
        <v>11.52</v>
      </c>
      <c r="N181" s="4">
        <v>2.88</v>
      </c>
      <c r="O18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1"/>
    </row>
    <row r="182" spans="1:20" hidden="1" x14ac:dyDescent="0.35">
      <c r="A182" s="3" t="s">
        <v>178</v>
      </c>
      <c r="B182" s="4">
        <v>65</v>
      </c>
      <c r="C182" s="4">
        <v>0</v>
      </c>
      <c r="D182" s="4">
        <v>0</v>
      </c>
      <c r="E182" s="4">
        <v>0</v>
      </c>
      <c r="F182" s="4">
        <v>12.22</v>
      </c>
      <c r="G182" s="2">
        <v>24</v>
      </c>
      <c r="H182" s="4">
        <v>52.78</v>
      </c>
      <c r="I182" s="4">
        <v>52.78</v>
      </c>
      <c r="J182" s="3" t="s">
        <v>279</v>
      </c>
      <c r="K182" s="22">
        <v>0</v>
      </c>
      <c r="L182" s="17">
        <v>0</v>
      </c>
      <c r="M182" s="54">
        <v>52.78</v>
      </c>
      <c r="N182" s="4">
        <v>13.195</v>
      </c>
      <c r="O18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2"/>
    </row>
    <row r="183" spans="1:20" hidden="1" x14ac:dyDescent="0.35">
      <c r="A183" s="3" t="s">
        <v>177</v>
      </c>
      <c r="B183" s="4">
        <v>89</v>
      </c>
      <c r="C183" s="4">
        <v>0</v>
      </c>
      <c r="D183" s="4">
        <v>20.149999999999999</v>
      </c>
      <c r="E183" s="4">
        <v>0</v>
      </c>
      <c r="F183" s="4">
        <v>15.16</v>
      </c>
      <c r="G183" s="2">
        <v>11</v>
      </c>
      <c r="H183" s="4">
        <v>53.69</v>
      </c>
      <c r="I183" s="4">
        <v>53.69</v>
      </c>
      <c r="J183" s="3" t="s">
        <v>279</v>
      </c>
      <c r="K183" s="22">
        <v>0</v>
      </c>
      <c r="L183" s="17">
        <v>0</v>
      </c>
      <c r="M183" s="54">
        <v>53.69</v>
      </c>
      <c r="N183" s="4">
        <v>13.422499999999999</v>
      </c>
      <c r="O18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3"/>
    </row>
    <row r="184" spans="1:20" hidden="1" x14ac:dyDescent="0.35">
      <c r="A184" s="3" t="s">
        <v>179</v>
      </c>
      <c r="B184" s="4">
        <v>31</v>
      </c>
      <c r="C184" s="4">
        <v>0</v>
      </c>
      <c r="D184" s="4">
        <v>0</v>
      </c>
      <c r="E184" s="4">
        <v>0</v>
      </c>
      <c r="F184" s="4">
        <v>4.79</v>
      </c>
      <c r="G184" s="2">
        <v>8</v>
      </c>
      <c r="H184" s="4">
        <v>26.21</v>
      </c>
      <c r="I184" s="4">
        <v>26.21</v>
      </c>
      <c r="J184" s="3" t="s">
        <v>279</v>
      </c>
      <c r="K184" s="22">
        <v>0</v>
      </c>
      <c r="L184" s="17">
        <v>0</v>
      </c>
      <c r="M184" s="54">
        <v>26.21</v>
      </c>
      <c r="N184" s="4">
        <v>6.5525000000000002</v>
      </c>
      <c r="O18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4"/>
    </row>
    <row r="185" spans="1:20" hidden="1" x14ac:dyDescent="0.35">
      <c r="A185" s="3" t="s">
        <v>182</v>
      </c>
      <c r="B185" s="4">
        <v>0</v>
      </c>
      <c r="C185" s="4">
        <v>0</v>
      </c>
      <c r="D185" s="4">
        <v>0</v>
      </c>
      <c r="E185" s="4">
        <v>0</v>
      </c>
      <c r="F185" s="4">
        <v>0</v>
      </c>
      <c r="G185" s="2">
        <v>0</v>
      </c>
      <c r="H185" s="4">
        <v>0</v>
      </c>
      <c r="I185" s="4">
        <v>0</v>
      </c>
      <c r="J185" s="3" t="s">
        <v>279</v>
      </c>
      <c r="K185" s="22">
        <v>0</v>
      </c>
      <c r="L185" s="17">
        <v>0</v>
      </c>
      <c r="M185" s="54">
        <v>0</v>
      </c>
      <c r="N185" s="4">
        <v>0</v>
      </c>
      <c r="O18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5"/>
    </row>
    <row r="186" spans="1:20" hidden="1" x14ac:dyDescent="0.35">
      <c r="A186" s="3" t="s">
        <v>181</v>
      </c>
      <c r="B186" s="4">
        <v>134</v>
      </c>
      <c r="C186" s="4">
        <v>33</v>
      </c>
      <c r="D186" s="4">
        <v>77.900000000000006</v>
      </c>
      <c r="E186" s="4">
        <v>0</v>
      </c>
      <c r="F186" s="4">
        <v>18.93</v>
      </c>
      <c r="G186" s="2">
        <v>25</v>
      </c>
      <c r="H186" s="4">
        <v>4.17</v>
      </c>
      <c r="I186" s="4">
        <v>4.17</v>
      </c>
      <c r="J186" s="3" t="s">
        <v>279</v>
      </c>
      <c r="K186" s="22">
        <v>0</v>
      </c>
      <c r="L186" s="17">
        <v>0</v>
      </c>
      <c r="M186" s="54">
        <v>37.169999999999995</v>
      </c>
      <c r="N186" s="4">
        <v>1.0425</v>
      </c>
      <c r="O18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6"/>
    </row>
    <row r="187" spans="1:20" hidden="1" x14ac:dyDescent="0.35">
      <c r="A187" s="3" t="s">
        <v>187</v>
      </c>
      <c r="B187" s="4">
        <v>21</v>
      </c>
      <c r="C187" s="4">
        <v>0</v>
      </c>
      <c r="D187" s="4">
        <v>0</v>
      </c>
      <c r="E187" s="4">
        <v>0</v>
      </c>
      <c r="F187" s="4">
        <v>4.2</v>
      </c>
      <c r="G187" s="2">
        <v>3</v>
      </c>
      <c r="H187" s="4">
        <v>16.8</v>
      </c>
      <c r="I187" s="4">
        <v>16.8</v>
      </c>
      <c r="J187" s="3" t="s">
        <v>280</v>
      </c>
      <c r="K187" s="22">
        <v>0</v>
      </c>
      <c r="L187" s="17">
        <v>0</v>
      </c>
      <c r="M187" s="54">
        <v>16.8</v>
      </c>
      <c r="N187" s="4">
        <v>4.2</v>
      </c>
      <c r="O18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7"/>
    </row>
    <row r="188" spans="1:20" hidden="1" x14ac:dyDescent="0.35">
      <c r="A188" s="3" t="s">
        <v>183</v>
      </c>
      <c r="B188" s="4">
        <v>539</v>
      </c>
      <c r="C188" s="4">
        <v>20</v>
      </c>
      <c r="D188" s="4">
        <v>91.85</v>
      </c>
      <c r="E188" s="4">
        <v>0</v>
      </c>
      <c r="F188" s="4">
        <v>97.35</v>
      </c>
      <c r="G188" s="2">
        <v>60</v>
      </c>
      <c r="H188" s="4">
        <v>329.8</v>
      </c>
      <c r="I188" s="4">
        <v>329.8</v>
      </c>
      <c r="J188" s="3" t="s">
        <v>280</v>
      </c>
      <c r="K188" s="22">
        <v>30</v>
      </c>
      <c r="L188" s="17">
        <v>0</v>
      </c>
      <c r="M188" s="54">
        <v>319.79999999999995</v>
      </c>
      <c r="N188" s="4">
        <v>74.95</v>
      </c>
      <c r="O18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8"/>
    </row>
    <row r="189" spans="1:20" hidden="1" x14ac:dyDescent="0.35">
      <c r="A189" s="3" t="s">
        <v>186</v>
      </c>
      <c r="B189" s="4">
        <v>59</v>
      </c>
      <c r="C189" s="4">
        <v>0</v>
      </c>
      <c r="D189" s="4">
        <v>0</v>
      </c>
      <c r="E189" s="4">
        <v>0</v>
      </c>
      <c r="F189" s="4">
        <v>11.65</v>
      </c>
      <c r="G189" s="2">
        <v>10</v>
      </c>
      <c r="H189" s="4">
        <v>47.35</v>
      </c>
      <c r="I189" s="4">
        <v>47.35</v>
      </c>
      <c r="J189" s="3" t="s">
        <v>280</v>
      </c>
      <c r="K189" s="22">
        <v>0</v>
      </c>
      <c r="L189" s="17">
        <v>0</v>
      </c>
      <c r="M189" s="54">
        <v>47.35</v>
      </c>
      <c r="N189" s="4">
        <v>11.8375</v>
      </c>
      <c r="O18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89"/>
    </row>
    <row r="190" spans="1:20" hidden="1" x14ac:dyDescent="0.35">
      <c r="A190" s="3" t="s">
        <v>184</v>
      </c>
      <c r="B190" s="4">
        <v>478</v>
      </c>
      <c r="C190" s="4">
        <v>0</v>
      </c>
      <c r="D190" s="4">
        <v>212.66</v>
      </c>
      <c r="E190" s="4">
        <v>0</v>
      </c>
      <c r="F190" s="4">
        <v>89.45</v>
      </c>
      <c r="G190" s="2">
        <v>34</v>
      </c>
      <c r="H190" s="4">
        <v>175.89</v>
      </c>
      <c r="I190" s="4">
        <v>175.89</v>
      </c>
      <c r="J190" s="3" t="s">
        <v>280</v>
      </c>
      <c r="K190" s="22">
        <v>30</v>
      </c>
      <c r="L190" s="17">
        <v>0</v>
      </c>
      <c r="M190" s="54">
        <v>145.89000000000004</v>
      </c>
      <c r="N190" s="4">
        <v>36.472499999999997</v>
      </c>
      <c r="O19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0"/>
    </row>
    <row r="191" spans="1:20" hidden="1" x14ac:dyDescent="0.35">
      <c r="A191" s="3" t="s">
        <v>185</v>
      </c>
      <c r="B191" s="4">
        <v>185</v>
      </c>
      <c r="C191" s="4">
        <v>5</v>
      </c>
      <c r="D191" s="4">
        <v>0</v>
      </c>
      <c r="E191" s="4">
        <v>0</v>
      </c>
      <c r="F191" s="4">
        <v>35.549999999999997</v>
      </c>
      <c r="G191" s="2">
        <v>17</v>
      </c>
      <c r="H191" s="4">
        <v>144.44999999999999</v>
      </c>
      <c r="I191" s="4">
        <v>144.44999999999999</v>
      </c>
      <c r="J191" s="3" t="s">
        <v>280</v>
      </c>
      <c r="K191" s="22">
        <v>10</v>
      </c>
      <c r="L191" s="17">
        <v>0</v>
      </c>
      <c r="M191" s="54">
        <v>139.44999999999999</v>
      </c>
      <c r="N191" s="4">
        <v>33.612499999999997</v>
      </c>
      <c r="O19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1"/>
    </row>
    <row r="192" spans="1:20" hidden="1" x14ac:dyDescent="0.35">
      <c r="A192" s="3" t="s">
        <v>189</v>
      </c>
      <c r="B192" s="4">
        <v>617</v>
      </c>
      <c r="C192" s="4">
        <v>0</v>
      </c>
      <c r="D192" s="4">
        <v>22.9</v>
      </c>
      <c r="E192" s="4">
        <v>0</v>
      </c>
      <c r="F192" s="4">
        <v>88.15</v>
      </c>
      <c r="G192" s="2">
        <v>51</v>
      </c>
      <c r="H192" s="4">
        <v>505.95</v>
      </c>
      <c r="I192" s="4">
        <v>505.95</v>
      </c>
      <c r="J192" s="3" t="s">
        <v>281</v>
      </c>
      <c r="K192" s="22">
        <v>40</v>
      </c>
      <c r="L192" s="17">
        <v>0</v>
      </c>
      <c r="M192" s="54">
        <v>465.95000000000005</v>
      </c>
      <c r="N192" s="4">
        <v>46.594999999999999</v>
      </c>
      <c r="O19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2"/>
    </row>
    <row r="193" spans="1:20" hidden="1" x14ac:dyDescent="0.35">
      <c r="A193" s="3" t="s">
        <v>190</v>
      </c>
      <c r="B193" s="4">
        <v>40</v>
      </c>
      <c r="C193" s="4">
        <v>0</v>
      </c>
      <c r="D193" s="4">
        <v>0</v>
      </c>
      <c r="E193" s="4">
        <v>0</v>
      </c>
      <c r="F193" s="4">
        <v>8</v>
      </c>
      <c r="G193" s="2">
        <v>4</v>
      </c>
      <c r="H193" s="4">
        <v>32</v>
      </c>
      <c r="I193" s="4">
        <v>32</v>
      </c>
      <c r="J193" s="3" t="s">
        <v>281</v>
      </c>
      <c r="K193" s="22">
        <v>0</v>
      </c>
      <c r="L193" s="17">
        <v>0</v>
      </c>
      <c r="M193" s="54">
        <v>32</v>
      </c>
      <c r="N193" s="4">
        <v>3.2</v>
      </c>
      <c r="O19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3"/>
    </row>
    <row r="194" spans="1:20" hidden="1" x14ac:dyDescent="0.35">
      <c r="A194" s="3" t="s">
        <v>188</v>
      </c>
      <c r="B194" s="4">
        <v>5000</v>
      </c>
      <c r="C194" s="4">
        <v>1800</v>
      </c>
      <c r="D194" s="4">
        <v>1472.5</v>
      </c>
      <c r="E194" s="4">
        <v>0</v>
      </c>
      <c r="F194" s="4">
        <v>252.5</v>
      </c>
      <c r="G194" s="2">
        <v>15</v>
      </c>
      <c r="H194" s="4">
        <v>1475</v>
      </c>
      <c r="I194" s="4">
        <v>1475</v>
      </c>
      <c r="J194" s="3" t="s">
        <v>281</v>
      </c>
      <c r="K194" s="22">
        <v>50</v>
      </c>
      <c r="L194" s="17">
        <v>0</v>
      </c>
      <c r="M194" s="54">
        <v>3225</v>
      </c>
      <c r="N194" s="4">
        <v>142.5</v>
      </c>
      <c r="O19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4"/>
    </row>
    <row r="195" spans="1:20" hidden="1" x14ac:dyDescent="0.35">
      <c r="A195" s="3" t="s">
        <v>392</v>
      </c>
      <c r="B195" s="4">
        <v>0</v>
      </c>
      <c r="C195" s="4">
        <v>0</v>
      </c>
      <c r="D195" s="4">
        <v>0</v>
      </c>
      <c r="E195" s="4">
        <v>0</v>
      </c>
      <c r="F195" s="4">
        <v>0</v>
      </c>
      <c r="G195" s="2">
        <v>0</v>
      </c>
      <c r="H195" s="4">
        <v>0</v>
      </c>
      <c r="I195" s="4">
        <v>0</v>
      </c>
      <c r="J195" s="3" t="s">
        <v>281</v>
      </c>
      <c r="K195" s="22">
        <v>0</v>
      </c>
      <c r="L195" s="17"/>
      <c r="M195" s="54"/>
      <c r="N195" s="4"/>
      <c r="O195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95"/>
    </row>
    <row r="196" spans="1:20" hidden="1" x14ac:dyDescent="0.35">
      <c r="A196" s="3" t="s">
        <v>393</v>
      </c>
      <c r="B196" s="4">
        <v>0</v>
      </c>
      <c r="C196" s="4">
        <v>0</v>
      </c>
      <c r="D196" s="4">
        <v>0</v>
      </c>
      <c r="E196" s="4">
        <v>0</v>
      </c>
      <c r="F196" s="4">
        <v>0</v>
      </c>
      <c r="G196" s="2">
        <v>0</v>
      </c>
      <c r="H196" s="4">
        <v>0</v>
      </c>
      <c r="I196" s="4">
        <v>0</v>
      </c>
      <c r="J196" s="3" t="s">
        <v>281</v>
      </c>
      <c r="K196" s="22">
        <v>0</v>
      </c>
      <c r="L196" s="17"/>
      <c r="M196" s="54"/>
      <c r="N196" s="4"/>
      <c r="O196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96"/>
    </row>
    <row r="197" spans="1:20" hidden="1" x14ac:dyDescent="0.35">
      <c r="A197" s="3" t="s">
        <v>394</v>
      </c>
      <c r="B197" s="4">
        <v>0</v>
      </c>
      <c r="C197" s="4">
        <v>0</v>
      </c>
      <c r="D197" s="4">
        <v>0</v>
      </c>
      <c r="E197" s="4">
        <v>0</v>
      </c>
      <c r="F197" s="4">
        <v>0</v>
      </c>
      <c r="G197" s="2">
        <v>0</v>
      </c>
      <c r="H197" s="4">
        <v>0</v>
      </c>
      <c r="I197" s="4">
        <v>0</v>
      </c>
      <c r="J197" s="3" t="s">
        <v>281</v>
      </c>
      <c r="K197" s="22">
        <v>0</v>
      </c>
      <c r="L197" s="17"/>
      <c r="M197" s="54"/>
      <c r="N197" s="4"/>
      <c r="O197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197"/>
    </row>
    <row r="198" spans="1:20" hidden="1" x14ac:dyDescent="0.35">
      <c r="A198" s="3" t="s">
        <v>307</v>
      </c>
      <c r="B198" s="4">
        <v>217</v>
      </c>
      <c r="C198" s="4">
        <v>17</v>
      </c>
      <c r="D198" s="4">
        <v>0</v>
      </c>
      <c r="E198" s="4">
        <v>0</v>
      </c>
      <c r="F198" s="4">
        <v>36.53</v>
      </c>
      <c r="G198" s="2">
        <v>51</v>
      </c>
      <c r="H198" s="4">
        <v>163.47</v>
      </c>
      <c r="I198" s="4">
        <v>163.47</v>
      </c>
      <c r="J198" s="3" t="s">
        <v>282</v>
      </c>
      <c r="K198" s="22">
        <v>20</v>
      </c>
      <c r="L198" s="17">
        <v>0</v>
      </c>
      <c r="M198" s="54">
        <v>160.47</v>
      </c>
      <c r="N198" s="4">
        <v>35.8675</v>
      </c>
      <c r="O19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8"/>
    </row>
    <row r="199" spans="1:20" hidden="1" x14ac:dyDescent="0.35">
      <c r="A199" s="3" t="s">
        <v>192</v>
      </c>
      <c r="B199" s="4">
        <v>296</v>
      </c>
      <c r="C199" s="4">
        <v>0</v>
      </c>
      <c r="D199" s="4">
        <v>0</v>
      </c>
      <c r="E199" s="4">
        <v>0</v>
      </c>
      <c r="F199" s="4">
        <v>36.159999999999997</v>
      </c>
      <c r="G199" s="2">
        <v>11</v>
      </c>
      <c r="H199" s="4">
        <v>259.83999999999997</v>
      </c>
      <c r="I199" s="4">
        <v>259.83999999999997</v>
      </c>
      <c r="J199" s="3" t="s">
        <v>282</v>
      </c>
      <c r="K199" s="22">
        <v>20</v>
      </c>
      <c r="L199" s="17">
        <v>0</v>
      </c>
      <c r="M199" s="54">
        <v>239.84000000000003</v>
      </c>
      <c r="N199" s="4">
        <v>59.96</v>
      </c>
      <c r="O19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199"/>
    </row>
    <row r="200" spans="1:20" hidden="1" x14ac:dyDescent="0.35">
      <c r="A200" s="3" t="s">
        <v>191</v>
      </c>
      <c r="B200" s="4">
        <v>1500</v>
      </c>
      <c r="C200" s="4">
        <v>0</v>
      </c>
      <c r="D200" s="4">
        <v>0</v>
      </c>
      <c r="E200" s="4">
        <v>0</v>
      </c>
      <c r="F200" s="4">
        <v>240</v>
      </c>
      <c r="G200" s="2">
        <v>3</v>
      </c>
      <c r="H200" s="4">
        <v>1260</v>
      </c>
      <c r="I200" s="4">
        <v>1260</v>
      </c>
      <c r="J200" s="3" t="s">
        <v>282</v>
      </c>
      <c r="K200" s="22">
        <v>50</v>
      </c>
      <c r="L200" s="17">
        <v>0</v>
      </c>
      <c r="M200" s="54">
        <v>1210</v>
      </c>
      <c r="N200" s="4">
        <v>302.5</v>
      </c>
      <c r="O20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0"/>
    </row>
    <row r="201" spans="1:20" hidden="1" x14ac:dyDescent="0.35">
      <c r="A201" s="3" t="s">
        <v>193</v>
      </c>
      <c r="B201" s="4">
        <v>200</v>
      </c>
      <c r="C201" s="4">
        <v>0</v>
      </c>
      <c r="D201" s="4">
        <v>0</v>
      </c>
      <c r="E201" s="4">
        <v>0</v>
      </c>
      <c r="F201" s="4">
        <v>38.5</v>
      </c>
      <c r="G201" s="2">
        <v>3</v>
      </c>
      <c r="H201" s="4">
        <v>161.5</v>
      </c>
      <c r="I201" s="4">
        <v>161.5</v>
      </c>
      <c r="J201" s="3" t="s">
        <v>282</v>
      </c>
      <c r="K201" s="22">
        <v>10</v>
      </c>
      <c r="L201" s="17">
        <v>0</v>
      </c>
      <c r="M201" s="54">
        <v>151.5</v>
      </c>
      <c r="N201" s="4">
        <v>37.875</v>
      </c>
      <c r="O20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1"/>
    </row>
    <row r="202" spans="1:20" hidden="1" x14ac:dyDescent="0.35">
      <c r="A202" s="3" t="s">
        <v>195</v>
      </c>
      <c r="B202" s="4">
        <v>35</v>
      </c>
      <c r="C202" s="4">
        <v>0</v>
      </c>
      <c r="D202" s="4">
        <v>0</v>
      </c>
      <c r="E202" s="4">
        <v>0</v>
      </c>
      <c r="F202" s="4">
        <v>4</v>
      </c>
      <c r="G202" s="2">
        <v>3</v>
      </c>
      <c r="H202" s="4">
        <v>31</v>
      </c>
      <c r="I202" s="4">
        <v>31</v>
      </c>
      <c r="J202" s="3" t="s">
        <v>282</v>
      </c>
      <c r="K202" s="22">
        <v>0</v>
      </c>
      <c r="L202" s="17">
        <v>0</v>
      </c>
      <c r="M202" s="54">
        <v>31</v>
      </c>
      <c r="N202" s="4">
        <v>7.75</v>
      </c>
      <c r="O20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2"/>
    </row>
    <row r="203" spans="1:20" hidden="1" x14ac:dyDescent="0.35">
      <c r="A203" s="3" t="s">
        <v>196</v>
      </c>
      <c r="B203" s="4">
        <v>20</v>
      </c>
      <c r="C203" s="4">
        <v>0</v>
      </c>
      <c r="D203" s="4">
        <v>0</v>
      </c>
      <c r="E203" s="4">
        <v>0</v>
      </c>
      <c r="F203" s="4">
        <v>4</v>
      </c>
      <c r="G203" s="2">
        <v>1</v>
      </c>
      <c r="H203" s="4">
        <v>16</v>
      </c>
      <c r="I203" s="4">
        <v>16</v>
      </c>
      <c r="J203" s="3" t="s">
        <v>282</v>
      </c>
      <c r="K203" s="22">
        <v>0</v>
      </c>
      <c r="L203" s="17">
        <v>0</v>
      </c>
      <c r="M203" s="54">
        <v>16</v>
      </c>
      <c r="N203" s="4">
        <v>4</v>
      </c>
      <c r="O20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3"/>
    </row>
    <row r="204" spans="1:20" hidden="1" x14ac:dyDescent="0.35">
      <c r="A204" s="3" t="s">
        <v>308</v>
      </c>
      <c r="B204" s="4">
        <v>75</v>
      </c>
      <c r="C204" s="4">
        <v>0</v>
      </c>
      <c r="D204" s="4">
        <v>0</v>
      </c>
      <c r="E204" s="4">
        <v>0</v>
      </c>
      <c r="F204" s="4">
        <v>13.44</v>
      </c>
      <c r="G204" s="2">
        <v>5</v>
      </c>
      <c r="H204" s="4">
        <v>61.56</v>
      </c>
      <c r="I204" s="4">
        <v>61.56</v>
      </c>
      <c r="J204" s="3" t="s">
        <v>282</v>
      </c>
      <c r="K204" s="22">
        <v>0</v>
      </c>
      <c r="L204" s="17">
        <v>0</v>
      </c>
      <c r="M204" s="54">
        <v>61.56</v>
      </c>
      <c r="N204" s="4">
        <v>15.39</v>
      </c>
      <c r="O20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4"/>
    </row>
    <row r="205" spans="1:20" hidden="1" x14ac:dyDescent="0.35">
      <c r="A205" s="3" t="s">
        <v>194</v>
      </c>
      <c r="B205" s="4">
        <v>156</v>
      </c>
      <c r="C205" s="4">
        <v>0</v>
      </c>
      <c r="D205" s="4">
        <v>91</v>
      </c>
      <c r="E205" s="4">
        <v>0</v>
      </c>
      <c r="F205" s="4">
        <v>22.3</v>
      </c>
      <c r="G205" s="2">
        <v>27</v>
      </c>
      <c r="H205" s="4">
        <v>42.7</v>
      </c>
      <c r="I205" s="4">
        <v>42.7</v>
      </c>
      <c r="J205" s="3" t="s">
        <v>282</v>
      </c>
      <c r="K205" s="22">
        <v>10</v>
      </c>
      <c r="L205" s="17">
        <v>0</v>
      </c>
      <c r="M205" s="54">
        <v>32.700000000000003</v>
      </c>
      <c r="N205" s="4">
        <v>8.1750000000000007</v>
      </c>
      <c r="O20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5"/>
    </row>
    <row r="206" spans="1:20" hidden="1" x14ac:dyDescent="0.35">
      <c r="A206" s="3" t="s">
        <v>309</v>
      </c>
      <c r="B206" s="4">
        <v>1500</v>
      </c>
      <c r="C206" s="4">
        <v>500</v>
      </c>
      <c r="D206" s="4">
        <v>1045</v>
      </c>
      <c r="E206" s="4">
        <v>0</v>
      </c>
      <c r="F206" s="4">
        <v>185</v>
      </c>
      <c r="G206" s="2">
        <v>3</v>
      </c>
      <c r="H206" s="4">
        <v>-230</v>
      </c>
      <c r="I206" s="4">
        <v>-230</v>
      </c>
      <c r="J206" s="3" t="s">
        <v>282</v>
      </c>
      <c r="K206" s="22">
        <v>50</v>
      </c>
      <c r="L206" s="17">
        <v>0</v>
      </c>
      <c r="M206" s="54">
        <v>220</v>
      </c>
      <c r="N206" s="4">
        <v>-70</v>
      </c>
      <c r="O20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6"/>
    </row>
    <row r="207" spans="1:20" hidden="1" x14ac:dyDescent="0.35">
      <c r="A207" s="3" t="s">
        <v>198</v>
      </c>
      <c r="B207" s="4">
        <v>0</v>
      </c>
      <c r="C207" s="4">
        <v>0</v>
      </c>
      <c r="D207" s="4">
        <v>0</v>
      </c>
      <c r="E207" s="4">
        <v>0</v>
      </c>
      <c r="F207" s="4">
        <v>0</v>
      </c>
      <c r="G207" s="2">
        <v>0</v>
      </c>
      <c r="H207" s="4">
        <v>0</v>
      </c>
      <c r="I207" s="4">
        <v>0</v>
      </c>
      <c r="J207" s="3" t="s">
        <v>282</v>
      </c>
      <c r="K207" s="22">
        <v>0</v>
      </c>
      <c r="L207" s="17">
        <v>0</v>
      </c>
      <c r="M207" s="54">
        <v>0</v>
      </c>
      <c r="N207" s="4">
        <v>0</v>
      </c>
      <c r="O20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7"/>
    </row>
    <row r="208" spans="1:20" hidden="1" x14ac:dyDescent="0.35">
      <c r="A208" s="3" t="s">
        <v>197</v>
      </c>
      <c r="B208" s="4">
        <v>0</v>
      </c>
      <c r="C208" s="4">
        <v>0</v>
      </c>
      <c r="D208" s="4">
        <v>0</v>
      </c>
      <c r="E208" s="4">
        <v>0</v>
      </c>
      <c r="F208" s="4">
        <v>0</v>
      </c>
      <c r="G208" s="2">
        <v>0</v>
      </c>
      <c r="H208" s="4">
        <v>0</v>
      </c>
      <c r="I208" s="4">
        <v>0</v>
      </c>
      <c r="J208" s="3" t="s">
        <v>282</v>
      </c>
      <c r="K208" s="22">
        <v>0</v>
      </c>
      <c r="L208" s="17">
        <v>0</v>
      </c>
      <c r="M208" s="54">
        <v>0</v>
      </c>
      <c r="N208" s="4">
        <v>0</v>
      </c>
      <c r="O20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08"/>
    </row>
    <row r="209" spans="1:20" hidden="1" x14ac:dyDescent="0.35">
      <c r="A209" s="3" t="s">
        <v>395</v>
      </c>
      <c r="B209" s="4">
        <v>600</v>
      </c>
      <c r="C209" s="4">
        <v>0</v>
      </c>
      <c r="D209" s="4">
        <v>233</v>
      </c>
      <c r="E209" s="4">
        <v>0</v>
      </c>
      <c r="F209" s="4">
        <v>107.5</v>
      </c>
      <c r="G209" s="2">
        <v>7</v>
      </c>
      <c r="H209" s="4">
        <v>259.5</v>
      </c>
      <c r="I209" s="4">
        <v>259.5</v>
      </c>
      <c r="J209" s="3" t="s">
        <v>256</v>
      </c>
      <c r="K209" s="22">
        <v>0</v>
      </c>
      <c r="L209" s="17"/>
      <c r="M209" s="54"/>
      <c r="N209" s="4"/>
      <c r="O209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09"/>
    </row>
    <row r="210" spans="1:20" hidden="1" x14ac:dyDescent="0.35">
      <c r="A210" s="3" t="s">
        <v>396</v>
      </c>
      <c r="B210" s="4">
        <v>0</v>
      </c>
      <c r="C210" s="4">
        <v>0</v>
      </c>
      <c r="D210" s="4">
        <v>0</v>
      </c>
      <c r="E210" s="4">
        <v>0</v>
      </c>
      <c r="F210" s="4">
        <v>0</v>
      </c>
      <c r="G210" s="2">
        <v>0</v>
      </c>
      <c r="H210" s="4">
        <v>0</v>
      </c>
      <c r="I210" s="4">
        <v>0</v>
      </c>
      <c r="J210" s="3" t="s">
        <v>256</v>
      </c>
      <c r="K210" s="22">
        <v>0</v>
      </c>
      <c r="L210" s="17"/>
      <c r="M210" s="54"/>
      <c r="N210" s="4"/>
      <c r="O21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10"/>
    </row>
    <row r="211" spans="1:20" hidden="1" x14ac:dyDescent="0.35">
      <c r="A211" s="3" t="s">
        <v>397</v>
      </c>
      <c r="B211" s="4">
        <v>500</v>
      </c>
      <c r="C211" s="4">
        <v>0</v>
      </c>
      <c r="D211" s="4">
        <v>0</v>
      </c>
      <c r="E211" s="4">
        <v>-200</v>
      </c>
      <c r="F211" s="4">
        <v>97</v>
      </c>
      <c r="G211" s="2">
        <v>6</v>
      </c>
      <c r="H211" s="4">
        <v>203</v>
      </c>
      <c r="I211" s="4">
        <v>403</v>
      </c>
      <c r="J211" s="3" t="s">
        <v>256</v>
      </c>
      <c r="K211" s="22">
        <v>0</v>
      </c>
      <c r="L211" s="17"/>
      <c r="M211" s="54"/>
      <c r="N211" s="4"/>
      <c r="O21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11"/>
    </row>
    <row r="212" spans="1:20" hidden="1" x14ac:dyDescent="0.35">
      <c r="A212" s="3" t="s">
        <v>398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2">
        <v>0</v>
      </c>
      <c r="H212" s="4">
        <v>0</v>
      </c>
      <c r="I212" s="4">
        <v>0</v>
      </c>
      <c r="J212" s="3" t="s">
        <v>256</v>
      </c>
      <c r="K212" s="22">
        <v>0</v>
      </c>
      <c r="L212" s="17"/>
      <c r="M212" s="54"/>
      <c r="N212" s="4"/>
      <c r="O212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12"/>
    </row>
    <row r="213" spans="1:20" hidden="1" x14ac:dyDescent="0.35">
      <c r="A213" s="3" t="s">
        <v>399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  <c r="G213" s="2">
        <v>0</v>
      </c>
      <c r="H213" s="4">
        <v>0</v>
      </c>
      <c r="I213" s="4">
        <v>0</v>
      </c>
      <c r="J213" s="3" t="s">
        <v>256</v>
      </c>
      <c r="K213" s="22">
        <v>0</v>
      </c>
      <c r="L213" s="17"/>
      <c r="M213" s="54"/>
      <c r="N213" s="4"/>
      <c r="O213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13"/>
    </row>
    <row r="214" spans="1:20" hidden="1" x14ac:dyDescent="0.35">
      <c r="A214" s="3" t="s">
        <v>23</v>
      </c>
      <c r="B214" s="4">
        <v>82</v>
      </c>
      <c r="C214" s="4">
        <v>0</v>
      </c>
      <c r="D214" s="4">
        <v>0</v>
      </c>
      <c r="E214" s="4">
        <v>0</v>
      </c>
      <c r="F214" s="4">
        <v>12.3</v>
      </c>
      <c r="G214" s="2">
        <v>12</v>
      </c>
      <c r="H214" s="4">
        <v>69.7</v>
      </c>
      <c r="I214" s="4">
        <v>69.7</v>
      </c>
      <c r="J214" s="3" t="s">
        <v>256</v>
      </c>
      <c r="K214" s="22">
        <v>0</v>
      </c>
      <c r="L214" s="17">
        <v>6.9700000000000006</v>
      </c>
      <c r="M214" s="54">
        <v>62.730000000000004</v>
      </c>
      <c r="N214" s="4">
        <v>0</v>
      </c>
      <c r="O21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62.730000000000004</v>
      </c>
      <c r="T214"/>
    </row>
    <row r="215" spans="1:20" hidden="1" x14ac:dyDescent="0.35">
      <c r="A215" s="3" t="s">
        <v>14</v>
      </c>
      <c r="B215" s="4">
        <v>489.5</v>
      </c>
      <c r="C215" s="4">
        <v>0</v>
      </c>
      <c r="D215" s="4">
        <v>127.05</v>
      </c>
      <c r="E215" s="4">
        <v>0</v>
      </c>
      <c r="F215" s="4">
        <v>72.709999999999994</v>
      </c>
      <c r="G215" s="2">
        <v>46</v>
      </c>
      <c r="H215" s="4">
        <v>289.74</v>
      </c>
      <c r="I215" s="4">
        <v>289.74</v>
      </c>
      <c r="J215" s="3" t="s">
        <v>256</v>
      </c>
      <c r="K215" s="22">
        <v>0</v>
      </c>
      <c r="L215" s="17">
        <v>28.974000000000004</v>
      </c>
      <c r="M215" s="54">
        <v>260.76600000000002</v>
      </c>
      <c r="N215" s="4">
        <v>0</v>
      </c>
      <c r="O21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260.76600000000002</v>
      </c>
      <c r="T215"/>
    </row>
    <row r="216" spans="1:20" hidden="1" x14ac:dyDescent="0.35">
      <c r="A216" s="3" t="s">
        <v>292</v>
      </c>
      <c r="B216" s="4">
        <v>315.5</v>
      </c>
      <c r="C216" s="4">
        <v>0</v>
      </c>
      <c r="D216" s="4">
        <v>0</v>
      </c>
      <c r="E216" s="4">
        <v>0</v>
      </c>
      <c r="F216" s="4">
        <v>37.909999999999997</v>
      </c>
      <c r="G216" s="2">
        <v>23</v>
      </c>
      <c r="H216" s="4">
        <v>277.58999999999997</v>
      </c>
      <c r="I216" s="4">
        <v>277.58999999999997</v>
      </c>
      <c r="J216" s="3" t="s">
        <v>256</v>
      </c>
      <c r="K216" s="22">
        <v>0</v>
      </c>
      <c r="L216" s="17">
        <v>27.759000000000004</v>
      </c>
      <c r="M216" s="54">
        <v>249.83100000000005</v>
      </c>
      <c r="N216" s="4">
        <v>0</v>
      </c>
      <c r="O21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249.83100000000005</v>
      </c>
      <c r="T216"/>
    </row>
    <row r="217" spans="1:20" hidden="1" x14ac:dyDescent="0.35">
      <c r="A217" s="3" t="s">
        <v>18</v>
      </c>
      <c r="B217" s="4">
        <v>254</v>
      </c>
      <c r="C217" s="4">
        <v>35</v>
      </c>
      <c r="D217" s="4">
        <v>74.400000000000006</v>
      </c>
      <c r="E217" s="4">
        <v>0</v>
      </c>
      <c r="F217" s="4">
        <v>39.14</v>
      </c>
      <c r="G217" s="2">
        <v>31</v>
      </c>
      <c r="H217" s="4">
        <v>105.46</v>
      </c>
      <c r="I217" s="4">
        <v>105.46</v>
      </c>
      <c r="J217" s="3" t="s">
        <v>256</v>
      </c>
      <c r="K217" s="22">
        <v>0</v>
      </c>
      <c r="L217" s="17">
        <v>14.045999999999999</v>
      </c>
      <c r="M217" s="54">
        <v>126.41399999999999</v>
      </c>
      <c r="N217" s="4">
        <v>0</v>
      </c>
      <c r="O21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126.41399999999999</v>
      </c>
      <c r="T217"/>
    </row>
    <row r="218" spans="1:20" hidden="1" x14ac:dyDescent="0.35">
      <c r="A218" s="3" t="s">
        <v>17</v>
      </c>
      <c r="B218" s="4">
        <v>156</v>
      </c>
      <c r="C218" s="4">
        <v>0</v>
      </c>
      <c r="D218" s="4">
        <v>0</v>
      </c>
      <c r="E218" s="4">
        <v>0</v>
      </c>
      <c r="F218" s="4">
        <v>28.59</v>
      </c>
      <c r="G218" s="2">
        <v>22</v>
      </c>
      <c r="H218" s="4">
        <v>127.41</v>
      </c>
      <c r="I218" s="4">
        <v>127.41</v>
      </c>
      <c r="J218" s="3" t="s">
        <v>256</v>
      </c>
      <c r="K218" s="22">
        <v>0</v>
      </c>
      <c r="L218" s="17">
        <v>12.741</v>
      </c>
      <c r="M218" s="54">
        <v>114.669</v>
      </c>
      <c r="N218" s="4">
        <v>0</v>
      </c>
      <c r="O21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114.669</v>
      </c>
      <c r="T218"/>
    </row>
    <row r="219" spans="1:20" hidden="1" x14ac:dyDescent="0.35">
      <c r="A219" s="3" t="s">
        <v>29</v>
      </c>
      <c r="B219" s="4">
        <v>1325</v>
      </c>
      <c r="C219" s="4">
        <v>0</v>
      </c>
      <c r="D219" s="4">
        <v>1606.06</v>
      </c>
      <c r="E219" s="4">
        <v>385</v>
      </c>
      <c r="F219" s="4">
        <v>247.22</v>
      </c>
      <c r="G219" s="2">
        <v>64</v>
      </c>
      <c r="H219" s="4">
        <v>-143.28</v>
      </c>
      <c r="I219" s="4">
        <v>-528.28</v>
      </c>
      <c r="J219" s="3" t="s">
        <v>256</v>
      </c>
      <c r="K219" s="22">
        <v>10</v>
      </c>
      <c r="L219" s="17">
        <v>0</v>
      </c>
      <c r="M219" s="54">
        <v>-99.451999999999998</v>
      </c>
      <c r="N219" s="4">
        <v>0</v>
      </c>
      <c r="O21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19"/>
    </row>
    <row r="220" spans="1:20" hidden="1" x14ac:dyDescent="0.35">
      <c r="A220" s="3" t="s">
        <v>26</v>
      </c>
      <c r="B220" s="4">
        <v>0</v>
      </c>
      <c r="C220" s="4">
        <v>0</v>
      </c>
      <c r="D220" s="4">
        <v>0</v>
      </c>
      <c r="E220" s="4">
        <v>0</v>
      </c>
      <c r="F220" s="4">
        <v>0</v>
      </c>
      <c r="G220" s="2">
        <v>0</v>
      </c>
      <c r="H220" s="4">
        <v>0</v>
      </c>
      <c r="I220" s="4">
        <v>0</v>
      </c>
      <c r="J220" s="3" t="s">
        <v>256</v>
      </c>
      <c r="K220" s="22">
        <v>0</v>
      </c>
      <c r="L220" s="17">
        <v>0</v>
      </c>
      <c r="M220" s="54">
        <v>0</v>
      </c>
      <c r="N220" s="4">
        <v>0</v>
      </c>
      <c r="O22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20"/>
    </row>
    <row r="221" spans="1:20" hidden="1" x14ac:dyDescent="0.35">
      <c r="A221" s="3" t="s">
        <v>11</v>
      </c>
      <c r="B221" s="4">
        <v>1197</v>
      </c>
      <c r="C221" s="4">
        <v>0</v>
      </c>
      <c r="D221" s="4">
        <v>0</v>
      </c>
      <c r="E221" s="4">
        <v>0</v>
      </c>
      <c r="F221" s="4">
        <v>180.53</v>
      </c>
      <c r="G221" s="2">
        <v>30</v>
      </c>
      <c r="H221" s="4">
        <v>1016.47</v>
      </c>
      <c r="I221" s="4">
        <v>1016.47</v>
      </c>
      <c r="J221" s="3" t="s">
        <v>256</v>
      </c>
      <c r="K221" s="22">
        <v>0</v>
      </c>
      <c r="L221" s="17">
        <v>101.64700000000001</v>
      </c>
      <c r="M221" s="54">
        <v>914.82300000000009</v>
      </c>
      <c r="N221" s="4">
        <v>0</v>
      </c>
      <c r="O22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914.82300000000009</v>
      </c>
      <c r="T221"/>
    </row>
    <row r="222" spans="1:20" hidden="1" x14ac:dyDescent="0.35">
      <c r="A222" s="3" t="s">
        <v>13</v>
      </c>
      <c r="B222" s="4">
        <v>626.70000000000005</v>
      </c>
      <c r="C222" s="4">
        <v>25</v>
      </c>
      <c r="D222" s="4">
        <v>0</v>
      </c>
      <c r="E222" s="4">
        <v>0</v>
      </c>
      <c r="F222" s="4">
        <v>116.41</v>
      </c>
      <c r="G222" s="2">
        <v>80</v>
      </c>
      <c r="H222" s="4">
        <v>485.29</v>
      </c>
      <c r="I222" s="4">
        <v>485.29</v>
      </c>
      <c r="J222" s="3" t="s">
        <v>256</v>
      </c>
      <c r="K222" s="22">
        <v>40</v>
      </c>
      <c r="L222" s="17">
        <v>0</v>
      </c>
      <c r="M222" s="54">
        <v>470.29000000000008</v>
      </c>
      <c r="N222" s="4">
        <v>0</v>
      </c>
      <c r="O22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22"/>
    </row>
    <row r="223" spans="1:20" hidden="1" x14ac:dyDescent="0.35">
      <c r="A223" s="3" t="s">
        <v>12</v>
      </c>
      <c r="B223" s="4">
        <v>1879</v>
      </c>
      <c r="C223" s="4">
        <v>10</v>
      </c>
      <c r="D223" s="4">
        <v>713.7</v>
      </c>
      <c r="E223" s="4">
        <v>0</v>
      </c>
      <c r="F223" s="4">
        <v>308.85000000000002</v>
      </c>
      <c r="G223" s="2">
        <v>28</v>
      </c>
      <c r="H223" s="4">
        <v>846.45</v>
      </c>
      <c r="I223" s="4">
        <v>846.45</v>
      </c>
      <c r="J223" s="3" t="s">
        <v>256</v>
      </c>
      <c r="K223" s="22">
        <v>0</v>
      </c>
      <c r="L223" s="17">
        <v>0</v>
      </c>
      <c r="M223" s="54">
        <v>856.44999999999993</v>
      </c>
      <c r="N223" s="4">
        <v>0</v>
      </c>
      <c r="O22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23"/>
    </row>
    <row r="224" spans="1:20" hidden="1" x14ac:dyDescent="0.35">
      <c r="A224" s="3" t="s">
        <v>21</v>
      </c>
      <c r="B224" s="4">
        <v>391</v>
      </c>
      <c r="C224" s="4">
        <v>0</v>
      </c>
      <c r="D224" s="4">
        <v>238</v>
      </c>
      <c r="E224" s="4">
        <v>0</v>
      </c>
      <c r="F224" s="4">
        <v>60.75</v>
      </c>
      <c r="G224" s="2">
        <v>21</v>
      </c>
      <c r="H224" s="4">
        <v>92.25</v>
      </c>
      <c r="I224" s="4">
        <v>92.25</v>
      </c>
      <c r="J224" s="3" t="s">
        <v>256</v>
      </c>
      <c r="K224" s="22">
        <v>0</v>
      </c>
      <c r="L224" s="17">
        <v>23.0625</v>
      </c>
      <c r="M224" s="54">
        <v>69.1875</v>
      </c>
      <c r="N224" s="4">
        <v>0</v>
      </c>
      <c r="O22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83.025000000000006</v>
      </c>
      <c r="T224"/>
    </row>
    <row r="225" spans="1:20" hidden="1" x14ac:dyDescent="0.35">
      <c r="A225" s="3" t="s">
        <v>24</v>
      </c>
      <c r="B225" s="4">
        <v>126</v>
      </c>
      <c r="C225" s="4">
        <v>68</v>
      </c>
      <c r="D225" s="4">
        <v>0</v>
      </c>
      <c r="E225" s="4">
        <v>0</v>
      </c>
      <c r="F225" s="4">
        <v>11.06</v>
      </c>
      <c r="G225" s="2">
        <v>18</v>
      </c>
      <c r="H225" s="4">
        <v>46.94</v>
      </c>
      <c r="I225" s="4">
        <v>46.94</v>
      </c>
      <c r="J225" s="3" t="s">
        <v>256</v>
      </c>
      <c r="K225" s="22">
        <v>0</v>
      </c>
      <c r="L225" s="17">
        <v>11.494</v>
      </c>
      <c r="M225" s="54">
        <v>103.446</v>
      </c>
      <c r="N225" s="4">
        <v>0</v>
      </c>
      <c r="O22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103.446</v>
      </c>
      <c r="T225"/>
    </row>
    <row r="226" spans="1:20" hidden="1" x14ac:dyDescent="0.35">
      <c r="A226" s="3" t="s">
        <v>19</v>
      </c>
      <c r="B226" s="4">
        <v>135</v>
      </c>
      <c r="C226" s="4">
        <v>15</v>
      </c>
      <c r="D226" s="4">
        <v>0</v>
      </c>
      <c r="E226" s="4">
        <v>0</v>
      </c>
      <c r="F226" s="4">
        <v>16.8</v>
      </c>
      <c r="G226" s="2">
        <v>19</v>
      </c>
      <c r="H226" s="4">
        <v>103.2</v>
      </c>
      <c r="I226" s="4">
        <v>103.2</v>
      </c>
      <c r="J226" s="3" t="s">
        <v>256</v>
      </c>
      <c r="K226" s="22">
        <v>0</v>
      </c>
      <c r="L226" s="17">
        <v>11.82</v>
      </c>
      <c r="M226" s="54">
        <v>106.38000000000001</v>
      </c>
      <c r="N226" s="4">
        <v>0</v>
      </c>
      <c r="O22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106.38000000000001</v>
      </c>
      <c r="T226"/>
    </row>
    <row r="227" spans="1:20" hidden="1" x14ac:dyDescent="0.35">
      <c r="A227" s="3" t="s">
        <v>294</v>
      </c>
      <c r="B227" s="4">
        <v>8</v>
      </c>
      <c r="C227" s="4">
        <v>0</v>
      </c>
      <c r="D227" s="4">
        <v>0</v>
      </c>
      <c r="E227" s="4">
        <v>0</v>
      </c>
      <c r="F227" s="4">
        <v>1.34</v>
      </c>
      <c r="G227" s="2">
        <v>4</v>
      </c>
      <c r="H227" s="4">
        <v>6.66</v>
      </c>
      <c r="I227" s="4">
        <v>6.66</v>
      </c>
      <c r="J227" s="3" t="s">
        <v>256</v>
      </c>
      <c r="K227" s="22">
        <v>0</v>
      </c>
      <c r="L227" s="17">
        <v>0.66600000000000004</v>
      </c>
      <c r="M227" s="54">
        <v>5.9940000000000007</v>
      </c>
      <c r="N227" s="4">
        <v>0</v>
      </c>
      <c r="O22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5.9940000000000007</v>
      </c>
      <c r="T227"/>
    </row>
    <row r="228" spans="1:20" hidden="1" x14ac:dyDescent="0.35">
      <c r="A228" s="3" t="s">
        <v>25</v>
      </c>
      <c r="B228" s="4">
        <v>0</v>
      </c>
      <c r="C228" s="4">
        <v>0</v>
      </c>
      <c r="D228" s="4">
        <v>0</v>
      </c>
      <c r="E228" s="4">
        <v>0</v>
      </c>
      <c r="F228" s="4">
        <v>0</v>
      </c>
      <c r="G228" s="2">
        <v>0</v>
      </c>
      <c r="H228" s="4">
        <v>0</v>
      </c>
      <c r="I228" s="4">
        <v>0</v>
      </c>
      <c r="J228" s="3" t="s">
        <v>256</v>
      </c>
      <c r="K228" s="22">
        <v>0</v>
      </c>
      <c r="L228" s="17">
        <v>0</v>
      </c>
      <c r="M228" s="54">
        <v>0</v>
      </c>
      <c r="N228" s="4">
        <v>0</v>
      </c>
      <c r="O22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28"/>
    </row>
    <row r="229" spans="1:20" hidden="1" x14ac:dyDescent="0.35">
      <c r="A229" s="3" t="s">
        <v>22</v>
      </c>
      <c r="B229" s="4">
        <v>103</v>
      </c>
      <c r="C229" s="4">
        <v>0</v>
      </c>
      <c r="D229" s="4">
        <v>0</v>
      </c>
      <c r="E229" s="4">
        <v>0</v>
      </c>
      <c r="F229" s="4">
        <v>15.56</v>
      </c>
      <c r="G229" s="2">
        <v>17</v>
      </c>
      <c r="H229" s="4">
        <v>87.44</v>
      </c>
      <c r="I229" s="4">
        <v>87.44</v>
      </c>
      <c r="J229" s="3" t="s">
        <v>256</v>
      </c>
      <c r="K229" s="22">
        <v>0</v>
      </c>
      <c r="L229" s="17">
        <v>8.7439999999999998</v>
      </c>
      <c r="M229" s="54">
        <v>78.695999999999998</v>
      </c>
      <c r="N229" s="4">
        <v>0</v>
      </c>
      <c r="O22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78.695999999999998</v>
      </c>
      <c r="T229"/>
    </row>
    <row r="230" spans="1:20" hidden="1" x14ac:dyDescent="0.35">
      <c r="A230" s="3" t="s">
        <v>20</v>
      </c>
      <c r="B230" s="4">
        <v>165</v>
      </c>
      <c r="C230" s="4">
        <v>25</v>
      </c>
      <c r="D230" s="4">
        <v>18.7</v>
      </c>
      <c r="E230" s="4">
        <v>0</v>
      </c>
      <c r="F230" s="4">
        <v>22.1</v>
      </c>
      <c r="G230" s="2">
        <v>6</v>
      </c>
      <c r="H230" s="4">
        <v>99.2</v>
      </c>
      <c r="I230" s="4">
        <v>99.2</v>
      </c>
      <c r="J230" s="3" t="s">
        <v>256</v>
      </c>
      <c r="K230" s="22">
        <v>0</v>
      </c>
      <c r="L230" s="17">
        <v>12.420000000000002</v>
      </c>
      <c r="M230" s="54">
        <v>111.78000000000002</v>
      </c>
      <c r="N230" s="4">
        <v>0</v>
      </c>
      <c r="O23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111.78000000000002</v>
      </c>
      <c r="T230"/>
    </row>
    <row r="231" spans="1:20" hidden="1" x14ac:dyDescent="0.35">
      <c r="A231" s="3" t="s">
        <v>15</v>
      </c>
      <c r="B231" s="4">
        <v>323</v>
      </c>
      <c r="C231" s="4">
        <v>0</v>
      </c>
      <c r="D231" s="4">
        <v>116.2</v>
      </c>
      <c r="E231" s="4">
        <v>0</v>
      </c>
      <c r="F231" s="4">
        <v>54.72</v>
      </c>
      <c r="G231" s="2">
        <v>24</v>
      </c>
      <c r="H231" s="4">
        <v>152.08000000000001</v>
      </c>
      <c r="I231" s="4">
        <v>152.08000000000001</v>
      </c>
      <c r="J231" s="3" t="s">
        <v>256</v>
      </c>
      <c r="K231" s="22">
        <v>0</v>
      </c>
      <c r="L231" s="17">
        <v>15.208000000000002</v>
      </c>
      <c r="M231" s="54">
        <v>136.87200000000001</v>
      </c>
      <c r="N231" s="4">
        <v>0</v>
      </c>
      <c r="O23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136.87200000000001</v>
      </c>
      <c r="T231"/>
    </row>
    <row r="232" spans="1:20" hidden="1" x14ac:dyDescent="0.35">
      <c r="A232" s="3" t="s">
        <v>293</v>
      </c>
      <c r="B232" s="4">
        <v>177</v>
      </c>
      <c r="C232" s="4">
        <v>0</v>
      </c>
      <c r="D232" s="4">
        <v>0</v>
      </c>
      <c r="E232" s="4">
        <v>0</v>
      </c>
      <c r="F232" s="4">
        <v>31.95</v>
      </c>
      <c r="G232" s="2">
        <v>23</v>
      </c>
      <c r="H232" s="4">
        <v>145.05000000000001</v>
      </c>
      <c r="I232" s="4">
        <v>145.05000000000001</v>
      </c>
      <c r="J232" s="3" t="s">
        <v>256</v>
      </c>
      <c r="K232" s="22">
        <v>0</v>
      </c>
      <c r="L232" s="17">
        <v>14.505000000000003</v>
      </c>
      <c r="M232" s="54">
        <v>130.54500000000002</v>
      </c>
      <c r="N232" s="4">
        <v>0</v>
      </c>
      <c r="O23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130.54500000000002</v>
      </c>
      <c r="T232"/>
    </row>
    <row r="233" spans="1:20" hidden="1" x14ac:dyDescent="0.35">
      <c r="A233" s="3" t="s">
        <v>16</v>
      </c>
      <c r="B233" s="4">
        <v>157</v>
      </c>
      <c r="C233" s="4">
        <v>0</v>
      </c>
      <c r="D233" s="4">
        <v>0</v>
      </c>
      <c r="E233" s="4">
        <v>0</v>
      </c>
      <c r="F233" s="4">
        <v>23.26</v>
      </c>
      <c r="G233" s="2">
        <v>16</v>
      </c>
      <c r="H233" s="4">
        <v>133.74</v>
      </c>
      <c r="I233" s="4">
        <v>133.74</v>
      </c>
      <c r="J233" s="3" t="s">
        <v>256</v>
      </c>
      <c r="K233" s="22">
        <v>0</v>
      </c>
      <c r="L233" s="17">
        <v>13.374000000000002</v>
      </c>
      <c r="M233" s="54">
        <v>120.36600000000001</v>
      </c>
      <c r="N233" s="4">
        <v>0</v>
      </c>
      <c r="O23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120.36600000000001</v>
      </c>
      <c r="T233"/>
    </row>
    <row r="234" spans="1:20" hidden="1" x14ac:dyDescent="0.35">
      <c r="A234" s="3" t="s">
        <v>28</v>
      </c>
      <c r="B234" s="4">
        <v>344</v>
      </c>
      <c r="C234" s="4">
        <v>52</v>
      </c>
      <c r="D234" s="4">
        <v>349.7</v>
      </c>
      <c r="E234" s="4">
        <v>0</v>
      </c>
      <c r="F234" s="4">
        <v>39.25</v>
      </c>
      <c r="G234" s="2">
        <v>12</v>
      </c>
      <c r="H234" s="4">
        <v>-96.95</v>
      </c>
      <c r="I234" s="4">
        <v>-96.95</v>
      </c>
      <c r="J234" s="3" t="s">
        <v>256</v>
      </c>
      <c r="K234" s="22">
        <v>0</v>
      </c>
      <c r="L234" s="17">
        <v>0</v>
      </c>
      <c r="M234" s="54">
        <v>-40.454999999999991</v>
      </c>
      <c r="N234" s="4">
        <v>0</v>
      </c>
      <c r="O23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34"/>
    </row>
    <row r="235" spans="1:20" hidden="1" x14ac:dyDescent="0.35">
      <c r="A235" s="3" t="s">
        <v>27</v>
      </c>
      <c r="B235" s="4">
        <v>33</v>
      </c>
      <c r="C235" s="4">
        <v>5</v>
      </c>
      <c r="D235" s="4">
        <v>64.14</v>
      </c>
      <c r="E235" s="4">
        <v>0</v>
      </c>
      <c r="F235" s="4">
        <v>5.09</v>
      </c>
      <c r="G235" s="2">
        <v>9</v>
      </c>
      <c r="H235" s="4">
        <v>-41.23</v>
      </c>
      <c r="I235" s="4">
        <v>-41.23</v>
      </c>
      <c r="J235" s="3" t="s">
        <v>256</v>
      </c>
      <c r="K235" s="22">
        <v>0</v>
      </c>
      <c r="L235" s="17">
        <v>0</v>
      </c>
      <c r="M235" s="54">
        <v>-32.607000000000006</v>
      </c>
      <c r="N235" s="4">
        <v>0</v>
      </c>
      <c r="O23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35"/>
    </row>
    <row r="236" spans="1:20" hidden="1" x14ac:dyDescent="0.35">
      <c r="A236" s="3" t="s">
        <v>30</v>
      </c>
      <c r="B236" s="4">
        <v>913</v>
      </c>
      <c r="C236" s="4">
        <v>23</v>
      </c>
      <c r="D236" s="4">
        <v>1300</v>
      </c>
      <c r="E236" s="4">
        <v>0</v>
      </c>
      <c r="F236" s="4">
        <v>133.6</v>
      </c>
      <c r="G236" s="2">
        <v>19</v>
      </c>
      <c r="H236" s="4">
        <v>-543.6</v>
      </c>
      <c r="I236" s="4">
        <v>-543.6</v>
      </c>
      <c r="J236" s="3" t="s">
        <v>256</v>
      </c>
      <c r="K236" s="22">
        <v>0</v>
      </c>
      <c r="L236" s="17">
        <v>0</v>
      </c>
      <c r="M236" s="54">
        <v>-468.54</v>
      </c>
      <c r="N236" s="4">
        <v>0</v>
      </c>
      <c r="O23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36"/>
    </row>
    <row r="237" spans="1:20" hidden="1" x14ac:dyDescent="0.35">
      <c r="A237" s="3" t="s">
        <v>10</v>
      </c>
      <c r="B237" s="4">
        <v>2069</v>
      </c>
      <c r="C237" s="4">
        <v>281</v>
      </c>
      <c r="D237" s="4">
        <v>0</v>
      </c>
      <c r="E237" s="4">
        <v>0</v>
      </c>
      <c r="F237" s="4">
        <v>228.57</v>
      </c>
      <c r="G237" s="2">
        <v>50</v>
      </c>
      <c r="H237" s="4">
        <v>1559.43</v>
      </c>
      <c r="I237" s="4">
        <v>1559.43</v>
      </c>
      <c r="J237" s="3" t="s">
        <v>256</v>
      </c>
      <c r="K237" s="22">
        <v>0</v>
      </c>
      <c r="L237" s="17">
        <v>184.04300000000001</v>
      </c>
      <c r="M237" s="54">
        <v>1656.3870000000002</v>
      </c>
      <c r="N237" s="4">
        <v>0</v>
      </c>
      <c r="O23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1656.3870000000002</v>
      </c>
      <c r="T237"/>
    </row>
    <row r="238" spans="1:20" hidden="1" x14ac:dyDescent="0.35">
      <c r="A238" s="3" t="s">
        <v>206</v>
      </c>
      <c r="B238" s="4">
        <v>37</v>
      </c>
      <c r="C238" s="4">
        <v>0</v>
      </c>
      <c r="D238" s="4">
        <v>0</v>
      </c>
      <c r="E238" s="4">
        <v>0</v>
      </c>
      <c r="F238" s="4">
        <v>6.5</v>
      </c>
      <c r="G238" s="2">
        <v>5</v>
      </c>
      <c r="H238" s="4">
        <v>30.5</v>
      </c>
      <c r="I238" s="4">
        <v>30.5</v>
      </c>
      <c r="J238" s="3" t="s">
        <v>283</v>
      </c>
      <c r="K238" s="22">
        <v>20</v>
      </c>
      <c r="L238" s="17">
        <v>1.05</v>
      </c>
      <c r="M238" s="54">
        <v>9.4500000000000011</v>
      </c>
      <c r="N238" s="4">
        <v>2.3624999999999998</v>
      </c>
      <c r="O23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9.4500000000000011</v>
      </c>
      <c r="T238"/>
    </row>
    <row r="239" spans="1:20" hidden="1" x14ac:dyDescent="0.35">
      <c r="A239" s="3" t="s">
        <v>205</v>
      </c>
      <c r="B239" s="4">
        <v>54</v>
      </c>
      <c r="C239" s="4">
        <v>3</v>
      </c>
      <c r="D239" s="4">
        <v>0</v>
      </c>
      <c r="E239" s="4">
        <v>0</v>
      </c>
      <c r="F239" s="4">
        <v>9.9</v>
      </c>
      <c r="G239" s="2">
        <v>14</v>
      </c>
      <c r="H239" s="4">
        <v>41.1</v>
      </c>
      <c r="I239" s="4">
        <v>41.1</v>
      </c>
      <c r="J239" s="3" t="s">
        <v>283</v>
      </c>
      <c r="K239" s="22">
        <v>20</v>
      </c>
      <c r="L239" s="17">
        <v>2.41</v>
      </c>
      <c r="M239" s="54">
        <v>21.69</v>
      </c>
      <c r="N239" s="4">
        <v>4.6725000000000003</v>
      </c>
      <c r="O23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21.69</v>
      </c>
      <c r="T239"/>
    </row>
    <row r="240" spans="1:20" hidden="1" x14ac:dyDescent="0.35">
      <c r="A240" s="3" t="s">
        <v>207</v>
      </c>
      <c r="B240" s="4">
        <v>89</v>
      </c>
      <c r="C240" s="4">
        <v>0</v>
      </c>
      <c r="D240" s="4">
        <v>45.8</v>
      </c>
      <c r="E240" s="4">
        <v>0</v>
      </c>
      <c r="F240" s="4">
        <v>15.63</v>
      </c>
      <c r="G240" s="2">
        <v>10</v>
      </c>
      <c r="H240" s="4">
        <v>27.57</v>
      </c>
      <c r="I240" s="4">
        <v>27.57</v>
      </c>
      <c r="J240" s="3" t="s">
        <v>283</v>
      </c>
      <c r="K240" s="22">
        <v>20</v>
      </c>
      <c r="L240" s="17">
        <v>0.75700000000000012</v>
      </c>
      <c r="M240" s="54">
        <v>6.8130000000000006</v>
      </c>
      <c r="N240" s="4">
        <v>1.7032499999999999</v>
      </c>
      <c r="O24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6.8130000000000006</v>
      </c>
      <c r="T240"/>
    </row>
    <row r="241" spans="1:20" hidden="1" x14ac:dyDescent="0.35">
      <c r="A241" s="3" t="s">
        <v>400</v>
      </c>
      <c r="B241" s="4">
        <v>0</v>
      </c>
      <c r="C241" s="4">
        <v>0</v>
      </c>
      <c r="D241" s="4">
        <v>0</v>
      </c>
      <c r="E241" s="4">
        <v>0</v>
      </c>
      <c r="F241" s="4">
        <v>0</v>
      </c>
      <c r="G241" s="2">
        <v>0</v>
      </c>
      <c r="H241" s="4">
        <v>0</v>
      </c>
      <c r="I241" s="4">
        <v>0</v>
      </c>
      <c r="J241" s="3" t="s">
        <v>283</v>
      </c>
      <c r="K241" s="22">
        <v>0</v>
      </c>
      <c r="L241" s="17"/>
      <c r="M241" s="54"/>
      <c r="N241" s="4"/>
      <c r="O24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41"/>
    </row>
    <row r="242" spans="1:20" hidden="1" x14ac:dyDescent="0.35">
      <c r="A242" s="3" t="s">
        <v>208</v>
      </c>
      <c r="B242" s="4">
        <v>30</v>
      </c>
      <c r="C242" s="4">
        <v>0</v>
      </c>
      <c r="D242" s="4">
        <v>0</v>
      </c>
      <c r="E242" s="4">
        <v>0</v>
      </c>
      <c r="F242" s="4">
        <v>5.55</v>
      </c>
      <c r="G242" s="2">
        <v>3</v>
      </c>
      <c r="H242" s="4">
        <v>24.45</v>
      </c>
      <c r="I242" s="4">
        <v>24.45</v>
      </c>
      <c r="J242" s="3" t="s">
        <v>283</v>
      </c>
      <c r="K242" s="22">
        <v>20</v>
      </c>
      <c r="L242" s="17">
        <v>0.44499999999999995</v>
      </c>
      <c r="M242" s="54">
        <v>4.0049999999999999</v>
      </c>
      <c r="N242" s="4">
        <v>1.00125</v>
      </c>
      <c r="O24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4.0049999999999999</v>
      </c>
      <c r="T242"/>
    </row>
    <row r="243" spans="1:20" hidden="1" x14ac:dyDescent="0.35">
      <c r="A243" s="3" t="s">
        <v>204</v>
      </c>
      <c r="B243" s="4">
        <v>77</v>
      </c>
      <c r="C243" s="4">
        <v>25</v>
      </c>
      <c r="D243" s="4">
        <v>0</v>
      </c>
      <c r="E243" s="4">
        <v>0</v>
      </c>
      <c r="F243" s="4">
        <v>9.0500000000000007</v>
      </c>
      <c r="G243" s="2">
        <v>11</v>
      </c>
      <c r="H243" s="4">
        <v>42.95</v>
      </c>
      <c r="I243" s="4">
        <v>42.95</v>
      </c>
      <c r="J243" s="3" t="s">
        <v>283</v>
      </c>
      <c r="K243" s="22">
        <v>20</v>
      </c>
      <c r="L243" s="17">
        <v>4.7950000000000008</v>
      </c>
      <c r="M243" s="54">
        <v>43.155000000000001</v>
      </c>
      <c r="N243" s="4">
        <v>4.5387500000000003</v>
      </c>
      <c r="O24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43.155000000000001</v>
      </c>
      <c r="T243"/>
    </row>
    <row r="244" spans="1:20" hidden="1" x14ac:dyDescent="0.35">
      <c r="A244" s="3" t="s">
        <v>200</v>
      </c>
      <c r="B244" s="4">
        <v>111</v>
      </c>
      <c r="C244" s="4">
        <v>0</v>
      </c>
      <c r="D244" s="4">
        <v>0</v>
      </c>
      <c r="E244" s="4">
        <v>0</v>
      </c>
      <c r="F244" s="4">
        <v>18.100000000000001</v>
      </c>
      <c r="G244" s="2">
        <v>21</v>
      </c>
      <c r="H244" s="4">
        <v>92.9</v>
      </c>
      <c r="I244" s="4">
        <v>92.9</v>
      </c>
      <c r="J244" s="3" t="s">
        <v>283</v>
      </c>
      <c r="K244" s="22">
        <v>20</v>
      </c>
      <c r="L244" s="17">
        <v>7.2900000000000009</v>
      </c>
      <c r="M244" s="54">
        <v>65.610000000000014</v>
      </c>
      <c r="N244" s="4">
        <v>16.4025</v>
      </c>
      <c r="O24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65.610000000000014</v>
      </c>
      <c r="T244"/>
    </row>
    <row r="245" spans="1:20" hidden="1" x14ac:dyDescent="0.35">
      <c r="A245" s="3" t="s">
        <v>199</v>
      </c>
      <c r="B245" s="4">
        <v>372</v>
      </c>
      <c r="C245" s="4">
        <v>10</v>
      </c>
      <c r="D245" s="4">
        <v>328.4</v>
      </c>
      <c r="E245" s="4">
        <v>202</v>
      </c>
      <c r="F245" s="4">
        <v>72.099999999999994</v>
      </c>
      <c r="G245" s="2">
        <v>19</v>
      </c>
      <c r="H245" s="4">
        <v>163.5</v>
      </c>
      <c r="I245" s="4">
        <v>-38.5</v>
      </c>
      <c r="J245" s="3" t="s">
        <v>283</v>
      </c>
      <c r="K245" s="22">
        <v>20</v>
      </c>
      <c r="L245" s="17">
        <v>0</v>
      </c>
      <c r="M245" s="54">
        <v>158.35000000000002</v>
      </c>
      <c r="N245" s="4">
        <v>-14.625</v>
      </c>
      <c r="O24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45"/>
    </row>
    <row r="246" spans="1:20" hidden="1" x14ac:dyDescent="0.35">
      <c r="A246" s="3" t="s">
        <v>201</v>
      </c>
      <c r="B246" s="4">
        <v>99</v>
      </c>
      <c r="C246" s="4">
        <v>0</v>
      </c>
      <c r="D246" s="4">
        <v>0</v>
      </c>
      <c r="E246" s="4">
        <v>0</v>
      </c>
      <c r="F246" s="4">
        <v>18.100000000000001</v>
      </c>
      <c r="G246" s="2">
        <v>14</v>
      </c>
      <c r="H246" s="4">
        <v>80.900000000000006</v>
      </c>
      <c r="I246" s="4">
        <v>80.900000000000006</v>
      </c>
      <c r="J246" s="3" t="s">
        <v>283</v>
      </c>
      <c r="K246" s="22">
        <v>20</v>
      </c>
      <c r="L246" s="17">
        <v>6.0900000000000007</v>
      </c>
      <c r="M246" s="54">
        <v>54.810000000000009</v>
      </c>
      <c r="N246" s="4">
        <v>13.702500000000001</v>
      </c>
      <c r="O24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54.810000000000009</v>
      </c>
      <c r="T246"/>
    </row>
    <row r="247" spans="1:20" hidden="1" x14ac:dyDescent="0.35">
      <c r="A247" s="3" t="s">
        <v>203</v>
      </c>
      <c r="B247" s="4">
        <v>58</v>
      </c>
      <c r="C247" s="4">
        <v>0</v>
      </c>
      <c r="D247" s="4">
        <v>0</v>
      </c>
      <c r="E247" s="4">
        <v>0</v>
      </c>
      <c r="F247" s="4">
        <v>6.47</v>
      </c>
      <c r="G247" s="2">
        <v>14</v>
      </c>
      <c r="H247" s="4">
        <v>51.53</v>
      </c>
      <c r="I247" s="4">
        <v>51.53</v>
      </c>
      <c r="J247" s="3" t="s">
        <v>283</v>
      </c>
      <c r="K247" s="22">
        <v>20</v>
      </c>
      <c r="L247" s="17">
        <v>3.1530000000000005</v>
      </c>
      <c r="M247" s="54">
        <v>28.377000000000002</v>
      </c>
      <c r="N247" s="4">
        <v>7.0942499999999997</v>
      </c>
      <c r="O24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28.377000000000002</v>
      </c>
      <c r="T247"/>
    </row>
    <row r="248" spans="1:20" hidden="1" x14ac:dyDescent="0.35">
      <c r="A248" s="3" t="s">
        <v>202</v>
      </c>
      <c r="B248" s="4">
        <v>64</v>
      </c>
      <c r="C248" s="4">
        <v>0</v>
      </c>
      <c r="D248" s="4">
        <v>0</v>
      </c>
      <c r="E248" s="4">
        <v>0</v>
      </c>
      <c r="F248" s="4">
        <v>12.14</v>
      </c>
      <c r="G248" s="2">
        <v>13</v>
      </c>
      <c r="H248" s="4">
        <v>51.86</v>
      </c>
      <c r="I248" s="4">
        <v>51.86</v>
      </c>
      <c r="J248" s="3" t="s">
        <v>283</v>
      </c>
      <c r="K248" s="22">
        <v>20</v>
      </c>
      <c r="L248" s="17">
        <v>3.1859999999999999</v>
      </c>
      <c r="M248" s="54">
        <v>28.673999999999999</v>
      </c>
      <c r="N248" s="4">
        <v>7.1684999999999999</v>
      </c>
      <c r="O24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28.673999999999999</v>
      </c>
      <c r="T248"/>
    </row>
    <row r="249" spans="1:20" hidden="1" x14ac:dyDescent="0.35">
      <c r="A249" s="3" t="s">
        <v>401</v>
      </c>
      <c r="B249" s="4">
        <v>0</v>
      </c>
      <c r="C249" s="4">
        <v>0</v>
      </c>
      <c r="D249" s="4">
        <v>0</v>
      </c>
      <c r="E249" s="4">
        <v>0</v>
      </c>
      <c r="F249" s="4">
        <v>0</v>
      </c>
      <c r="G249" s="2">
        <v>0</v>
      </c>
      <c r="H249" s="4">
        <v>0</v>
      </c>
      <c r="I249" s="4">
        <v>0</v>
      </c>
      <c r="J249" s="3" t="s">
        <v>283</v>
      </c>
      <c r="K249" s="22">
        <v>0</v>
      </c>
      <c r="L249" s="17"/>
      <c r="M249" s="54"/>
      <c r="N249" s="4"/>
      <c r="O249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49"/>
    </row>
    <row r="250" spans="1:20" hidden="1" x14ac:dyDescent="0.35">
      <c r="A250" s="3" t="s">
        <v>402</v>
      </c>
      <c r="B250" s="4">
        <v>0</v>
      </c>
      <c r="C250" s="4">
        <v>0</v>
      </c>
      <c r="D250" s="4">
        <v>0</v>
      </c>
      <c r="E250" s="4">
        <v>0</v>
      </c>
      <c r="F250" s="4">
        <v>0</v>
      </c>
      <c r="G250" s="2">
        <v>0</v>
      </c>
      <c r="H250" s="4">
        <v>0</v>
      </c>
      <c r="I250" s="4">
        <v>0</v>
      </c>
      <c r="J250" s="3" t="s">
        <v>283</v>
      </c>
      <c r="K250" s="22">
        <v>0</v>
      </c>
      <c r="L250" s="17"/>
      <c r="M250" s="54"/>
      <c r="N250" s="4"/>
      <c r="O250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50"/>
    </row>
    <row r="251" spans="1:20" hidden="1" x14ac:dyDescent="0.35">
      <c r="A251" s="3" t="s">
        <v>403</v>
      </c>
      <c r="B251" s="4">
        <v>0</v>
      </c>
      <c r="C251" s="4">
        <v>0</v>
      </c>
      <c r="D251" s="4">
        <v>0</v>
      </c>
      <c r="E251" s="4">
        <v>0</v>
      </c>
      <c r="F251" s="4">
        <v>0</v>
      </c>
      <c r="G251" s="2">
        <v>0</v>
      </c>
      <c r="H251" s="4">
        <v>0</v>
      </c>
      <c r="I251" s="4">
        <v>0</v>
      </c>
      <c r="J251" s="3" t="s">
        <v>283</v>
      </c>
      <c r="K251" s="22">
        <v>0</v>
      </c>
      <c r="L251" s="17"/>
      <c r="M251" s="54"/>
      <c r="N251" s="4"/>
      <c r="O25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51"/>
    </row>
    <row r="252" spans="1:20" hidden="1" x14ac:dyDescent="0.35">
      <c r="A252" s="3" t="s">
        <v>310</v>
      </c>
      <c r="B252" s="4">
        <v>1378</v>
      </c>
      <c r="C252" s="4">
        <v>30</v>
      </c>
      <c r="D252" s="4">
        <v>2519.5</v>
      </c>
      <c r="E252" s="4">
        <v>0</v>
      </c>
      <c r="F252" s="4">
        <v>189.15</v>
      </c>
      <c r="G252" s="2">
        <v>25</v>
      </c>
      <c r="H252" s="4">
        <v>-1360.65</v>
      </c>
      <c r="I252" s="4">
        <v>-1360.65</v>
      </c>
      <c r="J252" s="3" t="s">
        <v>283</v>
      </c>
      <c r="K252" s="22">
        <v>20</v>
      </c>
      <c r="L252" s="17">
        <v>0</v>
      </c>
      <c r="M252" s="54">
        <v>-1215.585</v>
      </c>
      <c r="N252" s="4">
        <v>-345.16250000000002</v>
      </c>
      <c r="O25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2"/>
    </row>
    <row r="253" spans="1:20" hidden="1" x14ac:dyDescent="0.35">
      <c r="A253" s="3" t="s">
        <v>404</v>
      </c>
      <c r="B253" s="4">
        <v>0</v>
      </c>
      <c r="C253" s="4">
        <v>0</v>
      </c>
      <c r="D253" s="4">
        <v>0</v>
      </c>
      <c r="E253" s="4">
        <v>0</v>
      </c>
      <c r="F253" s="4">
        <v>0</v>
      </c>
      <c r="G253" s="2">
        <v>0</v>
      </c>
      <c r="H253" s="4">
        <v>0</v>
      </c>
      <c r="I253" s="4">
        <v>0</v>
      </c>
      <c r="J253" s="3" t="s">
        <v>283</v>
      </c>
      <c r="K253" s="22">
        <v>0</v>
      </c>
      <c r="L253" s="17"/>
      <c r="M253" s="54"/>
      <c r="N253" s="4"/>
      <c r="O253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53"/>
    </row>
    <row r="254" spans="1:20" hidden="1" x14ac:dyDescent="0.35">
      <c r="A254" s="3" t="s">
        <v>211</v>
      </c>
      <c r="B254" s="4">
        <v>38.5</v>
      </c>
      <c r="C254" s="4">
        <v>0</v>
      </c>
      <c r="D254" s="4">
        <v>97.16</v>
      </c>
      <c r="E254" s="4">
        <v>0</v>
      </c>
      <c r="F254" s="4">
        <v>6.31</v>
      </c>
      <c r="G254" s="2">
        <v>14</v>
      </c>
      <c r="H254" s="4">
        <v>-64.97</v>
      </c>
      <c r="I254" s="4">
        <v>-64.97</v>
      </c>
      <c r="J254" s="3" t="s">
        <v>283</v>
      </c>
      <c r="K254" s="22">
        <v>20</v>
      </c>
      <c r="L254" s="17">
        <v>0</v>
      </c>
      <c r="M254" s="54">
        <v>-76.472999999999999</v>
      </c>
      <c r="N254" s="4">
        <v>-21.2425</v>
      </c>
      <c r="O25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4"/>
    </row>
    <row r="255" spans="1:20" hidden="1" x14ac:dyDescent="0.35">
      <c r="A255" s="3" t="s">
        <v>209</v>
      </c>
      <c r="B255" s="4">
        <v>29</v>
      </c>
      <c r="C255" s="4">
        <v>0</v>
      </c>
      <c r="D255" s="4">
        <v>0</v>
      </c>
      <c r="E255" s="4">
        <v>0</v>
      </c>
      <c r="F255" s="4">
        <v>4.6500000000000004</v>
      </c>
      <c r="G255" s="2">
        <v>5</v>
      </c>
      <c r="H255" s="4">
        <v>24.35</v>
      </c>
      <c r="I255" s="4">
        <v>24.35</v>
      </c>
      <c r="J255" s="3" t="s">
        <v>283</v>
      </c>
      <c r="K255" s="22">
        <v>20</v>
      </c>
      <c r="L255" s="17">
        <v>0.43500000000000016</v>
      </c>
      <c r="M255" s="54">
        <v>3.9150000000000014</v>
      </c>
      <c r="N255" s="4">
        <v>0.97875000000000001</v>
      </c>
      <c r="O25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3.9150000000000014</v>
      </c>
      <c r="T255"/>
    </row>
    <row r="256" spans="1:20" hidden="1" x14ac:dyDescent="0.35">
      <c r="A256" s="3" t="s">
        <v>212</v>
      </c>
      <c r="B256" s="4">
        <v>328</v>
      </c>
      <c r="C256" s="4">
        <v>0</v>
      </c>
      <c r="D256" s="4">
        <v>388.7</v>
      </c>
      <c r="E256" s="4">
        <v>0</v>
      </c>
      <c r="F256" s="4">
        <v>50.4</v>
      </c>
      <c r="G256" s="2">
        <v>21</v>
      </c>
      <c r="H256" s="4">
        <v>-111.1</v>
      </c>
      <c r="I256" s="4">
        <v>-111.1</v>
      </c>
      <c r="J256" s="3" t="s">
        <v>283</v>
      </c>
      <c r="K256" s="22">
        <v>20</v>
      </c>
      <c r="L256" s="17">
        <v>0</v>
      </c>
      <c r="M256" s="54">
        <v>-117.99</v>
      </c>
      <c r="N256" s="4">
        <v>-32.774999999999999</v>
      </c>
      <c r="O25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6"/>
    </row>
    <row r="257" spans="1:20" hidden="1" x14ac:dyDescent="0.35">
      <c r="A257" s="3" t="s">
        <v>210</v>
      </c>
      <c r="B257" s="4">
        <v>422.5</v>
      </c>
      <c r="C257" s="4">
        <v>50</v>
      </c>
      <c r="D257" s="4">
        <v>300.54000000000002</v>
      </c>
      <c r="E257" s="4">
        <v>0</v>
      </c>
      <c r="F257" s="4">
        <v>61.04</v>
      </c>
      <c r="G257" s="2">
        <v>15</v>
      </c>
      <c r="H257" s="4">
        <v>10.92</v>
      </c>
      <c r="I257" s="4">
        <v>10.92</v>
      </c>
      <c r="J257" s="3" t="s">
        <v>283</v>
      </c>
      <c r="K257" s="22">
        <v>20</v>
      </c>
      <c r="L257" s="17">
        <v>4.0919999999999979</v>
      </c>
      <c r="M257" s="54">
        <v>36.827999999999982</v>
      </c>
      <c r="N257" s="4">
        <v>-3.2930000000000001</v>
      </c>
      <c r="O25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36.827999999999982</v>
      </c>
      <c r="T257"/>
    </row>
    <row r="258" spans="1:20" hidden="1" x14ac:dyDescent="0.35">
      <c r="A258" s="3" t="s">
        <v>213</v>
      </c>
      <c r="B258" s="4">
        <v>323</v>
      </c>
      <c r="C258" s="4">
        <v>0</v>
      </c>
      <c r="D258" s="4">
        <v>0</v>
      </c>
      <c r="E258" s="4">
        <v>0</v>
      </c>
      <c r="F258" s="4">
        <v>58.15</v>
      </c>
      <c r="G258" s="2">
        <v>12</v>
      </c>
      <c r="H258" s="4">
        <v>264.85000000000002</v>
      </c>
      <c r="I258" s="4">
        <v>264.85000000000002</v>
      </c>
      <c r="J258" s="3" t="s">
        <v>284</v>
      </c>
      <c r="K258" s="22">
        <v>20</v>
      </c>
      <c r="L258" s="17">
        <v>0</v>
      </c>
      <c r="M258" s="54">
        <v>244.85000000000002</v>
      </c>
      <c r="N258" s="4">
        <v>24.484999999999999</v>
      </c>
      <c r="O25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8"/>
    </row>
    <row r="259" spans="1:20" hidden="1" x14ac:dyDescent="0.35">
      <c r="A259" s="3" t="s">
        <v>214</v>
      </c>
      <c r="B259" s="4">
        <v>4833.1000000000004</v>
      </c>
      <c r="C259" s="4">
        <v>0</v>
      </c>
      <c r="D259" s="4">
        <v>1717.05</v>
      </c>
      <c r="E259" s="4">
        <v>0</v>
      </c>
      <c r="F259" s="4">
        <v>803.26</v>
      </c>
      <c r="G259" s="2">
        <v>59</v>
      </c>
      <c r="H259" s="4">
        <v>2312.79</v>
      </c>
      <c r="I259" s="4">
        <v>2312.79</v>
      </c>
      <c r="J259" s="3" t="s">
        <v>285</v>
      </c>
      <c r="K259" s="22">
        <v>0</v>
      </c>
      <c r="L259" s="17">
        <v>0</v>
      </c>
      <c r="M259" s="54">
        <v>2312.79</v>
      </c>
      <c r="N259" s="4">
        <v>0</v>
      </c>
      <c r="O25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59"/>
    </row>
    <row r="260" spans="1:20" hidden="1" x14ac:dyDescent="0.35">
      <c r="A260" s="3" t="s">
        <v>215</v>
      </c>
      <c r="B260" s="4">
        <v>1086</v>
      </c>
      <c r="C260" s="4">
        <v>52</v>
      </c>
      <c r="D260" s="4">
        <v>0</v>
      </c>
      <c r="E260" s="4">
        <v>0</v>
      </c>
      <c r="F260" s="4">
        <v>195.66</v>
      </c>
      <c r="G260" s="2">
        <v>60</v>
      </c>
      <c r="H260" s="4">
        <v>838.34</v>
      </c>
      <c r="I260" s="4">
        <v>838.34</v>
      </c>
      <c r="J260" s="3" t="s">
        <v>286</v>
      </c>
      <c r="K260" s="22">
        <v>0</v>
      </c>
      <c r="L260" s="17">
        <v>89.034000000000006</v>
      </c>
      <c r="M260" s="54">
        <v>801.30600000000004</v>
      </c>
      <c r="N260" s="4">
        <v>74.930599999999998</v>
      </c>
      <c r="O26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801.30600000000004</v>
      </c>
      <c r="T260"/>
    </row>
    <row r="261" spans="1:20" hidden="1" x14ac:dyDescent="0.35">
      <c r="A261" s="3" t="s">
        <v>405</v>
      </c>
      <c r="B261" s="4">
        <v>0</v>
      </c>
      <c r="C261" s="4">
        <v>0</v>
      </c>
      <c r="D261" s="4">
        <v>0</v>
      </c>
      <c r="E261" s="4">
        <v>0</v>
      </c>
      <c r="F261" s="4">
        <v>0</v>
      </c>
      <c r="G261" s="2">
        <v>0</v>
      </c>
      <c r="H261" s="4">
        <v>0</v>
      </c>
      <c r="I261" s="4">
        <v>0</v>
      </c>
      <c r="J261" s="3" t="s">
        <v>286</v>
      </c>
      <c r="K261" s="22">
        <v>0</v>
      </c>
      <c r="L261" s="17"/>
      <c r="M261" s="54"/>
      <c r="N261" s="4"/>
      <c r="O261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61"/>
    </row>
    <row r="262" spans="1:20" hidden="1" x14ac:dyDescent="0.35">
      <c r="A262" s="3" t="s">
        <v>406</v>
      </c>
      <c r="B262" s="4">
        <v>0</v>
      </c>
      <c r="C262" s="4">
        <v>0</v>
      </c>
      <c r="D262" s="4">
        <v>0</v>
      </c>
      <c r="E262" s="4">
        <v>0</v>
      </c>
      <c r="F262" s="4">
        <v>0</v>
      </c>
      <c r="G262" s="2">
        <v>0</v>
      </c>
      <c r="H262" s="4">
        <v>0</v>
      </c>
      <c r="I262" s="4">
        <v>0</v>
      </c>
      <c r="J262" s="3" t="s">
        <v>287</v>
      </c>
      <c r="K262" s="22">
        <v>0</v>
      </c>
      <c r="L262" s="17"/>
      <c r="M262" s="54"/>
      <c r="N262" s="4"/>
      <c r="O262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62"/>
    </row>
    <row r="263" spans="1:20" hidden="1" x14ac:dyDescent="0.35">
      <c r="A263" s="3" t="s">
        <v>407</v>
      </c>
      <c r="B263" s="4">
        <v>0</v>
      </c>
      <c r="C263" s="4">
        <v>0</v>
      </c>
      <c r="D263" s="4">
        <v>0</v>
      </c>
      <c r="E263" s="4">
        <v>0</v>
      </c>
      <c r="F263" s="4">
        <v>0</v>
      </c>
      <c r="G263" s="2">
        <v>0</v>
      </c>
      <c r="H263" s="4">
        <v>0</v>
      </c>
      <c r="I263" s="4">
        <v>0</v>
      </c>
      <c r="J263" s="3" t="s">
        <v>287</v>
      </c>
      <c r="K263" s="22">
        <v>0</v>
      </c>
      <c r="L263" s="17"/>
      <c r="M263" s="54"/>
      <c r="N263" s="4"/>
      <c r="O263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63"/>
    </row>
    <row r="264" spans="1:20" hidden="1" x14ac:dyDescent="0.35">
      <c r="A264" s="3" t="s">
        <v>218</v>
      </c>
      <c r="B264" s="4">
        <v>240</v>
      </c>
      <c r="C264" s="4">
        <v>50</v>
      </c>
      <c r="D264" s="4">
        <v>97.75</v>
      </c>
      <c r="E264" s="4">
        <v>0</v>
      </c>
      <c r="F264" s="4">
        <v>26.6</v>
      </c>
      <c r="G264" s="2">
        <v>15</v>
      </c>
      <c r="H264" s="4">
        <v>65.650000000000006</v>
      </c>
      <c r="I264" s="4">
        <v>65.650000000000006</v>
      </c>
      <c r="J264" s="3" t="s">
        <v>287</v>
      </c>
      <c r="K264" s="22">
        <v>0</v>
      </c>
      <c r="L264" s="17">
        <v>11.565000000000001</v>
      </c>
      <c r="M264" s="54">
        <v>104.08500000000001</v>
      </c>
      <c r="N264" s="4">
        <v>5.4085000000000001</v>
      </c>
      <c r="O26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104.08500000000001</v>
      </c>
      <c r="T264"/>
    </row>
    <row r="265" spans="1:20" hidden="1" x14ac:dyDescent="0.35">
      <c r="A265" s="3" t="s">
        <v>219</v>
      </c>
      <c r="B265" s="4">
        <v>98</v>
      </c>
      <c r="C265" s="4">
        <v>5</v>
      </c>
      <c r="D265" s="4">
        <v>9.8000000000000007</v>
      </c>
      <c r="E265" s="4">
        <v>0</v>
      </c>
      <c r="F265" s="4">
        <v>17.71</v>
      </c>
      <c r="G265" s="2">
        <v>20</v>
      </c>
      <c r="H265" s="4">
        <v>65.489999999999995</v>
      </c>
      <c r="I265" s="4">
        <v>65.489999999999995</v>
      </c>
      <c r="J265" s="3" t="s">
        <v>287</v>
      </c>
      <c r="K265" s="22">
        <v>0</v>
      </c>
      <c r="L265" s="17">
        <v>7.0490000000000013</v>
      </c>
      <c r="M265" s="54">
        <v>63.44100000000001</v>
      </c>
      <c r="N265" s="4">
        <v>5.8441000000000001</v>
      </c>
      <c r="O26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63.44100000000001</v>
      </c>
      <c r="T265"/>
    </row>
    <row r="266" spans="1:20" hidden="1" x14ac:dyDescent="0.35">
      <c r="A266" s="3" t="s">
        <v>408</v>
      </c>
      <c r="B266" s="4">
        <v>0</v>
      </c>
      <c r="C266" s="4">
        <v>0</v>
      </c>
      <c r="D266" s="4">
        <v>0</v>
      </c>
      <c r="E266" s="4">
        <v>0</v>
      </c>
      <c r="F266" s="4">
        <v>0</v>
      </c>
      <c r="G266" s="2">
        <v>0</v>
      </c>
      <c r="H266" s="4">
        <v>0</v>
      </c>
      <c r="I266" s="4">
        <v>0</v>
      </c>
      <c r="J266" s="3" t="s">
        <v>287</v>
      </c>
      <c r="K266" s="22">
        <v>0</v>
      </c>
      <c r="L266" s="17"/>
      <c r="M266" s="54"/>
      <c r="N266" s="4"/>
      <c r="O266" s="53" t="e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#N/A</v>
      </c>
      <c r="T266"/>
    </row>
    <row r="267" spans="1:20" hidden="1" x14ac:dyDescent="0.35">
      <c r="A267" s="3" t="s">
        <v>220</v>
      </c>
      <c r="B267" s="4">
        <v>107</v>
      </c>
      <c r="C267" s="4">
        <v>47</v>
      </c>
      <c r="D267" s="4">
        <v>0</v>
      </c>
      <c r="E267" s="4">
        <v>0</v>
      </c>
      <c r="F267" s="4">
        <v>11.4</v>
      </c>
      <c r="G267" s="2">
        <v>11</v>
      </c>
      <c r="H267" s="4">
        <v>48.6</v>
      </c>
      <c r="I267" s="4">
        <v>48.6</v>
      </c>
      <c r="J267" s="3" t="s">
        <v>287</v>
      </c>
      <c r="K267" s="22">
        <v>0</v>
      </c>
      <c r="L267" s="17">
        <v>9.56</v>
      </c>
      <c r="M267" s="54">
        <v>86.039999999999992</v>
      </c>
      <c r="N267" s="4">
        <v>3.9039999999999999</v>
      </c>
      <c r="O26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86.039999999999992</v>
      </c>
      <c r="T267"/>
    </row>
    <row r="268" spans="1:20" hidden="1" x14ac:dyDescent="0.35">
      <c r="A268" s="3" t="s">
        <v>216</v>
      </c>
      <c r="B268" s="4">
        <v>463</v>
      </c>
      <c r="C268" s="4">
        <v>18</v>
      </c>
      <c r="D268" s="4">
        <v>0</v>
      </c>
      <c r="E268" s="4">
        <v>0</v>
      </c>
      <c r="F268" s="4">
        <v>82.23</v>
      </c>
      <c r="G268" s="2">
        <v>58</v>
      </c>
      <c r="H268" s="4">
        <v>362.77</v>
      </c>
      <c r="I268" s="4">
        <v>362.77</v>
      </c>
      <c r="J268" s="3" t="s">
        <v>287</v>
      </c>
      <c r="K268" s="22">
        <v>0</v>
      </c>
      <c r="L268" s="17">
        <v>38.076999999999998</v>
      </c>
      <c r="M268" s="54">
        <v>342.69299999999998</v>
      </c>
      <c r="N268" s="4">
        <v>32.469299999999997</v>
      </c>
      <c r="O26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342.69299999999998</v>
      </c>
      <c r="T268"/>
    </row>
    <row r="269" spans="1:20" hidden="1" x14ac:dyDescent="0.35">
      <c r="A269" s="3" t="s">
        <v>217</v>
      </c>
      <c r="B269" s="4">
        <v>298</v>
      </c>
      <c r="C269" s="4">
        <v>15</v>
      </c>
      <c r="D269" s="4">
        <v>0</v>
      </c>
      <c r="E269" s="4">
        <v>0</v>
      </c>
      <c r="F269" s="4">
        <v>52.46</v>
      </c>
      <c r="G269" s="2">
        <v>48</v>
      </c>
      <c r="H269" s="4">
        <v>230.54</v>
      </c>
      <c r="I269" s="4">
        <v>230.54</v>
      </c>
      <c r="J269" s="3" t="s">
        <v>287</v>
      </c>
      <c r="K269" s="22">
        <v>0</v>
      </c>
      <c r="L269" s="17">
        <v>24.554000000000002</v>
      </c>
      <c r="M269" s="54">
        <v>220.98599999999999</v>
      </c>
      <c r="N269" s="4">
        <v>20.598600000000001</v>
      </c>
      <c r="O26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220.98599999999999</v>
      </c>
      <c r="T269"/>
    </row>
    <row r="270" spans="1:20" hidden="1" x14ac:dyDescent="0.35">
      <c r="A270" s="3" t="s">
        <v>226</v>
      </c>
      <c r="B270" s="4">
        <v>164</v>
      </c>
      <c r="C270" s="4">
        <v>0</v>
      </c>
      <c r="D270" s="4">
        <v>0</v>
      </c>
      <c r="E270" s="4">
        <v>0</v>
      </c>
      <c r="F270" s="4">
        <v>28.35</v>
      </c>
      <c r="G270" s="2">
        <v>18</v>
      </c>
      <c r="H270" s="4">
        <v>135.65</v>
      </c>
      <c r="I270" s="4">
        <v>135.65</v>
      </c>
      <c r="J270" s="3" t="s">
        <v>288</v>
      </c>
      <c r="K270" s="22">
        <v>0</v>
      </c>
      <c r="L270" s="17">
        <v>0</v>
      </c>
      <c r="M270" s="54">
        <v>122.08500000000001</v>
      </c>
      <c r="N270" s="4">
        <v>33.912500000000001</v>
      </c>
      <c r="O27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122.08500000000001</v>
      </c>
      <c r="T270"/>
    </row>
    <row r="271" spans="1:20" hidden="1" x14ac:dyDescent="0.35">
      <c r="A271" s="3" t="s">
        <v>230</v>
      </c>
      <c r="B271" s="4">
        <v>184.5</v>
      </c>
      <c r="C271" s="4">
        <v>34</v>
      </c>
      <c r="D271" s="4">
        <v>30.62</v>
      </c>
      <c r="E271" s="4">
        <v>0</v>
      </c>
      <c r="F271" s="4">
        <v>26.93</v>
      </c>
      <c r="G271" s="2">
        <v>29</v>
      </c>
      <c r="H271" s="4">
        <v>92.95</v>
      </c>
      <c r="I271" s="4">
        <v>92.95</v>
      </c>
      <c r="J271" s="3" t="s">
        <v>288</v>
      </c>
      <c r="K271" s="22">
        <v>0</v>
      </c>
      <c r="L271" s="17">
        <v>0</v>
      </c>
      <c r="M271" s="54">
        <v>114.255</v>
      </c>
      <c r="N271" s="4">
        <v>23.237500000000001</v>
      </c>
      <c r="O27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114.255</v>
      </c>
      <c r="T271"/>
    </row>
    <row r="272" spans="1:20" hidden="1" x14ac:dyDescent="0.35">
      <c r="A272" s="3" t="s">
        <v>241</v>
      </c>
      <c r="B272" s="4">
        <v>40</v>
      </c>
      <c r="C272" s="4">
        <v>0</v>
      </c>
      <c r="D272" s="4">
        <v>17.399999999999999</v>
      </c>
      <c r="E272" s="4">
        <v>0</v>
      </c>
      <c r="F272" s="4">
        <v>5.95</v>
      </c>
      <c r="G272" s="2">
        <v>7</v>
      </c>
      <c r="H272" s="4">
        <v>16.649999999999999</v>
      </c>
      <c r="I272" s="4">
        <v>16.649999999999999</v>
      </c>
      <c r="J272" s="3" t="s">
        <v>288</v>
      </c>
      <c r="K272" s="22">
        <v>0</v>
      </c>
      <c r="L272" s="17">
        <v>0</v>
      </c>
      <c r="M272" s="54">
        <v>14.985000000000003</v>
      </c>
      <c r="N272" s="4">
        <v>4.1624999999999996</v>
      </c>
      <c r="O27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14.985000000000003</v>
      </c>
      <c r="T272"/>
    </row>
    <row r="273" spans="1:20" hidden="1" x14ac:dyDescent="0.35">
      <c r="A273" s="3" t="s">
        <v>227</v>
      </c>
      <c r="B273" s="4">
        <v>145</v>
      </c>
      <c r="C273" s="4">
        <v>0</v>
      </c>
      <c r="D273" s="4">
        <v>0</v>
      </c>
      <c r="E273" s="4">
        <v>0</v>
      </c>
      <c r="F273" s="4">
        <v>28.7</v>
      </c>
      <c r="G273" s="2">
        <v>5</v>
      </c>
      <c r="H273" s="4">
        <v>116.3</v>
      </c>
      <c r="I273" s="4">
        <v>116.3</v>
      </c>
      <c r="J273" s="3" t="s">
        <v>288</v>
      </c>
      <c r="K273" s="22">
        <v>0</v>
      </c>
      <c r="L273" s="17">
        <v>0</v>
      </c>
      <c r="M273" s="54">
        <v>104.67</v>
      </c>
      <c r="N273" s="4">
        <v>29.074999999999999</v>
      </c>
      <c r="O27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104.67</v>
      </c>
      <c r="T273"/>
    </row>
    <row r="274" spans="1:20" hidden="1" x14ac:dyDescent="0.35">
      <c r="A274" s="3" t="s">
        <v>235</v>
      </c>
      <c r="B274" s="4">
        <v>66</v>
      </c>
      <c r="C274" s="4">
        <v>0</v>
      </c>
      <c r="D274" s="4">
        <v>0</v>
      </c>
      <c r="E274" s="4">
        <v>0</v>
      </c>
      <c r="F274" s="4">
        <v>11.46</v>
      </c>
      <c r="G274" s="2">
        <v>4</v>
      </c>
      <c r="H274" s="4">
        <v>54.54</v>
      </c>
      <c r="I274" s="4">
        <v>54.54</v>
      </c>
      <c r="J274" s="3" t="s">
        <v>288</v>
      </c>
      <c r="K274" s="22">
        <v>0</v>
      </c>
      <c r="L274" s="17">
        <v>0</v>
      </c>
      <c r="M274" s="54">
        <v>49.085999999999999</v>
      </c>
      <c r="N274" s="4">
        <v>13.635</v>
      </c>
      <c r="O27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49.085999999999999</v>
      </c>
      <c r="T274"/>
    </row>
    <row r="275" spans="1:20" hidden="1" x14ac:dyDescent="0.35">
      <c r="A275" s="3" t="s">
        <v>223</v>
      </c>
      <c r="B275" s="4">
        <v>253</v>
      </c>
      <c r="C275" s="4">
        <v>5</v>
      </c>
      <c r="D275" s="4">
        <v>0</v>
      </c>
      <c r="E275" s="4">
        <v>0</v>
      </c>
      <c r="F275" s="4">
        <v>46.09</v>
      </c>
      <c r="G275" s="2">
        <v>35</v>
      </c>
      <c r="H275" s="4">
        <v>201.91</v>
      </c>
      <c r="I275" s="4">
        <v>201.91</v>
      </c>
      <c r="J275" s="3" t="s">
        <v>288</v>
      </c>
      <c r="K275" s="22">
        <v>25</v>
      </c>
      <c r="L275" s="17">
        <v>18.190999999999999</v>
      </c>
      <c r="M275" s="54">
        <v>163.71899999999999</v>
      </c>
      <c r="N275" s="4">
        <v>39.679749999999999</v>
      </c>
      <c r="O27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163.71899999999999</v>
      </c>
      <c r="T275"/>
    </row>
    <row r="276" spans="1:20" hidden="1" x14ac:dyDescent="0.35">
      <c r="A276" s="3" t="s">
        <v>222</v>
      </c>
      <c r="B276" s="4">
        <v>272</v>
      </c>
      <c r="C276" s="4">
        <v>0</v>
      </c>
      <c r="D276" s="4">
        <v>0</v>
      </c>
      <c r="E276" s="4">
        <v>0</v>
      </c>
      <c r="F276" s="4">
        <v>39.25</v>
      </c>
      <c r="G276" s="2">
        <v>18</v>
      </c>
      <c r="H276" s="4">
        <v>232.75</v>
      </c>
      <c r="I276" s="4">
        <v>232.75</v>
      </c>
      <c r="J276" s="3" t="s">
        <v>288</v>
      </c>
      <c r="K276" s="22">
        <v>25</v>
      </c>
      <c r="L276" s="17">
        <v>20.775000000000002</v>
      </c>
      <c r="M276" s="54">
        <v>186.97499999999999</v>
      </c>
      <c r="N276" s="4">
        <v>46.743749999999999</v>
      </c>
      <c r="O27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186.97499999999999</v>
      </c>
      <c r="T276"/>
    </row>
    <row r="277" spans="1:20" hidden="1" x14ac:dyDescent="0.35">
      <c r="A277" s="3" t="s">
        <v>234</v>
      </c>
      <c r="B277" s="4">
        <v>111.5</v>
      </c>
      <c r="C277" s="4">
        <v>0</v>
      </c>
      <c r="D277" s="4">
        <v>33.200000000000003</v>
      </c>
      <c r="E277" s="4">
        <v>0</v>
      </c>
      <c r="F277" s="4">
        <v>13.77</v>
      </c>
      <c r="G277" s="2">
        <v>25</v>
      </c>
      <c r="H277" s="4">
        <v>64.53</v>
      </c>
      <c r="I277" s="4">
        <v>64.53</v>
      </c>
      <c r="J277" s="3" t="s">
        <v>288</v>
      </c>
      <c r="K277" s="22">
        <v>0</v>
      </c>
      <c r="L277" s="17">
        <v>0</v>
      </c>
      <c r="M277" s="54">
        <v>58.077000000000005</v>
      </c>
      <c r="N277" s="4">
        <v>16.1325</v>
      </c>
      <c r="O27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58.077000000000005</v>
      </c>
      <c r="T277"/>
    </row>
    <row r="278" spans="1:20" hidden="1" x14ac:dyDescent="0.35">
      <c r="A278" s="3" t="s">
        <v>225</v>
      </c>
      <c r="B278" s="4">
        <v>234</v>
      </c>
      <c r="C278" s="4">
        <v>0</v>
      </c>
      <c r="D278" s="4">
        <v>43.06</v>
      </c>
      <c r="E278" s="4">
        <v>0</v>
      </c>
      <c r="F278" s="4">
        <v>32.159999999999997</v>
      </c>
      <c r="G278" s="2">
        <v>47</v>
      </c>
      <c r="H278" s="4">
        <v>158.78</v>
      </c>
      <c r="I278" s="4">
        <v>158.78</v>
      </c>
      <c r="J278" s="3" t="s">
        <v>288</v>
      </c>
      <c r="K278" s="22">
        <v>0</v>
      </c>
      <c r="L278" s="17">
        <v>0</v>
      </c>
      <c r="M278" s="54">
        <v>142.90200000000002</v>
      </c>
      <c r="N278" s="4">
        <v>39.695</v>
      </c>
      <c r="O27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142.90200000000002</v>
      </c>
      <c r="T278"/>
    </row>
    <row r="279" spans="1:20" hidden="1" x14ac:dyDescent="0.35">
      <c r="A279" s="3" t="s">
        <v>224</v>
      </c>
      <c r="B279" s="4">
        <v>215.8</v>
      </c>
      <c r="C279" s="4">
        <v>8</v>
      </c>
      <c r="D279" s="4">
        <v>0</v>
      </c>
      <c r="E279" s="4">
        <v>0</v>
      </c>
      <c r="F279" s="4">
        <v>35.86</v>
      </c>
      <c r="G279" s="2">
        <v>50</v>
      </c>
      <c r="H279" s="4">
        <v>171.94</v>
      </c>
      <c r="I279" s="4">
        <v>171.94</v>
      </c>
      <c r="J279" s="3" t="s">
        <v>288</v>
      </c>
      <c r="K279" s="22">
        <v>0</v>
      </c>
      <c r="L279" s="17">
        <v>0</v>
      </c>
      <c r="M279" s="54">
        <v>161.946</v>
      </c>
      <c r="N279" s="4">
        <v>42.984999999999999</v>
      </c>
      <c r="O27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161.946</v>
      </c>
      <c r="T279"/>
    </row>
    <row r="280" spans="1:20" hidden="1" x14ac:dyDescent="0.35">
      <c r="A280" s="3" t="s">
        <v>228</v>
      </c>
      <c r="B280" s="4">
        <v>207</v>
      </c>
      <c r="C280" s="4">
        <v>0</v>
      </c>
      <c r="D280" s="4">
        <v>65.14</v>
      </c>
      <c r="E280" s="4">
        <v>0</v>
      </c>
      <c r="F280" s="4">
        <v>38.97</v>
      </c>
      <c r="G280" s="2">
        <v>45</v>
      </c>
      <c r="H280" s="4">
        <v>102.89</v>
      </c>
      <c r="I280" s="4">
        <v>102.89</v>
      </c>
      <c r="J280" s="3" t="s">
        <v>288</v>
      </c>
      <c r="K280" s="22">
        <v>0</v>
      </c>
      <c r="L280" s="17">
        <v>0</v>
      </c>
      <c r="M280" s="54">
        <v>92.601000000000013</v>
      </c>
      <c r="N280" s="4">
        <v>25.7225</v>
      </c>
      <c r="O28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92.601000000000013</v>
      </c>
      <c r="T280"/>
    </row>
    <row r="281" spans="1:20" hidden="1" x14ac:dyDescent="0.35">
      <c r="A281" s="3" t="s">
        <v>229</v>
      </c>
      <c r="B281" s="4">
        <v>176.44</v>
      </c>
      <c r="C281" s="4">
        <v>26</v>
      </c>
      <c r="D281" s="4">
        <v>25.26</v>
      </c>
      <c r="E281" s="4">
        <v>0</v>
      </c>
      <c r="F281" s="4">
        <v>26.15</v>
      </c>
      <c r="G281" s="2">
        <v>38</v>
      </c>
      <c r="H281" s="4">
        <v>99.03</v>
      </c>
      <c r="I281" s="4">
        <v>99.03</v>
      </c>
      <c r="J281" s="3" t="s">
        <v>288</v>
      </c>
      <c r="K281" s="22">
        <v>0</v>
      </c>
      <c r="L281" s="17">
        <v>0</v>
      </c>
      <c r="M281" s="54">
        <v>112.527</v>
      </c>
      <c r="N281" s="4">
        <v>24.7575</v>
      </c>
      <c r="O28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112.527</v>
      </c>
      <c r="T281"/>
    </row>
    <row r="282" spans="1:20" hidden="1" x14ac:dyDescent="0.35">
      <c r="A282" s="3" t="s">
        <v>247</v>
      </c>
      <c r="B282" s="4">
        <v>45</v>
      </c>
      <c r="C282" s="4">
        <v>5</v>
      </c>
      <c r="D282" s="4">
        <v>57.05</v>
      </c>
      <c r="E282" s="4">
        <v>0</v>
      </c>
      <c r="F282" s="4">
        <v>6.6</v>
      </c>
      <c r="G282" s="2">
        <v>15</v>
      </c>
      <c r="H282" s="4">
        <v>-23.65</v>
      </c>
      <c r="I282" s="4">
        <v>-23.65</v>
      </c>
      <c r="J282" s="3" t="s">
        <v>288</v>
      </c>
      <c r="K282" s="22">
        <v>0</v>
      </c>
      <c r="L282" s="17">
        <v>0</v>
      </c>
      <c r="M282" s="54">
        <v>-16.785</v>
      </c>
      <c r="N282" s="4">
        <v>-5.9124999999999996</v>
      </c>
      <c r="O28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2"/>
    </row>
    <row r="283" spans="1:20" hidden="1" x14ac:dyDescent="0.35">
      <c r="A283" s="3" t="s">
        <v>243</v>
      </c>
      <c r="B283" s="4">
        <v>0</v>
      </c>
      <c r="C283" s="4">
        <v>0</v>
      </c>
      <c r="D283" s="4">
        <v>0</v>
      </c>
      <c r="E283" s="4">
        <v>0</v>
      </c>
      <c r="F283" s="4">
        <v>0</v>
      </c>
      <c r="G283" s="2">
        <v>0</v>
      </c>
      <c r="H283" s="4">
        <v>0</v>
      </c>
      <c r="I283" s="4">
        <v>0</v>
      </c>
      <c r="J283" s="3" t="s">
        <v>288</v>
      </c>
      <c r="K283" s="22">
        <v>0</v>
      </c>
      <c r="L283" s="17">
        <v>0</v>
      </c>
      <c r="M283" s="54">
        <v>0</v>
      </c>
      <c r="N283" s="4">
        <v>0</v>
      </c>
      <c r="O28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3"/>
    </row>
    <row r="284" spans="1:20" hidden="1" x14ac:dyDescent="0.35">
      <c r="A284" s="3" t="s">
        <v>248</v>
      </c>
      <c r="B284" s="4">
        <v>82</v>
      </c>
      <c r="C284" s="4">
        <v>0</v>
      </c>
      <c r="D284" s="4">
        <v>100</v>
      </c>
      <c r="E284" s="4">
        <v>0</v>
      </c>
      <c r="F284" s="4">
        <v>11.9</v>
      </c>
      <c r="G284" s="2">
        <v>9</v>
      </c>
      <c r="H284" s="4">
        <v>-29.9</v>
      </c>
      <c r="I284" s="4">
        <v>-29.9</v>
      </c>
      <c r="J284" s="3" t="s">
        <v>288</v>
      </c>
      <c r="K284" s="22">
        <v>0</v>
      </c>
      <c r="L284" s="17">
        <v>0</v>
      </c>
      <c r="M284" s="54">
        <v>-26.91</v>
      </c>
      <c r="N284" s="4">
        <v>-7.4749999999999996</v>
      </c>
      <c r="O28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4"/>
    </row>
    <row r="285" spans="1:20" hidden="1" x14ac:dyDescent="0.35">
      <c r="A285" s="3" t="s">
        <v>239</v>
      </c>
      <c r="B285" s="4">
        <v>142.5</v>
      </c>
      <c r="C285" s="4">
        <v>20</v>
      </c>
      <c r="D285" s="4">
        <v>82.49</v>
      </c>
      <c r="E285" s="4">
        <v>0</v>
      </c>
      <c r="F285" s="4">
        <v>14.1</v>
      </c>
      <c r="G285" s="2">
        <v>23</v>
      </c>
      <c r="H285" s="4">
        <v>25.91</v>
      </c>
      <c r="I285" s="4">
        <v>25.91</v>
      </c>
      <c r="J285" s="3" t="s">
        <v>288</v>
      </c>
      <c r="K285" s="22">
        <v>0</v>
      </c>
      <c r="L285" s="17">
        <v>0</v>
      </c>
      <c r="M285" s="54">
        <v>41.319000000000003</v>
      </c>
      <c r="N285" s="4">
        <v>6.4775</v>
      </c>
      <c r="O28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41.319000000000003</v>
      </c>
      <c r="T285"/>
    </row>
    <row r="286" spans="1:20" hidden="1" x14ac:dyDescent="0.35">
      <c r="A286" s="3" t="s">
        <v>244</v>
      </c>
      <c r="B286" s="4">
        <v>0</v>
      </c>
      <c r="C286" s="4">
        <v>0</v>
      </c>
      <c r="D286" s="4">
        <v>0</v>
      </c>
      <c r="E286" s="4">
        <v>0</v>
      </c>
      <c r="F286" s="4">
        <v>0</v>
      </c>
      <c r="G286" s="2">
        <v>0</v>
      </c>
      <c r="H286" s="4">
        <v>0</v>
      </c>
      <c r="I286" s="4">
        <v>0</v>
      </c>
      <c r="J286" s="3" t="s">
        <v>288</v>
      </c>
      <c r="K286" s="22">
        <v>0</v>
      </c>
      <c r="L286" s="17">
        <v>0</v>
      </c>
      <c r="M286" s="54">
        <v>0</v>
      </c>
      <c r="N286" s="4">
        <v>0</v>
      </c>
      <c r="O28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6"/>
    </row>
    <row r="287" spans="1:20" hidden="1" x14ac:dyDescent="0.35">
      <c r="A287" s="3" t="s">
        <v>246</v>
      </c>
      <c r="B287" s="4">
        <v>0</v>
      </c>
      <c r="C287" s="4">
        <v>0</v>
      </c>
      <c r="D287" s="4">
        <v>0</v>
      </c>
      <c r="E287" s="4">
        <v>0</v>
      </c>
      <c r="F287" s="4">
        <v>0</v>
      </c>
      <c r="G287" s="2">
        <v>0</v>
      </c>
      <c r="H287" s="4">
        <v>0</v>
      </c>
      <c r="I287" s="4">
        <v>0</v>
      </c>
      <c r="J287" s="3" t="s">
        <v>288</v>
      </c>
      <c r="K287" s="22">
        <v>0</v>
      </c>
      <c r="L287" s="17">
        <v>0</v>
      </c>
      <c r="M287" s="54">
        <v>0</v>
      </c>
      <c r="N287" s="4">
        <v>0</v>
      </c>
      <c r="O28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7"/>
    </row>
    <row r="288" spans="1:20" hidden="1" x14ac:dyDescent="0.35">
      <c r="A288" s="3" t="s">
        <v>221</v>
      </c>
      <c r="B288" s="4">
        <v>359.5</v>
      </c>
      <c r="C288" s="4">
        <v>5</v>
      </c>
      <c r="D288" s="4">
        <v>0</v>
      </c>
      <c r="E288" s="4">
        <v>0</v>
      </c>
      <c r="F288" s="4">
        <v>60.55</v>
      </c>
      <c r="G288" s="2">
        <v>38</v>
      </c>
      <c r="H288" s="4">
        <v>293.95</v>
      </c>
      <c r="I288" s="4">
        <v>293.95</v>
      </c>
      <c r="J288" s="3" t="s">
        <v>288</v>
      </c>
      <c r="K288" s="22">
        <v>25</v>
      </c>
      <c r="L288" s="17">
        <v>27.395</v>
      </c>
      <c r="M288" s="54">
        <v>246.55500000000001</v>
      </c>
      <c r="N288" s="4">
        <v>60.388750000000002</v>
      </c>
      <c r="O288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246.55500000000001</v>
      </c>
      <c r="T288"/>
    </row>
    <row r="289" spans="1:20" hidden="1" x14ac:dyDescent="0.35">
      <c r="A289" s="3" t="s">
        <v>245</v>
      </c>
      <c r="B289" s="4">
        <v>0</v>
      </c>
      <c r="C289" s="4">
        <v>0</v>
      </c>
      <c r="D289" s="4">
        <v>0</v>
      </c>
      <c r="E289" s="4">
        <v>0</v>
      </c>
      <c r="F289" s="4">
        <v>0</v>
      </c>
      <c r="G289" s="2">
        <v>0</v>
      </c>
      <c r="H289" s="4">
        <v>0</v>
      </c>
      <c r="I289" s="4">
        <v>0</v>
      </c>
      <c r="J289" s="3" t="s">
        <v>288</v>
      </c>
      <c r="K289" s="22">
        <v>0</v>
      </c>
      <c r="L289" s="17">
        <v>0</v>
      </c>
      <c r="M289" s="54">
        <v>0</v>
      </c>
      <c r="N289" s="4">
        <v>0</v>
      </c>
      <c r="O289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0</v>
      </c>
      <c r="T289"/>
    </row>
    <row r="290" spans="1:20" hidden="1" x14ac:dyDescent="0.35">
      <c r="A290" s="3" t="s">
        <v>233</v>
      </c>
      <c r="B290" s="4">
        <v>89</v>
      </c>
      <c r="C290" s="4">
        <v>0</v>
      </c>
      <c r="D290" s="4">
        <v>6</v>
      </c>
      <c r="E290" s="4">
        <v>0</v>
      </c>
      <c r="F290" s="4">
        <v>17.11</v>
      </c>
      <c r="G290" s="2">
        <v>13</v>
      </c>
      <c r="H290" s="4">
        <v>65.89</v>
      </c>
      <c r="I290" s="4">
        <v>65.89</v>
      </c>
      <c r="J290" s="3" t="s">
        <v>288</v>
      </c>
      <c r="K290" s="22">
        <v>0</v>
      </c>
      <c r="L290" s="17">
        <v>0</v>
      </c>
      <c r="M290" s="54">
        <v>59.301000000000002</v>
      </c>
      <c r="N290" s="4">
        <v>16.4725</v>
      </c>
      <c r="O290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59.301000000000002</v>
      </c>
      <c r="T290"/>
    </row>
    <row r="291" spans="1:20" hidden="1" x14ac:dyDescent="0.35">
      <c r="A291" s="3" t="s">
        <v>236</v>
      </c>
      <c r="B291" s="4">
        <v>140.5</v>
      </c>
      <c r="C291" s="4">
        <v>0</v>
      </c>
      <c r="D291" s="4">
        <v>78</v>
      </c>
      <c r="E291" s="4">
        <v>0</v>
      </c>
      <c r="F291" s="4">
        <v>22.46</v>
      </c>
      <c r="G291" s="2">
        <v>43</v>
      </c>
      <c r="H291" s="4">
        <v>40.04</v>
      </c>
      <c r="I291" s="4">
        <v>40.04</v>
      </c>
      <c r="J291" s="3" t="s">
        <v>288</v>
      </c>
      <c r="K291" s="22">
        <v>0</v>
      </c>
      <c r="L291" s="17">
        <v>0</v>
      </c>
      <c r="M291" s="54">
        <v>36.036000000000001</v>
      </c>
      <c r="N291" s="4">
        <v>10.01</v>
      </c>
      <c r="O291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36.036000000000001</v>
      </c>
      <c r="T291"/>
    </row>
    <row r="292" spans="1:20" hidden="1" x14ac:dyDescent="0.35">
      <c r="A292" s="3" t="s">
        <v>231</v>
      </c>
      <c r="B292" s="4">
        <v>109</v>
      </c>
      <c r="C292" s="4">
        <v>4</v>
      </c>
      <c r="D292" s="4">
        <v>0</v>
      </c>
      <c r="E292" s="4">
        <v>0</v>
      </c>
      <c r="F292" s="4">
        <v>19.5</v>
      </c>
      <c r="G292" s="2">
        <v>17</v>
      </c>
      <c r="H292" s="4">
        <v>85.5</v>
      </c>
      <c r="I292" s="4">
        <v>85.5</v>
      </c>
      <c r="J292" s="3" t="s">
        <v>288</v>
      </c>
      <c r="K292" s="22">
        <v>0</v>
      </c>
      <c r="L292" s="17">
        <v>0</v>
      </c>
      <c r="M292" s="54">
        <v>80.55</v>
      </c>
      <c r="N292" s="4">
        <v>21.375</v>
      </c>
      <c r="O292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80.55</v>
      </c>
      <c r="T292"/>
    </row>
    <row r="293" spans="1:20" hidden="1" x14ac:dyDescent="0.35">
      <c r="A293" s="3" t="s">
        <v>232</v>
      </c>
      <c r="B293" s="4">
        <v>87</v>
      </c>
      <c r="C293" s="4">
        <v>0</v>
      </c>
      <c r="D293" s="4">
        <v>0</v>
      </c>
      <c r="E293" s="4">
        <v>0</v>
      </c>
      <c r="F293" s="4">
        <v>14.92</v>
      </c>
      <c r="G293" s="2">
        <v>18</v>
      </c>
      <c r="H293" s="4">
        <v>72.08</v>
      </c>
      <c r="I293" s="4">
        <v>72.08</v>
      </c>
      <c r="J293" s="3" t="s">
        <v>288</v>
      </c>
      <c r="K293" s="22">
        <v>0</v>
      </c>
      <c r="L293" s="17">
        <v>0</v>
      </c>
      <c r="M293" s="54">
        <v>64.872</v>
      </c>
      <c r="N293" s="4">
        <v>18.02</v>
      </c>
      <c r="O293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64.872</v>
      </c>
      <c r="T293"/>
    </row>
    <row r="294" spans="1:20" hidden="1" x14ac:dyDescent="0.35">
      <c r="A294" s="3" t="s">
        <v>242</v>
      </c>
      <c r="B294" s="4">
        <v>9.5</v>
      </c>
      <c r="C294" s="4">
        <v>0</v>
      </c>
      <c r="D294" s="4">
        <v>0</v>
      </c>
      <c r="E294" s="4">
        <v>0</v>
      </c>
      <c r="F294" s="4">
        <v>1.9</v>
      </c>
      <c r="G294" s="2">
        <v>4</v>
      </c>
      <c r="H294" s="4">
        <v>7.6</v>
      </c>
      <c r="I294" s="4">
        <v>7.6</v>
      </c>
      <c r="J294" s="3" t="s">
        <v>288</v>
      </c>
      <c r="K294" s="22">
        <v>0</v>
      </c>
      <c r="L294" s="17">
        <v>0</v>
      </c>
      <c r="M294" s="54">
        <v>6.84</v>
      </c>
      <c r="N294" s="4">
        <v>1.9</v>
      </c>
      <c r="O294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6.84</v>
      </c>
      <c r="T294"/>
    </row>
    <row r="295" spans="1:20" hidden="1" x14ac:dyDescent="0.35">
      <c r="A295" s="3" t="s">
        <v>238</v>
      </c>
      <c r="B295" s="4">
        <v>43.5</v>
      </c>
      <c r="C295" s="4">
        <v>0</v>
      </c>
      <c r="D295" s="4">
        <v>0</v>
      </c>
      <c r="E295" s="4">
        <v>0</v>
      </c>
      <c r="F295" s="4">
        <v>7.62</v>
      </c>
      <c r="G295" s="2">
        <v>12</v>
      </c>
      <c r="H295" s="4">
        <v>35.880000000000003</v>
      </c>
      <c r="I295" s="4">
        <v>35.880000000000003</v>
      </c>
      <c r="J295" s="3" t="s">
        <v>288</v>
      </c>
      <c r="K295" s="22">
        <v>0</v>
      </c>
      <c r="L295" s="17">
        <v>0</v>
      </c>
      <c r="M295" s="54">
        <v>32.292000000000002</v>
      </c>
      <c r="N295" s="4">
        <v>8.9700000000000006</v>
      </c>
      <c r="O295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32.292000000000002</v>
      </c>
      <c r="T295"/>
    </row>
    <row r="296" spans="1:20" hidden="1" x14ac:dyDescent="0.35">
      <c r="A296" s="3" t="s">
        <v>240</v>
      </c>
      <c r="B296" s="4">
        <v>29</v>
      </c>
      <c r="C296" s="4">
        <v>0</v>
      </c>
      <c r="D296" s="4">
        <v>0</v>
      </c>
      <c r="E296" s="4">
        <v>0</v>
      </c>
      <c r="F296" s="4">
        <v>5.5</v>
      </c>
      <c r="G296" s="2">
        <v>5</v>
      </c>
      <c r="H296" s="4">
        <v>23.5</v>
      </c>
      <c r="I296" s="4">
        <v>23.5</v>
      </c>
      <c r="J296" s="3" t="s">
        <v>288</v>
      </c>
      <c r="K296" s="22">
        <v>0</v>
      </c>
      <c r="L296" s="17">
        <v>0</v>
      </c>
      <c r="M296" s="54">
        <v>21.150000000000002</v>
      </c>
      <c r="N296" s="4">
        <v>5.875</v>
      </c>
      <c r="O296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21.150000000000002</v>
      </c>
      <c r="T296"/>
    </row>
    <row r="297" spans="1:20" hidden="1" x14ac:dyDescent="0.35">
      <c r="A297" s="3" t="s">
        <v>237</v>
      </c>
      <c r="B297" s="4">
        <v>118.5</v>
      </c>
      <c r="C297" s="4">
        <v>0</v>
      </c>
      <c r="D297" s="4">
        <v>57.6</v>
      </c>
      <c r="E297" s="4">
        <v>0</v>
      </c>
      <c r="F297" s="4">
        <v>21.06</v>
      </c>
      <c r="G297" s="2">
        <v>29</v>
      </c>
      <c r="H297" s="4">
        <v>39.840000000000003</v>
      </c>
      <c r="I297" s="4">
        <v>39.840000000000003</v>
      </c>
      <c r="J297" s="3" t="s">
        <v>288</v>
      </c>
      <c r="K297" s="22">
        <v>0</v>
      </c>
      <c r="L297" s="17">
        <v>0</v>
      </c>
      <c r="M297" s="54">
        <v>35.856000000000002</v>
      </c>
      <c r="N297" s="4">
        <v>9.9600000000000009</v>
      </c>
      <c r="O297" s="53">
        <f>IF(VLOOKUP(resumo[[#This Row],[Colaborador]],ParamColaboradores[],6,0)&lt;&gt;0,IF(resumo[[#This Row],[Entradas]]-resumo[[#This Row],[Saídas]]-resumo[[#This Row],[Comissões]]-resumo[[#This Row],[Ajuda de Custo]]&lt;=0,0,(resumo[[#This Row],[Entradas]]-resumo[[#This Row],[Saídas]]-resumo[[#This Row],[Comissões]]-resumo[[#This Row],[Ajuda de Custo]])*(1-10%)+resumo[[#This Row],[Lançamentos]]),0)</f>
        <v>35.856000000000002</v>
      </c>
      <c r="T297"/>
    </row>
    <row r="298" spans="1:20" x14ac:dyDescent="0.35">
      <c r="T298"/>
    </row>
    <row r="299" spans="1:20" x14ac:dyDescent="0.35">
      <c r="T299"/>
    </row>
    <row r="300" spans="1:20" x14ac:dyDescent="0.35">
      <c r="B300" s="52"/>
      <c r="T300"/>
    </row>
    <row r="301" spans="1:20" x14ac:dyDescent="0.35">
      <c r="B301" s="52"/>
      <c r="T301"/>
    </row>
    <row r="302" spans="1:20" x14ac:dyDescent="0.35">
      <c r="B302" s="52"/>
      <c r="T302"/>
    </row>
    <row r="303" spans="1:20" x14ac:dyDescent="0.35">
      <c r="B303" s="52"/>
    </row>
    <row r="307" spans="2:2" x14ac:dyDescent="0.35">
      <c r="B307" s="52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651C7-611B-4341-B375-9563C6AFBDAF}">
  <sheetPr codeName="wsCardColab"/>
  <dimension ref="B1:G14"/>
  <sheetViews>
    <sheetView showGridLines="0" tabSelected="1" zoomScale="90" zoomScaleNormal="90" workbookViewId="0">
      <selection activeCell="B10" sqref="B10"/>
    </sheetView>
  </sheetViews>
  <sheetFormatPr defaultRowHeight="20.5" customHeight="1" x14ac:dyDescent="0.35"/>
  <cols>
    <col min="2" max="2" width="28.1796875" customWidth="1"/>
    <col min="3" max="3" width="42.1796875" customWidth="1"/>
    <col min="7" max="7" width="11.54296875" bestFit="1" customWidth="1"/>
  </cols>
  <sheetData>
    <row r="1" spans="2:7" ht="18" customHeight="1" thickTop="1" thickBot="1" x14ac:dyDescent="0.5">
      <c r="B1" s="11" t="s">
        <v>0</v>
      </c>
      <c r="C1" s="12" t="s">
        <v>87</v>
      </c>
    </row>
    <row r="2" spans="2:7" ht="18" customHeight="1" thickBot="1" x14ac:dyDescent="0.5">
      <c r="B2" s="13" t="s">
        <v>1</v>
      </c>
      <c r="C2" s="14">
        <f>IFERROR(VLOOKUP($C$1,resumo[],MATCH('3. Exportação'!B2,resumo[#Headers],0),0),0)</f>
        <v>105.57</v>
      </c>
    </row>
    <row r="3" spans="2:7" ht="18" customHeight="1" thickBot="1" x14ac:dyDescent="0.5">
      <c r="B3" s="13" t="s">
        <v>4</v>
      </c>
      <c r="C3" s="14">
        <f>IFERROR(VLOOKUP($C$1,resumo[],MATCH('3. Exportação'!B3,resumo[#Headers],0),0),0)</f>
        <v>0</v>
      </c>
    </row>
    <row r="4" spans="2:7" ht="18" customHeight="1" thickBot="1" x14ac:dyDescent="0.5">
      <c r="B4" s="26" t="s">
        <v>3</v>
      </c>
      <c r="C4" s="27">
        <f>IFERROR(VLOOKUP($C$1,resumo[],MATCH('3. Exportação'!B4,resumo[#Headers],0),0),0)</f>
        <v>0</v>
      </c>
    </row>
    <row r="5" spans="2:7" ht="18" customHeight="1" thickBot="1" x14ac:dyDescent="0.5">
      <c r="B5" s="26" t="s">
        <v>5</v>
      </c>
      <c r="C5" s="27">
        <f>IFERROR(VLOOKUP($C$1,resumo[],MATCH('3. Exportação'!B5,resumo[#Headers],0),0),0)</f>
        <v>19.16</v>
      </c>
    </row>
    <row r="6" spans="2:7" ht="18" hidden="1" customHeight="1" thickBot="1" x14ac:dyDescent="0.5">
      <c r="B6" s="26" t="s">
        <v>321</v>
      </c>
      <c r="C6" s="27">
        <f>IFERROR(VLOOKUP($C$1,resumo[],MATCH('3. Exportação'!B6,resumo[#Headers],0),0),0)</f>
        <v>0</v>
      </c>
    </row>
    <row r="7" spans="2:7" ht="18" customHeight="1" thickBot="1" x14ac:dyDescent="0.5">
      <c r="B7" s="26" t="s">
        <v>289</v>
      </c>
      <c r="C7" s="27">
        <f>IFERROR(VLOOKUP($C$1,resumo[],MATCH('3. Exportação'!B7,resumo[#Headers],0),0),0)</f>
        <v>0</v>
      </c>
      <c r="G7" s="1"/>
    </row>
    <row r="8" spans="2:7" ht="18" customHeight="1" thickTop="1" thickBot="1" x14ac:dyDescent="0.5">
      <c r="B8" s="11" t="s">
        <v>290</v>
      </c>
      <c r="C8" s="28">
        <f>IFERROR(VLOOKUP($C$1,resumo[],MATCH('3. Exportação'!B8,resumo[#Headers],0),0),0)</f>
        <v>86.41</v>
      </c>
    </row>
    <row r="9" spans="2:7" ht="21" customHeight="1" thickBot="1" x14ac:dyDescent="0.4">
      <c r="B9" s="19" t="s">
        <v>311</v>
      </c>
      <c r="C9" s="18" t="str" cm="1">
        <f t="array" ref="C9">DataHoraFechamento[DataHoraFechamento]</f>
        <v>09/06/2021 06:13:59</v>
      </c>
    </row>
    <row r="10" spans="2:7" ht="31" customHeight="1" x14ac:dyDescent="0.35"/>
    <row r="11" spans="2:7" ht="47.15" customHeight="1" x14ac:dyDescent="0.35">
      <c r="C11" s="9"/>
    </row>
    <row r="12" spans="2:7" ht="30.65" customHeight="1" x14ac:dyDescent="0.35">
      <c r="B12" s="15" t="s">
        <v>409</v>
      </c>
    </row>
    <row r="13" spans="2:7" ht="30.65" customHeight="1" x14ac:dyDescent="0.35">
      <c r="B13" s="15" t="s">
        <v>410</v>
      </c>
    </row>
    <row r="14" spans="2:7" ht="30.65" customHeight="1" x14ac:dyDescent="0.55000000000000004">
      <c r="B14" s="16"/>
    </row>
  </sheetData>
  <conditionalFormatting sqref="C8">
    <cfRule type="cellIs" dxfId="19" priority="3" stopIfTrue="1" operator="equal">
      <formula>0</formula>
    </cfRule>
    <cfRule type="cellIs" dxfId="18" priority="4" operator="greaterThan">
      <formula>0</formula>
    </cfRule>
    <cfRule type="cellIs" dxfId="17" priority="5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ACA68-9B80-4AA7-A830-625E5DF14ACF}">
  <sheetPr codeName="wsExportGerente"/>
  <dimension ref="A3:K36"/>
  <sheetViews>
    <sheetView showGridLines="0" zoomScale="80" zoomScaleNormal="80" workbookViewId="0">
      <selection activeCell="D10" sqref="D10"/>
    </sheetView>
  </sheetViews>
  <sheetFormatPr defaultRowHeight="14.5" x14ac:dyDescent="0.35"/>
  <cols>
    <col min="1" max="1" width="23.1796875" bestFit="1" customWidth="1"/>
    <col min="2" max="2" width="25.453125" bestFit="1" customWidth="1"/>
    <col min="3" max="3" width="24" bestFit="1" customWidth="1"/>
    <col min="4" max="4" width="17.453125" bestFit="1" customWidth="1"/>
    <col min="5" max="5" width="16.36328125" bestFit="1" customWidth="1"/>
    <col min="6" max="6" width="17.453125" bestFit="1" customWidth="1"/>
    <col min="7" max="7" width="20.90625" bestFit="1" customWidth="1"/>
    <col min="8" max="8" width="22.6328125" bestFit="1" customWidth="1"/>
    <col min="9" max="9" width="24.36328125" bestFit="1" customWidth="1"/>
    <col min="10" max="10" width="18.81640625" bestFit="1" customWidth="1"/>
    <col min="11" max="11" width="23" bestFit="1" customWidth="1"/>
  </cols>
  <sheetData>
    <row r="3" spans="1:11" x14ac:dyDescent="0.35">
      <c r="D3" s="32" t="s">
        <v>358</v>
      </c>
      <c r="E3" s="32" t="s">
        <v>360</v>
      </c>
    </row>
    <row r="4" spans="1:11" ht="16.5" x14ac:dyDescent="0.45">
      <c r="A4" s="35" t="s">
        <v>9</v>
      </c>
      <c r="B4" s="36" t="s">
        <v>265</v>
      </c>
      <c r="D4" s="33">
        <f>(SUMIFS(resumo[Saldo Final Banca],resumo[GERENTE],gerente)) -
 (SUMIFS(resumo[Ajuda de Custo],resumo[GERENTE],gerente)) -
(SUMIFS(resumo[Comissão Lucro],resumo[GERENTE],gerente)) -(E4)
+ (SUMIFS(resumo[Lançamentos],resumo[GERENTE],gerente))</f>
        <v>2413.8825000000006</v>
      </c>
      <c r="E4" s="34">
        <f>IF(IFERROR((SUMIFS(resumo[Saldo Final Banca],resumo[GERENTE],gerente)  -
SUMIFS(resumo[Ajuda de Custo],resumo[GERENTE],gerente) -
SUMIFS(resumo[Comissão Lucro],resumo[GERENTE],gerente)) * VLOOKUP(gerente,ParamGerente[],2,0),0)&lt;0,0,IFERROR((SUMIFS(resumo[Saldo Final Banca],resumo[GERENTE],gerente)  -
SUMIFS(resumo[Ajuda de Custo],resumo[GERENTE],gerente) -
SUMIFS(resumo[Comissão Lucro],resumo[GERENTE],gerente)) * VLOOKUP(gerente,ParamGerente[],2,0),0))</f>
        <v>804.62750000000017</v>
      </c>
    </row>
    <row r="6" spans="1:11" ht="21" x14ac:dyDescent="0.55000000000000004">
      <c r="A6" s="37" t="s">
        <v>0</v>
      </c>
      <c r="B6" s="38" t="s">
        <v>313</v>
      </c>
      <c r="C6" s="38" t="s">
        <v>314</v>
      </c>
      <c r="D6" s="38" t="s">
        <v>315</v>
      </c>
      <c r="E6" s="38" t="s">
        <v>361</v>
      </c>
      <c r="F6" s="38" t="s">
        <v>316</v>
      </c>
      <c r="G6" s="38" t="s">
        <v>317</v>
      </c>
      <c r="H6" s="38" t="s">
        <v>318</v>
      </c>
      <c r="I6" s="38" t="s">
        <v>319</v>
      </c>
      <c r="J6" s="38" t="s">
        <v>320</v>
      </c>
      <c r="K6" s="38" t="s">
        <v>375</v>
      </c>
    </row>
    <row r="7" spans="1:11" ht="16.5" x14ac:dyDescent="0.45">
      <c r="A7" s="39" t="s">
        <v>92</v>
      </c>
      <c r="B7" s="40">
        <v>0</v>
      </c>
      <c r="C7" s="40">
        <v>0</v>
      </c>
      <c r="D7" s="40">
        <v>0</v>
      </c>
      <c r="E7" s="40">
        <v>0</v>
      </c>
      <c r="F7" s="40">
        <v>0</v>
      </c>
      <c r="G7" s="41">
        <v>0</v>
      </c>
      <c r="H7" s="42">
        <v>0</v>
      </c>
      <c r="I7" s="40">
        <v>0</v>
      </c>
      <c r="J7" s="40">
        <v>0</v>
      </c>
      <c r="K7" s="42">
        <v>0</v>
      </c>
    </row>
    <row r="8" spans="1:11" ht="16.5" x14ac:dyDescent="0.45">
      <c r="A8" s="39" t="s">
        <v>87</v>
      </c>
      <c r="B8" s="40">
        <v>105.57</v>
      </c>
      <c r="C8" s="40">
        <v>2.71</v>
      </c>
      <c r="D8" s="40">
        <v>0</v>
      </c>
      <c r="E8" s="40">
        <v>0</v>
      </c>
      <c r="F8" s="40">
        <v>19.16</v>
      </c>
      <c r="G8" s="41">
        <v>17</v>
      </c>
      <c r="H8" s="42">
        <v>83.7</v>
      </c>
      <c r="I8" s="40">
        <v>83.7</v>
      </c>
      <c r="J8" s="40">
        <v>0</v>
      </c>
      <c r="K8" s="42">
        <v>0</v>
      </c>
    </row>
    <row r="9" spans="1:11" ht="16.5" x14ac:dyDescent="0.45">
      <c r="A9" s="39" t="s">
        <v>80</v>
      </c>
      <c r="B9" s="40">
        <v>3551</v>
      </c>
      <c r="C9" s="40">
        <v>850</v>
      </c>
      <c r="D9" s="40">
        <v>1040.3499999999999</v>
      </c>
      <c r="E9" s="40">
        <v>0</v>
      </c>
      <c r="F9" s="40">
        <v>406.86</v>
      </c>
      <c r="G9" s="41">
        <v>87</v>
      </c>
      <c r="H9" s="42">
        <v>1253.79</v>
      </c>
      <c r="I9" s="40">
        <v>1253.79</v>
      </c>
      <c r="J9" s="40">
        <v>50</v>
      </c>
      <c r="K9" s="42">
        <v>205.37900000000002</v>
      </c>
    </row>
    <row r="10" spans="1:11" ht="16.5" x14ac:dyDescent="0.45">
      <c r="A10" s="39" t="s">
        <v>83</v>
      </c>
      <c r="B10" s="40">
        <v>500</v>
      </c>
      <c r="C10" s="40">
        <v>0</v>
      </c>
      <c r="D10" s="40">
        <v>0</v>
      </c>
      <c r="E10" s="40">
        <v>0</v>
      </c>
      <c r="F10" s="40">
        <v>50</v>
      </c>
      <c r="G10" s="41">
        <v>1</v>
      </c>
      <c r="H10" s="42">
        <v>450</v>
      </c>
      <c r="I10" s="40">
        <v>450</v>
      </c>
      <c r="J10" s="40">
        <v>30</v>
      </c>
      <c r="K10" s="42">
        <v>0</v>
      </c>
    </row>
    <row r="11" spans="1:11" ht="16.5" x14ac:dyDescent="0.45">
      <c r="A11" s="39" t="s">
        <v>89</v>
      </c>
      <c r="B11" s="40">
        <v>30</v>
      </c>
      <c r="C11" s="40">
        <v>0</v>
      </c>
      <c r="D11" s="40">
        <v>0</v>
      </c>
      <c r="E11" s="40">
        <v>0</v>
      </c>
      <c r="F11" s="40">
        <v>5.4</v>
      </c>
      <c r="G11" s="41">
        <v>2</v>
      </c>
      <c r="H11" s="42">
        <v>24.6</v>
      </c>
      <c r="I11" s="40">
        <v>24.6</v>
      </c>
      <c r="J11" s="40">
        <v>0</v>
      </c>
      <c r="K11" s="42">
        <v>0</v>
      </c>
    </row>
    <row r="12" spans="1:11" ht="16.5" x14ac:dyDescent="0.45">
      <c r="A12" s="39" t="s">
        <v>91</v>
      </c>
      <c r="B12" s="40">
        <v>15</v>
      </c>
      <c r="C12" s="40">
        <v>0</v>
      </c>
      <c r="D12" s="40">
        <v>0</v>
      </c>
      <c r="E12" s="40">
        <v>0</v>
      </c>
      <c r="F12" s="40">
        <v>3</v>
      </c>
      <c r="G12" s="41">
        <v>1</v>
      </c>
      <c r="H12" s="42">
        <v>12</v>
      </c>
      <c r="I12" s="40">
        <v>12</v>
      </c>
      <c r="J12" s="40">
        <v>0</v>
      </c>
      <c r="K12" s="42">
        <v>0</v>
      </c>
    </row>
    <row r="13" spans="1:11" ht="16.5" x14ac:dyDescent="0.45">
      <c r="A13" s="39" t="s">
        <v>85</v>
      </c>
      <c r="B13" s="40">
        <v>346.5</v>
      </c>
      <c r="C13" s="40">
        <v>50</v>
      </c>
      <c r="D13" s="40">
        <v>84.2</v>
      </c>
      <c r="E13" s="40">
        <v>0</v>
      </c>
      <c r="F13" s="40">
        <v>58.29</v>
      </c>
      <c r="G13" s="41">
        <v>20</v>
      </c>
      <c r="H13" s="42">
        <v>154.01</v>
      </c>
      <c r="I13" s="40">
        <v>154.01</v>
      </c>
      <c r="J13" s="40">
        <v>20</v>
      </c>
      <c r="K13" s="42">
        <v>0</v>
      </c>
    </row>
    <row r="14" spans="1:11" ht="16.5" x14ac:dyDescent="0.45">
      <c r="A14" s="39" t="s">
        <v>299</v>
      </c>
      <c r="B14" s="40">
        <v>1615</v>
      </c>
      <c r="C14" s="40">
        <v>130</v>
      </c>
      <c r="D14" s="40">
        <v>565.5</v>
      </c>
      <c r="E14" s="40">
        <v>0</v>
      </c>
      <c r="F14" s="40">
        <v>251.69</v>
      </c>
      <c r="G14" s="41">
        <v>113</v>
      </c>
      <c r="H14" s="42">
        <v>667.81</v>
      </c>
      <c r="I14" s="40">
        <v>667.81</v>
      </c>
      <c r="J14" s="40">
        <v>50</v>
      </c>
      <c r="K14" s="42">
        <v>74.780999999999992</v>
      </c>
    </row>
    <row r="15" spans="1:11" ht="16.5" x14ac:dyDescent="0.45">
      <c r="A15" s="39" t="s">
        <v>86</v>
      </c>
      <c r="B15" s="40">
        <v>700.34</v>
      </c>
      <c r="C15" s="40">
        <v>15</v>
      </c>
      <c r="D15" s="40">
        <v>483.35</v>
      </c>
      <c r="E15" s="40">
        <v>0</v>
      </c>
      <c r="F15" s="40">
        <v>114.19</v>
      </c>
      <c r="G15" s="41">
        <v>97</v>
      </c>
      <c r="H15" s="42">
        <v>87.8</v>
      </c>
      <c r="I15" s="40">
        <v>87.8</v>
      </c>
      <c r="J15" s="40">
        <v>40</v>
      </c>
      <c r="K15" s="42">
        <v>0</v>
      </c>
    </row>
    <row r="16" spans="1:11" ht="16.5" x14ac:dyDescent="0.45">
      <c r="A16" s="39" t="s">
        <v>90</v>
      </c>
      <c r="B16" s="40">
        <v>25</v>
      </c>
      <c r="C16" s="40">
        <v>0</v>
      </c>
      <c r="D16" s="40">
        <v>0</v>
      </c>
      <c r="E16" s="40">
        <v>0</v>
      </c>
      <c r="F16" s="40">
        <v>4.8499999999999996</v>
      </c>
      <c r="G16" s="41">
        <v>4</v>
      </c>
      <c r="H16" s="42">
        <v>20.149999999999999</v>
      </c>
      <c r="I16" s="40">
        <v>20.149999999999999</v>
      </c>
      <c r="J16" s="40">
        <v>0</v>
      </c>
      <c r="K16" s="42">
        <v>0</v>
      </c>
    </row>
    <row r="17" spans="1:11" ht="16.5" x14ac:dyDescent="0.45">
      <c r="A17" s="39" t="s">
        <v>81</v>
      </c>
      <c r="B17" s="40">
        <v>594.70000000000005</v>
      </c>
      <c r="C17" s="40">
        <v>0</v>
      </c>
      <c r="D17" s="40">
        <v>0</v>
      </c>
      <c r="E17" s="40">
        <v>0</v>
      </c>
      <c r="F17" s="40">
        <v>105.99</v>
      </c>
      <c r="G17" s="41">
        <v>45</v>
      </c>
      <c r="H17" s="42">
        <v>488.71</v>
      </c>
      <c r="I17" s="40">
        <v>488.71</v>
      </c>
      <c r="J17" s="40">
        <v>30</v>
      </c>
      <c r="K17" s="42">
        <v>0</v>
      </c>
    </row>
    <row r="18" spans="1:11" ht="16.5" x14ac:dyDescent="0.45">
      <c r="A18" s="39" t="s">
        <v>88</v>
      </c>
      <c r="B18" s="40">
        <v>80</v>
      </c>
      <c r="C18" s="40">
        <v>10</v>
      </c>
      <c r="D18" s="40">
        <v>0</v>
      </c>
      <c r="E18" s="40">
        <v>0</v>
      </c>
      <c r="F18" s="40">
        <v>10.8</v>
      </c>
      <c r="G18" s="41">
        <v>10</v>
      </c>
      <c r="H18" s="42">
        <v>59.2</v>
      </c>
      <c r="I18" s="40">
        <v>59.2</v>
      </c>
      <c r="J18" s="40">
        <v>0</v>
      </c>
      <c r="K18" s="42">
        <v>0</v>
      </c>
    </row>
    <row r="19" spans="1:11" ht="16.5" x14ac:dyDescent="0.45">
      <c r="A19" s="39" t="s">
        <v>82</v>
      </c>
      <c r="B19" s="40">
        <v>865</v>
      </c>
      <c r="C19" s="40">
        <v>40</v>
      </c>
      <c r="D19" s="40">
        <v>206.7</v>
      </c>
      <c r="E19" s="40">
        <v>0</v>
      </c>
      <c r="F19" s="40">
        <v>147.30000000000001</v>
      </c>
      <c r="G19" s="41">
        <v>192</v>
      </c>
      <c r="H19" s="42">
        <v>471</v>
      </c>
      <c r="I19" s="40">
        <v>471</v>
      </c>
      <c r="J19" s="40">
        <v>40</v>
      </c>
      <c r="K19" s="42">
        <v>0</v>
      </c>
    </row>
    <row r="20" spans="1:11" ht="16.5" x14ac:dyDescent="0.45">
      <c r="A20" s="39" t="s">
        <v>84</v>
      </c>
      <c r="B20" s="40">
        <v>201</v>
      </c>
      <c r="C20" s="40">
        <v>0</v>
      </c>
      <c r="D20" s="40">
        <v>0</v>
      </c>
      <c r="E20" s="40">
        <v>0</v>
      </c>
      <c r="F20" s="40">
        <v>39.6</v>
      </c>
      <c r="G20" s="41">
        <v>15</v>
      </c>
      <c r="H20" s="42">
        <v>161.4</v>
      </c>
      <c r="I20" s="40">
        <v>161.4</v>
      </c>
      <c r="J20" s="40">
        <v>20</v>
      </c>
      <c r="K20" s="42">
        <v>0</v>
      </c>
    </row>
    <row r="21" spans="1:11" ht="16.5" x14ac:dyDescent="0.45">
      <c r="A21" s="39" t="s">
        <v>300</v>
      </c>
      <c r="B21" s="40">
        <v>68</v>
      </c>
      <c r="C21" s="40">
        <v>0</v>
      </c>
      <c r="D21" s="40">
        <v>0</v>
      </c>
      <c r="E21" s="40">
        <v>0</v>
      </c>
      <c r="F21" s="40">
        <v>10.9</v>
      </c>
      <c r="G21" s="41">
        <v>24</v>
      </c>
      <c r="H21" s="42">
        <v>57.1</v>
      </c>
      <c r="I21" s="40">
        <v>57.1</v>
      </c>
      <c r="J21" s="40">
        <v>0</v>
      </c>
      <c r="K21" s="42">
        <v>0</v>
      </c>
    </row>
    <row r="22" spans="1:11" ht="16.5" x14ac:dyDescent="0.45">
      <c r="A22" s="39" t="s">
        <v>382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1">
        <v>0</v>
      </c>
      <c r="H22" s="42">
        <v>0</v>
      </c>
      <c r="I22" s="40">
        <v>0</v>
      </c>
      <c r="J22" s="40">
        <v>0</v>
      </c>
      <c r="K22" s="42"/>
    </row>
    <row r="23" spans="1:11" ht="16.5" x14ac:dyDescent="0.45">
      <c r="A23" s="39" t="s">
        <v>93</v>
      </c>
      <c r="B23" s="40">
        <v>255</v>
      </c>
      <c r="C23" s="40">
        <v>0</v>
      </c>
      <c r="D23" s="40">
        <v>418.1</v>
      </c>
      <c r="E23" s="40">
        <v>0</v>
      </c>
      <c r="F23" s="40">
        <v>29.5</v>
      </c>
      <c r="G23" s="41">
        <v>10</v>
      </c>
      <c r="H23" s="42">
        <v>-192.6</v>
      </c>
      <c r="I23" s="40">
        <v>-192.6</v>
      </c>
      <c r="J23" s="40">
        <v>20</v>
      </c>
      <c r="K23" s="42">
        <v>0</v>
      </c>
    </row>
    <row r="24" spans="1:11" ht="16.5" x14ac:dyDescent="0.45">
      <c r="A24" s="36" t="s">
        <v>381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1">
        <v>0</v>
      </c>
      <c r="H24" s="42">
        <v>0</v>
      </c>
      <c r="I24" s="40">
        <v>0</v>
      </c>
      <c r="J24" s="40">
        <v>0</v>
      </c>
      <c r="K24" s="42"/>
    </row>
    <row r="25" spans="1:11" ht="25" x14ac:dyDescent="0.7">
      <c r="A25" s="46" t="s">
        <v>312</v>
      </c>
      <c r="B25" s="43">
        <v>8952.11</v>
      </c>
      <c r="C25" s="43">
        <v>1097.71</v>
      </c>
      <c r="D25" s="43">
        <v>2798.2</v>
      </c>
      <c r="E25" s="43">
        <v>0</v>
      </c>
      <c r="F25" s="43">
        <v>1257.5300000000002</v>
      </c>
      <c r="G25" s="44">
        <v>638</v>
      </c>
      <c r="H25" s="45">
        <v>3798.67</v>
      </c>
      <c r="I25" s="43">
        <v>3798.67</v>
      </c>
      <c r="J25" s="43">
        <v>300</v>
      </c>
      <c r="K25" s="45">
        <v>280.16000000000003</v>
      </c>
    </row>
    <row r="26" spans="1:11" ht="16.5" x14ac:dyDescent="0.45"/>
    <row r="27" spans="1:11" ht="16.5" x14ac:dyDescent="0.45"/>
    <row r="28" spans="1:11" ht="16.5" x14ac:dyDescent="0.45"/>
    <row r="29" spans="1:11" ht="16.5" x14ac:dyDescent="0.45"/>
    <row r="30" spans="1:11" ht="16.5" x14ac:dyDescent="0.45"/>
    <row r="31" spans="1:11" ht="25" x14ac:dyDescent="0.7"/>
    <row r="32" spans="1:11" ht="16.5" x14ac:dyDescent="0.45"/>
    <row r="33" ht="16.5" x14ac:dyDescent="0.45"/>
    <row r="34" ht="16.5" x14ac:dyDescent="0.45"/>
    <row r="35" ht="16.5" x14ac:dyDescent="0.45"/>
    <row r="36" ht="25" x14ac:dyDescent="0.7"/>
  </sheetData>
  <conditionalFormatting sqref="D4">
    <cfRule type="cellIs" dxfId="16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38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37FA65-3E75-4A33-848D-96A685CD01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1. Parâmetros</vt:lpstr>
      <vt:lpstr>2. Importação do PDF</vt:lpstr>
      <vt:lpstr>3. Exportação</vt:lpstr>
      <vt:lpstr>ExportaçãoGerente</vt:lpstr>
      <vt:lpstr>gerente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Barauna</dc:creator>
  <cp:lastModifiedBy>Ivanildo Barauna</cp:lastModifiedBy>
  <cp:lastPrinted>2021-09-23T01:06:55Z</cp:lastPrinted>
  <dcterms:created xsi:type="dcterms:W3CDTF">2021-06-19T14:08:04Z</dcterms:created>
  <dcterms:modified xsi:type="dcterms:W3CDTF">2021-09-23T01:07:38Z</dcterms:modified>
</cp:coreProperties>
</file>