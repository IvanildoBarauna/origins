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GURU DO EXCEL\"/>
    </mc:Choice>
  </mc:AlternateContent>
  <bookViews>
    <workbookView xWindow="0" yWindow="0" windowWidth="20490" windowHeight="7680" xr2:uid="{00000000-000D-0000-FFFF-FFFF00000000}"/>
  </bookViews>
  <sheets>
    <sheet name="SAC" sheetId="3" r:id="rId1"/>
  </sheets>
  <definedNames>
    <definedName name="Entrada">SAC!$D$5</definedName>
    <definedName name="Prestacoes">SAC!$F$4</definedName>
    <definedName name="Taxa">SAC!$F$5</definedName>
    <definedName name="TotalDivida">SAC!$H$5</definedName>
    <definedName name="TotalJuros">SAC!$H$4</definedName>
    <definedName name="ValorAmortizacao">SAC!$F$6</definedName>
    <definedName name="ValorFinanciado">SAC!$D$6</definedName>
    <definedName name="ValorTotal">SAC!$D$4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B10" i="3"/>
  <c r="B11" i="3"/>
  <c r="B12" i="3"/>
  <c r="B13" i="3"/>
  <c r="B14" i="3"/>
  <c r="D9" i="3"/>
  <c r="F6" i="3"/>
  <c r="G10" i="3" s="1"/>
  <c r="G11" i="3" l="1"/>
  <c r="G13" i="3"/>
  <c r="G9" i="3"/>
  <c r="H9" i="3" s="1"/>
  <c r="C10" i="3" s="1"/>
  <c r="G12" i="3"/>
  <c r="G14" i="3"/>
  <c r="D10" i="3"/>
  <c r="F10" i="3" s="1"/>
  <c r="H10" i="3"/>
  <c r="C11" i="3" s="1"/>
  <c r="E9" i="3"/>
  <c r="F9" i="3"/>
  <c r="E10" i="3" l="1"/>
  <c r="H11" i="3"/>
  <c r="C12" i="3" s="1"/>
  <c r="D11" i="3"/>
  <c r="F11" i="3" s="1"/>
  <c r="E11" i="3" l="1"/>
  <c r="D12" i="3"/>
  <c r="F12" i="3" s="1"/>
  <c r="H12" i="3"/>
  <c r="C13" i="3" s="1"/>
  <c r="E12" i="3" l="1"/>
  <c r="H13" i="3"/>
  <c r="C14" i="3" s="1"/>
  <c r="D13" i="3"/>
  <c r="F13" i="3" s="1"/>
  <c r="E13" i="3" l="1"/>
  <c r="D14" i="3"/>
  <c r="F14" i="3" s="1"/>
  <c r="H14" i="3"/>
  <c r="E14" i="3" l="1"/>
  <c r="H4" i="3"/>
  <c r="H5" i="3" s="1"/>
</calcChain>
</file>

<file path=xl/sharedStrings.xml><?xml version="1.0" encoding="utf-8"?>
<sst xmlns="http://schemas.openxmlformats.org/spreadsheetml/2006/main" count="15" uniqueCount="15">
  <si>
    <t>Prestação</t>
  </si>
  <si>
    <t>#</t>
  </si>
  <si>
    <t>Saldo Inicial</t>
  </si>
  <si>
    <t>Juros</t>
  </si>
  <si>
    <t>Saldo + Juros</t>
  </si>
  <si>
    <t>Amortização</t>
  </si>
  <si>
    <t>Saldo Devedor</t>
  </si>
  <si>
    <t>Valor Total:</t>
  </si>
  <si>
    <t>Nº Prestações:</t>
  </si>
  <si>
    <t>Taxa a.m.:</t>
  </si>
  <si>
    <t>Total da Dívida:</t>
  </si>
  <si>
    <t>Total de Juros:</t>
  </si>
  <si>
    <t>Valor da Entrada ( - ):</t>
  </si>
  <si>
    <t>Valor a ser Financiado ( = ):</t>
  </si>
  <si>
    <t>Valor da Amortização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</si>
</sst>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 tint="0.249977111117893"/>
      <name val="Segoe UI"/>
      <family val="2"/>
      <charset val="238"/>
    </font>
    <font>
      <b/>
      <sz val="11"/>
      <color rgb="FF003366"/>
      <name val="Segoe UI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003366"/>
      <name val="Calibri"/>
      <family val="2"/>
      <scheme val="minor"/>
    </font>
    <font>
      <b/>
      <sz val="14"/>
      <color rgb="FF00336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medium">
        <color rgb="FF003366"/>
      </top>
      <bottom/>
      <diagonal/>
    </border>
    <border>
      <left/>
      <right/>
      <top/>
      <bottom style="medium">
        <color rgb="FF003366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 inden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0" fillId="2" borderId="4" xfId="0" applyFill="1" applyBorder="1" applyAlignment="1">
      <alignment vertical="center"/>
    </xf>
    <xf numFmtId="0" fontId="5" fillId="2" borderId="4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0" xfId="0" applyFill="1" applyBorder="1" applyAlignment="1">
      <alignment vertical="center"/>
    </xf>
    <xf numFmtId="0" fontId="5" fillId="2" borderId="0" xfId="0" applyFont="1" applyFill="1" applyBorder="1" applyAlignment="1">
      <alignment horizontal="right" vertical="center"/>
    </xf>
    <xf numFmtId="0" fontId="0" fillId="2" borderId="5" xfId="0" applyFill="1" applyBorder="1" applyAlignment="1">
      <alignment vertical="center"/>
    </xf>
    <xf numFmtId="0" fontId="5" fillId="2" borderId="5" xfId="0" applyFont="1" applyFill="1" applyBorder="1" applyAlignment="1">
      <alignment horizontal="right" vertical="center"/>
    </xf>
    <xf numFmtId="164" fontId="6" fillId="2" borderId="4" xfId="0" applyNumberFormat="1" applyFont="1" applyFill="1" applyBorder="1" applyAlignment="1" applyProtection="1">
      <alignment horizontal="right" vertical="center" indent="2"/>
      <protection hidden="1"/>
    </xf>
    <xf numFmtId="164" fontId="6" fillId="2" borderId="0" xfId="0" applyNumberFormat="1" applyFont="1" applyFill="1" applyBorder="1" applyAlignment="1" applyProtection="1">
      <alignment horizontal="right" vertical="center" indent="2"/>
      <protection hidden="1"/>
    </xf>
    <xf numFmtId="164" fontId="7" fillId="2" borderId="5" xfId="1" applyNumberFormat="1" applyFont="1" applyFill="1" applyBorder="1" applyAlignment="1" applyProtection="1">
      <alignment horizontal="right" vertical="center" indent="2"/>
      <protection hidden="1"/>
    </xf>
    <xf numFmtId="0" fontId="7" fillId="2" borderId="4" xfId="0" applyNumberFormat="1" applyFont="1" applyFill="1" applyBorder="1" applyAlignment="1" applyProtection="1">
      <alignment horizontal="right" vertical="center" indent="2"/>
      <protection hidden="1"/>
    </xf>
    <xf numFmtId="10" fontId="7" fillId="2" borderId="0" xfId="0" applyNumberFormat="1" applyFont="1" applyFill="1" applyBorder="1" applyAlignment="1" applyProtection="1">
      <alignment horizontal="right" vertical="center" indent="2"/>
      <protection hidden="1"/>
    </xf>
    <xf numFmtId="0" fontId="3" fillId="0" borderId="1" xfId="0" applyNumberFormat="1" applyFont="1" applyBorder="1" applyAlignment="1" applyProtection="1">
      <alignment horizontal="center"/>
      <protection hidden="1"/>
    </xf>
    <xf numFmtId="44" fontId="3" fillId="0" borderId="1" xfId="0" applyNumberFormat="1" applyFont="1" applyBorder="1" applyAlignment="1" applyProtection="1">
      <alignment horizontal="center"/>
      <protection hidden="1"/>
    </xf>
    <xf numFmtId="44" fontId="3" fillId="0" borderId="1" xfId="1" applyNumberFormat="1" applyFont="1" applyBorder="1" applyAlignment="1" applyProtection="1">
      <alignment horizontal="center" vertical="center"/>
      <protection hidden="1"/>
    </xf>
    <xf numFmtId="8" fontId="3" fillId="0" borderId="1" xfId="0" applyNumberFormat="1" applyFont="1" applyBorder="1" applyAlignment="1" applyProtection="1">
      <alignment horizontal="center"/>
      <protection hidden="1"/>
    </xf>
    <xf numFmtId="0" fontId="3" fillId="0" borderId="2" xfId="0" applyNumberFormat="1" applyFont="1" applyBorder="1" applyAlignment="1" applyProtection="1">
      <alignment horizontal="center"/>
      <protection hidden="1"/>
    </xf>
    <xf numFmtId="44" fontId="3" fillId="0" borderId="2" xfId="0" applyNumberFormat="1" applyFont="1" applyBorder="1" applyAlignment="1" applyProtection="1">
      <alignment horizontal="center"/>
      <protection hidden="1"/>
    </xf>
    <xf numFmtId="44" fontId="3" fillId="0" borderId="2" xfId="1" applyNumberFormat="1" applyFont="1" applyBorder="1" applyAlignment="1" applyProtection="1">
      <alignment horizontal="center" vertical="center"/>
      <protection hidden="1"/>
    </xf>
    <xf numFmtId="8" fontId="3" fillId="0" borderId="2" xfId="0" applyNumberFormat="1" applyFont="1" applyBorder="1" applyAlignment="1" applyProtection="1">
      <alignment horizontal="center"/>
      <protection hidden="1"/>
    </xf>
    <xf numFmtId="0" fontId="3" fillId="0" borderId="3" xfId="0" applyNumberFormat="1" applyFont="1" applyBorder="1" applyAlignment="1" applyProtection="1">
      <alignment horizontal="center"/>
      <protection hidden="1"/>
    </xf>
    <xf numFmtId="44" fontId="3" fillId="0" borderId="3" xfId="0" applyNumberFormat="1" applyFont="1" applyBorder="1" applyAlignment="1" applyProtection="1">
      <alignment horizontal="center"/>
      <protection hidden="1"/>
    </xf>
    <xf numFmtId="44" fontId="3" fillId="0" borderId="3" xfId="1" applyNumberFormat="1" applyFont="1" applyBorder="1" applyAlignment="1" applyProtection="1">
      <alignment horizontal="center" vertical="center"/>
      <protection hidden="1"/>
    </xf>
    <xf numFmtId="8" fontId="3" fillId="0" borderId="3" xfId="0" applyNumberFormat="1" applyFont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12" formatCode="&quot;R$&quot;\ #,##0.00;[Red]\-&quot;R$&quot;\ #,##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12" formatCode="&quot;R$&quot;\ #,##0.00;[Red]\-&quot;R$&quot;\ #,##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border outline="0">
        <top style="thin">
          <color theme="0" tint="-0.24994659260841701"/>
        </top>
      </border>
    </dxf>
    <dxf>
      <border outline="0"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alignment horizontal="center" vertical="bottom" textRotation="0" wrapText="0" indent="0" justifyLastLine="0" shrinkToFit="0" readingOrder="0"/>
      <protection locked="1" hidden="1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3366"/>
        <name val="Segoe UI Light"/>
        <family val="2"/>
        <scheme val="none"/>
      </font>
      <fill>
        <patternFill patternType="solid">
          <fgColor indexed="64"/>
          <bgColor rgb="FFC8C8C8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3366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100">
                <a:latin typeface="Segoe UI" panose="020B0502040204020203" pitchFamily="34" charset="0"/>
                <a:cs typeface="Segoe UI" panose="020B0502040204020203" pitchFamily="34" charset="0"/>
              </a:rPr>
              <a:t>Evolução do Saldo</a:t>
            </a:r>
            <a:r>
              <a:rPr lang="en-US" sz="1100" baseline="0">
                <a:latin typeface="Segoe UI" panose="020B0502040204020203" pitchFamily="34" charset="0"/>
                <a:cs typeface="Segoe UI" panose="020B0502040204020203" pitchFamily="34" charset="0"/>
              </a:rPr>
              <a:t> Devedor</a:t>
            </a:r>
          </a:p>
          <a:p>
            <a:pPr>
              <a:defRPr sz="1100">
                <a:latin typeface="Segoe UI" panose="020B0502040204020203" pitchFamily="34" charset="0"/>
                <a:cs typeface="Segoe UI" panose="020B0502040204020203" pitchFamily="34" charset="0"/>
              </a:defRPr>
            </a:pPr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SAC!$H$8</c:f>
              <c:strCache>
                <c:ptCount val="1"/>
                <c:pt idx="0">
                  <c:v>Saldo Devedor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SAC!$H$9:$H$14</c:f>
              <c:numCache>
                <c:formatCode>_("R$"* #,##0.00_);_("R$"* \(#,##0.00\);_("R$"* "-"??_);_(@_)</c:formatCode>
                <c:ptCount val="6"/>
                <c:pt idx="0">
                  <c:v>5436.2833333333328</c:v>
                </c:pt>
                <c:pt idx="1">
                  <c:v>4349.0266666666666</c:v>
                </c:pt>
                <c:pt idx="2">
                  <c:v>3261.77</c:v>
                </c:pt>
                <c:pt idx="3">
                  <c:v>2174.5133333333333</c:v>
                </c:pt>
                <c:pt idx="4">
                  <c:v>1087.2566666666667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AE-4108-BEED-7E1D1452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0255816"/>
        <c:axId val="410250240"/>
      </c:lineChart>
      <c:catAx>
        <c:axId val="410255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0250240"/>
        <c:crosses val="autoZero"/>
        <c:auto val="0"/>
        <c:lblAlgn val="ctr"/>
        <c:lblOffset val="100"/>
        <c:noMultiLvlLbl val="0"/>
      </c:catAx>
      <c:valAx>
        <c:axId val="410250240"/>
        <c:scaling>
          <c:orientation val="minMax"/>
        </c:scaling>
        <c:delete val="1"/>
        <c:axPos val="r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10255816"/>
        <c:crosses val="max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7409</xdr:colOff>
      <xdr:row>0</xdr:row>
      <xdr:rowOff>213785</xdr:rowOff>
    </xdr:from>
    <xdr:to>
      <xdr:col>8</xdr:col>
      <xdr:colOff>19050</xdr:colOff>
      <xdr:row>2</xdr:row>
      <xdr:rowOff>137584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D9E5541-03FD-4728-A57E-73E42F232B61}"/>
            </a:ext>
          </a:extLst>
        </xdr:cNvPr>
        <xdr:cNvSpPr/>
      </xdr:nvSpPr>
      <xdr:spPr>
        <a:xfrm>
          <a:off x="121709" y="213785"/>
          <a:ext cx="9546166" cy="876299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5</xdr:col>
      <xdr:colOff>237067</xdr:colOff>
      <xdr:row>0</xdr:row>
      <xdr:rowOff>549681</xdr:rowOff>
    </xdr:from>
    <xdr:to>
      <xdr:col>7</xdr:col>
      <xdr:colOff>1481666</xdr:colOff>
      <xdr:row>1</xdr:row>
      <xdr:rowOff>121229</xdr:rowOff>
    </xdr:to>
    <xdr:sp macro="[0]!shtSAC.AbrirForm" textlink="">
      <xdr:nvSpPr>
        <xdr:cNvPr id="3" name="Botão Avançar">
          <a:extLst>
            <a:ext uri="{FF2B5EF4-FFF2-40B4-BE49-F238E27FC236}">
              <a16:creationId xmlns:a16="http://schemas.microsoft.com/office/drawing/2014/main" id="{98DED617-49CE-433D-8C9F-8FB29BC1567A}"/>
            </a:ext>
          </a:extLst>
        </xdr:cNvPr>
        <xdr:cNvSpPr/>
      </xdr:nvSpPr>
      <xdr:spPr>
        <a:xfrm>
          <a:off x="5332942" y="549681"/>
          <a:ext cx="4244974" cy="333548"/>
        </a:xfrm>
        <a:prstGeom prst="rect">
          <a:avLst/>
        </a:prstGeom>
        <a:ln>
          <a:solidFill>
            <a:srgbClr val="0033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20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Clique aqui para</a:t>
          </a:r>
          <a:r>
            <a:rPr lang="pt-BR" sz="1200" baseline="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Atualizar a Tabela</a:t>
          </a:r>
          <a:r>
            <a:rPr lang="pt-BR" sz="120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&gt;</a:t>
          </a:r>
        </a:p>
      </xdr:txBody>
    </xdr:sp>
    <xdr:clientData/>
  </xdr:twoCellAnchor>
  <xdr:twoCellAnchor editAs="absolute">
    <xdr:from>
      <xdr:col>1</xdr:col>
      <xdr:colOff>114300</xdr:colOff>
      <xdr:row>1</xdr:row>
      <xdr:rowOff>186056</xdr:rowOff>
    </xdr:from>
    <xdr:to>
      <xdr:col>7</xdr:col>
      <xdr:colOff>1485900</xdr:colOff>
      <xdr:row>1</xdr:row>
      <xdr:rowOff>186056</xdr:rowOff>
    </xdr:to>
    <xdr:cxnSp macro="">
      <xdr:nvCxnSpPr>
        <xdr:cNvPr id="4" name="Conector Reto 20">
          <a:extLst>
            <a:ext uri="{FF2B5EF4-FFF2-40B4-BE49-F238E27FC236}">
              <a16:creationId xmlns:a16="http://schemas.microsoft.com/office/drawing/2014/main" id="{C18C3FD6-9949-4936-AF48-15EC69A416D4}"/>
            </a:ext>
          </a:extLst>
        </xdr:cNvPr>
        <xdr:cNvCxnSpPr/>
      </xdr:nvCxnSpPr>
      <xdr:spPr>
        <a:xfrm>
          <a:off x="228600" y="948056"/>
          <a:ext cx="9353550" cy="0"/>
        </a:xfrm>
        <a:prstGeom prst="line">
          <a:avLst/>
        </a:prstGeom>
        <a:ln w="25400">
          <a:solidFill>
            <a:srgbClr val="00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8467</xdr:colOff>
      <xdr:row>0</xdr:row>
      <xdr:rowOff>471123</xdr:rowOff>
    </xdr:from>
    <xdr:to>
      <xdr:col>3</xdr:col>
      <xdr:colOff>228600</xdr:colOff>
      <xdr:row>1</xdr:row>
      <xdr:rowOff>175260</xdr:rowOff>
    </xdr:to>
    <xdr:sp macro="" textlink="">
      <xdr:nvSpPr>
        <xdr:cNvPr id="5" name="Etapa">
          <a:extLst>
            <a:ext uri="{FF2B5EF4-FFF2-40B4-BE49-F238E27FC236}">
              <a16:creationId xmlns:a16="http://schemas.microsoft.com/office/drawing/2014/main" id="{5C6B8B49-DCD9-4881-96B7-C6E6452665F9}"/>
            </a:ext>
          </a:extLst>
        </xdr:cNvPr>
        <xdr:cNvSpPr txBox="1"/>
      </xdr:nvSpPr>
      <xdr:spPr>
        <a:xfrm>
          <a:off x="513292" y="471123"/>
          <a:ext cx="1810808" cy="466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200" b="0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Tabela SAC</a:t>
          </a:r>
          <a:endParaRPr lang="en-US" sz="22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100542</xdr:colOff>
      <xdr:row>0</xdr:row>
      <xdr:rowOff>550334</xdr:rowOff>
    </xdr:from>
    <xdr:to>
      <xdr:col>2</xdr:col>
      <xdr:colOff>14779</xdr:colOff>
      <xdr:row>1</xdr:row>
      <xdr:rowOff>93096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C9E7BFC-F533-44B4-95BA-6DDD589C8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842" y="550334"/>
          <a:ext cx="304762" cy="304762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0</xdr:row>
      <xdr:rowOff>38100</xdr:rowOff>
    </xdr:from>
    <xdr:to>
      <xdr:col>10</xdr:col>
      <xdr:colOff>962026</xdr:colOff>
      <xdr:row>7</xdr:row>
      <xdr:rowOff>190500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C5596A8-3ACE-47DE-A62E-49DA1CB99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SAC" displayName="tbSAC" ref="B8:H14" totalsRowShown="0" headerRowDxfId="11" dataDxfId="9" headerRowBorderDxfId="10" tableBorderDxfId="8" totalsRowBorderDxfId="7">
  <tableColumns count="7">
    <tableColumn id="2" xr3:uid="{00000000-0010-0000-0000-000002000000}" name="#" dataDxfId="6">
      <calculatedColumnFormula>ROW()-ROW(tbSAC[[#Headers],['#]])</calculatedColumnFormula>
    </tableColumn>
    <tableColumn id="3" xr3:uid="{00000000-0010-0000-0000-000003000000}" name="Saldo Inicial" dataDxfId="5">
      <calculatedColumnFormula>H8</calculatedColumnFormula>
    </tableColumn>
    <tableColumn id="4" xr3:uid="{00000000-0010-0000-0000-000004000000}" name="Juros" dataDxfId="4" dataCellStyle="Moeda">
      <calculatedColumnFormula>tbSAC[[#This Row],[Saldo Inicial]]*Taxa</calculatedColumnFormula>
    </tableColumn>
    <tableColumn id="5" xr3:uid="{00000000-0010-0000-0000-000005000000}" name="Saldo + Juros" dataDxfId="3">
      <calculatedColumnFormula>tbSAC[[#This Row],[Saldo Inicial]]+tbSAC[[#This Row],[Juros]]</calculatedColumnFormula>
    </tableColumn>
    <tableColumn id="6" xr3:uid="{00000000-0010-0000-0000-000006000000}" name="Prestação" dataDxfId="2">
      <calculatedColumnFormula>tbSAC[[#This Row],[Juros]]+tbSAC[[#This Row],[Amortização]]</calculatedColumnFormula>
    </tableColumn>
    <tableColumn id="7" xr3:uid="{00000000-0010-0000-0000-000007000000}" name="Amortização" dataDxfId="1">
      <calculatedColumnFormula>ValorAmortizacao</calculatedColumnFormula>
    </tableColumn>
    <tableColumn id="8" xr3:uid="{00000000-0010-0000-0000-000008000000}" name="Saldo Devedor" dataDxfId="0">
      <calculatedColumnFormula>tbSAC[[#This Row],[Saldo Inicial]]-tbSAC[[#This Row],[Amortização]]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AC"/>
  <dimension ref="A1:H14"/>
  <sheetViews>
    <sheetView showGridLines="0" tabSelected="1" zoomScaleNormal="100" zoomScalePageLayoutView="125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F8" sqref="F8"/>
    </sheetView>
  </sheetViews>
  <sheetFormatPr defaultColWidth="8.85546875" defaultRowHeight="15" x14ac:dyDescent="0.25"/>
  <cols>
    <col min="1" max="1" width="1.7109375" customWidth="1"/>
    <col min="2" max="2" width="5.85546875" customWidth="1"/>
    <col min="3" max="3" width="23.85546875" customWidth="1"/>
    <col min="4" max="4" width="21.140625" customWidth="1"/>
    <col min="5" max="5" width="23.85546875" customWidth="1"/>
    <col min="6" max="6" width="21.140625" customWidth="1"/>
    <col min="7" max="7" width="23.85546875" customWidth="1"/>
    <col min="8" max="8" width="23.28515625" customWidth="1"/>
    <col min="9" max="9" width="13.140625" bestFit="1" customWidth="1"/>
    <col min="10" max="10" width="15" bestFit="1" customWidth="1"/>
    <col min="11" max="11" width="16.28515625" bestFit="1" customWidth="1"/>
  </cols>
  <sheetData>
    <row r="1" spans="1:8" ht="60" customHeight="1" x14ac:dyDescent="0.25"/>
    <row r="3" spans="1:8" ht="18" customHeight="1" thickBot="1" x14ac:dyDescent="0.45">
      <c r="A3" s="1"/>
    </row>
    <row r="4" spans="1:8" s="7" customFormat="1" ht="26.25" customHeight="1" x14ac:dyDescent="0.25">
      <c r="A4" s="4"/>
      <c r="B4" s="5"/>
      <c r="C4" s="6" t="s">
        <v>7</v>
      </c>
      <c r="D4" s="12">
        <v>7523.54</v>
      </c>
      <c r="E4" s="6" t="s">
        <v>8</v>
      </c>
      <c r="F4" s="15">
        <v>6</v>
      </c>
      <c r="G4" s="6" t="s">
        <v>11</v>
      </c>
      <c r="H4" s="12">
        <f>SUM(tbSAC[Juros])</f>
        <v>1369.9434000000001</v>
      </c>
    </row>
    <row r="5" spans="1:8" s="7" customFormat="1" ht="26.25" customHeight="1" x14ac:dyDescent="0.25">
      <c r="A5" s="4"/>
      <c r="B5" s="8"/>
      <c r="C5" s="9" t="s">
        <v>12</v>
      </c>
      <c r="D5" s="13">
        <v>1000</v>
      </c>
      <c r="E5" s="9" t="s">
        <v>9</v>
      </c>
      <c r="F5" s="16">
        <v>0.06</v>
      </c>
      <c r="G5" s="9" t="s">
        <v>10</v>
      </c>
      <c r="H5" s="13">
        <f>ValorFinanciado+TotalJuros</f>
        <v>7893.4834000000001</v>
      </c>
    </row>
    <row r="6" spans="1:8" s="7" customFormat="1" ht="26.25" customHeight="1" thickBot="1" x14ac:dyDescent="0.3">
      <c r="A6" s="4"/>
      <c r="B6" s="10"/>
      <c r="C6" s="11" t="s">
        <v>13</v>
      </c>
      <c r="D6" s="14">
        <v>6523.54</v>
      </c>
      <c r="E6" s="11" t="s">
        <v>14</v>
      </c>
      <c r="F6" s="14">
        <f>ValorFinanciado/Prestacoes</f>
        <v>1087.2566666666667</v>
      </c>
      <c r="G6" s="10"/>
      <c r="H6" s="10"/>
    </row>
    <row r="7" spans="1:8" ht="18" customHeight="1" x14ac:dyDescent="0.4">
      <c r="A7" s="1"/>
    </row>
    <row r="8" spans="1:8" s="2" customFormat="1" ht="16.5" customHeight="1" x14ac:dyDescent="0.3">
      <c r="B8" s="3" t="s">
        <v>1</v>
      </c>
      <c r="C8" s="3" t="s">
        <v>2</v>
      </c>
      <c r="D8" s="3" t="s">
        <v>3</v>
      </c>
      <c r="E8" s="3" t="s">
        <v>4</v>
      </c>
      <c r="F8" s="3" t="s">
        <v>0</v>
      </c>
      <c r="G8" s="3" t="s">
        <v>5</v>
      </c>
      <c r="H8" s="3" t="s">
        <v>6</v>
      </c>
    </row>
    <row r="9" spans="1:8" s="2" customFormat="1" ht="16.5" customHeight="1" x14ac:dyDescent="0.3">
      <c r="B9" s="17">
        <f>ROW()-ROW(tbSAC[[#Headers],['#]])</f>
        <v>1</v>
      </c>
      <c r="C9" s="18">
        <v>6523.54</v>
      </c>
      <c r="D9" s="19">
        <f>tbSAC[[#This Row],[Saldo Inicial]]*Taxa</f>
        <v>391.41239999999999</v>
      </c>
      <c r="E9" s="18">
        <f>tbSAC[[#This Row],[Saldo Inicial]]+tbSAC[[#This Row],[Juros]]</f>
        <v>6914.9524000000001</v>
      </c>
      <c r="F9" s="20">
        <f>tbSAC[[#This Row],[Juros]]+tbSAC[[#This Row],[Amortização]]</f>
        <v>1478.6690666666666</v>
      </c>
      <c r="G9" s="20">
        <f t="shared" ref="G9:G14" si="0">ValorAmortizacao</f>
        <v>1087.2566666666667</v>
      </c>
      <c r="H9" s="18">
        <f>tbSAC[[#This Row],[Saldo Inicial]]-tbSAC[[#This Row],[Amortização]]</f>
        <v>5436.2833333333328</v>
      </c>
    </row>
    <row r="10" spans="1:8" s="2" customFormat="1" ht="16.5" customHeight="1" x14ac:dyDescent="0.3">
      <c r="B10" s="21">
        <f>ROW()-ROW(tbSAC[[#Headers],['#]])</f>
        <v>2</v>
      </c>
      <c r="C10" s="22">
        <f t="shared" ref="C10:C14" si="1">H9</f>
        <v>5436.2833333333328</v>
      </c>
      <c r="D10" s="23">
        <f>tbSAC[[#This Row],[Saldo Inicial]]*Taxa</f>
        <v>326.17699999999996</v>
      </c>
      <c r="E10" s="22">
        <f>tbSAC[[#This Row],[Saldo Inicial]]+tbSAC[[#This Row],[Juros]]</f>
        <v>5762.4603333333325</v>
      </c>
      <c r="F10" s="24">
        <f>tbSAC[[#This Row],[Juros]]+tbSAC[[#This Row],[Amortização]]</f>
        <v>1413.4336666666666</v>
      </c>
      <c r="G10" s="24">
        <f t="shared" si="0"/>
        <v>1087.2566666666667</v>
      </c>
      <c r="H10" s="22">
        <f>tbSAC[[#This Row],[Saldo Inicial]]-tbSAC[[#This Row],[Amortização]]</f>
        <v>4349.0266666666666</v>
      </c>
    </row>
    <row r="11" spans="1:8" s="2" customFormat="1" ht="16.5" customHeight="1" x14ac:dyDescent="0.3">
      <c r="B11" s="21">
        <f>ROW()-ROW(tbSAC[[#Headers],['#]])</f>
        <v>3</v>
      </c>
      <c r="C11" s="22">
        <f t="shared" si="1"/>
        <v>4349.0266666666666</v>
      </c>
      <c r="D11" s="23">
        <f>tbSAC[[#This Row],[Saldo Inicial]]*Taxa</f>
        <v>260.94159999999999</v>
      </c>
      <c r="E11" s="22">
        <f>tbSAC[[#This Row],[Saldo Inicial]]+tbSAC[[#This Row],[Juros]]</f>
        <v>4609.9682666666668</v>
      </c>
      <c r="F11" s="24">
        <f>tbSAC[[#This Row],[Juros]]+tbSAC[[#This Row],[Amortização]]</f>
        <v>1348.1982666666668</v>
      </c>
      <c r="G11" s="24">
        <f t="shared" si="0"/>
        <v>1087.2566666666667</v>
      </c>
      <c r="H11" s="22">
        <f>tbSAC[[#This Row],[Saldo Inicial]]-tbSAC[[#This Row],[Amortização]]</f>
        <v>3261.77</v>
      </c>
    </row>
    <row r="12" spans="1:8" ht="17.25" x14ac:dyDescent="0.3">
      <c r="B12" s="21">
        <f>ROW()-ROW(tbSAC[[#Headers],['#]])</f>
        <v>4</v>
      </c>
      <c r="C12" s="22">
        <f t="shared" si="1"/>
        <v>3261.77</v>
      </c>
      <c r="D12" s="23">
        <f>tbSAC[[#This Row],[Saldo Inicial]]*Taxa</f>
        <v>195.7062</v>
      </c>
      <c r="E12" s="22">
        <f>tbSAC[[#This Row],[Saldo Inicial]]+tbSAC[[#This Row],[Juros]]</f>
        <v>3457.4762000000001</v>
      </c>
      <c r="F12" s="24">
        <f>tbSAC[[#This Row],[Juros]]+tbSAC[[#This Row],[Amortização]]</f>
        <v>1282.9628666666667</v>
      </c>
      <c r="G12" s="24">
        <f t="shared" si="0"/>
        <v>1087.2566666666667</v>
      </c>
      <c r="H12" s="22">
        <f>tbSAC[[#This Row],[Saldo Inicial]]-tbSAC[[#This Row],[Amortização]]</f>
        <v>2174.5133333333333</v>
      </c>
    </row>
    <row r="13" spans="1:8" ht="17.25" x14ac:dyDescent="0.3">
      <c r="B13" s="21">
        <f>ROW()-ROW(tbSAC[[#Headers],['#]])</f>
        <v>5</v>
      </c>
      <c r="C13" s="22">
        <f t="shared" si="1"/>
        <v>2174.5133333333333</v>
      </c>
      <c r="D13" s="23">
        <f>tbSAC[[#This Row],[Saldo Inicial]]*Taxa</f>
        <v>130.4708</v>
      </c>
      <c r="E13" s="22">
        <f>tbSAC[[#This Row],[Saldo Inicial]]+tbSAC[[#This Row],[Juros]]</f>
        <v>2304.9841333333334</v>
      </c>
      <c r="F13" s="24">
        <f>tbSAC[[#This Row],[Juros]]+tbSAC[[#This Row],[Amortização]]</f>
        <v>1217.7274666666667</v>
      </c>
      <c r="G13" s="24">
        <f t="shared" si="0"/>
        <v>1087.2566666666667</v>
      </c>
      <c r="H13" s="22">
        <f>tbSAC[[#This Row],[Saldo Inicial]]-tbSAC[[#This Row],[Amortização]]</f>
        <v>1087.2566666666667</v>
      </c>
    </row>
    <row r="14" spans="1:8" ht="17.25" x14ac:dyDescent="0.3">
      <c r="B14" s="25">
        <f>ROW()-ROW(tbSAC[[#Headers],['#]])</f>
        <v>6</v>
      </c>
      <c r="C14" s="26">
        <f t="shared" si="1"/>
        <v>1087.2566666666667</v>
      </c>
      <c r="D14" s="27">
        <f>tbSAC[[#This Row],[Saldo Inicial]]*Taxa</f>
        <v>65.235399999999998</v>
      </c>
      <c r="E14" s="26">
        <f>tbSAC[[#This Row],[Saldo Inicial]]+tbSAC[[#This Row],[Juros]]</f>
        <v>1152.4920666666667</v>
      </c>
      <c r="F14" s="28">
        <f>tbSAC[[#This Row],[Juros]]+tbSAC[[#This Row],[Amortização]]</f>
        <v>1152.4920666666667</v>
      </c>
      <c r="G14" s="28">
        <f t="shared" si="0"/>
        <v>1087.2566666666667</v>
      </c>
      <c r="H14" s="26">
        <f>tbSAC[[#This Row],[Saldo Inicial]]-tbSAC[[#This Row],[Amortização]]</f>
        <v>0</v>
      </c>
    </row>
  </sheetData>
  <sheetProtection sheet="1" objects="1" scenarios="1"/>
  <pageMargins left="0.7" right="0.7" top="0.75" bottom="0.75" header="0.3" footer="0.3"/>
  <pageSetup paperSize="9" scale="54" orientation="portrait" r:id="rId1"/>
  <colBreaks count="1" manualBreakCount="1">
    <brk id="8" max="1048575" man="1"/>
  </colBreak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8</vt:i4>
      </vt:variant>
    </vt:vector>
  </HeadingPairs>
  <TitlesOfParts>
    <vt:vector size="9" baseType="lpstr">
      <vt:lpstr>SAC</vt:lpstr>
      <vt:lpstr>Entrada</vt:lpstr>
      <vt:lpstr>Prestacoes</vt:lpstr>
      <vt:lpstr>Taxa</vt:lpstr>
      <vt:lpstr>TotalDivida</vt:lpstr>
      <vt:lpstr>TotalJuros</vt:lpstr>
      <vt:lpstr>ValorAmortizacao</vt:lpstr>
      <vt:lpstr>ValorFinanciado</vt:lpstr>
      <vt:lpstr>ValorTotal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 DO EXCEL</dc:creator>
  <cp:lastModifiedBy>Ivanildo Junior</cp:lastModifiedBy>
  <dcterms:created xsi:type="dcterms:W3CDTF">2016-11-15T10:40:51Z</dcterms:created>
  <dcterms:modified xsi:type="dcterms:W3CDTF">2017-12-11T00:34:40Z</dcterms:modified>
</cp:coreProperties>
</file>