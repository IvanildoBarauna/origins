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eb7de8363f840a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wbBPAManager" hidePivotFieldList="1"/>
  <bookViews>
    <workbookView xWindow="0" yWindow="0" windowWidth="20490" windowHeight="6930" tabRatio="865" activeTab="1"/>
  </bookViews>
  <sheets>
    <sheet name="sViewAux" sheetId="13" r:id="rId1"/>
    <sheet name="LançamentosConsultas" sheetId="1" r:id="rId2"/>
    <sheet name="ReportConsultas" sheetId="4" r:id="rId3"/>
    <sheet name="LançamentosProcedimentos" sheetId="10" r:id="rId4"/>
    <sheet name="ReportProcedimentos" sheetId="12" r:id="rId5"/>
    <sheet name="Cadastros" sheetId="7" r:id="rId6"/>
  </sheets>
  <definedNames>
    <definedName name="_xlnm._FilterDatabase" localSheetId="1" hidden="1">LançamentosConsultas!#REF!</definedName>
    <definedName name="_xlnm._FilterDatabase" localSheetId="3" hidden="1">LançamentosProcedimentos!#REF!</definedName>
    <definedName name="_xlcn.WorksheetConnection_wbBPAManager.xlsmtbCadastroProfissional" hidden="1">tbCadastroProfissional[]</definedName>
    <definedName name="_xlcn.WorksheetConnection_wbBPAManager.xlsmtbProcedimentos" hidden="1">tbProcedimentos[]</definedName>
    <definedName name="_xlnm.Print_Titles" localSheetId="2">ReportConsultas!$A:$C,ReportConsultas!$1:$5</definedName>
    <definedName name="_xlnm.Print_Titles" localSheetId="4">ReportProcedimentos!$A:$B,ReportProcedimentos!$1:$4</definedName>
  </definedNames>
  <calcPr calcId="124519"/>
  <pivotCaches>
    <pivotCache cacheId="0" r:id="rId7"/>
    <pivotCache cacheId="9" r:id="rId8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" i="1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J1018"/>
  <c r="J1019"/>
  <c r="J1020"/>
  <c r="J1021"/>
  <c r="J1022"/>
  <c r="J1023"/>
  <c r="J1024"/>
  <c r="J1025"/>
  <c r="J1026"/>
  <c r="J1027"/>
  <c r="J1028"/>
  <c r="J1029"/>
  <c r="J1030"/>
  <c r="J1031"/>
  <c r="J1032"/>
  <c r="J1033"/>
  <c r="J1034"/>
  <c r="J1035"/>
  <c r="J1036"/>
  <c r="J1037"/>
  <c r="J1038"/>
  <c r="J1039"/>
  <c r="J1040"/>
  <c r="J1041"/>
  <c r="J1042"/>
  <c r="J1043"/>
  <c r="J1044"/>
  <c r="J1045"/>
  <c r="J1046"/>
  <c r="J1047"/>
  <c r="J1048"/>
  <c r="J1049"/>
  <c r="J1050"/>
  <c r="J1051"/>
  <c r="J1052"/>
  <c r="J1053"/>
  <c r="J1054"/>
  <c r="J1055"/>
  <c r="J1056"/>
  <c r="J1057"/>
  <c r="I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I1018"/>
  <c r="I1019"/>
  <c r="I1020"/>
  <c r="I1021"/>
  <c r="I1022"/>
  <c r="I1023"/>
  <c r="I1024"/>
  <c r="I1025"/>
  <c r="I1026"/>
  <c r="I1027"/>
  <c r="I1028"/>
  <c r="I1029"/>
  <c r="I1030"/>
  <c r="I1031"/>
  <c r="I1032"/>
  <c r="I1033"/>
  <c r="I1034"/>
  <c r="I1035"/>
  <c r="I1036"/>
  <c r="I1037"/>
  <c r="I1038"/>
  <c r="I1039"/>
  <c r="I1040"/>
  <c r="I1041"/>
  <c r="I1042"/>
  <c r="I1043"/>
  <c r="I1044"/>
  <c r="I1045"/>
  <c r="I1046"/>
  <c r="I1047"/>
  <c r="I1048"/>
  <c r="I1049"/>
  <c r="I1050"/>
  <c r="I1051"/>
  <c r="I1052"/>
  <c r="I1053"/>
  <c r="I1054"/>
  <c r="I1055"/>
  <c r="I1056"/>
  <c r="I1057"/>
  <c r="A1057" l="1"/>
  <c r="F1057"/>
  <c r="H1057" s="1"/>
  <c r="A1056"/>
  <c r="F1056"/>
  <c r="H1056" s="1"/>
  <c r="A1055"/>
  <c r="F1055"/>
  <c r="H1055" s="1"/>
  <c r="A55" i="10"/>
  <c r="F55"/>
  <c r="H55" s="1"/>
  <c r="I55"/>
  <c r="J55"/>
  <c r="A54"/>
  <c r="F54"/>
  <c r="H54" s="1"/>
  <c r="I54"/>
  <c r="J54"/>
  <c r="A53"/>
  <c r="F53"/>
  <c r="H53" s="1"/>
  <c r="I53"/>
  <c r="J53"/>
  <c r="A52"/>
  <c r="F52"/>
  <c r="H52" s="1"/>
  <c r="I52"/>
  <c r="J52"/>
  <c r="J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I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F2"/>
  <c r="H2" s="1"/>
  <c r="F3"/>
  <c r="H3" s="1"/>
  <c r="F4"/>
  <c r="G4" s="1"/>
  <c r="F5"/>
  <c r="G5" s="1"/>
  <c r="F6"/>
  <c r="H6" s="1"/>
  <c r="F7"/>
  <c r="H7" s="1"/>
  <c r="F8"/>
  <c r="G8" s="1"/>
  <c r="F9"/>
  <c r="G9" s="1"/>
  <c r="F10"/>
  <c r="H10" s="1"/>
  <c r="F11"/>
  <c r="H11" s="1"/>
  <c r="F12"/>
  <c r="G12" s="1"/>
  <c r="F13"/>
  <c r="G13" s="1"/>
  <c r="F14"/>
  <c r="H14" s="1"/>
  <c r="F15"/>
  <c r="H15" s="1"/>
  <c r="F16"/>
  <c r="G16" s="1"/>
  <c r="F17"/>
  <c r="G17" s="1"/>
  <c r="F18"/>
  <c r="H18" s="1"/>
  <c r="F19"/>
  <c r="H19" s="1"/>
  <c r="F20"/>
  <c r="G20" s="1"/>
  <c r="F21"/>
  <c r="G21" s="1"/>
  <c r="F22"/>
  <c r="H22" s="1"/>
  <c r="F23"/>
  <c r="H23" s="1"/>
  <c r="F24"/>
  <c r="G24" s="1"/>
  <c r="F25"/>
  <c r="G25" s="1"/>
  <c r="F26"/>
  <c r="H26" s="1"/>
  <c r="F27"/>
  <c r="H27" s="1"/>
  <c r="F28"/>
  <c r="G28" s="1"/>
  <c r="F29"/>
  <c r="G29" s="1"/>
  <c r="F30"/>
  <c r="H30" s="1"/>
  <c r="F31"/>
  <c r="H31" s="1"/>
  <c r="F32"/>
  <c r="G32" s="1"/>
  <c r="F33"/>
  <c r="G33" s="1"/>
  <c r="F34"/>
  <c r="H34" s="1"/>
  <c r="F35"/>
  <c r="H35" s="1"/>
  <c r="F36"/>
  <c r="G36" s="1"/>
  <c r="F37"/>
  <c r="G37" s="1"/>
  <c r="F38"/>
  <c r="H38" s="1"/>
  <c r="F39"/>
  <c r="H39" s="1"/>
  <c r="F40"/>
  <c r="G40" s="1"/>
  <c r="F41"/>
  <c r="G41" s="1"/>
  <c r="F42"/>
  <c r="H42" s="1"/>
  <c r="F43"/>
  <c r="H43" s="1"/>
  <c r="F44"/>
  <c r="G44" s="1"/>
  <c r="F45"/>
  <c r="G45" s="1"/>
  <c r="F46"/>
  <c r="H46" s="1"/>
  <c r="F47"/>
  <c r="H47" s="1"/>
  <c r="F48"/>
  <c r="G48" s="1"/>
  <c r="F49"/>
  <c r="G49" s="1"/>
  <c r="F50"/>
  <c r="H50" s="1"/>
  <c r="F51"/>
  <c r="H51" s="1"/>
  <c r="F2" i="1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H709" s="1"/>
  <c r="F710"/>
  <c r="H710" s="1"/>
  <c r="F711"/>
  <c r="F712"/>
  <c r="F713"/>
  <c r="H713" s="1"/>
  <c r="F714"/>
  <c r="H714" s="1"/>
  <c r="F715"/>
  <c r="F716"/>
  <c r="F717"/>
  <c r="H717" s="1"/>
  <c r="F718"/>
  <c r="H718" s="1"/>
  <c r="F719"/>
  <c r="F720"/>
  <c r="F721"/>
  <c r="H721" s="1"/>
  <c r="F722"/>
  <c r="H722" s="1"/>
  <c r="F723"/>
  <c r="F724"/>
  <c r="F725"/>
  <c r="H725" s="1"/>
  <c r="F726"/>
  <c r="H726" s="1"/>
  <c r="F727"/>
  <c r="F728"/>
  <c r="F729"/>
  <c r="H729" s="1"/>
  <c r="F730"/>
  <c r="H730" s="1"/>
  <c r="F731"/>
  <c r="F732"/>
  <c r="F733"/>
  <c r="H733" s="1"/>
  <c r="F734"/>
  <c r="H734" s="1"/>
  <c r="F735"/>
  <c r="F736"/>
  <c r="F737"/>
  <c r="H737" s="1"/>
  <c r="F738"/>
  <c r="H738" s="1"/>
  <c r="F739"/>
  <c r="F740"/>
  <c r="F741"/>
  <c r="H741" s="1"/>
  <c r="F742"/>
  <c r="H742" s="1"/>
  <c r="F743"/>
  <c r="F744"/>
  <c r="F745"/>
  <c r="H745" s="1"/>
  <c r="F746"/>
  <c r="H746" s="1"/>
  <c r="F747"/>
  <c r="F748"/>
  <c r="F749"/>
  <c r="H749" s="1"/>
  <c r="F750"/>
  <c r="H750" s="1"/>
  <c r="F751"/>
  <c r="F752"/>
  <c r="F753"/>
  <c r="H753" s="1"/>
  <c r="F754"/>
  <c r="H754" s="1"/>
  <c r="F755"/>
  <c r="F756"/>
  <c r="F757"/>
  <c r="H757" s="1"/>
  <c r="F758"/>
  <c r="H758" s="1"/>
  <c r="F759"/>
  <c r="F760"/>
  <c r="F761"/>
  <c r="H761" s="1"/>
  <c r="F762"/>
  <c r="H762" s="1"/>
  <c r="F763"/>
  <c r="F764"/>
  <c r="F765"/>
  <c r="H765" s="1"/>
  <c r="F766"/>
  <c r="H766" s="1"/>
  <c r="F767"/>
  <c r="F768"/>
  <c r="F769"/>
  <c r="H769" s="1"/>
  <c r="F770"/>
  <c r="H770" s="1"/>
  <c r="F771"/>
  <c r="F772"/>
  <c r="F773"/>
  <c r="H773" s="1"/>
  <c r="F774"/>
  <c r="H774" s="1"/>
  <c r="F775"/>
  <c r="F776"/>
  <c r="F777"/>
  <c r="H777" s="1"/>
  <c r="F778"/>
  <c r="H778" s="1"/>
  <c r="F779"/>
  <c r="F780"/>
  <c r="F781"/>
  <c r="H781" s="1"/>
  <c r="F782"/>
  <c r="H782" s="1"/>
  <c r="F783"/>
  <c r="F784"/>
  <c r="F785"/>
  <c r="H785" s="1"/>
  <c r="F786"/>
  <c r="H786" s="1"/>
  <c r="F787"/>
  <c r="F788"/>
  <c r="F789"/>
  <c r="H789" s="1"/>
  <c r="F790"/>
  <c r="H790" s="1"/>
  <c r="F791"/>
  <c r="F792"/>
  <c r="F793"/>
  <c r="H793" s="1"/>
  <c r="F794"/>
  <c r="H794" s="1"/>
  <c r="F795"/>
  <c r="F796"/>
  <c r="F797"/>
  <c r="H797" s="1"/>
  <c r="F798"/>
  <c r="H798" s="1"/>
  <c r="F799"/>
  <c r="F800"/>
  <c r="F801"/>
  <c r="H801" s="1"/>
  <c r="F802"/>
  <c r="H802" s="1"/>
  <c r="F803"/>
  <c r="F804"/>
  <c r="F805"/>
  <c r="H805" s="1"/>
  <c r="F806"/>
  <c r="H806" s="1"/>
  <c r="F807"/>
  <c r="F808"/>
  <c r="F809"/>
  <c r="H809" s="1"/>
  <c r="F810"/>
  <c r="H810" s="1"/>
  <c r="F811"/>
  <c r="F812"/>
  <c r="F813"/>
  <c r="H813" s="1"/>
  <c r="F814"/>
  <c r="H814" s="1"/>
  <c r="F815"/>
  <c r="F816"/>
  <c r="F817"/>
  <c r="H817" s="1"/>
  <c r="F818"/>
  <c r="H818" s="1"/>
  <c r="F819"/>
  <c r="F820"/>
  <c r="F821"/>
  <c r="H821" s="1"/>
  <c r="F822"/>
  <c r="H822" s="1"/>
  <c r="F823"/>
  <c r="F824"/>
  <c r="F825"/>
  <c r="H825" s="1"/>
  <c r="F826"/>
  <c r="H826" s="1"/>
  <c r="F827"/>
  <c r="F828"/>
  <c r="F829"/>
  <c r="H829" s="1"/>
  <c r="F830"/>
  <c r="H830" s="1"/>
  <c r="F831"/>
  <c r="F832"/>
  <c r="F833"/>
  <c r="H833" s="1"/>
  <c r="F834"/>
  <c r="H834" s="1"/>
  <c r="F835"/>
  <c r="F836"/>
  <c r="F837"/>
  <c r="H837" s="1"/>
  <c r="F838"/>
  <c r="H838" s="1"/>
  <c r="F839"/>
  <c r="F840"/>
  <c r="F841"/>
  <c r="H841" s="1"/>
  <c r="F842"/>
  <c r="H842" s="1"/>
  <c r="F843"/>
  <c r="F844"/>
  <c r="F845"/>
  <c r="H845" s="1"/>
  <c r="F846"/>
  <c r="H846" s="1"/>
  <c r="F847"/>
  <c r="F848"/>
  <c r="F849"/>
  <c r="H849" s="1"/>
  <c r="F850"/>
  <c r="H850" s="1"/>
  <c r="F851"/>
  <c r="F852"/>
  <c r="F853"/>
  <c r="H853" s="1"/>
  <c r="F854"/>
  <c r="H854" s="1"/>
  <c r="F855"/>
  <c r="F856"/>
  <c r="F857"/>
  <c r="H857" s="1"/>
  <c r="F858"/>
  <c r="H858" s="1"/>
  <c r="F859"/>
  <c r="F860"/>
  <c r="F861"/>
  <c r="H861" s="1"/>
  <c r="F862"/>
  <c r="H862" s="1"/>
  <c r="F863"/>
  <c r="F864"/>
  <c r="F865"/>
  <c r="H865" s="1"/>
  <c r="F866"/>
  <c r="H866" s="1"/>
  <c r="F867"/>
  <c r="F868"/>
  <c r="F869"/>
  <c r="H869" s="1"/>
  <c r="F870"/>
  <c r="H870" s="1"/>
  <c r="F871"/>
  <c r="F872"/>
  <c r="F873"/>
  <c r="H873" s="1"/>
  <c r="F874"/>
  <c r="H874" s="1"/>
  <c r="F875"/>
  <c r="F876"/>
  <c r="F877"/>
  <c r="H877" s="1"/>
  <c r="F878"/>
  <c r="H878" s="1"/>
  <c r="F879"/>
  <c r="F880"/>
  <c r="F881"/>
  <c r="H881" s="1"/>
  <c r="F882"/>
  <c r="H882" s="1"/>
  <c r="F883"/>
  <c r="F884"/>
  <c r="F885"/>
  <c r="H885" s="1"/>
  <c r="F886"/>
  <c r="H886" s="1"/>
  <c r="F887"/>
  <c r="F888"/>
  <c r="F889"/>
  <c r="H889" s="1"/>
  <c r="F890"/>
  <c r="H890" s="1"/>
  <c r="F891"/>
  <c r="F892"/>
  <c r="F893"/>
  <c r="H893" s="1"/>
  <c r="F894"/>
  <c r="H894" s="1"/>
  <c r="F895"/>
  <c r="F896"/>
  <c r="F897"/>
  <c r="H897" s="1"/>
  <c r="F898"/>
  <c r="H898" s="1"/>
  <c r="F899"/>
  <c r="F900"/>
  <c r="F901"/>
  <c r="H901" s="1"/>
  <c r="F902"/>
  <c r="H902" s="1"/>
  <c r="F903"/>
  <c r="F904"/>
  <c r="F905"/>
  <c r="H905" s="1"/>
  <c r="F906"/>
  <c r="H906" s="1"/>
  <c r="F907"/>
  <c r="F908"/>
  <c r="F909"/>
  <c r="H909" s="1"/>
  <c r="F910"/>
  <c r="H910" s="1"/>
  <c r="F911"/>
  <c r="F912"/>
  <c r="F913"/>
  <c r="H913" s="1"/>
  <c r="F914"/>
  <c r="H914" s="1"/>
  <c r="F915"/>
  <c r="F916"/>
  <c r="F917"/>
  <c r="H917" s="1"/>
  <c r="F918"/>
  <c r="H918" s="1"/>
  <c r="F919"/>
  <c r="F920"/>
  <c r="F921"/>
  <c r="H921" s="1"/>
  <c r="F922"/>
  <c r="H922" s="1"/>
  <c r="F923"/>
  <c r="F924"/>
  <c r="F925"/>
  <c r="H925" s="1"/>
  <c r="F926"/>
  <c r="H926" s="1"/>
  <c r="F927"/>
  <c r="F928"/>
  <c r="F929"/>
  <c r="H929" s="1"/>
  <c r="F930"/>
  <c r="H930" s="1"/>
  <c r="F931"/>
  <c r="F932"/>
  <c r="F933"/>
  <c r="H933" s="1"/>
  <c r="F934"/>
  <c r="H934" s="1"/>
  <c r="F935"/>
  <c r="F936"/>
  <c r="F937"/>
  <c r="H937" s="1"/>
  <c r="F938"/>
  <c r="H938" s="1"/>
  <c r="F939"/>
  <c r="F940"/>
  <c r="F941"/>
  <c r="H941" s="1"/>
  <c r="F942"/>
  <c r="H942" s="1"/>
  <c r="F943"/>
  <c r="F944"/>
  <c r="F945"/>
  <c r="H945" s="1"/>
  <c r="F946"/>
  <c r="H946" s="1"/>
  <c r="F947"/>
  <c r="F948"/>
  <c r="F949"/>
  <c r="H949" s="1"/>
  <c r="F950"/>
  <c r="H950" s="1"/>
  <c r="F951"/>
  <c r="F952"/>
  <c r="F953"/>
  <c r="H953" s="1"/>
  <c r="F954"/>
  <c r="H954" s="1"/>
  <c r="F955"/>
  <c r="F956"/>
  <c r="F957"/>
  <c r="H957" s="1"/>
  <c r="F958"/>
  <c r="H958" s="1"/>
  <c r="F959"/>
  <c r="F960"/>
  <c r="F961"/>
  <c r="H961" s="1"/>
  <c r="F962"/>
  <c r="H962" s="1"/>
  <c r="F963"/>
  <c r="H963" s="1"/>
  <c r="F964"/>
  <c r="H964" s="1"/>
  <c r="F965"/>
  <c r="H965" s="1"/>
  <c r="F966"/>
  <c r="H966" s="1"/>
  <c r="F967"/>
  <c r="H967" s="1"/>
  <c r="F968"/>
  <c r="H968" s="1"/>
  <c r="F969"/>
  <c r="H969" s="1"/>
  <c r="F970"/>
  <c r="H970" s="1"/>
  <c r="F971"/>
  <c r="H971" s="1"/>
  <c r="F972"/>
  <c r="H972" s="1"/>
  <c r="F973"/>
  <c r="H973" s="1"/>
  <c r="F974"/>
  <c r="H974" s="1"/>
  <c r="F975"/>
  <c r="H975" s="1"/>
  <c r="F976"/>
  <c r="H976" s="1"/>
  <c r="F977"/>
  <c r="H977" s="1"/>
  <c r="F978"/>
  <c r="H978" s="1"/>
  <c r="F979"/>
  <c r="H979" s="1"/>
  <c r="F980"/>
  <c r="H980" s="1"/>
  <c r="F981"/>
  <c r="H981" s="1"/>
  <c r="F982"/>
  <c r="H982" s="1"/>
  <c r="F983"/>
  <c r="H983" s="1"/>
  <c r="F984"/>
  <c r="H984" s="1"/>
  <c r="F985"/>
  <c r="H985" s="1"/>
  <c r="F986"/>
  <c r="H986" s="1"/>
  <c r="F987"/>
  <c r="H987" s="1"/>
  <c r="F988"/>
  <c r="H988" s="1"/>
  <c r="F989"/>
  <c r="H989" s="1"/>
  <c r="F990"/>
  <c r="H990" s="1"/>
  <c r="F991"/>
  <c r="H991" s="1"/>
  <c r="F992"/>
  <c r="H992" s="1"/>
  <c r="F993"/>
  <c r="H993" s="1"/>
  <c r="F994"/>
  <c r="H994" s="1"/>
  <c r="F995"/>
  <c r="H995" s="1"/>
  <c r="F996"/>
  <c r="H996" s="1"/>
  <c r="F997"/>
  <c r="H997" s="1"/>
  <c r="F998"/>
  <c r="H998" s="1"/>
  <c r="F999"/>
  <c r="H999" s="1"/>
  <c r="F1000"/>
  <c r="H1000" s="1"/>
  <c r="F1001"/>
  <c r="H1001" s="1"/>
  <c r="F1002"/>
  <c r="H1002" s="1"/>
  <c r="F1003"/>
  <c r="H1003" s="1"/>
  <c r="F1004"/>
  <c r="H1004" s="1"/>
  <c r="F1005"/>
  <c r="H1005" s="1"/>
  <c r="F1006"/>
  <c r="H1006" s="1"/>
  <c r="F1007"/>
  <c r="H1007" s="1"/>
  <c r="F1008"/>
  <c r="H1008" s="1"/>
  <c r="F1009"/>
  <c r="H1009" s="1"/>
  <c r="F1010"/>
  <c r="H1010" s="1"/>
  <c r="F1011"/>
  <c r="H1011" s="1"/>
  <c r="F1012"/>
  <c r="H1012" s="1"/>
  <c r="F1013"/>
  <c r="H1013" s="1"/>
  <c r="F1014"/>
  <c r="H1014" s="1"/>
  <c r="F1015"/>
  <c r="H1015" s="1"/>
  <c r="F1016"/>
  <c r="H1016" s="1"/>
  <c r="F1017"/>
  <c r="H1017" s="1"/>
  <c r="F1018"/>
  <c r="H1018" s="1"/>
  <c r="F1019"/>
  <c r="H1019" s="1"/>
  <c r="F1020"/>
  <c r="H1020" s="1"/>
  <c r="F1021"/>
  <c r="H1021" s="1"/>
  <c r="F1022"/>
  <c r="H1022" s="1"/>
  <c r="F1023"/>
  <c r="H1023" s="1"/>
  <c r="F1024"/>
  <c r="H1024" s="1"/>
  <c r="F1025"/>
  <c r="H1025" s="1"/>
  <c r="F1026"/>
  <c r="H1026" s="1"/>
  <c r="F1027"/>
  <c r="H1027" s="1"/>
  <c r="F1028"/>
  <c r="H1028" s="1"/>
  <c r="F1029"/>
  <c r="H1029" s="1"/>
  <c r="F1030"/>
  <c r="H1030" s="1"/>
  <c r="F1031"/>
  <c r="H1031" s="1"/>
  <c r="F1032"/>
  <c r="H1032" s="1"/>
  <c r="F1033"/>
  <c r="H1033" s="1"/>
  <c r="F1034"/>
  <c r="H1034" s="1"/>
  <c r="F1035"/>
  <c r="H1035" s="1"/>
  <c r="F1036"/>
  <c r="H1036" s="1"/>
  <c r="F1037"/>
  <c r="H1037" s="1"/>
  <c r="F1038"/>
  <c r="H1038" s="1"/>
  <c r="F1039"/>
  <c r="H1039" s="1"/>
  <c r="F1040"/>
  <c r="H1040" s="1"/>
  <c r="F1041"/>
  <c r="H1041" s="1"/>
  <c r="F1042"/>
  <c r="H1042" s="1"/>
  <c r="F1043"/>
  <c r="H1043" s="1"/>
  <c r="F1044"/>
  <c r="H1044" s="1"/>
  <c r="F1045"/>
  <c r="H1045" s="1"/>
  <c r="F1046"/>
  <c r="H1046" s="1"/>
  <c r="F1047"/>
  <c r="H1047" s="1"/>
  <c r="F1048"/>
  <c r="H1048" s="1"/>
  <c r="F1049"/>
  <c r="H1049" s="1"/>
  <c r="F1050"/>
  <c r="H1050" s="1"/>
  <c r="F1051"/>
  <c r="H1051" s="1"/>
  <c r="F1052"/>
  <c r="H1052" s="1"/>
  <c r="F1053"/>
  <c r="H1053" s="1"/>
  <c r="F1054"/>
  <c r="H1054" s="1"/>
  <c r="G1057" l="1"/>
  <c r="G1056"/>
  <c r="G1055"/>
  <c r="G55" i="10"/>
  <c r="G54"/>
  <c r="G53"/>
  <c r="G52"/>
  <c r="G50"/>
  <c r="G46"/>
  <c r="G42"/>
  <c r="G38"/>
  <c r="G34"/>
  <c r="G30"/>
  <c r="G26"/>
  <c r="G22"/>
  <c r="G18"/>
  <c r="G14"/>
  <c r="G10"/>
  <c r="G6"/>
  <c r="G2"/>
  <c r="H48"/>
  <c r="H44"/>
  <c r="H40"/>
  <c r="H36"/>
  <c r="H32"/>
  <c r="H28"/>
  <c r="H24"/>
  <c r="H20"/>
  <c r="H16"/>
  <c r="H12"/>
  <c r="H8"/>
  <c r="H4"/>
  <c r="G51"/>
  <c r="G47"/>
  <c r="G43"/>
  <c r="G39"/>
  <c r="G35"/>
  <c r="G31"/>
  <c r="G27"/>
  <c r="G23"/>
  <c r="G19"/>
  <c r="G15"/>
  <c r="G11"/>
  <c r="G7"/>
  <c r="G3"/>
  <c r="H49"/>
  <c r="H45"/>
  <c r="H41"/>
  <c r="H37"/>
  <c r="H33"/>
  <c r="H29"/>
  <c r="H25"/>
  <c r="H21"/>
  <c r="H17"/>
  <c r="H13"/>
  <c r="H9"/>
  <c r="H5"/>
  <c r="H705" i="1"/>
  <c r="G705"/>
  <c r="H701"/>
  <c r="G701"/>
  <c r="H697"/>
  <c r="G697"/>
  <c r="H693"/>
  <c r="G693"/>
  <c r="H689"/>
  <c r="G689"/>
  <c r="H685"/>
  <c r="G685"/>
  <c r="H681"/>
  <c r="G681"/>
  <c r="H677"/>
  <c r="G677"/>
  <c r="H673"/>
  <c r="G673"/>
  <c r="H669"/>
  <c r="G669"/>
  <c r="H665"/>
  <c r="G665"/>
  <c r="H661"/>
  <c r="G661"/>
  <c r="H657"/>
  <c r="G657"/>
  <c r="H653"/>
  <c r="G653"/>
  <c r="H649"/>
  <c r="G649"/>
  <c r="H645"/>
  <c r="G645"/>
  <c r="H641"/>
  <c r="G641"/>
  <c r="H637"/>
  <c r="G637"/>
  <c r="H633"/>
  <c r="G633"/>
  <c r="H629"/>
  <c r="G629"/>
  <c r="H625"/>
  <c r="G625"/>
  <c r="H621"/>
  <c r="G621"/>
  <c r="H617"/>
  <c r="G617"/>
  <c r="H613"/>
  <c r="G613"/>
  <c r="H609"/>
  <c r="G609"/>
  <c r="H605"/>
  <c r="G605"/>
  <c r="H601"/>
  <c r="G601"/>
  <c r="H597"/>
  <c r="G597"/>
  <c r="H593"/>
  <c r="G593"/>
  <c r="H589"/>
  <c r="G589"/>
  <c r="H585"/>
  <c r="G585"/>
  <c r="H581"/>
  <c r="G581"/>
  <c r="H577"/>
  <c r="G577"/>
  <c r="H573"/>
  <c r="G573"/>
  <c r="H569"/>
  <c r="G569"/>
  <c r="H565"/>
  <c r="G565"/>
  <c r="H561"/>
  <c r="G561"/>
  <c r="H557"/>
  <c r="G557"/>
  <c r="H553"/>
  <c r="G553"/>
  <c r="H549"/>
  <c r="G549"/>
  <c r="H545"/>
  <c r="G545"/>
  <c r="H541"/>
  <c r="G541"/>
  <c r="H537"/>
  <c r="G537"/>
  <c r="H533"/>
  <c r="G533"/>
  <c r="H529"/>
  <c r="G529"/>
  <c r="H525"/>
  <c r="G525"/>
  <c r="H521"/>
  <c r="G521"/>
  <c r="H517"/>
  <c r="G517"/>
  <c r="H513"/>
  <c r="G513"/>
  <c r="H509"/>
  <c r="G509"/>
  <c r="H505"/>
  <c r="G505"/>
  <c r="H501"/>
  <c r="G501"/>
  <c r="H497"/>
  <c r="G497"/>
  <c r="H493"/>
  <c r="G493"/>
  <c r="H489"/>
  <c r="G489"/>
  <c r="H485"/>
  <c r="G485"/>
  <c r="H481"/>
  <c r="G481"/>
  <c r="H477"/>
  <c r="G477"/>
  <c r="H473"/>
  <c r="G473"/>
  <c r="H469"/>
  <c r="G469"/>
  <c r="H465"/>
  <c r="G465"/>
  <c r="H461"/>
  <c r="G461"/>
  <c r="H457"/>
  <c r="G457"/>
  <c r="H453"/>
  <c r="G453"/>
  <c r="H449"/>
  <c r="G449"/>
  <c r="H445"/>
  <c r="G445"/>
  <c r="H441"/>
  <c r="G441"/>
  <c r="H437"/>
  <c r="G437"/>
  <c r="H433"/>
  <c r="G433"/>
  <c r="H429"/>
  <c r="G429"/>
  <c r="H425"/>
  <c r="G425"/>
  <c r="H421"/>
  <c r="G421"/>
  <c r="H417"/>
  <c r="G417"/>
  <c r="H413"/>
  <c r="G413"/>
  <c r="H409"/>
  <c r="G409"/>
  <c r="H405"/>
  <c r="G405"/>
  <c r="H401"/>
  <c r="G401"/>
  <c r="H397"/>
  <c r="G397"/>
  <c r="H393"/>
  <c r="G393"/>
  <c r="H389"/>
  <c r="G389"/>
  <c r="H385"/>
  <c r="G385"/>
  <c r="H381"/>
  <c r="G381"/>
  <c r="H377"/>
  <c r="G377"/>
  <c r="H373"/>
  <c r="G373"/>
  <c r="H369"/>
  <c r="G369"/>
  <c r="H365"/>
  <c r="G365"/>
  <c r="H361"/>
  <c r="G361"/>
  <c r="H357"/>
  <c r="G357"/>
  <c r="H353"/>
  <c r="G353"/>
  <c r="H349"/>
  <c r="G349"/>
  <c r="H345"/>
  <c r="G345"/>
  <c r="H341"/>
  <c r="G341"/>
  <c r="H337"/>
  <c r="G337"/>
  <c r="H333"/>
  <c r="G333"/>
  <c r="H329"/>
  <c r="G329"/>
  <c r="H325"/>
  <c r="G325"/>
  <c r="H321"/>
  <c r="G321"/>
  <c r="H317"/>
  <c r="G317"/>
  <c r="H313"/>
  <c r="G313"/>
  <c r="H309"/>
  <c r="G309"/>
  <c r="H305"/>
  <c r="G305"/>
  <c r="H301"/>
  <c r="G301"/>
  <c r="H297"/>
  <c r="G297"/>
  <c r="H293"/>
  <c r="G293"/>
  <c r="H289"/>
  <c r="G289"/>
  <c r="H285"/>
  <c r="G285"/>
  <c r="H281"/>
  <c r="G281"/>
  <c r="H277"/>
  <c r="G277"/>
  <c r="H273"/>
  <c r="G273"/>
  <c r="H269"/>
  <c r="G269"/>
  <c r="H265"/>
  <c r="G265"/>
  <c r="H261"/>
  <c r="G261"/>
  <c r="H257"/>
  <c r="G257"/>
  <c r="H253"/>
  <c r="G253"/>
  <c r="H249"/>
  <c r="G249"/>
  <c r="H245"/>
  <c r="G245"/>
  <c r="H241"/>
  <c r="G241"/>
  <c r="H237"/>
  <c r="G237"/>
  <c r="H233"/>
  <c r="G233"/>
  <c r="H229"/>
  <c r="G229"/>
  <c r="H225"/>
  <c r="G225"/>
  <c r="H221"/>
  <c r="G221"/>
  <c r="H217"/>
  <c r="G217"/>
  <c r="H213"/>
  <c r="G213"/>
  <c r="H209"/>
  <c r="G209"/>
  <c r="H205"/>
  <c r="G205"/>
  <c r="H201"/>
  <c r="G201"/>
  <c r="H197"/>
  <c r="G197"/>
  <c r="H193"/>
  <c r="G193"/>
  <c r="H189"/>
  <c r="G189"/>
  <c r="H185"/>
  <c r="G185"/>
  <c r="H181"/>
  <c r="G181"/>
  <c r="H177"/>
  <c r="G177"/>
  <c r="H173"/>
  <c r="G173"/>
  <c r="H169"/>
  <c r="G169"/>
  <c r="H165"/>
  <c r="G165"/>
  <c r="H161"/>
  <c r="G161"/>
  <c r="H157"/>
  <c r="G157"/>
  <c r="H153"/>
  <c r="G153"/>
  <c r="H149"/>
  <c r="G149"/>
  <c r="H145"/>
  <c r="G145"/>
  <c r="H141"/>
  <c r="G141"/>
  <c r="H137"/>
  <c r="G137"/>
  <c r="H133"/>
  <c r="G133"/>
  <c r="H129"/>
  <c r="G129"/>
  <c r="H125"/>
  <c r="G125"/>
  <c r="H121"/>
  <c r="G121"/>
  <c r="H117"/>
  <c r="G117"/>
  <c r="H113"/>
  <c r="G113"/>
  <c r="H109"/>
  <c r="G109"/>
  <c r="H105"/>
  <c r="G105"/>
  <c r="H101"/>
  <c r="G101"/>
  <c r="H97"/>
  <c r="G97"/>
  <c r="H93"/>
  <c r="G93"/>
  <c r="H89"/>
  <c r="G89"/>
  <c r="H85"/>
  <c r="G85"/>
  <c r="H81"/>
  <c r="G81"/>
  <c r="H77"/>
  <c r="G77"/>
  <c r="H73"/>
  <c r="G73"/>
  <c r="H69"/>
  <c r="G69"/>
  <c r="H65"/>
  <c r="G65"/>
  <c r="H61"/>
  <c r="G61"/>
  <c r="H57"/>
  <c r="G57"/>
  <c r="H53"/>
  <c r="G53"/>
  <c r="H49"/>
  <c r="G49"/>
  <c r="H45"/>
  <c r="G45"/>
  <c r="H41"/>
  <c r="G41"/>
  <c r="H37"/>
  <c r="G37"/>
  <c r="H33"/>
  <c r="G33"/>
  <c r="H29"/>
  <c r="G29"/>
  <c r="H25"/>
  <c r="G25"/>
  <c r="H21"/>
  <c r="G21"/>
  <c r="H17"/>
  <c r="G17"/>
  <c r="H13"/>
  <c r="G13"/>
  <c r="H9"/>
  <c r="G9"/>
  <c r="H5"/>
  <c r="G5"/>
  <c r="G1054"/>
  <c r="G1050"/>
  <c r="G1046"/>
  <c r="G1042"/>
  <c r="G1038"/>
  <c r="G1034"/>
  <c r="G1030"/>
  <c r="G1026"/>
  <c r="G1022"/>
  <c r="G1018"/>
  <c r="G1014"/>
  <c r="G1010"/>
  <c r="G1006"/>
  <c r="G1002"/>
  <c r="G998"/>
  <c r="G994"/>
  <c r="G990"/>
  <c r="G986"/>
  <c r="G982"/>
  <c r="G978"/>
  <c r="G974"/>
  <c r="G970"/>
  <c r="G966"/>
  <c r="G962"/>
  <c r="G954"/>
  <c r="G946"/>
  <c r="G938"/>
  <c r="G930"/>
  <c r="G922"/>
  <c r="G914"/>
  <c r="G906"/>
  <c r="G898"/>
  <c r="G890"/>
  <c r="G882"/>
  <c r="G874"/>
  <c r="G866"/>
  <c r="G858"/>
  <c r="G850"/>
  <c r="G842"/>
  <c r="G834"/>
  <c r="G826"/>
  <c r="G818"/>
  <c r="G810"/>
  <c r="G802"/>
  <c r="G794"/>
  <c r="G786"/>
  <c r="G778"/>
  <c r="G770"/>
  <c r="G762"/>
  <c r="G754"/>
  <c r="G746"/>
  <c r="G738"/>
  <c r="G730"/>
  <c r="G722"/>
  <c r="G714"/>
  <c r="H706"/>
  <c r="G706"/>
  <c r="H702"/>
  <c r="G702"/>
  <c r="H698"/>
  <c r="G698"/>
  <c r="H694"/>
  <c r="G694"/>
  <c r="H690"/>
  <c r="G690"/>
  <c r="H686"/>
  <c r="G686"/>
  <c r="H682"/>
  <c r="G682"/>
  <c r="H678"/>
  <c r="G678"/>
  <c r="H674"/>
  <c r="G674"/>
  <c r="H670"/>
  <c r="G670"/>
  <c r="H666"/>
  <c r="G666"/>
  <c r="H662"/>
  <c r="G662"/>
  <c r="H658"/>
  <c r="G658"/>
  <c r="H654"/>
  <c r="G654"/>
  <c r="H650"/>
  <c r="G650"/>
  <c r="H646"/>
  <c r="G646"/>
  <c r="H642"/>
  <c r="G642"/>
  <c r="H638"/>
  <c r="G638"/>
  <c r="H634"/>
  <c r="G634"/>
  <c r="H630"/>
  <c r="G630"/>
  <c r="H626"/>
  <c r="G626"/>
  <c r="H622"/>
  <c r="G622"/>
  <c r="H618"/>
  <c r="G618"/>
  <c r="H614"/>
  <c r="G614"/>
  <c r="H610"/>
  <c r="G610"/>
  <c r="H606"/>
  <c r="G606"/>
  <c r="H602"/>
  <c r="G602"/>
  <c r="H598"/>
  <c r="G598"/>
  <c r="H594"/>
  <c r="G594"/>
  <c r="H590"/>
  <c r="G590"/>
  <c r="H586"/>
  <c r="G586"/>
  <c r="H582"/>
  <c r="G582"/>
  <c r="H578"/>
  <c r="G578"/>
  <c r="H574"/>
  <c r="G574"/>
  <c r="H570"/>
  <c r="G570"/>
  <c r="H566"/>
  <c r="G566"/>
  <c r="H562"/>
  <c r="G562"/>
  <c r="H558"/>
  <c r="G558"/>
  <c r="H554"/>
  <c r="G554"/>
  <c r="H550"/>
  <c r="G550"/>
  <c r="H546"/>
  <c r="G546"/>
  <c r="H542"/>
  <c r="G542"/>
  <c r="H538"/>
  <c r="G538"/>
  <c r="H534"/>
  <c r="G534"/>
  <c r="H530"/>
  <c r="G530"/>
  <c r="H526"/>
  <c r="G526"/>
  <c r="H522"/>
  <c r="G522"/>
  <c r="H518"/>
  <c r="G518"/>
  <c r="H514"/>
  <c r="G514"/>
  <c r="H510"/>
  <c r="G510"/>
  <c r="H506"/>
  <c r="G506"/>
  <c r="H502"/>
  <c r="G502"/>
  <c r="H498"/>
  <c r="G498"/>
  <c r="H494"/>
  <c r="G494"/>
  <c r="H490"/>
  <c r="G490"/>
  <c r="H486"/>
  <c r="G486"/>
  <c r="H482"/>
  <c r="G482"/>
  <c r="H478"/>
  <c r="G478"/>
  <c r="H474"/>
  <c r="G474"/>
  <c r="H470"/>
  <c r="G470"/>
  <c r="H466"/>
  <c r="G466"/>
  <c r="H462"/>
  <c r="G462"/>
  <c r="H458"/>
  <c r="G458"/>
  <c r="H454"/>
  <c r="G454"/>
  <c r="H450"/>
  <c r="G450"/>
  <c r="H446"/>
  <c r="G446"/>
  <c r="H442"/>
  <c r="G442"/>
  <c r="H438"/>
  <c r="G438"/>
  <c r="H434"/>
  <c r="G434"/>
  <c r="H430"/>
  <c r="G430"/>
  <c r="H426"/>
  <c r="G426"/>
  <c r="H422"/>
  <c r="G422"/>
  <c r="H418"/>
  <c r="G418"/>
  <c r="H414"/>
  <c r="G414"/>
  <c r="H410"/>
  <c r="G410"/>
  <c r="H406"/>
  <c r="G406"/>
  <c r="H402"/>
  <c r="G402"/>
  <c r="H398"/>
  <c r="G398"/>
  <c r="H394"/>
  <c r="G394"/>
  <c r="H390"/>
  <c r="G390"/>
  <c r="H386"/>
  <c r="G386"/>
  <c r="H382"/>
  <c r="G382"/>
  <c r="H378"/>
  <c r="G378"/>
  <c r="H374"/>
  <c r="G374"/>
  <c r="H370"/>
  <c r="G370"/>
  <c r="H366"/>
  <c r="G366"/>
  <c r="H362"/>
  <c r="G362"/>
  <c r="H358"/>
  <c r="G358"/>
  <c r="H354"/>
  <c r="G354"/>
  <c r="H350"/>
  <c r="G350"/>
  <c r="H346"/>
  <c r="G346"/>
  <c r="H342"/>
  <c r="G342"/>
  <c r="H338"/>
  <c r="G338"/>
  <c r="H334"/>
  <c r="G334"/>
  <c r="H330"/>
  <c r="G330"/>
  <c r="H326"/>
  <c r="G326"/>
  <c r="H322"/>
  <c r="G322"/>
  <c r="H318"/>
  <c r="G318"/>
  <c r="H314"/>
  <c r="G314"/>
  <c r="H310"/>
  <c r="G310"/>
  <c r="H306"/>
  <c r="G306"/>
  <c r="H302"/>
  <c r="G302"/>
  <c r="H298"/>
  <c r="G298"/>
  <c r="H294"/>
  <c r="G294"/>
  <c r="H290"/>
  <c r="G290"/>
  <c r="H286"/>
  <c r="G286"/>
  <c r="H282"/>
  <c r="G282"/>
  <c r="H278"/>
  <c r="G278"/>
  <c r="H274"/>
  <c r="G274"/>
  <c r="H270"/>
  <c r="G270"/>
  <c r="H266"/>
  <c r="G266"/>
  <c r="H262"/>
  <c r="G262"/>
  <c r="H258"/>
  <c r="G258"/>
  <c r="H254"/>
  <c r="G254"/>
  <c r="H250"/>
  <c r="G250"/>
  <c r="H246"/>
  <c r="G246"/>
  <c r="H242"/>
  <c r="G242"/>
  <c r="H238"/>
  <c r="G238"/>
  <c r="H234"/>
  <c r="G234"/>
  <c r="H230"/>
  <c r="G230"/>
  <c r="H226"/>
  <c r="G226"/>
  <c r="H222"/>
  <c r="G222"/>
  <c r="H218"/>
  <c r="G218"/>
  <c r="H214"/>
  <c r="G214"/>
  <c r="H210"/>
  <c r="G210"/>
  <c r="H206"/>
  <c r="G206"/>
  <c r="H202"/>
  <c r="G202"/>
  <c r="H198"/>
  <c r="G198"/>
  <c r="H194"/>
  <c r="G194"/>
  <c r="H190"/>
  <c r="G190"/>
  <c r="H186"/>
  <c r="G186"/>
  <c r="H182"/>
  <c r="G182"/>
  <c r="H178"/>
  <c r="G178"/>
  <c r="H174"/>
  <c r="G174"/>
  <c r="H170"/>
  <c r="G170"/>
  <c r="H166"/>
  <c r="G166"/>
  <c r="H162"/>
  <c r="G162"/>
  <c r="H158"/>
  <c r="G158"/>
  <c r="H154"/>
  <c r="G154"/>
  <c r="H150"/>
  <c r="G150"/>
  <c r="H146"/>
  <c r="G146"/>
  <c r="H142"/>
  <c r="G142"/>
  <c r="H138"/>
  <c r="G138"/>
  <c r="H134"/>
  <c r="G134"/>
  <c r="H130"/>
  <c r="G130"/>
  <c r="H126"/>
  <c r="G126"/>
  <c r="H122"/>
  <c r="G122"/>
  <c r="H118"/>
  <c r="G118"/>
  <c r="H114"/>
  <c r="G114"/>
  <c r="H110"/>
  <c r="G110"/>
  <c r="H106"/>
  <c r="G106"/>
  <c r="H102"/>
  <c r="G102"/>
  <c r="H98"/>
  <c r="G98"/>
  <c r="H94"/>
  <c r="G94"/>
  <c r="H90"/>
  <c r="G90"/>
  <c r="H86"/>
  <c r="G86"/>
  <c r="H82"/>
  <c r="G82"/>
  <c r="H78"/>
  <c r="G78"/>
  <c r="H74"/>
  <c r="G74"/>
  <c r="H70"/>
  <c r="G70"/>
  <c r="H66"/>
  <c r="G66"/>
  <c r="H62"/>
  <c r="G62"/>
  <c r="H58"/>
  <c r="G58"/>
  <c r="H54"/>
  <c r="G54"/>
  <c r="H50"/>
  <c r="G50"/>
  <c r="H46"/>
  <c r="G46"/>
  <c r="H42"/>
  <c r="G42"/>
  <c r="H38"/>
  <c r="G38"/>
  <c r="H34"/>
  <c r="G34"/>
  <c r="H30"/>
  <c r="G30"/>
  <c r="H26"/>
  <c r="G26"/>
  <c r="H22"/>
  <c r="G22"/>
  <c r="H18"/>
  <c r="G18"/>
  <c r="H14"/>
  <c r="G14"/>
  <c r="H10"/>
  <c r="G10"/>
  <c r="H6"/>
  <c r="G6"/>
  <c r="H2"/>
  <c r="G2"/>
  <c r="G1051"/>
  <c r="G1047"/>
  <c r="G1043"/>
  <c r="G1039"/>
  <c r="G1035"/>
  <c r="G1031"/>
  <c r="G1027"/>
  <c r="G1023"/>
  <c r="G1019"/>
  <c r="G1015"/>
  <c r="G1011"/>
  <c r="G1007"/>
  <c r="G1003"/>
  <c r="G999"/>
  <c r="G995"/>
  <c r="G991"/>
  <c r="G987"/>
  <c r="G983"/>
  <c r="G979"/>
  <c r="G975"/>
  <c r="G971"/>
  <c r="G967"/>
  <c r="G963"/>
  <c r="G957"/>
  <c r="G949"/>
  <c r="G941"/>
  <c r="G933"/>
  <c r="G925"/>
  <c r="G917"/>
  <c r="G909"/>
  <c r="G901"/>
  <c r="G893"/>
  <c r="G885"/>
  <c r="G877"/>
  <c r="G869"/>
  <c r="G861"/>
  <c r="G853"/>
  <c r="G845"/>
  <c r="G837"/>
  <c r="G829"/>
  <c r="G821"/>
  <c r="G813"/>
  <c r="G805"/>
  <c r="G797"/>
  <c r="G789"/>
  <c r="G781"/>
  <c r="G773"/>
  <c r="G765"/>
  <c r="G757"/>
  <c r="G749"/>
  <c r="G741"/>
  <c r="G733"/>
  <c r="G725"/>
  <c r="G717"/>
  <c r="G709"/>
  <c r="H959"/>
  <c r="G959"/>
  <c r="H955"/>
  <c r="G955"/>
  <c r="H951"/>
  <c r="G951"/>
  <c r="H947"/>
  <c r="G947"/>
  <c r="H943"/>
  <c r="G943"/>
  <c r="H939"/>
  <c r="G939"/>
  <c r="H935"/>
  <c r="G935"/>
  <c r="H931"/>
  <c r="G931"/>
  <c r="H927"/>
  <c r="G927"/>
  <c r="H923"/>
  <c r="G923"/>
  <c r="H919"/>
  <c r="G919"/>
  <c r="H915"/>
  <c r="G915"/>
  <c r="H911"/>
  <c r="G911"/>
  <c r="H907"/>
  <c r="G907"/>
  <c r="H903"/>
  <c r="G903"/>
  <c r="H899"/>
  <c r="G899"/>
  <c r="H895"/>
  <c r="G895"/>
  <c r="H891"/>
  <c r="G891"/>
  <c r="H887"/>
  <c r="G887"/>
  <c r="H883"/>
  <c r="G883"/>
  <c r="H879"/>
  <c r="G879"/>
  <c r="H875"/>
  <c r="G875"/>
  <c r="H871"/>
  <c r="G871"/>
  <c r="H867"/>
  <c r="G867"/>
  <c r="H863"/>
  <c r="G863"/>
  <c r="H859"/>
  <c r="G859"/>
  <c r="H855"/>
  <c r="G855"/>
  <c r="H851"/>
  <c r="G851"/>
  <c r="H847"/>
  <c r="G847"/>
  <c r="H843"/>
  <c r="G843"/>
  <c r="H839"/>
  <c r="G839"/>
  <c r="H835"/>
  <c r="G835"/>
  <c r="H831"/>
  <c r="G831"/>
  <c r="H827"/>
  <c r="G827"/>
  <c r="H823"/>
  <c r="G823"/>
  <c r="H819"/>
  <c r="G819"/>
  <c r="H815"/>
  <c r="G815"/>
  <c r="H811"/>
  <c r="G811"/>
  <c r="H807"/>
  <c r="G807"/>
  <c r="H803"/>
  <c r="G803"/>
  <c r="H799"/>
  <c r="G799"/>
  <c r="H795"/>
  <c r="G795"/>
  <c r="H791"/>
  <c r="G791"/>
  <c r="H787"/>
  <c r="G787"/>
  <c r="H783"/>
  <c r="G783"/>
  <c r="H779"/>
  <c r="G779"/>
  <c r="H775"/>
  <c r="G775"/>
  <c r="H771"/>
  <c r="G771"/>
  <c r="H767"/>
  <c r="G767"/>
  <c r="H763"/>
  <c r="G763"/>
  <c r="H759"/>
  <c r="G759"/>
  <c r="H755"/>
  <c r="G755"/>
  <c r="H751"/>
  <c r="G751"/>
  <c r="H747"/>
  <c r="G747"/>
  <c r="H743"/>
  <c r="G743"/>
  <c r="H739"/>
  <c r="G739"/>
  <c r="H735"/>
  <c r="G735"/>
  <c r="H731"/>
  <c r="G731"/>
  <c r="H727"/>
  <c r="G727"/>
  <c r="H723"/>
  <c r="G723"/>
  <c r="H719"/>
  <c r="G719"/>
  <c r="H715"/>
  <c r="G715"/>
  <c r="H711"/>
  <c r="G711"/>
  <c r="H707"/>
  <c r="G707"/>
  <c r="H703"/>
  <c r="G703"/>
  <c r="H699"/>
  <c r="G699"/>
  <c r="H695"/>
  <c r="G695"/>
  <c r="H691"/>
  <c r="G691"/>
  <c r="H687"/>
  <c r="G687"/>
  <c r="H683"/>
  <c r="G683"/>
  <c r="H679"/>
  <c r="G679"/>
  <c r="H675"/>
  <c r="G675"/>
  <c r="H671"/>
  <c r="G671"/>
  <c r="H667"/>
  <c r="G667"/>
  <c r="H663"/>
  <c r="G663"/>
  <c r="H659"/>
  <c r="G659"/>
  <c r="H655"/>
  <c r="G655"/>
  <c r="H651"/>
  <c r="G651"/>
  <c r="H647"/>
  <c r="G647"/>
  <c r="H643"/>
  <c r="G643"/>
  <c r="H639"/>
  <c r="G639"/>
  <c r="H635"/>
  <c r="G635"/>
  <c r="H631"/>
  <c r="G631"/>
  <c r="H627"/>
  <c r="G627"/>
  <c r="H623"/>
  <c r="G623"/>
  <c r="H619"/>
  <c r="G619"/>
  <c r="H615"/>
  <c r="G615"/>
  <c r="H611"/>
  <c r="G611"/>
  <c r="H607"/>
  <c r="G607"/>
  <c r="H603"/>
  <c r="G603"/>
  <c r="H599"/>
  <c r="G599"/>
  <c r="H595"/>
  <c r="G595"/>
  <c r="H591"/>
  <c r="G591"/>
  <c r="H587"/>
  <c r="G587"/>
  <c r="H583"/>
  <c r="G583"/>
  <c r="H579"/>
  <c r="G579"/>
  <c r="H575"/>
  <c r="G575"/>
  <c r="H571"/>
  <c r="G571"/>
  <c r="H567"/>
  <c r="G567"/>
  <c r="H563"/>
  <c r="G563"/>
  <c r="H559"/>
  <c r="G559"/>
  <c r="H555"/>
  <c r="G555"/>
  <c r="H551"/>
  <c r="G551"/>
  <c r="H547"/>
  <c r="G547"/>
  <c r="H543"/>
  <c r="G543"/>
  <c r="H539"/>
  <c r="G539"/>
  <c r="H535"/>
  <c r="G535"/>
  <c r="H531"/>
  <c r="G531"/>
  <c r="H527"/>
  <c r="G527"/>
  <c r="H523"/>
  <c r="G523"/>
  <c r="H519"/>
  <c r="G519"/>
  <c r="H515"/>
  <c r="G515"/>
  <c r="H511"/>
  <c r="G511"/>
  <c r="H507"/>
  <c r="G507"/>
  <c r="H503"/>
  <c r="G503"/>
  <c r="H499"/>
  <c r="G499"/>
  <c r="H495"/>
  <c r="G495"/>
  <c r="H491"/>
  <c r="G491"/>
  <c r="H487"/>
  <c r="G487"/>
  <c r="H483"/>
  <c r="G483"/>
  <c r="H479"/>
  <c r="G479"/>
  <c r="H475"/>
  <c r="G475"/>
  <c r="H471"/>
  <c r="G471"/>
  <c r="H467"/>
  <c r="G467"/>
  <c r="H463"/>
  <c r="G463"/>
  <c r="H459"/>
  <c r="G459"/>
  <c r="H455"/>
  <c r="G455"/>
  <c r="H451"/>
  <c r="G451"/>
  <c r="H447"/>
  <c r="G447"/>
  <c r="H443"/>
  <c r="G443"/>
  <c r="H439"/>
  <c r="G439"/>
  <c r="H435"/>
  <c r="G435"/>
  <c r="H431"/>
  <c r="G431"/>
  <c r="H427"/>
  <c r="G427"/>
  <c r="H423"/>
  <c r="G423"/>
  <c r="H419"/>
  <c r="G419"/>
  <c r="H415"/>
  <c r="G415"/>
  <c r="H411"/>
  <c r="G411"/>
  <c r="H407"/>
  <c r="G407"/>
  <c r="H403"/>
  <c r="G403"/>
  <c r="H399"/>
  <c r="G399"/>
  <c r="H395"/>
  <c r="G395"/>
  <c r="H391"/>
  <c r="G391"/>
  <c r="H387"/>
  <c r="G387"/>
  <c r="H383"/>
  <c r="G383"/>
  <c r="H379"/>
  <c r="G379"/>
  <c r="H375"/>
  <c r="G375"/>
  <c r="H371"/>
  <c r="G371"/>
  <c r="H367"/>
  <c r="G367"/>
  <c r="H363"/>
  <c r="G363"/>
  <c r="H359"/>
  <c r="G359"/>
  <c r="H355"/>
  <c r="G355"/>
  <c r="H351"/>
  <c r="G351"/>
  <c r="H347"/>
  <c r="G347"/>
  <c r="H343"/>
  <c r="G343"/>
  <c r="H339"/>
  <c r="G339"/>
  <c r="H335"/>
  <c r="G335"/>
  <c r="H331"/>
  <c r="G331"/>
  <c r="H327"/>
  <c r="G327"/>
  <c r="H323"/>
  <c r="G323"/>
  <c r="H319"/>
  <c r="G319"/>
  <c r="H315"/>
  <c r="G315"/>
  <c r="H311"/>
  <c r="G311"/>
  <c r="H307"/>
  <c r="G307"/>
  <c r="H303"/>
  <c r="G303"/>
  <c r="H299"/>
  <c r="G299"/>
  <c r="H295"/>
  <c r="G295"/>
  <c r="H291"/>
  <c r="G291"/>
  <c r="H287"/>
  <c r="G287"/>
  <c r="H283"/>
  <c r="G283"/>
  <c r="H279"/>
  <c r="G279"/>
  <c r="H275"/>
  <c r="G275"/>
  <c r="H271"/>
  <c r="G271"/>
  <c r="H267"/>
  <c r="G267"/>
  <c r="H263"/>
  <c r="G263"/>
  <c r="H259"/>
  <c r="G259"/>
  <c r="H255"/>
  <c r="G255"/>
  <c r="H251"/>
  <c r="G251"/>
  <c r="H247"/>
  <c r="G247"/>
  <c r="H243"/>
  <c r="G243"/>
  <c r="H239"/>
  <c r="G239"/>
  <c r="H235"/>
  <c r="G235"/>
  <c r="H231"/>
  <c r="G231"/>
  <c r="H227"/>
  <c r="G227"/>
  <c r="H223"/>
  <c r="G223"/>
  <c r="H219"/>
  <c r="G219"/>
  <c r="H215"/>
  <c r="G215"/>
  <c r="H211"/>
  <c r="G211"/>
  <c r="H207"/>
  <c r="G207"/>
  <c r="H203"/>
  <c r="G203"/>
  <c r="H199"/>
  <c r="G199"/>
  <c r="H195"/>
  <c r="G195"/>
  <c r="H191"/>
  <c r="G191"/>
  <c r="H187"/>
  <c r="G187"/>
  <c r="H183"/>
  <c r="G183"/>
  <c r="H179"/>
  <c r="G179"/>
  <c r="H175"/>
  <c r="G175"/>
  <c r="H171"/>
  <c r="G171"/>
  <c r="H167"/>
  <c r="G167"/>
  <c r="H163"/>
  <c r="G163"/>
  <c r="H159"/>
  <c r="G159"/>
  <c r="H155"/>
  <c r="G155"/>
  <c r="H151"/>
  <c r="G151"/>
  <c r="H147"/>
  <c r="G147"/>
  <c r="H143"/>
  <c r="G143"/>
  <c r="H139"/>
  <c r="G139"/>
  <c r="H135"/>
  <c r="G135"/>
  <c r="H131"/>
  <c r="G131"/>
  <c r="H127"/>
  <c r="G127"/>
  <c r="H123"/>
  <c r="G123"/>
  <c r="H119"/>
  <c r="G119"/>
  <c r="H115"/>
  <c r="G115"/>
  <c r="H111"/>
  <c r="G111"/>
  <c r="H107"/>
  <c r="G107"/>
  <c r="H103"/>
  <c r="G103"/>
  <c r="H99"/>
  <c r="G99"/>
  <c r="H95"/>
  <c r="G95"/>
  <c r="H91"/>
  <c r="G91"/>
  <c r="H87"/>
  <c r="G87"/>
  <c r="H83"/>
  <c r="G83"/>
  <c r="H79"/>
  <c r="G79"/>
  <c r="H75"/>
  <c r="G75"/>
  <c r="H71"/>
  <c r="G71"/>
  <c r="H67"/>
  <c r="G67"/>
  <c r="H63"/>
  <c r="G63"/>
  <c r="H59"/>
  <c r="G59"/>
  <c r="H55"/>
  <c r="G55"/>
  <c r="H51"/>
  <c r="G51"/>
  <c r="H47"/>
  <c r="G47"/>
  <c r="H43"/>
  <c r="G43"/>
  <c r="H39"/>
  <c r="G39"/>
  <c r="H35"/>
  <c r="G35"/>
  <c r="H31"/>
  <c r="G31"/>
  <c r="H27"/>
  <c r="G27"/>
  <c r="H23"/>
  <c r="G23"/>
  <c r="H19"/>
  <c r="G19"/>
  <c r="H15"/>
  <c r="G15"/>
  <c r="H11"/>
  <c r="G11"/>
  <c r="H7"/>
  <c r="G7"/>
  <c r="H3"/>
  <c r="G3"/>
  <c r="G1052"/>
  <c r="G1048"/>
  <c r="G1044"/>
  <c r="G1040"/>
  <c r="G1036"/>
  <c r="G1032"/>
  <c r="G1028"/>
  <c r="G1024"/>
  <c r="G1020"/>
  <c r="G1016"/>
  <c r="G1012"/>
  <c r="G1008"/>
  <c r="G1004"/>
  <c r="G1000"/>
  <c r="G996"/>
  <c r="G992"/>
  <c r="G988"/>
  <c r="G984"/>
  <c r="G980"/>
  <c r="G976"/>
  <c r="G972"/>
  <c r="G968"/>
  <c r="G964"/>
  <c r="G958"/>
  <c r="G950"/>
  <c r="G942"/>
  <c r="G934"/>
  <c r="G926"/>
  <c r="G918"/>
  <c r="G910"/>
  <c r="G902"/>
  <c r="G894"/>
  <c r="G886"/>
  <c r="G878"/>
  <c r="G870"/>
  <c r="G862"/>
  <c r="G854"/>
  <c r="G846"/>
  <c r="G838"/>
  <c r="G830"/>
  <c r="G822"/>
  <c r="G814"/>
  <c r="G806"/>
  <c r="G798"/>
  <c r="G790"/>
  <c r="G782"/>
  <c r="G774"/>
  <c r="G766"/>
  <c r="G758"/>
  <c r="G750"/>
  <c r="G742"/>
  <c r="G734"/>
  <c r="G726"/>
  <c r="G718"/>
  <c r="G710"/>
  <c r="H960"/>
  <c r="G960"/>
  <c r="H956"/>
  <c r="G956"/>
  <c r="H952"/>
  <c r="G952"/>
  <c r="H948"/>
  <c r="G948"/>
  <c r="H944"/>
  <c r="G944"/>
  <c r="H940"/>
  <c r="G940"/>
  <c r="H936"/>
  <c r="G936"/>
  <c r="H932"/>
  <c r="G932"/>
  <c r="H928"/>
  <c r="G928"/>
  <c r="H924"/>
  <c r="G924"/>
  <c r="H920"/>
  <c r="G920"/>
  <c r="H916"/>
  <c r="G916"/>
  <c r="H912"/>
  <c r="G912"/>
  <c r="H908"/>
  <c r="G908"/>
  <c r="H904"/>
  <c r="G904"/>
  <c r="H900"/>
  <c r="G900"/>
  <c r="H896"/>
  <c r="G896"/>
  <c r="H892"/>
  <c r="G892"/>
  <c r="H888"/>
  <c r="G888"/>
  <c r="H884"/>
  <c r="G884"/>
  <c r="H880"/>
  <c r="G880"/>
  <c r="H876"/>
  <c r="G876"/>
  <c r="H872"/>
  <c r="G872"/>
  <c r="H868"/>
  <c r="G868"/>
  <c r="H864"/>
  <c r="G864"/>
  <c r="H860"/>
  <c r="G860"/>
  <c r="H856"/>
  <c r="G856"/>
  <c r="H852"/>
  <c r="G852"/>
  <c r="H848"/>
  <c r="G848"/>
  <c r="H844"/>
  <c r="G844"/>
  <c r="H840"/>
  <c r="G840"/>
  <c r="H836"/>
  <c r="G836"/>
  <c r="H832"/>
  <c r="G832"/>
  <c r="H828"/>
  <c r="G828"/>
  <c r="H824"/>
  <c r="G824"/>
  <c r="H820"/>
  <c r="G820"/>
  <c r="H816"/>
  <c r="G816"/>
  <c r="H812"/>
  <c r="G812"/>
  <c r="H808"/>
  <c r="G808"/>
  <c r="H804"/>
  <c r="G804"/>
  <c r="H800"/>
  <c r="G800"/>
  <c r="H796"/>
  <c r="G796"/>
  <c r="H792"/>
  <c r="G792"/>
  <c r="H788"/>
  <c r="G788"/>
  <c r="H784"/>
  <c r="G784"/>
  <c r="H780"/>
  <c r="G780"/>
  <c r="H776"/>
  <c r="G776"/>
  <c r="H772"/>
  <c r="G772"/>
  <c r="H768"/>
  <c r="G768"/>
  <c r="H764"/>
  <c r="G764"/>
  <c r="H760"/>
  <c r="G760"/>
  <c r="H756"/>
  <c r="G756"/>
  <c r="H752"/>
  <c r="G752"/>
  <c r="H748"/>
  <c r="G748"/>
  <c r="H744"/>
  <c r="G744"/>
  <c r="H740"/>
  <c r="G740"/>
  <c r="H736"/>
  <c r="G736"/>
  <c r="H732"/>
  <c r="G732"/>
  <c r="H728"/>
  <c r="G728"/>
  <c r="H724"/>
  <c r="G724"/>
  <c r="H720"/>
  <c r="G720"/>
  <c r="H716"/>
  <c r="G716"/>
  <c r="H712"/>
  <c r="G712"/>
  <c r="H708"/>
  <c r="G708"/>
  <c r="H704"/>
  <c r="G704"/>
  <c r="H700"/>
  <c r="G700"/>
  <c r="H696"/>
  <c r="G696"/>
  <c r="H692"/>
  <c r="G692"/>
  <c r="H688"/>
  <c r="G688"/>
  <c r="H684"/>
  <c r="G684"/>
  <c r="H680"/>
  <c r="G680"/>
  <c r="H676"/>
  <c r="G676"/>
  <c r="H672"/>
  <c r="G672"/>
  <c r="H668"/>
  <c r="G668"/>
  <c r="H664"/>
  <c r="G664"/>
  <c r="H660"/>
  <c r="G660"/>
  <c r="H656"/>
  <c r="G656"/>
  <c r="H652"/>
  <c r="G652"/>
  <c r="H648"/>
  <c r="G648"/>
  <c r="H644"/>
  <c r="G644"/>
  <c r="H640"/>
  <c r="G640"/>
  <c r="H636"/>
  <c r="G636"/>
  <c r="H632"/>
  <c r="G632"/>
  <c r="H628"/>
  <c r="G628"/>
  <c r="H624"/>
  <c r="G624"/>
  <c r="H620"/>
  <c r="G620"/>
  <c r="H616"/>
  <c r="G616"/>
  <c r="H612"/>
  <c r="G612"/>
  <c r="H608"/>
  <c r="G608"/>
  <c r="H604"/>
  <c r="G604"/>
  <c r="H600"/>
  <c r="G600"/>
  <c r="H596"/>
  <c r="G596"/>
  <c r="H592"/>
  <c r="G592"/>
  <c r="H588"/>
  <c r="G588"/>
  <c r="H584"/>
  <c r="G584"/>
  <c r="H580"/>
  <c r="G580"/>
  <c r="H576"/>
  <c r="G576"/>
  <c r="H572"/>
  <c r="G572"/>
  <c r="H568"/>
  <c r="G568"/>
  <c r="H564"/>
  <c r="G564"/>
  <c r="H560"/>
  <c r="G560"/>
  <c r="H556"/>
  <c r="G556"/>
  <c r="H552"/>
  <c r="G552"/>
  <c r="H548"/>
  <c r="G548"/>
  <c r="H544"/>
  <c r="G544"/>
  <c r="H540"/>
  <c r="G540"/>
  <c r="H536"/>
  <c r="G536"/>
  <c r="H532"/>
  <c r="G532"/>
  <c r="H528"/>
  <c r="G528"/>
  <c r="H524"/>
  <c r="G524"/>
  <c r="H520"/>
  <c r="G520"/>
  <c r="H516"/>
  <c r="G516"/>
  <c r="H512"/>
  <c r="G512"/>
  <c r="H508"/>
  <c r="G508"/>
  <c r="H504"/>
  <c r="G504"/>
  <c r="H500"/>
  <c r="G500"/>
  <c r="H496"/>
  <c r="G496"/>
  <c r="H492"/>
  <c r="G492"/>
  <c r="H488"/>
  <c r="G488"/>
  <c r="H484"/>
  <c r="G484"/>
  <c r="H480"/>
  <c r="G480"/>
  <c r="H476"/>
  <c r="G476"/>
  <c r="H472"/>
  <c r="G472"/>
  <c r="H468"/>
  <c r="G468"/>
  <c r="H464"/>
  <c r="G464"/>
  <c r="H460"/>
  <c r="G460"/>
  <c r="H456"/>
  <c r="G456"/>
  <c r="H452"/>
  <c r="G452"/>
  <c r="H448"/>
  <c r="G448"/>
  <c r="H444"/>
  <c r="G444"/>
  <c r="H440"/>
  <c r="G440"/>
  <c r="H436"/>
  <c r="G436"/>
  <c r="H432"/>
  <c r="G432"/>
  <c r="H428"/>
  <c r="G428"/>
  <c r="H424"/>
  <c r="G424"/>
  <c r="H420"/>
  <c r="G420"/>
  <c r="H416"/>
  <c r="G416"/>
  <c r="H412"/>
  <c r="G412"/>
  <c r="H408"/>
  <c r="G408"/>
  <c r="H404"/>
  <c r="G404"/>
  <c r="H400"/>
  <c r="G400"/>
  <c r="H396"/>
  <c r="G396"/>
  <c r="H392"/>
  <c r="G392"/>
  <c r="H388"/>
  <c r="G388"/>
  <c r="H384"/>
  <c r="G384"/>
  <c r="H380"/>
  <c r="G380"/>
  <c r="H376"/>
  <c r="G376"/>
  <c r="H372"/>
  <c r="G372"/>
  <c r="H368"/>
  <c r="G368"/>
  <c r="H364"/>
  <c r="G364"/>
  <c r="H360"/>
  <c r="G360"/>
  <c r="H356"/>
  <c r="G356"/>
  <c r="H352"/>
  <c r="G352"/>
  <c r="H348"/>
  <c r="G348"/>
  <c r="H344"/>
  <c r="G344"/>
  <c r="H340"/>
  <c r="G340"/>
  <c r="H336"/>
  <c r="G336"/>
  <c r="H332"/>
  <c r="G332"/>
  <c r="H328"/>
  <c r="G328"/>
  <c r="H324"/>
  <c r="G324"/>
  <c r="H320"/>
  <c r="G320"/>
  <c r="H316"/>
  <c r="G316"/>
  <c r="H312"/>
  <c r="G312"/>
  <c r="H308"/>
  <c r="G308"/>
  <c r="H304"/>
  <c r="G304"/>
  <c r="H300"/>
  <c r="G300"/>
  <c r="H296"/>
  <c r="G296"/>
  <c r="H292"/>
  <c r="G292"/>
  <c r="H288"/>
  <c r="G288"/>
  <c r="H284"/>
  <c r="G284"/>
  <c r="H280"/>
  <c r="G280"/>
  <c r="H276"/>
  <c r="G276"/>
  <c r="H272"/>
  <c r="G272"/>
  <c r="H268"/>
  <c r="G268"/>
  <c r="H264"/>
  <c r="G264"/>
  <c r="H260"/>
  <c r="G260"/>
  <c r="H256"/>
  <c r="G256"/>
  <c r="H252"/>
  <c r="G252"/>
  <c r="H248"/>
  <c r="G248"/>
  <c r="H244"/>
  <c r="G244"/>
  <c r="H240"/>
  <c r="G240"/>
  <c r="H236"/>
  <c r="G236"/>
  <c r="H232"/>
  <c r="G232"/>
  <c r="H228"/>
  <c r="G228"/>
  <c r="H224"/>
  <c r="G224"/>
  <c r="H220"/>
  <c r="G220"/>
  <c r="H216"/>
  <c r="G216"/>
  <c r="H212"/>
  <c r="G212"/>
  <c r="H208"/>
  <c r="G208"/>
  <c r="H204"/>
  <c r="G204"/>
  <c r="H200"/>
  <c r="G200"/>
  <c r="H196"/>
  <c r="G196"/>
  <c r="H192"/>
  <c r="G192"/>
  <c r="H188"/>
  <c r="G188"/>
  <c r="H184"/>
  <c r="G184"/>
  <c r="H180"/>
  <c r="G180"/>
  <c r="H176"/>
  <c r="G176"/>
  <c r="H172"/>
  <c r="G172"/>
  <c r="H168"/>
  <c r="G168"/>
  <c r="H164"/>
  <c r="G164"/>
  <c r="H160"/>
  <c r="G160"/>
  <c r="H156"/>
  <c r="G156"/>
  <c r="H152"/>
  <c r="G152"/>
  <c r="H148"/>
  <c r="G148"/>
  <c r="H144"/>
  <c r="G144"/>
  <c r="H140"/>
  <c r="G140"/>
  <c r="H136"/>
  <c r="G136"/>
  <c r="H132"/>
  <c r="G132"/>
  <c r="H128"/>
  <c r="G128"/>
  <c r="H124"/>
  <c r="G124"/>
  <c r="H120"/>
  <c r="G120"/>
  <c r="H116"/>
  <c r="G116"/>
  <c r="H112"/>
  <c r="G112"/>
  <c r="H108"/>
  <c r="G108"/>
  <c r="H104"/>
  <c r="G104"/>
  <c r="H100"/>
  <c r="G100"/>
  <c r="H96"/>
  <c r="G96"/>
  <c r="H92"/>
  <c r="G92"/>
  <c r="H88"/>
  <c r="G88"/>
  <c r="H84"/>
  <c r="G84"/>
  <c r="H80"/>
  <c r="G80"/>
  <c r="H76"/>
  <c r="G76"/>
  <c r="H72"/>
  <c r="G72"/>
  <c r="H68"/>
  <c r="G68"/>
  <c r="H64"/>
  <c r="G64"/>
  <c r="H60"/>
  <c r="G60"/>
  <c r="H56"/>
  <c r="G56"/>
  <c r="H52"/>
  <c r="G52"/>
  <c r="H48"/>
  <c r="G48"/>
  <c r="H44"/>
  <c r="G44"/>
  <c r="H40"/>
  <c r="G40"/>
  <c r="H36"/>
  <c r="G36"/>
  <c r="H32"/>
  <c r="G32"/>
  <c r="H28"/>
  <c r="G28"/>
  <c r="H24"/>
  <c r="G24"/>
  <c r="H20"/>
  <c r="G20"/>
  <c r="H16"/>
  <c r="G16"/>
  <c r="H12"/>
  <c r="G12"/>
  <c r="H8"/>
  <c r="G8"/>
  <c r="H4"/>
  <c r="G4"/>
  <c r="G1053"/>
  <c r="G1049"/>
  <c r="G1045"/>
  <c r="G1041"/>
  <c r="G1037"/>
  <c r="G1033"/>
  <c r="G1029"/>
  <c r="G1025"/>
  <c r="G1021"/>
  <c r="G1017"/>
  <c r="G1013"/>
  <c r="G1009"/>
  <c r="G1005"/>
  <c r="G1001"/>
  <c r="G997"/>
  <c r="G993"/>
  <c r="G989"/>
  <c r="G985"/>
  <c r="G981"/>
  <c r="G977"/>
  <c r="G973"/>
  <c r="G969"/>
  <c r="G965"/>
  <c r="G961"/>
  <c r="G953"/>
  <c r="G945"/>
  <c r="G937"/>
  <c r="G929"/>
  <c r="G921"/>
  <c r="G913"/>
  <c r="G905"/>
  <c r="G897"/>
  <c r="G889"/>
  <c r="G881"/>
  <c r="G873"/>
  <c r="G865"/>
  <c r="G857"/>
  <c r="G849"/>
  <c r="G841"/>
  <c r="G833"/>
  <c r="G825"/>
  <c r="G817"/>
  <c r="G809"/>
  <c r="G801"/>
  <c r="G793"/>
  <c r="G785"/>
  <c r="G777"/>
  <c r="G769"/>
  <c r="G761"/>
  <c r="G753"/>
  <c r="G745"/>
  <c r="G737"/>
  <c r="G729"/>
  <c r="G721"/>
  <c r="G713"/>
  <c r="L29" i="10"/>
  <c r="A1054" i="1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51" i="10"/>
  <c r="A50"/>
  <c r="A1013" i="1"/>
  <c r="A1012"/>
  <c r="A1011"/>
  <c r="A1010"/>
  <c r="A1009"/>
  <c r="A1008"/>
  <c r="A1007"/>
  <c r="A1006"/>
  <c r="A49" i="10"/>
  <c r="A48"/>
  <c r="A1005" i="1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47" i="10"/>
  <c r="A46"/>
  <c r="A45"/>
  <c r="A707" i="1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44" i="10"/>
  <c r="A689" i="1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I23" i="7"/>
  <c r="A661" i="1"/>
  <c r="A660"/>
  <c r="A659"/>
  <c r="A658"/>
  <c r="A657"/>
  <c r="A656"/>
  <c r="A655"/>
  <c r="A654"/>
  <c r="A653"/>
  <c r="A43" i="10"/>
  <c r="A42"/>
  <c r="A41"/>
  <c r="A40"/>
  <c r="A652" i="1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39" i="10"/>
  <c r="A38"/>
  <c r="A37"/>
  <c r="A36"/>
  <c r="A35"/>
  <c r="A34"/>
  <c r="A33"/>
  <c r="A32"/>
  <c r="A31"/>
  <c r="A30"/>
  <c r="A29"/>
  <c r="A519" i="1"/>
  <c r="A518"/>
  <c r="A517"/>
  <c r="A516"/>
  <c r="A515"/>
  <c r="A514"/>
  <c r="A28" i="10" l="1"/>
  <c r="A513" i="1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27" i="10"/>
  <c r="A26"/>
  <c r="A25"/>
  <c r="A24"/>
  <c r="A23"/>
  <c r="A22"/>
  <c r="A409" i="1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21" i="10"/>
  <c r="A20"/>
  <c r="A309" i="1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9" i="10"/>
  <c r="A18"/>
  <c r="A187" i="1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17" i="10"/>
  <c r="A16"/>
  <c r="A95" i="1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15" i="10"/>
  <c r="A61" i="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4" i="10"/>
  <c r="A13"/>
  <c r="A12"/>
  <c r="A11"/>
  <c r="A10"/>
  <c r="A9"/>
  <c r="A8"/>
  <c r="A7"/>
  <c r="A6"/>
  <c r="A5"/>
  <c r="A4"/>
  <c r="A3"/>
  <c r="A2"/>
  <c r="E2" i="7"/>
  <c r="E3"/>
  <c r="E4"/>
  <c r="E5"/>
  <c r="E6"/>
  <c r="E7"/>
  <c r="E8"/>
  <c r="E9"/>
  <c r="E10"/>
  <c r="E11"/>
  <c r="E12"/>
  <c r="E13"/>
  <c r="E14"/>
  <c r="E15"/>
  <c r="E16"/>
  <c r="I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4"/>
  <c r="I25"/>
  <c r="I26"/>
  <c r="A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</calcChain>
</file>

<file path=xl/connections.xml><?xml version="1.0" encoding="utf-8"?>
<connections xmlns="http://schemas.openxmlformats.org/spreadsheetml/2006/main">
  <connection id="1" keepAlive="1" name="ThisWorkbookDataModel" description="Modelo de Dados" type="5" refreshedVersion="6" minRefreshableVersion="5" background="1" saveData="1">
    <dbPr connection="Data Model Connection" command="Model" commandType="1"/>
    <olapPr sendLocale="1" rowDrillCount="1000"/>
  </connection>
</connections>
</file>

<file path=xl/sharedStrings.xml><?xml version="1.0" encoding="utf-8"?>
<sst xmlns="http://schemas.openxmlformats.org/spreadsheetml/2006/main" count="1364" uniqueCount="157">
  <si>
    <t>PUERICULTURA PEDIATRIA</t>
  </si>
  <si>
    <t>PSICOLOGIA</t>
  </si>
  <si>
    <t>ENFERMAGEM</t>
  </si>
  <si>
    <t>PRÉ NATAL</t>
  </si>
  <si>
    <t>GINECOLOGIA</t>
  </si>
  <si>
    <t>ENFERMAGEM PACS</t>
  </si>
  <si>
    <t>CLÍNICO</t>
  </si>
  <si>
    <t>PEDIATRIA</t>
  </si>
  <si>
    <t>PUERPÉRIO GO</t>
  </si>
  <si>
    <t>PUERPÉRIO ENFERMAGEM</t>
  </si>
  <si>
    <t>M.E.S.F. GO, CL, PED</t>
  </si>
  <si>
    <t>PRÉ NATAL ENFERMAGEM</t>
  </si>
  <si>
    <t>NUTRIÇÃO</t>
  </si>
  <si>
    <t>M.E.S.F. PUERICULTURA</t>
  </si>
  <si>
    <t>M.E.S.F. PRÉ NATAL</t>
  </si>
  <si>
    <t xml:space="preserve">PSIQUIATRIA </t>
  </si>
  <si>
    <t>M.E.S.F. PUERPÉRIO</t>
  </si>
  <si>
    <t>PUERPÉRIO ENFERMAGEM PACS</t>
  </si>
  <si>
    <t>IDADE</t>
  </si>
  <si>
    <t>DATA INICIAL</t>
  </si>
  <si>
    <t>DATA DE NASC.</t>
  </si>
  <si>
    <t>PROFISSIONAL</t>
  </si>
  <si>
    <t>GRUPO NUTRIÇÃO</t>
  </si>
  <si>
    <t>ENFERMEIRO (A)</t>
  </si>
  <si>
    <t>TESTE RAPIDO DE HEPATITE</t>
  </si>
  <si>
    <t>ENFERMEIRO (A) PACS</t>
  </si>
  <si>
    <t>TESTE RAPIDO PARA SIFILIS</t>
  </si>
  <si>
    <t>TESTE RAPIDO PARA HIV</t>
  </si>
  <si>
    <t>GRUPO ENFERMAGEM</t>
  </si>
  <si>
    <t>PSICÓLOGO (A)</t>
  </si>
  <si>
    <t>GRUPO PSICOLOGIA</t>
  </si>
  <si>
    <t>FONOAUDIÓLOGO (A)</t>
  </si>
  <si>
    <t>FONO_5</t>
  </si>
  <si>
    <t>FONO_4</t>
  </si>
  <si>
    <t>FONO_3</t>
  </si>
  <si>
    <t>FONO_2</t>
  </si>
  <si>
    <t>FONO_1</t>
  </si>
  <si>
    <t>GINECOLOGISTA</t>
  </si>
  <si>
    <t>CAUTERIZAÇAO</t>
  </si>
  <si>
    <t>DIU</t>
  </si>
  <si>
    <t>M.E.S.F.</t>
  </si>
  <si>
    <t>VISITA DOMICILIAR</t>
  </si>
  <si>
    <t>AGENTE C. SAÚDE</t>
  </si>
  <si>
    <t>TÉC. DE ENFERMAGEM</t>
  </si>
  <si>
    <t>AUX. ENFERMAGEM</t>
  </si>
  <si>
    <t>EX. LAB</t>
  </si>
  <si>
    <t>INSULINA</t>
  </si>
  <si>
    <t>TESTE DE GRAVIDEZ</t>
  </si>
  <si>
    <t>RETIRADA DE PONTO</t>
  </si>
  <si>
    <t xml:space="preserve">GLICEMIA </t>
  </si>
  <si>
    <t>PRESSÃO ARTERIAL</t>
  </si>
  <si>
    <t>CLÍNICO (A) GERAL</t>
  </si>
  <si>
    <t>ECG</t>
  </si>
  <si>
    <t>PAPANICOLAU</t>
  </si>
  <si>
    <t>CURATIVO</t>
  </si>
  <si>
    <t>INALAÇÃO</t>
  </si>
  <si>
    <t>QUANTIDADE</t>
  </si>
  <si>
    <t>Nº: CBO</t>
  </si>
  <si>
    <t>TOTAL</t>
  </si>
  <si>
    <t>CBO</t>
  </si>
  <si>
    <t>CÓDIGO</t>
  </si>
  <si>
    <t>Contagem de IDADE</t>
  </si>
  <si>
    <t>MONTH</t>
  </si>
  <si>
    <t>YEAR</t>
  </si>
  <si>
    <t>D.I.U</t>
  </si>
  <si>
    <t>GRUPO M.E.S.F.</t>
  </si>
  <si>
    <t>PROCEDIMENTO</t>
  </si>
  <si>
    <t>PSIQUIATRA</t>
  </si>
  <si>
    <t>PROFISSIONALTST</t>
  </si>
  <si>
    <t>PEDIATRA</t>
  </si>
  <si>
    <t>ODONTÓLOGO (A)</t>
  </si>
  <si>
    <t>CÓD. PROCED.</t>
  </si>
  <si>
    <t>CÓD. DO PROCED.</t>
  </si>
  <si>
    <t>Nº DE CBO</t>
  </si>
  <si>
    <t>FONO</t>
  </si>
  <si>
    <t>NEURO</t>
  </si>
  <si>
    <t>ODONTOLOGIA</t>
  </si>
  <si>
    <t>PRÉ NATAL ENFERMAGEM PACS</t>
  </si>
  <si>
    <t>PUERICULTURA ENFERMAGEM</t>
  </si>
  <si>
    <t>PUERICULTURA ENFERMAGEM PACS</t>
  </si>
  <si>
    <t>DATA FINAL</t>
  </si>
  <si>
    <t>ANO</t>
  </si>
  <si>
    <t>MÊS</t>
  </si>
  <si>
    <t>ID</t>
  </si>
  <si>
    <t>MEDICAÇÃO</t>
  </si>
  <si>
    <t>TOTAL DE PROCEDIMENTOS</t>
  </si>
  <si>
    <t>NOME PROCED-PROFISSIONAL</t>
  </si>
  <si>
    <t>CÓD PROCED/PROFISSIONAL</t>
  </si>
  <si>
    <t>CÓD. PROCED - CBO</t>
  </si>
  <si>
    <t>(Tudo)</t>
  </si>
  <si>
    <t>MEDICAÇÃO-TÉC. DE ENFERMAGEM</t>
  </si>
  <si>
    <t>301100020-322245</t>
  </si>
  <si>
    <t>CURATIVO-AUX. ENFERMAGEM</t>
  </si>
  <si>
    <t>401010023-322230</t>
  </si>
  <si>
    <t>CURATIVO-ENFERMEIRO (A) PACS</t>
  </si>
  <si>
    <t>401010023-223565</t>
  </si>
  <si>
    <t>PRESSÃO ARTERIAL-TÉC. DE ENFERMAGEM</t>
  </si>
  <si>
    <t>301100039-322245</t>
  </si>
  <si>
    <t>CURATIVO-TÉC. DE ENFERMAGEM</t>
  </si>
  <si>
    <t>401010023-322245</t>
  </si>
  <si>
    <t>MEDICAÇÃO-AUX. ENFERMAGEM</t>
  </si>
  <si>
    <t>301100020-322230</t>
  </si>
  <si>
    <t>PRESSÃO ARTERIAL-AUX. ENFERMAGEM</t>
  </si>
  <si>
    <t>301100039-322230</t>
  </si>
  <si>
    <t>EX. LAB-AUX. ENFERMAGEM</t>
  </si>
  <si>
    <t>201020041-322230</t>
  </si>
  <si>
    <t>VISITA DOMICILIAR-AGENTE C. SAÚDE</t>
  </si>
  <si>
    <t>101030010-515105</t>
  </si>
  <si>
    <t>GRUPO ENFERMAGEM-ENFERMEIRO (A) PACS</t>
  </si>
  <si>
    <t>101010010-223565</t>
  </si>
  <si>
    <t>EX. LAB-ENFERMEIRO (A)</t>
  </si>
  <si>
    <t>201020041-223505</t>
  </si>
  <si>
    <t>TESTE DE GRAVIDEZ-AUX. ENFERMAGEM</t>
  </si>
  <si>
    <t>214010066-322230</t>
  </si>
  <si>
    <t>GLICEMIA -AUX. ENFERMAGEM</t>
  </si>
  <si>
    <t>214010015-322230</t>
  </si>
  <si>
    <t>INALAÇÃO-TÉC. DE ENFERMAGEM</t>
  </si>
  <si>
    <t>301100101-322245</t>
  </si>
  <si>
    <t>GRUPO PSICOLOGIA-PSICÓLOGO (A)</t>
  </si>
  <si>
    <t>301040044-251510</t>
  </si>
  <si>
    <t>RETIRADA DE PONTO-AUX. ENFERMAGEM</t>
  </si>
  <si>
    <t>301100152-322230</t>
  </si>
  <si>
    <t>PAPANICOLAU-ENFERMEIRO (A) PACS</t>
  </si>
  <si>
    <t>201020033-223565</t>
  </si>
  <si>
    <t>RETIRADA DE PONTO-TÉC. DE ENFERMAGEM</t>
  </si>
  <si>
    <t>301100152-322245</t>
  </si>
  <si>
    <t>RETIRADA DE PONTO-ENFERMEIRO (A)</t>
  </si>
  <si>
    <t>301100152-223505</t>
  </si>
  <si>
    <t>GRUPO NUTRIÇÃO-NUTRIÇÃO</t>
  </si>
  <si>
    <t>101010010-223710</t>
  </si>
  <si>
    <t>GRUPO ENFERMAGEM-ENFERMEIRO (A)</t>
  </si>
  <si>
    <t>101010010-223505</t>
  </si>
  <si>
    <t>RETIRADA DE PONTO-ENFERMEIRO (A) PACS</t>
  </si>
  <si>
    <t>301100152-223565</t>
  </si>
  <si>
    <t>MEDICAÇÃO-ENFERMEIRO (A)</t>
  </si>
  <si>
    <t>301100020-223505</t>
  </si>
  <si>
    <t>GRUPO M.E.S.F.-M.E.S.F.</t>
  </si>
  <si>
    <t>101010010-225142</t>
  </si>
  <si>
    <t>EX. LAB-ENFERMEIRO (A) PACS</t>
  </si>
  <si>
    <t>201020041-223565</t>
  </si>
  <si>
    <t>PAPANICOLAU-ENFERMEIRO (A)</t>
  </si>
  <si>
    <t>201020033-223505</t>
  </si>
  <si>
    <t>TESTE DE GRAVIDEZ-TÉC. DE ENFERMAGEM</t>
  </si>
  <si>
    <t>214010066-322245</t>
  </si>
  <si>
    <t>PUERPÉRIO</t>
  </si>
  <si>
    <t>INALAÇÃO-AUX. ENFERMAGEM</t>
  </si>
  <si>
    <t>301100101-322230</t>
  </si>
  <si>
    <t>VISITA DOMICILIAR-AUX. ENFERMAGEM</t>
  </si>
  <si>
    <t>101030010-322230</t>
  </si>
  <si>
    <t>TESTE RAPIDO PARA HIV-ENFERMEIRO (A)</t>
  </si>
  <si>
    <t>214010058-223505</t>
  </si>
  <si>
    <t>TESTE RAPIDO PARA SIFILIS-ENFERMEIRO (A)</t>
  </si>
  <si>
    <t>214010074-223505</t>
  </si>
  <si>
    <t>EX. LAB-TÉC. DE ENFERMAGEM</t>
  </si>
  <si>
    <t>201020041-322245</t>
  </si>
  <si>
    <t>ECG-TÉC. DE ENFERMAGEM</t>
  </si>
  <si>
    <t>211020036-322245</t>
  </si>
</sst>
</file>

<file path=xl/styles.xml><?xml version="1.0" encoding="utf-8"?>
<styleSheet xmlns="http://schemas.openxmlformats.org/spreadsheetml/2006/main">
  <numFmts count="3">
    <numFmt numFmtId="164" formatCode="0000000000"/>
    <numFmt numFmtId="165" formatCode="00\/00\/0000"/>
    <numFmt numFmtId="166" formatCode="dd/mm/yy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484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/>
    <xf numFmtId="165" fontId="0" fillId="0" borderId="0" xfId="0" applyNumberFormat="1" applyAlignment="1"/>
    <xf numFmtId="0" fontId="0" fillId="2" borderId="0" xfId="0" applyFill="1"/>
    <xf numFmtId="0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0" fontId="3" fillId="0" borderId="0" xfId="0" applyNumberFormat="1" applyFont="1" applyAlignment="1">
      <alignment vertical="center"/>
    </xf>
    <xf numFmtId="0" fontId="3" fillId="0" borderId="0" xfId="0" applyNumberFormat="1" applyFont="1" applyBorder="1" applyAlignment="1">
      <alignment vertical="center"/>
    </xf>
    <xf numFmtId="165" fontId="3" fillId="0" borderId="0" xfId="0" applyNumberFormat="1" applyFont="1" applyAlignment="1">
      <alignment horizontal="center" vertical="center"/>
    </xf>
    <xf numFmtId="14" fontId="3" fillId="0" borderId="0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vertical="center"/>
    </xf>
    <xf numFmtId="0" fontId="4" fillId="0" borderId="0" xfId="0" applyFont="1" applyAlignment="1"/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pivotButton="1" applyFont="1" applyAlignment="1">
      <alignment horizontal="center"/>
    </xf>
    <xf numFmtId="0" fontId="0" fillId="0" borderId="0" xfId="0" pivotButton="1" applyAlignment="1">
      <alignment horizontal="center" vertical="center"/>
    </xf>
    <xf numFmtId="0" fontId="4" fillId="0" borderId="0" xfId="0" pivotButton="1" applyFont="1" applyAlignment="1">
      <alignment horizontal="center" vertical="center"/>
    </xf>
  </cellXfs>
  <cellStyles count="2">
    <cellStyle name="Normal" xfId="0" builtinId="0"/>
    <cellStyle name="Normal 2" xfId="1"/>
  </cellStyles>
  <dxfs count="100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b/>
      </font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b/>
      </font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b/>
      </font>
      <alignment horizontal="center" vertical="center" textRotation="0" wrapText="0" indent="0" relativeIndent="255" justifyLastLine="0" shrinkToFit="0" readingOrder="0"/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0\/00\/0000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</dxf>
    <dxf>
      <font>
        <b/>
      </font>
      <alignment horizontal="center" textRotation="0" wrapText="0" indent="0" relativeIndent="255" justifyLastLine="0" shrinkToFit="0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/mm/yy"/>
      <alignment horizontal="general" vertical="center" textRotation="0" wrapText="0" indent="0" relativeIndent="255" justifyLastLine="0" shrinkToFit="0" readingOrder="0"/>
    </dxf>
    <dxf>
      <alignment horizontal="general" textRotation="0" wrapText="0" indent="0" relativeIndent="255" justifyLastLine="0" shrinkToFit="0" readingOrder="0"/>
    </dxf>
    <dxf>
      <numFmt numFmtId="165" formatCode="00\/00\/0000"/>
      <alignment horizontal="general" vertical="bottom" textRotation="0" wrapText="0" indent="0" relativeIndent="255" justifyLastLine="0" shrinkToFit="0" readingOrder="0"/>
    </dxf>
    <dxf>
      <numFmt numFmtId="165" formatCode="00\/00\/0000"/>
      <alignment horizontal="general" vertical="bottom" textRotation="0" wrapText="0" indent="0" relativeIndent="255" justifyLastLine="0" shrinkToFit="0" readingOrder="0"/>
    </dxf>
    <dxf>
      <alignment horizontal="general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center" textRotation="0" wrapText="0" indent="0" relativeIndent="255" justifyLastLine="0" shrinkToFit="0" readingOrder="0"/>
    </dxf>
    <dxf>
      <alignment horizontal="general" textRotation="0" wrapText="0" indent="0" relativeIndent="255" justifyLastLine="0" shrinkToFit="0" readingOrder="0"/>
    </dxf>
    <dxf>
      <font>
        <b/>
      </font>
      <alignment horizontal="general" textRotation="0" wrapText="0" indent="0" relativeIndent="255" justifyLastLine="0" shrinkToFit="0" readingOrder="0"/>
    </dxf>
    <dxf>
      <font>
        <color theme="0"/>
      </font>
      <fill>
        <patternFill patternType="solid">
          <fgColor theme="8" tint="-0.499984740745262"/>
          <bgColor theme="8" tint="-0.499984740745262"/>
        </patternFill>
      </fill>
      <border>
        <horizontal style="thin">
          <color theme="8" tint="-0.499984740745262"/>
        </horizontal>
      </border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horizontal style="thin">
          <color theme="8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8" tint="0.79998168889431442"/>
          <bgColor theme="8" tint="0.79998168889431442"/>
        </patternFill>
      </fill>
      <border>
        <top style="thin">
          <color theme="8" tint="0.39997558519241921"/>
        </top>
        <bottom style="thin">
          <color theme="8" tint="0.39997558519241921"/>
        </bottom>
      </border>
    </dxf>
    <dxf>
      <font>
        <b/>
        <color theme="1"/>
      </font>
      <border>
        <bottom style="thin">
          <color theme="8" tint="0.79998168889431442"/>
        </bottom>
      </border>
    </dxf>
    <dxf>
      <border>
        <left style="thin">
          <color theme="8" tint="0.79998168889431442"/>
        </left>
        <right style="thin">
          <color theme="8" tint="0.79998168889431442"/>
        </right>
      </border>
    </dxf>
    <dxf>
      <fill>
        <patternFill patternType="solid">
          <fgColor theme="8" tint="0.39997558519241921"/>
          <bgColor theme="8" tint="0.39997558519241921"/>
        </patternFill>
      </fill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bottom style="thin">
          <color theme="8"/>
        </bottom>
        <horizontal style="thin">
          <color theme="8" tint="-0.499984740745262"/>
        </horizontal>
      </border>
    </dxf>
    <dxf>
      <font>
        <color theme="1"/>
      </font>
      <fill>
        <patternFill patternType="solid">
          <fgColor theme="8" tint="0.59999389629810485"/>
          <bgColor theme="8" tint="0.59999389629810485"/>
        </patternFill>
      </fill>
      <border>
        <horizontal style="thin">
          <color theme="8" tint="0.79998168889431442"/>
        </horizontal>
      </border>
    </dxf>
  </dxfs>
  <tableStyles count="1" defaultTableStyle="TableStyleMedium2" defaultPivotStyle="PivotStyleLight16">
    <tableStyle name="TBL_DIN_CUSTOM" table="0" count="10">
      <tableStyleElement type="wholeTable" dxfId="99"/>
      <tableStyleElement type="headerRow" dxfId="98"/>
      <tableStyleElement type="totalRow" dxfId="97"/>
      <tableStyleElement type="secondRowStripe" dxfId="96"/>
      <tableStyleElement type="secondColumnStripe" dxfId="95"/>
      <tableStyleElement type="firstSubtotalRow" dxfId="94"/>
      <tableStyleElement type="firstRowSubheading" dxfId="93"/>
      <tableStyleElement type="secondRowSubheading" dxfId="92"/>
      <tableStyleElement type="pageFieldLabels" dxfId="91"/>
      <tableStyleElement type="pageFieldValues" dxfId="90"/>
    </tableStyle>
  </tableStyles>
  <colors>
    <mruColors>
      <color rgb="FF004846"/>
      <color rgb="FF006666"/>
      <color rgb="FF00808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vanildo Junior" refreshedDate="43256.5461818287" createdVersion="6" refreshedVersion="3" minRefreshableVersion="3" recordCount="50">
  <cacheSource type="worksheet">
    <worksheetSource name="tbProcedimentos"/>
  </cacheSource>
  <cacheFields count="10">
    <cacheField name="ID" numFmtId="0">
      <sharedItems containsSemiMixedTypes="0" containsString="0" containsNumber="1" containsInteger="1" minValue="1" maxValue="50"/>
    </cacheField>
    <cacheField name="PROFISSIONAL" numFmtId="0">
      <sharedItems/>
    </cacheField>
    <cacheField name="PROCEDIMENTO" numFmtId="0">
      <sharedItems/>
    </cacheField>
    <cacheField name="QUANTIDADE" numFmtId="0">
      <sharedItems containsSemiMixedTypes="0" containsString="0" containsNumber="1" containsInteger="1" minValue="1" maxValue="284"/>
    </cacheField>
    <cacheField name="DATA INICIAL" numFmtId="165">
      <sharedItems containsSemiMixedTypes="0" containsString="0" containsNumber="1" containsInteger="1" minValue="21052018" maxValue="21052018"/>
    </cacheField>
    <cacheField name="DATA FINAL" numFmtId="14">
      <sharedItems containsSemiMixedTypes="0" containsNonDate="0" containsDate="1" containsString="0" minDate="2018-06-20T00:00:00" maxDate="2018-06-21T00:00:00"/>
    </cacheField>
    <cacheField name="ANO" numFmtId="0">
      <sharedItems containsSemiMixedTypes="0" containsString="0" containsNumber="1" containsInteger="1" minValue="1900" maxValue="2018" count="2">
        <n v="2018"/>
        <n v="1900" u="1"/>
      </sharedItems>
    </cacheField>
    <cacheField name="MÊS" numFmtId="0">
      <sharedItems containsBlank="1" count="9">
        <s v="Junho"/>
        <s v="" u="1"/>
        <m u="1"/>
        <e v="#VALUE!" u="1"/>
        <s v="Abril" u="1"/>
        <e v="#NUM!" u="1"/>
        <s v="Maio" u="1"/>
        <s v="Março" u="1"/>
        <s v="Fevereiro" u="1"/>
      </sharedItems>
    </cacheField>
    <cacheField name="CÓD. PROCED - CBO" numFmtId="0">
      <sharedItems containsBlank="1" count="48">
        <s v="301100020-322245"/>
        <s v="301100039-322245"/>
        <s v="401010023-322245"/>
        <s v="301100020-322230"/>
        <s v="301100039-322230"/>
        <s v="201020041-322230"/>
        <s v="101030010-515105"/>
        <s v="101010010-223565"/>
        <s v="201020041-223505"/>
        <s v="214010066-322230"/>
        <s v="401010023-322230"/>
        <s v="214010015-322230"/>
        <s v="301100101-322245"/>
        <s v="301040044-251510"/>
        <s v="301100152-322230"/>
        <s v="201020033-223565"/>
        <s v="301100152-322245"/>
        <s v="301100152-223505"/>
        <s v="101010010-223710"/>
        <s v="101010010-223505"/>
        <s v="401010023-223565"/>
        <s v="301100152-223565"/>
        <s v="301100020-223505"/>
        <s v="101010010-225142"/>
        <s v="201020041-223565"/>
        <s v="201020033-223505"/>
        <s v="214010066-322245"/>
        <s v="301100101-322230"/>
        <s v="101030010-322230"/>
        <s v="214010058-223505"/>
        <s v="214010074-223505"/>
        <s v="201020041-322245"/>
        <s v="211020036-322245"/>
        <s v="309030048-515105" u="1"/>
        <m u="1"/>
        <s v="0-0" u="1"/>
        <s v="401010023-515105" u="1"/>
        <s v="211020036-223565" u="1"/>
        <s v="301040028-223505" u="1"/>
        <s v="211020036-225125" u="1"/>
        <e v="#N/A" u="1"/>
        <s v="201020033-225250" u="1"/>
        <s v="201020033-225142" u="1"/>
        <s v="301040028-223565" u="1"/>
        <s v="309030048-225125" u="1"/>
        <s v="201020033-225125" u="1"/>
        <s v="309030048-223810" u="1"/>
        <s v="301040028-225125" u="1"/>
      </sharedItems>
    </cacheField>
    <cacheField name="NOME PROCED-PROFISSIONAL" numFmtId="0">
      <sharedItems containsBlank="1" count="49">
        <s v="MEDICAÇÃO-TÉC. DE ENFERMAGEM"/>
        <s v="PRESSÃO ARTERIAL-TÉC. DE ENFERMAGEM"/>
        <s v="CURATIVO-TÉC. DE ENFERMAGEM"/>
        <s v="MEDICAÇÃO-AUX. ENFERMAGEM"/>
        <s v="PRESSÃO ARTERIAL-AUX. ENFERMAGEM"/>
        <s v="EX. LAB-AUX. ENFERMAGEM"/>
        <s v="VISITA DOMICILIAR-AGENTE C. SAÚDE"/>
        <s v="GRUPO ENFERMAGEM-ENFERMEIRO (A) PACS"/>
        <s v="EX. LAB-ENFERMEIRO (A)"/>
        <s v="TESTE DE GRAVIDEZ-AUX. ENFERMAGEM"/>
        <s v="CURATIVO-AUX. ENFERMAGEM"/>
        <s v="GLICEMIA -AUX. ENFERMAGEM"/>
        <s v="INALAÇÃO-TÉC. DE ENFERMAGEM"/>
        <s v="GRUPO PSICOLOGIA-PSICÓLOGO (A)"/>
        <s v="RETIRADA DE PONTO-AUX. ENFERMAGEM"/>
        <s v="PAPANICOLAU-ENFERMEIRO (A) PACS"/>
        <s v="RETIRADA DE PONTO-TÉC. DE ENFERMAGEM"/>
        <s v="RETIRADA DE PONTO-ENFERMEIRO (A)"/>
        <s v="GRUPO NUTRIÇÃO-NUTRIÇÃO"/>
        <s v="GRUPO ENFERMAGEM-ENFERMEIRO (A)"/>
        <s v="CURATIVO-ENFERMEIRO (A) PACS"/>
        <s v="RETIRADA DE PONTO-ENFERMEIRO (A) PACS"/>
        <s v="MEDICAÇÃO-ENFERMEIRO (A)"/>
        <s v="GRUPO M.E.S.F.-M.E.S.F."/>
        <s v="EX. LAB-ENFERMEIRO (A) PACS"/>
        <s v="PAPANICOLAU-ENFERMEIRO (A)"/>
        <s v="TESTE DE GRAVIDEZ-TÉC. DE ENFERMAGEM"/>
        <s v="INALAÇÃO-AUX. ENFERMAGEM"/>
        <s v="VISITA DOMICILIAR-AUX. ENFERMAGEM"/>
        <s v="TESTE RAPIDO PARA HIV-ENFERMEIRO (A)"/>
        <s v="TESTE RAPIDO PARA SIFILIS-ENFERMEIRO (A)"/>
        <s v="EX. LAB-TÉC. DE ENFERMAGEM"/>
        <s v="ECG-TÉC. DE ENFERMAGEM"/>
        <m u="1"/>
        <s v="APROC-APROF" u="1"/>
        <s v="ECG-CLÍNICO (A) GERAL" u="1"/>
        <s v="CAUTERIZAÇAO-CLÍNICO (A) GERAL" u="1"/>
        <s v="DIU-CLÍNICO (A) GERAL" u="1"/>
        <s v="ECG-ENFERMEIRO (A)" u="1"/>
        <s v="CAUTERIZAÇAO-AGENTE C. SAÚDE" u="1"/>
        <s v="CAUTERIZAÇAO-FONOAUDIÓLOGO (A)" u="1"/>
        <s v="DIU-ENFERMEIRO (A)" u="1"/>
        <s v="D.I.U-M.E.S.F." u="1"/>
        <s v="-" u="1"/>
        <s v="D.I.U-CLÍNICO (A) GERAL" u="1"/>
        <s v="D.I.U-GINECOLOGISTA" u="1"/>
        <s v="CURATIVO-AGENTE C. SAÚDE" u="1"/>
        <s v="ECG-ENFERMEIRO (A) PACS" u="1"/>
        <s v="DIU-ENFERMEIRO (A) PAC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OnLoad="1" refreshedBy="Ivanildo Junior" refreshedDate="43277.995520254626" missingItemsLimit="0" createdVersion="6" refreshedVersion="3" minRefreshableVersion="3" recordCount="1056">
  <cacheSource type="worksheet">
    <worksheetSource name="tbConsultas"/>
  </cacheSource>
  <cacheFields count="10">
    <cacheField name="ID" numFmtId="0">
      <sharedItems containsSemiMixedTypes="0" containsString="0" containsNumber="1" containsInteger="1" minValue="1" maxValue="1056"/>
    </cacheField>
    <cacheField name="PROFISSIONAL" numFmtId="0">
      <sharedItems count="19">
        <s v="PUERPÉRIO ENFERMAGEM"/>
        <s v="ENFERMAGEM"/>
        <s v="M.E.S.F. GO, CL, PED"/>
        <s v="CLÍNICO"/>
        <s v="PSIQUIATRIA "/>
        <s v="PUERICULTURA PEDIATRIA"/>
        <s v="PSICOLOGIA"/>
        <s v="ENFERMAGEM PACS"/>
        <s v="NUTRIÇÃO"/>
        <s v="PRÉ NATAL ENFERMAGEM PACS"/>
        <s v="PRÉ NATAL ENFERMAGEM"/>
        <s v="PEDIATRIA"/>
        <s v="M.E.S.F. PUERICULTURA"/>
        <s v="GINECOLOGIA"/>
        <s v="M.E.S.F. PRÉ NATAL"/>
        <s v="PRÉ NATAL"/>
        <s v="PUERICULTURA ENFERMAGEM PACS"/>
        <s v="PUERPÉRIO"/>
        <s v="PUERICULTURA ENFERMAGEM"/>
      </sharedItems>
    </cacheField>
    <cacheField name="DATA DE NASC." numFmtId="165">
      <sharedItems containsSemiMixedTypes="0" containsString="0" containsNumber="1" containsInteger="1" minValue="1011942" maxValue="31122010"/>
    </cacheField>
    <cacheField name="DATA INICIAL" numFmtId="165">
      <sharedItems containsSemiMixedTypes="0" containsString="0" containsNumber="1" containsInteger="1" minValue="21052018" maxValue="21052018"/>
    </cacheField>
    <cacheField name="IDADE" numFmtId="0">
      <sharedItems containsSemiMixedTypes="0" containsString="0" containsNumber="1" containsInteger="1" minValue="-1" maxValue="97" count="92">
        <n v="32"/>
        <n v="60"/>
        <n v="50"/>
        <n v="52"/>
        <n v="48"/>
        <n v="18"/>
        <n v="39"/>
        <n v="31"/>
        <n v="65"/>
        <n v="46"/>
        <n v="58"/>
        <n v="40"/>
        <n v="29"/>
        <n v="41"/>
        <n v="26"/>
        <n v="24"/>
        <n v="49"/>
        <n v="56"/>
        <n v="11"/>
        <n v="57"/>
        <n v="73"/>
        <n v="27"/>
        <n v="72"/>
        <n v="12"/>
        <n v="68"/>
        <n v="45"/>
        <n v="63"/>
        <n v="55"/>
        <n v="38"/>
        <n v="14"/>
        <n v="69"/>
        <n v="34"/>
        <n v="67"/>
        <n v="23"/>
        <n v="83"/>
        <n v="21"/>
        <n v="51"/>
        <n v="54"/>
        <n v="7"/>
        <n v="2"/>
        <n v="1"/>
        <n v="0"/>
        <n v="10"/>
        <n v="9"/>
        <n v="92"/>
        <n v="64"/>
        <n v="74"/>
        <n v="25"/>
        <n v="8"/>
        <n v="89"/>
        <n v="28"/>
        <n v="80"/>
        <n v="30"/>
        <n v="42"/>
        <n v="20"/>
        <n v="33"/>
        <n v="53"/>
        <n v="37"/>
        <n v="77"/>
        <n v="13"/>
        <n v="75"/>
        <n v="76"/>
        <n v="47"/>
        <n v="81"/>
        <n v="79"/>
        <n v="43"/>
        <n v="19"/>
        <n v="5"/>
        <n v="4"/>
        <n v="71"/>
        <n v="6"/>
        <n v="90"/>
        <n v="3"/>
        <n v="59"/>
        <n v="96"/>
        <n v="85"/>
        <n v="-1"/>
        <n v="44"/>
        <n v="35"/>
        <n v="61"/>
        <n v="78"/>
        <n v="62"/>
        <n v="16"/>
        <n v="36"/>
        <n v="15"/>
        <n v="17"/>
        <n v="22"/>
        <n v="87"/>
        <n v="66"/>
        <n v="82"/>
        <n v="97"/>
        <n v="70"/>
      </sharedItems>
    </cacheField>
    <cacheField name="DATA FINAL" numFmtId="166">
      <sharedItems containsSemiMixedTypes="0" containsNonDate="0" containsDate="1" containsString="0" minDate="2018-06-20T00:00:00" maxDate="2018-06-21T00:00:00"/>
    </cacheField>
    <cacheField name="ANO" numFmtId="0">
      <sharedItems containsSemiMixedTypes="0" containsString="0" containsNumber="1" containsInteger="1" minValue="2018" maxValue="2018" count="1">
        <n v="2018"/>
      </sharedItems>
    </cacheField>
    <cacheField name="MÊS" numFmtId="0">
      <sharedItems count="1">
        <s v="Junho"/>
      </sharedItems>
    </cacheField>
    <cacheField name="CÓD. DO PROCED." numFmtId="0">
      <sharedItems containsSemiMixedTypes="0" containsString="0" containsNumber="1" containsInteger="1" minValue="301010030" maxValue="301010129" count="6">
        <n v="301010129"/>
        <n v="301010030"/>
        <n v="301010064"/>
        <n v="301010072"/>
        <n v="301010080"/>
        <n v="301010110"/>
      </sharedItems>
    </cacheField>
    <cacheField name="Nº DE CBO" numFmtId="0">
      <sharedItems containsSemiMixedTypes="0" containsString="0" containsNumber="1" containsInteger="1" minValue="223505" maxValue="251510" count="9">
        <n v="223505"/>
        <n v="225142"/>
        <n v="225125"/>
        <n v="225133"/>
        <n v="225124"/>
        <n v="251510"/>
        <n v="223565"/>
        <n v="223710"/>
        <n v="2252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n v="1"/>
    <s v="TÉC. DE ENFERMAGEM"/>
    <s v="MEDICAÇÃO"/>
    <n v="275"/>
    <n v="21052018"/>
    <d v="2018-06-20T00:00:00"/>
    <x v="0"/>
    <x v="0"/>
    <x v="0"/>
    <x v="0"/>
  </r>
  <r>
    <n v="2"/>
    <s v="TÉC. DE ENFERMAGEM"/>
    <s v="PRESSÃO ARTERIAL"/>
    <n v="16"/>
    <n v="21052018"/>
    <d v="2018-06-20T00:00:00"/>
    <x v="0"/>
    <x v="0"/>
    <x v="1"/>
    <x v="1"/>
  </r>
  <r>
    <n v="3"/>
    <s v="TÉC. DE ENFERMAGEM"/>
    <s v="CURATIVO"/>
    <n v="4"/>
    <n v="21052018"/>
    <d v="2018-06-20T00:00:00"/>
    <x v="0"/>
    <x v="0"/>
    <x v="2"/>
    <x v="2"/>
  </r>
  <r>
    <n v="4"/>
    <s v="AUX. ENFERMAGEM"/>
    <s v="MEDICAÇÃO"/>
    <n v="15"/>
    <n v="21052018"/>
    <d v="2018-06-20T00:00:00"/>
    <x v="0"/>
    <x v="0"/>
    <x v="3"/>
    <x v="3"/>
  </r>
  <r>
    <n v="5"/>
    <s v="AUX. ENFERMAGEM"/>
    <s v="PRESSÃO ARTERIAL"/>
    <n v="66"/>
    <n v="21052018"/>
    <d v="2018-06-20T00:00:00"/>
    <x v="0"/>
    <x v="0"/>
    <x v="4"/>
    <x v="4"/>
  </r>
  <r>
    <n v="6"/>
    <s v="AUX. ENFERMAGEM"/>
    <s v="EX. LAB"/>
    <n v="16"/>
    <n v="21052018"/>
    <d v="2018-06-20T00:00:00"/>
    <x v="0"/>
    <x v="0"/>
    <x v="5"/>
    <x v="5"/>
  </r>
  <r>
    <n v="7"/>
    <s v="AGENTE C. SAÚDE"/>
    <s v="VISITA DOMICILIAR"/>
    <n v="284"/>
    <n v="21052018"/>
    <d v="2018-06-20T00:00:00"/>
    <x v="0"/>
    <x v="0"/>
    <x v="6"/>
    <x v="6"/>
  </r>
  <r>
    <n v="8"/>
    <s v="ENFERMEIRO (A) PACS"/>
    <s v="GRUPO ENFERMAGEM"/>
    <n v="4"/>
    <n v="21052018"/>
    <d v="2018-06-20T00:00:00"/>
    <x v="0"/>
    <x v="0"/>
    <x v="7"/>
    <x v="7"/>
  </r>
  <r>
    <n v="9"/>
    <s v="ENFERMEIRO (A)"/>
    <s v="EX. LAB"/>
    <n v="21"/>
    <n v="21052018"/>
    <d v="2018-06-20T00:00:00"/>
    <x v="0"/>
    <x v="0"/>
    <x v="8"/>
    <x v="8"/>
  </r>
  <r>
    <n v="10"/>
    <s v="AUX. ENFERMAGEM"/>
    <s v="TESTE DE GRAVIDEZ"/>
    <n v="8"/>
    <n v="21052018"/>
    <d v="2018-06-20T00:00:00"/>
    <x v="0"/>
    <x v="0"/>
    <x v="9"/>
    <x v="9"/>
  </r>
  <r>
    <n v="11"/>
    <s v="AUX. ENFERMAGEM"/>
    <s v="CURATIVO"/>
    <n v="14"/>
    <n v="21052018"/>
    <d v="2018-06-20T00:00:00"/>
    <x v="0"/>
    <x v="0"/>
    <x v="10"/>
    <x v="10"/>
  </r>
  <r>
    <n v="12"/>
    <s v="AUX. ENFERMAGEM"/>
    <s v="GLICEMIA "/>
    <n v="21"/>
    <n v="21052018"/>
    <d v="2018-06-20T00:00:00"/>
    <x v="0"/>
    <x v="0"/>
    <x v="11"/>
    <x v="11"/>
  </r>
  <r>
    <n v="13"/>
    <s v="TÉC. DE ENFERMAGEM"/>
    <s v="INALAÇÃO"/>
    <n v="1"/>
    <n v="21052018"/>
    <d v="2018-06-20T00:00:00"/>
    <x v="0"/>
    <x v="0"/>
    <x v="12"/>
    <x v="12"/>
  </r>
  <r>
    <n v="14"/>
    <s v="PSICÓLOGO (A)"/>
    <s v="GRUPO PSICOLOGIA"/>
    <n v="2"/>
    <n v="21052018"/>
    <d v="2018-06-20T00:00:00"/>
    <x v="0"/>
    <x v="0"/>
    <x v="13"/>
    <x v="13"/>
  </r>
  <r>
    <n v="15"/>
    <s v="AUX. ENFERMAGEM"/>
    <s v="RETIRADA DE PONTO"/>
    <n v="6"/>
    <n v="21052018"/>
    <d v="2018-06-20T00:00:00"/>
    <x v="0"/>
    <x v="0"/>
    <x v="14"/>
    <x v="14"/>
  </r>
  <r>
    <n v="16"/>
    <s v="ENFERMEIRO (A) PACS"/>
    <s v="PAPANICOLAU"/>
    <n v="22"/>
    <n v="21052018"/>
    <d v="2018-06-20T00:00:00"/>
    <x v="0"/>
    <x v="0"/>
    <x v="15"/>
    <x v="15"/>
  </r>
  <r>
    <n v="17"/>
    <s v="TÉC. DE ENFERMAGEM"/>
    <s v="RETIRADA DE PONTO"/>
    <n v="2"/>
    <n v="21052018"/>
    <d v="2018-06-20T00:00:00"/>
    <x v="0"/>
    <x v="0"/>
    <x v="16"/>
    <x v="16"/>
  </r>
  <r>
    <n v="18"/>
    <s v="ENFERMEIRO (A)"/>
    <s v="RETIRADA DE PONTO"/>
    <n v="4"/>
    <n v="21052018"/>
    <d v="2018-06-20T00:00:00"/>
    <x v="0"/>
    <x v="0"/>
    <x v="17"/>
    <x v="17"/>
  </r>
  <r>
    <n v="19"/>
    <s v="NUTRIÇÃO"/>
    <s v="GRUPO NUTRIÇÃO"/>
    <n v="1"/>
    <n v="21052018"/>
    <d v="2018-06-20T00:00:00"/>
    <x v="0"/>
    <x v="0"/>
    <x v="18"/>
    <x v="18"/>
  </r>
  <r>
    <n v="20"/>
    <s v="ENFERMEIRO (A)"/>
    <s v="GRUPO ENFERMAGEM"/>
    <n v="1"/>
    <n v="21052018"/>
    <d v="2018-06-20T00:00:00"/>
    <x v="0"/>
    <x v="0"/>
    <x v="19"/>
    <x v="19"/>
  </r>
  <r>
    <n v="21"/>
    <s v="ENFERMEIRO (A) PACS"/>
    <s v="CURATIVO"/>
    <n v="2"/>
    <n v="21052018"/>
    <d v="2018-06-20T00:00:00"/>
    <x v="0"/>
    <x v="0"/>
    <x v="20"/>
    <x v="20"/>
  </r>
  <r>
    <n v="22"/>
    <s v="ENFERMEIRO (A) PACS"/>
    <s v="RETIRADA DE PONTO"/>
    <n v="1"/>
    <n v="21052018"/>
    <d v="2018-06-20T00:00:00"/>
    <x v="0"/>
    <x v="0"/>
    <x v="21"/>
    <x v="21"/>
  </r>
  <r>
    <n v="23"/>
    <s v="ENFERMEIRO (A)"/>
    <s v="MEDICAÇÃO"/>
    <n v="9"/>
    <n v="21052018"/>
    <d v="2018-06-20T00:00:00"/>
    <x v="0"/>
    <x v="0"/>
    <x v="22"/>
    <x v="22"/>
  </r>
  <r>
    <n v="24"/>
    <s v="M.E.S.F."/>
    <s v="GRUPO M.E.S.F."/>
    <n v="1"/>
    <n v="21052018"/>
    <d v="2018-06-20T00:00:00"/>
    <x v="0"/>
    <x v="0"/>
    <x v="23"/>
    <x v="23"/>
  </r>
  <r>
    <n v="25"/>
    <s v="ENFERMEIRO (A) PACS"/>
    <s v="EX. LAB"/>
    <n v="4"/>
    <n v="21052018"/>
    <d v="2018-06-20T00:00:00"/>
    <x v="0"/>
    <x v="0"/>
    <x v="24"/>
    <x v="24"/>
  </r>
  <r>
    <n v="26"/>
    <s v="ENFERMEIRO (A)"/>
    <s v="PAPANICOLAU"/>
    <n v="5"/>
    <n v="21052018"/>
    <d v="2018-06-20T00:00:00"/>
    <x v="0"/>
    <x v="0"/>
    <x v="25"/>
    <x v="25"/>
  </r>
  <r>
    <n v="27"/>
    <s v="TÉC. DE ENFERMAGEM"/>
    <s v="TESTE DE GRAVIDEZ"/>
    <n v="1"/>
    <n v="21052018"/>
    <d v="2018-06-20T00:00:00"/>
    <x v="0"/>
    <x v="0"/>
    <x v="26"/>
    <x v="26"/>
  </r>
  <r>
    <n v="28"/>
    <s v="TÉC. DE ENFERMAGEM"/>
    <s v="MEDICAÇÃO"/>
    <n v="124"/>
    <n v="21052018"/>
    <d v="2018-06-20T00:00:00"/>
    <x v="0"/>
    <x v="0"/>
    <x v="0"/>
    <x v="0"/>
  </r>
  <r>
    <n v="29"/>
    <s v="AUX. ENFERMAGEM"/>
    <s v="CURATIVO"/>
    <n v="16"/>
    <n v="21052018"/>
    <d v="2018-06-20T00:00:00"/>
    <x v="0"/>
    <x v="0"/>
    <x v="10"/>
    <x v="10"/>
  </r>
  <r>
    <n v="30"/>
    <s v="AUX. ENFERMAGEM"/>
    <s v="RETIRADA DE PONTO"/>
    <n v="12"/>
    <n v="21052018"/>
    <d v="2018-06-20T00:00:00"/>
    <x v="0"/>
    <x v="0"/>
    <x v="14"/>
    <x v="14"/>
  </r>
  <r>
    <n v="31"/>
    <s v="AUX. ENFERMAGEM"/>
    <s v="TESTE DE GRAVIDEZ"/>
    <n v="4"/>
    <n v="21052018"/>
    <d v="2018-06-20T00:00:00"/>
    <x v="0"/>
    <x v="0"/>
    <x v="9"/>
    <x v="9"/>
  </r>
  <r>
    <n v="32"/>
    <s v="AUX. ENFERMAGEM"/>
    <s v="MEDICAÇÃO"/>
    <n v="27"/>
    <n v="21052018"/>
    <d v="2018-06-20T00:00:00"/>
    <x v="0"/>
    <x v="0"/>
    <x v="3"/>
    <x v="3"/>
  </r>
  <r>
    <n v="33"/>
    <s v="AUX. ENFERMAGEM"/>
    <s v="INALAÇÃO"/>
    <n v="3"/>
    <n v="21052018"/>
    <d v="2018-06-20T00:00:00"/>
    <x v="0"/>
    <x v="0"/>
    <x v="27"/>
    <x v="27"/>
  </r>
  <r>
    <n v="34"/>
    <s v="AUX. ENFERMAGEM"/>
    <s v="PRESSÃO ARTERIAL"/>
    <n v="45"/>
    <n v="21052018"/>
    <d v="2018-06-20T00:00:00"/>
    <x v="0"/>
    <x v="0"/>
    <x v="4"/>
    <x v="4"/>
  </r>
  <r>
    <n v="35"/>
    <s v="TÉC. DE ENFERMAGEM"/>
    <s v="TESTE DE GRAVIDEZ"/>
    <n v="1"/>
    <n v="21052018"/>
    <d v="2018-06-20T00:00:00"/>
    <x v="0"/>
    <x v="0"/>
    <x v="26"/>
    <x v="26"/>
  </r>
  <r>
    <n v="36"/>
    <s v="TÉC. DE ENFERMAGEM"/>
    <s v="PRESSÃO ARTERIAL"/>
    <n v="9"/>
    <n v="21052018"/>
    <d v="2018-06-20T00:00:00"/>
    <x v="0"/>
    <x v="0"/>
    <x v="1"/>
    <x v="1"/>
  </r>
  <r>
    <n v="37"/>
    <s v="ENFERMEIRO (A) PACS"/>
    <s v="GRUPO ENFERMAGEM"/>
    <n v="2"/>
    <n v="21052018"/>
    <d v="2018-06-20T00:00:00"/>
    <x v="0"/>
    <x v="0"/>
    <x v="7"/>
    <x v="7"/>
  </r>
  <r>
    <n v="38"/>
    <s v="AUX. ENFERMAGEM"/>
    <s v="VISITA DOMICILIAR"/>
    <n v="10"/>
    <n v="21052018"/>
    <d v="2018-06-20T00:00:00"/>
    <x v="0"/>
    <x v="0"/>
    <x v="28"/>
    <x v="28"/>
  </r>
  <r>
    <n v="39"/>
    <s v="AUX. ENFERMAGEM"/>
    <s v="PRESSÃO ARTERIAL"/>
    <n v="10"/>
    <n v="21052018"/>
    <d v="2018-06-20T00:00:00"/>
    <x v="0"/>
    <x v="0"/>
    <x v="4"/>
    <x v="4"/>
  </r>
  <r>
    <n v="40"/>
    <s v="AUX. ENFERMAGEM"/>
    <s v="GLICEMIA "/>
    <n v="4"/>
    <n v="21052018"/>
    <d v="2018-06-20T00:00:00"/>
    <x v="0"/>
    <x v="0"/>
    <x v="11"/>
    <x v="11"/>
  </r>
  <r>
    <n v="41"/>
    <s v="AGENTE C. SAÚDE"/>
    <s v="VISITA DOMICILIAR"/>
    <n v="137"/>
    <n v="21052018"/>
    <d v="2018-06-20T00:00:00"/>
    <x v="0"/>
    <x v="0"/>
    <x v="6"/>
    <x v="6"/>
  </r>
  <r>
    <n v="42"/>
    <s v="TÉC. DE ENFERMAGEM"/>
    <s v="INALAÇÃO"/>
    <n v="1"/>
    <n v="21052018"/>
    <d v="2018-06-20T00:00:00"/>
    <x v="0"/>
    <x v="0"/>
    <x v="12"/>
    <x v="12"/>
  </r>
  <r>
    <n v="43"/>
    <s v="ENFERMEIRO (A) PACS"/>
    <s v="PAPANICOLAU"/>
    <n v="11"/>
    <n v="21052018"/>
    <d v="2018-06-20T00:00:00"/>
    <x v="0"/>
    <x v="0"/>
    <x v="15"/>
    <x v="15"/>
  </r>
  <r>
    <n v="44"/>
    <s v="ENFERMEIRO (A)"/>
    <s v="TESTE RAPIDO PARA HIV"/>
    <n v="2"/>
    <n v="21052018"/>
    <d v="2018-06-20T00:00:00"/>
    <x v="0"/>
    <x v="0"/>
    <x v="29"/>
    <x v="29"/>
  </r>
  <r>
    <n v="45"/>
    <s v="ENFERMEIRO (A)"/>
    <s v="TESTE RAPIDO PARA SIFILIS"/>
    <n v="2"/>
    <n v="21052018"/>
    <d v="2018-06-20T00:00:00"/>
    <x v="0"/>
    <x v="0"/>
    <x v="30"/>
    <x v="30"/>
  </r>
  <r>
    <n v="46"/>
    <s v="TÉC. DE ENFERMAGEM"/>
    <s v="EX. LAB"/>
    <n v="1"/>
    <n v="21052018"/>
    <d v="2018-06-20T00:00:00"/>
    <x v="0"/>
    <x v="0"/>
    <x v="31"/>
    <x v="31"/>
  </r>
  <r>
    <n v="47"/>
    <s v="PSICÓLOGO (A)"/>
    <s v="GRUPO PSICOLOGIA"/>
    <n v="1"/>
    <n v="21052018"/>
    <d v="2018-06-20T00:00:00"/>
    <x v="0"/>
    <x v="0"/>
    <x v="13"/>
    <x v="13"/>
  </r>
  <r>
    <n v="48"/>
    <s v="TÉC. DE ENFERMAGEM"/>
    <s v="ECG"/>
    <n v="6"/>
    <n v="21052018"/>
    <d v="2018-06-20T00:00:00"/>
    <x v="0"/>
    <x v="0"/>
    <x v="32"/>
    <x v="32"/>
  </r>
  <r>
    <n v="49"/>
    <s v="ENFERMEIRO (A)"/>
    <s v="MEDICAÇÃO"/>
    <n v="1"/>
    <n v="21052018"/>
    <d v="2018-06-20T00:00:00"/>
    <x v="0"/>
    <x v="0"/>
    <x v="22"/>
    <x v="22"/>
  </r>
  <r>
    <n v="50"/>
    <s v="ENFERMEIRO (A)"/>
    <s v="EX. LAB"/>
    <n v="11"/>
    <n v="21052018"/>
    <d v="2018-06-20T00:00:00"/>
    <x v="0"/>
    <x v="0"/>
    <x v="8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ynConsultas" cacheId="9" applyNumberFormats="0" applyBorderFormats="0" applyFontFormats="0" applyPatternFormats="0" applyAlignmentFormats="0" applyWidthHeightFormats="1" dataCaption="Valores" grandTotalCaption="TOTAL" errorCaption="ERRO" showError="1" missingCaption="0" updatedVersion="3" minRefreshableVersion="3" showDrill="0" showDataTips="0" enableDrill="0" useAutoFormatting="1" fieldPrintTitles="1" createdVersion="6" indent="0" compact="0" compactData="0" multipleFieldFilters="0" chartFormat="7" rowHeaderCaption="TIPO DE CONSULTA" colHeaderCaption="IDADES">
  <location ref="A4:CR25" firstHeaderRow="1" firstDataRow="2" firstDataCol="3" rowPageCount="2" colPageCount="1"/>
  <pivotFields count="10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compact="0" outline="0" subtotalTop="0" showAll="0" sortType="ascending" defaultSubtotal="0">
      <items count="92">
        <item x="76"/>
        <item x="41"/>
        <item x="40"/>
        <item x="39"/>
        <item x="72"/>
        <item x="68"/>
        <item x="67"/>
        <item x="70"/>
        <item x="38"/>
        <item x="48"/>
        <item x="43"/>
        <item x="42"/>
        <item x="18"/>
        <item x="23"/>
        <item x="59"/>
        <item x="29"/>
        <item x="84"/>
        <item x="82"/>
        <item x="85"/>
        <item x="5"/>
        <item x="66"/>
        <item x="54"/>
        <item x="35"/>
        <item x="86"/>
        <item x="33"/>
        <item x="15"/>
        <item x="47"/>
        <item x="14"/>
        <item x="21"/>
        <item x="50"/>
        <item x="12"/>
        <item x="52"/>
        <item x="7"/>
        <item x="0"/>
        <item x="55"/>
        <item x="31"/>
        <item x="78"/>
        <item x="83"/>
        <item x="57"/>
        <item x="28"/>
        <item x="6"/>
        <item x="11"/>
        <item x="13"/>
        <item x="53"/>
        <item x="65"/>
        <item x="77"/>
        <item x="25"/>
        <item x="9"/>
        <item x="62"/>
        <item x="4"/>
        <item x="16"/>
        <item x="2"/>
        <item x="36"/>
        <item x="3"/>
        <item x="56"/>
        <item x="37"/>
        <item x="27"/>
        <item x="17"/>
        <item x="19"/>
        <item x="10"/>
        <item x="73"/>
        <item x="1"/>
        <item x="79"/>
        <item x="81"/>
        <item x="26"/>
        <item x="45"/>
        <item x="8"/>
        <item x="88"/>
        <item x="32"/>
        <item x="24"/>
        <item x="30"/>
        <item x="91"/>
        <item x="69"/>
        <item x="22"/>
        <item x="20"/>
        <item x="46"/>
        <item x="60"/>
        <item x="61"/>
        <item x="58"/>
        <item x="80"/>
        <item x="64"/>
        <item x="51"/>
        <item x="63"/>
        <item x="89"/>
        <item x="34"/>
        <item x="75"/>
        <item x="87"/>
        <item x="49"/>
        <item x="71"/>
        <item x="44"/>
        <item x="74"/>
        <item x="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YEAR" axis="axisPage" compact="0" outline="0" subtotalTop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MONTH" axis="axisPage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ÓDIGO" axis="axisRow" compact="0" numFmtId="164" outline="0" subtotalTop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BO" axis="axisRow" compact="0" outline="0" subtotalTop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8"/>
    <field x="9"/>
  </rowFields>
  <rowItems count="20">
    <i>
      <x/>
      <x/>
      <x/>
    </i>
    <i>
      <x v="1"/>
      <x v="1"/>
      <x/>
    </i>
    <i>
      <x v="2"/>
      <x v="2"/>
      <x v="1"/>
    </i>
    <i>
      <x v="3"/>
      <x v="2"/>
      <x v="2"/>
    </i>
    <i>
      <x v="4"/>
      <x v="3"/>
      <x v="3"/>
    </i>
    <i>
      <x v="5"/>
      <x v="4"/>
      <x v="4"/>
    </i>
    <i>
      <x v="6"/>
      <x v="1"/>
      <x v="5"/>
    </i>
    <i>
      <x v="7"/>
      <x v="1"/>
      <x v="6"/>
    </i>
    <i>
      <x v="8"/>
      <x v="1"/>
      <x v="7"/>
    </i>
    <i>
      <x v="9"/>
      <x v="5"/>
      <x v="6"/>
    </i>
    <i>
      <x v="10"/>
      <x v="5"/>
      <x/>
    </i>
    <i>
      <x v="11"/>
      <x v="2"/>
      <x v="4"/>
    </i>
    <i>
      <x v="12"/>
      <x v="4"/>
      <x v="1"/>
    </i>
    <i>
      <x v="13"/>
      <x v="2"/>
      <x v="8"/>
    </i>
    <i>
      <x v="14"/>
      <x v="5"/>
      <x v="1"/>
    </i>
    <i>
      <x v="15"/>
      <x v="5"/>
      <x v="8"/>
    </i>
    <i>
      <x v="16"/>
      <x v="4"/>
      <x v="6"/>
    </i>
    <i>
      <x v="17"/>
      <x/>
      <x v="8"/>
    </i>
    <i>
      <x v="18"/>
      <x v="4"/>
      <x/>
    </i>
    <i t="grand">
      <x/>
    </i>
  </rowItems>
  <colFields count="1">
    <field x="4"/>
  </colFields>
  <colItems count="9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 t="grand">
      <x/>
    </i>
  </colItems>
  <pageFields count="2">
    <pageField fld="6" hier="-1"/>
    <pageField fld="7" hier="-1"/>
  </pageFields>
  <dataFields count="1">
    <dataField name="Contagem de IDADE" fld="4" subtotal="count" baseField="8" baseItem="2"/>
  </dataFields>
  <formats count="15">
    <format dxfId="77">
      <pivotArea type="all" dataOnly="0" outline="0" fieldPosition="0"/>
    </format>
    <format dxfId="76">
      <pivotArea field="1" type="button" dataOnly="0" labelOnly="1" outline="0" axis="axisRow" fieldPosition="0"/>
    </format>
    <format dxfId="75">
      <pivotArea field="8" type="button" dataOnly="0" labelOnly="1" outline="0" axis="axisRow" fieldPosition="1"/>
    </format>
    <format dxfId="74">
      <pivotArea field="9" type="button" dataOnly="0" labelOnly="1" outline="0" axis="axisRow" fieldPosition="2"/>
    </format>
    <format dxfId="73">
      <pivotArea dataOnly="0" labelOnly="1" fieldPosition="0">
        <references count="1">
          <reference field="1" count="0"/>
        </references>
      </pivotArea>
    </format>
    <format dxfId="72">
      <pivotArea field="7" type="button" dataOnly="0" labelOnly="1" outline="0" axis="axisPage" fieldPosition="1"/>
    </format>
    <format dxfId="71">
      <pivotArea field="1" type="button" dataOnly="0" labelOnly="1" outline="0" axis="axisRow" fieldPosition="0"/>
    </format>
    <format dxfId="70">
      <pivotArea type="origin" dataOnly="0" labelOnly="1" outline="0" fieldPosition="0"/>
    </format>
    <format dxfId="69">
      <pivotArea field="4" type="button" dataOnly="0" labelOnly="1" outline="0" axis="axisCol" fieldPosition="0"/>
    </format>
    <format dxfId="68">
      <pivotArea field="8" type="button" dataOnly="0" labelOnly="1" outline="0" axis="axisRow" fieldPosition="1"/>
    </format>
    <format dxfId="67">
      <pivotArea field="9" type="button" dataOnly="0" labelOnly="1" outline="0" axis="axisRow" fieldPosition="2"/>
    </format>
    <format dxfId="66">
      <pivotArea dataOnly="0" labelOnly="1" grandRow="1" outline="0" fieldPosition="0"/>
    </format>
    <format dxfId="65">
      <pivotArea dataOnly="0" labelOnly="1" grandCol="1" outline="0" fieldPosition="0"/>
    </format>
    <format dxfId="64">
      <pivotArea field="6" type="button" dataOnly="0" labelOnly="1" outline="0" axis="axisPage" fieldPosition="0"/>
    </format>
    <format dxfId="63">
      <pivotArea field="7" type="button" dataOnly="0" labelOnly="1" outline="0" axis="axisPage" fieldPosition="1"/>
    </format>
  </formats>
  <pivotTableStyleInfo name="PivotStyleLight7" showRowHeaders="1" showColHeaders="0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dynProcedimentos" cacheId="0" applyNumberFormats="0" applyBorderFormats="0" applyFontFormats="0" applyPatternFormats="0" applyAlignmentFormats="0" applyWidthHeightFormats="1" dataCaption="Valores" updatedVersion="3" minRefreshableVersion="3" useAutoFormatting="1" rowGrandTotals="0" colGrandTotals="0" itemPrintTitles="1" createdVersion="6" indent="0" outline="1" outlineData="1" multipleFieldFilters="0" chartFormat="1" rowHeaderCaption="CÓD PROCED/PROFISSIONAL">
  <location ref="A4:C37" firstHeaderRow="1" firstDataRow="1" firstDataCol="2" rowPageCount="2" colPageCount="1"/>
  <pivotFields count="10">
    <pivotField showAll="0"/>
    <pivotField showAll="0"/>
    <pivotField showAll="0"/>
    <pivotField dataField="1" showAll="0"/>
    <pivotField showAll="0"/>
    <pivotField numFmtId="14" showAll="0"/>
    <pivotField name="YEAR" axis="axisPage" showAll="0">
      <items count="3">
        <item x="0"/>
        <item m="1" x="1"/>
        <item t="default"/>
      </items>
    </pivotField>
    <pivotField name="MONTH" axis="axisPage" showAll="0">
      <items count="10">
        <item m="1" x="7"/>
        <item m="1" x="4"/>
        <item m="1" x="8"/>
        <item m="1" x="2"/>
        <item m="1" x="6"/>
        <item m="1" x="5"/>
        <item x="0"/>
        <item m="1" x="1"/>
        <item m="1" x="3"/>
        <item t="default"/>
      </items>
    </pivotField>
    <pivotField axis="axisRow" showAll="0">
      <items count="49">
        <item m="1" x="45"/>
        <item m="1" x="42"/>
        <item m="1" x="41"/>
        <item m="1" x="37"/>
        <item m="1" x="39"/>
        <item m="1" x="38"/>
        <item m="1" x="43"/>
        <item m="1" x="47"/>
        <item m="1" x="46"/>
        <item x="20"/>
        <item x="10"/>
        <item m="1" x="36"/>
        <item m="1" x="33"/>
        <item m="1" x="34"/>
        <item m="1" x="44"/>
        <item m="1" x="35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1"/>
        <item x="22"/>
        <item x="23"/>
        <item x="24"/>
        <item x="25"/>
        <item x="26"/>
        <item m="1" x="40"/>
        <item x="27"/>
        <item x="28"/>
        <item x="29"/>
        <item x="30"/>
        <item x="31"/>
        <item x="32"/>
        <item t="default"/>
      </items>
    </pivotField>
    <pivotField axis="axisRow" outline="0" showAll="0" defaultSubtotal="0">
      <items count="49">
        <item m="1" x="39"/>
        <item m="1" x="40"/>
        <item m="1" x="46"/>
        <item x="10"/>
        <item x="20"/>
        <item m="1" x="45"/>
        <item m="1" x="42"/>
        <item m="1" x="37"/>
        <item m="1" x="41"/>
        <item m="1" x="35"/>
        <item m="1" x="38"/>
        <item m="1" x="47"/>
        <item m="1" x="48"/>
        <item m="1" x="44"/>
        <item m="1" x="33"/>
        <item m="1" x="36"/>
        <item m="1" x="34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1"/>
        <item x="22"/>
        <item x="23"/>
        <item x="24"/>
        <item x="25"/>
        <item x="26"/>
        <item m="1" x="43"/>
        <item x="27"/>
        <item x="28"/>
        <item x="29"/>
        <item x="30"/>
        <item x="31"/>
        <item x="32"/>
      </items>
    </pivotField>
  </pivotFields>
  <rowFields count="2">
    <field x="9"/>
    <field x="8"/>
  </rowFields>
  <rowItems count="33">
    <i>
      <x v="3"/>
      <x v="10"/>
    </i>
    <i>
      <x v="4"/>
      <x v="9"/>
    </i>
    <i>
      <x v="17"/>
      <x v="16"/>
    </i>
    <i>
      <x v="18"/>
      <x v="17"/>
    </i>
    <i>
      <x v="19"/>
      <x v="18"/>
    </i>
    <i>
      <x v="20"/>
      <x v="19"/>
    </i>
    <i>
      <x v="21"/>
      <x v="20"/>
    </i>
    <i>
      <x v="22"/>
      <x v="21"/>
    </i>
    <i>
      <x v="23"/>
      <x v="22"/>
    </i>
    <i>
      <x v="24"/>
      <x v="23"/>
    </i>
    <i>
      <x v="25"/>
      <x v="24"/>
    </i>
    <i>
      <x v="26"/>
      <x v="25"/>
    </i>
    <i>
      <x v="27"/>
      <x v="26"/>
    </i>
    <i>
      <x v="28"/>
      <x v="27"/>
    </i>
    <i>
      <x v="29"/>
      <x v="28"/>
    </i>
    <i>
      <x v="30"/>
      <x v="29"/>
    </i>
    <i>
      <x v="31"/>
      <x v="30"/>
    </i>
    <i>
      <x v="32"/>
      <x v="31"/>
    </i>
    <i>
      <x v="33"/>
      <x v="32"/>
    </i>
    <i>
      <x v="34"/>
      <x v="33"/>
    </i>
    <i>
      <x v="35"/>
      <x v="34"/>
    </i>
    <i>
      <x v="36"/>
      <x v="35"/>
    </i>
    <i>
      <x v="37"/>
      <x v="36"/>
    </i>
    <i>
      <x v="38"/>
      <x v="37"/>
    </i>
    <i>
      <x v="39"/>
      <x v="38"/>
    </i>
    <i>
      <x v="40"/>
      <x v="39"/>
    </i>
    <i>
      <x v="41"/>
      <x v="40"/>
    </i>
    <i>
      <x v="43"/>
      <x v="42"/>
    </i>
    <i>
      <x v="44"/>
      <x v="43"/>
    </i>
    <i>
      <x v="45"/>
      <x v="44"/>
    </i>
    <i>
      <x v="46"/>
      <x v="45"/>
    </i>
    <i>
      <x v="47"/>
      <x v="46"/>
    </i>
    <i>
      <x v="48"/>
      <x v="47"/>
    </i>
  </rowItems>
  <colItems count="1">
    <i/>
  </colItems>
  <pageFields count="2">
    <pageField fld="6" hier="-1"/>
    <pageField fld="7" hier="-1"/>
  </pageFields>
  <dataFields count="1">
    <dataField name="TOTAL DE PROCEDIMENTOS" fld="3" baseField="0" baseItem="0"/>
  </dataFields>
  <formats count="10">
    <format dxfId="40">
      <pivotArea type="all" dataOnly="0" outline="0" fieldPosition="0"/>
    </format>
    <format dxfId="39">
      <pivotArea outline="0" collapsedLevelsAreSubtotals="1" fieldPosition="0"/>
    </format>
    <format dxfId="38">
      <pivotArea dataOnly="0" labelOnly="1" outline="0" axis="axisValues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dataOnly="0" labelOnly="1" outline="0" axis="axisValues" fieldPosition="0"/>
    </format>
    <format dxfId="34">
      <pivotArea field="6" type="button" dataOnly="0" labelOnly="1" outline="0" axis="axisPage" fieldPosition="0"/>
    </format>
    <format dxfId="33">
      <pivotArea field="9" type="button" dataOnly="0" labelOnly="1" outline="0" axis="axisRow" fieldPosition="0"/>
    </format>
    <format dxfId="32">
      <pivotArea field="8" type="button" dataOnly="0" labelOnly="1" outline="0" axis="axisRow" fieldPosition="1"/>
    </format>
    <format dxfId="31">
      <pivotArea dataOnly="0" labelOnly="1" outline="0" axis="axisValues" fieldPosition="0"/>
    </format>
  </formats>
  <pivotTableStyleInfo name="PivotStyleLight14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tbConsultas" displayName="tbConsultas" ref="A1:J1057" totalsRowShown="0" headerRowDxfId="89" dataDxfId="88">
  <autoFilter ref="A1:J1057"/>
  <tableColumns count="10">
    <tableColumn id="5" name="ID" dataDxfId="87">
      <calculatedColumnFormula>ROW() -1</calculatedColumnFormula>
    </tableColumn>
    <tableColumn id="1" name="PROFISSIONAL" dataDxfId="86"/>
    <tableColumn id="2" name="DATA DE NASC." dataDxfId="85"/>
    <tableColumn id="3" name="DATA INICIAL" dataDxfId="84"/>
    <tableColumn id="4" name="IDADE" dataDxfId="83"/>
    <tableColumn id="6" name="DATA FINAL" dataDxfId="82">
      <calculatedColumnFormula>IF(D2="","",DATE(YEAR(TEXT(D2,"00\/00\/0000")),MONTH(TEXT(D2,"00\/00\/0000"))+1,20))</calculatedColumnFormula>
    </tableColumn>
    <tableColumn id="7" name="ANO" dataDxfId="81">
      <calculatedColumnFormula>IF(F2="","",YEAR(F2))</calculatedColumnFormula>
    </tableColumn>
    <tableColumn id="8" name="MÊS" dataDxfId="80">
      <calculatedColumnFormula>PROPER(TEXT(F2,"mmmm"))</calculatedColumnFormula>
    </tableColumn>
    <tableColumn id="9" name="CÓD. DO PROCED." dataDxfId="79">
      <calculatedColumnFormula>INDEX(tbCadastroConsultas[],MATCH(tbConsultas[[#This Row],[PROFISSIONAL]],tbCadastroConsultas[PROFISSIONAL],0),3)</calculatedColumnFormula>
    </tableColumn>
    <tableColumn id="10" name="Nº DE CBO" dataDxfId="78">
      <calculatedColumnFormula>INDEX(tbCadastroConsultas[],MATCH(tbConsultas[[#This Row],[PROFISSIONAL]],tbCadastroConsultas[PROFISSIONAL],0),4)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5" name="tbProcedimentos" displayName="tbProcedimentos" ref="A1:J55" headerRowDxfId="62" dataDxfId="61">
  <tableColumns count="10">
    <tableColumn id="6" name="ID" totalsRowLabel="Total" dataDxfId="60" totalsRowDxfId="59">
      <calculatedColumnFormula>ROW() -1</calculatedColumnFormula>
    </tableColumn>
    <tableColumn id="1" name="PROFISSIONAL" dataDxfId="58" totalsRowDxfId="57"/>
    <tableColumn id="2" name="PROCEDIMENTO" dataDxfId="56" totalsRowDxfId="55"/>
    <tableColumn id="3" name="QUANTIDADE" dataDxfId="54" totalsRowDxfId="53"/>
    <tableColumn id="4" name="DATA INICIAL" dataDxfId="52" totalsRowDxfId="51"/>
    <tableColumn id="11" name="DATA FINAL" dataDxfId="50" totalsRowDxfId="49">
      <calculatedColumnFormula>IF(E2="","",DATE(YEAR(TEXT(E2,"00\/00\/0000")),MONTH(TEXT(E2,"00\/00\/0000"))+1,20))</calculatedColumnFormula>
    </tableColumn>
    <tableColumn id="12" name="ANO" dataDxfId="48" totalsRowDxfId="47">
      <calculatedColumnFormula>YEAR(F2)</calculatedColumnFormula>
    </tableColumn>
    <tableColumn id="13" name="MÊS" dataDxfId="46" totalsRowDxfId="45">
      <calculatedColumnFormula>PROPER(TEXT(F2,"mmmm"))</calculatedColumnFormula>
    </tableColumn>
    <tableColumn id="5" name="CÓD. PROCED - CBO" dataDxfId="44" totalsRowDxfId="43">
      <calculatedColumnFormula>INDEX(tbCadastroProcedimento[],MATCH(C2,tbCadastroProcedimento[PROCEDIMENTO],0),3) &amp; "-" &amp;INDEX(tbCadastroProfissional[],MATCH(B2,tbCadastroProfissional[PROFISSIONAL],0),3)</calculatedColumnFormula>
    </tableColumn>
    <tableColumn id="7" name="NOME PROCED-PROFISSIONAL" totalsRowFunction="count" dataDxfId="42" totalsRowDxfId="41">
      <calculatedColumnFormula>C2&amp; "-" &amp;B2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bCadastroProfissional" displayName="tbCadastroProfissional" ref="E1:G16" totalsRowShown="0" headerRowDxfId="30" dataDxfId="29">
  <sortState ref="E2:G16">
    <sortCondition ref="F1:F16"/>
  </sortState>
  <tableColumns count="3">
    <tableColumn id="3" name="ID" dataDxfId="28">
      <calculatedColumnFormula>ROW() - 1</calculatedColumnFormula>
    </tableColumn>
    <tableColumn id="1" name="PROFISSIONAL" dataDxfId="27"/>
    <tableColumn id="2" name="Nº: CBO" dataDxfId="2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bCadastroProcedimento" displayName="tbCadastroProcedimento" ref="A1:C28" totalsRowShown="0" headerRowDxfId="25" dataDxfId="24">
  <sortState ref="A2:C28">
    <sortCondition ref="B1:B28"/>
  </sortState>
  <tableColumns count="3">
    <tableColumn id="4" name="ID" dataDxfId="23">
      <calculatedColumnFormula>ROW() - 1</calculatedColumnFormula>
    </tableColumn>
    <tableColumn id="1" name="PROCEDIMENTO" dataDxfId="22"/>
    <tableColumn id="2" name="CÓD. PROCED." dataDxfId="2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1" name="tbCadastroConsultas" displayName="tbCadastroConsultas" ref="I1:L26" totalsRowShown="0" headerRowDxfId="20" dataDxfId="19">
  <sortState ref="I2:L26">
    <sortCondition ref="J1:J26"/>
  </sortState>
  <tableColumns count="4">
    <tableColumn id="4" name="ID" dataDxfId="18">
      <calculatedColumnFormula>ROW() - 1</calculatedColumnFormula>
    </tableColumn>
    <tableColumn id="1" name="PROFISSIONAL" dataDxfId="17"/>
    <tableColumn id="2" name="CÓD. DO PROCED." dataDxfId="16"/>
    <tableColumn id="3" name="Nº DE CBO" dataDxfId="1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sView">
    <tabColor rgb="FF004846"/>
    <pageSetUpPr autoPageBreaks="0"/>
  </sheetPr>
  <dimension ref="A1"/>
  <sheetViews>
    <sheetView showGridLines="0" showRowColHeaders="0" workbookViewId="0"/>
  </sheetViews>
  <sheetFormatPr defaultRowHeight="15"/>
  <cols>
    <col min="1" max="16384" width="9.140625" style="6"/>
  </cols>
  <sheetData/>
  <sheetProtection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wsConsultas">
    <tabColor rgb="FF004846"/>
    <pageSetUpPr fitToPage="1"/>
  </sheetPr>
  <dimension ref="A1:J1057"/>
  <sheetViews>
    <sheetView showGridLines="0" tabSelected="1" zoomScaleSheetLayoutView="100" workbookViewId="0">
      <selection activeCell="I3" sqref="I3"/>
    </sheetView>
  </sheetViews>
  <sheetFormatPr defaultRowHeight="15"/>
  <cols>
    <col min="1" max="1" width="5.140625" style="1" bestFit="1" customWidth="1"/>
    <col min="2" max="2" width="29.42578125" style="1" bestFit="1" customWidth="1"/>
    <col min="3" max="3" width="16.85546875" style="1" bestFit="1" customWidth="1"/>
    <col min="4" max="4" width="15" style="1" bestFit="1" customWidth="1"/>
    <col min="5" max="5" width="8.7109375" style="1" bestFit="1" customWidth="1"/>
    <col min="6" max="6" width="13.7109375" style="1" bestFit="1" customWidth="1"/>
    <col min="7" max="7" width="7.42578125" style="1" bestFit="1" customWidth="1"/>
    <col min="8" max="8" width="10.42578125" style="1" bestFit="1" customWidth="1"/>
    <col min="9" max="9" width="19.140625" style="1" bestFit="1" customWidth="1"/>
    <col min="10" max="10" width="12.5703125" style="1" bestFit="1" customWidth="1"/>
    <col min="11" max="16384" width="9.140625" style="1"/>
  </cols>
  <sheetData>
    <row r="1" spans="1:10">
      <c r="A1" s="16" t="s">
        <v>83</v>
      </c>
      <c r="B1" s="16" t="s">
        <v>21</v>
      </c>
      <c r="C1" s="16" t="s">
        <v>20</v>
      </c>
      <c r="D1" s="16" t="s">
        <v>19</v>
      </c>
      <c r="E1" s="16" t="s">
        <v>18</v>
      </c>
      <c r="F1" s="17" t="s">
        <v>80</v>
      </c>
      <c r="G1" s="17" t="s">
        <v>81</v>
      </c>
      <c r="H1" s="17" t="s">
        <v>82</v>
      </c>
      <c r="I1" s="16" t="s">
        <v>72</v>
      </c>
      <c r="J1" s="16" t="s">
        <v>73</v>
      </c>
    </row>
    <row r="2" spans="1:10">
      <c r="A2" s="11">
        <f t="shared" ref="A2:A33" si="0">ROW() -1</f>
        <v>1</v>
      </c>
      <c r="B2" s="4" t="s">
        <v>9</v>
      </c>
      <c r="C2" s="5">
        <v>28121985</v>
      </c>
      <c r="D2" s="5">
        <v>21052018</v>
      </c>
      <c r="E2" s="4">
        <v>32</v>
      </c>
      <c r="F2" s="15">
        <f t="shared" ref="F2:F65" si="1">IF(D2="","",DATE(YEAR(TEXT(D2,"00\/00\/0000")),MONTH(TEXT(D2,"00\/00\/0000"))+1,20))</f>
        <v>43271</v>
      </c>
      <c r="G2" s="12">
        <f t="shared" ref="G2:G65" si="2">IF(F2="","",YEAR(F2))</f>
        <v>2018</v>
      </c>
      <c r="H2" s="12" t="str">
        <f t="shared" ref="H2:H65" si="3">PROPER(TEXT(F2,"mmmm"))</f>
        <v>Junho</v>
      </c>
      <c r="I2" s="11">
        <f>INDEX(tbCadastroConsultas[],MATCH(tbConsultas[[#This Row],[PROFISSIONAL]],tbCadastroConsultas[PROFISSIONAL],0),3)</f>
        <v>301010129</v>
      </c>
      <c r="J2" s="11">
        <f>INDEX(tbCadastroConsultas[],MATCH(tbConsultas[[#This Row],[PROFISSIONAL]],tbCadastroConsultas[PROFISSIONAL],0),4)</f>
        <v>223505</v>
      </c>
    </row>
    <row r="3" spans="1:10">
      <c r="A3" s="11">
        <f t="shared" si="0"/>
        <v>2</v>
      </c>
      <c r="B3" s="4" t="s">
        <v>2</v>
      </c>
      <c r="C3" s="5">
        <v>15101957</v>
      </c>
      <c r="D3" s="5">
        <v>21052018</v>
      </c>
      <c r="E3" s="4">
        <v>60</v>
      </c>
      <c r="F3" s="15">
        <f t="shared" si="1"/>
        <v>43271</v>
      </c>
      <c r="G3" s="12">
        <f t="shared" si="2"/>
        <v>2018</v>
      </c>
      <c r="H3" s="12" t="str">
        <f t="shared" si="3"/>
        <v>Junho</v>
      </c>
      <c r="I3" s="11">
        <f>INDEX(tbCadastroConsultas[],MATCH(tbConsultas[[#This Row],[PROFISSIONAL]],tbCadastroConsultas[PROFISSIONAL],0),3)</f>
        <v>301010030</v>
      </c>
      <c r="J3" s="11">
        <f>INDEX(tbCadastroConsultas[],MATCH(tbConsultas[[#This Row],[PROFISSIONAL]],tbCadastroConsultas[PROFISSIONAL],0),4)</f>
        <v>223505</v>
      </c>
    </row>
    <row r="4" spans="1:10">
      <c r="A4" s="11">
        <f t="shared" si="0"/>
        <v>3</v>
      </c>
      <c r="B4" s="4" t="s">
        <v>2</v>
      </c>
      <c r="C4" s="5">
        <v>17021968</v>
      </c>
      <c r="D4" s="5">
        <v>21052018</v>
      </c>
      <c r="E4" s="4">
        <v>50</v>
      </c>
      <c r="F4" s="15">
        <f t="shared" si="1"/>
        <v>43271</v>
      </c>
      <c r="G4" s="12">
        <f t="shared" si="2"/>
        <v>2018</v>
      </c>
      <c r="H4" s="12" t="str">
        <f t="shared" si="3"/>
        <v>Junho</v>
      </c>
      <c r="I4" s="11">
        <f>INDEX(tbCadastroConsultas[],MATCH(tbConsultas[[#This Row],[PROFISSIONAL]],tbCadastroConsultas[PROFISSIONAL],0),3)</f>
        <v>301010030</v>
      </c>
      <c r="J4" s="11">
        <f>INDEX(tbCadastroConsultas[],MATCH(tbConsultas[[#This Row],[PROFISSIONAL]],tbCadastroConsultas[PROFISSIONAL],0),4)</f>
        <v>223505</v>
      </c>
    </row>
    <row r="5" spans="1:10">
      <c r="A5" s="11">
        <f t="shared" si="0"/>
        <v>4</v>
      </c>
      <c r="B5" s="4" t="s">
        <v>2</v>
      </c>
      <c r="C5" s="5">
        <v>5041966</v>
      </c>
      <c r="D5" s="5">
        <v>21052018</v>
      </c>
      <c r="E5" s="4">
        <v>52</v>
      </c>
      <c r="F5" s="15">
        <f t="shared" si="1"/>
        <v>43271</v>
      </c>
      <c r="G5" s="12">
        <f t="shared" si="2"/>
        <v>2018</v>
      </c>
      <c r="H5" s="12" t="str">
        <f t="shared" si="3"/>
        <v>Junho</v>
      </c>
      <c r="I5" s="11">
        <f>INDEX(tbCadastroConsultas[],MATCH(tbConsultas[[#This Row],[PROFISSIONAL]],tbCadastroConsultas[PROFISSIONAL],0),3)</f>
        <v>301010030</v>
      </c>
      <c r="J5" s="11">
        <f>INDEX(tbCadastroConsultas[],MATCH(tbConsultas[[#This Row],[PROFISSIONAL]],tbCadastroConsultas[PROFISSIONAL],0),4)</f>
        <v>223505</v>
      </c>
    </row>
    <row r="6" spans="1:10">
      <c r="A6" s="11">
        <f t="shared" si="0"/>
        <v>5</v>
      </c>
      <c r="B6" s="4" t="s">
        <v>2</v>
      </c>
      <c r="C6" s="5">
        <v>26111969</v>
      </c>
      <c r="D6" s="5">
        <v>21052018</v>
      </c>
      <c r="E6" s="4">
        <v>48</v>
      </c>
      <c r="F6" s="15">
        <f t="shared" si="1"/>
        <v>43271</v>
      </c>
      <c r="G6" s="12">
        <f t="shared" si="2"/>
        <v>2018</v>
      </c>
      <c r="H6" s="12" t="str">
        <f t="shared" si="3"/>
        <v>Junho</v>
      </c>
      <c r="I6" s="11">
        <f>INDEX(tbCadastroConsultas[],MATCH(tbConsultas[[#This Row],[PROFISSIONAL]],tbCadastroConsultas[PROFISSIONAL],0),3)</f>
        <v>301010030</v>
      </c>
      <c r="J6" s="11">
        <f>INDEX(tbCadastroConsultas[],MATCH(tbConsultas[[#This Row],[PROFISSIONAL]],tbCadastroConsultas[PROFISSIONAL],0),4)</f>
        <v>223505</v>
      </c>
    </row>
    <row r="7" spans="1:10">
      <c r="A7" s="11">
        <f t="shared" si="0"/>
        <v>6</v>
      </c>
      <c r="B7" s="4" t="s">
        <v>10</v>
      </c>
      <c r="C7" s="5">
        <v>24091999</v>
      </c>
      <c r="D7" s="5">
        <v>21052018</v>
      </c>
      <c r="E7" s="4">
        <v>18</v>
      </c>
      <c r="F7" s="15">
        <f t="shared" si="1"/>
        <v>43271</v>
      </c>
      <c r="G7" s="12">
        <f t="shared" si="2"/>
        <v>2018</v>
      </c>
      <c r="H7" s="12" t="str">
        <f t="shared" si="3"/>
        <v>Junho</v>
      </c>
      <c r="I7" s="11">
        <f>INDEX(tbCadastroConsultas[],MATCH(tbConsultas[[#This Row],[PROFISSIONAL]],tbCadastroConsultas[PROFISSIONAL],0),3)</f>
        <v>301010064</v>
      </c>
      <c r="J7" s="11">
        <f>INDEX(tbCadastroConsultas[],MATCH(tbConsultas[[#This Row],[PROFISSIONAL]],tbCadastroConsultas[PROFISSIONAL],0),4)</f>
        <v>225142</v>
      </c>
    </row>
    <row r="8" spans="1:10">
      <c r="A8" s="11">
        <f t="shared" si="0"/>
        <v>7</v>
      </c>
      <c r="B8" s="4" t="s">
        <v>10</v>
      </c>
      <c r="C8" s="5">
        <v>22111978</v>
      </c>
      <c r="D8" s="5">
        <v>21052018</v>
      </c>
      <c r="E8" s="4">
        <v>39</v>
      </c>
      <c r="F8" s="15">
        <f t="shared" si="1"/>
        <v>43271</v>
      </c>
      <c r="G8" s="12">
        <f t="shared" si="2"/>
        <v>2018</v>
      </c>
      <c r="H8" s="12" t="str">
        <f t="shared" si="3"/>
        <v>Junho</v>
      </c>
      <c r="I8" s="11">
        <f>INDEX(tbCadastroConsultas[],MATCH(tbConsultas[[#This Row],[PROFISSIONAL]],tbCadastroConsultas[PROFISSIONAL],0),3)</f>
        <v>301010064</v>
      </c>
      <c r="J8" s="11">
        <f>INDEX(tbCadastroConsultas[],MATCH(tbConsultas[[#This Row],[PROFISSIONAL]],tbCadastroConsultas[PROFISSIONAL],0),4)</f>
        <v>225142</v>
      </c>
    </row>
    <row r="9" spans="1:10">
      <c r="A9" s="11">
        <f t="shared" si="0"/>
        <v>8</v>
      </c>
      <c r="B9" s="4" t="s">
        <v>10</v>
      </c>
      <c r="C9" s="5">
        <v>24021987</v>
      </c>
      <c r="D9" s="5">
        <v>21052018</v>
      </c>
      <c r="E9" s="4">
        <v>31</v>
      </c>
      <c r="F9" s="15">
        <f t="shared" si="1"/>
        <v>43271</v>
      </c>
      <c r="G9" s="12">
        <f t="shared" si="2"/>
        <v>2018</v>
      </c>
      <c r="H9" s="12" t="str">
        <f t="shared" si="3"/>
        <v>Junho</v>
      </c>
      <c r="I9" s="11">
        <f>INDEX(tbCadastroConsultas[],MATCH(tbConsultas[[#This Row],[PROFISSIONAL]],tbCadastroConsultas[PROFISSIONAL],0),3)</f>
        <v>301010064</v>
      </c>
      <c r="J9" s="11">
        <f>INDEX(tbCadastroConsultas[],MATCH(tbConsultas[[#This Row],[PROFISSIONAL]],tbCadastroConsultas[PROFISSIONAL],0),4)</f>
        <v>225142</v>
      </c>
    </row>
    <row r="10" spans="1:10">
      <c r="A10" s="11">
        <f t="shared" si="0"/>
        <v>9</v>
      </c>
      <c r="B10" s="4" t="s">
        <v>10</v>
      </c>
      <c r="C10" s="5">
        <v>15081952</v>
      </c>
      <c r="D10" s="5">
        <v>21052018</v>
      </c>
      <c r="E10" s="4">
        <v>65</v>
      </c>
      <c r="F10" s="15">
        <f t="shared" si="1"/>
        <v>43271</v>
      </c>
      <c r="G10" s="12">
        <f t="shared" si="2"/>
        <v>2018</v>
      </c>
      <c r="H10" s="12" t="str">
        <f t="shared" si="3"/>
        <v>Junho</v>
      </c>
      <c r="I10" s="11">
        <f>INDEX(tbCadastroConsultas[],MATCH(tbConsultas[[#This Row],[PROFISSIONAL]],tbCadastroConsultas[PROFISSIONAL],0),3)</f>
        <v>301010064</v>
      </c>
      <c r="J10" s="11">
        <f>INDEX(tbCadastroConsultas[],MATCH(tbConsultas[[#This Row],[PROFISSIONAL]],tbCadastroConsultas[PROFISSIONAL],0),4)</f>
        <v>225142</v>
      </c>
    </row>
    <row r="11" spans="1:10">
      <c r="A11" s="11">
        <f t="shared" si="0"/>
        <v>10</v>
      </c>
      <c r="B11" s="4" t="s">
        <v>10</v>
      </c>
      <c r="C11" s="5">
        <v>14051972</v>
      </c>
      <c r="D11" s="5">
        <v>21052018</v>
      </c>
      <c r="E11" s="4">
        <v>46</v>
      </c>
      <c r="F11" s="15">
        <f t="shared" si="1"/>
        <v>43271</v>
      </c>
      <c r="G11" s="12">
        <f t="shared" si="2"/>
        <v>2018</v>
      </c>
      <c r="H11" s="12" t="str">
        <f t="shared" si="3"/>
        <v>Junho</v>
      </c>
      <c r="I11" s="11">
        <f>INDEX(tbCadastroConsultas[],MATCH(tbConsultas[[#This Row],[PROFISSIONAL]],tbCadastroConsultas[PROFISSIONAL],0),3)</f>
        <v>301010064</v>
      </c>
      <c r="J11" s="11">
        <f>INDEX(tbCadastroConsultas[],MATCH(tbConsultas[[#This Row],[PROFISSIONAL]],tbCadastroConsultas[PROFISSIONAL],0),4)</f>
        <v>225142</v>
      </c>
    </row>
    <row r="12" spans="1:10">
      <c r="A12" s="11">
        <f t="shared" si="0"/>
        <v>11</v>
      </c>
      <c r="B12" s="4" t="s">
        <v>10</v>
      </c>
      <c r="C12" s="5">
        <v>19041960</v>
      </c>
      <c r="D12" s="5">
        <v>21052018</v>
      </c>
      <c r="E12" s="4">
        <v>58</v>
      </c>
      <c r="F12" s="15">
        <f t="shared" si="1"/>
        <v>43271</v>
      </c>
      <c r="G12" s="12">
        <f t="shared" si="2"/>
        <v>2018</v>
      </c>
      <c r="H12" s="12" t="str">
        <f t="shared" si="3"/>
        <v>Junho</v>
      </c>
      <c r="I12" s="11">
        <f>INDEX(tbCadastroConsultas[],MATCH(tbConsultas[[#This Row],[PROFISSIONAL]],tbCadastroConsultas[PROFISSIONAL],0),3)</f>
        <v>301010064</v>
      </c>
      <c r="J12" s="11">
        <f>INDEX(tbCadastroConsultas[],MATCH(tbConsultas[[#This Row],[PROFISSIONAL]],tbCadastroConsultas[PROFISSIONAL],0),4)</f>
        <v>225142</v>
      </c>
    </row>
    <row r="13" spans="1:10">
      <c r="A13" s="11">
        <f t="shared" si="0"/>
        <v>12</v>
      </c>
      <c r="B13" s="4" t="s">
        <v>10</v>
      </c>
      <c r="C13" s="5">
        <v>6031978</v>
      </c>
      <c r="D13" s="5">
        <v>21052018</v>
      </c>
      <c r="E13" s="4">
        <v>40</v>
      </c>
      <c r="F13" s="15">
        <f t="shared" si="1"/>
        <v>43271</v>
      </c>
      <c r="G13" s="12">
        <f t="shared" si="2"/>
        <v>2018</v>
      </c>
      <c r="H13" s="12" t="str">
        <f t="shared" si="3"/>
        <v>Junho</v>
      </c>
      <c r="I13" s="11">
        <f>INDEX(tbCadastroConsultas[],MATCH(tbConsultas[[#This Row],[PROFISSIONAL]],tbCadastroConsultas[PROFISSIONAL],0),3)</f>
        <v>301010064</v>
      </c>
      <c r="J13" s="11">
        <f>INDEX(tbCadastroConsultas[],MATCH(tbConsultas[[#This Row],[PROFISSIONAL]],tbCadastroConsultas[PROFISSIONAL],0),4)</f>
        <v>225142</v>
      </c>
    </row>
    <row r="14" spans="1:10">
      <c r="A14" s="11">
        <f t="shared" si="0"/>
        <v>13</v>
      </c>
      <c r="B14" s="4" t="s">
        <v>10</v>
      </c>
      <c r="C14" s="5">
        <v>18021989</v>
      </c>
      <c r="D14" s="5">
        <v>21052018</v>
      </c>
      <c r="E14" s="4">
        <v>29</v>
      </c>
      <c r="F14" s="15">
        <f t="shared" si="1"/>
        <v>43271</v>
      </c>
      <c r="G14" s="12">
        <f t="shared" si="2"/>
        <v>2018</v>
      </c>
      <c r="H14" s="12" t="str">
        <f t="shared" si="3"/>
        <v>Junho</v>
      </c>
      <c r="I14" s="11">
        <f>INDEX(tbCadastroConsultas[],MATCH(tbConsultas[[#This Row],[PROFISSIONAL]],tbCadastroConsultas[PROFISSIONAL],0),3)</f>
        <v>301010064</v>
      </c>
      <c r="J14" s="11">
        <f>INDEX(tbCadastroConsultas[],MATCH(tbConsultas[[#This Row],[PROFISSIONAL]],tbCadastroConsultas[PROFISSIONAL],0),4)</f>
        <v>225142</v>
      </c>
    </row>
    <row r="15" spans="1:10">
      <c r="A15" s="11">
        <f t="shared" si="0"/>
        <v>14</v>
      </c>
      <c r="B15" s="4" t="s">
        <v>10</v>
      </c>
      <c r="C15" s="5">
        <v>3081976</v>
      </c>
      <c r="D15" s="5">
        <v>21052018</v>
      </c>
      <c r="E15" s="4">
        <v>41</v>
      </c>
      <c r="F15" s="15">
        <f t="shared" si="1"/>
        <v>43271</v>
      </c>
      <c r="G15" s="12">
        <f t="shared" si="2"/>
        <v>2018</v>
      </c>
      <c r="H15" s="12" t="str">
        <f t="shared" si="3"/>
        <v>Junho</v>
      </c>
      <c r="I15" s="11">
        <f>INDEX(tbCadastroConsultas[],MATCH(tbConsultas[[#This Row],[PROFISSIONAL]],tbCadastroConsultas[PROFISSIONAL],0),3)</f>
        <v>301010064</v>
      </c>
      <c r="J15" s="11">
        <f>INDEX(tbCadastroConsultas[],MATCH(tbConsultas[[#This Row],[PROFISSIONAL]],tbCadastroConsultas[PROFISSIONAL],0),4)</f>
        <v>225142</v>
      </c>
    </row>
    <row r="16" spans="1:10">
      <c r="A16" s="11">
        <f t="shared" si="0"/>
        <v>15</v>
      </c>
      <c r="B16" s="4" t="s">
        <v>10</v>
      </c>
      <c r="C16" s="5">
        <v>19091991</v>
      </c>
      <c r="D16" s="5">
        <v>21052018</v>
      </c>
      <c r="E16" s="4">
        <v>26</v>
      </c>
      <c r="F16" s="15">
        <f t="shared" si="1"/>
        <v>43271</v>
      </c>
      <c r="G16" s="12">
        <f t="shared" si="2"/>
        <v>2018</v>
      </c>
      <c r="H16" s="12" t="str">
        <f t="shared" si="3"/>
        <v>Junho</v>
      </c>
      <c r="I16" s="11">
        <f>INDEX(tbCadastroConsultas[],MATCH(tbConsultas[[#This Row],[PROFISSIONAL]],tbCadastroConsultas[PROFISSIONAL],0),3)</f>
        <v>301010064</v>
      </c>
      <c r="J16" s="11">
        <f>INDEX(tbCadastroConsultas[],MATCH(tbConsultas[[#This Row],[PROFISSIONAL]],tbCadastroConsultas[PROFISSIONAL],0),4)</f>
        <v>225142</v>
      </c>
    </row>
    <row r="17" spans="1:10">
      <c r="A17" s="11">
        <f t="shared" si="0"/>
        <v>16</v>
      </c>
      <c r="B17" s="4" t="s">
        <v>6</v>
      </c>
      <c r="C17" s="5">
        <v>30111993</v>
      </c>
      <c r="D17" s="5">
        <v>21052018</v>
      </c>
      <c r="E17" s="4">
        <v>24</v>
      </c>
      <c r="F17" s="15">
        <f t="shared" si="1"/>
        <v>43271</v>
      </c>
      <c r="G17" s="12">
        <f t="shared" si="2"/>
        <v>2018</v>
      </c>
      <c r="H17" s="12" t="str">
        <f t="shared" si="3"/>
        <v>Junho</v>
      </c>
      <c r="I17" s="11">
        <f>INDEX(tbCadastroConsultas[],MATCH(tbConsultas[[#This Row],[PROFISSIONAL]],tbCadastroConsultas[PROFISSIONAL],0),3)</f>
        <v>301010064</v>
      </c>
      <c r="J17" s="11">
        <f>INDEX(tbCadastroConsultas[],MATCH(tbConsultas[[#This Row],[PROFISSIONAL]],tbCadastroConsultas[PROFISSIONAL],0),4)</f>
        <v>225125</v>
      </c>
    </row>
    <row r="18" spans="1:10">
      <c r="A18" s="11">
        <f t="shared" si="0"/>
        <v>17</v>
      </c>
      <c r="B18" s="4" t="s">
        <v>6</v>
      </c>
      <c r="C18" s="5">
        <v>6071968</v>
      </c>
      <c r="D18" s="5">
        <v>21052018</v>
      </c>
      <c r="E18" s="4">
        <v>49</v>
      </c>
      <c r="F18" s="15">
        <f t="shared" si="1"/>
        <v>43271</v>
      </c>
      <c r="G18" s="12">
        <f t="shared" si="2"/>
        <v>2018</v>
      </c>
      <c r="H18" s="12" t="str">
        <f t="shared" si="3"/>
        <v>Junho</v>
      </c>
      <c r="I18" s="11">
        <f>INDEX(tbCadastroConsultas[],MATCH(tbConsultas[[#This Row],[PROFISSIONAL]],tbCadastroConsultas[PROFISSIONAL],0),3)</f>
        <v>301010064</v>
      </c>
      <c r="J18" s="11">
        <f>INDEX(tbCadastroConsultas[],MATCH(tbConsultas[[#This Row],[PROFISSIONAL]],tbCadastroConsultas[PROFISSIONAL],0),4)</f>
        <v>225125</v>
      </c>
    </row>
    <row r="19" spans="1:10">
      <c r="A19" s="11">
        <f t="shared" si="0"/>
        <v>18</v>
      </c>
      <c r="B19" s="4" t="s">
        <v>6</v>
      </c>
      <c r="C19" s="5">
        <v>13021970</v>
      </c>
      <c r="D19" s="5">
        <v>21052018</v>
      </c>
      <c r="E19" s="4">
        <v>48</v>
      </c>
      <c r="F19" s="15">
        <f t="shared" si="1"/>
        <v>43271</v>
      </c>
      <c r="G19" s="12">
        <f t="shared" si="2"/>
        <v>2018</v>
      </c>
      <c r="H19" s="12" t="str">
        <f t="shared" si="3"/>
        <v>Junho</v>
      </c>
      <c r="I19" s="11">
        <f>INDEX(tbCadastroConsultas[],MATCH(tbConsultas[[#This Row],[PROFISSIONAL]],tbCadastroConsultas[PROFISSIONAL],0),3)</f>
        <v>301010064</v>
      </c>
      <c r="J19" s="11">
        <f>INDEX(tbCadastroConsultas[],MATCH(tbConsultas[[#This Row],[PROFISSIONAL]],tbCadastroConsultas[PROFISSIONAL],0),4)</f>
        <v>225125</v>
      </c>
    </row>
    <row r="20" spans="1:10">
      <c r="A20" s="11">
        <f t="shared" si="0"/>
        <v>19</v>
      </c>
      <c r="B20" s="4" t="s">
        <v>6</v>
      </c>
      <c r="C20" s="5">
        <v>12071961</v>
      </c>
      <c r="D20" s="5">
        <v>21052018</v>
      </c>
      <c r="E20" s="4">
        <v>56</v>
      </c>
      <c r="F20" s="15">
        <f t="shared" si="1"/>
        <v>43271</v>
      </c>
      <c r="G20" s="12">
        <f t="shared" si="2"/>
        <v>2018</v>
      </c>
      <c r="H20" s="12" t="str">
        <f t="shared" si="3"/>
        <v>Junho</v>
      </c>
      <c r="I20" s="11">
        <f>INDEX(tbCadastroConsultas[],MATCH(tbConsultas[[#This Row],[PROFISSIONAL]],tbCadastroConsultas[PROFISSIONAL],0),3)</f>
        <v>301010064</v>
      </c>
      <c r="J20" s="11">
        <f>INDEX(tbCadastroConsultas[],MATCH(tbConsultas[[#This Row],[PROFISSIONAL]],tbCadastroConsultas[PROFISSIONAL],0),4)</f>
        <v>225125</v>
      </c>
    </row>
    <row r="21" spans="1:10">
      <c r="A21" s="11">
        <f t="shared" si="0"/>
        <v>20</v>
      </c>
      <c r="B21" s="4" t="s">
        <v>6</v>
      </c>
      <c r="C21" s="5">
        <v>27032007</v>
      </c>
      <c r="D21" s="5">
        <v>21052018</v>
      </c>
      <c r="E21" s="4">
        <v>11</v>
      </c>
      <c r="F21" s="15">
        <f t="shared" si="1"/>
        <v>43271</v>
      </c>
      <c r="G21" s="12">
        <f t="shared" si="2"/>
        <v>2018</v>
      </c>
      <c r="H21" s="12" t="str">
        <f t="shared" si="3"/>
        <v>Junho</v>
      </c>
      <c r="I21" s="11">
        <f>INDEX(tbCadastroConsultas[],MATCH(tbConsultas[[#This Row],[PROFISSIONAL]],tbCadastroConsultas[PROFISSIONAL],0),3)</f>
        <v>301010064</v>
      </c>
      <c r="J21" s="11">
        <f>INDEX(tbCadastroConsultas[],MATCH(tbConsultas[[#This Row],[PROFISSIONAL]],tbCadastroConsultas[PROFISSIONAL],0),4)</f>
        <v>225125</v>
      </c>
    </row>
    <row r="22" spans="1:10">
      <c r="A22" s="11">
        <f t="shared" si="0"/>
        <v>21</v>
      </c>
      <c r="B22" s="4" t="s">
        <v>6</v>
      </c>
      <c r="C22" s="5">
        <v>21121960</v>
      </c>
      <c r="D22" s="5">
        <v>21052018</v>
      </c>
      <c r="E22" s="4">
        <v>57</v>
      </c>
      <c r="F22" s="15">
        <f t="shared" si="1"/>
        <v>43271</v>
      </c>
      <c r="G22" s="12">
        <f t="shared" si="2"/>
        <v>2018</v>
      </c>
      <c r="H22" s="12" t="str">
        <f t="shared" si="3"/>
        <v>Junho</v>
      </c>
      <c r="I22" s="11">
        <f>INDEX(tbCadastroConsultas[],MATCH(tbConsultas[[#This Row],[PROFISSIONAL]],tbCadastroConsultas[PROFISSIONAL],0),3)</f>
        <v>301010064</v>
      </c>
      <c r="J22" s="11">
        <f>INDEX(tbCadastroConsultas[],MATCH(tbConsultas[[#This Row],[PROFISSIONAL]],tbCadastroConsultas[PROFISSIONAL],0),4)</f>
        <v>225125</v>
      </c>
    </row>
    <row r="23" spans="1:10">
      <c r="A23" s="11">
        <f t="shared" si="0"/>
        <v>22</v>
      </c>
      <c r="B23" s="4" t="s">
        <v>6</v>
      </c>
      <c r="C23" s="5">
        <v>10031945</v>
      </c>
      <c r="D23" s="5">
        <v>21052018</v>
      </c>
      <c r="E23" s="4">
        <v>73</v>
      </c>
      <c r="F23" s="15">
        <f t="shared" si="1"/>
        <v>43271</v>
      </c>
      <c r="G23" s="12">
        <f t="shared" si="2"/>
        <v>2018</v>
      </c>
      <c r="H23" s="12" t="str">
        <f t="shared" si="3"/>
        <v>Junho</v>
      </c>
      <c r="I23" s="11">
        <f>INDEX(tbCadastroConsultas[],MATCH(tbConsultas[[#This Row],[PROFISSIONAL]],tbCadastroConsultas[PROFISSIONAL],0),3)</f>
        <v>301010064</v>
      </c>
      <c r="J23" s="11">
        <f>INDEX(tbCadastroConsultas[],MATCH(tbConsultas[[#This Row],[PROFISSIONAL]],tbCadastroConsultas[PROFISSIONAL],0),4)</f>
        <v>225125</v>
      </c>
    </row>
    <row r="24" spans="1:10">
      <c r="A24" s="11">
        <f t="shared" si="0"/>
        <v>23</v>
      </c>
      <c r="B24" s="4" t="s">
        <v>6</v>
      </c>
      <c r="C24" s="5">
        <v>1081990</v>
      </c>
      <c r="D24" s="5">
        <v>21052018</v>
      </c>
      <c r="E24" s="4">
        <v>27</v>
      </c>
      <c r="F24" s="15">
        <f t="shared" si="1"/>
        <v>43271</v>
      </c>
      <c r="G24" s="12">
        <f t="shared" si="2"/>
        <v>2018</v>
      </c>
      <c r="H24" s="12" t="str">
        <f t="shared" si="3"/>
        <v>Junho</v>
      </c>
      <c r="I24" s="11">
        <f>INDEX(tbCadastroConsultas[],MATCH(tbConsultas[[#This Row],[PROFISSIONAL]],tbCadastroConsultas[PROFISSIONAL],0),3)</f>
        <v>301010064</v>
      </c>
      <c r="J24" s="11">
        <f>INDEX(tbCadastroConsultas[],MATCH(tbConsultas[[#This Row],[PROFISSIONAL]],tbCadastroConsultas[PROFISSIONAL],0),4)</f>
        <v>225125</v>
      </c>
    </row>
    <row r="25" spans="1:10">
      <c r="A25" s="11">
        <f t="shared" si="0"/>
        <v>24</v>
      </c>
      <c r="B25" s="4" t="s">
        <v>6</v>
      </c>
      <c r="C25" s="5">
        <v>23101945</v>
      </c>
      <c r="D25" s="5">
        <v>21052018</v>
      </c>
      <c r="E25" s="4">
        <v>72</v>
      </c>
      <c r="F25" s="15">
        <f t="shared" si="1"/>
        <v>43271</v>
      </c>
      <c r="G25" s="12">
        <f t="shared" si="2"/>
        <v>2018</v>
      </c>
      <c r="H25" s="12" t="str">
        <f t="shared" si="3"/>
        <v>Junho</v>
      </c>
      <c r="I25" s="11">
        <f>INDEX(tbCadastroConsultas[],MATCH(tbConsultas[[#This Row],[PROFISSIONAL]],tbCadastroConsultas[PROFISSIONAL],0),3)</f>
        <v>301010064</v>
      </c>
      <c r="J25" s="11">
        <f>INDEX(tbCadastroConsultas[],MATCH(tbConsultas[[#This Row],[PROFISSIONAL]],tbCadastroConsultas[PROFISSIONAL],0),4)</f>
        <v>225125</v>
      </c>
    </row>
    <row r="26" spans="1:10">
      <c r="A26" s="11">
        <f t="shared" si="0"/>
        <v>25</v>
      </c>
      <c r="B26" s="4" t="s">
        <v>6</v>
      </c>
      <c r="C26" s="5">
        <v>20031986</v>
      </c>
      <c r="D26" s="5">
        <v>21052018</v>
      </c>
      <c r="E26" s="4">
        <v>32</v>
      </c>
      <c r="F26" s="15">
        <f t="shared" si="1"/>
        <v>43271</v>
      </c>
      <c r="G26" s="12">
        <f t="shared" si="2"/>
        <v>2018</v>
      </c>
      <c r="H26" s="12" t="str">
        <f t="shared" si="3"/>
        <v>Junho</v>
      </c>
      <c r="I26" s="11">
        <f>INDEX(tbCadastroConsultas[],MATCH(tbConsultas[[#This Row],[PROFISSIONAL]],tbCadastroConsultas[PROFISSIONAL],0),3)</f>
        <v>301010064</v>
      </c>
      <c r="J26" s="11">
        <f>INDEX(tbCadastroConsultas[],MATCH(tbConsultas[[#This Row],[PROFISSIONAL]],tbCadastroConsultas[PROFISSIONAL],0),4)</f>
        <v>225125</v>
      </c>
    </row>
    <row r="27" spans="1:10">
      <c r="A27" s="11">
        <f t="shared" si="0"/>
        <v>26</v>
      </c>
      <c r="B27" s="4" t="s">
        <v>6</v>
      </c>
      <c r="C27" s="5">
        <v>17032006</v>
      </c>
      <c r="D27" s="5">
        <v>21052018</v>
      </c>
      <c r="E27" s="4">
        <v>12</v>
      </c>
      <c r="F27" s="15">
        <f t="shared" si="1"/>
        <v>43271</v>
      </c>
      <c r="G27" s="12">
        <f t="shared" si="2"/>
        <v>2018</v>
      </c>
      <c r="H27" s="12" t="str">
        <f t="shared" si="3"/>
        <v>Junho</v>
      </c>
      <c r="I27" s="11">
        <f>INDEX(tbCadastroConsultas[],MATCH(tbConsultas[[#This Row],[PROFISSIONAL]],tbCadastroConsultas[PROFISSIONAL],0),3)</f>
        <v>301010064</v>
      </c>
      <c r="J27" s="11">
        <f>INDEX(tbCadastroConsultas[],MATCH(tbConsultas[[#This Row],[PROFISSIONAL]],tbCadastroConsultas[PROFISSIONAL],0),4)</f>
        <v>225125</v>
      </c>
    </row>
    <row r="28" spans="1:10">
      <c r="A28" s="11">
        <f t="shared" si="0"/>
        <v>27</v>
      </c>
      <c r="B28" s="4" t="s">
        <v>6</v>
      </c>
      <c r="C28" s="5">
        <v>28021950</v>
      </c>
      <c r="D28" s="5">
        <v>21052018</v>
      </c>
      <c r="E28" s="4">
        <v>68</v>
      </c>
      <c r="F28" s="15">
        <f t="shared" si="1"/>
        <v>43271</v>
      </c>
      <c r="G28" s="12">
        <f t="shared" si="2"/>
        <v>2018</v>
      </c>
      <c r="H28" s="12" t="str">
        <f t="shared" si="3"/>
        <v>Junho</v>
      </c>
      <c r="I28" s="11">
        <f>INDEX(tbCadastroConsultas[],MATCH(tbConsultas[[#This Row],[PROFISSIONAL]],tbCadastroConsultas[PROFISSIONAL],0),3)</f>
        <v>301010064</v>
      </c>
      <c r="J28" s="11">
        <f>INDEX(tbCadastroConsultas[],MATCH(tbConsultas[[#This Row],[PROFISSIONAL]],tbCadastroConsultas[PROFISSIONAL],0),4)</f>
        <v>225125</v>
      </c>
    </row>
    <row r="29" spans="1:10">
      <c r="A29" s="11">
        <f t="shared" si="0"/>
        <v>28</v>
      </c>
      <c r="B29" s="4" t="s">
        <v>6</v>
      </c>
      <c r="C29" s="5">
        <v>3061972</v>
      </c>
      <c r="D29" s="5">
        <v>21052018</v>
      </c>
      <c r="E29" s="4">
        <v>45</v>
      </c>
      <c r="F29" s="15">
        <f t="shared" si="1"/>
        <v>43271</v>
      </c>
      <c r="G29" s="12">
        <f t="shared" si="2"/>
        <v>2018</v>
      </c>
      <c r="H29" s="12" t="str">
        <f t="shared" si="3"/>
        <v>Junho</v>
      </c>
      <c r="I29" s="11">
        <f>INDEX(tbCadastroConsultas[],MATCH(tbConsultas[[#This Row],[PROFISSIONAL]],tbCadastroConsultas[PROFISSIONAL],0),3)</f>
        <v>301010064</v>
      </c>
      <c r="J29" s="11">
        <f>INDEX(tbCadastroConsultas[],MATCH(tbConsultas[[#This Row],[PROFISSIONAL]],tbCadastroConsultas[PROFISSIONAL],0),4)</f>
        <v>225125</v>
      </c>
    </row>
    <row r="30" spans="1:10">
      <c r="A30" s="11">
        <f t="shared" si="0"/>
        <v>29</v>
      </c>
      <c r="B30" s="4" t="s">
        <v>6</v>
      </c>
      <c r="C30" s="5">
        <v>31071954</v>
      </c>
      <c r="D30" s="5">
        <v>21052018</v>
      </c>
      <c r="E30" s="4">
        <v>63</v>
      </c>
      <c r="F30" s="15">
        <f t="shared" si="1"/>
        <v>43271</v>
      </c>
      <c r="G30" s="12">
        <f t="shared" si="2"/>
        <v>2018</v>
      </c>
      <c r="H30" s="12" t="str">
        <f t="shared" si="3"/>
        <v>Junho</v>
      </c>
      <c r="I30" s="11">
        <f>INDEX(tbCadastroConsultas[],MATCH(tbConsultas[[#This Row],[PROFISSIONAL]],tbCadastroConsultas[PROFISSIONAL],0),3)</f>
        <v>301010064</v>
      </c>
      <c r="J30" s="11">
        <f>INDEX(tbCadastroConsultas[],MATCH(tbConsultas[[#This Row],[PROFISSIONAL]],tbCadastroConsultas[PROFISSIONAL],0),4)</f>
        <v>225125</v>
      </c>
    </row>
    <row r="31" spans="1:10">
      <c r="A31" s="11">
        <f t="shared" si="0"/>
        <v>30</v>
      </c>
      <c r="B31" s="4" t="s">
        <v>6</v>
      </c>
      <c r="C31" s="5">
        <v>20101962</v>
      </c>
      <c r="D31" s="5">
        <v>21052018</v>
      </c>
      <c r="E31" s="4">
        <v>55</v>
      </c>
      <c r="F31" s="15">
        <f t="shared" si="1"/>
        <v>43271</v>
      </c>
      <c r="G31" s="12">
        <f t="shared" si="2"/>
        <v>2018</v>
      </c>
      <c r="H31" s="12" t="str">
        <f t="shared" si="3"/>
        <v>Junho</v>
      </c>
      <c r="I31" s="11">
        <f>INDEX(tbCadastroConsultas[],MATCH(tbConsultas[[#This Row],[PROFISSIONAL]],tbCadastroConsultas[PROFISSIONAL],0),3)</f>
        <v>301010064</v>
      </c>
      <c r="J31" s="11">
        <f>INDEX(tbCadastroConsultas[],MATCH(tbConsultas[[#This Row],[PROFISSIONAL]],tbCadastroConsultas[PROFISSIONAL],0),4)</f>
        <v>225125</v>
      </c>
    </row>
    <row r="32" spans="1:10">
      <c r="A32" s="11">
        <f t="shared" si="0"/>
        <v>31</v>
      </c>
      <c r="B32" s="4" t="s">
        <v>6</v>
      </c>
      <c r="C32" s="5">
        <v>24071979</v>
      </c>
      <c r="D32" s="5">
        <v>21052018</v>
      </c>
      <c r="E32" s="4">
        <v>38</v>
      </c>
      <c r="F32" s="15">
        <f t="shared" si="1"/>
        <v>43271</v>
      </c>
      <c r="G32" s="12">
        <f t="shared" si="2"/>
        <v>2018</v>
      </c>
      <c r="H32" s="12" t="str">
        <f t="shared" si="3"/>
        <v>Junho</v>
      </c>
      <c r="I32" s="11">
        <f>INDEX(tbCadastroConsultas[],MATCH(tbConsultas[[#This Row],[PROFISSIONAL]],tbCadastroConsultas[PROFISSIONAL],0),3)</f>
        <v>301010064</v>
      </c>
      <c r="J32" s="11">
        <f>INDEX(tbCadastroConsultas[],MATCH(tbConsultas[[#This Row],[PROFISSIONAL]],tbCadastroConsultas[PROFISSIONAL],0),4)</f>
        <v>225125</v>
      </c>
    </row>
    <row r="33" spans="1:10">
      <c r="A33" s="11">
        <f t="shared" si="0"/>
        <v>32</v>
      </c>
      <c r="B33" s="4" t="s">
        <v>6</v>
      </c>
      <c r="C33" s="5">
        <v>20062003</v>
      </c>
      <c r="D33" s="5">
        <v>21052018</v>
      </c>
      <c r="E33" s="4">
        <v>14</v>
      </c>
      <c r="F33" s="15">
        <f t="shared" si="1"/>
        <v>43271</v>
      </c>
      <c r="G33" s="12">
        <f t="shared" si="2"/>
        <v>2018</v>
      </c>
      <c r="H33" s="12" t="str">
        <f t="shared" si="3"/>
        <v>Junho</v>
      </c>
      <c r="I33" s="11">
        <f>INDEX(tbCadastroConsultas[],MATCH(tbConsultas[[#This Row],[PROFISSIONAL]],tbCadastroConsultas[PROFISSIONAL],0),3)</f>
        <v>301010064</v>
      </c>
      <c r="J33" s="11">
        <f>INDEX(tbCadastroConsultas[],MATCH(tbConsultas[[#This Row],[PROFISSIONAL]],tbCadastroConsultas[PROFISSIONAL],0),4)</f>
        <v>225125</v>
      </c>
    </row>
    <row r="34" spans="1:10">
      <c r="A34" s="11">
        <f t="shared" ref="A34:A65" si="4">ROW() -1</f>
        <v>33</v>
      </c>
      <c r="B34" s="4" t="s">
        <v>6</v>
      </c>
      <c r="C34" s="5">
        <v>5111948</v>
      </c>
      <c r="D34" s="5">
        <v>21052018</v>
      </c>
      <c r="E34" s="4">
        <v>69</v>
      </c>
      <c r="F34" s="15">
        <f t="shared" si="1"/>
        <v>43271</v>
      </c>
      <c r="G34" s="12">
        <f t="shared" si="2"/>
        <v>2018</v>
      </c>
      <c r="H34" s="12" t="str">
        <f t="shared" si="3"/>
        <v>Junho</v>
      </c>
      <c r="I34" s="11">
        <f>INDEX(tbCadastroConsultas[],MATCH(tbConsultas[[#This Row],[PROFISSIONAL]],tbCadastroConsultas[PROFISSIONAL],0),3)</f>
        <v>301010064</v>
      </c>
      <c r="J34" s="11">
        <f>INDEX(tbCadastroConsultas[],MATCH(tbConsultas[[#This Row],[PROFISSIONAL]],tbCadastroConsultas[PROFISSIONAL],0),4)</f>
        <v>225125</v>
      </c>
    </row>
    <row r="35" spans="1:10">
      <c r="A35" s="11">
        <f t="shared" si="4"/>
        <v>34</v>
      </c>
      <c r="B35" s="4" t="s">
        <v>6</v>
      </c>
      <c r="C35" s="5">
        <v>27041984</v>
      </c>
      <c r="D35" s="5">
        <v>21052018</v>
      </c>
      <c r="E35" s="4">
        <v>34</v>
      </c>
      <c r="F35" s="15">
        <f t="shared" si="1"/>
        <v>43271</v>
      </c>
      <c r="G35" s="12">
        <f t="shared" si="2"/>
        <v>2018</v>
      </c>
      <c r="H35" s="12" t="str">
        <f t="shared" si="3"/>
        <v>Junho</v>
      </c>
      <c r="I35" s="11">
        <f>INDEX(tbCadastroConsultas[],MATCH(tbConsultas[[#This Row],[PROFISSIONAL]],tbCadastroConsultas[PROFISSIONAL],0),3)</f>
        <v>301010064</v>
      </c>
      <c r="J35" s="11">
        <f>INDEX(tbCadastroConsultas[],MATCH(tbConsultas[[#This Row],[PROFISSIONAL]],tbCadastroConsultas[PROFISSIONAL],0),4)</f>
        <v>225125</v>
      </c>
    </row>
    <row r="36" spans="1:10">
      <c r="A36" s="11">
        <f t="shared" si="4"/>
        <v>35</v>
      </c>
      <c r="B36" s="4" t="s">
        <v>6</v>
      </c>
      <c r="C36" s="5">
        <v>20121950</v>
      </c>
      <c r="D36" s="5">
        <v>21052018</v>
      </c>
      <c r="E36" s="4">
        <v>67</v>
      </c>
      <c r="F36" s="15">
        <f t="shared" si="1"/>
        <v>43271</v>
      </c>
      <c r="G36" s="12">
        <f t="shared" si="2"/>
        <v>2018</v>
      </c>
      <c r="H36" s="12" t="str">
        <f t="shared" si="3"/>
        <v>Junho</v>
      </c>
      <c r="I36" s="11">
        <f>INDEX(tbCadastroConsultas[],MATCH(tbConsultas[[#This Row],[PROFISSIONAL]],tbCadastroConsultas[PROFISSIONAL],0),3)</f>
        <v>301010064</v>
      </c>
      <c r="J36" s="11">
        <f>INDEX(tbCadastroConsultas[],MATCH(tbConsultas[[#This Row],[PROFISSIONAL]],tbCadastroConsultas[PROFISSIONAL],0),4)</f>
        <v>225125</v>
      </c>
    </row>
    <row r="37" spans="1:10">
      <c r="A37" s="11">
        <f t="shared" si="4"/>
        <v>36</v>
      </c>
      <c r="B37" s="4" t="s">
        <v>6</v>
      </c>
      <c r="C37" s="5">
        <v>2081978</v>
      </c>
      <c r="D37" s="5">
        <v>21052018</v>
      </c>
      <c r="E37" s="4">
        <v>39</v>
      </c>
      <c r="F37" s="15">
        <f t="shared" si="1"/>
        <v>43271</v>
      </c>
      <c r="G37" s="12">
        <f t="shared" si="2"/>
        <v>2018</v>
      </c>
      <c r="H37" s="12" t="str">
        <f t="shared" si="3"/>
        <v>Junho</v>
      </c>
      <c r="I37" s="11">
        <f>INDEX(tbCadastroConsultas[],MATCH(tbConsultas[[#This Row],[PROFISSIONAL]],tbCadastroConsultas[PROFISSIONAL],0),3)</f>
        <v>301010064</v>
      </c>
      <c r="J37" s="11">
        <f>INDEX(tbCadastroConsultas[],MATCH(tbConsultas[[#This Row],[PROFISSIONAL]],tbCadastroConsultas[PROFISSIONAL],0),4)</f>
        <v>225125</v>
      </c>
    </row>
    <row r="38" spans="1:10">
      <c r="A38" s="11">
        <f t="shared" si="4"/>
        <v>37</v>
      </c>
      <c r="B38" s="4" t="s">
        <v>6</v>
      </c>
      <c r="C38" s="5">
        <v>27031955</v>
      </c>
      <c r="D38" s="5">
        <v>21052018</v>
      </c>
      <c r="E38" s="4">
        <v>63</v>
      </c>
      <c r="F38" s="15">
        <f t="shared" si="1"/>
        <v>43271</v>
      </c>
      <c r="G38" s="12">
        <f t="shared" si="2"/>
        <v>2018</v>
      </c>
      <c r="H38" s="12" t="str">
        <f t="shared" si="3"/>
        <v>Junho</v>
      </c>
      <c r="I38" s="11">
        <f>INDEX(tbCadastroConsultas[],MATCH(tbConsultas[[#This Row],[PROFISSIONAL]],tbCadastroConsultas[PROFISSIONAL],0),3)</f>
        <v>301010064</v>
      </c>
      <c r="J38" s="11">
        <f>INDEX(tbCadastroConsultas[],MATCH(tbConsultas[[#This Row],[PROFISSIONAL]],tbCadastroConsultas[PROFISSIONAL],0),4)</f>
        <v>225125</v>
      </c>
    </row>
    <row r="39" spans="1:10">
      <c r="A39" s="11">
        <f t="shared" si="4"/>
        <v>38</v>
      </c>
      <c r="B39" s="4" t="s">
        <v>6</v>
      </c>
      <c r="C39" s="5">
        <v>8081965</v>
      </c>
      <c r="D39" s="5">
        <v>21052018</v>
      </c>
      <c r="E39" s="4">
        <v>52</v>
      </c>
      <c r="F39" s="15">
        <f t="shared" si="1"/>
        <v>43271</v>
      </c>
      <c r="G39" s="12">
        <f t="shared" si="2"/>
        <v>2018</v>
      </c>
      <c r="H39" s="12" t="str">
        <f t="shared" si="3"/>
        <v>Junho</v>
      </c>
      <c r="I39" s="11">
        <f>INDEX(tbCadastroConsultas[],MATCH(tbConsultas[[#This Row],[PROFISSIONAL]],tbCadastroConsultas[PROFISSIONAL],0),3)</f>
        <v>301010064</v>
      </c>
      <c r="J39" s="11">
        <f>INDEX(tbCadastroConsultas[],MATCH(tbConsultas[[#This Row],[PROFISSIONAL]],tbCadastroConsultas[PROFISSIONAL],0),4)</f>
        <v>225125</v>
      </c>
    </row>
    <row r="40" spans="1:10">
      <c r="A40" s="11">
        <f t="shared" si="4"/>
        <v>39</v>
      </c>
      <c r="B40" s="4" t="s">
        <v>6</v>
      </c>
      <c r="C40" s="5">
        <v>7011995</v>
      </c>
      <c r="D40" s="5">
        <v>21052018</v>
      </c>
      <c r="E40" s="4">
        <v>23</v>
      </c>
      <c r="F40" s="15">
        <f t="shared" si="1"/>
        <v>43271</v>
      </c>
      <c r="G40" s="12">
        <f t="shared" si="2"/>
        <v>2018</v>
      </c>
      <c r="H40" s="12" t="str">
        <f t="shared" si="3"/>
        <v>Junho</v>
      </c>
      <c r="I40" s="11">
        <f>INDEX(tbCadastroConsultas[],MATCH(tbConsultas[[#This Row],[PROFISSIONAL]],tbCadastroConsultas[PROFISSIONAL],0),3)</f>
        <v>301010064</v>
      </c>
      <c r="J40" s="11">
        <f>INDEX(tbCadastroConsultas[],MATCH(tbConsultas[[#This Row],[PROFISSIONAL]],tbCadastroConsultas[PROFISSIONAL],0),4)</f>
        <v>225125</v>
      </c>
    </row>
    <row r="41" spans="1:10">
      <c r="A41" s="11">
        <f t="shared" si="4"/>
        <v>40</v>
      </c>
      <c r="B41" s="4" t="s">
        <v>6</v>
      </c>
      <c r="C41" s="5">
        <v>23061968</v>
      </c>
      <c r="D41" s="5">
        <v>21052018</v>
      </c>
      <c r="E41" s="4">
        <v>49</v>
      </c>
      <c r="F41" s="15">
        <f t="shared" si="1"/>
        <v>43271</v>
      </c>
      <c r="G41" s="12">
        <f t="shared" si="2"/>
        <v>2018</v>
      </c>
      <c r="H41" s="12" t="str">
        <f t="shared" si="3"/>
        <v>Junho</v>
      </c>
      <c r="I41" s="11">
        <f>INDEX(tbCadastroConsultas[],MATCH(tbConsultas[[#This Row],[PROFISSIONAL]],tbCadastroConsultas[PROFISSIONAL],0),3)</f>
        <v>301010064</v>
      </c>
      <c r="J41" s="11">
        <f>INDEX(tbCadastroConsultas[],MATCH(tbConsultas[[#This Row],[PROFISSIONAL]],tbCadastroConsultas[PROFISSIONAL],0),4)</f>
        <v>225125</v>
      </c>
    </row>
    <row r="42" spans="1:10">
      <c r="A42" s="11">
        <f t="shared" si="4"/>
        <v>41</v>
      </c>
      <c r="B42" s="4" t="s">
        <v>15</v>
      </c>
      <c r="C42" s="5">
        <v>20011960</v>
      </c>
      <c r="D42" s="5">
        <v>21052018</v>
      </c>
      <c r="E42" s="4">
        <v>58</v>
      </c>
      <c r="F42" s="15">
        <f t="shared" si="1"/>
        <v>43271</v>
      </c>
      <c r="G42" s="12">
        <f t="shared" si="2"/>
        <v>2018</v>
      </c>
      <c r="H42" s="12" t="str">
        <f t="shared" si="3"/>
        <v>Junho</v>
      </c>
      <c r="I42" s="11">
        <f>INDEX(tbCadastroConsultas[],MATCH(tbConsultas[[#This Row],[PROFISSIONAL]],tbCadastroConsultas[PROFISSIONAL],0),3)</f>
        <v>301010072</v>
      </c>
      <c r="J42" s="11">
        <f>INDEX(tbCadastroConsultas[],MATCH(tbConsultas[[#This Row],[PROFISSIONAL]],tbCadastroConsultas[PROFISSIONAL],0),4)</f>
        <v>225133</v>
      </c>
    </row>
    <row r="43" spans="1:10">
      <c r="A43" s="11">
        <f t="shared" si="4"/>
        <v>42</v>
      </c>
      <c r="B43" s="4" t="s">
        <v>15</v>
      </c>
      <c r="C43" s="5">
        <v>27091934</v>
      </c>
      <c r="D43" s="5">
        <v>21052018</v>
      </c>
      <c r="E43" s="4">
        <v>83</v>
      </c>
      <c r="F43" s="15">
        <f t="shared" si="1"/>
        <v>43271</v>
      </c>
      <c r="G43" s="12">
        <f t="shared" si="2"/>
        <v>2018</v>
      </c>
      <c r="H43" s="12" t="str">
        <f t="shared" si="3"/>
        <v>Junho</v>
      </c>
      <c r="I43" s="11">
        <f>INDEX(tbCadastroConsultas[],MATCH(tbConsultas[[#This Row],[PROFISSIONAL]],tbCadastroConsultas[PROFISSIONAL],0),3)</f>
        <v>301010072</v>
      </c>
      <c r="J43" s="11">
        <f>INDEX(tbCadastroConsultas[],MATCH(tbConsultas[[#This Row],[PROFISSIONAL]],tbCadastroConsultas[PROFISSIONAL],0),4)</f>
        <v>225133</v>
      </c>
    </row>
    <row r="44" spans="1:10">
      <c r="A44" s="11">
        <f t="shared" si="4"/>
        <v>43</v>
      </c>
      <c r="B44" s="4" t="s">
        <v>15</v>
      </c>
      <c r="C44" s="5">
        <v>16091983</v>
      </c>
      <c r="D44" s="5">
        <v>21052018</v>
      </c>
      <c r="E44" s="4">
        <v>34</v>
      </c>
      <c r="F44" s="15">
        <f t="shared" si="1"/>
        <v>43271</v>
      </c>
      <c r="G44" s="12">
        <f t="shared" si="2"/>
        <v>2018</v>
      </c>
      <c r="H44" s="12" t="str">
        <f t="shared" si="3"/>
        <v>Junho</v>
      </c>
      <c r="I44" s="11">
        <f>INDEX(tbCadastroConsultas[],MATCH(tbConsultas[[#This Row],[PROFISSIONAL]],tbCadastroConsultas[PROFISSIONAL],0),3)</f>
        <v>301010072</v>
      </c>
      <c r="J44" s="11">
        <f>INDEX(tbCadastroConsultas[],MATCH(tbConsultas[[#This Row],[PROFISSIONAL]],tbCadastroConsultas[PROFISSIONAL],0),4)</f>
        <v>225133</v>
      </c>
    </row>
    <row r="45" spans="1:10">
      <c r="A45" s="11">
        <f t="shared" si="4"/>
        <v>44</v>
      </c>
      <c r="B45" s="4" t="s">
        <v>15</v>
      </c>
      <c r="C45" s="5">
        <v>11021997</v>
      </c>
      <c r="D45" s="5">
        <v>21052018</v>
      </c>
      <c r="E45" s="4">
        <v>21</v>
      </c>
      <c r="F45" s="15">
        <f t="shared" si="1"/>
        <v>43271</v>
      </c>
      <c r="G45" s="12">
        <f t="shared" si="2"/>
        <v>2018</v>
      </c>
      <c r="H45" s="12" t="str">
        <f t="shared" si="3"/>
        <v>Junho</v>
      </c>
      <c r="I45" s="11">
        <f>INDEX(tbCadastroConsultas[],MATCH(tbConsultas[[#This Row],[PROFISSIONAL]],tbCadastroConsultas[PROFISSIONAL],0),3)</f>
        <v>301010072</v>
      </c>
      <c r="J45" s="11">
        <f>INDEX(tbCadastroConsultas[],MATCH(tbConsultas[[#This Row],[PROFISSIONAL]],tbCadastroConsultas[PROFISSIONAL],0),4)</f>
        <v>225133</v>
      </c>
    </row>
    <row r="46" spans="1:10">
      <c r="A46" s="11">
        <f t="shared" si="4"/>
        <v>45</v>
      </c>
      <c r="B46" s="4" t="s">
        <v>15</v>
      </c>
      <c r="C46" s="5">
        <v>22051967</v>
      </c>
      <c r="D46" s="5">
        <v>21052018</v>
      </c>
      <c r="E46" s="4">
        <v>51</v>
      </c>
      <c r="F46" s="15">
        <f t="shared" si="1"/>
        <v>43271</v>
      </c>
      <c r="G46" s="12">
        <f t="shared" si="2"/>
        <v>2018</v>
      </c>
      <c r="H46" s="12" t="str">
        <f t="shared" si="3"/>
        <v>Junho</v>
      </c>
      <c r="I46" s="11">
        <f>INDEX(tbCadastroConsultas[],MATCH(tbConsultas[[#This Row],[PROFISSIONAL]],tbCadastroConsultas[PROFISSIONAL],0),3)</f>
        <v>301010072</v>
      </c>
      <c r="J46" s="11">
        <f>INDEX(tbCadastroConsultas[],MATCH(tbConsultas[[#This Row],[PROFISSIONAL]],tbCadastroConsultas[PROFISSIONAL],0),4)</f>
        <v>225133</v>
      </c>
    </row>
    <row r="47" spans="1:10">
      <c r="A47" s="11">
        <f t="shared" si="4"/>
        <v>46</v>
      </c>
      <c r="B47" s="4" t="s">
        <v>15</v>
      </c>
      <c r="C47" s="5">
        <v>13121963</v>
      </c>
      <c r="D47" s="5">
        <v>21052018</v>
      </c>
      <c r="E47" s="4">
        <v>54</v>
      </c>
      <c r="F47" s="15">
        <f t="shared" si="1"/>
        <v>43271</v>
      </c>
      <c r="G47" s="12">
        <f t="shared" si="2"/>
        <v>2018</v>
      </c>
      <c r="H47" s="12" t="str">
        <f t="shared" si="3"/>
        <v>Junho</v>
      </c>
      <c r="I47" s="11">
        <f>INDEX(tbCadastroConsultas[],MATCH(tbConsultas[[#This Row],[PROFISSIONAL]],tbCadastroConsultas[PROFISSIONAL],0),3)</f>
        <v>301010072</v>
      </c>
      <c r="J47" s="11">
        <f>INDEX(tbCadastroConsultas[],MATCH(tbConsultas[[#This Row],[PROFISSIONAL]],tbCadastroConsultas[PROFISSIONAL],0),4)</f>
        <v>225133</v>
      </c>
    </row>
    <row r="48" spans="1:10">
      <c r="A48" s="11">
        <f t="shared" si="4"/>
        <v>47</v>
      </c>
      <c r="B48" s="4" t="s">
        <v>15</v>
      </c>
      <c r="C48" s="5">
        <v>14061976</v>
      </c>
      <c r="D48" s="5">
        <v>21052018</v>
      </c>
      <c r="E48" s="4">
        <v>41</v>
      </c>
      <c r="F48" s="15">
        <f t="shared" si="1"/>
        <v>43271</v>
      </c>
      <c r="G48" s="12">
        <f t="shared" si="2"/>
        <v>2018</v>
      </c>
      <c r="H48" s="12" t="str">
        <f t="shared" si="3"/>
        <v>Junho</v>
      </c>
      <c r="I48" s="11">
        <f>INDEX(tbCadastroConsultas[],MATCH(tbConsultas[[#This Row],[PROFISSIONAL]],tbCadastroConsultas[PROFISSIONAL],0),3)</f>
        <v>301010072</v>
      </c>
      <c r="J48" s="11">
        <f>INDEX(tbCadastroConsultas[],MATCH(tbConsultas[[#This Row],[PROFISSIONAL]],tbCadastroConsultas[PROFISSIONAL],0),4)</f>
        <v>225133</v>
      </c>
    </row>
    <row r="49" spans="1:10">
      <c r="A49" s="11">
        <f t="shared" si="4"/>
        <v>48</v>
      </c>
      <c r="B49" s="4" t="s">
        <v>0</v>
      </c>
      <c r="C49" s="5">
        <v>2122010</v>
      </c>
      <c r="D49" s="5">
        <v>21052018</v>
      </c>
      <c r="E49" s="4">
        <v>7</v>
      </c>
      <c r="F49" s="15">
        <f t="shared" si="1"/>
        <v>43271</v>
      </c>
      <c r="G49" s="12">
        <f t="shared" si="2"/>
        <v>2018</v>
      </c>
      <c r="H49" s="12" t="str">
        <f t="shared" si="3"/>
        <v>Junho</v>
      </c>
      <c r="I49" s="11">
        <f>INDEX(tbCadastroConsultas[],MATCH(tbConsultas[[#This Row],[PROFISSIONAL]],tbCadastroConsultas[PROFISSIONAL],0),3)</f>
        <v>301010080</v>
      </c>
      <c r="J49" s="11">
        <f>INDEX(tbCadastroConsultas[],MATCH(tbConsultas[[#This Row],[PROFISSIONAL]],tbCadastroConsultas[PROFISSIONAL],0),4)</f>
        <v>225124</v>
      </c>
    </row>
    <row r="50" spans="1:10">
      <c r="A50" s="11">
        <f t="shared" si="4"/>
        <v>49</v>
      </c>
      <c r="B50" s="4" t="s">
        <v>0</v>
      </c>
      <c r="C50" s="5">
        <v>9092015</v>
      </c>
      <c r="D50" s="5">
        <v>21052018</v>
      </c>
      <c r="E50" s="4">
        <v>2</v>
      </c>
      <c r="F50" s="15">
        <f t="shared" si="1"/>
        <v>43271</v>
      </c>
      <c r="G50" s="12">
        <f t="shared" si="2"/>
        <v>2018</v>
      </c>
      <c r="H50" s="12" t="str">
        <f t="shared" si="3"/>
        <v>Junho</v>
      </c>
      <c r="I50" s="11">
        <f>INDEX(tbCadastroConsultas[],MATCH(tbConsultas[[#This Row],[PROFISSIONAL]],tbCadastroConsultas[PROFISSIONAL],0),3)</f>
        <v>301010080</v>
      </c>
      <c r="J50" s="11">
        <f>INDEX(tbCadastroConsultas[],MATCH(tbConsultas[[#This Row],[PROFISSIONAL]],tbCadastroConsultas[PROFISSIONAL],0),4)</f>
        <v>225124</v>
      </c>
    </row>
    <row r="51" spans="1:10">
      <c r="A51" s="11">
        <f t="shared" si="4"/>
        <v>50</v>
      </c>
      <c r="B51" s="4" t="s">
        <v>0</v>
      </c>
      <c r="C51" s="5">
        <v>11062016</v>
      </c>
      <c r="D51" s="5">
        <v>21052018</v>
      </c>
      <c r="E51" s="4">
        <v>1</v>
      </c>
      <c r="F51" s="15">
        <f t="shared" si="1"/>
        <v>43271</v>
      </c>
      <c r="G51" s="12">
        <f t="shared" si="2"/>
        <v>2018</v>
      </c>
      <c r="H51" s="12" t="str">
        <f t="shared" si="3"/>
        <v>Junho</v>
      </c>
      <c r="I51" s="11">
        <f>INDEX(tbCadastroConsultas[],MATCH(tbConsultas[[#This Row],[PROFISSIONAL]],tbCadastroConsultas[PROFISSIONAL],0),3)</f>
        <v>301010080</v>
      </c>
      <c r="J51" s="11">
        <f>INDEX(tbCadastroConsultas[],MATCH(tbConsultas[[#This Row],[PROFISSIONAL]],tbCadastroConsultas[PROFISSIONAL],0),4)</f>
        <v>225124</v>
      </c>
    </row>
    <row r="52" spans="1:10">
      <c r="A52" s="11">
        <f t="shared" si="4"/>
        <v>51</v>
      </c>
      <c r="B52" s="4" t="s">
        <v>0</v>
      </c>
      <c r="C52" s="5">
        <v>30072017</v>
      </c>
      <c r="D52" s="5">
        <v>21052018</v>
      </c>
      <c r="E52" s="4">
        <v>0</v>
      </c>
      <c r="F52" s="15">
        <f t="shared" si="1"/>
        <v>43271</v>
      </c>
      <c r="G52" s="12">
        <f t="shared" si="2"/>
        <v>2018</v>
      </c>
      <c r="H52" s="12" t="str">
        <f t="shared" si="3"/>
        <v>Junho</v>
      </c>
      <c r="I52" s="11">
        <f>INDEX(tbCadastroConsultas[],MATCH(tbConsultas[[#This Row],[PROFISSIONAL]],tbCadastroConsultas[PROFISSIONAL],0),3)</f>
        <v>301010080</v>
      </c>
      <c r="J52" s="11">
        <f>INDEX(tbCadastroConsultas[],MATCH(tbConsultas[[#This Row],[PROFISSIONAL]],tbCadastroConsultas[PROFISSIONAL],0),4)</f>
        <v>225124</v>
      </c>
    </row>
    <row r="53" spans="1:10">
      <c r="A53" s="11">
        <f t="shared" si="4"/>
        <v>52</v>
      </c>
      <c r="B53" s="4" t="s">
        <v>0</v>
      </c>
      <c r="C53" s="5">
        <v>26042018</v>
      </c>
      <c r="D53" s="5">
        <v>21052018</v>
      </c>
      <c r="E53" s="4">
        <v>0</v>
      </c>
      <c r="F53" s="15">
        <f t="shared" si="1"/>
        <v>43271</v>
      </c>
      <c r="G53" s="12">
        <f t="shared" si="2"/>
        <v>2018</v>
      </c>
      <c r="H53" s="12" t="str">
        <f t="shared" si="3"/>
        <v>Junho</v>
      </c>
      <c r="I53" s="11">
        <f>INDEX(tbCadastroConsultas[],MATCH(tbConsultas[[#This Row],[PROFISSIONAL]],tbCadastroConsultas[PROFISSIONAL],0),3)</f>
        <v>301010080</v>
      </c>
      <c r="J53" s="11">
        <f>INDEX(tbCadastroConsultas[],MATCH(tbConsultas[[#This Row],[PROFISSIONAL]],tbCadastroConsultas[PROFISSIONAL],0),4)</f>
        <v>225124</v>
      </c>
    </row>
    <row r="54" spans="1:10">
      <c r="A54" s="11">
        <f t="shared" si="4"/>
        <v>53</v>
      </c>
      <c r="B54" s="4" t="s">
        <v>0</v>
      </c>
      <c r="C54" s="5">
        <v>21092007</v>
      </c>
      <c r="D54" s="5">
        <v>21052018</v>
      </c>
      <c r="E54" s="4">
        <v>10</v>
      </c>
      <c r="F54" s="15">
        <f t="shared" si="1"/>
        <v>43271</v>
      </c>
      <c r="G54" s="12">
        <f t="shared" si="2"/>
        <v>2018</v>
      </c>
      <c r="H54" s="12" t="str">
        <f t="shared" si="3"/>
        <v>Junho</v>
      </c>
      <c r="I54" s="11">
        <f>INDEX(tbCadastroConsultas[],MATCH(tbConsultas[[#This Row],[PROFISSIONAL]],tbCadastroConsultas[PROFISSIONAL],0),3)</f>
        <v>301010080</v>
      </c>
      <c r="J54" s="11">
        <f>INDEX(tbCadastroConsultas[],MATCH(tbConsultas[[#This Row],[PROFISSIONAL]],tbCadastroConsultas[PROFISSIONAL],0),4)</f>
        <v>225124</v>
      </c>
    </row>
    <row r="55" spans="1:10">
      <c r="A55" s="11">
        <f t="shared" si="4"/>
        <v>54</v>
      </c>
      <c r="B55" s="4" t="s">
        <v>0</v>
      </c>
      <c r="C55" s="5">
        <v>18032016</v>
      </c>
      <c r="D55" s="5">
        <v>21052018</v>
      </c>
      <c r="E55" s="4">
        <v>2</v>
      </c>
      <c r="F55" s="15">
        <f t="shared" si="1"/>
        <v>43271</v>
      </c>
      <c r="G55" s="12">
        <f t="shared" si="2"/>
        <v>2018</v>
      </c>
      <c r="H55" s="12" t="str">
        <f t="shared" si="3"/>
        <v>Junho</v>
      </c>
      <c r="I55" s="11">
        <f>INDEX(tbCadastroConsultas[],MATCH(tbConsultas[[#This Row],[PROFISSIONAL]],tbCadastroConsultas[PROFISSIONAL],0),3)</f>
        <v>301010080</v>
      </c>
      <c r="J55" s="11">
        <f>INDEX(tbCadastroConsultas[],MATCH(tbConsultas[[#This Row],[PROFISSIONAL]],tbCadastroConsultas[PROFISSIONAL],0),4)</f>
        <v>225124</v>
      </c>
    </row>
    <row r="56" spans="1:10">
      <c r="A56" s="11">
        <f t="shared" si="4"/>
        <v>55</v>
      </c>
      <c r="B56" s="4" t="s">
        <v>0</v>
      </c>
      <c r="C56" s="5">
        <v>22032011</v>
      </c>
      <c r="D56" s="5">
        <v>21052018</v>
      </c>
      <c r="E56" s="4">
        <v>7</v>
      </c>
      <c r="F56" s="15">
        <f t="shared" si="1"/>
        <v>43271</v>
      </c>
      <c r="G56" s="12">
        <f t="shared" si="2"/>
        <v>2018</v>
      </c>
      <c r="H56" s="12" t="str">
        <f t="shared" si="3"/>
        <v>Junho</v>
      </c>
      <c r="I56" s="11">
        <f>INDEX(tbCadastroConsultas[],MATCH(tbConsultas[[#This Row],[PROFISSIONAL]],tbCadastroConsultas[PROFISSIONAL],0),3)</f>
        <v>301010080</v>
      </c>
      <c r="J56" s="11">
        <f>INDEX(tbCadastroConsultas[],MATCH(tbConsultas[[#This Row],[PROFISSIONAL]],tbCadastroConsultas[PROFISSIONAL],0),4)</f>
        <v>225124</v>
      </c>
    </row>
    <row r="57" spans="1:10">
      <c r="A57" s="11">
        <f t="shared" si="4"/>
        <v>56</v>
      </c>
      <c r="B57" s="4" t="s">
        <v>0</v>
      </c>
      <c r="C57" s="5">
        <v>2022018</v>
      </c>
      <c r="D57" s="5">
        <v>21052018</v>
      </c>
      <c r="E57" s="4">
        <v>0</v>
      </c>
      <c r="F57" s="15">
        <f t="shared" si="1"/>
        <v>43271</v>
      </c>
      <c r="G57" s="12">
        <f t="shared" si="2"/>
        <v>2018</v>
      </c>
      <c r="H57" s="12" t="str">
        <f t="shared" si="3"/>
        <v>Junho</v>
      </c>
      <c r="I57" s="11">
        <f>INDEX(tbCadastroConsultas[],MATCH(tbConsultas[[#This Row],[PROFISSIONAL]],tbCadastroConsultas[PROFISSIONAL],0),3)</f>
        <v>301010080</v>
      </c>
      <c r="J57" s="11">
        <f>INDEX(tbCadastroConsultas[],MATCH(tbConsultas[[#This Row],[PROFISSIONAL]],tbCadastroConsultas[PROFISSIONAL],0),4)</f>
        <v>225124</v>
      </c>
    </row>
    <row r="58" spans="1:10">
      <c r="A58" s="11">
        <f t="shared" si="4"/>
        <v>57</v>
      </c>
      <c r="B58" s="4" t="s">
        <v>0</v>
      </c>
      <c r="C58" s="5">
        <v>19012018</v>
      </c>
      <c r="D58" s="5">
        <v>21052018</v>
      </c>
      <c r="E58" s="4">
        <v>0</v>
      </c>
      <c r="F58" s="15">
        <f t="shared" si="1"/>
        <v>43271</v>
      </c>
      <c r="G58" s="12">
        <f t="shared" si="2"/>
        <v>2018</v>
      </c>
      <c r="H58" s="12" t="str">
        <f t="shared" si="3"/>
        <v>Junho</v>
      </c>
      <c r="I58" s="11">
        <f>INDEX(tbCadastroConsultas[],MATCH(tbConsultas[[#This Row],[PROFISSIONAL]],tbCadastroConsultas[PROFISSIONAL],0),3)</f>
        <v>301010080</v>
      </c>
      <c r="J58" s="11">
        <f>INDEX(tbCadastroConsultas[],MATCH(tbConsultas[[#This Row],[PROFISSIONAL]],tbCadastroConsultas[PROFISSIONAL],0),4)</f>
        <v>225124</v>
      </c>
    </row>
    <row r="59" spans="1:10">
      <c r="A59" s="11">
        <f t="shared" si="4"/>
        <v>58</v>
      </c>
      <c r="B59" s="4" t="s">
        <v>0</v>
      </c>
      <c r="C59" s="5">
        <v>27012018</v>
      </c>
      <c r="D59" s="5">
        <v>21052018</v>
      </c>
      <c r="E59" s="4">
        <v>0</v>
      </c>
      <c r="F59" s="15">
        <f t="shared" si="1"/>
        <v>43271</v>
      </c>
      <c r="G59" s="12">
        <f t="shared" si="2"/>
        <v>2018</v>
      </c>
      <c r="H59" s="12" t="str">
        <f t="shared" si="3"/>
        <v>Junho</v>
      </c>
      <c r="I59" s="11">
        <f>INDEX(tbCadastroConsultas[],MATCH(tbConsultas[[#This Row],[PROFISSIONAL]],tbCadastroConsultas[PROFISSIONAL],0),3)</f>
        <v>301010080</v>
      </c>
      <c r="J59" s="11">
        <f>INDEX(tbCadastroConsultas[],MATCH(tbConsultas[[#This Row],[PROFISSIONAL]],tbCadastroConsultas[PROFISSIONAL],0),4)</f>
        <v>225124</v>
      </c>
    </row>
    <row r="60" spans="1:10">
      <c r="A60" s="11">
        <f t="shared" si="4"/>
        <v>59</v>
      </c>
      <c r="B60" s="4" t="s">
        <v>0</v>
      </c>
      <c r="C60" s="5">
        <v>18082017</v>
      </c>
      <c r="D60" s="5">
        <v>21052018</v>
      </c>
      <c r="E60" s="4">
        <v>0</v>
      </c>
      <c r="F60" s="15">
        <f t="shared" si="1"/>
        <v>43271</v>
      </c>
      <c r="G60" s="12">
        <f t="shared" si="2"/>
        <v>2018</v>
      </c>
      <c r="H60" s="12" t="str">
        <f t="shared" si="3"/>
        <v>Junho</v>
      </c>
      <c r="I60" s="11">
        <f>INDEX(tbCadastroConsultas[],MATCH(tbConsultas[[#This Row],[PROFISSIONAL]],tbCadastroConsultas[PROFISSIONAL],0),3)</f>
        <v>301010080</v>
      </c>
      <c r="J60" s="11">
        <f>INDEX(tbCadastroConsultas[],MATCH(tbConsultas[[#This Row],[PROFISSIONAL]],tbCadastroConsultas[PROFISSIONAL],0),4)</f>
        <v>225124</v>
      </c>
    </row>
    <row r="61" spans="1:10">
      <c r="A61" s="11">
        <f t="shared" si="4"/>
        <v>60</v>
      </c>
      <c r="B61" s="4" t="s">
        <v>0</v>
      </c>
      <c r="C61" s="5">
        <v>1082006</v>
      </c>
      <c r="D61" s="5">
        <v>21052018</v>
      </c>
      <c r="E61" s="4">
        <v>11</v>
      </c>
      <c r="F61" s="15">
        <f t="shared" si="1"/>
        <v>43271</v>
      </c>
      <c r="G61" s="12">
        <f t="shared" si="2"/>
        <v>2018</v>
      </c>
      <c r="H61" s="12" t="str">
        <f t="shared" si="3"/>
        <v>Junho</v>
      </c>
      <c r="I61" s="11">
        <f>INDEX(tbCadastroConsultas[],MATCH(tbConsultas[[#This Row],[PROFISSIONAL]],tbCadastroConsultas[PROFISSIONAL],0),3)</f>
        <v>301010080</v>
      </c>
      <c r="J61" s="11">
        <f>INDEX(tbCadastroConsultas[],MATCH(tbConsultas[[#This Row],[PROFISSIONAL]],tbCadastroConsultas[PROFISSIONAL],0),4)</f>
        <v>225124</v>
      </c>
    </row>
    <row r="62" spans="1:10">
      <c r="A62" s="11">
        <f t="shared" si="4"/>
        <v>61</v>
      </c>
      <c r="B62" s="4" t="s">
        <v>1</v>
      </c>
      <c r="C62" s="5">
        <v>30072008</v>
      </c>
      <c r="D62" s="5">
        <v>21052018</v>
      </c>
      <c r="E62" s="4">
        <v>9</v>
      </c>
      <c r="F62" s="15">
        <f t="shared" si="1"/>
        <v>43271</v>
      </c>
      <c r="G62" s="12">
        <f t="shared" si="2"/>
        <v>2018</v>
      </c>
      <c r="H62" s="12" t="str">
        <f t="shared" si="3"/>
        <v>Junho</v>
      </c>
      <c r="I62" s="11">
        <f>INDEX(tbCadastroConsultas[],MATCH(tbConsultas[[#This Row],[PROFISSIONAL]],tbCadastroConsultas[PROFISSIONAL],0),3)</f>
        <v>301010030</v>
      </c>
      <c r="J62" s="11">
        <f>INDEX(tbCadastroConsultas[],MATCH(tbConsultas[[#This Row],[PROFISSIONAL]],tbCadastroConsultas[PROFISSIONAL],0),4)</f>
        <v>251510</v>
      </c>
    </row>
    <row r="63" spans="1:10">
      <c r="A63" s="11">
        <f t="shared" si="4"/>
        <v>62</v>
      </c>
      <c r="B63" s="4" t="s">
        <v>1</v>
      </c>
      <c r="C63" s="5">
        <v>15091960</v>
      </c>
      <c r="D63" s="5">
        <v>21052018</v>
      </c>
      <c r="E63" s="4">
        <v>57</v>
      </c>
      <c r="F63" s="15">
        <f t="shared" si="1"/>
        <v>43271</v>
      </c>
      <c r="G63" s="12">
        <f t="shared" si="2"/>
        <v>2018</v>
      </c>
      <c r="H63" s="12" t="str">
        <f t="shared" si="3"/>
        <v>Junho</v>
      </c>
      <c r="I63" s="11">
        <f>INDEX(tbCadastroConsultas[],MATCH(tbConsultas[[#This Row],[PROFISSIONAL]],tbCadastroConsultas[PROFISSIONAL],0),3)</f>
        <v>301010030</v>
      </c>
      <c r="J63" s="11">
        <f>INDEX(tbCadastroConsultas[],MATCH(tbConsultas[[#This Row],[PROFISSIONAL]],tbCadastroConsultas[PROFISSIONAL],0),4)</f>
        <v>251510</v>
      </c>
    </row>
    <row r="64" spans="1:10">
      <c r="A64" s="11">
        <f t="shared" si="4"/>
        <v>63</v>
      </c>
      <c r="B64" s="4" t="s">
        <v>1</v>
      </c>
      <c r="C64" s="5">
        <v>11081996</v>
      </c>
      <c r="D64" s="5">
        <v>21052018</v>
      </c>
      <c r="E64" s="4">
        <v>21</v>
      </c>
      <c r="F64" s="15">
        <f t="shared" si="1"/>
        <v>43271</v>
      </c>
      <c r="G64" s="12">
        <f t="shared" si="2"/>
        <v>2018</v>
      </c>
      <c r="H64" s="12" t="str">
        <f t="shared" si="3"/>
        <v>Junho</v>
      </c>
      <c r="I64" s="11">
        <f>INDEX(tbCadastroConsultas[],MATCH(tbConsultas[[#This Row],[PROFISSIONAL]],tbCadastroConsultas[PROFISSIONAL],0),3)</f>
        <v>301010030</v>
      </c>
      <c r="J64" s="11">
        <f>INDEX(tbCadastroConsultas[],MATCH(tbConsultas[[#This Row],[PROFISSIONAL]],tbCadastroConsultas[PROFISSIONAL],0),4)</f>
        <v>251510</v>
      </c>
    </row>
    <row r="65" spans="1:10">
      <c r="A65" s="11">
        <f t="shared" si="4"/>
        <v>64</v>
      </c>
      <c r="B65" s="4" t="s">
        <v>5</v>
      </c>
      <c r="C65" s="5">
        <v>23111949</v>
      </c>
      <c r="D65" s="5">
        <v>21052018</v>
      </c>
      <c r="E65" s="4">
        <v>68</v>
      </c>
      <c r="F65" s="15">
        <f t="shared" si="1"/>
        <v>43271</v>
      </c>
      <c r="G65" s="12">
        <f t="shared" si="2"/>
        <v>2018</v>
      </c>
      <c r="H65" s="12" t="str">
        <f t="shared" si="3"/>
        <v>Junho</v>
      </c>
      <c r="I65" s="11">
        <f>INDEX(tbCadastroConsultas[],MATCH(tbConsultas[[#This Row],[PROFISSIONAL]],tbCadastroConsultas[PROFISSIONAL],0),3)</f>
        <v>301010030</v>
      </c>
      <c r="J65" s="11">
        <f>INDEX(tbCadastroConsultas[],MATCH(tbConsultas[[#This Row],[PROFISSIONAL]],tbCadastroConsultas[PROFISSIONAL],0),4)</f>
        <v>223565</v>
      </c>
    </row>
    <row r="66" spans="1:10">
      <c r="A66" s="11">
        <f t="shared" ref="A66:A95" si="5">ROW() -1</f>
        <v>65</v>
      </c>
      <c r="B66" s="4" t="s">
        <v>5</v>
      </c>
      <c r="C66" s="5">
        <v>14041953</v>
      </c>
      <c r="D66" s="5">
        <v>21052018</v>
      </c>
      <c r="E66" s="4">
        <v>65</v>
      </c>
      <c r="F66" s="15">
        <f t="shared" ref="F66:F129" si="6">IF(D66="","",DATE(YEAR(TEXT(D66,"00\/00\/0000")),MONTH(TEXT(D66,"00\/00\/0000"))+1,20))</f>
        <v>43271</v>
      </c>
      <c r="G66" s="12">
        <f t="shared" ref="G66:G129" si="7">IF(F66="","",YEAR(F66))</f>
        <v>2018</v>
      </c>
      <c r="H66" s="12" t="str">
        <f t="shared" ref="H66:H129" si="8">PROPER(TEXT(F66,"mmmm"))</f>
        <v>Junho</v>
      </c>
      <c r="I66" s="11">
        <f>INDEX(tbCadastroConsultas[],MATCH(tbConsultas[[#This Row],[PROFISSIONAL]],tbCadastroConsultas[PROFISSIONAL],0),3)</f>
        <v>301010030</v>
      </c>
      <c r="J66" s="11">
        <f>INDEX(tbCadastroConsultas[],MATCH(tbConsultas[[#This Row],[PROFISSIONAL]],tbCadastroConsultas[PROFISSIONAL],0),4)</f>
        <v>223565</v>
      </c>
    </row>
    <row r="67" spans="1:10">
      <c r="A67" s="11">
        <f t="shared" si="5"/>
        <v>66</v>
      </c>
      <c r="B67" s="4" t="s">
        <v>5</v>
      </c>
      <c r="C67" s="5">
        <v>28081925</v>
      </c>
      <c r="D67" s="5">
        <v>21052018</v>
      </c>
      <c r="E67" s="4">
        <v>92</v>
      </c>
      <c r="F67" s="15">
        <f t="shared" si="6"/>
        <v>43271</v>
      </c>
      <c r="G67" s="12">
        <f t="shared" si="7"/>
        <v>2018</v>
      </c>
      <c r="H67" s="12" t="str">
        <f t="shared" si="8"/>
        <v>Junho</v>
      </c>
      <c r="I67" s="11">
        <f>INDEX(tbCadastroConsultas[],MATCH(tbConsultas[[#This Row],[PROFISSIONAL]],tbCadastroConsultas[PROFISSIONAL],0),3)</f>
        <v>301010030</v>
      </c>
      <c r="J67" s="11">
        <f>INDEX(tbCadastroConsultas[],MATCH(tbConsultas[[#This Row],[PROFISSIONAL]],tbCadastroConsultas[PROFISSIONAL],0),4)</f>
        <v>223565</v>
      </c>
    </row>
    <row r="68" spans="1:10">
      <c r="A68" s="11">
        <f t="shared" si="5"/>
        <v>67</v>
      </c>
      <c r="B68" s="4" t="s">
        <v>5</v>
      </c>
      <c r="C68" s="5">
        <v>1111953</v>
      </c>
      <c r="D68" s="5">
        <v>21052018</v>
      </c>
      <c r="E68" s="4">
        <v>64</v>
      </c>
      <c r="F68" s="15">
        <f t="shared" si="6"/>
        <v>43271</v>
      </c>
      <c r="G68" s="12">
        <f t="shared" si="7"/>
        <v>2018</v>
      </c>
      <c r="H68" s="12" t="str">
        <f t="shared" si="8"/>
        <v>Junho</v>
      </c>
      <c r="I68" s="11">
        <f>INDEX(tbCadastroConsultas[],MATCH(tbConsultas[[#This Row],[PROFISSIONAL]],tbCadastroConsultas[PROFISSIONAL],0),3)</f>
        <v>301010030</v>
      </c>
      <c r="J68" s="11">
        <f>INDEX(tbCadastroConsultas[],MATCH(tbConsultas[[#This Row],[PROFISSIONAL]],tbCadastroConsultas[PROFISSIONAL],0),4)</f>
        <v>223565</v>
      </c>
    </row>
    <row r="69" spans="1:10">
      <c r="A69" s="11">
        <f t="shared" si="5"/>
        <v>68</v>
      </c>
      <c r="B69" s="4" t="s">
        <v>5</v>
      </c>
      <c r="C69" s="5">
        <v>18101943</v>
      </c>
      <c r="D69" s="5">
        <v>21052018</v>
      </c>
      <c r="E69" s="4">
        <v>74</v>
      </c>
      <c r="F69" s="15">
        <f t="shared" si="6"/>
        <v>43271</v>
      </c>
      <c r="G69" s="12">
        <f t="shared" si="7"/>
        <v>2018</v>
      </c>
      <c r="H69" s="12" t="str">
        <f t="shared" si="8"/>
        <v>Junho</v>
      </c>
      <c r="I69" s="11">
        <f>INDEX(tbCadastroConsultas[],MATCH(tbConsultas[[#This Row],[PROFISSIONAL]],tbCadastroConsultas[PROFISSIONAL],0),3)</f>
        <v>301010030</v>
      </c>
      <c r="J69" s="11">
        <f>INDEX(tbCadastroConsultas[],MATCH(tbConsultas[[#This Row],[PROFISSIONAL]],tbCadastroConsultas[PROFISSIONAL],0),4)</f>
        <v>223565</v>
      </c>
    </row>
    <row r="70" spans="1:10">
      <c r="A70" s="11">
        <f t="shared" si="5"/>
        <v>69</v>
      </c>
      <c r="B70" s="4" t="s">
        <v>5</v>
      </c>
      <c r="C70" s="5">
        <v>14031993</v>
      </c>
      <c r="D70" s="5">
        <v>21052018</v>
      </c>
      <c r="E70" s="4">
        <v>25</v>
      </c>
      <c r="F70" s="15">
        <f t="shared" si="6"/>
        <v>43271</v>
      </c>
      <c r="G70" s="12">
        <f t="shared" si="7"/>
        <v>2018</v>
      </c>
      <c r="H70" s="12" t="str">
        <f t="shared" si="8"/>
        <v>Junho</v>
      </c>
      <c r="I70" s="11">
        <f>INDEX(tbCadastroConsultas[],MATCH(tbConsultas[[#This Row],[PROFISSIONAL]],tbCadastroConsultas[PROFISSIONAL],0),3)</f>
        <v>301010030</v>
      </c>
      <c r="J70" s="11">
        <f>INDEX(tbCadastroConsultas[],MATCH(tbConsultas[[#This Row],[PROFISSIONAL]],tbCadastroConsultas[PROFISSIONAL],0),4)</f>
        <v>223565</v>
      </c>
    </row>
    <row r="71" spans="1:10">
      <c r="A71" s="11">
        <f t="shared" si="5"/>
        <v>70</v>
      </c>
      <c r="B71" s="4" t="s">
        <v>5</v>
      </c>
      <c r="C71" s="5">
        <v>12121992</v>
      </c>
      <c r="D71" s="5">
        <v>21052018</v>
      </c>
      <c r="E71" s="4">
        <v>25</v>
      </c>
      <c r="F71" s="15">
        <f t="shared" si="6"/>
        <v>43271</v>
      </c>
      <c r="G71" s="12">
        <f t="shared" si="7"/>
        <v>2018</v>
      </c>
      <c r="H71" s="12" t="str">
        <f t="shared" si="8"/>
        <v>Junho</v>
      </c>
      <c r="I71" s="11">
        <f>INDEX(tbCadastroConsultas[],MATCH(tbConsultas[[#This Row],[PROFISSIONAL]],tbCadastroConsultas[PROFISSIONAL],0),3)</f>
        <v>301010030</v>
      </c>
      <c r="J71" s="11">
        <f>INDEX(tbCadastroConsultas[],MATCH(tbConsultas[[#This Row],[PROFISSIONAL]],tbCadastroConsultas[PROFISSIONAL],0),4)</f>
        <v>223565</v>
      </c>
    </row>
    <row r="72" spans="1:10">
      <c r="A72" s="11">
        <f t="shared" si="5"/>
        <v>71</v>
      </c>
      <c r="B72" s="4" t="s">
        <v>12</v>
      </c>
      <c r="C72" s="5">
        <v>12032011</v>
      </c>
      <c r="D72" s="5">
        <v>21052018</v>
      </c>
      <c r="E72" s="4">
        <v>7</v>
      </c>
      <c r="F72" s="15">
        <f t="shared" si="6"/>
        <v>43271</v>
      </c>
      <c r="G72" s="12">
        <f t="shared" si="7"/>
        <v>2018</v>
      </c>
      <c r="H72" s="12" t="str">
        <f t="shared" si="8"/>
        <v>Junho</v>
      </c>
      <c r="I72" s="11">
        <f>INDEX(tbCadastroConsultas[],MATCH(tbConsultas[[#This Row],[PROFISSIONAL]],tbCadastroConsultas[PROFISSIONAL],0),3)</f>
        <v>301010030</v>
      </c>
      <c r="J72" s="11">
        <f>INDEX(tbCadastroConsultas[],MATCH(tbConsultas[[#This Row],[PROFISSIONAL]],tbCadastroConsultas[PROFISSIONAL],0),4)</f>
        <v>223710</v>
      </c>
    </row>
    <row r="73" spans="1:10">
      <c r="A73" s="11">
        <f t="shared" si="5"/>
        <v>72</v>
      </c>
      <c r="B73" s="4" t="s">
        <v>12</v>
      </c>
      <c r="C73" s="5">
        <v>2032008</v>
      </c>
      <c r="D73" s="5">
        <v>21052018</v>
      </c>
      <c r="E73" s="4">
        <v>10</v>
      </c>
      <c r="F73" s="15">
        <f t="shared" si="6"/>
        <v>43271</v>
      </c>
      <c r="G73" s="12">
        <f t="shared" si="7"/>
        <v>2018</v>
      </c>
      <c r="H73" s="12" t="str">
        <f t="shared" si="8"/>
        <v>Junho</v>
      </c>
      <c r="I73" s="11">
        <f>INDEX(tbCadastroConsultas[],MATCH(tbConsultas[[#This Row],[PROFISSIONAL]],tbCadastroConsultas[PROFISSIONAL],0),3)</f>
        <v>301010030</v>
      </c>
      <c r="J73" s="11">
        <f>INDEX(tbCadastroConsultas[],MATCH(tbConsultas[[#This Row],[PROFISSIONAL]],tbCadastroConsultas[PROFISSIONAL],0),4)</f>
        <v>223710</v>
      </c>
    </row>
    <row r="74" spans="1:10">
      <c r="A74" s="11">
        <f t="shared" si="5"/>
        <v>73</v>
      </c>
      <c r="B74" s="4" t="s">
        <v>12</v>
      </c>
      <c r="C74" s="5">
        <v>20022010</v>
      </c>
      <c r="D74" s="5">
        <v>21052018</v>
      </c>
      <c r="E74" s="4">
        <v>8</v>
      </c>
      <c r="F74" s="15">
        <f t="shared" si="6"/>
        <v>43271</v>
      </c>
      <c r="G74" s="12">
        <f t="shared" si="7"/>
        <v>2018</v>
      </c>
      <c r="H74" s="12" t="str">
        <f t="shared" si="8"/>
        <v>Junho</v>
      </c>
      <c r="I74" s="11">
        <f>INDEX(tbCadastroConsultas[],MATCH(tbConsultas[[#This Row],[PROFISSIONAL]],tbCadastroConsultas[PROFISSIONAL],0),3)</f>
        <v>301010030</v>
      </c>
      <c r="J74" s="11">
        <f>INDEX(tbCadastroConsultas[],MATCH(tbConsultas[[#This Row],[PROFISSIONAL]],tbCadastroConsultas[PROFISSIONAL],0),4)</f>
        <v>223710</v>
      </c>
    </row>
    <row r="75" spans="1:10">
      <c r="A75" s="11">
        <f t="shared" si="5"/>
        <v>74</v>
      </c>
      <c r="B75" s="4" t="s">
        <v>12</v>
      </c>
      <c r="C75" s="5">
        <v>21092008</v>
      </c>
      <c r="D75" s="5">
        <v>21052018</v>
      </c>
      <c r="E75" s="4">
        <v>9</v>
      </c>
      <c r="F75" s="15">
        <f t="shared" si="6"/>
        <v>43271</v>
      </c>
      <c r="G75" s="12">
        <f t="shared" si="7"/>
        <v>2018</v>
      </c>
      <c r="H75" s="12" t="str">
        <f t="shared" si="8"/>
        <v>Junho</v>
      </c>
      <c r="I75" s="11">
        <f>INDEX(tbCadastroConsultas[],MATCH(tbConsultas[[#This Row],[PROFISSIONAL]],tbCadastroConsultas[PROFISSIONAL],0),3)</f>
        <v>301010030</v>
      </c>
      <c r="J75" s="11">
        <f>INDEX(tbCadastroConsultas[],MATCH(tbConsultas[[#This Row],[PROFISSIONAL]],tbCadastroConsultas[PROFISSIONAL],0),4)</f>
        <v>223710</v>
      </c>
    </row>
    <row r="76" spans="1:10">
      <c r="A76" s="11">
        <f t="shared" si="5"/>
        <v>75</v>
      </c>
      <c r="B76" s="4" t="s">
        <v>12</v>
      </c>
      <c r="C76" s="5">
        <v>8051954</v>
      </c>
      <c r="D76" s="5">
        <v>21052018</v>
      </c>
      <c r="E76" s="4">
        <v>64</v>
      </c>
      <c r="F76" s="15">
        <f t="shared" si="6"/>
        <v>43271</v>
      </c>
      <c r="G76" s="12">
        <f t="shared" si="7"/>
        <v>2018</v>
      </c>
      <c r="H76" s="12" t="str">
        <f t="shared" si="8"/>
        <v>Junho</v>
      </c>
      <c r="I76" s="11">
        <f>INDEX(tbCadastroConsultas[],MATCH(tbConsultas[[#This Row],[PROFISSIONAL]],tbCadastroConsultas[PROFISSIONAL],0),3)</f>
        <v>301010030</v>
      </c>
      <c r="J76" s="11">
        <f>INDEX(tbCadastroConsultas[],MATCH(tbConsultas[[#This Row],[PROFISSIONAL]],tbCadastroConsultas[PROFISSIONAL],0),4)</f>
        <v>223710</v>
      </c>
    </row>
    <row r="77" spans="1:10">
      <c r="A77" s="11">
        <f t="shared" si="5"/>
        <v>76</v>
      </c>
      <c r="B77" s="4" t="s">
        <v>2</v>
      </c>
      <c r="C77" s="5">
        <v>22111978</v>
      </c>
      <c r="D77" s="5">
        <v>21052018</v>
      </c>
      <c r="E77" s="4">
        <v>39</v>
      </c>
      <c r="F77" s="15">
        <f t="shared" si="6"/>
        <v>43271</v>
      </c>
      <c r="G77" s="12">
        <f t="shared" si="7"/>
        <v>2018</v>
      </c>
      <c r="H77" s="12" t="str">
        <f t="shared" si="8"/>
        <v>Junho</v>
      </c>
      <c r="I77" s="11">
        <f>INDEX(tbCadastroConsultas[],MATCH(tbConsultas[[#This Row],[PROFISSIONAL]],tbCadastroConsultas[PROFISSIONAL],0),3)</f>
        <v>301010030</v>
      </c>
      <c r="J77" s="11">
        <f>INDEX(tbCadastroConsultas[],MATCH(tbConsultas[[#This Row],[PROFISSIONAL]],tbCadastroConsultas[PROFISSIONAL],0),4)</f>
        <v>223505</v>
      </c>
    </row>
    <row r="78" spans="1:10">
      <c r="A78" s="11">
        <f t="shared" si="5"/>
        <v>77</v>
      </c>
      <c r="B78" s="4" t="s">
        <v>2</v>
      </c>
      <c r="C78" s="5">
        <v>6071968</v>
      </c>
      <c r="D78" s="5">
        <v>21052018</v>
      </c>
      <c r="E78" s="4">
        <v>49</v>
      </c>
      <c r="F78" s="15">
        <f t="shared" si="6"/>
        <v>43271</v>
      </c>
      <c r="G78" s="12">
        <f t="shared" si="7"/>
        <v>2018</v>
      </c>
      <c r="H78" s="12" t="str">
        <f t="shared" si="8"/>
        <v>Junho</v>
      </c>
      <c r="I78" s="11">
        <f>INDEX(tbCadastroConsultas[],MATCH(tbConsultas[[#This Row],[PROFISSIONAL]],tbCadastroConsultas[PROFISSIONAL],0),3)</f>
        <v>301010030</v>
      </c>
      <c r="J78" s="11">
        <f>INDEX(tbCadastroConsultas[],MATCH(tbConsultas[[#This Row],[PROFISSIONAL]],tbCadastroConsultas[PROFISSIONAL],0),4)</f>
        <v>223505</v>
      </c>
    </row>
    <row r="79" spans="1:10">
      <c r="A79" s="11">
        <f t="shared" si="5"/>
        <v>78</v>
      </c>
      <c r="B79" s="4" t="s">
        <v>2</v>
      </c>
      <c r="C79" s="5">
        <v>16011997</v>
      </c>
      <c r="D79" s="5">
        <v>21052018</v>
      </c>
      <c r="E79" s="4">
        <v>21</v>
      </c>
      <c r="F79" s="15">
        <f t="shared" si="6"/>
        <v>43271</v>
      </c>
      <c r="G79" s="12">
        <f t="shared" si="7"/>
        <v>2018</v>
      </c>
      <c r="H79" s="12" t="str">
        <f t="shared" si="8"/>
        <v>Junho</v>
      </c>
      <c r="I79" s="11">
        <f>INDEX(tbCadastroConsultas[],MATCH(tbConsultas[[#This Row],[PROFISSIONAL]],tbCadastroConsultas[PROFISSIONAL],0),3)</f>
        <v>301010030</v>
      </c>
      <c r="J79" s="11">
        <f>INDEX(tbCadastroConsultas[],MATCH(tbConsultas[[#This Row],[PROFISSIONAL]],tbCadastroConsultas[PROFISSIONAL],0),4)</f>
        <v>223505</v>
      </c>
    </row>
    <row r="80" spans="1:10">
      <c r="A80" s="11">
        <f t="shared" si="5"/>
        <v>79</v>
      </c>
      <c r="B80" s="4" t="s">
        <v>2</v>
      </c>
      <c r="C80" s="5">
        <v>30041929</v>
      </c>
      <c r="D80" s="5">
        <v>21052018</v>
      </c>
      <c r="E80" s="4">
        <v>89</v>
      </c>
      <c r="F80" s="15">
        <f t="shared" si="6"/>
        <v>43271</v>
      </c>
      <c r="G80" s="12">
        <f t="shared" si="7"/>
        <v>2018</v>
      </c>
      <c r="H80" s="12" t="str">
        <f t="shared" si="8"/>
        <v>Junho</v>
      </c>
      <c r="I80" s="11">
        <f>INDEX(tbCadastroConsultas[],MATCH(tbConsultas[[#This Row],[PROFISSIONAL]],tbCadastroConsultas[PROFISSIONAL],0),3)</f>
        <v>301010030</v>
      </c>
      <c r="J80" s="11">
        <f>INDEX(tbCadastroConsultas[],MATCH(tbConsultas[[#This Row],[PROFISSIONAL]],tbCadastroConsultas[PROFISSIONAL],0),4)</f>
        <v>223505</v>
      </c>
    </row>
    <row r="81" spans="1:10">
      <c r="A81" s="11">
        <f t="shared" si="5"/>
        <v>80</v>
      </c>
      <c r="B81" s="4" t="s">
        <v>2</v>
      </c>
      <c r="C81" s="5">
        <v>16041954</v>
      </c>
      <c r="D81" s="5">
        <v>21052018</v>
      </c>
      <c r="E81" s="4">
        <v>64</v>
      </c>
      <c r="F81" s="15">
        <f t="shared" si="6"/>
        <v>43271</v>
      </c>
      <c r="G81" s="12">
        <f t="shared" si="7"/>
        <v>2018</v>
      </c>
      <c r="H81" s="12" t="str">
        <f t="shared" si="8"/>
        <v>Junho</v>
      </c>
      <c r="I81" s="11">
        <f>INDEX(tbCadastroConsultas[],MATCH(tbConsultas[[#This Row],[PROFISSIONAL]],tbCadastroConsultas[PROFISSIONAL],0),3)</f>
        <v>301010030</v>
      </c>
      <c r="J81" s="11">
        <f>INDEX(tbCadastroConsultas[],MATCH(tbConsultas[[#This Row],[PROFISSIONAL]],tbCadastroConsultas[PROFISSIONAL],0),4)</f>
        <v>223505</v>
      </c>
    </row>
    <row r="82" spans="1:10">
      <c r="A82" s="11">
        <f t="shared" si="5"/>
        <v>81</v>
      </c>
      <c r="B82" s="4" t="s">
        <v>2</v>
      </c>
      <c r="C82" s="5">
        <v>23101945</v>
      </c>
      <c r="D82" s="5">
        <v>21052018</v>
      </c>
      <c r="E82" s="4">
        <v>72</v>
      </c>
      <c r="F82" s="15">
        <f t="shared" si="6"/>
        <v>43271</v>
      </c>
      <c r="G82" s="12">
        <f t="shared" si="7"/>
        <v>2018</v>
      </c>
      <c r="H82" s="12" t="str">
        <f t="shared" si="8"/>
        <v>Junho</v>
      </c>
      <c r="I82" s="11">
        <f>INDEX(tbCadastroConsultas[],MATCH(tbConsultas[[#This Row],[PROFISSIONAL]],tbCadastroConsultas[PROFISSIONAL],0),3)</f>
        <v>301010030</v>
      </c>
      <c r="J82" s="11">
        <f>INDEX(tbCadastroConsultas[],MATCH(tbConsultas[[#This Row],[PROFISSIONAL]],tbCadastroConsultas[PROFISSIONAL],0),4)</f>
        <v>223505</v>
      </c>
    </row>
    <row r="83" spans="1:10">
      <c r="A83" s="11">
        <f t="shared" si="5"/>
        <v>82</v>
      </c>
      <c r="B83" s="4" t="s">
        <v>2</v>
      </c>
      <c r="C83" s="5">
        <v>12121969</v>
      </c>
      <c r="D83" s="5">
        <v>21052018</v>
      </c>
      <c r="E83" s="4">
        <v>48</v>
      </c>
      <c r="F83" s="15">
        <f t="shared" si="6"/>
        <v>43271</v>
      </c>
      <c r="G83" s="12">
        <f t="shared" si="7"/>
        <v>2018</v>
      </c>
      <c r="H83" s="12" t="str">
        <f t="shared" si="8"/>
        <v>Junho</v>
      </c>
      <c r="I83" s="11">
        <f>INDEX(tbCadastroConsultas[],MATCH(tbConsultas[[#This Row],[PROFISSIONAL]],tbCadastroConsultas[PROFISSIONAL],0),3)</f>
        <v>301010030</v>
      </c>
      <c r="J83" s="11">
        <f>INDEX(tbCadastroConsultas[],MATCH(tbConsultas[[#This Row],[PROFISSIONAL]],tbCadastroConsultas[PROFISSIONAL],0),4)</f>
        <v>223505</v>
      </c>
    </row>
    <row r="84" spans="1:10">
      <c r="A84" s="11">
        <f t="shared" si="5"/>
        <v>83</v>
      </c>
      <c r="B84" s="4" t="s">
        <v>2</v>
      </c>
      <c r="C84" s="5">
        <v>30051989</v>
      </c>
      <c r="D84" s="5">
        <v>21052018</v>
      </c>
      <c r="E84" s="4">
        <v>28</v>
      </c>
      <c r="F84" s="15">
        <f t="shared" si="6"/>
        <v>43271</v>
      </c>
      <c r="G84" s="12">
        <f t="shared" si="7"/>
        <v>2018</v>
      </c>
      <c r="H84" s="12" t="str">
        <f t="shared" si="8"/>
        <v>Junho</v>
      </c>
      <c r="I84" s="11">
        <f>INDEX(tbCadastroConsultas[],MATCH(tbConsultas[[#This Row],[PROFISSIONAL]],tbCadastroConsultas[PROFISSIONAL],0),3)</f>
        <v>301010030</v>
      </c>
      <c r="J84" s="11">
        <f>INDEX(tbCadastroConsultas[],MATCH(tbConsultas[[#This Row],[PROFISSIONAL]],tbCadastroConsultas[PROFISSIONAL],0),4)</f>
        <v>223505</v>
      </c>
    </row>
    <row r="85" spans="1:10">
      <c r="A85" s="11">
        <f t="shared" si="5"/>
        <v>84</v>
      </c>
      <c r="B85" s="4" t="s">
        <v>5</v>
      </c>
      <c r="C85" s="5">
        <v>12081976</v>
      </c>
      <c r="D85" s="5">
        <v>21052018</v>
      </c>
      <c r="E85" s="4">
        <v>41</v>
      </c>
      <c r="F85" s="15">
        <f t="shared" si="6"/>
        <v>43271</v>
      </c>
      <c r="G85" s="12">
        <f t="shared" si="7"/>
        <v>2018</v>
      </c>
      <c r="H85" s="12" t="str">
        <f t="shared" si="8"/>
        <v>Junho</v>
      </c>
      <c r="I85" s="11">
        <f>INDEX(tbCadastroConsultas[],MATCH(tbConsultas[[#This Row],[PROFISSIONAL]],tbCadastroConsultas[PROFISSIONAL],0),3)</f>
        <v>301010030</v>
      </c>
      <c r="J85" s="11">
        <f>INDEX(tbCadastroConsultas[],MATCH(tbConsultas[[#This Row],[PROFISSIONAL]],tbCadastroConsultas[PROFISSIONAL],0),4)</f>
        <v>223565</v>
      </c>
    </row>
    <row r="86" spans="1:10">
      <c r="A86" s="11">
        <f t="shared" si="5"/>
        <v>85</v>
      </c>
      <c r="B86" s="4" t="s">
        <v>5</v>
      </c>
      <c r="C86" s="5">
        <v>18091965</v>
      </c>
      <c r="D86" s="5">
        <v>21052018</v>
      </c>
      <c r="E86" s="4">
        <v>52</v>
      </c>
      <c r="F86" s="15">
        <f t="shared" si="6"/>
        <v>43271</v>
      </c>
      <c r="G86" s="12">
        <f t="shared" si="7"/>
        <v>2018</v>
      </c>
      <c r="H86" s="12" t="str">
        <f t="shared" si="8"/>
        <v>Junho</v>
      </c>
      <c r="I86" s="11">
        <f>INDEX(tbCadastroConsultas[],MATCH(tbConsultas[[#This Row],[PROFISSIONAL]],tbCadastroConsultas[PROFISSIONAL],0),3)</f>
        <v>301010030</v>
      </c>
      <c r="J86" s="11">
        <f>INDEX(tbCadastroConsultas[],MATCH(tbConsultas[[#This Row],[PROFISSIONAL]],tbCadastroConsultas[PROFISSIONAL],0),4)</f>
        <v>223565</v>
      </c>
    </row>
    <row r="87" spans="1:10">
      <c r="A87" s="11">
        <f t="shared" si="5"/>
        <v>86</v>
      </c>
      <c r="B87" s="4" t="s">
        <v>5</v>
      </c>
      <c r="C87" s="5">
        <v>27111937</v>
      </c>
      <c r="D87" s="5">
        <v>21052018</v>
      </c>
      <c r="E87" s="4">
        <v>80</v>
      </c>
      <c r="F87" s="15">
        <f t="shared" si="6"/>
        <v>43271</v>
      </c>
      <c r="G87" s="12">
        <f t="shared" si="7"/>
        <v>2018</v>
      </c>
      <c r="H87" s="12" t="str">
        <f t="shared" si="8"/>
        <v>Junho</v>
      </c>
      <c r="I87" s="11">
        <f>INDEX(tbCadastroConsultas[],MATCH(tbConsultas[[#This Row],[PROFISSIONAL]],tbCadastroConsultas[PROFISSIONAL],0),3)</f>
        <v>301010030</v>
      </c>
      <c r="J87" s="11">
        <f>INDEX(tbCadastroConsultas[],MATCH(tbConsultas[[#This Row],[PROFISSIONAL]],tbCadastroConsultas[PROFISSIONAL],0),4)</f>
        <v>223565</v>
      </c>
    </row>
    <row r="88" spans="1:10">
      <c r="A88" s="11">
        <f t="shared" si="5"/>
        <v>87</v>
      </c>
      <c r="B88" s="4" t="s">
        <v>5</v>
      </c>
      <c r="C88" s="5">
        <v>22121987</v>
      </c>
      <c r="D88" s="5">
        <v>21052018</v>
      </c>
      <c r="E88" s="4">
        <v>30</v>
      </c>
      <c r="F88" s="15">
        <f t="shared" si="6"/>
        <v>43271</v>
      </c>
      <c r="G88" s="12">
        <f t="shared" si="7"/>
        <v>2018</v>
      </c>
      <c r="H88" s="12" t="str">
        <f t="shared" si="8"/>
        <v>Junho</v>
      </c>
      <c r="I88" s="11">
        <f>INDEX(tbCadastroConsultas[],MATCH(tbConsultas[[#This Row],[PROFISSIONAL]],tbCadastroConsultas[PROFISSIONAL],0),3)</f>
        <v>301010030</v>
      </c>
      <c r="J88" s="11">
        <f>INDEX(tbCadastroConsultas[],MATCH(tbConsultas[[#This Row],[PROFISSIONAL]],tbCadastroConsultas[PROFISSIONAL],0),4)</f>
        <v>223565</v>
      </c>
    </row>
    <row r="89" spans="1:10">
      <c r="A89" s="11">
        <f t="shared" si="5"/>
        <v>88</v>
      </c>
      <c r="B89" s="4" t="s">
        <v>5</v>
      </c>
      <c r="C89" s="5">
        <v>31072017</v>
      </c>
      <c r="D89" s="5">
        <v>21052018</v>
      </c>
      <c r="E89" s="4">
        <v>0</v>
      </c>
      <c r="F89" s="15">
        <f t="shared" si="6"/>
        <v>43271</v>
      </c>
      <c r="G89" s="12">
        <f t="shared" si="7"/>
        <v>2018</v>
      </c>
      <c r="H89" s="12" t="str">
        <f t="shared" si="8"/>
        <v>Junho</v>
      </c>
      <c r="I89" s="11">
        <f>INDEX(tbCadastroConsultas[],MATCH(tbConsultas[[#This Row],[PROFISSIONAL]],tbCadastroConsultas[PROFISSIONAL],0),3)</f>
        <v>301010030</v>
      </c>
      <c r="J89" s="11">
        <f>INDEX(tbCadastroConsultas[],MATCH(tbConsultas[[#This Row],[PROFISSIONAL]],tbCadastroConsultas[PROFISSIONAL],0),4)</f>
        <v>223565</v>
      </c>
    </row>
    <row r="90" spans="1:10">
      <c r="A90" s="11">
        <f t="shared" si="5"/>
        <v>89</v>
      </c>
      <c r="B90" s="4" t="s">
        <v>5</v>
      </c>
      <c r="C90" s="5">
        <v>15081952</v>
      </c>
      <c r="D90" s="5">
        <v>21052018</v>
      </c>
      <c r="E90" s="4">
        <v>65</v>
      </c>
      <c r="F90" s="15">
        <f t="shared" si="6"/>
        <v>43271</v>
      </c>
      <c r="G90" s="12">
        <f t="shared" si="7"/>
        <v>2018</v>
      </c>
      <c r="H90" s="12" t="str">
        <f t="shared" si="8"/>
        <v>Junho</v>
      </c>
      <c r="I90" s="11">
        <f>INDEX(tbCadastroConsultas[],MATCH(tbConsultas[[#This Row],[PROFISSIONAL]],tbCadastroConsultas[PROFISSIONAL],0),3)</f>
        <v>301010030</v>
      </c>
      <c r="J90" s="11">
        <f>INDEX(tbCadastroConsultas[],MATCH(tbConsultas[[#This Row],[PROFISSIONAL]],tbCadastroConsultas[PROFISSIONAL],0),4)</f>
        <v>223565</v>
      </c>
    </row>
    <row r="91" spans="1:10">
      <c r="A91" s="11">
        <f t="shared" si="5"/>
        <v>90</v>
      </c>
      <c r="B91" s="4" t="s">
        <v>5</v>
      </c>
      <c r="C91" s="5">
        <v>14121975</v>
      </c>
      <c r="D91" s="5">
        <v>21052018</v>
      </c>
      <c r="E91" s="4">
        <v>42</v>
      </c>
      <c r="F91" s="15">
        <f t="shared" si="6"/>
        <v>43271</v>
      </c>
      <c r="G91" s="12">
        <f t="shared" si="7"/>
        <v>2018</v>
      </c>
      <c r="H91" s="12" t="str">
        <f t="shared" si="8"/>
        <v>Junho</v>
      </c>
      <c r="I91" s="11">
        <f>INDEX(tbCadastroConsultas[],MATCH(tbConsultas[[#This Row],[PROFISSIONAL]],tbCadastroConsultas[PROFISSIONAL],0),3)</f>
        <v>301010030</v>
      </c>
      <c r="J91" s="11">
        <f>INDEX(tbCadastroConsultas[],MATCH(tbConsultas[[#This Row],[PROFISSIONAL]],tbCadastroConsultas[PROFISSIONAL],0),4)</f>
        <v>223565</v>
      </c>
    </row>
    <row r="92" spans="1:10">
      <c r="A92" s="11">
        <f t="shared" si="5"/>
        <v>91</v>
      </c>
      <c r="B92" s="4" t="s">
        <v>2</v>
      </c>
      <c r="C92" s="5">
        <v>8111961</v>
      </c>
      <c r="D92" s="5">
        <v>21052018</v>
      </c>
      <c r="E92" s="4">
        <v>56</v>
      </c>
      <c r="F92" s="15">
        <f t="shared" si="6"/>
        <v>43271</v>
      </c>
      <c r="G92" s="12">
        <f t="shared" si="7"/>
        <v>2018</v>
      </c>
      <c r="H92" s="12" t="str">
        <f t="shared" si="8"/>
        <v>Junho</v>
      </c>
      <c r="I92" s="11">
        <f>INDEX(tbCadastroConsultas[],MATCH(tbConsultas[[#This Row],[PROFISSIONAL]],tbCadastroConsultas[PROFISSIONAL],0),3)</f>
        <v>301010030</v>
      </c>
      <c r="J92" s="11">
        <f>INDEX(tbCadastroConsultas[],MATCH(tbConsultas[[#This Row],[PROFISSIONAL]],tbCadastroConsultas[PROFISSIONAL],0),4)</f>
        <v>223505</v>
      </c>
    </row>
    <row r="93" spans="1:10">
      <c r="A93" s="11">
        <f t="shared" si="5"/>
        <v>92</v>
      </c>
      <c r="B93" s="4" t="s">
        <v>2</v>
      </c>
      <c r="C93" s="5">
        <v>8081965</v>
      </c>
      <c r="D93" s="5">
        <v>21052018</v>
      </c>
      <c r="E93" s="4">
        <v>52</v>
      </c>
      <c r="F93" s="15">
        <f t="shared" si="6"/>
        <v>43271</v>
      </c>
      <c r="G93" s="12">
        <f t="shared" si="7"/>
        <v>2018</v>
      </c>
      <c r="H93" s="12" t="str">
        <f t="shared" si="8"/>
        <v>Junho</v>
      </c>
      <c r="I93" s="11">
        <f>INDEX(tbCadastroConsultas[],MATCH(tbConsultas[[#This Row],[PROFISSIONAL]],tbCadastroConsultas[PROFISSIONAL],0),3)</f>
        <v>301010030</v>
      </c>
      <c r="J93" s="11">
        <f>INDEX(tbCadastroConsultas[],MATCH(tbConsultas[[#This Row],[PROFISSIONAL]],tbCadastroConsultas[PROFISSIONAL],0),4)</f>
        <v>223505</v>
      </c>
    </row>
    <row r="94" spans="1:10">
      <c r="A94" s="11">
        <f t="shared" si="5"/>
        <v>93</v>
      </c>
      <c r="B94" s="4" t="s">
        <v>2</v>
      </c>
      <c r="C94" s="5">
        <v>29081988</v>
      </c>
      <c r="D94" s="5">
        <v>21052018</v>
      </c>
      <c r="E94" s="4">
        <v>29</v>
      </c>
      <c r="F94" s="15">
        <f t="shared" si="6"/>
        <v>43271</v>
      </c>
      <c r="G94" s="12">
        <f t="shared" si="7"/>
        <v>2018</v>
      </c>
      <c r="H94" s="12" t="str">
        <f t="shared" si="8"/>
        <v>Junho</v>
      </c>
      <c r="I94" s="11">
        <f>INDEX(tbCadastroConsultas[],MATCH(tbConsultas[[#This Row],[PROFISSIONAL]],tbCadastroConsultas[PROFISSIONAL],0),3)</f>
        <v>301010030</v>
      </c>
      <c r="J94" s="11">
        <f>INDEX(tbCadastroConsultas[],MATCH(tbConsultas[[#This Row],[PROFISSIONAL]],tbCadastroConsultas[PROFISSIONAL],0),4)</f>
        <v>223505</v>
      </c>
    </row>
    <row r="95" spans="1:10">
      <c r="A95" s="11">
        <f t="shared" si="5"/>
        <v>94</v>
      </c>
      <c r="B95" s="4" t="s">
        <v>2</v>
      </c>
      <c r="C95" s="5">
        <v>15011958</v>
      </c>
      <c r="D95" s="5">
        <v>21052018</v>
      </c>
      <c r="E95" s="4">
        <v>60</v>
      </c>
      <c r="F95" s="15">
        <f t="shared" si="6"/>
        <v>43271</v>
      </c>
      <c r="G95" s="12">
        <f t="shared" si="7"/>
        <v>2018</v>
      </c>
      <c r="H95" s="12" t="str">
        <f t="shared" si="8"/>
        <v>Junho</v>
      </c>
      <c r="I95" s="11">
        <f>INDEX(tbCadastroConsultas[],MATCH(tbConsultas[[#This Row],[PROFISSIONAL]],tbCadastroConsultas[PROFISSIONAL],0),3)</f>
        <v>301010030</v>
      </c>
      <c r="J95" s="11">
        <f>INDEX(tbCadastroConsultas[],MATCH(tbConsultas[[#This Row],[PROFISSIONAL]],tbCadastroConsultas[PROFISSIONAL],0),4)</f>
        <v>223505</v>
      </c>
    </row>
    <row r="96" spans="1:10">
      <c r="A96" s="11">
        <f t="shared" ref="A96:A159" si="9">ROW() -1</f>
        <v>95</v>
      </c>
      <c r="B96" s="4" t="s">
        <v>5</v>
      </c>
      <c r="C96" s="5">
        <v>13011949</v>
      </c>
      <c r="D96" s="5">
        <v>21052018</v>
      </c>
      <c r="E96" s="4">
        <v>69</v>
      </c>
      <c r="F96" s="15">
        <f t="shared" si="6"/>
        <v>43271</v>
      </c>
      <c r="G96" s="12">
        <f t="shared" si="7"/>
        <v>2018</v>
      </c>
      <c r="H96" s="12" t="str">
        <f t="shared" si="8"/>
        <v>Junho</v>
      </c>
      <c r="I96" s="11">
        <f>INDEX(tbCadastroConsultas[],MATCH(tbConsultas[[#This Row],[PROFISSIONAL]],tbCadastroConsultas[PROFISSIONAL],0),3)</f>
        <v>301010030</v>
      </c>
      <c r="J96" s="11">
        <f>INDEX(tbCadastroConsultas[],MATCH(tbConsultas[[#This Row],[PROFISSIONAL]],tbCadastroConsultas[PROFISSIONAL],0),4)</f>
        <v>223565</v>
      </c>
    </row>
    <row r="97" spans="1:10">
      <c r="A97" s="11">
        <f t="shared" si="9"/>
        <v>96</v>
      </c>
      <c r="B97" s="4" t="s">
        <v>5</v>
      </c>
      <c r="C97" s="5">
        <v>16011967</v>
      </c>
      <c r="D97" s="5">
        <v>21052018</v>
      </c>
      <c r="E97" s="4">
        <v>51</v>
      </c>
      <c r="F97" s="15">
        <f t="shared" si="6"/>
        <v>43271</v>
      </c>
      <c r="G97" s="12">
        <f t="shared" si="7"/>
        <v>2018</v>
      </c>
      <c r="H97" s="12" t="str">
        <f t="shared" si="8"/>
        <v>Junho</v>
      </c>
      <c r="I97" s="11">
        <f>INDEX(tbCadastroConsultas[],MATCH(tbConsultas[[#This Row],[PROFISSIONAL]],tbCadastroConsultas[PROFISSIONAL],0),3)</f>
        <v>301010030</v>
      </c>
      <c r="J97" s="11">
        <f>INDEX(tbCadastroConsultas[],MATCH(tbConsultas[[#This Row],[PROFISSIONAL]],tbCadastroConsultas[PROFISSIONAL],0),4)</f>
        <v>223565</v>
      </c>
    </row>
    <row r="98" spans="1:10">
      <c r="A98" s="11">
        <f t="shared" si="9"/>
        <v>97</v>
      </c>
      <c r="B98" s="4" t="s">
        <v>5</v>
      </c>
      <c r="C98" s="5">
        <v>25051998</v>
      </c>
      <c r="D98" s="5">
        <v>21052018</v>
      </c>
      <c r="E98" s="4">
        <v>20</v>
      </c>
      <c r="F98" s="15">
        <f t="shared" si="6"/>
        <v>43271</v>
      </c>
      <c r="G98" s="12">
        <f t="shared" si="7"/>
        <v>2018</v>
      </c>
      <c r="H98" s="12" t="str">
        <f t="shared" si="8"/>
        <v>Junho</v>
      </c>
      <c r="I98" s="11">
        <f>INDEX(tbCadastroConsultas[],MATCH(tbConsultas[[#This Row],[PROFISSIONAL]],tbCadastroConsultas[PROFISSIONAL],0),3)</f>
        <v>301010030</v>
      </c>
      <c r="J98" s="11">
        <f>INDEX(tbCadastroConsultas[],MATCH(tbConsultas[[#This Row],[PROFISSIONAL]],tbCadastroConsultas[PROFISSIONAL],0),4)</f>
        <v>223565</v>
      </c>
    </row>
    <row r="99" spans="1:10">
      <c r="A99" s="11">
        <f t="shared" si="9"/>
        <v>98</v>
      </c>
      <c r="B99" s="4" t="s">
        <v>5</v>
      </c>
      <c r="C99" s="5">
        <v>5081950</v>
      </c>
      <c r="D99" s="5">
        <v>21052018</v>
      </c>
      <c r="E99" s="4">
        <v>67</v>
      </c>
      <c r="F99" s="15">
        <f t="shared" si="6"/>
        <v>43271</v>
      </c>
      <c r="G99" s="12">
        <f t="shared" si="7"/>
        <v>2018</v>
      </c>
      <c r="H99" s="12" t="str">
        <f t="shared" si="8"/>
        <v>Junho</v>
      </c>
      <c r="I99" s="11">
        <f>INDEX(tbCadastroConsultas[],MATCH(tbConsultas[[#This Row],[PROFISSIONAL]],tbCadastroConsultas[PROFISSIONAL],0),3)</f>
        <v>301010030</v>
      </c>
      <c r="J99" s="11">
        <f>INDEX(tbCadastroConsultas[],MATCH(tbConsultas[[#This Row],[PROFISSIONAL]],tbCadastroConsultas[PROFISSIONAL],0),4)</f>
        <v>223565</v>
      </c>
    </row>
    <row r="100" spans="1:10">
      <c r="A100" s="11">
        <f t="shared" si="9"/>
        <v>99</v>
      </c>
      <c r="B100" s="4" t="s">
        <v>77</v>
      </c>
      <c r="C100" s="5">
        <v>16071979</v>
      </c>
      <c r="D100" s="5">
        <v>21052018</v>
      </c>
      <c r="E100" s="4">
        <v>38</v>
      </c>
      <c r="F100" s="15">
        <f t="shared" si="6"/>
        <v>43271</v>
      </c>
      <c r="G100" s="12">
        <f t="shared" si="7"/>
        <v>2018</v>
      </c>
      <c r="H100" s="12" t="str">
        <f t="shared" si="8"/>
        <v>Junho</v>
      </c>
      <c r="I100" s="11">
        <f>INDEX(tbCadastroConsultas[],MATCH(tbConsultas[[#This Row],[PROFISSIONAL]],tbCadastroConsultas[PROFISSIONAL],0),3)</f>
        <v>301010110</v>
      </c>
      <c r="J100" s="11">
        <f>INDEX(tbCadastroConsultas[],MATCH(tbConsultas[[#This Row],[PROFISSIONAL]],tbCadastroConsultas[PROFISSIONAL],0),4)</f>
        <v>223565</v>
      </c>
    </row>
    <row r="101" spans="1:10">
      <c r="A101" s="11">
        <f t="shared" si="9"/>
        <v>100</v>
      </c>
      <c r="B101" s="4" t="s">
        <v>5</v>
      </c>
      <c r="C101" s="5">
        <v>16011985</v>
      </c>
      <c r="D101" s="5">
        <v>21052018</v>
      </c>
      <c r="E101" s="4">
        <v>33</v>
      </c>
      <c r="F101" s="15">
        <f t="shared" si="6"/>
        <v>43271</v>
      </c>
      <c r="G101" s="12">
        <f t="shared" si="7"/>
        <v>2018</v>
      </c>
      <c r="H101" s="12" t="str">
        <f t="shared" si="8"/>
        <v>Junho</v>
      </c>
      <c r="I101" s="11">
        <f>INDEX(tbCadastroConsultas[],MATCH(tbConsultas[[#This Row],[PROFISSIONAL]],tbCadastroConsultas[PROFISSIONAL],0),3)</f>
        <v>301010030</v>
      </c>
      <c r="J101" s="11">
        <f>INDEX(tbCadastroConsultas[],MATCH(tbConsultas[[#This Row],[PROFISSIONAL]],tbCadastroConsultas[PROFISSIONAL],0),4)</f>
        <v>223565</v>
      </c>
    </row>
    <row r="102" spans="1:10">
      <c r="A102" s="11">
        <f t="shared" si="9"/>
        <v>101</v>
      </c>
      <c r="B102" s="4" t="s">
        <v>5</v>
      </c>
      <c r="C102" s="5">
        <v>13011987</v>
      </c>
      <c r="D102" s="5">
        <v>21052018</v>
      </c>
      <c r="E102" s="4">
        <v>31</v>
      </c>
      <c r="F102" s="15">
        <f t="shared" si="6"/>
        <v>43271</v>
      </c>
      <c r="G102" s="12">
        <f t="shared" si="7"/>
        <v>2018</v>
      </c>
      <c r="H102" s="12" t="str">
        <f t="shared" si="8"/>
        <v>Junho</v>
      </c>
      <c r="I102" s="11">
        <f>INDEX(tbCadastroConsultas[],MATCH(tbConsultas[[#This Row],[PROFISSIONAL]],tbCadastroConsultas[PROFISSIONAL],0),3)</f>
        <v>301010030</v>
      </c>
      <c r="J102" s="11">
        <f>INDEX(tbCadastroConsultas[],MATCH(tbConsultas[[#This Row],[PROFISSIONAL]],tbCadastroConsultas[PROFISSIONAL],0),4)</f>
        <v>223565</v>
      </c>
    </row>
    <row r="103" spans="1:10">
      <c r="A103" s="11">
        <f t="shared" si="9"/>
        <v>102</v>
      </c>
      <c r="B103" s="4" t="s">
        <v>5</v>
      </c>
      <c r="C103" s="5">
        <v>9051950</v>
      </c>
      <c r="D103" s="5">
        <v>21052018</v>
      </c>
      <c r="E103" s="4">
        <v>68</v>
      </c>
      <c r="F103" s="15">
        <f t="shared" si="6"/>
        <v>43271</v>
      </c>
      <c r="G103" s="12">
        <f t="shared" si="7"/>
        <v>2018</v>
      </c>
      <c r="H103" s="12" t="str">
        <f t="shared" si="8"/>
        <v>Junho</v>
      </c>
      <c r="I103" s="11">
        <f>INDEX(tbCadastroConsultas[],MATCH(tbConsultas[[#This Row],[PROFISSIONAL]],tbCadastroConsultas[PROFISSIONAL],0),3)</f>
        <v>301010030</v>
      </c>
      <c r="J103" s="11">
        <f>INDEX(tbCadastroConsultas[],MATCH(tbConsultas[[#This Row],[PROFISSIONAL]],tbCadastroConsultas[PROFISSIONAL],0),4)</f>
        <v>223565</v>
      </c>
    </row>
    <row r="104" spans="1:10">
      <c r="A104" s="11">
        <f t="shared" si="9"/>
        <v>103</v>
      </c>
      <c r="B104" s="4" t="s">
        <v>5</v>
      </c>
      <c r="C104" s="5">
        <v>21121964</v>
      </c>
      <c r="D104" s="5">
        <v>21052018</v>
      </c>
      <c r="E104" s="4">
        <v>53</v>
      </c>
      <c r="F104" s="15">
        <f t="shared" si="6"/>
        <v>43271</v>
      </c>
      <c r="G104" s="12">
        <f t="shared" si="7"/>
        <v>2018</v>
      </c>
      <c r="H104" s="12" t="str">
        <f t="shared" si="8"/>
        <v>Junho</v>
      </c>
      <c r="I104" s="11">
        <f>INDEX(tbCadastroConsultas[],MATCH(tbConsultas[[#This Row],[PROFISSIONAL]],tbCadastroConsultas[PROFISSIONAL],0),3)</f>
        <v>301010030</v>
      </c>
      <c r="J104" s="11">
        <f>INDEX(tbCadastroConsultas[],MATCH(tbConsultas[[#This Row],[PROFISSIONAL]],tbCadastroConsultas[PROFISSIONAL],0),4)</f>
        <v>223565</v>
      </c>
    </row>
    <row r="105" spans="1:10">
      <c r="A105" s="11">
        <f t="shared" si="9"/>
        <v>104</v>
      </c>
      <c r="B105" s="4" t="s">
        <v>5</v>
      </c>
      <c r="C105" s="5">
        <v>22041993</v>
      </c>
      <c r="D105" s="5">
        <v>21052018</v>
      </c>
      <c r="E105" s="4">
        <v>25</v>
      </c>
      <c r="F105" s="15">
        <f t="shared" si="6"/>
        <v>43271</v>
      </c>
      <c r="G105" s="12">
        <f t="shared" si="7"/>
        <v>2018</v>
      </c>
      <c r="H105" s="12" t="str">
        <f t="shared" si="8"/>
        <v>Junho</v>
      </c>
      <c r="I105" s="11">
        <f>INDEX(tbCadastroConsultas[],MATCH(tbConsultas[[#This Row],[PROFISSIONAL]],tbCadastroConsultas[PROFISSIONAL],0),3)</f>
        <v>301010030</v>
      </c>
      <c r="J105" s="11">
        <f>INDEX(tbCadastroConsultas[],MATCH(tbConsultas[[#This Row],[PROFISSIONAL]],tbCadastroConsultas[PROFISSIONAL],0),4)</f>
        <v>223565</v>
      </c>
    </row>
    <row r="106" spans="1:10">
      <c r="A106" s="11">
        <f t="shared" si="9"/>
        <v>105</v>
      </c>
      <c r="B106" s="4" t="s">
        <v>1</v>
      </c>
      <c r="C106" s="5">
        <v>28111997</v>
      </c>
      <c r="D106" s="5">
        <v>21052018</v>
      </c>
      <c r="E106" s="4">
        <v>20</v>
      </c>
      <c r="F106" s="15">
        <f t="shared" si="6"/>
        <v>43271</v>
      </c>
      <c r="G106" s="12">
        <f t="shared" si="7"/>
        <v>2018</v>
      </c>
      <c r="H106" s="12" t="str">
        <f t="shared" si="8"/>
        <v>Junho</v>
      </c>
      <c r="I106" s="11">
        <f>INDEX(tbCadastroConsultas[],MATCH(tbConsultas[[#This Row],[PROFISSIONAL]],tbCadastroConsultas[PROFISSIONAL],0),3)</f>
        <v>301010030</v>
      </c>
      <c r="J106" s="11">
        <f>INDEX(tbCadastroConsultas[],MATCH(tbConsultas[[#This Row],[PROFISSIONAL]],tbCadastroConsultas[PROFISSIONAL],0),4)</f>
        <v>251510</v>
      </c>
    </row>
    <row r="107" spans="1:10">
      <c r="A107" s="11">
        <f t="shared" si="9"/>
        <v>106</v>
      </c>
      <c r="B107" s="4" t="s">
        <v>1</v>
      </c>
      <c r="C107" s="5">
        <v>28051985</v>
      </c>
      <c r="D107" s="5">
        <v>21052018</v>
      </c>
      <c r="E107" s="4">
        <v>33</v>
      </c>
      <c r="F107" s="15">
        <f t="shared" si="6"/>
        <v>43271</v>
      </c>
      <c r="G107" s="12">
        <f t="shared" si="7"/>
        <v>2018</v>
      </c>
      <c r="H107" s="12" t="str">
        <f t="shared" si="8"/>
        <v>Junho</v>
      </c>
      <c r="I107" s="11">
        <f>INDEX(tbCadastroConsultas[],MATCH(tbConsultas[[#This Row],[PROFISSIONAL]],tbCadastroConsultas[PROFISSIONAL],0),3)</f>
        <v>301010030</v>
      </c>
      <c r="J107" s="11">
        <f>INDEX(tbCadastroConsultas[],MATCH(tbConsultas[[#This Row],[PROFISSIONAL]],tbCadastroConsultas[PROFISSIONAL],0),4)</f>
        <v>251510</v>
      </c>
    </row>
    <row r="108" spans="1:10">
      <c r="A108" s="11">
        <f t="shared" si="9"/>
        <v>107</v>
      </c>
      <c r="B108" s="4" t="s">
        <v>1</v>
      </c>
      <c r="C108" s="5">
        <v>10021981</v>
      </c>
      <c r="D108" s="5">
        <v>21052018</v>
      </c>
      <c r="E108" s="4">
        <v>37</v>
      </c>
      <c r="F108" s="15">
        <f t="shared" si="6"/>
        <v>43271</v>
      </c>
      <c r="G108" s="12">
        <f t="shared" si="7"/>
        <v>2018</v>
      </c>
      <c r="H108" s="12" t="str">
        <f t="shared" si="8"/>
        <v>Junho</v>
      </c>
      <c r="I108" s="11">
        <f>INDEX(tbCadastroConsultas[],MATCH(tbConsultas[[#This Row],[PROFISSIONAL]],tbCadastroConsultas[PROFISSIONAL],0),3)</f>
        <v>301010030</v>
      </c>
      <c r="J108" s="11">
        <f>INDEX(tbCadastroConsultas[],MATCH(tbConsultas[[#This Row],[PROFISSIONAL]],tbCadastroConsultas[PROFISSIONAL],0),4)</f>
        <v>251510</v>
      </c>
    </row>
    <row r="109" spans="1:10">
      <c r="A109" s="11">
        <f t="shared" si="9"/>
        <v>108</v>
      </c>
      <c r="B109" s="4" t="s">
        <v>1</v>
      </c>
      <c r="C109" s="5">
        <v>14042008</v>
      </c>
      <c r="D109" s="5">
        <v>21052018</v>
      </c>
      <c r="E109" s="4">
        <v>10</v>
      </c>
      <c r="F109" s="15">
        <f t="shared" si="6"/>
        <v>43271</v>
      </c>
      <c r="G109" s="12">
        <f t="shared" si="7"/>
        <v>2018</v>
      </c>
      <c r="H109" s="12" t="str">
        <f t="shared" si="8"/>
        <v>Junho</v>
      </c>
      <c r="I109" s="11">
        <f>INDEX(tbCadastroConsultas[],MATCH(tbConsultas[[#This Row],[PROFISSIONAL]],tbCadastroConsultas[PROFISSIONAL],0),3)</f>
        <v>301010030</v>
      </c>
      <c r="J109" s="11">
        <f>INDEX(tbCadastroConsultas[],MATCH(tbConsultas[[#This Row],[PROFISSIONAL]],tbCadastroConsultas[PROFISSIONAL],0),4)</f>
        <v>251510</v>
      </c>
    </row>
    <row r="110" spans="1:10">
      <c r="A110" s="11">
        <f t="shared" si="9"/>
        <v>109</v>
      </c>
      <c r="B110" s="4" t="s">
        <v>1</v>
      </c>
      <c r="C110" s="5">
        <v>21111980</v>
      </c>
      <c r="D110" s="5">
        <v>21052018</v>
      </c>
      <c r="E110" s="4">
        <v>37</v>
      </c>
      <c r="F110" s="15">
        <f t="shared" si="6"/>
        <v>43271</v>
      </c>
      <c r="G110" s="12">
        <f t="shared" si="7"/>
        <v>2018</v>
      </c>
      <c r="H110" s="12" t="str">
        <f t="shared" si="8"/>
        <v>Junho</v>
      </c>
      <c r="I110" s="11">
        <f>INDEX(tbCadastroConsultas[],MATCH(tbConsultas[[#This Row],[PROFISSIONAL]],tbCadastroConsultas[PROFISSIONAL],0),3)</f>
        <v>301010030</v>
      </c>
      <c r="J110" s="11">
        <f>INDEX(tbCadastroConsultas[],MATCH(tbConsultas[[#This Row],[PROFISSIONAL]],tbCadastroConsultas[PROFISSIONAL],0),4)</f>
        <v>251510</v>
      </c>
    </row>
    <row r="111" spans="1:10">
      <c r="A111" s="11">
        <f t="shared" si="9"/>
        <v>110</v>
      </c>
      <c r="B111" s="4" t="s">
        <v>6</v>
      </c>
      <c r="C111" s="5">
        <v>23031968</v>
      </c>
      <c r="D111" s="5">
        <v>21052018</v>
      </c>
      <c r="E111" s="4">
        <v>50</v>
      </c>
      <c r="F111" s="15">
        <f t="shared" si="6"/>
        <v>43271</v>
      </c>
      <c r="G111" s="12">
        <f t="shared" si="7"/>
        <v>2018</v>
      </c>
      <c r="H111" s="12" t="str">
        <f t="shared" si="8"/>
        <v>Junho</v>
      </c>
      <c r="I111" s="11">
        <f>INDEX(tbCadastroConsultas[],MATCH(tbConsultas[[#This Row],[PROFISSIONAL]],tbCadastroConsultas[PROFISSIONAL],0),3)</f>
        <v>301010064</v>
      </c>
      <c r="J111" s="11">
        <f>INDEX(tbCadastroConsultas[],MATCH(tbConsultas[[#This Row],[PROFISSIONAL]],tbCadastroConsultas[PROFISSIONAL],0),4)</f>
        <v>225125</v>
      </c>
    </row>
    <row r="112" spans="1:10">
      <c r="A112" s="11">
        <f t="shared" si="9"/>
        <v>111</v>
      </c>
      <c r="B112" s="4" t="s">
        <v>6</v>
      </c>
      <c r="C112" s="5">
        <v>11122003</v>
      </c>
      <c r="D112" s="5">
        <v>21052018</v>
      </c>
      <c r="E112" s="4">
        <v>14</v>
      </c>
      <c r="F112" s="15">
        <f t="shared" si="6"/>
        <v>43271</v>
      </c>
      <c r="G112" s="12">
        <f t="shared" si="7"/>
        <v>2018</v>
      </c>
      <c r="H112" s="12" t="str">
        <f t="shared" si="8"/>
        <v>Junho</v>
      </c>
      <c r="I112" s="11">
        <f>INDEX(tbCadastroConsultas[],MATCH(tbConsultas[[#This Row],[PROFISSIONAL]],tbCadastroConsultas[PROFISSIONAL],0),3)</f>
        <v>301010064</v>
      </c>
      <c r="J112" s="11">
        <f>INDEX(tbCadastroConsultas[],MATCH(tbConsultas[[#This Row],[PROFISSIONAL]],tbCadastroConsultas[PROFISSIONAL],0),4)</f>
        <v>225125</v>
      </c>
    </row>
    <row r="113" spans="1:10">
      <c r="A113" s="11">
        <f t="shared" si="9"/>
        <v>112</v>
      </c>
      <c r="B113" s="4" t="s">
        <v>6</v>
      </c>
      <c r="C113" s="5">
        <v>17021968</v>
      </c>
      <c r="D113" s="5">
        <v>21052018</v>
      </c>
      <c r="E113" s="4">
        <v>50</v>
      </c>
      <c r="F113" s="15">
        <f t="shared" si="6"/>
        <v>43271</v>
      </c>
      <c r="G113" s="12">
        <f t="shared" si="7"/>
        <v>2018</v>
      </c>
      <c r="H113" s="12" t="str">
        <f t="shared" si="8"/>
        <v>Junho</v>
      </c>
      <c r="I113" s="11">
        <f>INDEX(tbCadastroConsultas[],MATCH(tbConsultas[[#This Row],[PROFISSIONAL]],tbCadastroConsultas[PROFISSIONAL],0),3)</f>
        <v>301010064</v>
      </c>
      <c r="J113" s="11">
        <f>INDEX(tbCadastroConsultas[],MATCH(tbConsultas[[#This Row],[PROFISSIONAL]],tbCadastroConsultas[PROFISSIONAL],0),4)</f>
        <v>225125</v>
      </c>
    </row>
    <row r="114" spans="1:10">
      <c r="A114" s="11">
        <f t="shared" si="9"/>
        <v>113</v>
      </c>
      <c r="B114" s="4" t="s">
        <v>6</v>
      </c>
      <c r="C114" s="5">
        <v>24061984</v>
      </c>
      <c r="D114" s="5">
        <v>21052018</v>
      </c>
      <c r="E114" s="4">
        <v>33</v>
      </c>
      <c r="F114" s="15">
        <f t="shared" si="6"/>
        <v>43271</v>
      </c>
      <c r="G114" s="12">
        <f t="shared" si="7"/>
        <v>2018</v>
      </c>
      <c r="H114" s="12" t="str">
        <f t="shared" si="8"/>
        <v>Junho</v>
      </c>
      <c r="I114" s="11">
        <f>INDEX(tbCadastroConsultas[],MATCH(tbConsultas[[#This Row],[PROFISSIONAL]],tbCadastroConsultas[PROFISSIONAL],0),3)</f>
        <v>301010064</v>
      </c>
      <c r="J114" s="11">
        <f>INDEX(tbCadastroConsultas[],MATCH(tbConsultas[[#This Row],[PROFISSIONAL]],tbCadastroConsultas[PROFISSIONAL],0),4)</f>
        <v>225125</v>
      </c>
    </row>
    <row r="115" spans="1:10">
      <c r="A115" s="11">
        <f t="shared" si="9"/>
        <v>114</v>
      </c>
      <c r="B115" s="4" t="s">
        <v>6</v>
      </c>
      <c r="C115" s="5">
        <v>30081966</v>
      </c>
      <c r="D115" s="5">
        <v>21052018</v>
      </c>
      <c r="E115" s="4">
        <v>51</v>
      </c>
      <c r="F115" s="15">
        <f t="shared" si="6"/>
        <v>43271</v>
      </c>
      <c r="G115" s="12">
        <f t="shared" si="7"/>
        <v>2018</v>
      </c>
      <c r="H115" s="12" t="str">
        <f t="shared" si="8"/>
        <v>Junho</v>
      </c>
      <c r="I115" s="11">
        <f>INDEX(tbCadastroConsultas[],MATCH(tbConsultas[[#This Row],[PROFISSIONAL]],tbCadastroConsultas[PROFISSIONAL],0),3)</f>
        <v>301010064</v>
      </c>
      <c r="J115" s="11">
        <f>INDEX(tbCadastroConsultas[],MATCH(tbConsultas[[#This Row],[PROFISSIONAL]],tbCadastroConsultas[PROFISSIONAL],0),4)</f>
        <v>225125</v>
      </c>
    </row>
    <row r="116" spans="1:10">
      <c r="A116" s="11">
        <f t="shared" si="9"/>
        <v>115</v>
      </c>
      <c r="B116" s="4" t="s">
        <v>6</v>
      </c>
      <c r="C116" s="5">
        <v>2101940</v>
      </c>
      <c r="D116" s="5">
        <v>21052018</v>
      </c>
      <c r="E116" s="4">
        <v>77</v>
      </c>
      <c r="F116" s="15">
        <f t="shared" si="6"/>
        <v>43271</v>
      </c>
      <c r="G116" s="12">
        <f t="shared" si="7"/>
        <v>2018</v>
      </c>
      <c r="H116" s="12" t="str">
        <f t="shared" si="8"/>
        <v>Junho</v>
      </c>
      <c r="I116" s="11">
        <f>INDEX(tbCadastroConsultas[],MATCH(tbConsultas[[#This Row],[PROFISSIONAL]],tbCadastroConsultas[PROFISSIONAL],0),3)</f>
        <v>301010064</v>
      </c>
      <c r="J116" s="11">
        <f>INDEX(tbCadastroConsultas[],MATCH(tbConsultas[[#This Row],[PROFISSIONAL]],tbCadastroConsultas[PROFISSIONAL],0),4)</f>
        <v>225125</v>
      </c>
    </row>
    <row r="117" spans="1:10">
      <c r="A117" s="11">
        <f t="shared" si="9"/>
        <v>116</v>
      </c>
      <c r="B117" s="4" t="s">
        <v>6</v>
      </c>
      <c r="C117" s="5">
        <v>18091962</v>
      </c>
      <c r="D117" s="5">
        <v>21052018</v>
      </c>
      <c r="E117" s="4">
        <v>55</v>
      </c>
      <c r="F117" s="15">
        <f t="shared" si="6"/>
        <v>43271</v>
      </c>
      <c r="G117" s="12">
        <f t="shared" si="7"/>
        <v>2018</v>
      </c>
      <c r="H117" s="12" t="str">
        <f t="shared" si="8"/>
        <v>Junho</v>
      </c>
      <c r="I117" s="11">
        <f>INDEX(tbCadastroConsultas[],MATCH(tbConsultas[[#This Row],[PROFISSIONAL]],tbCadastroConsultas[PROFISSIONAL],0),3)</f>
        <v>301010064</v>
      </c>
      <c r="J117" s="11">
        <f>INDEX(tbCadastroConsultas[],MATCH(tbConsultas[[#This Row],[PROFISSIONAL]],tbCadastroConsultas[PROFISSIONAL],0),4)</f>
        <v>225125</v>
      </c>
    </row>
    <row r="118" spans="1:10">
      <c r="A118" s="11">
        <f t="shared" si="9"/>
        <v>117</v>
      </c>
      <c r="B118" s="4" t="s">
        <v>6</v>
      </c>
      <c r="C118" s="5">
        <v>20082004</v>
      </c>
      <c r="D118" s="5">
        <v>21052018</v>
      </c>
      <c r="E118" s="4">
        <v>13</v>
      </c>
      <c r="F118" s="15">
        <f t="shared" si="6"/>
        <v>43271</v>
      </c>
      <c r="G118" s="12">
        <f t="shared" si="7"/>
        <v>2018</v>
      </c>
      <c r="H118" s="12" t="str">
        <f t="shared" si="8"/>
        <v>Junho</v>
      </c>
      <c r="I118" s="11">
        <f>INDEX(tbCadastroConsultas[],MATCH(tbConsultas[[#This Row],[PROFISSIONAL]],tbCadastroConsultas[PROFISSIONAL],0),3)</f>
        <v>301010064</v>
      </c>
      <c r="J118" s="11">
        <f>INDEX(tbCadastroConsultas[],MATCH(tbConsultas[[#This Row],[PROFISSIONAL]],tbCadastroConsultas[PROFISSIONAL],0),4)</f>
        <v>225125</v>
      </c>
    </row>
    <row r="119" spans="1:10">
      <c r="A119" s="11">
        <f t="shared" si="9"/>
        <v>118</v>
      </c>
      <c r="B119" s="4" t="s">
        <v>6</v>
      </c>
      <c r="C119" s="5">
        <v>1121942</v>
      </c>
      <c r="D119" s="5">
        <v>21052018</v>
      </c>
      <c r="E119" s="4">
        <v>75</v>
      </c>
      <c r="F119" s="15">
        <f t="shared" si="6"/>
        <v>43271</v>
      </c>
      <c r="G119" s="12">
        <f t="shared" si="7"/>
        <v>2018</v>
      </c>
      <c r="H119" s="12" t="str">
        <f t="shared" si="8"/>
        <v>Junho</v>
      </c>
      <c r="I119" s="11">
        <f>INDEX(tbCadastroConsultas[],MATCH(tbConsultas[[#This Row],[PROFISSIONAL]],tbCadastroConsultas[PROFISSIONAL],0),3)</f>
        <v>301010064</v>
      </c>
      <c r="J119" s="11">
        <f>INDEX(tbCadastroConsultas[],MATCH(tbConsultas[[#This Row],[PROFISSIONAL]],tbCadastroConsultas[PROFISSIONAL],0),4)</f>
        <v>225125</v>
      </c>
    </row>
    <row r="120" spans="1:10">
      <c r="A120" s="11">
        <f t="shared" si="9"/>
        <v>119</v>
      </c>
      <c r="B120" s="4" t="s">
        <v>6</v>
      </c>
      <c r="C120" s="5">
        <v>26061950</v>
      </c>
      <c r="D120" s="5">
        <v>21052018</v>
      </c>
      <c r="E120" s="4">
        <v>67</v>
      </c>
      <c r="F120" s="15">
        <f t="shared" si="6"/>
        <v>43271</v>
      </c>
      <c r="G120" s="12">
        <f t="shared" si="7"/>
        <v>2018</v>
      </c>
      <c r="H120" s="12" t="str">
        <f t="shared" si="8"/>
        <v>Junho</v>
      </c>
      <c r="I120" s="11">
        <f>INDEX(tbCadastroConsultas[],MATCH(tbConsultas[[#This Row],[PROFISSIONAL]],tbCadastroConsultas[PROFISSIONAL],0),3)</f>
        <v>301010064</v>
      </c>
      <c r="J120" s="11">
        <f>INDEX(tbCadastroConsultas[],MATCH(tbConsultas[[#This Row],[PROFISSIONAL]],tbCadastroConsultas[PROFISSIONAL],0),4)</f>
        <v>225125</v>
      </c>
    </row>
    <row r="121" spans="1:10">
      <c r="A121" s="11">
        <f t="shared" si="9"/>
        <v>120</v>
      </c>
      <c r="B121" s="4" t="s">
        <v>6</v>
      </c>
      <c r="C121" s="5">
        <v>2021979</v>
      </c>
      <c r="D121" s="5">
        <v>21052018</v>
      </c>
      <c r="E121" s="4">
        <v>39</v>
      </c>
      <c r="F121" s="15">
        <f t="shared" si="6"/>
        <v>43271</v>
      </c>
      <c r="G121" s="12">
        <f t="shared" si="7"/>
        <v>2018</v>
      </c>
      <c r="H121" s="12" t="str">
        <f t="shared" si="8"/>
        <v>Junho</v>
      </c>
      <c r="I121" s="11">
        <f>INDEX(tbCadastroConsultas[],MATCH(tbConsultas[[#This Row],[PROFISSIONAL]],tbCadastroConsultas[PROFISSIONAL],0),3)</f>
        <v>301010064</v>
      </c>
      <c r="J121" s="11">
        <f>INDEX(tbCadastroConsultas[],MATCH(tbConsultas[[#This Row],[PROFISSIONAL]],tbCadastroConsultas[PROFISSIONAL],0),4)</f>
        <v>225125</v>
      </c>
    </row>
    <row r="122" spans="1:10">
      <c r="A122" s="11">
        <f t="shared" si="9"/>
        <v>121</v>
      </c>
      <c r="B122" s="4" t="s">
        <v>6</v>
      </c>
      <c r="C122" s="5">
        <v>9071968</v>
      </c>
      <c r="D122" s="5">
        <v>21052018</v>
      </c>
      <c r="E122" s="4">
        <v>49</v>
      </c>
      <c r="F122" s="15">
        <f t="shared" si="6"/>
        <v>43271</v>
      </c>
      <c r="G122" s="12">
        <f t="shared" si="7"/>
        <v>2018</v>
      </c>
      <c r="H122" s="12" t="str">
        <f t="shared" si="8"/>
        <v>Junho</v>
      </c>
      <c r="I122" s="11">
        <f>INDEX(tbCadastroConsultas[],MATCH(tbConsultas[[#This Row],[PROFISSIONAL]],tbCadastroConsultas[PROFISSIONAL],0),3)</f>
        <v>301010064</v>
      </c>
      <c r="J122" s="11">
        <f>INDEX(tbCadastroConsultas[],MATCH(tbConsultas[[#This Row],[PROFISSIONAL]],tbCadastroConsultas[PROFISSIONAL],0),4)</f>
        <v>225125</v>
      </c>
    </row>
    <row r="123" spans="1:10">
      <c r="A123" s="11">
        <f t="shared" si="9"/>
        <v>122</v>
      </c>
      <c r="B123" s="4" t="s">
        <v>6</v>
      </c>
      <c r="C123" s="5">
        <v>5042004</v>
      </c>
      <c r="D123" s="5">
        <v>21052018</v>
      </c>
      <c r="E123" s="4">
        <v>14</v>
      </c>
      <c r="F123" s="15">
        <f t="shared" si="6"/>
        <v>43271</v>
      </c>
      <c r="G123" s="12">
        <f t="shared" si="7"/>
        <v>2018</v>
      </c>
      <c r="H123" s="12" t="str">
        <f t="shared" si="8"/>
        <v>Junho</v>
      </c>
      <c r="I123" s="11">
        <f>INDEX(tbCadastroConsultas[],MATCH(tbConsultas[[#This Row],[PROFISSIONAL]],tbCadastroConsultas[PROFISSIONAL],0),3)</f>
        <v>301010064</v>
      </c>
      <c r="J123" s="11">
        <f>INDEX(tbCadastroConsultas[],MATCH(tbConsultas[[#This Row],[PROFISSIONAL]],tbCadastroConsultas[PROFISSIONAL],0),4)</f>
        <v>225125</v>
      </c>
    </row>
    <row r="124" spans="1:10">
      <c r="A124" s="11">
        <f t="shared" si="9"/>
        <v>123</v>
      </c>
      <c r="B124" s="4" t="s">
        <v>6</v>
      </c>
      <c r="C124" s="5">
        <v>22021942</v>
      </c>
      <c r="D124" s="5">
        <v>21052018</v>
      </c>
      <c r="E124" s="4">
        <v>76</v>
      </c>
      <c r="F124" s="15">
        <f t="shared" si="6"/>
        <v>43271</v>
      </c>
      <c r="G124" s="12">
        <f t="shared" si="7"/>
        <v>2018</v>
      </c>
      <c r="H124" s="12" t="str">
        <f t="shared" si="8"/>
        <v>Junho</v>
      </c>
      <c r="I124" s="11">
        <f>INDEX(tbCadastroConsultas[],MATCH(tbConsultas[[#This Row],[PROFISSIONAL]],tbCadastroConsultas[PROFISSIONAL],0),3)</f>
        <v>301010064</v>
      </c>
      <c r="J124" s="11">
        <f>INDEX(tbCadastroConsultas[],MATCH(tbConsultas[[#This Row],[PROFISSIONAL]],tbCadastroConsultas[PROFISSIONAL],0),4)</f>
        <v>225125</v>
      </c>
    </row>
    <row r="125" spans="1:10">
      <c r="A125" s="11">
        <f t="shared" si="9"/>
        <v>124</v>
      </c>
      <c r="B125" s="4" t="s">
        <v>6</v>
      </c>
      <c r="C125" s="5">
        <v>11121948</v>
      </c>
      <c r="D125" s="5">
        <v>21052018</v>
      </c>
      <c r="E125" s="4">
        <v>69</v>
      </c>
      <c r="F125" s="15">
        <f t="shared" si="6"/>
        <v>43271</v>
      </c>
      <c r="G125" s="12">
        <f t="shared" si="7"/>
        <v>2018</v>
      </c>
      <c r="H125" s="12" t="str">
        <f t="shared" si="8"/>
        <v>Junho</v>
      </c>
      <c r="I125" s="11">
        <f>INDEX(tbCadastroConsultas[],MATCH(tbConsultas[[#This Row],[PROFISSIONAL]],tbCadastroConsultas[PROFISSIONAL],0),3)</f>
        <v>301010064</v>
      </c>
      <c r="J125" s="11">
        <f>INDEX(tbCadastroConsultas[],MATCH(tbConsultas[[#This Row],[PROFISSIONAL]],tbCadastroConsultas[PROFISSIONAL],0),4)</f>
        <v>225125</v>
      </c>
    </row>
    <row r="126" spans="1:10">
      <c r="A126" s="11">
        <f t="shared" si="9"/>
        <v>125</v>
      </c>
      <c r="B126" s="4" t="s">
        <v>6</v>
      </c>
      <c r="C126" s="5">
        <v>26041966</v>
      </c>
      <c r="D126" s="5">
        <v>21052018</v>
      </c>
      <c r="E126" s="4">
        <v>52</v>
      </c>
      <c r="F126" s="15">
        <f t="shared" si="6"/>
        <v>43271</v>
      </c>
      <c r="G126" s="12">
        <f t="shared" si="7"/>
        <v>2018</v>
      </c>
      <c r="H126" s="12" t="str">
        <f t="shared" si="8"/>
        <v>Junho</v>
      </c>
      <c r="I126" s="11">
        <f>INDEX(tbCadastroConsultas[],MATCH(tbConsultas[[#This Row],[PROFISSIONAL]],tbCadastroConsultas[PROFISSIONAL],0),3)</f>
        <v>301010064</v>
      </c>
      <c r="J126" s="11">
        <f>INDEX(tbCadastroConsultas[],MATCH(tbConsultas[[#This Row],[PROFISSIONAL]],tbCadastroConsultas[PROFISSIONAL],0),4)</f>
        <v>225125</v>
      </c>
    </row>
    <row r="127" spans="1:10">
      <c r="A127" s="11">
        <f t="shared" si="9"/>
        <v>126</v>
      </c>
      <c r="B127" s="4" t="s">
        <v>6</v>
      </c>
      <c r="C127" s="5">
        <v>28041971</v>
      </c>
      <c r="D127" s="5">
        <v>21052018</v>
      </c>
      <c r="E127" s="4">
        <v>47</v>
      </c>
      <c r="F127" s="15">
        <f t="shared" si="6"/>
        <v>43271</v>
      </c>
      <c r="G127" s="12">
        <f t="shared" si="7"/>
        <v>2018</v>
      </c>
      <c r="H127" s="12" t="str">
        <f t="shared" si="8"/>
        <v>Junho</v>
      </c>
      <c r="I127" s="11">
        <f>INDEX(tbCadastroConsultas[],MATCH(tbConsultas[[#This Row],[PROFISSIONAL]],tbCadastroConsultas[PROFISSIONAL],0),3)</f>
        <v>301010064</v>
      </c>
      <c r="J127" s="11">
        <f>INDEX(tbCadastroConsultas[],MATCH(tbConsultas[[#This Row],[PROFISSIONAL]],tbCadastroConsultas[PROFISSIONAL],0),4)</f>
        <v>225125</v>
      </c>
    </row>
    <row r="128" spans="1:10">
      <c r="A128" s="11">
        <f t="shared" si="9"/>
        <v>127</v>
      </c>
      <c r="B128" s="4" t="s">
        <v>6</v>
      </c>
      <c r="C128" s="5">
        <v>4042006</v>
      </c>
      <c r="D128" s="5">
        <v>21052018</v>
      </c>
      <c r="E128" s="4">
        <v>12</v>
      </c>
      <c r="F128" s="15">
        <f t="shared" si="6"/>
        <v>43271</v>
      </c>
      <c r="G128" s="12">
        <f t="shared" si="7"/>
        <v>2018</v>
      </c>
      <c r="H128" s="12" t="str">
        <f t="shared" si="8"/>
        <v>Junho</v>
      </c>
      <c r="I128" s="11">
        <f>INDEX(tbCadastroConsultas[],MATCH(tbConsultas[[#This Row],[PROFISSIONAL]],tbCadastroConsultas[PROFISSIONAL],0),3)</f>
        <v>301010064</v>
      </c>
      <c r="J128" s="11">
        <f>INDEX(tbCadastroConsultas[],MATCH(tbConsultas[[#This Row],[PROFISSIONAL]],tbCadastroConsultas[PROFISSIONAL],0),4)</f>
        <v>225125</v>
      </c>
    </row>
    <row r="129" spans="1:10">
      <c r="A129" s="11">
        <f t="shared" si="9"/>
        <v>128</v>
      </c>
      <c r="B129" s="4" t="s">
        <v>6</v>
      </c>
      <c r="C129" s="5">
        <v>2102005</v>
      </c>
      <c r="D129" s="5">
        <v>21052018</v>
      </c>
      <c r="E129" s="4">
        <v>12</v>
      </c>
      <c r="F129" s="15">
        <f t="shared" si="6"/>
        <v>43271</v>
      </c>
      <c r="G129" s="12">
        <f t="shared" si="7"/>
        <v>2018</v>
      </c>
      <c r="H129" s="12" t="str">
        <f t="shared" si="8"/>
        <v>Junho</v>
      </c>
      <c r="I129" s="11">
        <f>INDEX(tbCadastroConsultas[],MATCH(tbConsultas[[#This Row],[PROFISSIONAL]],tbCadastroConsultas[PROFISSIONAL],0),3)</f>
        <v>301010064</v>
      </c>
      <c r="J129" s="11">
        <f>INDEX(tbCadastroConsultas[],MATCH(tbConsultas[[#This Row],[PROFISSIONAL]],tbCadastroConsultas[PROFISSIONAL],0),4)</f>
        <v>225125</v>
      </c>
    </row>
    <row r="130" spans="1:10">
      <c r="A130" s="11">
        <f t="shared" si="9"/>
        <v>129</v>
      </c>
      <c r="B130" s="4" t="s">
        <v>6</v>
      </c>
      <c r="C130" s="5">
        <v>14091991</v>
      </c>
      <c r="D130" s="5">
        <v>21052018</v>
      </c>
      <c r="E130" s="4">
        <v>26</v>
      </c>
      <c r="F130" s="15">
        <f t="shared" ref="F130:F193" si="10">IF(D130="","",DATE(YEAR(TEXT(D130,"00\/00\/0000")),MONTH(TEXT(D130,"00\/00\/0000"))+1,20))</f>
        <v>43271</v>
      </c>
      <c r="G130" s="12">
        <f t="shared" ref="G130:G193" si="11">IF(F130="","",YEAR(F130))</f>
        <v>2018</v>
      </c>
      <c r="H130" s="12" t="str">
        <f t="shared" ref="H130:H193" si="12">PROPER(TEXT(F130,"mmmm"))</f>
        <v>Junho</v>
      </c>
      <c r="I130" s="11">
        <f>INDEX(tbCadastroConsultas[],MATCH(tbConsultas[[#This Row],[PROFISSIONAL]],tbCadastroConsultas[PROFISSIONAL],0),3)</f>
        <v>301010064</v>
      </c>
      <c r="J130" s="11">
        <f>INDEX(tbCadastroConsultas[],MATCH(tbConsultas[[#This Row],[PROFISSIONAL]],tbCadastroConsultas[PROFISSIONAL],0),4)</f>
        <v>225125</v>
      </c>
    </row>
    <row r="131" spans="1:10">
      <c r="A131" s="11">
        <f t="shared" si="9"/>
        <v>130</v>
      </c>
      <c r="B131" s="4" t="s">
        <v>6</v>
      </c>
      <c r="C131" s="5">
        <v>13091966</v>
      </c>
      <c r="D131" s="5">
        <v>21052018</v>
      </c>
      <c r="E131" s="4">
        <v>51</v>
      </c>
      <c r="F131" s="15">
        <f t="shared" si="10"/>
        <v>43271</v>
      </c>
      <c r="G131" s="12">
        <f t="shared" si="11"/>
        <v>2018</v>
      </c>
      <c r="H131" s="12" t="str">
        <f t="shared" si="12"/>
        <v>Junho</v>
      </c>
      <c r="I131" s="11">
        <f>INDEX(tbCadastroConsultas[],MATCH(tbConsultas[[#This Row],[PROFISSIONAL]],tbCadastroConsultas[PROFISSIONAL],0),3)</f>
        <v>301010064</v>
      </c>
      <c r="J131" s="11">
        <f>INDEX(tbCadastroConsultas[],MATCH(tbConsultas[[#This Row],[PROFISSIONAL]],tbCadastroConsultas[PROFISSIONAL],0),4)</f>
        <v>225125</v>
      </c>
    </row>
    <row r="132" spans="1:10">
      <c r="A132" s="11">
        <f t="shared" si="9"/>
        <v>131</v>
      </c>
      <c r="B132" s="4" t="s">
        <v>6</v>
      </c>
      <c r="C132" s="5">
        <v>10021992</v>
      </c>
      <c r="D132" s="5">
        <v>21052018</v>
      </c>
      <c r="E132" s="4">
        <v>26</v>
      </c>
      <c r="F132" s="15">
        <f t="shared" si="10"/>
        <v>43271</v>
      </c>
      <c r="G132" s="12">
        <f t="shared" si="11"/>
        <v>2018</v>
      </c>
      <c r="H132" s="12" t="str">
        <f t="shared" si="12"/>
        <v>Junho</v>
      </c>
      <c r="I132" s="11">
        <f>INDEX(tbCadastroConsultas[],MATCH(tbConsultas[[#This Row],[PROFISSIONAL]],tbCadastroConsultas[PROFISSIONAL],0),3)</f>
        <v>301010064</v>
      </c>
      <c r="J132" s="11">
        <f>INDEX(tbCadastroConsultas[],MATCH(tbConsultas[[#This Row],[PROFISSIONAL]],tbCadastroConsultas[PROFISSIONAL],0),4)</f>
        <v>225125</v>
      </c>
    </row>
    <row r="133" spans="1:10">
      <c r="A133" s="11">
        <f t="shared" si="9"/>
        <v>132</v>
      </c>
      <c r="B133" s="4" t="s">
        <v>6</v>
      </c>
      <c r="C133" s="5">
        <v>6091977</v>
      </c>
      <c r="D133" s="5">
        <v>21052018</v>
      </c>
      <c r="E133" s="4">
        <v>40</v>
      </c>
      <c r="F133" s="15">
        <f t="shared" si="10"/>
        <v>43271</v>
      </c>
      <c r="G133" s="12">
        <f t="shared" si="11"/>
        <v>2018</v>
      </c>
      <c r="H133" s="12" t="str">
        <f t="shared" si="12"/>
        <v>Junho</v>
      </c>
      <c r="I133" s="11">
        <f>INDEX(tbCadastroConsultas[],MATCH(tbConsultas[[#This Row],[PROFISSIONAL]],tbCadastroConsultas[PROFISSIONAL],0),3)</f>
        <v>301010064</v>
      </c>
      <c r="J133" s="11">
        <f>INDEX(tbCadastroConsultas[],MATCH(tbConsultas[[#This Row],[PROFISSIONAL]],tbCadastroConsultas[PROFISSIONAL],0),4)</f>
        <v>225125</v>
      </c>
    </row>
    <row r="134" spans="1:10">
      <c r="A134" s="11">
        <f t="shared" si="9"/>
        <v>133</v>
      </c>
      <c r="B134" s="4" t="s">
        <v>6</v>
      </c>
      <c r="C134" s="5">
        <v>18121936</v>
      </c>
      <c r="D134" s="5">
        <v>21052018</v>
      </c>
      <c r="E134" s="4">
        <v>81</v>
      </c>
      <c r="F134" s="15">
        <f t="shared" si="10"/>
        <v>43271</v>
      </c>
      <c r="G134" s="12">
        <f t="shared" si="11"/>
        <v>2018</v>
      </c>
      <c r="H134" s="12" t="str">
        <f t="shared" si="12"/>
        <v>Junho</v>
      </c>
      <c r="I134" s="11">
        <f>INDEX(tbCadastroConsultas[],MATCH(tbConsultas[[#This Row],[PROFISSIONAL]],tbCadastroConsultas[PROFISSIONAL],0),3)</f>
        <v>301010064</v>
      </c>
      <c r="J134" s="11">
        <f>INDEX(tbCadastroConsultas[],MATCH(tbConsultas[[#This Row],[PROFISSIONAL]],tbCadastroConsultas[PROFISSIONAL],0),4)</f>
        <v>225125</v>
      </c>
    </row>
    <row r="135" spans="1:10">
      <c r="A135" s="11">
        <f t="shared" si="9"/>
        <v>134</v>
      </c>
      <c r="B135" s="4" t="s">
        <v>6</v>
      </c>
      <c r="C135" s="5">
        <v>29041953</v>
      </c>
      <c r="D135" s="5">
        <v>21052018</v>
      </c>
      <c r="E135" s="4">
        <v>65</v>
      </c>
      <c r="F135" s="15">
        <f t="shared" si="10"/>
        <v>43271</v>
      </c>
      <c r="G135" s="12">
        <f t="shared" si="11"/>
        <v>2018</v>
      </c>
      <c r="H135" s="12" t="str">
        <f t="shared" si="12"/>
        <v>Junho</v>
      </c>
      <c r="I135" s="11">
        <f>INDEX(tbCadastroConsultas[],MATCH(tbConsultas[[#This Row],[PROFISSIONAL]],tbCadastroConsultas[PROFISSIONAL],0),3)</f>
        <v>301010064</v>
      </c>
      <c r="J135" s="11">
        <f>INDEX(tbCadastroConsultas[],MATCH(tbConsultas[[#This Row],[PROFISSIONAL]],tbCadastroConsultas[PROFISSIONAL],0),4)</f>
        <v>225125</v>
      </c>
    </row>
    <row r="136" spans="1:10">
      <c r="A136" s="11">
        <f t="shared" si="9"/>
        <v>135</v>
      </c>
      <c r="B136" s="4" t="s">
        <v>6</v>
      </c>
      <c r="C136" s="5">
        <v>11061938</v>
      </c>
      <c r="D136" s="5">
        <v>21052018</v>
      </c>
      <c r="E136" s="4">
        <v>79</v>
      </c>
      <c r="F136" s="15">
        <f t="shared" si="10"/>
        <v>43271</v>
      </c>
      <c r="G136" s="12">
        <f t="shared" si="11"/>
        <v>2018</v>
      </c>
      <c r="H136" s="12" t="str">
        <f t="shared" si="12"/>
        <v>Junho</v>
      </c>
      <c r="I136" s="11">
        <f>INDEX(tbCadastroConsultas[],MATCH(tbConsultas[[#This Row],[PROFISSIONAL]],tbCadastroConsultas[PROFISSIONAL],0),3)</f>
        <v>301010064</v>
      </c>
      <c r="J136" s="11">
        <f>INDEX(tbCadastroConsultas[],MATCH(tbConsultas[[#This Row],[PROFISSIONAL]],tbCadastroConsultas[PROFISSIONAL],0),4)</f>
        <v>225125</v>
      </c>
    </row>
    <row r="137" spans="1:10">
      <c r="A137" s="11">
        <f t="shared" si="9"/>
        <v>136</v>
      </c>
      <c r="B137" s="4" t="s">
        <v>11</v>
      </c>
      <c r="C137" s="5">
        <v>12011988</v>
      </c>
      <c r="D137" s="5">
        <v>21052018</v>
      </c>
      <c r="E137" s="4">
        <v>30</v>
      </c>
      <c r="F137" s="15">
        <f t="shared" si="10"/>
        <v>43271</v>
      </c>
      <c r="G137" s="12">
        <f t="shared" si="11"/>
        <v>2018</v>
      </c>
      <c r="H137" s="12" t="str">
        <f t="shared" si="12"/>
        <v>Junho</v>
      </c>
      <c r="I137" s="11">
        <f>INDEX(tbCadastroConsultas[],MATCH(tbConsultas[[#This Row],[PROFISSIONAL]],tbCadastroConsultas[PROFISSIONAL],0),3)</f>
        <v>301010110</v>
      </c>
      <c r="J137" s="11">
        <f>INDEX(tbCadastroConsultas[],MATCH(tbConsultas[[#This Row],[PROFISSIONAL]],tbCadastroConsultas[PROFISSIONAL],0),4)</f>
        <v>223505</v>
      </c>
    </row>
    <row r="138" spans="1:10">
      <c r="A138" s="11">
        <f t="shared" si="9"/>
        <v>137</v>
      </c>
      <c r="B138" s="4" t="s">
        <v>2</v>
      </c>
      <c r="C138" s="5">
        <v>3121974</v>
      </c>
      <c r="D138" s="5">
        <v>21052018</v>
      </c>
      <c r="E138" s="4">
        <v>43</v>
      </c>
      <c r="F138" s="15">
        <f t="shared" si="10"/>
        <v>43271</v>
      </c>
      <c r="G138" s="12">
        <f t="shared" si="11"/>
        <v>2018</v>
      </c>
      <c r="H138" s="12" t="str">
        <f t="shared" si="12"/>
        <v>Junho</v>
      </c>
      <c r="I138" s="11">
        <f>INDEX(tbCadastroConsultas[],MATCH(tbConsultas[[#This Row],[PROFISSIONAL]],tbCadastroConsultas[PROFISSIONAL],0),3)</f>
        <v>301010030</v>
      </c>
      <c r="J138" s="11">
        <f>INDEX(tbCadastroConsultas[],MATCH(tbConsultas[[#This Row],[PROFISSIONAL]],tbCadastroConsultas[PROFISSIONAL],0),4)</f>
        <v>223505</v>
      </c>
    </row>
    <row r="139" spans="1:10">
      <c r="A139" s="11">
        <f t="shared" si="9"/>
        <v>138</v>
      </c>
      <c r="B139" s="4" t="s">
        <v>2</v>
      </c>
      <c r="C139" s="5">
        <v>13121966</v>
      </c>
      <c r="D139" s="5">
        <v>21052018</v>
      </c>
      <c r="E139" s="4">
        <v>51</v>
      </c>
      <c r="F139" s="15">
        <f t="shared" si="10"/>
        <v>43271</v>
      </c>
      <c r="G139" s="12">
        <f t="shared" si="11"/>
        <v>2018</v>
      </c>
      <c r="H139" s="12" t="str">
        <f t="shared" si="12"/>
        <v>Junho</v>
      </c>
      <c r="I139" s="11">
        <f>INDEX(tbCadastroConsultas[],MATCH(tbConsultas[[#This Row],[PROFISSIONAL]],tbCadastroConsultas[PROFISSIONAL],0),3)</f>
        <v>301010030</v>
      </c>
      <c r="J139" s="11">
        <f>INDEX(tbCadastroConsultas[],MATCH(tbConsultas[[#This Row],[PROFISSIONAL]],tbCadastroConsultas[PROFISSIONAL],0),4)</f>
        <v>223505</v>
      </c>
    </row>
    <row r="140" spans="1:10">
      <c r="A140" s="11">
        <f t="shared" si="9"/>
        <v>139</v>
      </c>
      <c r="B140" s="4" t="s">
        <v>11</v>
      </c>
      <c r="C140" s="5">
        <v>6041999</v>
      </c>
      <c r="D140" s="5">
        <v>21052018</v>
      </c>
      <c r="E140" s="4">
        <v>19</v>
      </c>
      <c r="F140" s="15">
        <f t="shared" si="10"/>
        <v>43271</v>
      </c>
      <c r="G140" s="12">
        <f t="shared" si="11"/>
        <v>2018</v>
      </c>
      <c r="H140" s="12" t="str">
        <f t="shared" si="12"/>
        <v>Junho</v>
      </c>
      <c r="I140" s="11">
        <f>INDEX(tbCadastroConsultas[],MATCH(tbConsultas[[#This Row],[PROFISSIONAL]],tbCadastroConsultas[PROFISSIONAL],0),3)</f>
        <v>301010110</v>
      </c>
      <c r="J140" s="11">
        <f>INDEX(tbCadastroConsultas[],MATCH(tbConsultas[[#This Row],[PROFISSIONAL]],tbCadastroConsultas[PROFISSIONAL],0),4)</f>
        <v>223505</v>
      </c>
    </row>
    <row r="141" spans="1:10">
      <c r="A141" s="11">
        <f t="shared" si="9"/>
        <v>140</v>
      </c>
      <c r="B141" s="4" t="s">
        <v>11</v>
      </c>
      <c r="C141" s="5">
        <v>6041986</v>
      </c>
      <c r="D141" s="5">
        <v>21052018</v>
      </c>
      <c r="E141" s="4">
        <v>32</v>
      </c>
      <c r="F141" s="15">
        <f t="shared" si="10"/>
        <v>43271</v>
      </c>
      <c r="G141" s="12">
        <f t="shared" si="11"/>
        <v>2018</v>
      </c>
      <c r="H141" s="12" t="str">
        <f t="shared" si="12"/>
        <v>Junho</v>
      </c>
      <c r="I141" s="11">
        <f>INDEX(tbCadastroConsultas[],MATCH(tbConsultas[[#This Row],[PROFISSIONAL]],tbCadastroConsultas[PROFISSIONAL],0),3)</f>
        <v>301010110</v>
      </c>
      <c r="J141" s="11">
        <f>INDEX(tbCadastroConsultas[],MATCH(tbConsultas[[#This Row],[PROFISSIONAL]],tbCadastroConsultas[PROFISSIONAL],0),4)</f>
        <v>223505</v>
      </c>
    </row>
    <row r="142" spans="1:10">
      <c r="A142" s="11">
        <f t="shared" si="9"/>
        <v>141</v>
      </c>
      <c r="B142" s="4" t="s">
        <v>12</v>
      </c>
      <c r="C142" s="5">
        <v>15102012</v>
      </c>
      <c r="D142" s="5">
        <v>21052018</v>
      </c>
      <c r="E142" s="4">
        <v>5</v>
      </c>
      <c r="F142" s="15">
        <f t="shared" si="10"/>
        <v>43271</v>
      </c>
      <c r="G142" s="12">
        <f t="shared" si="11"/>
        <v>2018</v>
      </c>
      <c r="H142" s="12" t="str">
        <f t="shared" si="12"/>
        <v>Junho</v>
      </c>
      <c r="I142" s="11">
        <f>INDEX(tbCadastroConsultas[],MATCH(tbConsultas[[#This Row],[PROFISSIONAL]],tbCadastroConsultas[PROFISSIONAL],0),3)</f>
        <v>301010030</v>
      </c>
      <c r="J142" s="11">
        <f>INDEX(tbCadastroConsultas[],MATCH(tbConsultas[[#This Row],[PROFISSIONAL]],tbCadastroConsultas[PROFISSIONAL],0),4)</f>
        <v>223710</v>
      </c>
    </row>
    <row r="143" spans="1:10">
      <c r="A143" s="11">
        <f t="shared" si="9"/>
        <v>142</v>
      </c>
      <c r="B143" s="4" t="s">
        <v>12</v>
      </c>
      <c r="C143" s="5">
        <v>15102012</v>
      </c>
      <c r="D143" s="5">
        <v>21052018</v>
      </c>
      <c r="E143" s="4">
        <v>5</v>
      </c>
      <c r="F143" s="15">
        <f t="shared" si="10"/>
        <v>43271</v>
      </c>
      <c r="G143" s="12">
        <f t="shared" si="11"/>
        <v>2018</v>
      </c>
      <c r="H143" s="12" t="str">
        <f t="shared" si="12"/>
        <v>Junho</v>
      </c>
      <c r="I143" s="11">
        <f>INDEX(tbCadastroConsultas[],MATCH(tbConsultas[[#This Row],[PROFISSIONAL]],tbCadastroConsultas[PROFISSIONAL],0),3)</f>
        <v>301010030</v>
      </c>
      <c r="J143" s="11">
        <f>INDEX(tbCadastroConsultas[],MATCH(tbConsultas[[#This Row],[PROFISSIONAL]],tbCadastroConsultas[PROFISSIONAL],0),4)</f>
        <v>223710</v>
      </c>
    </row>
    <row r="144" spans="1:10">
      <c r="A144" s="11">
        <f t="shared" si="9"/>
        <v>143</v>
      </c>
      <c r="B144" s="4" t="s">
        <v>12</v>
      </c>
      <c r="C144" s="5">
        <v>4012014</v>
      </c>
      <c r="D144" s="5">
        <v>21052018</v>
      </c>
      <c r="E144" s="4">
        <v>4</v>
      </c>
      <c r="F144" s="15">
        <f t="shared" si="10"/>
        <v>43271</v>
      </c>
      <c r="G144" s="12">
        <f t="shared" si="11"/>
        <v>2018</v>
      </c>
      <c r="H144" s="12" t="str">
        <f t="shared" si="12"/>
        <v>Junho</v>
      </c>
      <c r="I144" s="11">
        <f>INDEX(tbCadastroConsultas[],MATCH(tbConsultas[[#This Row],[PROFISSIONAL]],tbCadastroConsultas[PROFISSIONAL],0),3)</f>
        <v>301010030</v>
      </c>
      <c r="J144" s="11">
        <f>INDEX(tbCadastroConsultas[],MATCH(tbConsultas[[#This Row],[PROFISSIONAL]],tbCadastroConsultas[PROFISSIONAL],0),4)</f>
        <v>223710</v>
      </c>
    </row>
    <row r="145" spans="1:10">
      <c r="A145" s="11">
        <f t="shared" si="9"/>
        <v>144</v>
      </c>
      <c r="B145" s="4" t="s">
        <v>12</v>
      </c>
      <c r="C145" s="5">
        <v>31031947</v>
      </c>
      <c r="D145" s="5">
        <v>21052018</v>
      </c>
      <c r="E145" s="4">
        <v>71</v>
      </c>
      <c r="F145" s="15">
        <f t="shared" si="10"/>
        <v>43271</v>
      </c>
      <c r="G145" s="12">
        <f t="shared" si="11"/>
        <v>2018</v>
      </c>
      <c r="H145" s="12" t="str">
        <f t="shared" si="12"/>
        <v>Junho</v>
      </c>
      <c r="I145" s="11">
        <f>INDEX(tbCadastroConsultas[],MATCH(tbConsultas[[#This Row],[PROFISSIONAL]],tbCadastroConsultas[PROFISSIONAL],0),3)</f>
        <v>301010030</v>
      </c>
      <c r="J145" s="11">
        <f>INDEX(tbCadastroConsultas[],MATCH(tbConsultas[[#This Row],[PROFISSIONAL]],tbCadastroConsultas[PROFISSIONAL],0),4)</f>
        <v>223710</v>
      </c>
    </row>
    <row r="146" spans="1:10">
      <c r="A146" s="11">
        <f t="shared" si="9"/>
        <v>145</v>
      </c>
      <c r="B146" s="4" t="s">
        <v>12</v>
      </c>
      <c r="C146" s="5">
        <v>2041999</v>
      </c>
      <c r="D146" s="5">
        <v>21052018</v>
      </c>
      <c r="E146" s="4">
        <v>19</v>
      </c>
      <c r="F146" s="15">
        <f t="shared" si="10"/>
        <v>43271</v>
      </c>
      <c r="G146" s="12">
        <f t="shared" si="11"/>
        <v>2018</v>
      </c>
      <c r="H146" s="12" t="str">
        <f t="shared" si="12"/>
        <v>Junho</v>
      </c>
      <c r="I146" s="11">
        <f>INDEX(tbCadastroConsultas[],MATCH(tbConsultas[[#This Row],[PROFISSIONAL]],tbCadastroConsultas[PROFISSIONAL],0),3)</f>
        <v>301010030</v>
      </c>
      <c r="J146" s="11">
        <f>INDEX(tbCadastroConsultas[],MATCH(tbConsultas[[#This Row],[PROFISSIONAL]],tbCadastroConsultas[PROFISSIONAL],0),4)</f>
        <v>223710</v>
      </c>
    </row>
    <row r="147" spans="1:10">
      <c r="A147" s="11">
        <f t="shared" si="9"/>
        <v>146</v>
      </c>
      <c r="B147" s="4" t="s">
        <v>7</v>
      </c>
      <c r="C147" s="5">
        <v>6032014</v>
      </c>
      <c r="D147" s="5">
        <v>21052018</v>
      </c>
      <c r="E147" s="4">
        <v>4</v>
      </c>
      <c r="F147" s="15">
        <f t="shared" si="10"/>
        <v>43271</v>
      </c>
      <c r="G147" s="12">
        <f t="shared" si="11"/>
        <v>2018</v>
      </c>
      <c r="H147" s="12" t="str">
        <f t="shared" si="12"/>
        <v>Junho</v>
      </c>
      <c r="I147" s="11">
        <f>INDEX(tbCadastroConsultas[],MATCH(tbConsultas[[#This Row],[PROFISSIONAL]],tbCadastroConsultas[PROFISSIONAL],0),3)</f>
        <v>301010064</v>
      </c>
      <c r="J147" s="11">
        <f>INDEX(tbCadastroConsultas[],MATCH(tbConsultas[[#This Row],[PROFISSIONAL]],tbCadastroConsultas[PROFISSIONAL],0),4)</f>
        <v>225124</v>
      </c>
    </row>
    <row r="148" spans="1:10">
      <c r="A148" s="11">
        <f t="shared" si="9"/>
        <v>147</v>
      </c>
      <c r="B148" s="4" t="s">
        <v>7</v>
      </c>
      <c r="C148" s="5">
        <v>7012009</v>
      </c>
      <c r="D148" s="5">
        <v>21052018</v>
      </c>
      <c r="E148" s="4">
        <v>9</v>
      </c>
      <c r="F148" s="15">
        <f t="shared" si="10"/>
        <v>43271</v>
      </c>
      <c r="G148" s="12">
        <f t="shared" si="11"/>
        <v>2018</v>
      </c>
      <c r="H148" s="12" t="str">
        <f t="shared" si="12"/>
        <v>Junho</v>
      </c>
      <c r="I148" s="11">
        <f>INDEX(tbCadastroConsultas[],MATCH(tbConsultas[[#This Row],[PROFISSIONAL]],tbCadastroConsultas[PROFISSIONAL],0),3)</f>
        <v>301010064</v>
      </c>
      <c r="J148" s="11">
        <f>INDEX(tbCadastroConsultas[],MATCH(tbConsultas[[#This Row],[PROFISSIONAL]],tbCadastroConsultas[PROFISSIONAL],0),4)</f>
        <v>225124</v>
      </c>
    </row>
    <row r="149" spans="1:10">
      <c r="A149" s="11">
        <f t="shared" si="9"/>
        <v>148</v>
      </c>
      <c r="B149" s="4" t="s">
        <v>7</v>
      </c>
      <c r="C149" s="5">
        <v>7052005</v>
      </c>
      <c r="D149" s="5">
        <v>21052018</v>
      </c>
      <c r="E149" s="4">
        <v>13</v>
      </c>
      <c r="F149" s="15">
        <f t="shared" si="10"/>
        <v>43271</v>
      </c>
      <c r="G149" s="12">
        <f t="shared" si="11"/>
        <v>2018</v>
      </c>
      <c r="H149" s="12" t="str">
        <f t="shared" si="12"/>
        <v>Junho</v>
      </c>
      <c r="I149" s="11">
        <f>INDEX(tbCadastroConsultas[],MATCH(tbConsultas[[#This Row],[PROFISSIONAL]],tbCadastroConsultas[PROFISSIONAL],0),3)</f>
        <v>301010064</v>
      </c>
      <c r="J149" s="11">
        <f>INDEX(tbCadastroConsultas[],MATCH(tbConsultas[[#This Row],[PROFISSIONAL]],tbCadastroConsultas[PROFISSIONAL],0),4)</f>
        <v>225124</v>
      </c>
    </row>
    <row r="150" spans="1:10">
      <c r="A150" s="11">
        <f t="shared" si="9"/>
        <v>149</v>
      </c>
      <c r="B150" s="4" t="s">
        <v>7</v>
      </c>
      <c r="C150" s="5">
        <v>3052012</v>
      </c>
      <c r="D150" s="5">
        <v>21052018</v>
      </c>
      <c r="E150" s="4">
        <v>6</v>
      </c>
      <c r="F150" s="15">
        <f t="shared" si="10"/>
        <v>43271</v>
      </c>
      <c r="G150" s="12">
        <f t="shared" si="11"/>
        <v>2018</v>
      </c>
      <c r="H150" s="12" t="str">
        <f t="shared" si="12"/>
        <v>Junho</v>
      </c>
      <c r="I150" s="11">
        <f>INDEX(tbCadastroConsultas[],MATCH(tbConsultas[[#This Row],[PROFISSIONAL]],tbCadastroConsultas[PROFISSIONAL],0),3)</f>
        <v>301010064</v>
      </c>
      <c r="J150" s="11">
        <f>INDEX(tbCadastroConsultas[],MATCH(tbConsultas[[#This Row],[PROFISSIONAL]],tbCadastroConsultas[PROFISSIONAL],0),4)</f>
        <v>225124</v>
      </c>
    </row>
    <row r="151" spans="1:10">
      <c r="A151" s="11">
        <f t="shared" si="9"/>
        <v>150</v>
      </c>
      <c r="B151" s="4" t="s">
        <v>7</v>
      </c>
      <c r="C151" s="5">
        <v>29052016</v>
      </c>
      <c r="D151" s="5">
        <v>21052018</v>
      </c>
      <c r="E151" s="4">
        <v>1</v>
      </c>
      <c r="F151" s="15">
        <f t="shared" si="10"/>
        <v>43271</v>
      </c>
      <c r="G151" s="12">
        <f t="shared" si="11"/>
        <v>2018</v>
      </c>
      <c r="H151" s="12" t="str">
        <f t="shared" si="12"/>
        <v>Junho</v>
      </c>
      <c r="I151" s="11">
        <f>INDEX(tbCadastroConsultas[],MATCH(tbConsultas[[#This Row],[PROFISSIONAL]],tbCadastroConsultas[PROFISSIONAL],0),3)</f>
        <v>301010064</v>
      </c>
      <c r="J151" s="11">
        <f>INDEX(tbCadastroConsultas[],MATCH(tbConsultas[[#This Row],[PROFISSIONAL]],tbCadastroConsultas[PROFISSIONAL],0),4)</f>
        <v>225124</v>
      </c>
    </row>
    <row r="152" spans="1:10">
      <c r="A152" s="11">
        <f t="shared" si="9"/>
        <v>151</v>
      </c>
      <c r="B152" s="4" t="s">
        <v>7</v>
      </c>
      <c r="C152" s="5">
        <v>22122009</v>
      </c>
      <c r="D152" s="5">
        <v>21052018</v>
      </c>
      <c r="E152" s="4">
        <v>8</v>
      </c>
      <c r="F152" s="15">
        <f t="shared" si="10"/>
        <v>43271</v>
      </c>
      <c r="G152" s="12">
        <f t="shared" si="11"/>
        <v>2018</v>
      </c>
      <c r="H152" s="12" t="str">
        <f t="shared" si="12"/>
        <v>Junho</v>
      </c>
      <c r="I152" s="11">
        <f>INDEX(tbCadastroConsultas[],MATCH(tbConsultas[[#This Row],[PROFISSIONAL]],tbCadastroConsultas[PROFISSIONAL],0),3)</f>
        <v>301010064</v>
      </c>
      <c r="J152" s="11">
        <f>INDEX(tbCadastroConsultas[],MATCH(tbConsultas[[#This Row],[PROFISSIONAL]],tbCadastroConsultas[PROFISSIONAL],0),4)</f>
        <v>225124</v>
      </c>
    </row>
    <row r="153" spans="1:10">
      <c r="A153" s="11">
        <f t="shared" si="9"/>
        <v>152</v>
      </c>
      <c r="B153" s="4" t="s">
        <v>7</v>
      </c>
      <c r="C153" s="5">
        <v>14022006</v>
      </c>
      <c r="D153" s="5">
        <v>21052018</v>
      </c>
      <c r="E153" s="4">
        <v>12</v>
      </c>
      <c r="F153" s="15">
        <f t="shared" si="10"/>
        <v>43271</v>
      </c>
      <c r="G153" s="12">
        <f t="shared" si="11"/>
        <v>2018</v>
      </c>
      <c r="H153" s="12" t="str">
        <f t="shared" si="12"/>
        <v>Junho</v>
      </c>
      <c r="I153" s="11">
        <f>INDEX(tbCadastroConsultas[],MATCH(tbConsultas[[#This Row],[PROFISSIONAL]],tbCadastroConsultas[PROFISSIONAL],0),3)</f>
        <v>301010064</v>
      </c>
      <c r="J153" s="11">
        <f>INDEX(tbCadastroConsultas[],MATCH(tbConsultas[[#This Row],[PROFISSIONAL]],tbCadastroConsultas[PROFISSIONAL],0),4)</f>
        <v>225124</v>
      </c>
    </row>
    <row r="154" spans="1:10">
      <c r="A154" s="11">
        <f t="shared" si="9"/>
        <v>153</v>
      </c>
      <c r="B154" s="4" t="s">
        <v>7</v>
      </c>
      <c r="C154" s="5">
        <v>29072015</v>
      </c>
      <c r="D154" s="5">
        <v>21052018</v>
      </c>
      <c r="E154" s="4">
        <v>2</v>
      </c>
      <c r="F154" s="15">
        <f t="shared" si="10"/>
        <v>43271</v>
      </c>
      <c r="G154" s="12">
        <f t="shared" si="11"/>
        <v>2018</v>
      </c>
      <c r="H154" s="12" t="str">
        <f t="shared" si="12"/>
        <v>Junho</v>
      </c>
      <c r="I154" s="11">
        <f>INDEX(tbCadastroConsultas[],MATCH(tbConsultas[[#This Row],[PROFISSIONAL]],tbCadastroConsultas[PROFISSIONAL],0),3)</f>
        <v>301010064</v>
      </c>
      <c r="J154" s="11">
        <f>INDEX(tbCadastroConsultas[],MATCH(tbConsultas[[#This Row],[PROFISSIONAL]],tbCadastroConsultas[PROFISSIONAL],0),4)</f>
        <v>225124</v>
      </c>
    </row>
    <row r="155" spans="1:10">
      <c r="A155" s="11">
        <f t="shared" si="9"/>
        <v>154</v>
      </c>
      <c r="B155" s="4" t="s">
        <v>7</v>
      </c>
      <c r="C155" s="5">
        <v>4042004</v>
      </c>
      <c r="D155" s="5">
        <v>21052018</v>
      </c>
      <c r="E155" s="4">
        <v>14</v>
      </c>
      <c r="F155" s="15">
        <f t="shared" si="10"/>
        <v>43271</v>
      </c>
      <c r="G155" s="12">
        <f t="shared" si="11"/>
        <v>2018</v>
      </c>
      <c r="H155" s="12" t="str">
        <f t="shared" si="12"/>
        <v>Junho</v>
      </c>
      <c r="I155" s="11">
        <f>INDEX(tbCadastroConsultas[],MATCH(tbConsultas[[#This Row],[PROFISSIONAL]],tbCadastroConsultas[PROFISSIONAL],0),3)</f>
        <v>301010064</v>
      </c>
      <c r="J155" s="11">
        <f>INDEX(tbCadastroConsultas[],MATCH(tbConsultas[[#This Row],[PROFISSIONAL]],tbCadastroConsultas[PROFISSIONAL],0),4)</f>
        <v>225124</v>
      </c>
    </row>
    <row r="156" spans="1:10">
      <c r="A156" s="11">
        <f t="shared" si="9"/>
        <v>155</v>
      </c>
      <c r="B156" s="4" t="s">
        <v>0</v>
      </c>
      <c r="C156" s="5">
        <v>7092017</v>
      </c>
      <c r="D156" s="5">
        <v>21052018</v>
      </c>
      <c r="E156" s="4">
        <v>0</v>
      </c>
      <c r="F156" s="15">
        <f t="shared" si="10"/>
        <v>43271</v>
      </c>
      <c r="G156" s="12">
        <f t="shared" si="11"/>
        <v>2018</v>
      </c>
      <c r="H156" s="12" t="str">
        <f t="shared" si="12"/>
        <v>Junho</v>
      </c>
      <c r="I156" s="11">
        <f>INDEX(tbCadastroConsultas[],MATCH(tbConsultas[[#This Row],[PROFISSIONAL]],tbCadastroConsultas[PROFISSIONAL],0),3)</f>
        <v>301010080</v>
      </c>
      <c r="J156" s="11">
        <f>INDEX(tbCadastroConsultas[],MATCH(tbConsultas[[#This Row],[PROFISSIONAL]],tbCadastroConsultas[PROFISSIONAL],0),4)</f>
        <v>225124</v>
      </c>
    </row>
    <row r="157" spans="1:10">
      <c r="A157" s="11">
        <f t="shared" si="9"/>
        <v>156</v>
      </c>
      <c r="B157" s="4" t="s">
        <v>0</v>
      </c>
      <c r="C157" s="5">
        <v>1092017</v>
      </c>
      <c r="D157" s="5">
        <v>21052018</v>
      </c>
      <c r="E157" s="4">
        <v>0</v>
      </c>
      <c r="F157" s="15">
        <f t="shared" si="10"/>
        <v>43271</v>
      </c>
      <c r="G157" s="12">
        <f t="shared" si="11"/>
        <v>2018</v>
      </c>
      <c r="H157" s="12" t="str">
        <f t="shared" si="12"/>
        <v>Junho</v>
      </c>
      <c r="I157" s="11">
        <f>INDEX(tbCadastroConsultas[],MATCH(tbConsultas[[#This Row],[PROFISSIONAL]],tbCadastroConsultas[PROFISSIONAL],0),3)</f>
        <v>301010080</v>
      </c>
      <c r="J157" s="11">
        <f>INDEX(tbCadastroConsultas[],MATCH(tbConsultas[[#This Row],[PROFISSIONAL]],tbCadastroConsultas[PROFISSIONAL],0),4)</f>
        <v>225124</v>
      </c>
    </row>
    <row r="158" spans="1:10">
      <c r="A158" s="11">
        <f t="shared" si="9"/>
        <v>157</v>
      </c>
      <c r="B158" s="4" t="s">
        <v>0</v>
      </c>
      <c r="C158" s="5">
        <v>2052018</v>
      </c>
      <c r="D158" s="5">
        <v>21052018</v>
      </c>
      <c r="E158" s="4">
        <v>0</v>
      </c>
      <c r="F158" s="15">
        <f t="shared" si="10"/>
        <v>43271</v>
      </c>
      <c r="G158" s="12">
        <f t="shared" si="11"/>
        <v>2018</v>
      </c>
      <c r="H158" s="12" t="str">
        <f t="shared" si="12"/>
        <v>Junho</v>
      </c>
      <c r="I158" s="11">
        <f>INDEX(tbCadastroConsultas[],MATCH(tbConsultas[[#This Row],[PROFISSIONAL]],tbCadastroConsultas[PROFISSIONAL],0),3)</f>
        <v>301010080</v>
      </c>
      <c r="J158" s="11">
        <f>INDEX(tbCadastroConsultas[],MATCH(tbConsultas[[#This Row],[PROFISSIONAL]],tbCadastroConsultas[PROFISSIONAL],0),4)</f>
        <v>225124</v>
      </c>
    </row>
    <row r="159" spans="1:10">
      <c r="A159" s="11">
        <f t="shared" si="9"/>
        <v>158</v>
      </c>
      <c r="B159" s="4" t="s">
        <v>0</v>
      </c>
      <c r="C159" s="5">
        <v>27102017</v>
      </c>
      <c r="D159" s="5">
        <v>21052018</v>
      </c>
      <c r="E159" s="4">
        <v>0</v>
      </c>
      <c r="F159" s="15">
        <f t="shared" si="10"/>
        <v>43271</v>
      </c>
      <c r="G159" s="12">
        <f t="shared" si="11"/>
        <v>2018</v>
      </c>
      <c r="H159" s="12" t="str">
        <f t="shared" si="12"/>
        <v>Junho</v>
      </c>
      <c r="I159" s="11">
        <f>INDEX(tbCadastroConsultas[],MATCH(tbConsultas[[#This Row],[PROFISSIONAL]],tbCadastroConsultas[PROFISSIONAL],0),3)</f>
        <v>301010080</v>
      </c>
      <c r="J159" s="11">
        <f>INDEX(tbCadastroConsultas[],MATCH(tbConsultas[[#This Row],[PROFISSIONAL]],tbCadastroConsultas[PROFISSIONAL],0),4)</f>
        <v>225124</v>
      </c>
    </row>
    <row r="160" spans="1:10">
      <c r="A160" s="11">
        <f t="shared" ref="A160:A223" si="13">ROW() -1</f>
        <v>159</v>
      </c>
      <c r="B160" s="4" t="s">
        <v>0</v>
      </c>
      <c r="C160" s="5">
        <v>17112016</v>
      </c>
      <c r="D160" s="5">
        <v>21052018</v>
      </c>
      <c r="E160" s="4">
        <v>1</v>
      </c>
      <c r="F160" s="15">
        <f t="shared" si="10"/>
        <v>43271</v>
      </c>
      <c r="G160" s="12">
        <f t="shared" si="11"/>
        <v>2018</v>
      </c>
      <c r="H160" s="12" t="str">
        <f t="shared" si="12"/>
        <v>Junho</v>
      </c>
      <c r="I160" s="11">
        <f>INDEX(tbCadastroConsultas[],MATCH(tbConsultas[[#This Row],[PROFISSIONAL]],tbCadastroConsultas[PROFISSIONAL],0),3)</f>
        <v>301010080</v>
      </c>
      <c r="J160" s="11">
        <f>INDEX(tbCadastroConsultas[],MATCH(tbConsultas[[#This Row],[PROFISSIONAL]],tbCadastroConsultas[PROFISSIONAL],0),4)</f>
        <v>225124</v>
      </c>
    </row>
    <row r="161" spans="1:10">
      <c r="A161" s="11">
        <f t="shared" si="13"/>
        <v>160</v>
      </c>
      <c r="B161" s="4" t="s">
        <v>0</v>
      </c>
      <c r="C161" s="5">
        <v>9112017</v>
      </c>
      <c r="D161" s="5">
        <v>21052018</v>
      </c>
      <c r="E161" s="4">
        <v>0</v>
      </c>
      <c r="F161" s="15">
        <f t="shared" si="10"/>
        <v>43271</v>
      </c>
      <c r="G161" s="12">
        <f t="shared" si="11"/>
        <v>2018</v>
      </c>
      <c r="H161" s="12" t="str">
        <f t="shared" si="12"/>
        <v>Junho</v>
      </c>
      <c r="I161" s="11">
        <f>INDEX(tbCadastroConsultas[],MATCH(tbConsultas[[#This Row],[PROFISSIONAL]],tbCadastroConsultas[PROFISSIONAL],0),3)</f>
        <v>301010080</v>
      </c>
      <c r="J161" s="11">
        <f>INDEX(tbCadastroConsultas[],MATCH(tbConsultas[[#This Row],[PROFISSIONAL]],tbCadastroConsultas[PROFISSIONAL],0),4)</f>
        <v>225124</v>
      </c>
    </row>
    <row r="162" spans="1:10">
      <c r="A162" s="11">
        <f t="shared" si="13"/>
        <v>161</v>
      </c>
      <c r="B162" s="4" t="s">
        <v>0</v>
      </c>
      <c r="C162" s="5">
        <v>24092016</v>
      </c>
      <c r="D162" s="5">
        <v>21052018</v>
      </c>
      <c r="E162" s="4">
        <v>1</v>
      </c>
      <c r="F162" s="15">
        <f t="shared" si="10"/>
        <v>43271</v>
      </c>
      <c r="G162" s="12">
        <f t="shared" si="11"/>
        <v>2018</v>
      </c>
      <c r="H162" s="12" t="str">
        <f t="shared" si="12"/>
        <v>Junho</v>
      </c>
      <c r="I162" s="11">
        <f>INDEX(tbCadastroConsultas[],MATCH(tbConsultas[[#This Row],[PROFISSIONAL]],tbCadastroConsultas[PROFISSIONAL],0),3)</f>
        <v>301010080</v>
      </c>
      <c r="J162" s="11">
        <f>INDEX(tbCadastroConsultas[],MATCH(tbConsultas[[#This Row],[PROFISSIONAL]],tbCadastroConsultas[PROFISSIONAL],0),4)</f>
        <v>225124</v>
      </c>
    </row>
    <row r="163" spans="1:10">
      <c r="A163" s="11">
        <f t="shared" si="13"/>
        <v>162</v>
      </c>
      <c r="B163" s="4" t="s">
        <v>0</v>
      </c>
      <c r="C163" s="5">
        <v>20112017</v>
      </c>
      <c r="D163" s="5">
        <v>21052018</v>
      </c>
      <c r="E163" s="4">
        <v>0</v>
      </c>
      <c r="F163" s="15">
        <f t="shared" si="10"/>
        <v>43271</v>
      </c>
      <c r="G163" s="12">
        <f t="shared" si="11"/>
        <v>2018</v>
      </c>
      <c r="H163" s="12" t="str">
        <f t="shared" si="12"/>
        <v>Junho</v>
      </c>
      <c r="I163" s="11">
        <f>INDEX(tbCadastroConsultas[],MATCH(tbConsultas[[#This Row],[PROFISSIONAL]],tbCadastroConsultas[PROFISSIONAL],0),3)</f>
        <v>301010080</v>
      </c>
      <c r="J163" s="11">
        <f>INDEX(tbCadastroConsultas[],MATCH(tbConsultas[[#This Row],[PROFISSIONAL]],tbCadastroConsultas[PROFISSIONAL],0),4)</f>
        <v>225124</v>
      </c>
    </row>
    <row r="164" spans="1:10">
      <c r="A164" s="11">
        <f t="shared" si="13"/>
        <v>163</v>
      </c>
      <c r="B164" s="4" t="s">
        <v>0</v>
      </c>
      <c r="C164" s="5">
        <v>19092017</v>
      </c>
      <c r="D164" s="5">
        <v>21052018</v>
      </c>
      <c r="E164" s="4">
        <v>0</v>
      </c>
      <c r="F164" s="15">
        <f t="shared" si="10"/>
        <v>43271</v>
      </c>
      <c r="G164" s="12">
        <f t="shared" si="11"/>
        <v>2018</v>
      </c>
      <c r="H164" s="12" t="str">
        <f t="shared" si="12"/>
        <v>Junho</v>
      </c>
      <c r="I164" s="11">
        <f>INDEX(tbCadastroConsultas[],MATCH(tbConsultas[[#This Row],[PROFISSIONAL]],tbCadastroConsultas[PROFISSIONAL],0),3)</f>
        <v>301010080</v>
      </c>
      <c r="J164" s="11">
        <f>INDEX(tbCadastroConsultas[],MATCH(tbConsultas[[#This Row],[PROFISSIONAL]],tbCadastroConsultas[PROFISSIONAL],0),4)</f>
        <v>225124</v>
      </c>
    </row>
    <row r="165" spans="1:10">
      <c r="A165" s="11">
        <f t="shared" si="13"/>
        <v>164</v>
      </c>
      <c r="B165" s="4" t="s">
        <v>15</v>
      </c>
      <c r="C165" s="5">
        <v>15091959</v>
      </c>
      <c r="D165" s="5">
        <v>21052018</v>
      </c>
      <c r="E165" s="4">
        <v>58</v>
      </c>
      <c r="F165" s="15">
        <f t="shared" si="10"/>
        <v>43271</v>
      </c>
      <c r="G165" s="12">
        <f t="shared" si="11"/>
        <v>2018</v>
      </c>
      <c r="H165" s="12" t="str">
        <f t="shared" si="12"/>
        <v>Junho</v>
      </c>
      <c r="I165" s="11">
        <f>INDEX(tbCadastroConsultas[],MATCH(tbConsultas[[#This Row],[PROFISSIONAL]],tbCadastroConsultas[PROFISSIONAL],0),3)</f>
        <v>301010072</v>
      </c>
      <c r="J165" s="11">
        <f>INDEX(tbCadastroConsultas[],MATCH(tbConsultas[[#This Row],[PROFISSIONAL]],tbCadastroConsultas[PROFISSIONAL],0),4)</f>
        <v>225133</v>
      </c>
    </row>
    <row r="166" spans="1:10">
      <c r="A166" s="11">
        <f t="shared" si="13"/>
        <v>165</v>
      </c>
      <c r="B166" s="4" t="s">
        <v>15</v>
      </c>
      <c r="C166" s="5">
        <v>20111963</v>
      </c>
      <c r="D166" s="5">
        <v>21052018</v>
      </c>
      <c r="E166" s="4">
        <v>54</v>
      </c>
      <c r="F166" s="15">
        <f t="shared" si="10"/>
        <v>43271</v>
      </c>
      <c r="G166" s="12">
        <f t="shared" si="11"/>
        <v>2018</v>
      </c>
      <c r="H166" s="12" t="str">
        <f t="shared" si="12"/>
        <v>Junho</v>
      </c>
      <c r="I166" s="11">
        <f>INDEX(tbCadastroConsultas[],MATCH(tbConsultas[[#This Row],[PROFISSIONAL]],tbCadastroConsultas[PROFISSIONAL],0),3)</f>
        <v>301010072</v>
      </c>
      <c r="J166" s="11">
        <f>INDEX(tbCadastroConsultas[],MATCH(tbConsultas[[#This Row],[PROFISSIONAL]],tbCadastroConsultas[PROFISSIONAL],0),4)</f>
        <v>225133</v>
      </c>
    </row>
    <row r="167" spans="1:10">
      <c r="A167" s="11">
        <f t="shared" si="13"/>
        <v>166</v>
      </c>
      <c r="B167" s="4" t="s">
        <v>15</v>
      </c>
      <c r="C167" s="5">
        <v>26021980</v>
      </c>
      <c r="D167" s="5">
        <v>21052018</v>
      </c>
      <c r="E167" s="4">
        <v>38</v>
      </c>
      <c r="F167" s="15">
        <f t="shared" si="10"/>
        <v>43271</v>
      </c>
      <c r="G167" s="12">
        <f t="shared" si="11"/>
        <v>2018</v>
      </c>
      <c r="H167" s="12" t="str">
        <f t="shared" si="12"/>
        <v>Junho</v>
      </c>
      <c r="I167" s="11">
        <f>INDEX(tbCadastroConsultas[],MATCH(tbConsultas[[#This Row],[PROFISSIONAL]],tbCadastroConsultas[PROFISSIONAL],0),3)</f>
        <v>301010072</v>
      </c>
      <c r="J167" s="11">
        <f>INDEX(tbCadastroConsultas[],MATCH(tbConsultas[[#This Row],[PROFISSIONAL]],tbCadastroConsultas[PROFISSIONAL],0),4)</f>
        <v>225133</v>
      </c>
    </row>
    <row r="168" spans="1:10">
      <c r="A168" s="11">
        <f t="shared" si="13"/>
        <v>167</v>
      </c>
      <c r="B168" s="4" t="s">
        <v>15</v>
      </c>
      <c r="C168" s="5">
        <v>23101992</v>
      </c>
      <c r="D168" s="5">
        <v>21052018</v>
      </c>
      <c r="E168" s="4">
        <v>25</v>
      </c>
      <c r="F168" s="15">
        <f t="shared" si="10"/>
        <v>43271</v>
      </c>
      <c r="G168" s="12">
        <f t="shared" si="11"/>
        <v>2018</v>
      </c>
      <c r="H168" s="12" t="str">
        <f t="shared" si="12"/>
        <v>Junho</v>
      </c>
      <c r="I168" s="11">
        <f>INDEX(tbCadastroConsultas[],MATCH(tbConsultas[[#This Row],[PROFISSIONAL]],tbCadastroConsultas[PROFISSIONAL],0),3)</f>
        <v>301010072</v>
      </c>
      <c r="J168" s="11">
        <f>INDEX(tbCadastroConsultas[],MATCH(tbConsultas[[#This Row],[PROFISSIONAL]],tbCadastroConsultas[PROFISSIONAL],0),4)</f>
        <v>225133</v>
      </c>
    </row>
    <row r="169" spans="1:10">
      <c r="A169" s="11">
        <f t="shared" si="13"/>
        <v>168</v>
      </c>
      <c r="B169" s="4" t="s">
        <v>15</v>
      </c>
      <c r="C169" s="5">
        <v>5041966</v>
      </c>
      <c r="D169" s="5">
        <v>21052018</v>
      </c>
      <c r="E169" s="4">
        <v>52</v>
      </c>
      <c r="F169" s="15">
        <f t="shared" si="10"/>
        <v>43271</v>
      </c>
      <c r="G169" s="12">
        <f t="shared" si="11"/>
        <v>2018</v>
      </c>
      <c r="H169" s="12" t="str">
        <f t="shared" si="12"/>
        <v>Junho</v>
      </c>
      <c r="I169" s="11">
        <f>INDEX(tbCadastroConsultas[],MATCH(tbConsultas[[#This Row],[PROFISSIONAL]],tbCadastroConsultas[PROFISSIONAL],0),3)</f>
        <v>301010072</v>
      </c>
      <c r="J169" s="11">
        <f>INDEX(tbCadastroConsultas[],MATCH(tbConsultas[[#This Row],[PROFISSIONAL]],tbCadastroConsultas[PROFISSIONAL],0),4)</f>
        <v>225133</v>
      </c>
    </row>
    <row r="170" spans="1:10">
      <c r="A170" s="11">
        <f t="shared" si="13"/>
        <v>169</v>
      </c>
      <c r="B170" s="4" t="s">
        <v>15</v>
      </c>
      <c r="C170" s="5">
        <v>5041964</v>
      </c>
      <c r="D170" s="5">
        <v>21052018</v>
      </c>
      <c r="E170" s="4">
        <v>54</v>
      </c>
      <c r="F170" s="15">
        <f t="shared" si="10"/>
        <v>43271</v>
      </c>
      <c r="G170" s="12">
        <f t="shared" si="11"/>
        <v>2018</v>
      </c>
      <c r="H170" s="12" t="str">
        <f t="shared" si="12"/>
        <v>Junho</v>
      </c>
      <c r="I170" s="11">
        <f>INDEX(tbCadastroConsultas[],MATCH(tbConsultas[[#This Row],[PROFISSIONAL]],tbCadastroConsultas[PROFISSIONAL],0),3)</f>
        <v>301010072</v>
      </c>
      <c r="J170" s="11">
        <f>INDEX(tbCadastroConsultas[],MATCH(tbConsultas[[#This Row],[PROFISSIONAL]],tbCadastroConsultas[PROFISSIONAL],0),4)</f>
        <v>225133</v>
      </c>
    </row>
    <row r="171" spans="1:10">
      <c r="A171" s="11">
        <f t="shared" si="13"/>
        <v>170</v>
      </c>
      <c r="B171" s="4" t="s">
        <v>15</v>
      </c>
      <c r="C171" s="5">
        <v>18041950</v>
      </c>
      <c r="D171" s="5">
        <v>21052018</v>
      </c>
      <c r="E171" s="4">
        <v>68</v>
      </c>
      <c r="F171" s="15">
        <f t="shared" si="10"/>
        <v>43271</v>
      </c>
      <c r="G171" s="12">
        <f t="shared" si="11"/>
        <v>2018</v>
      </c>
      <c r="H171" s="12" t="str">
        <f t="shared" si="12"/>
        <v>Junho</v>
      </c>
      <c r="I171" s="11">
        <f>INDEX(tbCadastroConsultas[],MATCH(tbConsultas[[#This Row],[PROFISSIONAL]],tbCadastroConsultas[PROFISSIONAL],0),3)</f>
        <v>301010072</v>
      </c>
      <c r="J171" s="11">
        <f>INDEX(tbCadastroConsultas[],MATCH(tbConsultas[[#This Row],[PROFISSIONAL]],tbCadastroConsultas[PROFISSIONAL],0),4)</f>
        <v>225133</v>
      </c>
    </row>
    <row r="172" spans="1:10">
      <c r="A172" s="11">
        <f t="shared" si="13"/>
        <v>171</v>
      </c>
      <c r="B172" s="4" t="s">
        <v>15</v>
      </c>
      <c r="C172" s="5">
        <v>17091953</v>
      </c>
      <c r="D172" s="5">
        <v>21052018</v>
      </c>
      <c r="E172" s="4">
        <v>64</v>
      </c>
      <c r="F172" s="15">
        <f t="shared" si="10"/>
        <v>43271</v>
      </c>
      <c r="G172" s="12">
        <f t="shared" si="11"/>
        <v>2018</v>
      </c>
      <c r="H172" s="12" t="str">
        <f t="shared" si="12"/>
        <v>Junho</v>
      </c>
      <c r="I172" s="11">
        <f>INDEX(tbCadastroConsultas[],MATCH(tbConsultas[[#This Row],[PROFISSIONAL]],tbCadastroConsultas[PROFISSIONAL],0),3)</f>
        <v>301010072</v>
      </c>
      <c r="J172" s="11">
        <f>INDEX(tbCadastroConsultas[],MATCH(tbConsultas[[#This Row],[PROFISSIONAL]],tbCadastroConsultas[PROFISSIONAL],0),4)</f>
        <v>225133</v>
      </c>
    </row>
    <row r="173" spans="1:10">
      <c r="A173" s="11">
        <f t="shared" si="13"/>
        <v>172</v>
      </c>
      <c r="B173" s="4" t="s">
        <v>15</v>
      </c>
      <c r="C173" s="5">
        <v>28071953</v>
      </c>
      <c r="D173" s="5">
        <v>21052018</v>
      </c>
      <c r="E173" s="4">
        <v>64</v>
      </c>
      <c r="F173" s="15">
        <f t="shared" si="10"/>
        <v>43271</v>
      </c>
      <c r="G173" s="12">
        <f t="shared" si="11"/>
        <v>2018</v>
      </c>
      <c r="H173" s="12" t="str">
        <f t="shared" si="12"/>
        <v>Junho</v>
      </c>
      <c r="I173" s="11">
        <f>INDEX(tbCadastroConsultas[],MATCH(tbConsultas[[#This Row],[PROFISSIONAL]],tbCadastroConsultas[PROFISSIONAL],0),3)</f>
        <v>301010072</v>
      </c>
      <c r="J173" s="11">
        <f>INDEX(tbCadastroConsultas[],MATCH(tbConsultas[[#This Row],[PROFISSIONAL]],tbCadastroConsultas[PROFISSIONAL],0),4)</f>
        <v>225133</v>
      </c>
    </row>
    <row r="174" spans="1:10">
      <c r="A174" s="11">
        <f t="shared" si="13"/>
        <v>173</v>
      </c>
      <c r="B174" s="4" t="s">
        <v>15</v>
      </c>
      <c r="C174" s="5">
        <v>5091971</v>
      </c>
      <c r="D174" s="5">
        <v>21052018</v>
      </c>
      <c r="E174" s="4">
        <v>46</v>
      </c>
      <c r="F174" s="15">
        <f t="shared" si="10"/>
        <v>43271</v>
      </c>
      <c r="G174" s="12">
        <f t="shared" si="11"/>
        <v>2018</v>
      </c>
      <c r="H174" s="12" t="str">
        <f t="shared" si="12"/>
        <v>Junho</v>
      </c>
      <c r="I174" s="11">
        <f>INDEX(tbCadastroConsultas[],MATCH(tbConsultas[[#This Row],[PROFISSIONAL]],tbCadastroConsultas[PROFISSIONAL],0),3)</f>
        <v>301010072</v>
      </c>
      <c r="J174" s="11">
        <f>INDEX(tbCadastroConsultas[],MATCH(tbConsultas[[#This Row],[PROFISSIONAL]],tbCadastroConsultas[PROFISSIONAL],0),4)</f>
        <v>225133</v>
      </c>
    </row>
    <row r="175" spans="1:10">
      <c r="A175" s="11">
        <f t="shared" si="13"/>
        <v>174</v>
      </c>
      <c r="B175" s="4" t="s">
        <v>15</v>
      </c>
      <c r="C175" s="5">
        <v>9071950</v>
      </c>
      <c r="D175" s="5">
        <v>21052018</v>
      </c>
      <c r="E175" s="4">
        <v>67</v>
      </c>
      <c r="F175" s="15">
        <f t="shared" si="10"/>
        <v>43271</v>
      </c>
      <c r="G175" s="12">
        <f t="shared" si="11"/>
        <v>2018</v>
      </c>
      <c r="H175" s="12" t="str">
        <f t="shared" si="12"/>
        <v>Junho</v>
      </c>
      <c r="I175" s="11">
        <f>INDEX(tbCadastroConsultas[],MATCH(tbConsultas[[#This Row],[PROFISSIONAL]],tbCadastroConsultas[PROFISSIONAL],0),3)</f>
        <v>301010072</v>
      </c>
      <c r="J175" s="11">
        <f>INDEX(tbCadastroConsultas[],MATCH(tbConsultas[[#This Row],[PROFISSIONAL]],tbCadastroConsultas[PROFISSIONAL],0),4)</f>
        <v>225133</v>
      </c>
    </row>
    <row r="176" spans="1:10">
      <c r="A176" s="11">
        <f t="shared" si="13"/>
        <v>175</v>
      </c>
      <c r="B176" s="4" t="s">
        <v>15</v>
      </c>
      <c r="C176" s="5">
        <v>3061946</v>
      </c>
      <c r="D176" s="5">
        <v>21052018</v>
      </c>
      <c r="E176" s="4">
        <v>71</v>
      </c>
      <c r="F176" s="15">
        <f t="shared" si="10"/>
        <v>43271</v>
      </c>
      <c r="G176" s="12">
        <f t="shared" si="11"/>
        <v>2018</v>
      </c>
      <c r="H176" s="12" t="str">
        <f t="shared" si="12"/>
        <v>Junho</v>
      </c>
      <c r="I176" s="11">
        <f>INDEX(tbCadastroConsultas[],MATCH(tbConsultas[[#This Row],[PROFISSIONAL]],tbCadastroConsultas[PROFISSIONAL],0),3)</f>
        <v>301010072</v>
      </c>
      <c r="J176" s="11">
        <f>INDEX(tbCadastroConsultas[],MATCH(tbConsultas[[#This Row],[PROFISSIONAL]],tbCadastroConsultas[PROFISSIONAL],0),4)</f>
        <v>225133</v>
      </c>
    </row>
    <row r="177" spans="1:10">
      <c r="A177" s="11">
        <f t="shared" si="13"/>
        <v>176</v>
      </c>
      <c r="B177" s="4" t="s">
        <v>15</v>
      </c>
      <c r="C177" s="5">
        <v>24071927</v>
      </c>
      <c r="D177" s="5">
        <v>21052018</v>
      </c>
      <c r="E177" s="4">
        <v>90</v>
      </c>
      <c r="F177" s="15">
        <f t="shared" si="10"/>
        <v>43271</v>
      </c>
      <c r="G177" s="12">
        <f t="shared" si="11"/>
        <v>2018</v>
      </c>
      <c r="H177" s="12" t="str">
        <f t="shared" si="12"/>
        <v>Junho</v>
      </c>
      <c r="I177" s="11">
        <f>INDEX(tbCadastroConsultas[],MATCH(tbConsultas[[#This Row],[PROFISSIONAL]],tbCadastroConsultas[PROFISSIONAL],0),3)</f>
        <v>301010072</v>
      </c>
      <c r="J177" s="11">
        <f>INDEX(tbCadastroConsultas[],MATCH(tbConsultas[[#This Row],[PROFISSIONAL]],tbCadastroConsultas[PROFISSIONAL],0),4)</f>
        <v>225133</v>
      </c>
    </row>
    <row r="178" spans="1:10">
      <c r="A178" s="11">
        <f t="shared" si="13"/>
        <v>177</v>
      </c>
      <c r="B178" s="4" t="s">
        <v>13</v>
      </c>
      <c r="C178" s="5">
        <v>4062008</v>
      </c>
      <c r="D178" s="5">
        <v>21052018</v>
      </c>
      <c r="E178" s="4">
        <v>9</v>
      </c>
      <c r="F178" s="15">
        <f t="shared" si="10"/>
        <v>43271</v>
      </c>
      <c r="G178" s="12">
        <f t="shared" si="11"/>
        <v>2018</v>
      </c>
      <c r="H178" s="12" t="str">
        <f t="shared" si="12"/>
        <v>Junho</v>
      </c>
      <c r="I178" s="11">
        <f>INDEX(tbCadastroConsultas[],MATCH(tbConsultas[[#This Row],[PROFISSIONAL]],tbCadastroConsultas[PROFISSIONAL],0),3)</f>
        <v>301010080</v>
      </c>
      <c r="J178" s="11">
        <f>INDEX(tbCadastroConsultas[],MATCH(tbConsultas[[#This Row],[PROFISSIONAL]],tbCadastroConsultas[PROFISSIONAL],0),4)</f>
        <v>225142</v>
      </c>
    </row>
    <row r="179" spans="1:10">
      <c r="A179" s="11">
        <f t="shared" si="13"/>
        <v>178</v>
      </c>
      <c r="B179" s="4" t="s">
        <v>13</v>
      </c>
      <c r="C179" s="5">
        <v>21022012</v>
      </c>
      <c r="D179" s="5">
        <v>21052018</v>
      </c>
      <c r="E179" s="4">
        <v>6</v>
      </c>
      <c r="F179" s="15">
        <f t="shared" si="10"/>
        <v>43271</v>
      </c>
      <c r="G179" s="12">
        <f t="shared" si="11"/>
        <v>2018</v>
      </c>
      <c r="H179" s="12" t="str">
        <f t="shared" si="12"/>
        <v>Junho</v>
      </c>
      <c r="I179" s="11">
        <f>INDEX(tbCadastroConsultas[],MATCH(tbConsultas[[#This Row],[PROFISSIONAL]],tbCadastroConsultas[PROFISSIONAL],0),3)</f>
        <v>301010080</v>
      </c>
      <c r="J179" s="11">
        <f>INDEX(tbCadastroConsultas[],MATCH(tbConsultas[[#This Row],[PROFISSIONAL]],tbCadastroConsultas[PROFISSIONAL],0),4)</f>
        <v>225142</v>
      </c>
    </row>
    <row r="180" spans="1:10">
      <c r="A180" s="11">
        <f t="shared" si="13"/>
        <v>179</v>
      </c>
      <c r="B180" s="4" t="s">
        <v>13</v>
      </c>
      <c r="C180" s="5">
        <v>24072015</v>
      </c>
      <c r="D180" s="5">
        <v>21052018</v>
      </c>
      <c r="E180" s="4">
        <v>2</v>
      </c>
      <c r="F180" s="15">
        <f t="shared" si="10"/>
        <v>43271</v>
      </c>
      <c r="G180" s="12">
        <f t="shared" si="11"/>
        <v>2018</v>
      </c>
      <c r="H180" s="12" t="str">
        <f t="shared" si="12"/>
        <v>Junho</v>
      </c>
      <c r="I180" s="11">
        <f>INDEX(tbCadastroConsultas[],MATCH(tbConsultas[[#This Row],[PROFISSIONAL]],tbCadastroConsultas[PROFISSIONAL],0),3)</f>
        <v>301010080</v>
      </c>
      <c r="J180" s="11">
        <f>INDEX(tbCadastroConsultas[],MATCH(tbConsultas[[#This Row],[PROFISSIONAL]],tbCadastroConsultas[PROFISSIONAL],0),4)</f>
        <v>225142</v>
      </c>
    </row>
    <row r="181" spans="1:10">
      <c r="A181" s="11">
        <f t="shared" si="13"/>
        <v>180</v>
      </c>
      <c r="B181" s="4" t="s">
        <v>13</v>
      </c>
      <c r="C181" s="5">
        <v>31122010</v>
      </c>
      <c r="D181" s="5">
        <v>21052018</v>
      </c>
      <c r="E181" s="4">
        <v>7</v>
      </c>
      <c r="F181" s="15">
        <f t="shared" si="10"/>
        <v>43271</v>
      </c>
      <c r="G181" s="12">
        <f t="shared" si="11"/>
        <v>2018</v>
      </c>
      <c r="H181" s="12" t="str">
        <f t="shared" si="12"/>
        <v>Junho</v>
      </c>
      <c r="I181" s="11">
        <f>INDEX(tbCadastroConsultas[],MATCH(tbConsultas[[#This Row],[PROFISSIONAL]],tbCadastroConsultas[PROFISSIONAL],0),3)</f>
        <v>301010080</v>
      </c>
      <c r="J181" s="11">
        <f>INDEX(tbCadastroConsultas[],MATCH(tbConsultas[[#This Row],[PROFISSIONAL]],tbCadastroConsultas[PROFISSIONAL],0),4)</f>
        <v>225142</v>
      </c>
    </row>
    <row r="182" spans="1:10">
      <c r="A182" s="11">
        <f t="shared" si="13"/>
        <v>181</v>
      </c>
      <c r="B182" s="4" t="s">
        <v>13</v>
      </c>
      <c r="C182" s="5">
        <v>29082007</v>
      </c>
      <c r="D182" s="5">
        <v>21052018</v>
      </c>
      <c r="E182" s="4">
        <v>10</v>
      </c>
      <c r="F182" s="15">
        <f t="shared" si="10"/>
        <v>43271</v>
      </c>
      <c r="G182" s="12">
        <f t="shared" si="11"/>
        <v>2018</v>
      </c>
      <c r="H182" s="12" t="str">
        <f t="shared" si="12"/>
        <v>Junho</v>
      </c>
      <c r="I182" s="11">
        <f>INDEX(tbCadastroConsultas[],MATCH(tbConsultas[[#This Row],[PROFISSIONAL]],tbCadastroConsultas[PROFISSIONAL],0),3)</f>
        <v>301010080</v>
      </c>
      <c r="J182" s="11">
        <f>INDEX(tbCadastroConsultas[],MATCH(tbConsultas[[#This Row],[PROFISSIONAL]],tbCadastroConsultas[PROFISSIONAL],0),4)</f>
        <v>225142</v>
      </c>
    </row>
    <row r="183" spans="1:10">
      <c r="A183" s="11">
        <f t="shared" si="13"/>
        <v>182</v>
      </c>
      <c r="B183" s="4" t="s">
        <v>13</v>
      </c>
      <c r="C183" s="5">
        <v>23032015</v>
      </c>
      <c r="D183" s="5">
        <v>21052018</v>
      </c>
      <c r="E183" s="4">
        <v>3</v>
      </c>
      <c r="F183" s="15">
        <f t="shared" si="10"/>
        <v>43271</v>
      </c>
      <c r="G183" s="12">
        <f t="shared" si="11"/>
        <v>2018</v>
      </c>
      <c r="H183" s="12" t="str">
        <f t="shared" si="12"/>
        <v>Junho</v>
      </c>
      <c r="I183" s="11">
        <f>INDEX(tbCadastroConsultas[],MATCH(tbConsultas[[#This Row],[PROFISSIONAL]],tbCadastroConsultas[PROFISSIONAL],0),3)</f>
        <v>301010080</v>
      </c>
      <c r="J183" s="11">
        <f>INDEX(tbCadastroConsultas[],MATCH(tbConsultas[[#This Row],[PROFISSIONAL]],tbCadastroConsultas[PROFISSIONAL],0),4)</f>
        <v>225142</v>
      </c>
    </row>
    <row r="184" spans="1:10">
      <c r="A184" s="11">
        <f t="shared" si="13"/>
        <v>183</v>
      </c>
      <c r="B184" s="4" t="s">
        <v>13</v>
      </c>
      <c r="C184" s="5">
        <v>5042009</v>
      </c>
      <c r="D184" s="5">
        <v>21052018</v>
      </c>
      <c r="E184" s="4">
        <v>9</v>
      </c>
      <c r="F184" s="15">
        <f t="shared" si="10"/>
        <v>43271</v>
      </c>
      <c r="G184" s="12">
        <f t="shared" si="11"/>
        <v>2018</v>
      </c>
      <c r="H184" s="12" t="str">
        <f t="shared" si="12"/>
        <v>Junho</v>
      </c>
      <c r="I184" s="11">
        <f>INDEX(tbCadastroConsultas[],MATCH(tbConsultas[[#This Row],[PROFISSIONAL]],tbCadastroConsultas[PROFISSIONAL],0),3)</f>
        <v>301010080</v>
      </c>
      <c r="J184" s="11">
        <f>INDEX(tbCadastroConsultas[],MATCH(tbConsultas[[#This Row],[PROFISSIONAL]],tbCadastroConsultas[PROFISSIONAL],0),4)</f>
        <v>225142</v>
      </c>
    </row>
    <row r="185" spans="1:10">
      <c r="A185" s="11">
        <f t="shared" si="13"/>
        <v>184</v>
      </c>
      <c r="B185" s="4" t="s">
        <v>13</v>
      </c>
      <c r="C185" s="5">
        <v>21051959</v>
      </c>
      <c r="D185" s="5">
        <v>21052018</v>
      </c>
      <c r="E185" s="4">
        <v>59</v>
      </c>
      <c r="F185" s="15">
        <f t="shared" si="10"/>
        <v>43271</v>
      </c>
      <c r="G185" s="12">
        <f t="shared" si="11"/>
        <v>2018</v>
      </c>
      <c r="H185" s="12" t="str">
        <f t="shared" si="12"/>
        <v>Junho</v>
      </c>
      <c r="I185" s="11">
        <f>INDEX(tbCadastroConsultas[],MATCH(tbConsultas[[#This Row],[PROFISSIONAL]],tbCadastroConsultas[PROFISSIONAL],0),3)</f>
        <v>301010080</v>
      </c>
      <c r="J185" s="11">
        <f>INDEX(tbCadastroConsultas[],MATCH(tbConsultas[[#This Row],[PROFISSIONAL]],tbCadastroConsultas[PROFISSIONAL],0),4)</f>
        <v>225142</v>
      </c>
    </row>
    <row r="186" spans="1:10">
      <c r="A186" s="11">
        <f t="shared" si="13"/>
        <v>185</v>
      </c>
      <c r="B186" s="4" t="s">
        <v>10</v>
      </c>
      <c r="C186" s="5">
        <v>28021991</v>
      </c>
      <c r="D186" s="5">
        <v>21052018</v>
      </c>
      <c r="E186" s="4">
        <v>27</v>
      </c>
      <c r="F186" s="15">
        <f t="shared" si="10"/>
        <v>43271</v>
      </c>
      <c r="G186" s="12">
        <f t="shared" si="11"/>
        <v>2018</v>
      </c>
      <c r="H186" s="12" t="str">
        <f t="shared" si="12"/>
        <v>Junho</v>
      </c>
      <c r="I186" s="11">
        <f>INDEX(tbCadastroConsultas[],MATCH(tbConsultas[[#This Row],[PROFISSIONAL]],tbCadastroConsultas[PROFISSIONAL],0),3)</f>
        <v>301010064</v>
      </c>
      <c r="J186" s="11">
        <f>INDEX(tbCadastroConsultas[],MATCH(tbConsultas[[#This Row],[PROFISSIONAL]],tbCadastroConsultas[PROFISSIONAL],0),4)</f>
        <v>225142</v>
      </c>
    </row>
    <row r="187" spans="1:10">
      <c r="A187" s="11">
        <f t="shared" si="13"/>
        <v>186</v>
      </c>
      <c r="B187" s="4" t="s">
        <v>10</v>
      </c>
      <c r="C187" s="5">
        <v>18091965</v>
      </c>
      <c r="D187" s="5">
        <v>21052018</v>
      </c>
      <c r="E187" s="4">
        <v>52</v>
      </c>
      <c r="F187" s="15">
        <f t="shared" si="10"/>
        <v>43271</v>
      </c>
      <c r="G187" s="12">
        <f t="shared" si="11"/>
        <v>2018</v>
      </c>
      <c r="H187" s="12" t="str">
        <f t="shared" si="12"/>
        <v>Junho</v>
      </c>
      <c r="I187" s="11">
        <f>INDEX(tbCadastroConsultas[],MATCH(tbConsultas[[#This Row],[PROFISSIONAL]],tbCadastroConsultas[PROFISSIONAL],0),3)</f>
        <v>301010064</v>
      </c>
      <c r="J187" s="11">
        <f>INDEX(tbCadastroConsultas[],MATCH(tbConsultas[[#This Row],[PROFISSIONAL]],tbCadastroConsultas[PROFISSIONAL],0),4)</f>
        <v>225142</v>
      </c>
    </row>
    <row r="188" spans="1:10">
      <c r="A188" s="11">
        <f t="shared" si="13"/>
        <v>187</v>
      </c>
      <c r="B188" s="4" t="s">
        <v>2</v>
      </c>
      <c r="C188" s="5">
        <v>29051954</v>
      </c>
      <c r="D188" s="5">
        <v>21052018</v>
      </c>
      <c r="E188" s="4">
        <v>64</v>
      </c>
      <c r="F188" s="15">
        <f t="shared" si="10"/>
        <v>43271</v>
      </c>
      <c r="G188" s="12">
        <f t="shared" si="11"/>
        <v>2018</v>
      </c>
      <c r="H188" s="12" t="str">
        <f t="shared" si="12"/>
        <v>Junho</v>
      </c>
      <c r="I188" s="11">
        <f>INDEX(tbCadastroConsultas[],MATCH(tbConsultas[[#This Row],[PROFISSIONAL]],tbCadastroConsultas[PROFISSIONAL],0),3)</f>
        <v>301010030</v>
      </c>
      <c r="J188" s="11">
        <f>INDEX(tbCadastroConsultas[],MATCH(tbConsultas[[#This Row],[PROFISSIONAL]],tbCadastroConsultas[PROFISSIONAL],0),4)</f>
        <v>223505</v>
      </c>
    </row>
    <row r="189" spans="1:10">
      <c r="A189" s="11">
        <f t="shared" si="13"/>
        <v>188</v>
      </c>
      <c r="B189" s="4" t="s">
        <v>2</v>
      </c>
      <c r="C189" s="5">
        <v>28091968</v>
      </c>
      <c r="D189" s="5">
        <v>21052018</v>
      </c>
      <c r="E189" s="4">
        <v>49</v>
      </c>
      <c r="F189" s="15">
        <f t="shared" si="10"/>
        <v>43271</v>
      </c>
      <c r="G189" s="12">
        <f t="shared" si="11"/>
        <v>2018</v>
      </c>
      <c r="H189" s="12" t="str">
        <f t="shared" si="12"/>
        <v>Junho</v>
      </c>
      <c r="I189" s="11">
        <f>INDEX(tbCadastroConsultas[],MATCH(tbConsultas[[#This Row],[PROFISSIONAL]],tbCadastroConsultas[PROFISSIONAL],0),3)</f>
        <v>301010030</v>
      </c>
      <c r="J189" s="11">
        <f>INDEX(tbCadastroConsultas[],MATCH(tbConsultas[[#This Row],[PROFISSIONAL]],tbCadastroConsultas[PROFISSIONAL],0),4)</f>
        <v>223505</v>
      </c>
    </row>
    <row r="190" spans="1:10">
      <c r="A190" s="11">
        <f t="shared" si="13"/>
        <v>189</v>
      </c>
      <c r="B190" s="4" t="s">
        <v>2</v>
      </c>
      <c r="C190" s="5">
        <v>10081994</v>
      </c>
      <c r="D190" s="5">
        <v>21052018</v>
      </c>
      <c r="E190" s="4">
        <v>23</v>
      </c>
      <c r="F190" s="15">
        <f t="shared" si="10"/>
        <v>43271</v>
      </c>
      <c r="G190" s="12">
        <f t="shared" si="11"/>
        <v>2018</v>
      </c>
      <c r="H190" s="12" t="str">
        <f t="shared" si="12"/>
        <v>Junho</v>
      </c>
      <c r="I190" s="11">
        <f>INDEX(tbCadastroConsultas[],MATCH(tbConsultas[[#This Row],[PROFISSIONAL]],tbCadastroConsultas[PROFISSIONAL],0),3)</f>
        <v>301010030</v>
      </c>
      <c r="J190" s="11">
        <f>INDEX(tbCadastroConsultas[],MATCH(tbConsultas[[#This Row],[PROFISSIONAL]],tbCadastroConsultas[PROFISSIONAL],0),4)</f>
        <v>223505</v>
      </c>
    </row>
    <row r="191" spans="1:10">
      <c r="A191" s="11">
        <f t="shared" si="13"/>
        <v>190</v>
      </c>
      <c r="B191" s="4" t="s">
        <v>2</v>
      </c>
      <c r="C191" s="5">
        <v>23092017</v>
      </c>
      <c r="D191" s="5">
        <v>21052018</v>
      </c>
      <c r="E191" s="4">
        <v>0</v>
      </c>
      <c r="F191" s="15">
        <f t="shared" si="10"/>
        <v>43271</v>
      </c>
      <c r="G191" s="12">
        <f t="shared" si="11"/>
        <v>2018</v>
      </c>
      <c r="H191" s="12" t="str">
        <f t="shared" si="12"/>
        <v>Junho</v>
      </c>
      <c r="I191" s="11">
        <f>INDEX(tbCadastroConsultas[],MATCH(tbConsultas[[#This Row],[PROFISSIONAL]],tbCadastroConsultas[PROFISSIONAL],0),3)</f>
        <v>301010030</v>
      </c>
      <c r="J191" s="11">
        <f>INDEX(tbCadastroConsultas[],MATCH(tbConsultas[[#This Row],[PROFISSIONAL]],tbCadastroConsultas[PROFISSIONAL],0),4)</f>
        <v>223505</v>
      </c>
    </row>
    <row r="192" spans="1:10">
      <c r="A192" s="11">
        <f t="shared" si="13"/>
        <v>191</v>
      </c>
      <c r="B192" s="4" t="s">
        <v>2</v>
      </c>
      <c r="C192" s="5">
        <v>20031954</v>
      </c>
      <c r="D192" s="5">
        <v>21052018</v>
      </c>
      <c r="E192" s="4">
        <v>64</v>
      </c>
      <c r="F192" s="15">
        <f t="shared" si="10"/>
        <v>43271</v>
      </c>
      <c r="G192" s="12">
        <f t="shared" si="11"/>
        <v>2018</v>
      </c>
      <c r="H192" s="12" t="str">
        <f t="shared" si="12"/>
        <v>Junho</v>
      </c>
      <c r="I192" s="11">
        <f>INDEX(tbCadastroConsultas[],MATCH(tbConsultas[[#This Row],[PROFISSIONAL]],tbCadastroConsultas[PROFISSIONAL],0),3)</f>
        <v>301010030</v>
      </c>
      <c r="J192" s="11">
        <f>INDEX(tbCadastroConsultas[],MATCH(tbConsultas[[#This Row],[PROFISSIONAL]],tbCadastroConsultas[PROFISSIONAL],0),4)</f>
        <v>223505</v>
      </c>
    </row>
    <row r="193" spans="1:10">
      <c r="A193" s="11">
        <f t="shared" si="13"/>
        <v>192</v>
      </c>
      <c r="B193" s="4" t="s">
        <v>2</v>
      </c>
      <c r="C193" s="5">
        <v>18031989</v>
      </c>
      <c r="D193" s="5">
        <v>21052018</v>
      </c>
      <c r="E193" s="4">
        <v>29</v>
      </c>
      <c r="F193" s="15">
        <f t="shared" si="10"/>
        <v>43271</v>
      </c>
      <c r="G193" s="12">
        <f t="shared" si="11"/>
        <v>2018</v>
      </c>
      <c r="H193" s="12" t="str">
        <f t="shared" si="12"/>
        <v>Junho</v>
      </c>
      <c r="I193" s="11">
        <f>INDEX(tbCadastroConsultas[],MATCH(tbConsultas[[#This Row],[PROFISSIONAL]],tbCadastroConsultas[PROFISSIONAL],0),3)</f>
        <v>301010030</v>
      </c>
      <c r="J193" s="11">
        <f>INDEX(tbCadastroConsultas[],MATCH(tbConsultas[[#This Row],[PROFISSIONAL]],tbCadastroConsultas[PROFISSIONAL],0),4)</f>
        <v>223505</v>
      </c>
    </row>
    <row r="194" spans="1:10">
      <c r="A194" s="11">
        <f t="shared" si="13"/>
        <v>193</v>
      </c>
      <c r="B194" s="4" t="s">
        <v>2</v>
      </c>
      <c r="C194" s="5">
        <v>14041950</v>
      </c>
      <c r="D194" s="5">
        <v>21052018</v>
      </c>
      <c r="E194" s="4">
        <v>68</v>
      </c>
      <c r="F194" s="15">
        <f t="shared" ref="F194:F257" si="14">IF(D194="","",DATE(YEAR(TEXT(D194,"00\/00\/0000")),MONTH(TEXT(D194,"00\/00\/0000"))+1,20))</f>
        <v>43271</v>
      </c>
      <c r="G194" s="12">
        <f t="shared" ref="G194:G257" si="15">IF(F194="","",YEAR(F194))</f>
        <v>2018</v>
      </c>
      <c r="H194" s="12" t="str">
        <f t="shared" ref="H194:H257" si="16">PROPER(TEXT(F194,"mmmm"))</f>
        <v>Junho</v>
      </c>
      <c r="I194" s="11">
        <f>INDEX(tbCadastroConsultas[],MATCH(tbConsultas[[#This Row],[PROFISSIONAL]],tbCadastroConsultas[PROFISSIONAL],0),3)</f>
        <v>301010030</v>
      </c>
      <c r="J194" s="11">
        <f>INDEX(tbCadastroConsultas[],MATCH(tbConsultas[[#This Row],[PROFISSIONAL]],tbCadastroConsultas[PROFISSIONAL],0),4)</f>
        <v>223505</v>
      </c>
    </row>
    <row r="195" spans="1:10">
      <c r="A195" s="11">
        <f t="shared" si="13"/>
        <v>194</v>
      </c>
      <c r="B195" s="4" t="s">
        <v>2</v>
      </c>
      <c r="C195" s="5">
        <v>13071948</v>
      </c>
      <c r="D195" s="5">
        <v>21052018</v>
      </c>
      <c r="E195" s="4">
        <v>69</v>
      </c>
      <c r="F195" s="15">
        <f t="shared" si="14"/>
        <v>43271</v>
      </c>
      <c r="G195" s="12">
        <f t="shared" si="15"/>
        <v>2018</v>
      </c>
      <c r="H195" s="12" t="str">
        <f t="shared" si="16"/>
        <v>Junho</v>
      </c>
      <c r="I195" s="11">
        <f>INDEX(tbCadastroConsultas[],MATCH(tbConsultas[[#This Row],[PROFISSIONAL]],tbCadastroConsultas[PROFISSIONAL],0),3)</f>
        <v>301010030</v>
      </c>
      <c r="J195" s="11">
        <f>INDEX(tbCadastroConsultas[],MATCH(tbConsultas[[#This Row],[PROFISSIONAL]],tbCadastroConsultas[PROFISSIONAL],0),4)</f>
        <v>223505</v>
      </c>
    </row>
    <row r="196" spans="1:10">
      <c r="A196" s="11">
        <f t="shared" si="13"/>
        <v>195</v>
      </c>
      <c r="B196" s="4" t="s">
        <v>2</v>
      </c>
      <c r="C196" s="5">
        <v>29051961</v>
      </c>
      <c r="D196" s="5">
        <v>21052018</v>
      </c>
      <c r="E196" s="4">
        <v>56</v>
      </c>
      <c r="F196" s="15">
        <f t="shared" si="14"/>
        <v>43271</v>
      </c>
      <c r="G196" s="12">
        <f t="shared" si="15"/>
        <v>2018</v>
      </c>
      <c r="H196" s="12" t="str">
        <f t="shared" si="16"/>
        <v>Junho</v>
      </c>
      <c r="I196" s="11">
        <f>INDEX(tbCadastroConsultas[],MATCH(tbConsultas[[#This Row],[PROFISSIONAL]],tbCadastroConsultas[PROFISSIONAL],0),3)</f>
        <v>301010030</v>
      </c>
      <c r="J196" s="11">
        <f>INDEX(tbCadastroConsultas[],MATCH(tbConsultas[[#This Row],[PROFISSIONAL]],tbCadastroConsultas[PROFISSIONAL],0),4)</f>
        <v>223505</v>
      </c>
    </row>
    <row r="197" spans="1:10">
      <c r="A197" s="11">
        <f t="shared" si="13"/>
        <v>196</v>
      </c>
      <c r="B197" s="4" t="s">
        <v>2</v>
      </c>
      <c r="C197" s="5">
        <v>11021922</v>
      </c>
      <c r="D197" s="5">
        <v>21052018</v>
      </c>
      <c r="E197" s="4">
        <v>96</v>
      </c>
      <c r="F197" s="15">
        <f t="shared" si="14"/>
        <v>43271</v>
      </c>
      <c r="G197" s="12">
        <f t="shared" si="15"/>
        <v>2018</v>
      </c>
      <c r="H197" s="12" t="str">
        <f t="shared" si="16"/>
        <v>Junho</v>
      </c>
      <c r="I197" s="11">
        <f>INDEX(tbCadastroConsultas[],MATCH(tbConsultas[[#This Row],[PROFISSIONAL]],tbCadastroConsultas[PROFISSIONAL],0),3)</f>
        <v>301010030</v>
      </c>
      <c r="J197" s="11">
        <f>INDEX(tbCadastroConsultas[],MATCH(tbConsultas[[#This Row],[PROFISSIONAL]],tbCadastroConsultas[PROFISSIONAL],0),4)</f>
        <v>223505</v>
      </c>
    </row>
    <row r="198" spans="1:10">
      <c r="A198" s="11">
        <f t="shared" si="13"/>
        <v>197</v>
      </c>
      <c r="B198" s="4" t="s">
        <v>2</v>
      </c>
      <c r="C198" s="5">
        <v>19031933</v>
      </c>
      <c r="D198" s="5">
        <v>21052018</v>
      </c>
      <c r="E198" s="4">
        <v>85</v>
      </c>
      <c r="F198" s="15">
        <f t="shared" si="14"/>
        <v>43271</v>
      </c>
      <c r="G198" s="12">
        <f t="shared" si="15"/>
        <v>2018</v>
      </c>
      <c r="H198" s="12" t="str">
        <f t="shared" si="16"/>
        <v>Junho</v>
      </c>
      <c r="I198" s="11">
        <f>INDEX(tbCadastroConsultas[],MATCH(tbConsultas[[#This Row],[PROFISSIONAL]],tbCadastroConsultas[PROFISSIONAL],0),3)</f>
        <v>301010030</v>
      </c>
      <c r="J198" s="11">
        <f>INDEX(tbCadastroConsultas[],MATCH(tbConsultas[[#This Row],[PROFISSIONAL]],tbCadastroConsultas[PROFISSIONAL],0),4)</f>
        <v>223505</v>
      </c>
    </row>
    <row r="199" spans="1:10">
      <c r="A199" s="11">
        <f t="shared" si="13"/>
        <v>198</v>
      </c>
      <c r="B199" s="4" t="s">
        <v>2</v>
      </c>
      <c r="C199" s="5">
        <v>4121994</v>
      </c>
      <c r="D199" s="5">
        <v>21052018</v>
      </c>
      <c r="E199" s="4">
        <v>23</v>
      </c>
      <c r="F199" s="15">
        <f t="shared" si="14"/>
        <v>43271</v>
      </c>
      <c r="G199" s="12">
        <f t="shared" si="15"/>
        <v>2018</v>
      </c>
      <c r="H199" s="12" t="str">
        <f t="shared" si="16"/>
        <v>Junho</v>
      </c>
      <c r="I199" s="11">
        <f>INDEX(tbCadastroConsultas[],MATCH(tbConsultas[[#This Row],[PROFISSIONAL]],tbCadastroConsultas[PROFISSIONAL],0),3)</f>
        <v>301010030</v>
      </c>
      <c r="J199" s="11">
        <f>INDEX(tbCadastroConsultas[],MATCH(tbConsultas[[#This Row],[PROFISSIONAL]],tbCadastroConsultas[PROFISSIONAL],0),4)</f>
        <v>223505</v>
      </c>
    </row>
    <row r="200" spans="1:10">
      <c r="A200" s="11">
        <f t="shared" si="13"/>
        <v>199</v>
      </c>
      <c r="B200" s="4" t="s">
        <v>0</v>
      </c>
      <c r="C200" s="5">
        <v>2032017</v>
      </c>
      <c r="D200" s="5">
        <v>21052018</v>
      </c>
      <c r="E200" s="4">
        <v>1</v>
      </c>
      <c r="F200" s="15">
        <f t="shared" si="14"/>
        <v>43271</v>
      </c>
      <c r="G200" s="12">
        <f t="shared" si="15"/>
        <v>2018</v>
      </c>
      <c r="H200" s="12" t="str">
        <f t="shared" si="16"/>
        <v>Junho</v>
      </c>
      <c r="I200" s="11">
        <f>INDEX(tbCadastroConsultas[],MATCH(tbConsultas[[#This Row],[PROFISSIONAL]],tbCadastroConsultas[PROFISSIONAL],0),3)</f>
        <v>301010080</v>
      </c>
      <c r="J200" s="11">
        <f>INDEX(tbCadastroConsultas[],MATCH(tbConsultas[[#This Row],[PROFISSIONAL]],tbCadastroConsultas[PROFISSIONAL],0),4)</f>
        <v>225124</v>
      </c>
    </row>
    <row r="201" spans="1:10">
      <c r="A201" s="11">
        <f t="shared" si="13"/>
        <v>200</v>
      </c>
      <c r="B201" s="4" t="s">
        <v>7</v>
      </c>
      <c r="C201" s="5">
        <v>15082017</v>
      </c>
      <c r="D201" s="5">
        <v>21052018</v>
      </c>
      <c r="E201" s="4">
        <v>0</v>
      </c>
      <c r="F201" s="15">
        <f t="shared" si="14"/>
        <v>43271</v>
      </c>
      <c r="G201" s="12">
        <f t="shared" si="15"/>
        <v>2018</v>
      </c>
      <c r="H201" s="12" t="str">
        <f t="shared" si="16"/>
        <v>Junho</v>
      </c>
      <c r="I201" s="11">
        <f>INDEX(tbCadastroConsultas[],MATCH(tbConsultas[[#This Row],[PROFISSIONAL]],tbCadastroConsultas[PROFISSIONAL],0),3)</f>
        <v>301010064</v>
      </c>
      <c r="J201" s="11">
        <f>INDEX(tbCadastroConsultas[],MATCH(tbConsultas[[#This Row],[PROFISSIONAL]],tbCadastroConsultas[PROFISSIONAL],0),4)</f>
        <v>225124</v>
      </c>
    </row>
    <row r="202" spans="1:10">
      <c r="A202" s="11">
        <f t="shared" si="13"/>
        <v>201</v>
      </c>
      <c r="B202" s="4" t="s">
        <v>7</v>
      </c>
      <c r="C202" s="5">
        <v>28072015</v>
      </c>
      <c r="D202" s="5">
        <v>21052018</v>
      </c>
      <c r="E202" s="4">
        <v>2</v>
      </c>
      <c r="F202" s="15">
        <f t="shared" si="14"/>
        <v>43271</v>
      </c>
      <c r="G202" s="12">
        <f t="shared" si="15"/>
        <v>2018</v>
      </c>
      <c r="H202" s="12" t="str">
        <f t="shared" si="16"/>
        <v>Junho</v>
      </c>
      <c r="I202" s="11">
        <f>INDEX(tbCadastroConsultas[],MATCH(tbConsultas[[#This Row],[PROFISSIONAL]],tbCadastroConsultas[PROFISSIONAL],0),3)</f>
        <v>301010064</v>
      </c>
      <c r="J202" s="11">
        <f>INDEX(tbCadastroConsultas[],MATCH(tbConsultas[[#This Row],[PROFISSIONAL]],tbCadastroConsultas[PROFISSIONAL],0),4)</f>
        <v>225124</v>
      </c>
    </row>
    <row r="203" spans="1:10">
      <c r="A203" s="11">
        <f t="shared" si="13"/>
        <v>202</v>
      </c>
      <c r="B203" s="4" t="s">
        <v>7</v>
      </c>
      <c r="C203" s="5">
        <v>18032011</v>
      </c>
      <c r="D203" s="5">
        <v>21052018</v>
      </c>
      <c r="E203" s="4">
        <v>7</v>
      </c>
      <c r="F203" s="15">
        <f t="shared" si="14"/>
        <v>43271</v>
      </c>
      <c r="G203" s="12">
        <f t="shared" si="15"/>
        <v>2018</v>
      </c>
      <c r="H203" s="12" t="str">
        <f t="shared" si="16"/>
        <v>Junho</v>
      </c>
      <c r="I203" s="11">
        <f>INDEX(tbCadastroConsultas[],MATCH(tbConsultas[[#This Row],[PROFISSIONAL]],tbCadastroConsultas[PROFISSIONAL],0),3)</f>
        <v>301010064</v>
      </c>
      <c r="J203" s="11">
        <f>INDEX(tbCadastroConsultas[],MATCH(tbConsultas[[#This Row],[PROFISSIONAL]],tbCadastroConsultas[PROFISSIONAL],0),4)</f>
        <v>225124</v>
      </c>
    </row>
    <row r="204" spans="1:10">
      <c r="A204" s="11">
        <f t="shared" si="13"/>
        <v>203</v>
      </c>
      <c r="B204" s="4" t="s">
        <v>7</v>
      </c>
      <c r="C204" s="5">
        <v>19082013</v>
      </c>
      <c r="D204" s="5">
        <v>21052018</v>
      </c>
      <c r="E204" s="4">
        <v>4</v>
      </c>
      <c r="F204" s="15">
        <f t="shared" si="14"/>
        <v>43271</v>
      </c>
      <c r="G204" s="12">
        <f t="shared" si="15"/>
        <v>2018</v>
      </c>
      <c r="H204" s="12" t="str">
        <f t="shared" si="16"/>
        <v>Junho</v>
      </c>
      <c r="I204" s="11">
        <f>INDEX(tbCadastroConsultas[],MATCH(tbConsultas[[#This Row],[PROFISSIONAL]],tbCadastroConsultas[PROFISSIONAL],0),3)</f>
        <v>301010064</v>
      </c>
      <c r="J204" s="11">
        <f>INDEX(tbCadastroConsultas[],MATCH(tbConsultas[[#This Row],[PROFISSIONAL]],tbCadastroConsultas[PROFISSIONAL],0),4)</f>
        <v>225124</v>
      </c>
    </row>
    <row r="205" spans="1:10">
      <c r="A205" s="11">
        <f t="shared" si="13"/>
        <v>204</v>
      </c>
      <c r="B205" s="4" t="s">
        <v>7</v>
      </c>
      <c r="C205" s="5">
        <v>24092010</v>
      </c>
      <c r="D205" s="5">
        <v>21052018</v>
      </c>
      <c r="E205" s="4">
        <v>7</v>
      </c>
      <c r="F205" s="15">
        <f t="shared" si="14"/>
        <v>43271</v>
      </c>
      <c r="G205" s="12">
        <f t="shared" si="15"/>
        <v>2018</v>
      </c>
      <c r="H205" s="12" t="str">
        <f t="shared" si="16"/>
        <v>Junho</v>
      </c>
      <c r="I205" s="11">
        <f>INDEX(tbCadastroConsultas[],MATCH(tbConsultas[[#This Row],[PROFISSIONAL]],tbCadastroConsultas[PROFISSIONAL],0),3)</f>
        <v>301010064</v>
      </c>
      <c r="J205" s="11">
        <f>INDEX(tbCadastroConsultas[],MATCH(tbConsultas[[#This Row],[PROFISSIONAL]],tbCadastroConsultas[PROFISSIONAL],0),4)</f>
        <v>225124</v>
      </c>
    </row>
    <row r="206" spans="1:10">
      <c r="A206" s="11">
        <f t="shared" si="13"/>
        <v>205</v>
      </c>
      <c r="B206" s="4" t="s">
        <v>7</v>
      </c>
      <c r="C206" s="5">
        <v>12042016</v>
      </c>
      <c r="D206" s="5">
        <v>21052018</v>
      </c>
      <c r="E206" s="4">
        <v>2</v>
      </c>
      <c r="F206" s="15">
        <f t="shared" si="14"/>
        <v>43271</v>
      </c>
      <c r="G206" s="12">
        <f t="shared" si="15"/>
        <v>2018</v>
      </c>
      <c r="H206" s="12" t="str">
        <f t="shared" si="16"/>
        <v>Junho</v>
      </c>
      <c r="I206" s="11">
        <f>INDEX(tbCadastroConsultas[],MATCH(tbConsultas[[#This Row],[PROFISSIONAL]],tbCadastroConsultas[PROFISSIONAL],0),3)</f>
        <v>301010064</v>
      </c>
      <c r="J206" s="11">
        <f>INDEX(tbCadastroConsultas[],MATCH(tbConsultas[[#This Row],[PROFISSIONAL]],tbCadastroConsultas[PROFISSIONAL],0),4)</f>
        <v>225124</v>
      </c>
    </row>
    <row r="207" spans="1:10">
      <c r="A207" s="11">
        <f t="shared" si="13"/>
        <v>206</v>
      </c>
      <c r="B207" s="4" t="s">
        <v>7</v>
      </c>
      <c r="C207" s="5">
        <v>6022016</v>
      </c>
      <c r="D207" s="5">
        <v>21052018</v>
      </c>
      <c r="E207" s="4">
        <v>2</v>
      </c>
      <c r="F207" s="15">
        <f t="shared" si="14"/>
        <v>43271</v>
      </c>
      <c r="G207" s="12">
        <f t="shared" si="15"/>
        <v>2018</v>
      </c>
      <c r="H207" s="12" t="str">
        <f t="shared" si="16"/>
        <v>Junho</v>
      </c>
      <c r="I207" s="11">
        <f>INDEX(tbCadastroConsultas[],MATCH(tbConsultas[[#This Row],[PROFISSIONAL]],tbCadastroConsultas[PROFISSIONAL],0),3)</f>
        <v>301010064</v>
      </c>
      <c r="J207" s="11">
        <f>INDEX(tbCadastroConsultas[],MATCH(tbConsultas[[#This Row],[PROFISSIONAL]],tbCadastroConsultas[PROFISSIONAL],0),4)</f>
        <v>225124</v>
      </c>
    </row>
    <row r="208" spans="1:10">
      <c r="A208" s="11">
        <f t="shared" si="13"/>
        <v>207</v>
      </c>
      <c r="B208" s="4" t="s">
        <v>7</v>
      </c>
      <c r="C208" s="5">
        <v>2052006</v>
      </c>
      <c r="D208" s="5">
        <v>21052018</v>
      </c>
      <c r="E208" s="4">
        <v>12</v>
      </c>
      <c r="F208" s="15">
        <f t="shared" si="14"/>
        <v>43271</v>
      </c>
      <c r="G208" s="12">
        <f t="shared" si="15"/>
        <v>2018</v>
      </c>
      <c r="H208" s="12" t="str">
        <f t="shared" si="16"/>
        <v>Junho</v>
      </c>
      <c r="I208" s="11">
        <f>INDEX(tbCadastroConsultas[],MATCH(tbConsultas[[#This Row],[PROFISSIONAL]],tbCadastroConsultas[PROFISSIONAL],0),3)</f>
        <v>301010064</v>
      </c>
      <c r="J208" s="11">
        <f>INDEX(tbCadastroConsultas[],MATCH(tbConsultas[[#This Row],[PROFISSIONAL]],tbCadastroConsultas[PROFISSIONAL],0),4)</f>
        <v>225124</v>
      </c>
    </row>
    <row r="209" spans="1:10">
      <c r="A209" s="11">
        <f t="shared" si="13"/>
        <v>208</v>
      </c>
      <c r="B209" s="4" t="s">
        <v>0</v>
      </c>
      <c r="C209" s="5">
        <v>28052017</v>
      </c>
      <c r="D209" s="5">
        <v>21052018</v>
      </c>
      <c r="E209" s="4">
        <v>1</v>
      </c>
      <c r="F209" s="15">
        <f t="shared" si="14"/>
        <v>43271</v>
      </c>
      <c r="G209" s="12">
        <f t="shared" si="15"/>
        <v>2018</v>
      </c>
      <c r="H209" s="12" t="str">
        <f t="shared" si="16"/>
        <v>Junho</v>
      </c>
      <c r="I209" s="11">
        <f>INDEX(tbCadastroConsultas[],MATCH(tbConsultas[[#This Row],[PROFISSIONAL]],tbCadastroConsultas[PROFISSIONAL],0),3)</f>
        <v>301010080</v>
      </c>
      <c r="J209" s="11">
        <f>INDEX(tbCadastroConsultas[],MATCH(tbConsultas[[#This Row],[PROFISSIONAL]],tbCadastroConsultas[PROFISSIONAL],0),4)</f>
        <v>225124</v>
      </c>
    </row>
    <row r="210" spans="1:10">
      <c r="A210" s="11">
        <f t="shared" si="13"/>
        <v>209</v>
      </c>
      <c r="B210" s="4" t="s">
        <v>0</v>
      </c>
      <c r="C210" s="5">
        <v>10042017</v>
      </c>
      <c r="D210" s="5">
        <v>21052018</v>
      </c>
      <c r="E210" s="4">
        <v>1</v>
      </c>
      <c r="F210" s="15">
        <f t="shared" si="14"/>
        <v>43271</v>
      </c>
      <c r="G210" s="12">
        <f t="shared" si="15"/>
        <v>2018</v>
      </c>
      <c r="H210" s="12" t="str">
        <f t="shared" si="16"/>
        <v>Junho</v>
      </c>
      <c r="I210" s="11">
        <f>INDEX(tbCadastroConsultas[],MATCH(tbConsultas[[#This Row],[PROFISSIONAL]],tbCadastroConsultas[PROFISSIONAL],0),3)</f>
        <v>301010080</v>
      </c>
      <c r="J210" s="11">
        <f>INDEX(tbCadastroConsultas[],MATCH(tbConsultas[[#This Row],[PROFISSIONAL]],tbCadastroConsultas[PROFISSIONAL],0),4)</f>
        <v>225124</v>
      </c>
    </row>
    <row r="211" spans="1:10">
      <c r="A211" s="11">
        <f t="shared" si="13"/>
        <v>210</v>
      </c>
      <c r="B211" s="4" t="s">
        <v>0</v>
      </c>
      <c r="C211" s="5">
        <v>7042018</v>
      </c>
      <c r="D211" s="5">
        <v>21052018</v>
      </c>
      <c r="E211" s="4">
        <v>0</v>
      </c>
      <c r="F211" s="15">
        <f t="shared" si="14"/>
        <v>43271</v>
      </c>
      <c r="G211" s="12">
        <f t="shared" si="15"/>
        <v>2018</v>
      </c>
      <c r="H211" s="12" t="str">
        <f t="shared" si="16"/>
        <v>Junho</v>
      </c>
      <c r="I211" s="11">
        <f>INDEX(tbCadastroConsultas[],MATCH(tbConsultas[[#This Row],[PROFISSIONAL]],tbCadastroConsultas[PROFISSIONAL],0),3)</f>
        <v>301010080</v>
      </c>
      <c r="J211" s="11">
        <f>INDEX(tbCadastroConsultas[],MATCH(tbConsultas[[#This Row],[PROFISSIONAL]],tbCadastroConsultas[PROFISSIONAL],0),4)</f>
        <v>225124</v>
      </c>
    </row>
    <row r="212" spans="1:10">
      <c r="A212" s="11">
        <f t="shared" si="13"/>
        <v>211</v>
      </c>
      <c r="B212" s="4" t="s">
        <v>0</v>
      </c>
      <c r="C212" s="5">
        <v>2042018</v>
      </c>
      <c r="D212" s="5">
        <v>21052018</v>
      </c>
      <c r="E212" s="4">
        <v>0</v>
      </c>
      <c r="F212" s="15">
        <f t="shared" si="14"/>
        <v>43271</v>
      </c>
      <c r="G212" s="12">
        <f t="shared" si="15"/>
        <v>2018</v>
      </c>
      <c r="H212" s="12" t="str">
        <f t="shared" si="16"/>
        <v>Junho</v>
      </c>
      <c r="I212" s="11">
        <f>INDEX(tbCadastroConsultas[],MATCH(tbConsultas[[#This Row],[PROFISSIONAL]],tbCadastroConsultas[PROFISSIONAL],0),3)</f>
        <v>301010080</v>
      </c>
      <c r="J212" s="11">
        <f>INDEX(tbCadastroConsultas[],MATCH(tbConsultas[[#This Row],[PROFISSIONAL]],tbCadastroConsultas[PROFISSIONAL],0),4)</f>
        <v>225124</v>
      </c>
    </row>
    <row r="213" spans="1:10">
      <c r="A213" s="11">
        <f t="shared" si="13"/>
        <v>212</v>
      </c>
      <c r="B213" s="4" t="s">
        <v>0</v>
      </c>
      <c r="C213" s="5">
        <v>27062018</v>
      </c>
      <c r="D213" s="5">
        <v>21052018</v>
      </c>
      <c r="E213" s="4">
        <v>-1</v>
      </c>
      <c r="F213" s="15">
        <f t="shared" si="14"/>
        <v>43271</v>
      </c>
      <c r="G213" s="12">
        <f t="shared" si="15"/>
        <v>2018</v>
      </c>
      <c r="H213" s="12" t="str">
        <f t="shared" si="16"/>
        <v>Junho</v>
      </c>
      <c r="I213" s="11">
        <f>INDEX(tbCadastroConsultas[],MATCH(tbConsultas[[#This Row],[PROFISSIONAL]],tbCadastroConsultas[PROFISSIONAL],0),3)</f>
        <v>301010080</v>
      </c>
      <c r="J213" s="11">
        <f>INDEX(tbCadastroConsultas[],MATCH(tbConsultas[[#This Row],[PROFISSIONAL]],tbCadastroConsultas[PROFISSIONAL],0),4)</f>
        <v>225124</v>
      </c>
    </row>
    <row r="214" spans="1:10">
      <c r="A214" s="11">
        <f t="shared" si="13"/>
        <v>213</v>
      </c>
      <c r="B214" s="4" t="s">
        <v>0</v>
      </c>
      <c r="C214" s="5">
        <v>30122017</v>
      </c>
      <c r="D214" s="5">
        <v>21052018</v>
      </c>
      <c r="E214" s="4">
        <v>0</v>
      </c>
      <c r="F214" s="15">
        <f t="shared" si="14"/>
        <v>43271</v>
      </c>
      <c r="G214" s="12">
        <f t="shared" si="15"/>
        <v>2018</v>
      </c>
      <c r="H214" s="12" t="str">
        <f t="shared" si="16"/>
        <v>Junho</v>
      </c>
      <c r="I214" s="11">
        <f>INDEX(tbCadastroConsultas[],MATCH(tbConsultas[[#This Row],[PROFISSIONAL]],tbCadastroConsultas[PROFISSIONAL],0),3)</f>
        <v>301010080</v>
      </c>
      <c r="J214" s="11">
        <f>INDEX(tbCadastroConsultas[],MATCH(tbConsultas[[#This Row],[PROFISSIONAL]],tbCadastroConsultas[PROFISSIONAL],0),4)</f>
        <v>225124</v>
      </c>
    </row>
    <row r="215" spans="1:10">
      <c r="A215" s="11">
        <f t="shared" si="13"/>
        <v>214</v>
      </c>
      <c r="B215" s="4" t="s">
        <v>0</v>
      </c>
      <c r="C215" s="5">
        <v>14022017</v>
      </c>
      <c r="D215" s="5">
        <v>21052018</v>
      </c>
      <c r="E215" s="4">
        <v>1</v>
      </c>
      <c r="F215" s="15">
        <f t="shared" si="14"/>
        <v>43271</v>
      </c>
      <c r="G215" s="12">
        <f t="shared" si="15"/>
        <v>2018</v>
      </c>
      <c r="H215" s="12" t="str">
        <f t="shared" si="16"/>
        <v>Junho</v>
      </c>
      <c r="I215" s="11">
        <f>INDEX(tbCadastroConsultas[],MATCH(tbConsultas[[#This Row],[PROFISSIONAL]],tbCadastroConsultas[PROFISSIONAL],0),3)</f>
        <v>301010080</v>
      </c>
      <c r="J215" s="11">
        <f>INDEX(tbCadastroConsultas[],MATCH(tbConsultas[[#This Row],[PROFISSIONAL]],tbCadastroConsultas[PROFISSIONAL],0),4)</f>
        <v>225124</v>
      </c>
    </row>
    <row r="216" spans="1:10">
      <c r="A216" s="11">
        <f t="shared" si="13"/>
        <v>215</v>
      </c>
      <c r="B216" s="4" t="s">
        <v>0</v>
      </c>
      <c r="C216" s="5">
        <v>5102016</v>
      </c>
      <c r="D216" s="5">
        <v>21052018</v>
      </c>
      <c r="E216" s="4">
        <v>1</v>
      </c>
      <c r="F216" s="15">
        <f t="shared" si="14"/>
        <v>43271</v>
      </c>
      <c r="G216" s="12">
        <f t="shared" si="15"/>
        <v>2018</v>
      </c>
      <c r="H216" s="12" t="str">
        <f t="shared" si="16"/>
        <v>Junho</v>
      </c>
      <c r="I216" s="11">
        <f>INDEX(tbCadastroConsultas[],MATCH(tbConsultas[[#This Row],[PROFISSIONAL]],tbCadastroConsultas[PROFISSIONAL],0),3)</f>
        <v>301010080</v>
      </c>
      <c r="J216" s="11">
        <f>INDEX(tbCadastroConsultas[],MATCH(tbConsultas[[#This Row],[PROFISSIONAL]],tbCadastroConsultas[PROFISSIONAL],0),4)</f>
        <v>225124</v>
      </c>
    </row>
    <row r="217" spans="1:10">
      <c r="A217" s="11">
        <f t="shared" si="13"/>
        <v>216</v>
      </c>
      <c r="B217" s="4" t="s">
        <v>0</v>
      </c>
      <c r="C217" s="5">
        <v>6102011</v>
      </c>
      <c r="D217" s="5">
        <v>21052018</v>
      </c>
      <c r="E217" s="4">
        <v>6</v>
      </c>
      <c r="F217" s="15">
        <f t="shared" si="14"/>
        <v>43271</v>
      </c>
      <c r="G217" s="12">
        <f t="shared" si="15"/>
        <v>2018</v>
      </c>
      <c r="H217" s="12" t="str">
        <f t="shared" si="16"/>
        <v>Junho</v>
      </c>
      <c r="I217" s="11">
        <f>INDEX(tbCadastroConsultas[],MATCH(tbConsultas[[#This Row],[PROFISSIONAL]],tbCadastroConsultas[PROFISSIONAL],0),3)</f>
        <v>301010080</v>
      </c>
      <c r="J217" s="11">
        <f>INDEX(tbCadastroConsultas[],MATCH(tbConsultas[[#This Row],[PROFISSIONAL]],tbCadastroConsultas[PROFISSIONAL],0),4)</f>
        <v>225124</v>
      </c>
    </row>
    <row r="218" spans="1:10">
      <c r="A218" s="11">
        <f t="shared" si="13"/>
        <v>217</v>
      </c>
      <c r="B218" s="4" t="s">
        <v>0</v>
      </c>
      <c r="C218" s="5">
        <v>20112007</v>
      </c>
      <c r="D218" s="5">
        <v>21052018</v>
      </c>
      <c r="E218" s="4">
        <v>10</v>
      </c>
      <c r="F218" s="15">
        <f t="shared" si="14"/>
        <v>43271</v>
      </c>
      <c r="G218" s="12">
        <f t="shared" si="15"/>
        <v>2018</v>
      </c>
      <c r="H218" s="12" t="str">
        <f t="shared" si="16"/>
        <v>Junho</v>
      </c>
      <c r="I218" s="11">
        <f>INDEX(tbCadastroConsultas[],MATCH(tbConsultas[[#This Row],[PROFISSIONAL]],tbCadastroConsultas[PROFISSIONAL],0),3)</f>
        <v>301010080</v>
      </c>
      <c r="J218" s="11">
        <f>INDEX(tbCadastroConsultas[],MATCH(tbConsultas[[#This Row],[PROFISSIONAL]],tbCadastroConsultas[PROFISSIONAL],0),4)</f>
        <v>225124</v>
      </c>
    </row>
    <row r="219" spans="1:10">
      <c r="A219" s="11">
        <f t="shared" si="13"/>
        <v>218</v>
      </c>
      <c r="B219" s="4" t="s">
        <v>0</v>
      </c>
      <c r="C219" s="5">
        <v>4032018</v>
      </c>
      <c r="D219" s="5">
        <v>21052018</v>
      </c>
      <c r="E219" s="4">
        <v>0</v>
      </c>
      <c r="F219" s="15">
        <f t="shared" si="14"/>
        <v>43271</v>
      </c>
      <c r="G219" s="12">
        <f t="shared" si="15"/>
        <v>2018</v>
      </c>
      <c r="H219" s="12" t="str">
        <f t="shared" si="16"/>
        <v>Junho</v>
      </c>
      <c r="I219" s="11">
        <f>INDEX(tbCadastroConsultas[],MATCH(tbConsultas[[#This Row],[PROFISSIONAL]],tbCadastroConsultas[PROFISSIONAL],0),3)</f>
        <v>301010080</v>
      </c>
      <c r="J219" s="11">
        <f>INDEX(tbCadastroConsultas[],MATCH(tbConsultas[[#This Row],[PROFISSIONAL]],tbCadastroConsultas[PROFISSIONAL],0),4)</f>
        <v>225124</v>
      </c>
    </row>
    <row r="220" spans="1:10">
      <c r="A220" s="11">
        <f t="shared" si="13"/>
        <v>219</v>
      </c>
      <c r="B220" s="4" t="s">
        <v>0</v>
      </c>
      <c r="C220" s="5">
        <v>6032018</v>
      </c>
      <c r="D220" s="5">
        <v>21052018</v>
      </c>
      <c r="E220" s="4">
        <v>0</v>
      </c>
      <c r="F220" s="15">
        <f t="shared" si="14"/>
        <v>43271</v>
      </c>
      <c r="G220" s="12">
        <f t="shared" si="15"/>
        <v>2018</v>
      </c>
      <c r="H220" s="12" t="str">
        <f t="shared" si="16"/>
        <v>Junho</v>
      </c>
      <c r="I220" s="11">
        <f>INDEX(tbCadastroConsultas[],MATCH(tbConsultas[[#This Row],[PROFISSIONAL]],tbCadastroConsultas[PROFISSIONAL],0),3)</f>
        <v>301010080</v>
      </c>
      <c r="J220" s="11">
        <f>INDEX(tbCadastroConsultas[],MATCH(tbConsultas[[#This Row],[PROFISSIONAL]],tbCadastroConsultas[PROFISSIONAL],0),4)</f>
        <v>225124</v>
      </c>
    </row>
    <row r="221" spans="1:10">
      <c r="A221" s="11">
        <f t="shared" si="13"/>
        <v>220</v>
      </c>
      <c r="B221" s="4" t="s">
        <v>0</v>
      </c>
      <c r="C221" s="5">
        <v>11042018</v>
      </c>
      <c r="D221" s="5">
        <v>21052018</v>
      </c>
      <c r="E221" s="4">
        <v>0</v>
      </c>
      <c r="F221" s="15">
        <f t="shared" si="14"/>
        <v>43271</v>
      </c>
      <c r="G221" s="12">
        <f t="shared" si="15"/>
        <v>2018</v>
      </c>
      <c r="H221" s="12" t="str">
        <f t="shared" si="16"/>
        <v>Junho</v>
      </c>
      <c r="I221" s="11">
        <f>INDEX(tbCadastroConsultas[],MATCH(tbConsultas[[#This Row],[PROFISSIONAL]],tbCadastroConsultas[PROFISSIONAL],0),3)</f>
        <v>301010080</v>
      </c>
      <c r="J221" s="11">
        <f>INDEX(tbCadastroConsultas[],MATCH(tbConsultas[[#This Row],[PROFISSIONAL]],tbCadastroConsultas[PROFISSIONAL],0),4)</f>
        <v>225124</v>
      </c>
    </row>
    <row r="222" spans="1:10">
      <c r="A222" s="11">
        <f t="shared" si="13"/>
        <v>221</v>
      </c>
      <c r="B222" s="4" t="s">
        <v>0</v>
      </c>
      <c r="C222" s="5">
        <v>30082008</v>
      </c>
      <c r="D222" s="5">
        <v>21052018</v>
      </c>
      <c r="E222" s="4">
        <v>9</v>
      </c>
      <c r="F222" s="15">
        <f t="shared" si="14"/>
        <v>43271</v>
      </c>
      <c r="G222" s="12">
        <f t="shared" si="15"/>
        <v>2018</v>
      </c>
      <c r="H222" s="12" t="str">
        <f t="shared" si="16"/>
        <v>Junho</v>
      </c>
      <c r="I222" s="11">
        <f>INDEX(tbCadastroConsultas[],MATCH(tbConsultas[[#This Row],[PROFISSIONAL]],tbCadastroConsultas[PROFISSIONAL],0),3)</f>
        <v>301010080</v>
      </c>
      <c r="J222" s="11">
        <f>INDEX(tbCadastroConsultas[],MATCH(tbConsultas[[#This Row],[PROFISSIONAL]],tbCadastroConsultas[PROFISSIONAL],0),4)</f>
        <v>225124</v>
      </c>
    </row>
    <row r="223" spans="1:10">
      <c r="A223" s="11">
        <f t="shared" si="13"/>
        <v>222</v>
      </c>
      <c r="B223" s="4" t="s">
        <v>0</v>
      </c>
      <c r="C223" s="5">
        <v>20012009</v>
      </c>
      <c r="D223" s="5">
        <v>21052018</v>
      </c>
      <c r="E223" s="4">
        <v>9</v>
      </c>
      <c r="F223" s="15">
        <f t="shared" si="14"/>
        <v>43271</v>
      </c>
      <c r="G223" s="12">
        <f t="shared" si="15"/>
        <v>2018</v>
      </c>
      <c r="H223" s="12" t="str">
        <f t="shared" si="16"/>
        <v>Junho</v>
      </c>
      <c r="I223" s="11">
        <f>INDEX(tbCadastroConsultas[],MATCH(tbConsultas[[#This Row],[PROFISSIONAL]],tbCadastroConsultas[PROFISSIONAL],0),3)</f>
        <v>301010080</v>
      </c>
      <c r="J223" s="11">
        <f>INDEX(tbCadastroConsultas[],MATCH(tbConsultas[[#This Row],[PROFISSIONAL]],tbCadastroConsultas[PROFISSIONAL],0),4)</f>
        <v>225124</v>
      </c>
    </row>
    <row r="224" spans="1:10">
      <c r="A224" s="11">
        <f t="shared" ref="A224:A287" si="17">ROW() -1</f>
        <v>223</v>
      </c>
      <c r="B224" s="4" t="s">
        <v>0</v>
      </c>
      <c r="C224" s="5">
        <v>15012017</v>
      </c>
      <c r="D224" s="5">
        <v>21052018</v>
      </c>
      <c r="E224" s="4">
        <v>1</v>
      </c>
      <c r="F224" s="15">
        <f t="shared" si="14"/>
        <v>43271</v>
      </c>
      <c r="G224" s="12">
        <f t="shared" si="15"/>
        <v>2018</v>
      </c>
      <c r="H224" s="12" t="str">
        <f t="shared" si="16"/>
        <v>Junho</v>
      </c>
      <c r="I224" s="11">
        <f>INDEX(tbCadastroConsultas[],MATCH(tbConsultas[[#This Row],[PROFISSIONAL]],tbCadastroConsultas[PROFISSIONAL],0),3)</f>
        <v>301010080</v>
      </c>
      <c r="J224" s="11">
        <f>INDEX(tbCadastroConsultas[],MATCH(tbConsultas[[#This Row],[PROFISSIONAL]],tbCadastroConsultas[PROFISSIONAL],0),4)</f>
        <v>225124</v>
      </c>
    </row>
    <row r="225" spans="1:10">
      <c r="A225" s="11">
        <f t="shared" si="17"/>
        <v>224</v>
      </c>
      <c r="B225" s="4" t="s">
        <v>0</v>
      </c>
      <c r="C225" s="5">
        <v>7032015</v>
      </c>
      <c r="D225" s="5">
        <v>21052018</v>
      </c>
      <c r="E225" s="4">
        <v>3</v>
      </c>
      <c r="F225" s="15">
        <f t="shared" si="14"/>
        <v>43271</v>
      </c>
      <c r="G225" s="12">
        <f t="shared" si="15"/>
        <v>2018</v>
      </c>
      <c r="H225" s="12" t="str">
        <f t="shared" si="16"/>
        <v>Junho</v>
      </c>
      <c r="I225" s="11">
        <f>INDEX(tbCadastroConsultas[],MATCH(tbConsultas[[#This Row],[PROFISSIONAL]],tbCadastroConsultas[PROFISSIONAL],0),3)</f>
        <v>301010080</v>
      </c>
      <c r="J225" s="11">
        <f>INDEX(tbCadastroConsultas[],MATCH(tbConsultas[[#This Row],[PROFISSIONAL]],tbCadastroConsultas[PROFISSIONAL],0),4)</f>
        <v>225124</v>
      </c>
    </row>
    <row r="226" spans="1:10">
      <c r="A226" s="11">
        <f t="shared" si="17"/>
        <v>225</v>
      </c>
      <c r="B226" s="4" t="s">
        <v>0</v>
      </c>
      <c r="C226" s="5">
        <v>28082017</v>
      </c>
      <c r="D226" s="5">
        <v>21052018</v>
      </c>
      <c r="E226" s="4">
        <v>0</v>
      </c>
      <c r="F226" s="15">
        <f t="shared" si="14"/>
        <v>43271</v>
      </c>
      <c r="G226" s="12">
        <f t="shared" si="15"/>
        <v>2018</v>
      </c>
      <c r="H226" s="12" t="str">
        <f t="shared" si="16"/>
        <v>Junho</v>
      </c>
      <c r="I226" s="11">
        <f>INDEX(tbCadastroConsultas[],MATCH(tbConsultas[[#This Row],[PROFISSIONAL]],tbCadastroConsultas[PROFISSIONAL],0),3)</f>
        <v>301010080</v>
      </c>
      <c r="J226" s="11">
        <f>INDEX(tbCadastroConsultas[],MATCH(tbConsultas[[#This Row],[PROFISSIONAL]],tbCadastroConsultas[PROFISSIONAL],0),4)</f>
        <v>225124</v>
      </c>
    </row>
    <row r="227" spans="1:10">
      <c r="A227" s="11">
        <f t="shared" si="17"/>
        <v>226</v>
      </c>
      <c r="B227" s="4" t="s">
        <v>0</v>
      </c>
      <c r="C227" s="5">
        <v>11092017</v>
      </c>
      <c r="D227" s="5">
        <v>21052018</v>
      </c>
      <c r="E227" s="4">
        <v>0</v>
      </c>
      <c r="F227" s="15">
        <f t="shared" si="14"/>
        <v>43271</v>
      </c>
      <c r="G227" s="12">
        <f t="shared" si="15"/>
        <v>2018</v>
      </c>
      <c r="H227" s="12" t="str">
        <f t="shared" si="16"/>
        <v>Junho</v>
      </c>
      <c r="I227" s="11">
        <f>INDEX(tbCadastroConsultas[],MATCH(tbConsultas[[#This Row],[PROFISSIONAL]],tbCadastroConsultas[PROFISSIONAL],0),3)</f>
        <v>301010080</v>
      </c>
      <c r="J227" s="11">
        <f>INDEX(tbCadastroConsultas[],MATCH(tbConsultas[[#This Row],[PROFISSIONAL]],tbCadastroConsultas[PROFISSIONAL],0),4)</f>
        <v>225124</v>
      </c>
    </row>
    <row r="228" spans="1:10">
      <c r="A228" s="11">
        <f t="shared" si="17"/>
        <v>227</v>
      </c>
      <c r="B228" s="4" t="s">
        <v>0</v>
      </c>
      <c r="C228" s="5">
        <v>31072017</v>
      </c>
      <c r="D228" s="5">
        <v>21052018</v>
      </c>
      <c r="E228" s="4">
        <v>0</v>
      </c>
      <c r="F228" s="15">
        <f t="shared" si="14"/>
        <v>43271</v>
      </c>
      <c r="G228" s="12">
        <f t="shared" si="15"/>
        <v>2018</v>
      </c>
      <c r="H228" s="12" t="str">
        <f t="shared" si="16"/>
        <v>Junho</v>
      </c>
      <c r="I228" s="11">
        <f>INDEX(tbCadastroConsultas[],MATCH(tbConsultas[[#This Row],[PROFISSIONAL]],tbCadastroConsultas[PROFISSIONAL],0),3)</f>
        <v>301010080</v>
      </c>
      <c r="J228" s="11">
        <f>INDEX(tbCadastroConsultas[],MATCH(tbConsultas[[#This Row],[PROFISSIONAL]],tbCadastroConsultas[PROFISSIONAL],0),4)</f>
        <v>225124</v>
      </c>
    </row>
    <row r="229" spans="1:10">
      <c r="A229" s="11">
        <f t="shared" si="17"/>
        <v>228</v>
      </c>
      <c r="B229" s="4" t="s">
        <v>1</v>
      </c>
      <c r="C229" s="5">
        <v>31032016</v>
      </c>
      <c r="D229" s="5">
        <v>21052018</v>
      </c>
      <c r="E229" s="4">
        <v>2</v>
      </c>
      <c r="F229" s="15">
        <f t="shared" si="14"/>
        <v>43271</v>
      </c>
      <c r="G229" s="12">
        <f t="shared" si="15"/>
        <v>2018</v>
      </c>
      <c r="H229" s="12" t="str">
        <f t="shared" si="16"/>
        <v>Junho</v>
      </c>
      <c r="I229" s="11">
        <f>INDEX(tbCadastroConsultas[],MATCH(tbConsultas[[#This Row],[PROFISSIONAL]],tbCadastroConsultas[PROFISSIONAL],0),3)</f>
        <v>301010030</v>
      </c>
      <c r="J229" s="11">
        <f>INDEX(tbCadastroConsultas[],MATCH(tbConsultas[[#This Row],[PROFISSIONAL]],tbCadastroConsultas[PROFISSIONAL],0),4)</f>
        <v>251510</v>
      </c>
    </row>
    <row r="230" spans="1:10">
      <c r="A230" s="11">
        <f t="shared" si="17"/>
        <v>229</v>
      </c>
      <c r="B230" s="4" t="s">
        <v>1</v>
      </c>
      <c r="C230" s="5">
        <v>28031997</v>
      </c>
      <c r="D230" s="5">
        <v>21052018</v>
      </c>
      <c r="E230" s="4">
        <v>21</v>
      </c>
      <c r="F230" s="15">
        <f t="shared" si="14"/>
        <v>43271</v>
      </c>
      <c r="G230" s="12">
        <f t="shared" si="15"/>
        <v>2018</v>
      </c>
      <c r="H230" s="12" t="str">
        <f t="shared" si="16"/>
        <v>Junho</v>
      </c>
      <c r="I230" s="11">
        <f>INDEX(tbCadastroConsultas[],MATCH(tbConsultas[[#This Row],[PROFISSIONAL]],tbCadastroConsultas[PROFISSIONAL],0),3)</f>
        <v>301010030</v>
      </c>
      <c r="J230" s="11">
        <f>INDEX(tbCadastroConsultas[],MATCH(tbConsultas[[#This Row],[PROFISSIONAL]],tbCadastroConsultas[PROFISSIONAL],0),4)</f>
        <v>251510</v>
      </c>
    </row>
    <row r="231" spans="1:10">
      <c r="A231" s="11">
        <f t="shared" si="17"/>
        <v>230</v>
      </c>
      <c r="B231" s="4" t="s">
        <v>1</v>
      </c>
      <c r="C231" s="5">
        <v>2031977</v>
      </c>
      <c r="D231" s="5">
        <v>21052018</v>
      </c>
      <c r="E231" s="4">
        <v>41</v>
      </c>
      <c r="F231" s="15">
        <f t="shared" si="14"/>
        <v>43271</v>
      </c>
      <c r="G231" s="12">
        <f t="shared" si="15"/>
        <v>2018</v>
      </c>
      <c r="H231" s="12" t="str">
        <f t="shared" si="16"/>
        <v>Junho</v>
      </c>
      <c r="I231" s="11">
        <f>INDEX(tbCadastroConsultas[],MATCH(tbConsultas[[#This Row],[PROFISSIONAL]],tbCadastroConsultas[PROFISSIONAL],0),3)</f>
        <v>301010030</v>
      </c>
      <c r="J231" s="11">
        <f>INDEX(tbCadastroConsultas[],MATCH(tbConsultas[[#This Row],[PROFISSIONAL]],tbCadastroConsultas[PROFISSIONAL],0),4)</f>
        <v>251510</v>
      </c>
    </row>
    <row r="232" spans="1:10">
      <c r="A232" s="11">
        <f t="shared" si="17"/>
        <v>231</v>
      </c>
      <c r="B232" s="4" t="s">
        <v>10</v>
      </c>
      <c r="C232" s="5">
        <v>16011969</v>
      </c>
      <c r="D232" s="5">
        <v>21052018</v>
      </c>
      <c r="E232" s="4">
        <v>49</v>
      </c>
      <c r="F232" s="15">
        <f t="shared" si="14"/>
        <v>43271</v>
      </c>
      <c r="G232" s="12">
        <f t="shared" si="15"/>
        <v>2018</v>
      </c>
      <c r="H232" s="12" t="str">
        <f t="shared" si="16"/>
        <v>Junho</v>
      </c>
      <c r="I232" s="11">
        <f>INDEX(tbCadastroConsultas[],MATCH(tbConsultas[[#This Row],[PROFISSIONAL]],tbCadastroConsultas[PROFISSIONAL],0),3)</f>
        <v>301010064</v>
      </c>
      <c r="J232" s="11">
        <f>INDEX(tbCadastroConsultas[],MATCH(tbConsultas[[#This Row],[PROFISSIONAL]],tbCadastroConsultas[PROFISSIONAL],0),4)</f>
        <v>225142</v>
      </c>
    </row>
    <row r="233" spans="1:10">
      <c r="A233" s="11">
        <f t="shared" si="17"/>
        <v>232</v>
      </c>
      <c r="B233" s="4" t="s">
        <v>10</v>
      </c>
      <c r="C233" s="5">
        <v>15011950</v>
      </c>
      <c r="D233" s="5">
        <v>21052018</v>
      </c>
      <c r="E233" s="4">
        <v>68</v>
      </c>
      <c r="F233" s="15">
        <f t="shared" si="14"/>
        <v>43271</v>
      </c>
      <c r="G233" s="12">
        <f t="shared" si="15"/>
        <v>2018</v>
      </c>
      <c r="H233" s="12" t="str">
        <f t="shared" si="16"/>
        <v>Junho</v>
      </c>
      <c r="I233" s="11">
        <f>INDEX(tbCadastroConsultas[],MATCH(tbConsultas[[#This Row],[PROFISSIONAL]],tbCadastroConsultas[PROFISSIONAL],0),3)</f>
        <v>301010064</v>
      </c>
      <c r="J233" s="11">
        <f>INDEX(tbCadastroConsultas[],MATCH(tbConsultas[[#This Row],[PROFISSIONAL]],tbCadastroConsultas[PROFISSIONAL],0),4)</f>
        <v>225142</v>
      </c>
    </row>
    <row r="234" spans="1:10">
      <c r="A234" s="11">
        <f t="shared" si="17"/>
        <v>233</v>
      </c>
      <c r="B234" s="4" t="s">
        <v>10</v>
      </c>
      <c r="C234" s="5">
        <v>19031947</v>
      </c>
      <c r="D234" s="5">
        <v>21052018</v>
      </c>
      <c r="E234" s="4">
        <v>71</v>
      </c>
      <c r="F234" s="15">
        <f t="shared" si="14"/>
        <v>43271</v>
      </c>
      <c r="G234" s="12">
        <f t="shared" si="15"/>
        <v>2018</v>
      </c>
      <c r="H234" s="12" t="str">
        <f t="shared" si="16"/>
        <v>Junho</v>
      </c>
      <c r="I234" s="11">
        <f>INDEX(tbCadastroConsultas[],MATCH(tbConsultas[[#This Row],[PROFISSIONAL]],tbCadastroConsultas[PROFISSIONAL],0),3)</f>
        <v>301010064</v>
      </c>
      <c r="J234" s="11">
        <f>INDEX(tbCadastroConsultas[],MATCH(tbConsultas[[#This Row],[PROFISSIONAL]],tbCadastroConsultas[PROFISSIONAL],0),4)</f>
        <v>225142</v>
      </c>
    </row>
    <row r="235" spans="1:10">
      <c r="A235" s="11">
        <f t="shared" si="17"/>
        <v>234</v>
      </c>
      <c r="B235" s="4" t="s">
        <v>10</v>
      </c>
      <c r="C235" s="5">
        <v>18051990</v>
      </c>
      <c r="D235" s="5">
        <v>21052018</v>
      </c>
      <c r="E235" s="4">
        <v>28</v>
      </c>
      <c r="F235" s="15">
        <f t="shared" si="14"/>
        <v>43271</v>
      </c>
      <c r="G235" s="12">
        <f t="shared" si="15"/>
        <v>2018</v>
      </c>
      <c r="H235" s="12" t="str">
        <f t="shared" si="16"/>
        <v>Junho</v>
      </c>
      <c r="I235" s="11">
        <f>INDEX(tbCadastroConsultas[],MATCH(tbConsultas[[#This Row],[PROFISSIONAL]],tbCadastroConsultas[PROFISSIONAL],0),3)</f>
        <v>301010064</v>
      </c>
      <c r="J235" s="11">
        <f>INDEX(tbCadastroConsultas[],MATCH(tbConsultas[[#This Row],[PROFISSIONAL]],tbCadastroConsultas[PROFISSIONAL],0),4)</f>
        <v>225142</v>
      </c>
    </row>
    <row r="236" spans="1:10">
      <c r="A236" s="11">
        <f t="shared" si="17"/>
        <v>235</v>
      </c>
      <c r="B236" s="4" t="s">
        <v>10</v>
      </c>
      <c r="C236" s="5">
        <v>20051974</v>
      </c>
      <c r="D236" s="5">
        <v>21052018</v>
      </c>
      <c r="E236" s="4">
        <v>44</v>
      </c>
      <c r="F236" s="15">
        <f t="shared" si="14"/>
        <v>43271</v>
      </c>
      <c r="G236" s="12">
        <f t="shared" si="15"/>
        <v>2018</v>
      </c>
      <c r="H236" s="12" t="str">
        <f t="shared" si="16"/>
        <v>Junho</v>
      </c>
      <c r="I236" s="11">
        <f>INDEX(tbCadastroConsultas[],MATCH(tbConsultas[[#This Row],[PROFISSIONAL]],tbCadastroConsultas[PROFISSIONAL],0),3)</f>
        <v>301010064</v>
      </c>
      <c r="J236" s="11">
        <f>INDEX(tbCadastroConsultas[],MATCH(tbConsultas[[#This Row],[PROFISSIONAL]],tbCadastroConsultas[PROFISSIONAL],0),4)</f>
        <v>225142</v>
      </c>
    </row>
    <row r="237" spans="1:10">
      <c r="A237" s="11">
        <f t="shared" si="17"/>
        <v>236</v>
      </c>
      <c r="B237" s="4" t="s">
        <v>10</v>
      </c>
      <c r="C237" s="5">
        <v>9041943</v>
      </c>
      <c r="D237" s="5">
        <v>21052018</v>
      </c>
      <c r="E237" s="4">
        <v>75</v>
      </c>
      <c r="F237" s="15">
        <f t="shared" si="14"/>
        <v>43271</v>
      </c>
      <c r="G237" s="12">
        <f t="shared" si="15"/>
        <v>2018</v>
      </c>
      <c r="H237" s="12" t="str">
        <f t="shared" si="16"/>
        <v>Junho</v>
      </c>
      <c r="I237" s="11">
        <f>INDEX(tbCadastroConsultas[],MATCH(tbConsultas[[#This Row],[PROFISSIONAL]],tbCadastroConsultas[PROFISSIONAL],0),3)</f>
        <v>301010064</v>
      </c>
      <c r="J237" s="11">
        <f>INDEX(tbCadastroConsultas[],MATCH(tbConsultas[[#This Row],[PROFISSIONAL]],tbCadastroConsultas[PROFISSIONAL],0),4)</f>
        <v>225142</v>
      </c>
    </row>
    <row r="238" spans="1:10">
      <c r="A238" s="11">
        <f t="shared" si="17"/>
        <v>237</v>
      </c>
      <c r="B238" s="4" t="s">
        <v>10</v>
      </c>
      <c r="C238" s="5">
        <v>28051987</v>
      </c>
      <c r="D238" s="5">
        <v>21052018</v>
      </c>
      <c r="E238" s="4">
        <v>31</v>
      </c>
      <c r="F238" s="15">
        <f t="shared" si="14"/>
        <v>43271</v>
      </c>
      <c r="G238" s="12">
        <f t="shared" si="15"/>
        <v>2018</v>
      </c>
      <c r="H238" s="12" t="str">
        <f t="shared" si="16"/>
        <v>Junho</v>
      </c>
      <c r="I238" s="11">
        <f>INDEX(tbCadastroConsultas[],MATCH(tbConsultas[[#This Row],[PROFISSIONAL]],tbCadastroConsultas[PROFISSIONAL],0),3)</f>
        <v>301010064</v>
      </c>
      <c r="J238" s="11">
        <f>INDEX(tbCadastroConsultas[],MATCH(tbConsultas[[#This Row],[PROFISSIONAL]],tbCadastroConsultas[PROFISSIONAL],0),4)</f>
        <v>225142</v>
      </c>
    </row>
    <row r="239" spans="1:10">
      <c r="A239" s="11">
        <f t="shared" si="17"/>
        <v>238</v>
      </c>
      <c r="B239" s="4" t="s">
        <v>10</v>
      </c>
      <c r="C239" s="5">
        <v>6071964</v>
      </c>
      <c r="D239" s="5">
        <v>21052018</v>
      </c>
      <c r="E239" s="4">
        <v>53</v>
      </c>
      <c r="F239" s="15">
        <f t="shared" si="14"/>
        <v>43271</v>
      </c>
      <c r="G239" s="12">
        <f t="shared" si="15"/>
        <v>2018</v>
      </c>
      <c r="H239" s="12" t="str">
        <f t="shared" si="16"/>
        <v>Junho</v>
      </c>
      <c r="I239" s="11">
        <f>INDEX(tbCadastroConsultas[],MATCH(tbConsultas[[#This Row],[PROFISSIONAL]],tbCadastroConsultas[PROFISSIONAL],0),3)</f>
        <v>301010064</v>
      </c>
      <c r="J239" s="11">
        <f>INDEX(tbCadastroConsultas[],MATCH(tbConsultas[[#This Row],[PROFISSIONAL]],tbCadastroConsultas[PROFISSIONAL],0),4)</f>
        <v>225142</v>
      </c>
    </row>
    <row r="240" spans="1:10">
      <c r="A240" s="11">
        <f t="shared" si="17"/>
        <v>239</v>
      </c>
      <c r="B240" s="4" t="s">
        <v>10</v>
      </c>
      <c r="C240" s="5">
        <v>14041960</v>
      </c>
      <c r="D240" s="5">
        <v>21052018</v>
      </c>
      <c r="E240" s="4">
        <v>58</v>
      </c>
      <c r="F240" s="15">
        <f t="shared" si="14"/>
        <v>43271</v>
      </c>
      <c r="G240" s="12">
        <f t="shared" si="15"/>
        <v>2018</v>
      </c>
      <c r="H240" s="12" t="str">
        <f t="shared" si="16"/>
        <v>Junho</v>
      </c>
      <c r="I240" s="11">
        <f>INDEX(tbCadastroConsultas[],MATCH(tbConsultas[[#This Row],[PROFISSIONAL]],tbCadastroConsultas[PROFISSIONAL],0),3)</f>
        <v>301010064</v>
      </c>
      <c r="J240" s="11">
        <f>INDEX(tbCadastroConsultas[],MATCH(tbConsultas[[#This Row],[PROFISSIONAL]],tbCadastroConsultas[PROFISSIONAL],0),4)</f>
        <v>225142</v>
      </c>
    </row>
    <row r="241" spans="1:10">
      <c r="A241" s="11">
        <f t="shared" si="17"/>
        <v>240</v>
      </c>
      <c r="B241" s="4" t="s">
        <v>13</v>
      </c>
      <c r="C241" s="5">
        <v>27102014</v>
      </c>
      <c r="D241" s="5">
        <v>21052018</v>
      </c>
      <c r="E241" s="4">
        <v>3</v>
      </c>
      <c r="F241" s="15">
        <f t="shared" si="14"/>
        <v>43271</v>
      </c>
      <c r="G241" s="12">
        <f t="shared" si="15"/>
        <v>2018</v>
      </c>
      <c r="H241" s="12" t="str">
        <f t="shared" si="16"/>
        <v>Junho</v>
      </c>
      <c r="I241" s="11">
        <f>INDEX(tbCadastroConsultas[],MATCH(tbConsultas[[#This Row],[PROFISSIONAL]],tbCadastroConsultas[PROFISSIONAL],0),3)</f>
        <v>301010080</v>
      </c>
      <c r="J241" s="11">
        <f>INDEX(tbCadastroConsultas[],MATCH(tbConsultas[[#This Row],[PROFISSIONAL]],tbCadastroConsultas[PROFISSIONAL],0),4)</f>
        <v>225142</v>
      </c>
    </row>
    <row r="242" spans="1:10">
      <c r="A242" s="11">
        <f t="shared" si="17"/>
        <v>241</v>
      </c>
      <c r="B242" s="4" t="s">
        <v>13</v>
      </c>
      <c r="C242" s="5">
        <v>18032015</v>
      </c>
      <c r="D242" s="5">
        <v>21052018</v>
      </c>
      <c r="E242" s="4">
        <v>3</v>
      </c>
      <c r="F242" s="15">
        <f t="shared" si="14"/>
        <v>43271</v>
      </c>
      <c r="G242" s="12">
        <f t="shared" si="15"/>
        <v>2018</v>
      </c>
      <c r="H242" s="12" t="str">
        <f t="shared" si="16"/>
        <v>Junho</v>
      </c>
      <c r="I242" s="11">
        <f>INDEX(tbCadastroConsultas[],MATCH(tbConsultas[[#This Row],[PROFISSIONAL]],tbCadastroConsultas[PROFISSIONAL],0),3)</f>
        <v>301010080</v>
      </c>
      <c r="J242" s="11">
        <f>INDEX(tbCadastroConsultas[],MATCH(tbConsultas[[#This Row],[PROFISSIONAL]],tbCadastroConsultas[PROFISSIONAL],0),4)</f>
        <v>225142</v>
      </c>
    </row>
    <row r="243" spans="1:10">
      <c r="A243" s="11">
        <f t="shared" si="17"/>
        <v>242</v>
      </c>
      <c r="B243" s="4" t="s">
        <v>13</v>
      </c>
      <c r="C243" s="5">
        <v>25032017</v>
      </c>
      <c r="D243" s="5">
        <v>21052018</v>
      </c>
      <c r="E243" s="4">
        <v>1</v>
      </c>
      <c r="F243" s="15">
        <f t="shared" si="14"/>
        <v>43271</v>
      </c>
      <c r="G243" s="12">
        <f t="shared" si="15"/>
        <v>2018</v>
      </c>
      <c r="H243" s="12" t="str">
        <f t="shared" si="16"/>
        <v>Junho</v>
      </c>
      <c r="I243" s="11">
        <f>INDEX(tbCadastroConsultas[],MATCH(tbConsultas[[#This Row],[PROFISSIONAL]],tbCadastroConsultas[PROFISSIONAL],0),3)</f>
        <v>301010080</v>
      </c>
      <c r="J243" s="11">
        <f>INDEX(tbCadastroConsultas[],MATCH(tbConsultas[[#This Row],[PROFISSIONAL]],tbCadastroConsultas[PROFISSIONAL],0),4)</f>
        <v>225142</v>
      </c>
    </row>
    <row r="244" spans="1:10">
      <c r="A244" s="11">
        <f t="shared" si="17"/>
        <v>243</v>
      </c>
      <c r="B244" s="4" t="s">
        <v>13</v>
      </c>
      <c r="C244" s="5">
        <v>25052009</v>
      </c>
      <c r="D244" s="5">
        <v>21052018</v>
      </c>
      <c r="E244" s="4">
        <v>9</v>
      </c>
      <c r="F244" s="15">
        <f t="shared" si="14"/>
        <v>43271</v>
      </c>
      <c r="G244" s="12">
        <f t="shared" si="15"/>
        <v>2018</v>
      </c>
      <c r="H244" s="12" t="str">
        <f t="shared" si="16"/>
        <v>Junho</v>
      </c>
      <c r="I244" s="11">
        <f>INDEX(tbCadastroConsultas[],MATCH(tbConsultas[[#This Row],[PROFISSIONAL]],tbCadastroConsultas[PROFISSIONAL],0),3)</f>
        <v>301010080</v>
      </c>
      <c r="J244" s="11">
        <f>INDEX(tbCadastroConsultas[],MATCH(tbConsultas[[#This Row],[PROFISSIONAL]],tbCadastroConsultas[PROFISSIONAL],0),4)</f>
        <v>225142</v>
      </c>
    </row>
    <row r="245" spans="1:10">
      <c r="A245" s="11">
        <f t="shared" si="17"/>
        <v>244</v>
      </c>
      <c r="B245" s="4" t="s">
        <v>13</v>
      </c>
      <c r="C245" s="5">
        <v>7072006</v>
      </c>
      <c r="D245" s="5">
        <v>21052018</v>
      </c>
      <c r="E245" s="4">
        <v>11</v>
      </c>
      <c r="F245" s="15">
        <f t="shared" si="14"/>
        <v>43271</v>
      </c>
      <c r="G245" s="12">
        <f t="shared" si="15"/>
        <v>2018</v>
      </c>
      <c r="H245" s="12" t="str">
        <f t="shared" si="16"/>
        <v>Junho</v>
      </c>
      <c r="I245" s="11">
        <f>INDEX(tbCadastroConsultas[],MATCH(tbConsultas[[#This Row],[PROFISSIONAL]],tbCadastroConsultas[PROFISSIONAL],0),3)</f>
        <v>301010080</v>
      </c>
      <c r="J245" s="11">
        <f>INDEX(tbCadastroConsultas[],MATCH(tbConsultas[[#This Row],[PROFISSIONAL]],tbCadastroConsultas[PROFISSIONAL],0),4)</f>
        <v>225142</v>
      </c>
    </row>
    <row r="246" spans="1:10">
      <c r="A246" s="11">
        <f t="shared" si="17"/>
        <v>245</v>
      </c>
      <c r="B246" s="4" t="s">
        <v>13</v>
      </c>
      <c r="C246" s="5">
        <v>2082007</v>
      </c>
      <c r="D246" s="5">
        <v>21052018</v>
      </c>
      <c r="E246" s="4">
        <v>10</v>
      </c>
      <c r="F246" s="15">
        <f t="shared" si="14"/>
        <v>43271</v>
      </c>
      <c r="G246" s="12">
        <f t="shared" si="15"/>
        <v>2018</v>
      </c>
      <c r="H246" s="12" t="str">
        <f t="shared" si="16"/>
        <v>Junho</v>
      </c>
      <c r="I246" s="11">
        <f>INDEX(tbCadastroConsultas[],MATCH(tbConsultas[[#This Row],[PROFISSIONAL]],tbCadastroConsultas[PROFISSIONAL],0),3)</f>
        <v>301010080</v>
      </c>
      <c r="J246" s="11">
        <f>INDEX(tbCadastroConsultas[],MATCH(tbConsultas[[#This Row],[PROFISSIONAL]],tbCadastroConsultas[PROFISSIONAL],0),4)</f>
        <v>225142</v>
      </c>
    </row>
    <row r="247" spans="1:10">
      <c r="A247" s="11">
        <f t="shared" si="17"/>
        <v>246</v>
      </c>
      <c r="B247" s="4" t="s">
        <v>5</v>
      </c>
      <c r="C247" s="5">
        <v>17041983</v>
      </c>
      <c r="D247" s="5">
        <v>21052018</v>
      </c>
      <c r="E247" s="4">
        <v>35</v>
      </c>
      <c r="F247" s="15">
        <f t="shared" si="14"/>
        <v>43271</v>
      </c>
      <c r="G247" s="12">
        <f t="shared" si="15"/>
        <v>2018</v>
      </c>
      <c r="H247" s="12" t="str">
        <f t="shared" si="16"/>
        <v>Junho</v>
      </c>
      <c r="I247" s="11">
        <f>INDEX(tbCadastroConsultas[],MATCH(tbConsultas[[#This Row],[PROFISSIONAL]],tbCadastroConsultas[PROFISSIONAL],0),3)</f>
        <v>301010030</v>
      </c>
      <c r="J247" s="11">
        <f>INDEX(tbCadastroConsultas[],MATCH(tbConsultas[[#This Row],[PROFISSIONAL]],tbCadastroConsultas[PROFISSIONAL],0),4)</f>
        <v>223565</v>
      </c>
    </row>
    <row r="248" spans="1:10">
      <c r="A248" s="11">
        <f t="shared" si="17"/>
        <v>247</v>
      </c>
      <c r="B248" s="4" t="s">
        <v>5</v>
      </c>
      <c r="C248" s="5">
        <v>17021994</v>
      </c>
      <c r="D248" s="5">
        <v>21052018</v>
      </c>
      <c r="E248" s="4">
        <v>24</v>
      </c>
      <c r="F248" s="15">
        <f t="shared" si="14"/>
        <v>43271</v>
      </c>
      <c r="G248" s="12">
        <f t="shared" si="15"/>
        <v>2018</v>
      </c>
      <c r="H248" s="12" t="str">
        <f t="shared" si="16"/>
        <v>Junho</v>
      </c>
      <c r="I248" s="11">
        <f>INDEX(tbCadastroConsultas[],MATCH(tbConsultas[[#This Row],[PROFISSIONAL]],tbCadastroConsultas[PROFISSIONAL],0),3)</f>
        <v>301010030</v>
      </c>
      <c r="J248" s="11">
        <f>INDEX(tbCadastroConsultas[],MATCH(tbConsultas[[#This Row],[PROFISSIONAL]],tbCadastroConsultas[PROFISSIONAL],0),4)</f>
        <v>223565</v>
      </c>
    </row>
    <row r="249" spans="1:10">
      <c r="A249" s="11">
        <f t="shared" si="17"/>
        <v>248</v>
      </c>
      <c r="B249" s="4" t="s">
        <v>5</v>
      </c>
      <c r="C249" s="5">
        <v>29081954</v>
      </c>
      <c r="D249" s="5">
        <v>21052018</v>
      </c>
      <c r="E249" s="4">
        <v>63</v>
      </c>
      <c r="F249" s="15">
        <f t="shared" si="14"/>
        <v>43271</v>
      </c>
      <c r="G249" s="12">
        <f t="shared" si="15"/>
        <v>2018</v>
      </c>
      <c r="H249" s="12" t="str">
        <f t="shared" si="16"/>
        <v>Junho</v>
      </c>
      <c r="I249" s="11">
        <f>INDEX(tbCadastroConsultas[],MATCH(tbConsultas[[#This Row],[PROFISSIONAL]],tbCadastroConsultas[PROFISSIONAL],0),3)</f>
        <v>301010030</v>
      </c>
      <c r="J249" s="11">
        <f>INDEX(tbCadastroConsultas[],MATCH(tbConsultas[[#This Row],[PROFISSIONAL]],tbCadastroConsultas[PROFISSIONAL],0),4)</f>
        <v>223565</v>
      </c>
    </row>
    <row r="250" spans="1:10">
      <c r="A250" s="11">
        <f t="shared" si="17"/>
        <v>249</v>
      </c>
      <c r="B250" s="4" t="s">
        <v>15</v>
      </c>
      <c r="C250" s="5">
        <v>15081974</v>
      </c>
      <c r="D250" s="5">
        <v>21052018</v>
      </c>
      <c r="E250" s="4">
        <v>43</v>
      </c>
      <c r="F250" s="15">
        <f t="shared" si="14"/>
        <v>43271</v>
      </c>
      <c r="G250" s="12">
        <f t="shared" si="15"/>
        <v>2018</v>
      </c>
      <c r="H250" s="12" t="str">
        <f t="shared" si="16"/>
        <v>Junho</v>
      </c>
      <c r="I250" s="11">
        <f>INDEX(tbCadastroConsultas[],MATCH(tbConsultas[[#This Row],[PROFISSIONAL]],tbCadastroConsultas[PROFISSIONAL],0),3)</f>
        <v>301010072</v>
      </c>
      <c r="J250" s="11">
        <f>INDEX(tbCadastroConsultas[],MATCH(tbConsultas[[#This Row],[PROFISSIONAL]],tbCadastroConsultas[PROFISSIONAL],0),4)</f>
        <v>225133</v>
      </c>
    </row>
    <row r="251" spans="1:10">
      <c r="A251" s="11">
        <f t="shared" si="17"/>
        <v>250</v>
      </c>
      <c r="B251" s="4" t="s">
        <v>15</v>
      </c>
      <c r="C251" s="5">
        <v>2101960</v>
      </c>
      <c r="D251" s="5">
        <v>21052018</v>
      </c>
      <c r="E251" s="4">
        <v>57</v>
      </c>
      <c r="F251" s="15">
        <f t="shared" si="14"/>
        <v>43271</v>
      </c>
      <c r="G251" s="12">
        <f t="shared" si="15"/>
        <v>2018</v>
      </c>
      <c r="H251" s="12" t="str">
        <f t="shared" si="16"/>
        <v>Junho</v>
      </c>
      <c r="I251" s="11">
        <f>INDEX(tbCadastroConsultas[],MATCH(tbConsultas[[#This Row],[PROFISSIONAL]],tbCadastroConsultas[PROFISSIONAL],0),3)</f>
        <v>301010072</v>
      </c>
      <c r="J251" s="11">
        <f>INDEX(tbCadastroConsultas[],MATCH(tbConsultas[[#This Row],[PROFISSIONAL]],tbCadastroConsultas[PROFISSIONAL],0),4)</f>
        <v>225133</v>
      </c>
    </row>
    <row r="252" spans="1:10">
      <c r="A252" s="11">
        <f t="shared" si="17"/>
        <v>251</v>
      </c>
      <c r="B252" s="4" t="s">
        <v>15</v>
      </c>
      <c r="C252" s="5">
        <v>24051953</v>
      </c>
      <c r="D252" s="5">
        <v>21052018</v>
      </c>
      <c r="E252" s="4">
        <v>65</v>
      </c>
      <c r="F252" s="15">
        <f t="shared" si="14"/>
        <v>43271</v>
      </c>
      <c r="G252" s="12">
        <f t="shared" si="15"/>
        <v>2018</v>
      </c>
      <c r="H252" s="12" t="str">
        <f t="shared" si="16"/>
        <v>Junho</v>
      </c>
      <c r="I252" s="11">
        <f>INDEX(tbCadastroConsultas[],MATCH(tbConsultas[[#This Row],[PROFISSIONAL]],tbCadastroConsultas[PROFISSIONAL],0),3)</f>
        <v>301010072</v>
      </c>
      <c r="J252" s="11">
        <f>INDEX(tbCadastroConsultas[],MATCH(tbConsultas[[#This Row],[PROFISSIONAL]],tbCadastroConsultas[PROFISSIONAL],0),4)</f>
        <v>225133</v>
      </c>
    </row>
    <row r="253" spans="1:10">
      <c r="A253" s="11">
        <f t="shared" si="17"/>
        <v>252</v>
      </c>
      <c r="B253" s="4" t="s">
        <v>15</v>
      </c>
      <c r="C253" s="5">
        <v>12031976</v>
      </c>
      <c r="D253" s="5">
        <v>21052018</v>
      </c>
      <c r="E253" s="4">
        <v>42</v>
      </c>
      <c r="F253" s="15">
        <f t="shared" si="14"/>
        <v>43271</v>
      </c>
      <c r="G253" s="12">
        <f t="shared" si="15"/>
        <v>2018</v>
      </c>
      <c r="H253" s="12" t="str">
        <f t="shared" si="16"/>
        <v>Junho</v>
      </c>
      <c r="I253" s="11">
        <f>INDEX(tbCadastroConsultas[],MATCH(tbConsultas[[#This Row],[PROFISSIONAL]],tbCadastroConsultas[PROFISSIONAL],0),3)</f>
        <v>301010072</v>
      </c>
      <c r="J253" s="11">
        <f>INDEX(tbCadastroConsultas[],MATCH(tbConsultas[[#This Row],[PROFISSIONAL]],tbCadastroConsultas[PROFISSIONAL],0),4)</f>
        <v>225133</v>
      </c>
    </row>
    <row r="254" spans="1:10">
      <c r="A254" s="11">
        <f t="shared" si="17"/>
        <v>253</v>
      </c>
      <c r="B254" s="4" t="s">
        <v>15</v>
      </c>
      <c r="C254" s="5">
        <v>12031990</v>
      </c>
      <c r="D254" s="5">
        <v>21052018</v>
      </c>
      <c r="E254" s="4">
        <v>28</v>
      </c>
      <c r="F254" s="15">
        <f t="shared" si="14"/>
        <v>43271</v>
      </c>
      <c r="G254" s="12">
        <f t="shared" si="15"/>
        <v>2018</v>
      </c>
      <c r="H254" s="12" t="str">
        <f t="shared" si="16"/>
        <v>Junho</v>
      </c>
      <c r="I254" s="11">
        <f>INDEX(tbCadastroConsultas[],MATCH(tbConsultas[[#This Row],[PROFISSIONAL]],tbCadastroConsultas[PROFISSIONAL],0),3)</f>
        <v>301010072</v>
      </c>
      <c r="J254" s="11">
        <f>INDEX(tbCadastroConsultas[],MATCH(tbConsultas[[#This Row],[PROFISSIONAL]],tbCadastroConsultas[PROFISSIONAL],0),4)</f>
        <v>225133</v>
      </c>
    </row>
    <row r="255" spans="1:10">
      <c r="A255" s="11">
        <f t="shared" si="17"/>
        <v>254</v>
      </c>
      <c r="B255" s="4" t="s">
        <v>15</v>
      </c>
      <c r="C255" s="5">
        <v>14011983</v>
      </c>
      <c r="D255" s="5">
        <v>21052018</v>
      </c>
      <c r="E255" s="4">
        <v>35</v>
      </c>
      <c r="F255" s="15">
        <f t="shared" si="14"/>
        <v>43271</v>
      </c>
      <c r="G255" s="12">
        <f t="shared" si="15"/>
        <v>2018</v>
      </c>
      <c r="H255" s="12" t="str">
        <f t="shared" si="16"/>
        <v>Junho</v>
      </c>
      <c r="I255" s="11">
        <f>INDEX(tbCadastroConsultas[],MATCH(tbConsultas[[#This Row],[PROFISSIONAL]],tbCadastroConsultas[PROFISSIONAL],0),3)</f>
        <v>301010072</v>
      </c>
      <c r="J255" s="11">
        <f>INDEX(tbCadastroConsultas[],MATCH(tbConsultas[[#This Row],[PROFISSIONAL]],tbCadastroConsultas[PROFISSIONAL],0),4)</f>
        <v>225133</v>
      </c>
    </row>
    <row r="256" spans="1:10">
      <c r="A256" s="11">
        <f t="shared" si="17"/>
        <v>255</v>
      </c>
      <c r="B256" s="4" t="s">
        <v>15</v>
      </c>
      <c r="C256" s="5">
        <v>9011947</v>
      </c>
      <c r="D256" s="5">
        <v>21052018</v>
      </c>
      <c r="E256" s="4">
        <v>71</v>
      </c>
      <c r="F256" s="15">
        <f t="shared" si="14"/>
        <v>43271</v>
      </c>
      <c r="G256" s="12">
        <f t="shared" si="15"/>
        <v>2018</v>
      </c>
      <c r="H256" s="12" t="str">
        <f t="shared" si="16"/>
        <v>Junho</v>
      </c>
      <c r="I256" s="11">
        <f>INDEX(tbCadastroConsultas[],MATCH(tbConsultas[[#This Row],[PROFISSIONAL]],tbCadastroConsultas[PROFISSIONAL],0),3)</f>
        <v>301010072</v>
      </c>
      <c r="J256" s="11">
        <f>INDEX(tbCadastroConsultas[],MATCH(tbConsultas[[#This Row],[PROFISSIONAL]],tbCadastroConsultas[PROFISSIONAL],0),4)</f>
        <v>225133</v>
      </c>
    </row>
    <row r="257" spans="1:10">
      <c r="A257" s="11">
        <f t="shared" si="17"/>
        <v>256</v>
      </c>
      <c r="B257" s="4" t="s">
        <v>15</v>
      </c>
      <c r="C257" s="5">
        <v>14072003</v>
      </c>
      <c r="D257" s="5">
        <v>21052018</v>
      </c>
      <c r="E257" s="4">
        <v>14</v>
      </c>
      <c r="F257" s="15">
        <f t="shared" si="14"/>
        <v>43271</v>
      </c>
      <c r="G257" s="12">
        <f t="shared" si="15"/>
        <v>2018</v>
      </c>
      <c r="H257" s="12" t="str">
        <f t="shared" si="16"/>
        <v>Junho</v>
      </c>
      <c r="I257" s="11">
        <f>INDEX(tbCadastroConsultas[],MATCH(tbConsultas[[#This Row],[PROFISSIONAL]],tbCadastroConsultas[PROFISSIONAL],0),3)</f>
        <v>301010072</v>
      </c>
      <c r="J257" s="11">
        <f>INDEX(tbCadastroConsultas[],MATCH(tbConsultas[[#This Row],[PROFISSIONAL]],tbCadastroConsultas[PROFISSIONAL],0),4)</f>
        <v>225133</v>
      </c>
    </row>
    <row r="258" spans="1:10">
      <c r="A258" s="11">
        <f t="shared" si="17"/>
        <v>257</v>
      </c>
      <c r="B258" s="4" t="s">
        <v>15</v>
      </c>
      <c r="C258" s="5">
        <v>3101956</v>
      </c>
      <c r="D258" s="5">
        <v>21052018</v>
      </c>
      <c r="E258" s="4">
        <v>61</v>
      </c>
      <c r="F258" s="15">
        <f t="shared" ref="F258:F321" si="18">IF(D258="","",DATE(YEAR(TEXT(D258,"00\/00\/0000")),MONTH(TEXT(D258,"00\/00\/0000"))+1,20))</f>
        <v>43271</v>
      </c>
      <c r="G258" s="12">
        <f t="shared" ref="G258:G321" si="19">IF(F258="","",YEAR(F258))</f>
        <v>2018</v>
      </c>
      <c r="H258" s="12" t="str">
        <f t="shared" ref="H258:H321" si="20">PROPER(TEXT(F258,"mmmm"))</f>
        <v>Junho</v>
      </c>
      <c r="I258" s="11">
        <f>INDEX(tbCadastroConsultas[],MATCH(tbConsultas[[#This Row],[PROFISSIONAL]],tbCadastroConsultas[PROFISSIONAL],0),3)</f>
        <v>301010072</v>
      </c>
      <c r="J258" s="11">
        <f>INDEX(tbCadastroConsultas[],MATCH(tbConsultas[[#This Row],[PROFISSIONAL]],tbCadastroConsultas[PROFISSIONAL],0),4)</f>
        <v>225133</v>
      </c>
    </row>
    <row r="259" spans="1:10">
      <c r="A259" s="11">
        <f t="shared" si="17"/>
        <v>258</v>
      </c>
      <c r="B259" s="4" t="s">
        <v>15</v>
      </c>
      <c r="C259" s="5">
        <v>7031990</v>
      </c>
      <c r="D259" s="5">
        <v>21052018</v>
      </c>
      <c r="E259" s="4">
        <v>28</v>
      </c>
      <c r="F259" s="15">
        <f t="shared" si="18"/>
        <v>43271</v>
      </c>
      <c r="G259" s="12">
        <f t="shared" si="19"/>
        <v>2018</v>
      </c>
      <c r="H259" s="12" t="str">
        <f t="shared" si="20"/>
        <v>Junho</v>
      </c>
      <c r="I259" s="11">
        <f>INDEX(tbCadastroConsultas[],MATCH(tbConsultas[[#This Row],[PROFISSIONAL]],tbCadastroConsultas[PROFISSIONAL],0),3)</f>
        <v>301010072</v>
      </c>
      <c r="J259" s="11">
        <f>INDEX(tbCadastroConsultas[],MATCH(tbConsultas[[#This Row],[PROFISSIONAL]],tbCadastroConsultas[PROFISSIONAL],0),4)</f>
        <v>225133</v>
      </c>
    </row>
    <row r="260" spans="1:10">
      <c r="A260" s="11">
        <f t="shared" si="17"/>
        <v>259</v>
      </c>
      <c r="B260" s="4" t="s">
        <v>15</v>
      </c>
      <c r="C260" s="5">
        <v>16121944</v>
      </c>
      <c r="D260" s="5">
        <v>21052018</v>
      </c>
      <c r="E260" s="4">
        <v>73</v>
      </c>
      <c r="F260" s="15">
        <f t="shared" si="18"/>
        <v>43271</v>
      </c>
      <c r="G260" s="12">
        <f t="shared" si="19"/>
        <v>2018</v>
      </c>
      <c r="H260" s="12" t="str">
        <f t="shared" si="20"/>
        <v>Junho</v>
      </c>
      <c r="I260" s="11">
        <f>INDEX(tbCadastroConsultas[],MATCH(tbConsultas[[#This Row],[PROFISSIONAL]],tbCadastroConsultas[PROFISSIONAL],0),3)</f>
        <v>301010072</v>
      </c>
      <c r="J260" s="11">
        <f>INDEX(tbCadastroConsultas[],MATCH(tbConsultas[[#This Row],[PROFISSIONAL]],tbCadastroConsultas[PROFISSIONAL],0),4)</f>
        <v>225133</v>
      </c>
    </row>
    <row r="261" spans="1:10">
      <c r="A261" s="11">
        <f t="shared" si="17"/>
        <v>260</v>
      </c>
      <c r="B261" s="4" t="s">
        <v>15</v>
      </c>
      <c r="C261" s="5">
        <v>8121940</v>
      </c>
      <c r="D261" s="5">
        <v>21052018</v>
      </c>
      <c r="E261" s="4">
        <v>77</v>
      </c>
      <c r="F261" s="15">
        <f t="shared" si="18"/>
        <v>43271</v>
      </c>
      <c r="G261" s="12">
        <f t="shared" si="19"/>
        <v>2018</v>
      </c>
      <c r="H261" s="12" t="str">
        <f t="shared" si="20"/>
        <v>Junho</v>
      </c>
      <c r="I261" s="11">
        <f>INDEX(tbCadastroConsultas[],MATCH(tbConsultas[[#This Row],[PROFISSIONAL]],tbCadastroConsultas[PROFISSIONAL],0),3)</f>
        <v>301010072</v>
      </c>
      <c r="J261" s="11">
        <f>INDEX(tbCadastroConsultas[],MATCH(tbConsultas[[#This Row],[PROFISSIONAL]],tbCadastroConsultas[PROFISSIONAL],0),4)</f>
        <v>225133</v>
      </c>
    </row>
    <row r="262" spans="1:10">
      <c r="A262" s="11">
        <f t="shared" si="17"/>
        <v>261</v>
      </c>
      <c r="B262" s="4" t="s">
        <v>15</v>
      </c>
      <c r="C262" s="5">
        <v>7041985</v>
      </c>
      <c r="D262" s="5">
        <v>21052018</v>
      </c>
      <c r="E262" s="4">
        <v>33</v>
      </c>
      <c r="F262" s="15">
        <f t="shared" si="18"/>
        <v>43271</v>
      </c>
      <c r="G262" s="12">
        <f t="shared" si="19"/>
        <v>2018</v>
      </c>
      <c r="H262" s="12" t="str">
        <f t="shared" si="20"/>
        <v>Junho</v>
      </c>
      <c r="I262" s="11">
        <f>INDEX(tbCadastroConsultas[],MATCH(tbConsultas[[#This Row],[PROFISSIONAL]],tbCadastroConsultas[PROFISSIONAL],0),3)</f>
        <v>301010072</v>
      </c>
      <c r="J262" s="11">
        <f>INDEX(tbCadastroConsultas[],MATCH(tbConsultas[[#This Row],[PROFISSIONAL]],tbCadastroConsultas[PROFISSIONAL],0),4)</f>
        <v>225133</v>
      </c>
    </row>
    <row r="263" spans="1:10">
      <c r="A263" s="11">
        <f t="shared" si="17"/>
        <v>262</v>
      </c>
      <c r="B263" s="4" t="s">
        <v>10</v>
      </c>
      <c r="C263" s="5">
        <v>15051976</v>
      </c>
      <c r="D263" s="5">
        <v>21052018</v>
      </c>
      <c r="E263" s="4">
        <v>42</v>
      </c>
      <c r="F263" s="15">
        <f t="shared" si="18"/>
        <v>43271</v>
      </c>
      <c r="G263" s="12">
        <f t="shared" si="19"/>
        <v>2018</v>
      </c>
      <c r="H263" s="12" t="str">
        <f t="shared" si="20"/>
        <v>Junho</v>
      </c>
      <c r="I263" s="11">
        <f>INDEX(tbCadastroConsultas[],MATCH(tbConsultas[[#This Row],[PROFISSIONAL]],tbCadastroConsultas[PROFISSIONAL],0),3)</f>
        <v>301010064</v>
      </c>
      <c r="J263" s="11">
        <f>INDEX(tbCadastroConsultas[],MATCH(tbConsultas[[#This Row],[PROFISSIONAL]],tbCadastroConsultas[PROFISSIONAL],0),4)</f>
        <v>225142</v>
      </c>
    </row>
    <row r="264" spans="1:10">
      <c r="A264" s="11">
        <f t="shared" si="17"/>
        <v>263</v>
      </c>
      <c r="B264" s="4" t="s">
        <v>10</v>
      </c>
      <c r="C264" s="5">
        <v>10071999</v>
      </c>
      <c r="D264" s="5">
        <v>21052018</v>
      </c>
      <c r="E264" s="4">
        <v>18</v>
      </c>
      <c r="F264" s="15">
        <f t="shared" si="18"/>
        <v>43271</v>
      </c>
      <c r="G264" s="12">
        <f t="shared" si="19"/>
        <v>2018</v>
      </c>
      <c r="H264" s="12" t="str">
        <f t="shared" si="20"/>
        <v>Junho</v>
      </c>
      <c r="I264" s="11">
        <f>INDEX(tbCadastroConsultas[],MATCH(tbConsultas[[#This Row],[PROFISSIONAL]],tbCadastroConsultas[PROFISSIONAL],0),3)</f>
        <v>301010064</v>
      </c>
      <c r="J264" s="11">
        <f>INDEX(tbCadastroConsultas[],MATCH(tbConsultas[[#This Row],[PROFISSIONAL]],tbCadastroConsultas[PROFISSIONAL],0),4)</f>
        <v>225142</v>
      </c>
    </row>
    <row r="265" spans="1:10">
      <c r="A265" s="11">
        <f t="shared" si="17"/>
        <v>264</v>
      </c>
      <c r="B265" s="4" t="s">
        <v>10</v>
      </c>
      <c r="C265" s="5">
        <v>13031973</v>
      </c>
      <c r="D265" s="5">
        <v>21052018</v>
      </c>
      <c r="E265" s="4">
        <v>45</v>
      </c>
      <c r="F265" s="15">
        <f t="shared" si="18"/>
        <v>43271</v>
      </c>
      <c r="G265" s="12">
        <f t="shared" si="19"/>
        <v>2018</v>
      </c>
      <c r="H265" s="12" t="str">
        <f t="shared" si="20"/>
        <v>Junho</v>
      </c>
      <c r="I265" s="11">
        <f>INDEX(tbCadastroConsultas[],MATCH(tbConsultas[[#This Row],[PROFISSIONAL]],tbCadastroConsultas[PROFISSIONAL],0),3)</f>
        <v>301010064</v>
      </c>
      <c r="J265" s="11">
        <f>INDEX(tbCadastroConsultas[],MATCH(tbConsultas[[#This Row],[PROFISSIONAL]],tbCadastroConsultas[PROFISSIONAL],0),4)</f>
        <v>225142</v>
      </c>
    </row>
    <row r="266" spans="1:10">
      <c r="A266" s="11">
        <f t="shared" si="17"/>
        <v>265</v>
      </c>
      <c r="B266" s="4" t="s">
        <v>10</v>
      </c>
      <c r="C266" s="5">
        <v>15031985</v>
      </c>
      <c r="D266" s="5">
        <v>21052018</v>
      </c>
      <c r="E266" s="4">
        <v>33</v>
      </c>
      <c r="F266" s="15">
        <f t="shared" si="18"/>
        <v>43271</v>
      </c>
      <c r="G266" s="12">
        <f t="shared" si="19"/>
        <v>2018</v>
      </c>
      <c r="H266" s="12" t="str">
        <f t="shared" si="20"/>
        <v>Junho</v>
      </c>
      <c r="I266" s="11">
        <f>INDEX(tbCadastroConsultas[],MATCH(tbConsultas[[#This Row],[PROFISSIONAL]],tbCadastroConsultas[PROFISSIONAL],0),3)</f>
        <v>301010064</v>
      </c>
      <c r="J266" s="11">
        <f>INDEX(tbCadastroConsultas[],MATCH(tbConsultas[[#This Row],[PROFISSIONAL]],tbCadastroConsultas[PROFISSIONAL],0),4)</f>
        <v>225142</v>
      </c>
    </row>
    <row r="267" spans="1:10">
      <c r="A267" s="11">
        <f t="shared" si="17"/>
        <v>266</v>
      </c>
      <c r="B267" s="4" t="s">
        <v>10</v>
      </c>
      <c r="C267" s="5">
        <v>24031978</v>
      </c>
      <c r="D267" s="5">
        <v>21052018</v>
      </c>
      <c r="E267" s="4">
        <v>40</v>
      </c>
      <c r="F267" s="15">
        <f t="shared" si="18"/>
        <v>43271</v>
      </c>
      <c r="G267" s="12">
        <f t="shared" si="19"/>
        <v>2018</v>
      </c>
      <c r="H267" s="12" t="str">
        <f t="shared" si="20"/>
        <v>Junho</v>
      </c>
      <c r="I267" s="11">
        <f>INDEX(tbCadastroConsultas[],MATCH(tbConsultas[[#This Row],[PROFISSIONAL]],tbCadastroConsultas[PROFISSIONAL],0),3)</f>
        <v>301010064</v>
      </c>
      <c r="J267" s="11">
        <f>INDEX(tbCadastroConsultas[],MATCH(tbConsultas[[#This Row],[PROFISSIONAL]],tbCadastroConsultas[PROFISSIONAL],0),4)</f>
        <v>225142</v>
      </c>
    </row>
    <row r="268" spans="1:10">
      <c r="A268" s="11">
        <f t="shared" si="17"/>
        <v>267</v>
      </c>
      <c r="B268" s="4" t="s">
        <v>10</v>
      </c>
      <c r="C268" s="5">
        <v>5081987</v>
      </c>
      <c r="D268" s="5">
        <v>21052018</v>
      </c>
      <c r="E268" s="4">
        <v>30</v>
      </c>
      <c r="F268" s="15">
        <f t="shared" si="18"/>
        <v>43271</v>
      </c>
      <c r="G268" s="12">
        <f t="shared" si="19"/>
        <v>2018</v>
      </c>
      <c r="H268" s="12" t="str">
        <f t="shared" si="20"/>
        <v>Junho</v>
      </c>
      <c r="I268" s="11">
        <f>INDEX(tbCadastroConsultas[],MATCH(tbConsultas[[#This Row],[PROFISSIONAL]],tbCadastroConsultas[PROFISSIONAL],0),3)</f>
        <v>301010064</v>
      </c>
      <c r="J268" s="11">
        <f>INDEX(tbCadastroConsultas[],MATCH(tbConsultas[[#This Row],[PROFISSIONAL]],tbCadastroConsultas[PROFISSIONAL],0),4)</f>
        <v>225142</v>
      </c>
    </row>
    <row r="269" spans="1:10">
      <c r="A269" s="11">
        <f t="shared" si="17"/>
        <v>268</v>
      </c>
      <c r="B269" s="4" t="s">
        <v>10</v>
      </c>
      <c r="C269" s="5">
        <v>17081939</v>
      </c>
      <c r="D269" s="5">
        <v>21052018</v>
      </c>
      <c r="E269" s="4">
        <v>78</v>
      </c>
      <c r="F269" s="15">
        <f t="shared" si="18"/>
        <v>43271</v>
      </c>
      <c r="G269" s="12">
        <f t="shared" si="19"/>
        <v>2018</v>
      </c>
      <c r="H269" s="12" t="str">
        <f t="shared" si="20"/>
        <v>Junho</v>
      </c>
      <c r="I269" s="11">
        <f>INDEX(tbCadastroConsultas[],MATCH(tbConsultas[[#This Row],[PROFISSIONAL]],tbCadastroConsultas[PROFISSIONAL],0),3)</f>
        <v>301010064</v>
      </c>
      <c r="J269" s="11">
        <f>INDEX(tbCadastroConsultas[],MATCH(tbConsultas[[#This Row],[PROFISSIONAL]],tbCadastroConsultas[PROFISSIONAL],0),4)</f>
        <v>225142</v>
      </c>
    </row>
    <row r="270" spans="1:10">
      <c r="A270" s="11">
        <f t="shared" si="17"/>
        <v>269</v>
      </c>
      <c r="B270" s="4" t="s">
        <v>10</v>
      </c>
      <c r="C270" s="5">
        <v>13031956</v>
      </c>
      <c r="D270" s="5">
        <v>21052018</v>
      </c>
      <c r="E270" s="4">
        <v>62</v>
      </c>
      <c r="F270" s="15">
        <f t="shared" si="18"/>
        <v>43271</v>
      </c>
      <c r="G270" s="12">
        <f t="shared" si="19"/>
        <v>2018</v>
      </c>
      <c r="H270" s="12" t="str">
        <f t="shared" si="20"/>
        <v>Junho</v>
      </c>
      <c r="I270" s="11">
        <f>INDEX(tbCadastroConsultas[],MATCH(tbConsultas[[#This Row],[PROFISSIONAL]],tbCadastroConsultas[PROFISSIONAL],0),3)</f>
        <v>301010064</v>
      </c>
      <c r="J270" s="11">
        <f>INDEX(tbCadastroConsultas[],MATCH(tbConsultas[[#This Row],[PROFISSIONAL]],tbCadastroConsultas[PROFISSIONAL],0),4)</f>
        <v>225142</v>
      </c>
    </row>
    <row r="271" spans="1:10">
      <c r="A271" s="11">
        <f t="shared" si="17"/>
        <v>270</v>
      </c>
      <c r="B271" s="4" t="s">
        <v>10</v>
      </c>
      <c r="C271" s="5">
        <v>19081967</v>
      </c>
      <c r="D271" s="5">
        <v>21052018</v>
      </c>
      <c r="E271" s="4">
        <v>50</v>
      </c>
      <c r="F271" s="15">
        <f t="shared" si="18"/>
        <v>43271</v>
      </c>
      <c r="G271" s="12">
        <f t="shared" si="19"/>
        <v>2018</v>
      </c>
      <c r="H271" s="12" t="str">
        <f t="shared" si="20"/>
        <v>Junho</v>
      </c>
      <c r="I271" s="11">
        <f>INDEX(tbCadastroConsultas[],MATCH(tbConsultas[[#This Row],[PROFISSIONAL]],tbCadastroConsultas[PROFISSIONAL],0),3)</f>
        <v>301010064</v>
      </c>
      <c r="J271" s="11">
        <f>INDEX(tbCadastroConsultas[],MATCH(tbConsultas[[#This Row],[PROFISSIONAL]],tbCadastroConsultas[PROFISSIONAL],0),4)</f>
        <v>225142</v>
      </c>
    </row>
    <row r="272" spans="1:10">
      <c r="A272" s="11">
        <f t="shared" si="17"/>
        <v>271</v>
      </c>
      <c r="B272" s="4" t="s">
        <v>6</v>
      </c>
      <c r="C272" s="5">
        <v>3091997</v>
      </c>
      <c r="D272" s="5">
        <v>21052018</v>
      </c>
      <c r="E272" s="4">
        <v>20</v>
      </c>
      <c r="F272" s="15">
        <f t="shared" si="18"/>
        <v>43271</v>
      </c>
      <c r="G272" s="12">
        <f t="shared" si="19"/>
        <v>2018</v>
      </c>
      <c r="H272" s="12" t="str">
        <f t="shared" si="20"/>
        <v>Junho</v>
      </c>
      <c r="I272" s="11">
        <f>INDEX(tbCadastroConsultas[],MATCH(tbConsultas[[#This Row],[PROFISSIONAL]],tbCadastroConsultas[PROFISSIONAL],0),3)</f>
        <v>301010064</v>
      </c>
      <c r="J272" s="11">
        <f>INDEX(tbCadastroConsultas[],MATCH(tbConsultas[[#This Row],[PROFISSIONAL]],tbCadastroConsultas[PROFISSIONAL],0),4)</f>
        <v>225125</v>
      </c>
    </row>
    <row r="273" spans="1:10">
      <c r="A273" s="11">
        <f t="shared" si="17"/>
        <v>272</v>
      </c>
      <c r="B273" s="4" t="s">
        <v>6</v>
      </c>
      <c r="C273" s="5">
        <v>9121939</v>
      </c>
      <c r="D273" s="5">
        <v>21052018</v>
      </c>
      <c r="E273" s="4">
        <v>78</v>
      </c>
      <c r="F273" s="15">
        <f t="shared" si="18"/>
        <v>43271</v>
      </c>
      <c r="G273" s="12">
        <f t="shared" si="19"/>
        <v>2018</v>
      </c>
      <c r="H273" s="12" t="str">
        <f t="shared" si="20"/>
        <v>Junho</v>
      </c>
      <c r="I273" s="11">
        <f>INDEX(tbCadastroConsultas[],MATCH(tbConsultas[[#This Row],[PROFISSIONAL]],tbCadastroConsultas[PROFISSIONAL],0),3)</f>
        <v>301010064</v>
      </c>
      <c r="J273" s="11">
        <f>INDEX(tbCadastroConsultas[],MATCH(tbConsultas[[#This Row],[PROFISSIONAL]],tbCadastroConsultas[PROFISSIONAL],0),4)</f>
        <v>225125</v>
      </c>
    </row>
    <row r="274" spans="1:10">
      <c r="A274" s="11">
        <f t="shared" si="17"/>
        <v>273</v>
      </c>
      <c r="B274" s="4" t="s">
        <v>6</v>
      </c>
      <c r="C274" s="5">
        <v>10081994</v>
      </c>
      <c r="D274" s="5">
        <v>21052018</v>
      </c>
      <c r="E274" s="4">
        <v>23</v>
      </c>
      <c r="F274" s="15">
        <f t="shared" si="18"/>
        <v>43271</v>
      </c>
      <c r="G274" s="12">
        <f t="shared" si="19"/>
        <v>2018</v>
      </c>
      <c r="H274" s="12" t="str">
        <f t="shared" si="20"/>
        <v>Junho</v>
      </c>
      <c r="I274" s="11">
        <f>INDEX(tbCadastroConsultas[],MATCH(tbConsultas[[#This Row],[PROFISSIONAL]],tbCadastroConsultas[PROFISSIONAL],0),3)</f>
        <v>301010064</v>
      </c>
      <c r="J274" s="11">
        <f>INDEX(tbCadastroConsultas[],MATCH(tbConsultas[[#This Row],[PROFISSIONAL]],tbCadastroConsultas[PROFISSIONAL],0),4)</f>
        <v>225125</v>
      </c>
    </row>
    <row r="275" spans="1:10">
      <c r="A275" s="11">
        <f t="shared" si="17"/>
        <v>274</v>
      </c>
      <c r="B275" s="4" t="s">
        <v>6</v>
      </c>
      <c r="C275" s="5">
        <v>15032007</v>
      </c>
      <c r="D275" s="5">
        <v>21052018</v>
      </c>
      <c r="E275" s="4">
        <v>11</v>
      </c>
      <c r="F275" s="15">
        <f t="shared" si="18"/>
        <v>43271</v>
      </c>
      <c r="G275" s="12">
        <f t="shared" si="19"/>
        <v>2018</v>
      </c>
      <c r="H275" s="12" t="str">
        <f t="shared" si="20"/>
        <v>Junho</v>
      </c>
      <c r="I275" s="11">
        <f>INDEX(tbCadastroConsultas[],MATCH(tbConsultas[[#This Row],[PROFISSIONAL]],tbCadastroConsultas[PROFISSIONAL],0),3)</f>
        <v>301010064</v>
      </c>
      <c r="J275" s="11">
        <f>INDEX(tbCadastroConsultas[],MATCH(tbConsultas[[#This Row],[PROFISSIONAL]],tbCadastroConsultas[PROFISSIONAL],0),4)</f>
        <v>225125</v>
      </c>
    </row>
    <row r="276" spans="1:10">
      <c r="A276" s="11">
        <f t="shared" si="17"/>
        <v>275</v>
      </c>
      <c r="B276" s="4" t="s">
        <v>6</v>
      </c>
      <c r="C276" s="5">
        <v>25021988</v>
      </c>
      <c r="D276" s="5">
        <v>21052018</v>
      </c>
      <c r="E276" s="4">
        <v>30</v>
      </c>
      <c r="F276" s="15">
        <f t="shared" si="18"/>
        <v>43271</v>
      </c>
      <c r="G276" s="12">
        <f t="shared" si="19"/>
        <v>2018</v>
      </c>
      <c r="H276" s="12" t="str">
        <f t="shared" si="20"/>
        <v>Junho</v>
      </c>
      <c r="I276" s="11">
        <f>INDEX(tbCadastroConsultas[],MATCH(tbConsultas[[#This Row],[PROFISSIONAL]],tbCadastroConsultas[PROFISSIONAL],0),3)</f>
        <v>301010064</v>
      </c>
      <c r="J276" s="11">
        <f>INDEX(tbCadastroConsultas[],MATCH(tbConsultas[[#This Row],[PROFISSIONAL]],tbCadastroConsultas[PROFISSIONAL],0),4)</f>
        <v>225125</v>
      </c>
    </row>
    <row r="277" spans="1:10">
      <c r="A277" s="11">
        <f t="shared" si="17"/>
        <v>276</v>
      </c>
      <c r="B277" s="4" t="s">
        <v>6</v>
      </c>
      <c r="C277" s="5">
        <v>28061954</v>
      </c>
      <c r="D277" s="5">
        <v>21052018</v>
      </c>
      <c r="E277" s="4">
        <v>63</v>
      </c>
      <c r="F277" s="15">
        <f t="shared" si="18"/>
        <v>43271</v>
      </c>
      <c r="G277" s="12">
        <f t="shared" si="19"/>
        <v>2018</v>
      </c>
      <c r="H277" s="12" t="str">
        <f t="shared" si="20"/>
        <v>Junho</v>
      </c>
      <c r="I277" s="11">
        <f>INDEX(tbCadastroConsultas[],MATCH(tbConsultas[[#This Row],[PROFISSIONAL]],tbCadastroConsultas[PROFISSIONAL],0),3)</f>
        <v>301010064</v>
      </c>
      <c r="J277" s="11">
        <f>INDEX(tbCadastroConsultas[],MATCH(tbConsultas[[#This Row],[PROFISSIONAL]],tbCadastroConsultas[PROFISSIONAL],0),4)</f>
        <v>225125</v>
      </c>
    </row>
    <row r="278" spans="1:10">
      <c r="A278" s="11">
        <f t="shared" si="17"/>
        <v>277</v>
      </c>
      <c r="B278" s="4" t="s">
        <v>6</v>
      </c>
      <c r="C278" s="5">
        <v>4011963</v>
      </c>
      <c r="D278" s="5">
        <v>21052018</v>
      </c>
      <c r="E278" s="4">
        <v>55</v>
      </c>
      <c r="F278" s="15">
        <f t="shared" si="18"/>
        <v>43271</v>
      </c>
      <c r="G278" s="12">
        <f t="shared" si="19"/>
        <v>2018</v>
      </c>
      <c r="H278" s="12" t="str">
        <f t="shared" si="20"/>
        <v>Junho</v>
      </c>
      <c r="I278" s="11">
        <f>INDEX(tbCadastroConsultas[],MATCH(tbConsultas[[#This Row],[PROFISSIONAL]],tbCadastroConsultas[PROFISSIONAL],0),3)</f>
        <v>301010064</v>
      </c>
      <c r="J278" s="11">
        <f>INDEX(tbCadastroConsultas[],MATCH(tbConsultas[[#This Row],[PROFISSIONAL]],tbCadastroConsultas[PROFISSIONAL],0),4)</f>
        <v>225125</v>
      </c>
    </row>
    <row r="279" spans="1:10">
      <c r="A279" s="11">
        <f t="shared" si="17"/>
        <v>278</v>
      </c>
      <c r="B279" s="4" t="s">
        <v>6</v>
      </c>
      <c r="C279" s="5">
        <v>11051997</v>
      </c>
      <c r="D279" s="5">
        <v>21052018</v>
      </c>
      <c r="E279" s="4">
        <v>21</v>
      </c>
      <c r="F279" s="15">
        <f t="shared" si="18"/>
        <v>43271</v>
      </c>
      <c r="G279" s="12">
        <f t="shared" si="19"/>
        <v>2018</v>
      </c>
      <c r="H279" s="12" t="str">
        <f t="shared" si="20"/>
        <v>Junho</v>
      </c>
      <c r="I279" s="11">
        <f>INDEX(tbCadastroConsultas[],MATCH(tbConsultas[[#This Row],[PROFISSIONAL]],tbCadastroConsultas[PROFISSIONAL],0),3)</f>
        <v>301010064</v>
      </c>
      <c r="J279" s="11">
        <f>INDEX(tbCadastroConsultas[],MATCH(tbConsultas[[#This Row],[PROFISSIONAL]],tbCadastroConsultas[PROFISSIONAL],0),4)</f>
        <v>225125</v>
      </c>
    </row>
    <row r="280" spans="1:10">
      <c r="A280" s="11">
        <f t="shared" si="17"/>
        <v>279</v>
      </c>
      <c r="B280" s="4" t="s">
        <v>6</v>
      </c>
      <c r="C280" s="5">
        <v>15091991</v>
      </c>
      <c r="D280" s="5">
        <v>21052018</v>
      </c>
      <c r="E280" s="4">
        <v>26</v>
      </c>
      <c r="F280" s="15">
        <f t="shared" si="18"/>
        <v>43271</v>
      </c>
      <c r="G280" s="12">
        <f t="shared" si="19"/>
        <v>2018</v>
      </c>
      <c r="H280" s="12" t="str">
        <f t="shared" si="20"/>
        <v>Junho</v>
      </c>
      <c r="I280" s="11">
        <f>INDEX(tbCadastroConsultas[],MATCH(tbConsultas[[#This Row],[PROFISSIONAL]],tbCadastroConsultas[PROFISSIONAL],0),3)</f>
        <v>301010064</v>
      </c>
      <c r="J280" s="11">
        <f>INDEX(tbCadastroConsultas[],MATCH(tbConsultas[[#This Row],[PROFISSIONAL]],tbCadastroConsultas[PROFISSIONAL],0),4)</f>
        <v>225125</v>
      </c>
    </row>
    <row r="281" spans="1:10">
      <c r="A281" s="11">
        <f t="shared" si="17"/>
        <v>280</v>
      </c>
      <c r="B281" s="4" t="s">
        <v>6</v>
      </c>
      <c r="C281" s="5">
        <v>25051987</v>
      </c>
      <c r="D281" s="5">
        <v>21052018</v>
      </c>
      <c r="E281" s="4">
        <v>31</v>
      </c>
      <c r="F281" s="15">
        <f t="shared" si="18"/>
        <v>43271</v>
      </c>
      <c r="G281" s="12">
        <f t="shared" si="19"/>
        <v>2018</v>
      </c>
      <c r="H281" s="12" t="str">
        <f t="shared" si="20"/>
        <v>Junho</v>
      </c>
      <c r="I281" s="11">
        <f>INDEX(tbCadastroConsultas[],MATCH(tbConsultas[[#This Row],[PROFISSIONAL]],tbCadastroConsultas[PROFISSIONAL],0),3)</f>
        <v>301010064</v>
      </c>
      <c r="J281" s="11">
        <f>INDEX(tbCadastroConsultas[],MATCH(tbConsultas[[#This Row],[PROFISSIONAL]],tbCadastroConsultas[PROFISSIONAL],0),4)</f>
        <v>225125</v>
      </c>
    </row>
    <row r="282" spans="1:10">
      <c r="A282" s="11">
        <f t="shared" si="17"/>
        <v>281</v>
      </c>
      <c r="B282" s="4" t="s">
        <v>6</v>
      </c>
      <c r="C282" s="5">
        <v>29051967</v>
      </c>
      <c r="D282" s="5">
        <v>21052018</v>
      </c>
      <c r="E282" s="4">
        <v>51</v>
      </c>
      <c r="F282" s="15">
        <f t="shared" si="18"/>
        <v>43271</v>
      </c>
      <c r="G282" s="12">
        <f t="shared" si="19"/>
        <v>2018</v>
      </c>
      <c r="H282" s="12" t="str">
        <f t="shared" si="20"/>
        <v>Junho</v>
      </c>
      <c r="I282" s="11">
        <f>INDEX(tbCadastroConsultas[],MATCH(tbConsultas[[#This Row],[PROFISSIONAL]],tbCadastroConsultas[PROFISSIONAL],0),3)</f>
        <v>301010064</v>
      </c>
      <c r="J282" s="11">
        <f>INDEX(tbCadastroConsultas[],MATCH(tbConsultas[[#This Row],[PROFISSIONAL]],tbCadastroConsultas[PROFISSIONAL],0),4)</f>
        <v>225125</v>
      </c>
    </row>
    <row r="283" spans="1:10">
      <c r="A283" s="11">
        <f t="shared" si="17"/>
        <v>282</v>
      </c>
      <c r="B283" s="4" t="s">
        <v>6</v>
      </c>
      <c r="C283" s="5">
        <v>13031954</v>
      </c>
      <c r="D283" s="5">
        <v>21052018</v>
      </c>
      <c r="E283" s="4">
        <v>64</v>
      </c>
      <c r="F283" s="15">
        <f t="shared" si="18"/>
        <v>43271</v>
      </c>
      <c r="G283" s="12">
        <f t="shared" si="19"/>
        <v>2018</v>
      </c>
      <c r="H283" s="12" t="str">
        <f t="shared" si="20"/>
        <v>Junho</v>
      </c>
      <c r="I283" s="11">
        <f>INDEX(tbCadastroConsultas[],MATCH(tbConsultas[[#This Row],[PROFISSIONAL]],tbCadastroConsultas[PROFISSIONAL],0),3)</f>
        <v>301010064</v>
      </c>
      <c r="J283" s="11">
        <f>INDEX(tbCadastroConsultas[],MATCH(tbConsultas[[#This Row],[PROFISSIONAL]],tbCadastroConsultas[PROFISSIONAL],0),4)</f>
        <v>225125</v>
      </c>
    </row>
    <row r="284" spans="1:10">
      <c r="A284" s="11">
        <f t="shared" si="17"/>
        <v>283</v>
      </c>
      <c r="B284" s="4" t="s">
        <v>6</v>
      </c>
      <c r="C284" s="5">
        <v>23011967</v>
      </c>
      <c r="D284" s="5">
        <v>21052018</v>
      </c>
      <c r="E284" s="4">
        <v>51</v>
      </c>
      <c r="F284" s="15">
        <f t="shared" si="18"/>
        <v>43271</v>
      </c>
      <c r="G284" s="12">
        <f t="shared" si="19"/>
        <v>2018</v>
      </c>
      <c r="H284" s="12" t="str">
        <f t="shared" si="20"/>
        <v>Junho</v>
      </c>
      <c r="I284" s="11">
        <f>INDEX(tbCadastroConsultas[],MATCH(tbConsultas[[#This Row],[PROFISSIONAL]],tbCadastroConsultas[PROFISSIONAL],0),3)</f>
        <v>301010064</v>
      </c>
      <c r="J284" s="11">
        <f>INDEX(tbCadastroConsultas[],MATCH(tbConsultas[[#This Row],[PROFISSIONAL]],tbCadastroConsultas[PROFISSIONAL],0),4)</f>
        <v>225125</v>
      </c>
    </row>
    <row r="285" spans="1:10">
      <c r="A285" s="11">
        <f t="shared" si="17"/>
        <v>284</v>
      </c>
      <c r="B285" s="4" t="s">
        <v>6</v>
      </c>
      <c r="C285" s="5">
        <v>12031945</v>
      </c>
      <c r="D285" s="5">
        <v>21052018</v>
      </c>
      <c r="E285" s="4">
        <v>73</v>
      </c>
      <c r="F285" s="15">
        <f t="shared" si="18"/>
        <v>43271</v>
      </c>
      <c r="G285" s="12">
        <f t="shared" si="19"/>
        <v>2018</v>
      </c>
      <c r="H285" s="12" t="str">
        <f t="shared" si="20"/>
        <v>Junho</v>
      </c>
      <c r="I285" s="11">
        <f>INDEX(tbCadastroConsultas[],MATCH(tbConsultas[[#This Row],[PROFISSIONAL]],tbCadastroConsultas[PROFISSIONAL],0),3)</f>
        <v>301010064</v>
      </c>
      <c r="J285" s="11">
        <f>INDEX(tbCadastroConsultas[],MATCH(tbConsultas[[#This Row],[PROFISSIONAL]],tbCadastroConsultas[PROFISSIONAL],0),4)</f>
        <v>225125</v>
      </c>
    </row>
    <row r="286" spans="1:10">
      <c r="A286" s="11">
        <f t="shared" si="17"/>
        <v>285</v>
      </c>
      <c r="B286" s="4" t="s">
        <v>6</v>
      </c>
      <c r="C286" s="5">
        <v>5021997</v>
      </c>
      <c r="D286" s="5">
        <v>21052018</v>
      </c>
      <c r="E286" s="4">
        <v>21</v>
      </c>
      <c r="F286" s="15">
        <f t="shared" si="18"/>
        <v>43271</v>
      </c>
      <c r="G286" s="12">
        <f t="shared" si="19"/>
        <v>2018</v>
      </c>
      <c r="H286" s="12" t="str">
        <f t="shared" si="20"/>
        <v>Junho</v>
      </c>
      <c r="I286" s="11">
        <f>INDEX(tbCadastroConsultas[],MATCH(tbConsultas[[#This Row],[PROFISSIONAL]],tbCadastroConsultas[PROFISSIONAL],0),3)</f>
        <v>301010064</v>
      </c>
      <c r="J286" s="11">
        <f>INDEX(tbCadastroConsultas[],MATCH(tbConsultas[[#This Row],[PROFISSIONAL]],tbCadastroConsultas[PROFISSIONAL],0),4)</f>
        <v>225125</v>
      </c>
    </row>
    <row r="287" spans="1:10">
      <c r="A287" s="11">
        <f t="shared" si="17"/>
        <v>286</v>
      </c>
      <c r="B287" s="4" t="s">
        <v>6</v>
      </c>
      <c r="C287" s="5">
        <v>19031933</v>
      </c>
      <c r="D287" s="5">
        <v>21052018</v>
      </c>
      <c r="E287" s="4">
        <v>85</v>
      </c>
      <c r="F287" s="15">
        <f t="shared" si="18"/>
        <v>43271</v>
      </c>
      <c r="G287" s="12">
        <f t="shared" si="19"/>
        <v>2018</v>
      </c>
      <c r="H287" s="12" t="str">
        <f t="shared" si="20"/>
        <v>Junho</v>
      </c>
      <c r="I287" s="11">
        <f>INDEX(tbCadastroConsultas[],MATCH(tbConsultas[[#This Row],[PROFISSIONAL]],tbCadastroConsultas[PROFISSIONAL],0),3)</f>
        <v>301010064</v>
      </c>
      <c r="J287" s="11">
        <f>INDEX(tbCadastroConsultas[],MATCH(tbConsultas[[#This Row],[PROFISSIONAL]],tbCadastroConsultas[PROFISSIONAL],0),4)</f>
        <v>225125</v>
      </c>
    </row>
    <row r="288" spans="1:10">
      <c r="A288" s="11">
        <f t="shared" ref="A288:A309" si="21">ROW() -1</f>
        <v>287</v>
      </c>
      <c r="B288" s="4" t="s">
        <v>6</v>
      </c>
      <c r="C288" s="5">
        <v>2061965</v>
      </c>
      <c r="D288" s="5">
        <v>21052018</v>
      </c>
      <c r="E288" s="4">
        <v>52</v>
      </c>
      <c r="F288" s="15">
        <f t="shared" si="18"/>
        <v>43271</v>
      </c>
      <c r="G288" s="12">
        <f t="shared" si="19"/>
        <v>2018</v>
      </c>
      <c r="H288" s="12" t="str">
        <f t="shared" si="20"/>
        <v>Junho</v>
      </c>
      <c r="I288" s="11">
        <f>INDEX(tbCadastroConsultas[],MATCH(tbConsultas[[#This Row],[PROFISSIONAL]],tbCadastroConsultas[PROFISSIONAL],0),3)</f>
        <v>301010064</v>
      </c>
      <c r="J288" s="11">
        <f>INDEX(tbCadastroConsultas[],MATCH(tbConsultas[[#This Row],[PROFISSIONAL]],tbCadastroConsultas[PROFISSIONAL],0),4)</f>
        <v>225125</v>
      </c>
    </row>
    <row r="289" spans="1:10">
      <c r="A289" s="11">
        <f t="shared" si="21"/>
        <v>288</v>
      </c>
      <c r="B289" s="4" t="s">
        <v>6</v>
      </c>
      <c r="C289" s="5">
        <v>12031945</v>
      </c>
      <c r="D289" s="5">
        <v>21052018</v>
      </c>
      <c r="E289" s="4">
        <v>73</v>
      </c>
      <c r="F289" s="15">
        <f t="shared" si="18"/>
        <v>43271</v>
      </c>
      <c r="G289" s="12">
        <f t="shared" si="19"/>
        <v>2018</v>
      </c>
      <c r="H289" s="12" t="str">
        <f t="shared" si="20"/>
        <v>Junho</v>
      </c>
      <c r="I289" s="11">
        <f>INDEX(tbCadastroConsultas[],MATCH(tbConsultas[[#This Row],[PROFISSIONAL]],tbCadastroConsultas[PROFISSIONAL],0),3)</f>
        <v>301010064</v>
      </c>
      <c r="J289" s="11">
        <f>INDEX(tbCadastroConsultas[],MATCH(tbConsultas[[#This Row],[PROFISSIONAL]],tbCadastroConsultas[PROFISSIONAL],0),4)</f>
        <v>225125</v>
      </c>
    </row>
    <row r="290" spans="1:10">
      <c r="A290" s="11">
        <f t="shared" si="21"/>
        <v>289</v>
      </c>
      <c r="B290" s="4" t="s">
        <v>6</v>
      </c>
      <c r="C290" s="5">
        <v>19031970</v>
      </c>
      <c r="D290" s="5">
        <v>21052018</v>
      </c>
      <c r="E290" s="4">
        <v>48</v>
      </c>
      <c r="F290" s="15">
        <f t="shared" si="18"/>
        <v>43271</v>
      </c>
      <c r="G290" s="12">
        <f t="shared" si="19"/>
        <v>2018</v>
      </c>
      <c r="H290" s="12" t="str">
        <f t="shared" si="20"/>
        <v>Junho</v>
      </c>
      <c r="I290" s="11">
        <f>INDEX(tbCadastroConsultas[],MATCH(tbConsultas[[#This Row],[PROFISSIONAL]],tbCadastroConsultas[PROFISSIONAL],0),3)</f>
        <v>301010064</v>
      </c>
      <c r="J290" s="11">
        <f>INDEX(tbCadastroConsultas[],MATCH(tbConsultas[[#This Row],[PROFISSIONAL]],tbCadastroConsultas[PROFISSIONAL],0),4)</f>
        <v>225125</v>
      </c>
    </row>
    <row r="291" spans="1:10">
      <c r="A291" s="11">
        <f t="shared" si="21"/>
        <v>290</v>
      </c>
      <c r="B291" s="4" t="s">
        <v>6</v>
      </c>
      <c r="C291" s="5">
        <v>11041935</v>
      </c>
      <c r="D291" s="5">
        <v>21052018</v>
      </c>
      <c r="E291" s="4">
        <v>83</v>
      </c>
      <c r="F291" s="15">
        <f t="shared" si="18"/>
        <v>43271</v>
      </c>
      <c r="G291" s="12">
        <f t="shared" si="19"/>
        <v>2018</v>
      </c>
      <c r="H291" s="12" t="str">
        <f t="shared" si="20"/>
        <v>Junho</v>
      </c>
      <c r="I291" s="11">
        <f>INDEX(tbCadastroConsultas[],MATCH(tbConsultas[[#This Row],[PROFISSIONAL]],tbCadastroConsultas[PROFISSIONAL],0),3)</f>
        <v>301010064</v>
      </c>
      <c r="J291" s="11">
        <f>INDEX(tbCadastroConsultas[],MATCH(tbConsultas[[#This Row],[PROFISSIONAL]],tbCadastroConsultas[PROFISSIONAL],0),4)</f>
        <v>225125</v>
      </c>
    </row>
    <row r="292" spans="1:10">
      <c r="A292" s="11">
        <f t="shared" si="21"/>
        <v>291</v>
      </c>
      <c r="B292" s="4" t="s">
        <v>6</v>
      </c>
      <c r="C292" s="5">
        <v>1051993</v>
      </c>
      <c r="D292" s="5">
        <v>21052018</v>
      </c>
      <c r="E292" s="4">
        <v>25</v>
      </c>
      <c r="F292" s="15">
        <f t="shared" si="18"/>
        <v>43271</v>
      </c>
      <c r="G292" s="12">
        <f t="shared" si="19"/>
        <v>2018</v>
      </c>
      <c r="H292" s="12" t="str">
        <f t="shared" si="20"/>
        <v>Junho</v>
      </c>
      <c r="I292" s="11">
        <f>INDEX(tbCadastroConsultas[],MATCH(tbConsultas[[#This Row],[PROFISSIONAL]],tbCadastroConsultas[PROFISSIONAL],0),3)</f>
        <v>301010064</v>
      </c>
      <c r="J292" s="11">
        <f>INDEX(tbCadastroConsultas[],MATCH(tbConsultas[[#This Row],[PROFISSIONAL]],tbCadastroConsultas[PROFISSIONAL],0),4)</f>
        <v>225125</v>
      </c>
    </row>
    <row r="293" spans="1:10">
      <c r="A293" s="11">
        <f t="shared" si="21"/>
        <v>292</v>
      </c>
      <c r="B293" s="4" t="s">
        <v>4</v>
      </c>
      <c r="C293" s="5">
        <v>13062001</v>
      </c>
      <c r="D293" s="5">
        <v>21052018</v>
      </c>
      <c r="E293" s="4">
        <v>16</v>
      </c>
      <c r="F293" s="15">
        <f t="shared" si="18"/>
        <v>43271</v>
      </c>
      <c r="G293" s="12">
        <f t="shared" si="19"/>
        <v>2018</v>
      </c>
      <c r="H293" s="12" t="str">
        <f t="shared" si="20"/>
        <v>Junho</v>
      </c>
      <c r="I293" s="11">
        <f>INDEX(tbCadastroConsultas[],MATCH(tbConsultas[[#This Row],[PROFISSIONAL]],tbCadastroConsultas[PROFISSIONAL],0),3)</f>
        <v>301010064</v>
      </c>
      <c r="J293" s="11">
        <f>INDEX(tbCadastroConsultas[],MATCH(tbConsultas[[#This Row],[PROFISSIONAL]],tbCadastroConsultas[PROFISSIONAL],0),4)</f>
        <v>225250</v>
      </c>
    </row>
    <row r="294" spans="1:10">
      <c r="A294" s="11">
        <f t="shared" si="21"/>
        <v>293</v>
      </c>
      <c r="B294" s="4" t="s">
        <v>4</v>
      </c>
      <c r="C294" s="5">
        <v>28081965</v>
      </c>
      <c r="D294" s="5">
        <v>21052018</v>
      </c>
      <c r="E294" s="4">
        <v>52</v>
      </c>
      <c r="F294" s="15">
        <f t="shared" si="18"/>
        <v>43271</v>
      </c>
      <c r="G294" s="12">
        <f t="shared" si="19"/>
        <v>2018</v>
      </c>
      <c r="H294" s="12" t="str">
        <f t="shared" si="20"/>
        <v>Junho</v>
      </c>
      <c r="I294" s="11">
        <f>INDEX(tbCadastroConsultas[],MATCH(tbConsultas[[#This Row],[PROFISSIONAL]],tbCadastroConsultas[PROFISSIONAL],0),3)</f>
        <v>301010064</v>
      </c>
      <c r="J294" s="11">
        <f>INDEX(tbCadastroConsultas[],MATCH(tbConsultas[[#This Row],[PROFISSIONAL]],tbCadastroConsultas[PROFISSIONAL],0),4)</f>
        <v>225250</v>
      </c>
    </row>
    <row r="295" spans="1:10">
      <c r="A295" s="11">
        <f t="shared" si="21"/>
        <v>294</v>
      </c>
      <c r="B295" s="4" t="s">
        <v>4</v>
      </c>
      <c r="C295" s="5">
        <v>22031982</v>
      </c>
      <c r="D295" s="5">
        <v>21052018</v>
      </c>
      <c r="E295" s="4">
        <v>36</v>
      </c>
      <c r="F295" s="15">
        <f t="shared" si="18"/>
        <v>43271</v>
      </c>
      <c r="G295" s="12">
        <f t="shared" si="19"/>
        <v>2018</v>
      </c>
      <c r="H295" s="12" t="str">
        <f t="shared" si="20"/>
        <v>Junho</v>
      </c>
      <c r="I295" s="11">
        <f>INDEX(tbCadastroConsultas[],MATCH(tbConsultas[[#This Row],[PROFISSIONAL]],tbCadastroConsultas[PROFISSIONAL],0),3)</f>
        <v>301010064</v>
      </c>
      <c r="J295" s="11">
        <f>INDEX(tbCadastroConsultas[],MATCH(tbConsultas[[#This Row],[PROFISSIONAL]],tbCadastroConsultas[PROFISSIONAL],0),4)</f>
        <v>225250</v>
      </c>
    </row>
    <row r="296" spans="1:10">
      <c r="A296" s="11">
        <f t="shared" si="21"/>
        <v>295</v>
      </c>
      <c r="B296" s="4" t="s">
        <v>4</v>
      </c>
      <c r="C296" s="5">
        <v>23111988</v>
      </c>
      <c r="D296" s="5">
        <v>21052018</v>
      </c>
      <c r="E296" s="4">
        <v>29</v>
      </c>
      <c r="F296" s="15">
        <f t="shared" si="18"/>
        <v>43271</v>
      </c>
      <c r="G296" s="12">
        <f t="shared" si="19"/>
        <v>2018</v>
      </c>
      <c r="H296" s="12" t="str">
        <f t="shared" si="20"/>
        <v>Junho</v>
      </c>
      <c r="I296" s="11">
        <f>INDEX(tbCadastroConsultas[],MATCH(tbConsultas[[#This Row],[PROFISSIONAL]],tbCadastroConsultas[PROFISSIONAL],0),3)</f>
        <v>301010064</v>
      </c>
      <c r="J296" s="11">
        <f>INDEX(tbCadastroConsultas[],MATCH(tbConsultas[[#This Row],[PROFISSIONAL]],tbCadastroConsultas[PROFISSIONAL],0),4)</f>
        <v>225250</v>
      </c>
    </row>
    <row r="297" spans="1:10">
      <c r="A297" s="11">
        <f t="shared" si="21"/>
        <v>296</v>
      </c>
      <c r="B297" s="4" t="s">
        <v>4</v>
      </c>
      <c r="C297" s="5">
        <v>25011999</v>
      </c>
      <c r="D297" s="5">
        <v>21052018</v>
      </c>
      <c r="E297" s="4">
        <v>19</v>
      </c>
      <c r="F297" s="15">
        <f t="shared" si="18"/>
        <v>43271</v>
      </c>
      <c r="G297" s="12">
        <f t="shared" si="19"/>
        <v>2018</v>
      </c>
      <c r="H297" s="12" t="str">
        <f t="shared" si="20"/>
        <v>Junho</v>
      </c>
      <c r="I297" s="11">
        <f>INDEX(tbCadastroConsultas[],MATCH(tbConsultas[[#This Row],[PROFISSIONAL]],tbCadastroConsultas[PROFISSIONAL],0),3)</f>
        <v>301010064</v>
      </c>
      <c r="J297" s="11">
        <f>INDEX(tbCadastroConsultas[],MATCH(tbConsultas[[#This Row],[PROFISSIONAL]],tbCadastroConsultas[PROFISSIONAL],0),4)</f>
        <v>225250</v>
      </c>
    </row>
    <row r="298" spans="1:10">
      <c r="A298" s="11">
        <f t="shared" si="21"/>
        <v>297</v>
      </c>
      <c r="B298" s="4" t="s">
        <v>4</v>
      </c>
      <c r="C298" s="5">
        <v>19071944</v>
      </c>
      <c r="D298" s="5">
        <v>21052018</v>
      </c>
      <c r="E298" s="4">
        <v>73</v>
      </c>
      <c r="F298" s="15">
        <f t="shared" si="18"/>
        <v>43271</v>
      </c>
      <c r="G298" s="12">
        <f t="shared" si="19"/>
        <v>2018</v>
      </c>
      <c r="H298" s="12" t="str">
        <f t="shared" si="20"/>
        <v>Junho</v>
      </c>
      <c r="I298" s="11">
        <f>INDEX(tbCadastroConsultas[],MATCH(tbConsultas[[#This Row],[PROFISSIONAL]],tbCadastroConsultas[PROFISSIONAL],0),3)</f>
        <v>301010064</v>
      </c>
      <c r="J298" s="11">
        <f>INDEX(tbCadastroConsultas[],MATCH(tbConsultas[[#This Row],[PROFISSIONAL]],tbCadastroConsultas[PROFISSIONAL],0),4)</f>
        <v>225250</v>
      </c>
    </row>
    <row r="299" spans="1:10">
      <c r="A299" s="11">
        <f t="shared" si="21"/>
        <v>298</v>
      </c>
      <c r="B299" s="4" t="s">
        <v>4</v>
      </c>
      <c r="C299" s="5">
        <v>24011969</v>
      </c>
      <c r="D299" s="5">
        <v>21052018</v>
      </c>
      <c r="E299" s="4">
        <v>49</v>
      </c>
      <c r="F299" s="15">
        <f t="shared" si="18"/>
        <v>43271</v>
      </c>
      <c r="G299" s="12">
        <f t="shared" si="19"/>
        <v>2018</v>
      </c>
      <c r="H299" s="12" t="str">
        <f t="shared" si="20"/>
        <v>Junho</v>
      </c>
      <c r="I299" s="11">
        <f>INDEX(tbCadastroConsultas[],MATCH(tbConsultas[[#This Row],[PROFISSIONAL]],tbCadastroConsultas[PROFISSIONAL],0),3)</f>
        <v>301010064</v>
      </c>
      <c r="J299" s="11">
        <f>INDEX(tbCadastroConsultas[],MATCH(tbConsultas[[#This Row],[PROFISSIONAL]],tbCadastroConsultas[PROFISSIONAL],0),4)</f>
        <v>225250</v>
      </c>
    </row>
    <row r="300" spans="1:10">
      <c r="A300" s="11">
        <f t="shared" si="21"/>
        <v>299</v>
      </c>
      <c r="B300" s="4" t="s">
        <v>4</v>
      </c>
      <c r="C300" s="5">
        <v>5121975</v>
      </c>
      <c r="D300" s="5">
        <v>21052018</v>
      </c>
      <c r="E300" s="4">
        <v>42</v>
      </c>
      <c r="F300" s="15">
        <f t="shared" si="18"/>
        <v>43271</v>
      </c>
      <c r="G300" s="12">
        <f t="shared" si="19"/>
        <v>2018</v>
      </c>
      <c r="H300" s="12" t="str">
        <f t="shared" si="20"/>
        <v>Junho</v>
      </c>
      <c r="I300" s="11">
        <f>INDEX(tbCadastroConsultas[],MATCH(tbConsultas[[#This Row],[PROFISSIONAL]],tbCadastroConsultas[PROFISSIONAL],0),3)</f>
        <v>301010064</v>
      </c>
      <c r="J300" s="11">
        <f>INDEX(tbCadastroConsultas[],MATCH(tbConsultas[[#This Row],[PROFISSIONAL]],tbCadastroConsultas[PROFISSIONAL],0),4)</f>
        <v>225250</v>
      </c>
    </row>
    <row r="301" spans="1:10">
      <c r="A301" s="11">
        <f t="shared" si="21"/>
        <v>300</v>
      </c>
      <c r="B301" s="4" t="s">
        <v>4</v>
      </c>
      <c r="C301" s="5">
        <v>17081984</v>
      </c>
      <c r="D301" s="5">
        <v>21052018</v>
      </c>
      <c r="E301" s="4">
        <v>33</v>
      </c>
      <c r="F301" s="15">
        <f t="shared" si="18"/>
        <v>43271</v>
      </c>
      <c r="G301" s="12">
        <f t="shared" si="19"/>
        <v>2018</v>
      </c>
      <c r="H301" s="12" t="str">
        <f t="shared" si="20"/>
        <v>Junho</v>
      </c>
      <c r="I301" s="11">
        <f>INDEX(tbCadastroConsultas[],MATCH(tbConsultas[[#This Row],[PROFISSIONAL]],tbCadastroConsultas[PROFISSIONAL],0),3)</f>
        <v>301010064</v>
      </c>
      <c r="J301" s="11">
        <f>INDEX(tbCadastroConsultas[],MATCH(tbConsultas[[#This Row],[PROFISSIONAL]],tbCadastroConsultas[PROFISSIONAL],0),4)</f>
        <v>225250</v>
      </c>
    </row>
    <row r="302" spans="1:10">
      <c r="A302" s="11">
        <f t="shared" si="21"/>
        <v>301</v>
      </c>
      <c r="B302" s="4" t="s">
        <v>4</v>
      </c>
      <c r="C302" s="5">
        <v>2042003</v>
      </c>
      <c r="D302" s="5">
        <v>21052018</v>
      </c>
      <c r="E302" s="4">
        <v>15</v>
      </c>
      <c r="F302" s="15">
        <f t="shared" si="18"/>
        <v>43271</v>
      </c>
      <c r="G302" s="12">
        <f t="shared" si="19"/>
        <v>2018</v>
      </c>
      <c r="H302" s="12" t="str">
        <f t="shared" si="20"/>
        <v>Junho</v>
      </c>
      <c r="I302" s="11">
        <f>INDEX(tbCadastroConsultas[],MATCH(tbConsultas[[#This Row],[PROFISSIONAL]],tbCadastroConsultas[PROFISSIONAL],0),3)</f>
        <v>301010064</v>
      </c>
      <c r="J302" s="11">
        <f>INDEX(tbCadastroConsultas[],MATCH(tbConsultas[[#This Row],[PROFISSIONAL]],tbCadastroConsultas[PROFISSIONAL],0),4)</f>
        <v>225250</v>
      </c>
    </row>
    <row r="303" spans="1:10">
      <c r="A303" s="11">
        <f t="shared" si="21"/>
        <v>302</v>
      </c>
      <c r="B303" s="4" t="s">
        <v>4</v>
      </c>
      <c r="C303" s="5">
        <v>24111979</v>
      </c>
      <c r="D303" s="5">
        <v>21052018</v>
      </c>
      <c r="E303" s="4">
        <v>38</v>
      </c>
      <c r="F303" s="15">
        <f t="shared" si="18"/>
        <v>43271</v>
      </c>
      <c r="G303" s="12">
        <f t="shared" si="19"/>
        <v>2018</v>
      </c>
      <c r="H303" s="12" t="str">
        <f t="shared" si="20"/>
        <v>Junho</v>
      </c>
      <c r="I303" s="11">
        <f>INDEX(tbCadastroConsultas[],MATCH(tbConsultas[[#This Row],[PROFISSIONAL]],tbCadastroConsultas[PROFISSIONAL],0),3)</f>
        <v>301010064</v>
      </c>
      <c r="J303" s="11">
        <f>INDEX(tbCadastroConsultas[],MATCH(tbConsultas[[#This Row],[PROFISSIONAL]],tbCadastroConsultas[PROFISSIONAL],0),4)</f>
        <v>225250</v>
      </c>
    </row>
    <row r="304" spans="1:10">
      <c r="A304" s="11">
        <f t="shared" si="21"/>
        <v>303</v>
      </c>
      <c r="B304" s="4" t="s">
        <v>4</v>
      </c>
      <c r="C304" s="5">
        <v>21051998</v>
      </c>
      <c r="D304" s="5">
        <v>21052018</v>
      </c>
      <c r="E304" s="4">
        <v>20</v>
      </c>
      <c r="F304" s="15">
        <f t="shared" si="18"/>
        <v>43271</v>
      </c>
      <c r="G304" s="12">
        <f t="shared" si="19"/>
        <v>2018</v>
      </c>
      <c r="H304" s="12" t="str">
        <f t="shared" si="20"/>
        <v>Junho</v>
      </c>
      <c r="I304" s="11">
        <f>INDEX(tbCadastroConsultas[],MATCH(tbConsultas[[#This Row],[PROFISSIONAL]],tbCadastroConsultas[PROFISSIONAL],0),3)</f>
        <v>301010064</v>
      </c>
      <c r="J304" s="11">
        <f>INDEX(tbCadastroConsultas[],MATCH(tbConsultas[[#This Row],[PROFISSIONAL]],tbCadastroConsultas[PROFISSIONAL],0),4)</f>
        <v>225250</v>
      </c>
    </row>
    <row r="305" spans="1:10">
      <c r="A305" s="11">
        <f t="shared" si="21"/>
        <v>304</v>
      </c>
      <c r="B305" s="4" t="s">
        <v>4</v>
      </c>
      <c r="C305" s="5">
        <v>29091979</v>
      </c>
      <c r="D305" s="5">
        <v>21052018</v>
      </c>
      <c r="E305" s="4">
        <v>38</v>
      </c>
      <c r="F305" s="15">
        <f t="shared" si="18"/>
        <v>43271</v>
      </c>
      <c r="G305" s="12">
        <f t="shared" si="19"/>
        <v>2018</v>
      </c>
      <c r="H305" s="12" t="str">
        <f t="shared" si="20"/>
        <v>Junho</v>
      </c>
      <c r="I305" s="11">
        <f>INDEX(tbCadastroConsultas[],MATCH(tbConsultas[[#This Row],[PROFISSIONAL]],tbCadastroConsultas[PROFISSIONAL],0),3)</f>
        <v>301010064</v>
      </c>
      <c r="J305" s="11">
        <f>INDEX(tbCadastroConsultas[],MATCH(tbConsultas[[#This Row],[PROFISSIONAL]],tbCadastroConsultas[PROFISSIONAL],0),4)</f>
        <v>225250</v>
      </c>
    </row>
    <row r="306" spans="1:10">
      <c r="A306" s="11">
        <f t="shared" si="21"/>
        <v>305</v>
      </c>
      <c r="B306" s="4" t="s">
        <v>4</v>
      </c>
      <c r="C306" s="5">
        <v>15041976</v>
      </c>
      <c r="D306" s="5">
        <v>21052018</v>
      </c>
      <c r="E306" s="4">
        <v>42</v>
      </c>
      <c r="F306" s="15">
        <f t="shared" si="18"/>
        <v>43271</v>
      </c>
      <c r="G306" s="12">
        <f t="shared" si="19"/>
        <v>2018</v>
      </c>
      <c r="H306" s="12" t="str">
        <f t="shared" si="20"/>
        <v>Junho</v>
      </c>
      <c r="I306" s="11">
        <f>INDEX(tbCadastroConsultas[],MATCH(tbConsultas[[#This Row],[PROFISSIONAL]],tbCadastroConsultas[PROFISSIONAL],0),3)</f>
        <v>301010064</v>
      </c>
      <c r="J306" s="11">
        <f>INDEX(tbCadastroConsultas[],MATCH(tbConsultas[[#This Row],[PROFISSIONAL]],tbCadastroConsultas[PROFISSIONAL],0),4)</f>
        <v>225250</v>
      </c>
    </row>
    <row r="307" spans="1:10">
      <c r="A307" s="11">
        <f t="shared" si="21"/>
        <v>306</v>
      </c>
      <c r="B307" s="4" t="s">
        <v>4</v>
      </c>
      <c r="C307" s="5">
        <v>20121999</v>
      </c>
      <c r="D307" s="5">
        <v>21052018</v>
      </c>
      <c r="E307" s="4">
        <v>18</v>
      </c>
      <c r="F307" s="15">
        <f t="shared" si="18"/>
        <v>43271</v>
      </c>
      <c r="G307" s="12">
        <f t="shared" si="19"/>
        <v>2018</v>
      </c>
      <c r="H307" s="12" t="str">
        <f t="shared" si="20"/>
        <v>Junho</v>
      </c>
      <c r="I307" s="11">
        <f>INDEX(tbCadastroConsultas[],MATCH(tbConsultas[[#This Row],[PROFISSIONAL]],tbCadastroConsultas[PROFISSIONAL],0),3)</f>
        <v>301010064</v>
      </c>
      <c r="J307" s="11">
        <f>INDEX(tbCadastroConsultas[],MATCH(tbConsultas[[#This Row],[PROFISSIONAL]],tbCadastroConsultas[PROFISSIONAL],0),4)</f>
        <v>225250</v>
      </c>
    </row>
    <row r="308" spans="1:10">
      <c r="A308" s="11">
        <f t="shared" si="21"/>
        <v>307</v>
      </c>
      <c r="B308" s="4" t="s">
        <v>4</v>
      </c>
      <c r="C308" s="5">
        <v>21031986</v>
      </c>
      <c r="D308" s="5">
        <v>21052018</v>
      </c>
      <c r="E308" s="4">
        <v>32</v>
      </c>
      <c r="F308" s="15">
        <f t="shared" si="18"/>
        <v>43271</v>
      </c>
      <c r="G308" s="12">
        <f t="shared" si="19"/>
        <v>2018</v>
      </c>
      <c r="H308" s="12" t="str">
        <f t="shared" si="20"/>
        <v>Junho</v>
      </c>
      <c r="I308" s="11">
        <f>INDEX(tbCadastroConsultas[],MATCH(tbConsultas[[#This Row],[PROFISSIONAL]],tbCadastroConsultas[PROFISSIONAL],0),3)</f>
        <v>301010064</v>
      </c>
      <c r="J308" s="11">
        <f>INDEX(tbCadastroConsultas[],MATCH(tbConsultas[[#This Row],[PROFISSIONAL]],tbCadastroConsultas[PROFISSIONAL],0),4)</f>
        <v>225250</v>
      </c>
    </row>
    <row r="309" spans="1:10">
      <c r="A309" s="11">
        <f t="shared" si="21"/>
        <v>308</v>
      </c>
      <c r="B309" s="4" t="s">
        <v>4</v>
      </c>
      <c r="C309" s="5">
        <v>16021983</v>
      </c>
      <c r="D309" s="5">
        <v>21052018</v>
      </c>
      <c r="E309" s="4">
        <v>35</v>
      </c>
      <c r="F309" s="15">
        <f t="shared" si="18"/>
        <v>43271</v>
      </c>
      <c r="G309" s="12">
        <f t="shared" si="19"/>
        <v>2018</v>
      </c>
      <c r="H309" s="12" t="str">
        <f t="shared" si="20"/>
        <v>Junho</v>
      </c>
      <c r="I309" s="11">
        <f>INDEX(tbCadastroConsultas[],MATCH(tbConsultas[[#This Row],[PROFISSIONAL]],tbCadastroConsultas[PROFISSIONAL],0),3)</f>
        <v>301010064</v>
      </c>
      <c r="J309" s="11">
        <f>INDEX(tbCadastroConsultas[],MATCH(tbConsultas[[#This Row],[PROFISSIONAL]],tbCadastroConsultas[PROFISSIONAL],0),4)</f>
        <v>225250</v>
      </c>
    </row>
    <row r="310" spans="1:10">
      <c r="A310" s="11">
        <f t="shared" ref="A310:A341" si="22">ROW() -1</f>
        <v>309</v>
      </c>
      <c r="B310" s="4" t="s">
        <v>12</v>
      </c>
      <c r="C310" s="5">
        <v>11021997</v>
      </c>
      <c r="D310" s="5">
        <v>21052018</v>
      </c>
      <c r="E310" s="4">
        <v>21</v>
      </c>
      <c r="F310" s="15">
        <f t="shared" si="18"/>
        <v>43271</v>
      </c>
      <c r="G310" s="12">
        <f t="shared" si="19"/>
        <v>2018</v>
      </c>
      <c r="H310" s="12" t="str">
        <f t="shared" si="20"/>
        <v>Junho</v>
      </c>
      <c r="I310" s="11">
        <f>INDEX(tbCadastroConsultas[],MATCH(tbConsultas[[#This Row],[PROFISSIONAL]],tbCadastroConsultas[PROFISSIONAL],0),3)</f>
        <v>301010030</v>
      </c>
      <c r="J310" s="11">
        <f>INDEX(tbCadastroConsultas[],MATCH(tbConsultas[[#This Row],[PROFISSIONAL]],tbCadastroConsultas[PROFISSIONAL],0),4)</f>
        <v>223710</v>
      </c>
    </row>
    <row r="311" spans="1:10">
      <c r="A311" s="11">
        <f t="shared" si="22"/>
        <v>310</v>
      </c>
      <c r="B311" s="4" t="s">
        <v>12</v>
      </c>
      <c r="C311" s="5">
        <v>9111993</v>
      </c>
      <c r="D311" s="5">
        <v>21052018</v>
      </c>
      <c r="E311" s="4">
        <v>24</v>
      </c>
      <c r="F311" s="15">
        <f t="shared" si="18"/>
        <v>43271</v>
      </c>
      <c r="G311" s="12">
        <f t="shared" si="19"/>
        <v>2018</v>
      </c>
      <c r="H311" s="12" t="str">
        <f t="shared" si="20"/>
        <v>Junho</v>
      </c>
      <c r="I311" s="11">
        <f>INDEX(tbCadastroConsultas[],MATCH(tbConsultas[[#This Row],[PROFISSIONAL]],tbCadastroConsultas[PROFISSIONAL],0),3)</f>
        <v>301010030</v>
      </c>
      <c r="J311" s="11">
        <f>INDEX(tbCadastroConsultas[],MATCH(tbConsultas[[#This Row],[PROFISSIONAL]],tbCadastroConsultas[PROFISSIONAL],0),4)</f>
        <v>223710</v>
      </c>
    </row>
    <row r="312" spans="1:10">
      <c r="A312" s="11">
        <f t="shared" si="22"/>
        <v>311</v>
      </c>
      <c r="B312" s="4" t="s">
        <v>5</v>
      </c>
      <c r="C312" s="5">
        <v>13051989</v>
      </c>
      <c r="D312" s="5">
        <v>21052018</v>
      </c>
      <c r="E312" s="4">
        <v>29</v>
      </c>
      <c r="F312" s="15">
        <f t="shared" si="18"/>
        <v>43271</v>
      </c>
      <c r="G312" s="12">
        <f t="shared" si="19"/>
        <v>2018</v>
      </c>
      <c r="H312" s="12" t="str">
        <f t="shared" si="20"/>
        <v>Junho</v>
      </c>
      <c r="I312" s="11">
        <f>INDEX(tbCadastroConsultas[],MATCH(tbConsultas[[#This Row],[PROFISSIONAL]],tbCadastroConsultas[PROFISSIONAL],0),3)</f>
        <v>301010030</v>
      </c>
      <c r="J312" s="11">
        <f>INDEX(tbCadastroConsultas[],MATCH(tbConsultas[[#This Row],[PROFISSIONAL]],tbCadastroConsultas[PROFISSIONAL],0),4)</f>
        <v>223565</v>
      </c>
    </row>
    <row r="313" spans="1:10">
      <c r="A313" s="11">
        <f t="shared" si="22"/>
        <v>312</v>
      </c>
      <c r="B313" s="4" t="s">
        <v>5</v>
      </c>
      <c r="C313" s="5">
        <v>28121961</v>
      </c>
      <c r="D313" s="5">
        <v>21052018</v>
      </c>
      <c r="E313" s="4">
        <v>56</v>
      </c>
      <c r="F313" s="15">
        <f t="shared" si="18"/>
        <v>43271</v>
      </c>
      <c r="G313" s="12">
        <f t="shared" si="19"/>
        <v>2018</v>
      </c>
      <c r="H313" s="12" t="str">
        <f t="shared" si="20"/>
        <v>Junho</v>
      </c>
      <c r="I313" s="11">
        <f>INDEX(tbCadastroConsultas[],MATCH(tbConsultas[[#This Row],[PROFISSIONAL]],tbCadastroConsultas[PROFISSIONAL],0),3)</f>
        <v>301010030</v>
      </c>
      <c r="J313" s="11">
        <f>INDEX(tbCadastroConsultas[],MATCH(tbConsultas[[#This Row],[PROFISSIONAL]],tbCadastroConsultas[PROFISSIONAL],0),4)</f>
        <v>223565</v>
      </c>
    </row>
    <row r="314" spans="1:10">
      <c r="A314" s="11">
        <f t="shared" si="22"/>
        <v>313</v>
      </c>
      <c r="B314" s="4" t="s">
        <v>5</v>
      </c>
      <c r="C314" s="5">
        <v>10091962</v>
      </c>
      <c r="D314" s="5">
        <v>21052018</v>
      </c>
      <c r="E314" s="4">
        <v>55</v>
      </c>
      <c r="F314" s="15">
        <f t="shared" si="18"/>
        <v>43271</v>
      </c>
      <c r="G314" s="12">
        <f t="shared" si="19"/>
        <v>2018</v>
      </c>
      <c r="H314" s="12" t="str">
        <f t="shared" si="20"/>
        <v>Junho</v>
      </c>
      <c r="I314" s="11">
        <f>INDEX(tbCadastroConsultas[],MATCH(tbConsultas[[#This Row],[PROFISSIONAL]],tbCadastroConsultas[PROFISSIONAL],0),3)</f>
        <v>301010030</v>
      </c>
      <c r="J314" s="11">
        <f>INDEX(tbCadastroConsultas[],MATCH(tbConsultas[[#This Row],[PROFISSIONAL]],tbCadastroConsultas[PROFISSIONAL],0),4)</f>
        <v>223565</v>
      </c>
    </row>
    <row r="315" spans="1:10">
      <c r="A315" s="11">
        <f t="shared" si="22"/>
        <v>314</v>
      </c>
      <c r="B315" s="4" t="s">
        <v>5</v>
      </c>
      <c r="C315" s="5">
        <v>17032017</v>
      </c>
      <c r="D315" s="5">
        <v>21052018</v>
      </c>
      <c r="E315" s="4">
        <v>1</v>
      </c>
      <c r="F315" s="15">
        <f t="shared" si="18"/>
        <v>43271</v>
      </c>
      <c r="G315" s="12">
        <f t="shared" si="19"/>
        <v>2018</v>
      </c>
      <c r="H315" s="12" t="str">
        <f t="shared" si="20"/>
        <v>Junho</v>
      </c>
      <c r="I315" s="11">
        <f>INDEX(tbCadastroConsultas[],MATCH(tbConsultas[[#This Row],[PROFISSIONAL]],tbCadastroConsultas[PROFISSIONAL],0),3)</f>
        <v>301010030</v>
      </c>
      <c r="J315" s="11">
        <f>INDEX(tbCadastroConsultas[],MATCH(tbConsultas[[#This Row],[PROFISSIONAL]],tbCadastroConsultas[PROFISSIONAL],0),4)</f>
        <v>223565</v>
      </c>
    </row>
    <row r="316" spans="1:10">
      <c r="A316" s="11">
        <f t="shared" si="22"/>
        <v>315</v>
      </c>
      <c r="B316" s="4" t="s">
        <v>2</v>
      </c>
      <c r="C316" s="5">
        <v>12121957</v>
      </c>
      <c r="D316" s="5">
        <v>21052018</v>
      </c>
      <c r="E316" s="4">
        <v>60</v>
      </c>
      <c r="F316" s="15">
        <f t="shared" si="18"/>
        <v>43271</v>
      </c>
      <c r="G316" s="12">
        <f t="shared" si="19"/>
        <v>2018</v>
      </c>
      <c r="H316" s="12" t="str">
        <f t="shared" si="20"/>
        <v>Junho</v>
      </c>
      <c r="I316" s="11">
        <f>INDEX(tbCadastroConsultas[],MATCH(tbConsultas[[#This Row],[PROFISSIONAL]],tbCadastroConsultas[PROFISSIONAL],0),3)</f>
        <v>301010030</v>
      </c>
      <c r="J316" s="11">
        <f>INDEX(tbCadastroConsultas[],MATCH(tbConsultas[[#This Row],[PROFISSIONAL]],tbCadastroConsultas[PROFISSIONAL],0),4)</f>
        <v>223505</v>
      </c>
    </row>
    <row r="317" spans="1:10">
      <c r="A317" s="11">
        <f t="shared" si="22"/>
        <v>316</v>
      </c>
      <c r="B317" s="4" t="s">
        <v>2</v>
      </c>
      <c r="C317" s="5">
        <v>24042017</v>
      </c>
      <c r="D317" s="5">
        <v>21052018</v>
      </c>
      <c r="E317" s="4">
        <v>1</v>
      </c>
      <c r="F317" s="15">
        <f t="shared" si="18"/>
        <v>43271</v>
      </c>
      <c r="G317" s="12">
        <f t="shared" si="19"/>
        <v>2018</v>
      </c>
      <c r="H317" s="12" t="str">
        <f t="shared" si="20"/>
        <v>Junho</v>
      </c>
      <c r="I317" s="11">
        <f>INDEX(tbCadastroConsultas[],MATCH(tbConsultas[[#This Row],[PROFISSIONAL]],tbCadastroConsultas[PROFISSIONAL],0),3)</f>
        <v>301010030</v>
      </c>
      <c r="J317" s="11">
        <f>INDEX(tbCadastroConsultas[],MATCH(tbConsultas[[#This Row],[PROFISSIONAL]],tbCadastroConsultas[PROFISSIONAL],0),4)</f>
        <v>223505</v>
      </c>
    </row>
    <row r="318" spans="1:10">
      <c r="A318" s="11">
        <f t="shared" si="22"/>
        <v>317</v>
      </c>
      <c r="B318" s="4" t="s">
        <v>2</v>
      </c>
      <c r="C318" s="5">
        <v>4081992</v>
      </c>
      <c r="D318" s="5">
        <v>21052018</v>
      </c>
      <c r="E318" s="4">
        <v>25</v>
      </c>
      <c r="F318" s="15">
        <f t="shared" si="18"/>
        <v>43271</v>
      </c>
      <c r="G318" s="12">
        <f t="shared" si="19"/>
        <v>2018</v>
      </c>
      <c r="H318" s="12" t="str">
        <f t="shared" si="20"/>
        <v>Junho</v>
      </c>
      <c r="I318" s="11">
        <f>INDEX(tbCadastroConsultas[],MATCH(tbConsultas[[#This Row],[PROFISSIONAL]],tbCadastroConsultas[PROFISSIONAL],0),3)</f>
        <v>301010030</v>
      </c>
      <c r="J318" s="11">
        <f>INDEX(tbCadastroConsultas[],MATCH(tbConsultas[[#This Row],[PROFISSIONAL]],tbCadastroConsultas[PROFISSIONAL],0),4)</f>
        <v>223505</v>
      </c>
    </row>
    <row r="319" spans="1:10">
      <c r="A319" s="11">
        <f t="shared" si="22"/>
        <v>318</v>
      </c>
      <c r="B319" s="4" t="s">
        <v>2</v>
      </c>
      <c r="C319" s="5">
        <v>31071955</v>
      </c>
      <c r="D319" s="5">
        <v>21052018</v>
      </c>
      <c r="E319" s="4">
        <v>62</v>
      </c>
      <c r="F319" s="15">
        <f t="shared" si="18"/>
        <v>43271</v>
      </c>
      <c r="G319" s="12">
        <f t="shared" si="19"/>
        <v>2018</v>
      </c>
      <c r="H319" s="12" t="str">
        <f t="shared" si="20"/>
        <v>Junho</v>
      </c>
      <c r="I319" s="11">
        <f>INDEX(tbCadastroConsultas[],MATCH(tbConsultas[[#This Row],[PROFISSIONAL]],tbCadastroConsultas[PROFISSIONAL],0),3)</f>
        <v>301010030</v>
      </c>
      <c r="J319" s="11">
        <f>INDEX(tbCadastroConsultas[],MATCH(tbConsultas[[#This Row],[PROFISSIONAL]],tbCadastroConsultas[PROFISSIONAL],0),4)</f>
        <v>223505</v>
      </c>
    </row>
    <row r="320" spans="1:10">
      <c r="A320" s="11">
        <f t="shared" si="22"/>
        <v>319</v>
      </c>
      <c r="B320" s="4" t="s">
        <v>2</v>
      </c>
      <c r="C320" s="5">
        <v>20071953</v>
      </c>
      <c r="D320" s="5">
        <v>21052018</v>
      </c>
      <c r="E320" s="4">
        <v>64</v>
      </c>
      <c r="F320" s="15">
        <f t="shared" si="18"/>
        <v>43271</v>
      </c>
      <c r="G320" s="12">
        <f t="shared" si="19"/>
        <v>2018</v>
      </c>
      <c r="H320" s="12" t="str">
        <f t="shared" si="20"/>
        <v>Junho</v>
      </c>
      <c r="I320" s="11">
        <f>INDEX(tbCadastroConsultas[],MATCH(tbConsultas[[#This Row],[PROFISSIONAL]],tbCadastroConsultas[PROFISSIONAL],0),3)</f>
        <v>301010030</v>
      </c>
      <c r="J320" s="11">
        <f>INDEX(tbCadastroConsultas[],MATCH(tbConsultas[[#This Row],[PROFISSIONAL]],tbCadastroConsultas[PROFISSIONAL],0),4)</f>
        <v>223505</v>
      </c>
    </row>
    <row r="321" spans="1:10">
      <c r="A321" s="11">
        <f t="shared" si="22"/>
        <v>320</v>
      </c>
      <c r="B321" s="4" t="s">
        <v>2</v>
      </c>
      <c r="C321" s="5">
        <v>1021967</v>
      </c>
      <c r="D321" s="5">
        <v>21052018</v>
      </c>
      <c r="E321" s="4">
        <v>51</v>
      </c>
      <c r="F321" s="15">
        <f t="shared" si="18"/>
        <v>43271</v>
      </c>
      <c r="G321" s="12">
        <f t="shared" si="19"/>
        <v>2018</v>
      </c>
      <c r="H321" s="12" t="str">
        <f t="shared" si="20"/>
        <v>Junho</v>
      </c>
      <c r="I321" s="11">
        <f>INDEX(tbCadastroConsultas[],MATCH(tbConsultas[[#This Row],[PROFISSIONAL]],tbCadastroConsultas[PROFISSIONAL],0),3)</f>
        <v>301010030</v>
      </c>
      <c r="J321" s="11">
        <f>INDEX(tbCadastroConsultas[],MATCH(tbConsultas[[#This Row],[PROFISSIONAL]],tbCadastroConsultas[PROFISSIONAL],0),4)</f>
        <v>223505</v>
      </c>
    </row>
    <row r="322" spans="1:10">
      <c r="A322" s="11">
        <f t="shared" si="22"/>
        <v>321</v>
      </c>
      <c r="B322" s="4" t="s">
        <v>2</v>
      </c>
      <c r="C322" s="5">
        <v>31101959</v>
      </c>
      <c r="D322" s="5">
        <v>21052018</v>
      </c>
      <c r="E322" s="4">
        <v>58</v>
      </c>
      <c r="F322" s="15">
        <f t="shared" ref="F322:F385" si="23">IF(D322="","",DATE(YEAR(TEXT(D322,"00\/00\/0000")),MONTH(TEXT(D322,"00\/00\/0000"))+1,20))</f>
        <v>43271</v>
      </c>
      <c r="G322" s="12">
        <f t="shared" ref="G322:G385" si="24">IF(F322="","",YEAR(F322))</f>
        <v>2018</v>
      </c>
      <c r="H322" s="12" t="str">
        <f t="shared" ref="H322:H385" si="25">PROPER(TEXT(F322,"mmmm"))</f>
        <v>Junho</v>
      </c>
      <c r="I322" s="11">
        <f>INDEX(tbCadastroConsultas[],MATCH(tbConsultas[[#This Row],[PROFISSIONAL]],tbCadastroConsultas[PROFISSIONAL],0),3)</f>
        <v>301010030</v>
      </c>
      <c r="J322" s="11">
        <f>INDEX(tbCadastroConsultas[],MATCH(tbConsultas[[#This Row],[PROFISSIONAL]],tbCadastroConsultas[PROFISSIONAL],0),4)</f>
        <v>223505</v>
      </c>
    </row>
    <row r="323" spans="1:10">
      <c r="A323" s="11">
        <f t="shared" si="22"/>
        <v>322</v>
      </c>
      <c r="B323" s="4" t="s">
        <v>5</v>
      </c>
      <c r="C323" s="5">
        <v>17121983</v>
      </c>
      <c r="D323" s="5">
        <v>21052018</v>
      </c>
      <c r="E323" s="4">
        <v>34</v>
      </c>
      <c r="F323" s="15">
        <f t="shared" si="23"/>
        <v>43271</v>
      </c>
      <c r="G323" s="12">
        <f t="shared" si="24"/>
        <v>2018</v>
      </c>
      <c r="H323" s="12" t="str">
        <f t="shared" si="25"/>
        <v>Junho</v>
      </c>
      <c r="I323" s="11">
        <f>INDEX(tbCadastroConsultas[],MATCH(tbConsultas[[#This Row],[PROFISSIONAL]],tbCadastroConsultas[PROFISSIONAL],0),3)</f>
        <v>301010030</v>
      </c>
      <c r="J323" s="11">
        <f>INDEX(tbCadastroConsultas[],MATCH(tbConsultas[[#This Row],[PROFISSIONAL]],tbCadastroConsultas[PROFISSIONAL],0),4)</f>
        <v>223565</v>
      </c>
    </row>
    <row r="324" spans="1:10">
      <c r="A324" s="11">
        <f t="shared" si="22"/>
        <v>323</v>
      </c>
      <c r="B324" s="4" t="s">
        <v>5</v>
      </c>
      <c r="C324" s="5">
        <v>18111988</v>
      </c>
      <c r="D324" s="5">
        <v>21052018</v>
      </c>
      <c r="E324" s="4">
        <v>29</v>
      </c>
      <c r="F324" s="15">
        <f t="shared" si="23"/>
        <v>43271</v>
      </c>
      <c r="G324" s="12">
        <f t="shared" si="24"/>
        <v>2018</v>
      </c>
      <c r="H324" s="12" t="str">
        <f t="shared" si="25"/>
        <v>Junho</v>
      </c>
      <c r="I324" s="11">
        <f>INDEX(tbCadastroConsultas[],MATCH(tbConsultas[[#This Row],[PROFISSIONAL]],tbCadastroConsultas[PROFISSIONAL],0),3)</f>
        <v>301010030</v>
      </c>
      <c r="J324" s="11">
        <f>INDEX(tbCadastroConsultas[],MATCH(tbConsultas[[#This Row],[PROFISSIONAL]],tbCadastroConsultas[PROFISSIONAL],0),4)</f>
        <v>223565</v>
      </c>
    </row>
    <row r="325" spans="1:10">
      <c r="A325" s="11">
        <f t="shared" si="22"/>
        <v>324</v>
      </c>
      <c r="B325" s="4" t="s">
        <v>5</v>
      </c>
      <c r="C325" s="5">
        <v>15101965</v>
      </c>
      <c r="D325" s="5">
        <v>21052018</v>
      </c>
      <c r="E325" s="4">
        <v>52</v>
      </c>
      <c r="F325" s="15">
        <f t="shared" si="23"/>
        <v>43271</v>
      </c>
      <c r="G325" s="12">
        <f t="shared" si="24"/>
        <v>2018</v>
      </c>
      <c r="H325" s="12" t="str">
        <f t="shared" si="25"/>
        <v>Junho</v>
      </c>
      <c r="I325" s="11">
        <f>INDEX(tbCadastroConsultas[],MATCH(tbConsultas[[#This Row],[PROFISSIONAL]],tbCadastroConsultas[PROFISSIONAL],0),3)</f>
        <v>301010030</v>
      </c>
      <c r="J325" s="11">
        <f>INDEX(tbCadastroConsultas[],MATCH(tbConsultas[[#This Row],[PROFISSIONAL]],tbCadastroConsultas[PROFISSIONAL],0),4)</f>
        <v>223565</v>
      </c>
    </row>
    <row r="326" spans="1:10">
      <c r="A326" s="11">
        <f t="shared" si="22"/>
        <v>325</v>
      </c>
      <c r="B326" s="4" t="s">
        <v>5</v>
      </c>
      <c r="C326" s="5">
        <v>24081976</v>
      </c>
      <c r="D326" s="5">
        <v>21052018</v>
      </c>
      <c r="E326" s="4">
        <v>41</v>
      </c>
      <c r="F326" s="15">
        <f t="shared" si="23"/>
        <v>43271</v>
      </c>
      <c r="G326" s="12">
        <f t="shared" si="24"/>
        <v>2018</v>
      </c>
      <c r="H326" s="12" t="str">
        <f t="shared" si="25"/>
        <v>Junho</v>
      </c>
      <c r="I326" s="11">
        <f>INDEX(tbCadastroConsultas[],MATCH(tbConsultas[[#This Row],[PROFISSIONAL]],tbCadastroConsultas[PROFISSIONAL],0),3)</f>
        <v>301010030</v>
      </c>
      <c r="J326" s="11">
        <f>INDEX(tbCadastroConsultas[],MATCH(tbConsultas[[#This Row],[PROFISSIONAL]],tbCadastroConsultas[PROFISSIONAL],0),4)</f>
        <v>223565</v>
      </c>
    </row>
    <row r="327" spans="1:10">
      <c r="A327" s="11">
        <f t="shared" si="22"/>
        <v>326</v>
      </c>
      <c r="B327" s="4" t="s">
        <v>5</v>
      </c>
      <c r="C327" s="5">
        <v>5102000</v>
      </c>
      <c r="D327" s="5">
        <v>21052018</v>
      </c>
      <c r="E327" s="4">
        <v>17</v>
      </c>
      <c r="F327" s="15">
        <f t="shared" si="23"/>
        <v>43271</v>
      </c>
      <c r="G327" s="12">
        <f t="shared" si="24"/>
        <v>2018</v>
      </c>
      <c r="H327" s="12" t="str">
        <f t="shared" si="25"/>
        <v>Junho</v>
      </c>
      <c r="I327" s="11">
        <f>INDEX(tbCadastroConsultas[],MATCH(tbConsultas[[#This Row],[PROFISSIONAL]],tbCadastroConsultas[PROFISSIONAL],0),3)</f>
        <v>301010030</v>
      </c>
      <c r="J327" s="11">
        <f>INDEX(tbCadastroConsultas[],MATCH(tbConsultas[[#This Row],[PROFISSIONAL]],tbCadastroConsultas[PROFISSIONAL],0),4)</f>
        <v>223565</v>
      </c>
    </row>
    <row r="328" spans="1:10">
      <c r="A328" s="11">
        <f t="shared" si="22"/>
        <v>327</v>
      </c>
      <c r="B328" s="4" t="s">
        <v>0</v>
      </c>
      <c r="C328" s="5">
        <v>12112015</v>
      </c>
      <c r="D328" s="5">
        <v>21052018</v>
      </c>
      <c r="E328" s="4">
        <v>2</v>
      </c>
      <c r="F328" s="15">
        <f t="shared" si="23"/>
        <v>43271</v>
      </c>
      <c r="G328" s="12">
        <f t="shared" si="24"/>
        <v>2018</v>
      </c>
      <c r="H328" s="12" t="str">
        <f t="shared" si="25"/>
        <v>Junho</v>
      </c>
      <c r="I328" s="11">
        <f>INDEX(tbCadastroConsultas[],MATCH(tbConsultas[[#This Row],[PROFISSIONAL]],tbCadastroConsultas[PROFISSIONAL],0),3)</f>
        <v>301010080</v>
      </c>
      <c r="J328" s="11">
        <f>INDEX(tbCadastroConsultas[],MATCH(tbConsultas[[#This Row],[PROFISSIONAL]],tbCadastroConsultas[PROFISSIONAL],0),4)</f>
        <v>225124</v>
      </c>
    </row>
    <row r="329" spans="1:10">
      <c r="A329" s="11">
        <f t="shared" si="22"/>
        <v>328</v>
      </c>
      <c r="B329" s="4" t="s">
        <v>0</v>
      </c>
      <c r="C329" s="5">
        <v>22102017</v>
      </c>
      <c r="D329" s="5">
        <v>21052018</v>
      </c>
      <c r="E329" s="4">
        <v>0</v>
      </c>
      <c r="F329" s="15">
        <f t="shared" si="23"/>
        <v>43271</v>
      </c>
      <c r="G329" s="12">
        <f t="shared" si="24"/>
        <v>2018</v>
      </c>
      <c r="H329" s="12" t="str">
        <f t="shared" si="25"/>
        <v>Junho</v>
      </c>
      <c r="I329" s="11">
        <f>INDEX(tbCadastroConsultas[],MATCH(tbConsultas[[#This Row],[PROFISSIONAL]],tbCadastroConsultas[PROFISSIONAL],0),3)</f>
        <v>301010080</v>
      </c>
      <c r="J329" s="11">
        <f>INDEX(tbCadastroConsultas[],MATCH(tbConsultas[[#This Row],[PROFISSIONAL]],tbCadastroConsultas[PROFISSIONAL],0),4)</f>
        <v>225124</v>
      </c>
    </row>
    <row r="330" spans="1:10">
      <c r="A330" s="11">
        <f t="shared" si="22"/>
        <v>329</v>
      </c>
      <c r="B330" s="4" t="s">
        <v>0</v>
      </c>
      <c r="C330" s="5">
        <v>26032014</v>
      </c>
      <c r="D330" s="5">
        <v>21052018</v>
      </c>
      <c r="E330" s="4">
        <v>4</v>
      </c>
      <c r="F330" s="15">
        <f t="shared" si="23"/>
        <v>43271</v>
      </c>
      <c r="G330" s="12">
        <f t="shared" si="24"/>
        <v>2018</v>
      </c>
      <c r="H330" s="12" t="str">
        <f t="shared" si="25"/>
        <v>Junho</v>
      </c>
      <c r="I330" s="11">
        <f>INDEX(tbCadastroConsultas[],MATCH(tbConsultas[[#This Row],[PROFISSIONAL]],tbCadastroConsultas[PROFISSIONAL],0),3)</f>
        <v>301010080</v>
      </c>
      <c r="J330" s="11">
        <f>INDEX(tbCadastroConsultas[],MATCH(tbConsultas[[#This Row],[PROFISSIONAL]],tbCadastroConsultas[PROFISSIONAL],0),4)</f>
        <v>225124</v>
      </c>
    </row>
    <row r="331" spans="1:10">
      <c r="A331" s="11">
        <f t="shared" si="22"/>
        <v>330</v>
      </c>
      <c r="B331" s="4" t="s">
        <v>0</v>
      </c>
      <c r="C331" s="5">
        <v>23042010</v>
      </c>
      <c r="D331" s="5">
        <v>21052018</v>
      </c>
      <c r="E331" s="4">
        <v>8</v>
      </c>
      <c r="F331" s="15">
        <f t="shared" si="23"/>
        <v>43271</v>
      </c>
      <c r="G331" s="12">
        <f t="shared" si="24"/>
        <v>2018</v>
      </c>
      <c r="H331" s="12" t="str">
        <f t="shared" si="25"/>
        <v>Junho</v>
      </c>
      <c r="I331" s="11">
        <f>INDEX(tbCadastroConsultas[],MATCH(tbConsultas[[#This Row],[PROFISSIONAL]],tbCadastroConsultas[PROFISSIONAL],0),3)</f>
        <v>301010080</v>
      </c>
      <c r="J331" s="11">
        <f>INDEX(tbCadastroConsultas[],MATCH(tbConsultas[[#This Row],[PROFISSIONAL]],tbCadastroConsultas[PROFISSIONAL],0),4)</f>
        <v>225124</v>
      </c>
    </row>
    <row r="332" spans="1:10">
      <c r="A332" s="11">
        <f t="shared" si="22"/>
        <v>331</v>
      </c>
      <c r="B332" s="4" t="s">
        <v>0</v>
      </c>
      <c r="C332" s="5">
        <v>30082012</v>
      </c>
      <c r="D332" s="5">
        <v>21052018</v>
      </c>
      <c r="E332" s="4">
        <v>5</v>
      </c>
      <c r="F332" s="15">
        <f t="shared" si="23"/>
        <v>43271</v>
      </c>
      <c r="G332" s="12">
        <f t="shared" si="24"/>
        <v>2018</v>
      </c>
      <c r="H332" s="12" t="str">
        <f t="shared" si="25"/>
        <v>Junho</v>
      </c>
      <c r="I332" s="11">
        <f>INDEX(tbCadastroConsultas[],MATCH(tbConsultas[[#This Row],[PROFISSIONAL]],tbCadastroConsultas[PROFISSIONAL],0),3)</f>
        <v>301010080</v>
      </c>
      <c r="J332" s="11">
        <f>INDEX(tbCadastroConsultas[],MATCH(tbConsultas[[#This Row],[PROFISSIONAL]],tbCadastroConsultas[PROFISSIONAL],0),4)</f>
        <v>225124</v>
      </c>
    </row>
    <row r="333" spans="1:10">
      <c r="A333" s="11">
        <f t="shared" si="22"/>
        <v>332</v>
      </c>
      <c r="B333" s="4" t="s">
        <v>0</v>
      </c>
      <c r="C333" s="5">
        <v>21062015</v>
      </c>
      <c r="D333" s="5">
        <v>21052018</v>
      </c>
      <c r="E333" s="4">
        <v>2</v>
      </c>
      <c r="F333" s="15">
        <f t="shared" si="23"/>
        <v>43271</v>
      </c>
      <c r="G333" s="12">
        <f t="shared" si="24"/>
        <v>2018</v>
      </c>
      <c r="H333" s="12" t="str">
        <f t="shared" si="25"/>
        <v>Junho</v>
      </c>
      <c r="I333" s="11">
        <f>INDEX(tbCadastroConsultas[],MATCH(tbConsultas[[#This Row],[PROFISSIONAL]],tbCadastroConsultas[PROFISSIONAL],0),3)</f>
        <v>301010080</v>
      </c>
      <c r="J333" s="11">
        <f>INDEX(tbCadastroConsultas[],MATCH(tbConsultas[[#This Row],[PROFISSIONAL]],tbCadastroConsultas[PROFISSIONAL],0),4)</f>
        <v>225124</v>
      </c>
    </row>
    <row r="334" spans="1:10">
      <c r="A334" s="11">
        <f t="shared" si="22"/>
        <v>333</v>
      </c>
      <c r="B334" s="4" t="s">
        <v>0</v>
      </c>
      <c r="C334" s="5">
        <v>28052014</v>
      </c>
      <c r="D334" s="5">
        <v>21052018</v>
      </c>
      <c r="E334" s="4">
        <v>4</v>
      </c>
      <c r="F334" s="15">
        <f t="shared" si="23"/>
        <v>43271</v>
      </c>
      <c r="G334" s="12">
        <f t="shared" si="24"/>
        <v>2018</v>
      </c>
      <c r="H334" s="12" t="str">
        <f t="shared" si="25"/>
        <v>Junho</v>
      </c>
      <c r="I334" s="11">
        <f>INDEX(tbCadastroConsultas[],MATCH(tbConsultas[[#This Row],[PROFISSIONAL]],tbCadastroConsultas[PROFISSIONAL],0),3)</f>
        <v>301010080</v>
      </c>
      <c r="J334" s="11">
        <f>INDEX(tbCadastroConsultas[],MATCH(tbConsultas[[#This Row],[PROFISSIONAL]],tbCadastroConsultas[PROFISSIONAL],0),4)</f>
        <v>225124</v>
      </c>
    </row>
    <row r="335" spans="1:10">
      <c r="A335" s="11">
        <f t="shared" si="22"/>
        <v>334</v>
      </c>
      <c r="B335" s="4" t="s">
        <v>0</v>
      </c>
      <c r="C335" s="5">
        <v>28052014</v>
      </c>
      <c r="D335" s="5">
        <v>21052018</v>
      </c>
      <c r="E335" s="4">
        <v>4</v>
      </c>
      <c r="F335" s="15">
        <f t="shared" si="23"/>
        <v>43271</v>
      </c>
      <c r="G335" s="12">
        <f t="shared" si="24"/>
        <v>2018</v>
      </c>
      <c r="H335" s="12" t="str">
        <f t="shared" si="25"/>
        <v>Junho</v>
      </c>
      <c r="I335" s="11">
        <f>INDEX(tbCadastroConsultas[],MATCH(tbConsultas[[#This Row],[PROFISSIONAL]],tbCadastroConsultas[PROFISSIONAL],0),3)</f>
        <v>301010080</v>
      </c>
      <c r="J335" s="11">
        <f>INDEX(tbCadastroConsultas[],MATCH(tbConsultas[[#This Row],[PROFISSIONAL]],tbCadastroConsultas[PROFISSIONAL],0),4)</f>
        <v>225124</v>
      </c>
    </row>
    <row r="336" spans="1:10">
      <c r="A336" s="11">
        <f t="shared" si="22"/>
        <v>335</v>
      </c>
      <c r="B336" s="4" t="s">
        <v>0</v>
      </c>
      <c r="C336" s="5">
        <v>2102013</v>
      </c>
      <c r="D336" s="5">
        <v>21052018</v>
      </c>
      <c r="E336" s="4">
        <v>4</v>
      </c>
      <c r="F336" s="15">
        <f t="shared" si="23"/>
        <v>43271</v>
      </c>
      <c r="G336" s="12">
        <f t="shared" si="24"/>
        <v>2018</v>
      </c>
      <c r="H336" s="12" t="str">
        <f t="shared" si="25"/>
        <v>Junho</v>
      </c>
      <c r="I336" s="11">
        <f>INDEX(tbCadastroConsultas[],MATCH(tbConsultas[[#This Row],[PROFISSIONAL]],tbCadastroConsultas[PROFISSIONAL],0),3)</f>
        <v>301010080</v>
      </c>
      <c r="J336" s="11">
        <f>INDEX(tbCadastroConsultas[],MATCH(tbConsultas[[#This Row],[PROFISSIONAL]],tbCadastroConsultas[PROFISSIONAL],0),4)</f>
        <v>225124</v>
      </c>
    </row>
    <row r="337" spans="1:10">
      <c r="A337" s="11">
        <f t="shared" si="22"/>
        <v>336</v>
      </c>
      <c r="B337" s="4" t="s">
        <v>0</v>
      </c>
      <c r="C337" s="5">
        <v>21062012</v>
      </c>
      <c r="D337" s="5">
        <v>21052018</v>
      </c>
      <c r="E337" s="4">
        <v>5</v>
      </c>
      <c r="F337" s="15">
        <f t="shared" si="23"/>
        <v>43271</v>
      </c>
      <c r="G337" s="12">
        <f t="shared" si="24"/>
        <v>2018</v>
      </c>
      <c r="H337" s="12" t="str">
        <f t="shared" si="25"/>
        <v>Junho</v>
      </c>
      <c r="I337" s="11">
        <f>INDEX(tbCadastroConsultas[],MATCH(tbConsultas[[#This Row],[PROFISSIONAL]],tbCadastroConsultas[PROFISSIONAL],0),3)</f>
        <v>301010080</v>
      </c>
      <c r="J337" s="11">
        <f>INDEX(tbCadastroConsultas[],MATCH(tbConsultas[[#This Row],[PROFISSIONAL]],tbCadastroConsultas[PROFISSIONAL],0),4)</f>
        <v>225124</v>
      </c>
    </row>
    <row r="338" spans="1:10">
      <c r="A338" s="11">
        <f t="shared" si="22"/>
        <v>337</v>
      </c>
      <c r="B338" s="4" t="s">
        <v>0</v>
      </c>
      <c r="C338" s="5">
        <v>22012017</v>
      </c>
      <c r="D338" s="5">
        <v>21052018</v>
      </c>
      <c r="E338" s="4">
        <v>1</v>
      </c>
      <c r="F338" s="15">
        <f t="shared" si="23"/>
        <v>43271</v>
      </c>
      <c r="G338" s="12">
        <f t="shared" si="24"/>
        <v>2018</v>
      </c>
      <c r="H338" s="12" t="str">
        <f t="shared" si="25"/>
        <v>Junho</v>
      </c>
      <c r="I338" s="11">
        <f>INDEX(tbCadastroConsultas[],MATCH(tbConsultas[[#This Row],[PROFISSIONAL]],tbCadastroConsultas[PROFISSIONAL],0),3)</f>
        <v>301010080</v>
      </c>
      <c r="J338" s="11">
        <f>INDEX(tbCadastroConsultas[],MATCH(tbConsultas[[#This Row],[PROFISSIONAL]],tbCadastroConsultas[PROFISSIONAL],0),4)</f>
        <v>225124</v>
      </c>
    </row>
    <row r="339" spans="1:10">
      <c r="A339" s="11">
        <f t="shared" si="22"/>
        <v>338</v>
      </c>
      <c r="B339" s="4" t="s">
        <v>0</v>
      </c>
      <c r="C339" s="5">
        <v>24022013</v>
      </c>
      <c r="D339" s="5">
        <v>21052018</v>
      </c>
      <c r="E339" s="4">
        <v>5</v>
      </c>
      <c r="F339" s="15">
        <f t="shared" si="23"/>
        <v>43271</v>
      </c>
      <c r="G339" s="12">
        <f t="shared" si="24"/>
        <v>2018</v>
      </c>
      <c r="H339" s="12" t="str">
        <f t="shared" si="25"/>
        <v>Junho</v>
      </c>
      <c r="I339" s="11">
        <f>INDEX(tbCadastroConsultas[],MATCH(tbConsultas[[#This Row],[PROFISSIONAL]],tbCadastroConsultas[PROFISSIONAL],0),3)</f>
        <v>301010080</v>
      </c>
      <c r="J339" s="11">
        <f>INDEX(tbCadastroConsultas[],MATCH(tbConsultas[[#This Row],[PROFISSIONAL]],tbCadastroConsultas[PROFISSIONAL],0),4)</f>
        <v>225124</v>
      </c>
    </row>
    <row r="340" spans="1:10">
      <c r="A340" s="11">
        <f t="shared" si="22"/>
        <v>339</v>
      </c>
      <c r="B340" s="4" t="s">
        <v>0</v>
      </c>
      <c r="C340" s="5">
        <v>5052008</v>
      </c>
      <c r="D340" s="5">
        <v>21052018</v>
      </c>
      <c r="E340" s="4">
        <v>10</v>
      </c>
      <c r="F340" s="15">
        <f t="shared" si="23"/>
        <v>43271</v>
      </c>
      <c r="G340" s="12">
        <f t="shared" si="24"/>
        <v>2018</v>
      </c>
      <c r="H340" s="12" t="str">
        <f t="shared" si="25"/>
        <v>Junho</v>
      </c>
      <c r="I340" s="11">
        <f>INDEX(tbCadastroConsultas[],MATCH(tbConsultas[[#This Row],[PROFISSIONAL]],tbCadastroConsultas[PROFISSIONAL],0),3)</f>
        <v>301010080</v>
      </c>
      <c r="J340" s="11">
        <f>INDEX(tbCadastroConsultas[],MATCH(tbConsultas[[#This Row],[PROFISSIONAL]],tbCadastroConsultas[PROFISSIONAL],0),4)</f>
        <v>225124</v>
      </c>
    </row>
    <row r="341" spans="1:10">
      <c r="A341" s="11">
        <f t="shared" si="22"/>
        <v>340</v>
      </c>
      <c r="B341" s="4" t="s">
        <v>0</v>
      </c>
      <c r="C341" s="5">
        <v>1062018</v>
      </c>
      <c r="D341" s="5">
        <v>21052018</v>
      </c>
      <c r="E341" s="4">
        <v>-1</v>
      </c>
      <c r="F341" s="15">
        <f t="shared" si="23"/>
        <v>43271</v>
      </c>
      <c r="G341" s="12">
        <f t="shared" si="24"/>
        <v>2018</v>
      </c>
      <c r="H341" s="12" t="str">
        <f t="shared" si="25"/>
        <v>Junho</v>
      </c>
      <c r="I341" s="11">
        <f>INDEX(tbCadastroConsultas[],MATCH(tbConsultas[[#This Row],[PROFISSIONAL]],tbCadastroConsultas[PROFISSIONAL],0),3)</f>
        <v>301010080</v>
      </c>
      <c r="J341" s="11">
        <f>INDEX(tbCadastroConsultas[],MATCH(tbConsultas[[#This Row],[PROFISSIONAL]],tbCadastroConsultas[PROFISSIONAL],0),4)</f>
        <v>225124</v>
      </c>
    </row>
    <row r="342" spans="1:10">
      <c r="A342" s="11">
        <f t="shared" ref="A342:A373" si="26">ROW() -1</f>
        <v>341</v>
      </c>
      <c r="B342" s="4" t="s">
        <v>0</v>
      </c>
      <c r="C342" s="5">
        <v>14062015</v>
      </c>
      <c r="D342" s="5">
        <v>21052018</v>
      </c>
      <c r="E342" s="4">
        <v>2</v>
      </c>
      <c r="F342" s="15">
        <f t="shared" si="23"/>
        <v>43271</v>
      </c>
      <c r="G342" s="12">
        <f t="shared" si="24"/>
        <v>2018</v>
      </c>
      <c r="H342" s="12" t="str">
        <f t="shared" si="25"/>
        <v>Junho</v>
      </c>
      <c r="I342" s="11">
        <f>INDEX(tbCadastroConsultas[],MATCH(tbConsultas[[#This Row],[PROFISSIONAL]],tbCadastroConsultas[PROFISSIONAL],0),3)</f>
        <v>301010080</v>
      </c>
      <c r="J342" s="11">
        <f>INDEX(tbCadastroConsultas[],MATCH(tbConsultas[[#This Row],[PROFISSIONAL]],tbCadastroConsultas[PROFISSIONAL],0),4)</f>
        <v>225124</v>
      </c>
    </row>
    <row r="343" spans="1:10">
      <c r="A343" s="11">
        <f t="shared" si="26"/>
        <v>342</v>
      </c>
      <c r="B343" s="4" t="s">
        <v>0</v>
      </c>
      <c r="C343" s="5">
        <v>4082008</v>
      </c>
      <c r="D343" s="5">
        <v>21052018</v>
      </c>
      <c r="E343" s="4">
        <v>9</v>
      </c>
      <c r="F343" s="15">
        <f t="shared" si="23"/>
        <v>43271</v>
      </c>
      <c r="G343" s="12">
        <f t="shared" si="24"/>
        <v>2018</v>
      </c>
      <c r="H343" s="12" t="str">
        <f t="shared" si="25"/>
        <v>Junho</v>
      </c>
      <c r="I343" s="11">
        <f>INDEX(tbCadastroConsultas[],MATCH(tbConsultas[[#This Row],[PROFISSIONAL]],tbCadastroConsultas[PROFISSIONAL],0),3)</f>
        <v>301010080</v>
      </c>
      <c r="J343" s="11">
        <f>INDEX(tbCadastroConsultas[],MATCH(tbConsultas[[#This Row],[PROFISSIONAL]],tbCadastroConsultas[PROFISSIONAL],0),4)</f>
        <v>225124</v>
      </c>
    </row>
    <row r="344" spans="1:10">
      <c r="A344" s="11">
        <f t="shared" si="26"/>
        <v>343</v>
      </c>
      <c r="B344" s="4" t="s">
        <v>0</v>
      </c>
      <c r="C344" s="5">
        <v>11012013</v>
      </c>
      <c r="D344" s="5">
        <v>21052018</v>
      </c>
      <c r="E344" s="4">
        <v>5</v>
      </c>
      <c r="F344" s="15">
        <f t="shared" si="23"/>
        <v>43271</v>
      </c>
      <c r="G344" s="12">
        <f t="shared" si="24"/>
        <v>2018</v>
      </c>
      <c r="H344" s="12" t="str">
        <f t="shared" si="25"/>
        <v>Junho</v>
      </c>
      <c r="I344" s="11">
        <f>INDEX(tbCadastroConsultas[],MATCH(tbConsultas[[#This Row],[PROFISSIONAL]],tbCadastroConsultas[PROFISSIONAL],0),3)</f>
        <v>301010080</v>
      </c>
      <c r="J344" s="11">
        <f>INDEX(tbCadastroConsultas[],MATCH(tbConsultas[[#This Row],[PROFISSIONAL]],tbCadastroConsultas[PROFISSIONAL],0),4)</f>
        <v>225124</v>
      </c>
    </row>
    <row r="345" spans="1:10">
      <c r="A345" s="11">
        <f t="shared" si="26"/>
        <v>344</v>
      </c>
      <c r="B345" s="4" t="s">
        <v>7</v>
      </c>
      <c r="C345" s="5">
        <v>23072015</v>
      </c>
      <c r="D345" s="5">
        <v>21052018</v>
      </c>
      <c r="E345" s="4">
        <v>2</v>
      </c>
      <c r="F345" s="15">
        <f t="shared" si="23"/>
        <v>43271</v>
      </c>
      <c r="G345" s="12">
        <f t="shared" si="24"/>
        <v>2018</v>
      </c>
      <c r="H345" s="12" t="str">
        <f t="shared" si="25"/>
        <v>Junho</v>
      </c>
      <c r="I345" s="11">
        <f>INDEX(tbCadastroConsultas[],MATCH(tbConsultas[[#This Row],[PROFISSIONAL]],tbCadastroConsultas[PROFISSIONAL],0),3)</f>
        <v>301010064</v>
      </c>
      <c r="J345" s="11">
        <f>INDEX(tbCadastroConsultas[],MATCH(tbConsultas[[#This Row],[PROFISSIONAL]],tbCadastroConsultas[PROFISSIONAL],0),4)</f>
        <v>225124</v>
      </c>
    </row>
    <row r="346" spans="1:10">
      <c r="A346" s="11">
        <f t="shared" si="26"/>
        <v>345</v>
      </c>
      <c r="B346" s="4" t="s">
        <v>7</v>
      </c>
      <c r="C346" s="5">
        <v>12102013</v>
      </c>
      <c r="D346" s="5">
        <v>21052018</v>
      </c>
      <c r="E346" s="4">
        <v>4</v>
      </c>
      <c r="F346" s="15">
        <f t="shared" si="23"/>
        <v>43271</v>
      </c>
      <c r="G346" s="12">
        <f t="shared" si="24"/>
        <v>2018</v>
      </c>
      <c r="H346" s="12" t="str">
        <f t="shared" si="25"/>
        <v>Junho</v>
      </c>
      <c r="I346" s="11">
        <f>INDEX(tbCadastroConsultas[],MATCH(tbConsultas[[#This Row],[PROFISSIONAL]],tbCadastroConsultas[PROFISSIONAL],0),3)</f>
        <v>301010064</v>
      </c>
      <c r="J346" s="11">
        <f>INDEX(tbCadastroConsultas[],MATCH(tbConsultas[[#This Row],[PROFISSIONAL]],tbCadastroConsultas[PROFISSIONAL],0),4)</f>
        <v>225124</v>
      </c>
    </row>
    <row r="347" spans="1:10">
      <c r="A347" s="11">
        <f t="shared" si="26"/>
        <v>346</v>
      </c>
      <c r="B347" s="4" t="s">
        <v>7</v>
      </c>
      <c r="C347" s="5">
        <v>9012010</v>
      </c>
      <c r="D347" s="5">
        <v>21052018</v>
      </c>
      <c r="E347" s="4">
        <v>8</v>
      </c>
      <c r="F347" s="15">
        <f t="shared" si="23"/>
        <v>43271</v>
      </c>
      <c r="G347" s="12">
        <f t="shared" si="24"/>
        <v>2018</v>
      </c>
      <c r="H347" s="12" t="str">
        <f t="shared" si="25"/>
        <v>Junho</v>
      </c>
      <c r="I347" s="11">
        <f>INDEX(tbCadastroConsultas[],MATCH(tbConsultas[[#This Row],[PROFISSIONAL]],tbCadastroConsultas[PROFISSIONAL],0),3)</f>
        <v>301010064</v>
      </c>
      <c r="J347" s="11">
        <f>INDEX(tbCadastroConsultas[],MATCH(tbConsultas[[#This Row],[PROFISSIONAL]],tbCadastroConsultas[PROFISSIONAL],0),4)</f>
        <v>225124</v>
      </c>
    </row>
    <row r="348" spans="1:10">
      <c r="A348" s="11">
        <f t="shared" si="26"/>
        <v>347</v>
      </c>
      <c r="B348" s="4" t="s">
        <v>7</v>
      </c>
      <c r="C348" s="5">
        <v>27032007</v>
      </c>
      <c r="D348" s="5">
        <v>21052018</v>
      </c>
      <c r="E348" s="4">
        <v>11</v>
      </c>
      <c r="F348" s="15">
        <f t="shared" si="23"/>
        <v>43271</v>
      </c>
      <c r="G348" s="12">
        <f t="shared" si="24"/>
        <v>2018</v>
      </c>
      <c r="H348" s="12" t="str">
        <f t="shared" si="25"/>
        <v>Junho</v>
      </c>
      <c r="I348" s="11">
        <f>INDEX(tbCadastroConsultas[],MATCH(tbConsultas[[#This Row],[PROFISSIONAL]],tbCadastroConsultas[PROFISSIONAL],0),3)</f>
        <v>301010064</v>
      </c>
      <c r="J348" s="11">
        <f>INDEX(tbCadastroConsultas[],MATCH(tbConsultas[[#This Row],[PROFISSIONAL]],tbCadastroConsultas[PROFISSIONAL],0),4)</f>
        <v>225124</v>
      </c>
    </row>
    <row r="349" spans="1:10">
      <c r="A349" s="11">
        <f t="shared" si="26"/>
        <v>348</v>
      </c>
      <c r="B349" s="4" t="s">
        <v>7</v>
      </c>
      <c r="C349" s="5">
        <v>14052015</v>
      </c>
      <c r="D349" s="5">
        <v>21052018</v>
      </c>
      <c r="E349" s="4">
        <v>3</v>
      </c>
      <c r="F349" s="15">
        <f t="shared" si="23"/>
        <v>43271</v>
      </c>
      <c r="G349" s="12">
        <f t="shared" si="24"/>
        <v>2018</v>
      </c>
      <c r="H349" s="12" t="str">
        <f t="shared" si="25"/>
        <v>Junho</v>
      </c>
      <c r="I349" s="11">
        <f>INDEX(tbCadastroConsultas[],MATCH(tbConsultas[[#This Row],[PROFISSIONAL]],tbCadastroConsultas[PROFISSIONAL],0),3)</f>
        <v>301010064</v>
      </c>
      <c r="J349" s="11">
        <f>INDEX(tbCadastroConsultas[],MATCH(tbConsultas[[#This Row],[PROFISSIONAL]],tbCadastroConsultas[PROFISSIONAL],0),4)</f>
        <v>225124</v>
      </c>
    </row>
    <row r="350" spans="1:10">
      <c r="A350" s="11">
        <f t="shared" si="26"/>
        <v>349</v>
      </c>
      <c r="B350" s="4" t="s">
        <v>7</v>
      </c>
      <c r="C350" s="5">
        <v>7032014</v>
      </c>
      <c r="D350" s="5">
        <v>21052018</v>
      </c>
      <c r="E350" s="4">
        <v>4</v>
      </c>
      <c r="F350" s="15">
        <f t="shared" si="23"/>
        <v>43271</v>
      </c>
      <c r="G350" s="12">
        <f t="shared" si="24"/>
        <v>2018</v>
      </c>
      <c r="H350" s="12" t="str">
        <f t="shared" si="25"/>
        <v>Junho</v>
      </c>
      <c r="I350" s="11">
        <f>INDEX(tbCadastroConsultas[],MATCH(tbConsultas[[#This Row],[PROFISSIONAL]],tbCadastroConsultas[PROFISSIONAL],0),3)</f>
        <v>301010064</v>
      </c>
      <c r="J350" s="11">
        <f>INDEX(tbCadastroConsultas[],MATCH(tbConsultas[[#This Row],[PROFISSIONAL]],tbCadastroConsultas[PROFISSIONAL],0),4)</f>
        <v>225124</v>
      </c>
    </row>
    <row r="351" spans="1:10">
      <c r="A351" s="11">
        <f t="shared" si="26"/>
        <v>350</v>
      </c>
      <c r="B351" s="4" t="s">
        <v>7</v>
      </c>
      <c r="C351" s="5">
        <v>13052010</v>
      </c>
      <c r="D351" s="5">
        <v>21052018</v>
      </c>
      <c r="E351" s="4">
        <v>8</v>
      </c>
      <c r="F351" s="15">
        <f t="shared" si="23"/>
        <v>43271</v>
      </c>
      <c r="G351" s="12">
        <f t="shared" si="24"/>
        <v>2018</v>
      </c>
      <c r="H351" s="12" t="str">
        <f t="shared" si="25"/>
        <v>Junho</v>
      </c>
      <c r="I351" s="11">
        <f>INDEX(tbCadastroConsultas[],MATCH(tbConsultas[[#This Row],[PROFISSIONAL]],tbCadastroConsultas[PROFISSIONAL],0),3)</f>
        <v>301010064</v>
      </c>
      <c r="J351" s="11">
        <f>INDEX(tbCadastroConsultas[],MATCH(tbConsultas[[#This Row],[PROFISSIONAL]],tbCadastroConsultas[PROFISSIONAL],0),4)</f>
        <v>225124</v>
      </c>
    </row>
    <row r="352" spans="1:10">
      <c r="A352" s="11">
        <f t="shared" si="26"/>
        <v>351</v>
      </c>
      <c r="B352" s="4" t="s">
        <v>7</v>
      </c>
      <c r="C352" s="5">
        <v>5032014</v>
      </c>
      <c r="D352" s="5">
        <v>21052018</v>
      </c>
      <c r="E352" s="4">
        <v>4</v>
      </c>
      <c r="F352" s="15">
        <f t="shared" si="23"/>
        <v>43271</v>
      </c>
      <c r="G352" s="12">
        <f t="shared" si="24"/>
        <v>2018</v>
      </c>
      <c r="H352" s="12" t="str">
        <f t="shared" si="25"/>
        <v>Junho</v>
      </c>
      <c r="I352" s="11">
        <f>INDEX(tbCadastroConsultas[],MATCH(tbConsultas[[#This Row],[PROFISSIONAL]],tbCadastroConsultas[PROFISSIONAL],0),3)</f>
        <v>301010064</v>
      </c>
      <c r="J352" s="11">
        <f>INDEX(tbCadastroConsultas[],MATCH(tbConsultas[[#This Row],[PROFISSIONAL]],tbCadastroConsultas[PROFISSIONAL],0),4)</f>
        <v>225124</v>
      </c>
    </row>
    <row r="353" spans="1:10">
      <c r="A353" s="11">
        <f t="shared" si="26"/>
        <v>352</v>
      </c>
      <c r="B353" s="4" t="s">
        <v>7</v>
      </c>
      <c r="C353" s="5">
        <v>8042016</v>
      </c>
      <c r="D353" s="5">
        <v>21052018</v>
      </c>
      <c r="E353" s="4">
        <v>2</v>
      </c>
      <c r="F353" s="15">
        <f t="shared" si="23"/>
        <v>43271</v>
      </c>
      <c r="G353" s="12">
        <f t="shared" si="24"/>
        <v>2018</v>
      </c>
      <c r="H353" s="12" t="str">
        <f t="shared" si="25"/>
        <v>Junho</v>
      </c>
      <c r="I353" s="11">
        <f>INDEX(tbCadastroConsultas[],MATCH(tbConsultas[[#This Row],[PROFISSIONAL]],tbCadastroConsultas[PROFISSIONAL],0),3)</f>
        <v>301010064</v>
      </c>
      <c r="J353" s="11">
        <f>INDEX(tbCadastroConsultas[],MATCH(tbConsultas[[#This Row],[PROFISSIONAL]],tbCadastroConsultas[PROFISSIONAL],0),4)</f>
        <v>225124</v>
      </c>
    </row>
    <row r="354" spans="1:10">
      <c r="A354" s="11">
        <f t="shared" si="26"/>
        <v>353</v>
      </c>
      <c r="B354" s="4" t="s">
        <v>7</v>
      </c>
      <c r="C354" s="5">
        <v>8052010</v>
      </c>
      <c r="D354" s="5">
        <v>21052018</v>
      </c>
      <c r="E354" s="4">
        <v>8</v>
      </c>
      <c r="F354" s="15">
        <f t="shared" si="23"/>
        <v>43271</v>
      </c>
      <c r="G354" s="12">
        <f t="shared" si="24"/>
        <v>2018</v>
      </c>
      <c r="H354" s="12" t="str">
        <f t="shared" si="25"/>
        <v>Junho</v>
      </c>
      <c r="I354" s="11">
        <f>INDEX(tbCadastroConsultas[],MATCH(tbConsultas[[#This Row],[PROFISSIONAL]],tbCadastroConsultas[PROFISSIONAL],0),3)</f>
        <v>301010064</v>
      </c>
      <c r="J354" s="11">
        <f>INDEX(tbCadastroConsultas[],MATCH(tbConsultas[[#This Row],[PROFISSIONAL]],tbCadastroConsultas[PROFISSIONAL],0),4)</f>
        <v>225124</v>
      </c>
    </row>
    <row r="355" spans="1:10">
      <c r="A355" s="11">
        <f t="shared" si="26"/>
        <v>354</v>
      </c>
      <c r="B355" s="4" t="s">
        <v>0</v>
      </c>
      <c r="C355" s="5">
        <v>12042018</v>
      </c>
      <c r="D355" s="5">
        <v>21052018</v>
      </c>
      <c r="E355" s="4">
        <v>0</v>
      </c>
      <c r="F355" s="15">
        <f t="shared" si="23"/>
        <v>43271</v>
      </c>
      <c r="G355" s="12">
        <f t="shared" si="24"/>
        <v>2018</v>
      </c>
      <c r="H355" s="12" t="str">
        <f t="shared" si="25"/>
        <v>Junho</v>
      </c>
      <c r="I355" s="11">
        <f>INDEX(tbCadastroConsultas[],MATCH(tbConsultas[[#This Row],[PROFISSIONAL]],tbCadastroConsultas[PROFISSIONAL],0),3)</f>
        <v>301010080</v>
      </c>
      <c r="J355" s="11">
        <f>INDEX(tbCadastroConsultas[],MATCH(tbConsultas[[#This Row],[PROFISSIONAL]],tbCadastroConsultas[PROFISSIONAL],0),4)</f>
        <v>225124</v>
      </c>
    </row>
    <row r="356" spans="1:10">
      <c r="A356" s="11">
        <f t="shared" si="26"/>
        <v>355</v>
      </c>
      <c r="B356" s="4" t="s">
        <v>0</v>
      </c>
      <c r="C356" s="5">
        <v>25032018</v>
      </c>
      <c r="D356" s="5">
        <v>21052018</v>
      </c>
      <c r="E356" s="4">
        <v>0</v>
      </c>
      <c r="F356" s="15">
        <f t="shared" si="23"/>
        <v>43271</v>
      </c>
      <c r="G356" s="12">
        <f t="shared" si="24"/>
        <v>2018</v>
      </c>
      <c r="H356" s="12" t="str">
        <f t="shared" si="25"/>
        <v>Junho</v>
      </c>
      <c r="I356" s="11">
        <f>INDEX(tbCadastroConsultas[],MATCH(tbConsultas[[#This Row],[PROFISSIONAL]],tbCadastroConsultas[PROFISSIONAL],0),3)</f>
        <v>301010080</v>
      </c>
      <c r="J356" s="11">
        <f>INDEX(tbCadastroConsultas[],MATCH(tbConsultas[[#This Row],[PROFISSIONAL]],tbCadastroConsultas[PROFISSIONAL],0),4)</f>
        <v>225124</v>
      </c>
    </row>
    <row r="357" spans="1:10">
      <c r="A357" s="11">
        <f t="shared" si="26"/>
        <v>356</v>
      </c>
      <c r="B357" s="4" t="s">
        <v>0</v>
      </c>
      <c r="C357" s="5">
        <v>29112017</v>
      </c>
      <c r="D357" s="5">
        <v>21052018</v>
      </c>
      <c r="E357" s="4">
        <v>0</v>
      </c>
      <c r="F357" s="15">
        <f t="shared" si="23"/>
        <v>43271</v>
      </c>
      <c r="G357" s="12">
        <f t="shared" si="24"/>
        <v>2018</v>
      </c>
      <c r="H357" s="12" t="str">
        <f t="shared" si="25"/>
        <v>Junho</v>
      </c>
      <c r="I357" s="11">
        <f>INDEX(tbCadastroConsultas[],MATCH(tbConsultas[[#This Row],[PROFISSIONAL]],tbCadastroConsultas[PROFISSIONAL],0),3)</f>
        <v>301010080</v>
      </c>
      <c r="J357" s="11">
        <f>INDEX(tbCadastroConsultas[],MATCH(tbConsultas[[#This Row],[PROFISSIONAL]],tbCadastroConsultas[PROFISSIONAL],0),4)</f>
        <v>225124</v>
      </c>
    </row>
    <row r="358" spans="1:10">
      <c r="A358" s="11">
        <f t="shared" si="26"/>
        <v>357</v>
      </c>
      <c r="B358" s="4" t="s">
        <v>14</v>
      </c>
      <c r="C358" s="5">
        <v>22011999</v>
      </c>
      <c r="D358" s="5">
        <v>21052018</v>
      </c>
      <c r="E358" s="4">
        <v>19</v>
      </c>
      <c r="F358" s="15">
        <f t="shared" si="23"/>
        <v>43271</v>
      </c>
      <c r="G358" s="12">
        <f t="shared" si="24"/>
        <v>2018</v>
      </c>
      <c r="H358" s="12" t="str">
        <f t="shared" si="25"/>
        <v>Junho</v>
      </c>
      <c r="I358" s="11">
        <f>INDEX(tbCadastroConsultas[],MATCH(tbConsultas[[#This Row],[PROFISSIONAL]],tbCadastroConsultas[PROFISSIONAL],0),3)</f>
        <v>301010110</v>
      </c>
      <c r="J358" s="11">
        <f>INDEX(tbCadastroConsultas[],MATCH(tbConsultas[[#This Row],[PROFISSIONAL]],tbCadastroConsultas[PROFISSIONAL],0),4)</f>
        <v>225142</v>
      </c>
    </row>
    <row r="359" spans="1:10">
      <c r="A359" s="11">
        <f t="shared" si="26"/>
        <v>358</v>
      </c>
      <c r="B359" s="4" t="s">
        <v>14</v>
      </c>
      <c r="C359" s="5">
        <v>22091993</v>
      </c>
      <c r="D359" s="5">
        <v>21052018</v>
      </c>
      <c r="E359" s="4">
        <v>24</v>
      </c>
      <c r="F359" s="15">
        <f t="shared" si="23"/>
        <v>43271</v>
      </c>
      <c r="G359" s="12">
        <f t="shared" si="24"/>
        <v>2018</v>
      </c>
      <c r="H359" s="12" t="str">
        <f t="shared" si="25"/>
        <v>Junho</v>
      </c>
      <c r="I359" s="11">
        <f>INDEX(tbCadastroConsultas[],MATCH(tbConsultas[[#This Row],[PROFISSIONAL]],tbCadastroConsultas[PROFISSIONAL],0),3)</f>
        <v>301010110</v>
      </c>
      <c r="J359" s="11">
        <f>INDEX(tbCadastroConsultas[],MATCH(tbConsultas[[#This Row],[PROFISSIONAL]],tbCadastroConsultas[PROFISSIONAL],0),4)</f>
        <v>225142</v>
      </c>
    </row>
    <row r="360" spans="1:10">
      <c r="A360" s="11">
        <f t="shared" si="26"/>
        <v>359</v>
      </c>
      <c r="B360" s="4" t="s">
        <v>14</v>
      </c>
      <c r="C360" s="5">
        <v>28081977</v>
      </c>
      <c r="D360" s="5">
        <v>21052018</v>
      </c>
      <c r="E360" s="4">
        <v>40</v>
      </c>
      <c r="F360" s="15">
        <f t="shared" si="23"/>
        <v>43271</v>
      </c>
      <c r="G360" s="12">
        <f t="shared" si="24"/>
        <v>2018</v>
      </c>
      <c r="H360" s="12" t="str">
        <f t="shared" si="25"/>
        <v>Junho</v>
      </c>
      <c r="I360" s="11">
        <f>INDEX(tbCadastroConsultas[],MATCH(tbConsultas[[#This Row],[PROFISSIONAL]],tbCadastroConsultas[PROFISSIONAL],0),3)</f>
        <v>301010110</v>
      </c>
      <c r="J360" s="11">
        <f>INDEX(tbCadastroConsultas[],MATCH(tbConsultas[[#This Row],[PROFISSIONAL]],tbCadastroConsultas[PROFISSIONAL],0),4)</f>
        <v>225142</v>
      </c>
    </row>
    <row r="361" spans="1:10">
      <c r="A361" s="11">
        <f t="shared" si="26"/>
        <v>360</v>
      </c>
      <c r="B361" s="4" t="s">
        <v>14</v>
      </c>
      <c r="C361" s="5">
        <v>10011983</v>
      </c>
      <c r="D361" s="5">
        <v>21052018</v>
      </c>
      <c r="E361" s="4">
        <v>35</v>
      </c>
      <c r="F361" s="15">
        <f t="shared" si="23"/>
        <v>43271</v>
      </c>
      <c r="G361" s="12">
        <f t="shared" si="24"/>
        <v>2018</v>
      </c>
      <c r="H361" s="12" t="str">
        <f t="shared" si="25"/>
        <v>Junho</v>
      </c>
      <c r="I361" s="11">
        <f>INDEX(tbCadastroConsultas[],MATCH(tbConsultas[[#This Row],[PROFISSIONAL]],tbCadastroConsultas[PROFISSIONAL],0),3)</f>
        <v>301010110</v>
      </c>
      <c r="J361" s="11">
        <f>INDEX(tbCadastroConsultas[],MATCH(tbConsultas[[#This Row],[PROFISSIONAL]],tbCadastroConsultas[PROFISSIONAL],0),4)</f>
        <v>225142</v>
      </c>
    </row>
    <row r="362" spans="1:10">
      <c r="A362" s="11">
        <f t="shared" si="26"/>
        <v>361</v>
      </c>
      <c r="B362" s="4" t="s">
        <v>10</v>
      </c>
      <c r="C362" s="5">
        <v>5071998</v>
      </c>
      <c r="D362" s="5">
        <v>21052018</v>
      </c>
      <c r="E362" s="4">
        <v>19</v>
      </c>
      <c r="F362" s="15">
        <f t="shared" si="23"/>
        <v>43271</v>
      </c>
      <c r="G362" s="12">
        <f t="shared" si="24"/>
        <v>2018</v>
      </c>
      <c r="H362" s="12" t="str">
        <f t="shared" si="25"/>
        <v>Junho</v>
      </c>
      <c r="I362" s="11">
        <f>INDEX(tbCadastroConsultas[],MATCH(tbConsultas[[#This Row],[PROFISSIONAL]],tbCadastroConsultas[PROFISSIONAL],0),3)</f>
        <v>301010064</v>
      </c>
      <c r="J362" s="11">
        <f>INDEX(tbCadastroConsultas[],MATCH(tbConsultas[[#This Row],[PROFISSIONAL]],tbCadastroConsultas[PROFISSIONAL],0),4)</f>
        <v>225142</v>
      </c>
    </row>
    <row r="363" spans="1:10">
      <c r="A363" s="11">
        <f t="shared" si="26"/>
        <v>362</v>
      </c>
      <c r="B363" s="4" t="s">
        <v>14</v>
      </c>
      <c r="C363" s="5">
        <v>1071981</v>
      </c>
      <c r="D363" s="5">
        <v>21052018</v>
      </c>
      <c r="E363" s="4">
        <v>36</v>
      </c>
      <c r="F363" s="15">
        <f t="shared" si="23"/>
        <v>43271</v>
      </c>
      <c r="G363" s="12">
        <f t="shared" si="24"/>
        <v>2018</v>
      </c>
      <c r="H363" s="12" t="str">
        <f t="shared" si="25"/>
        <v>Junho</v>
      </c>
      <c r="I363" s="11">
        <f>INDEX(tbCadastroConsultas[],MATCH(tbConsultas[[#This Row],[PROFISSIONAL]],tbCadastroConsultas[PROFISSIONAL],0),3)</f>
        <v>301010110</v>
      </c>
      <c r="J363" s="11">
        <f>INDEX(tbCadastroConsultas[],MATCH(tbConsultas[[#This Row],[PROFISSIONAL]],tbCadastroConsultas[PROFISSIONAL],0),4)</f>
        <v>225142</v>
      </c>
    </row>
    <row r="364" spans="1:10">
      <c r="A364" s="11">
        <f t="shared" si="26"/>
        <v>363</v>
      </c>
      <c r="B364" s="4" t="s">
        <v>14</v>
      </c>
      <c r="C364" s="5">
        <v>20111989</v>
      </c>
      <c r="D364" s="5">
        <v>21052018</v>
      </c>
      <c r="E364" s="4">
        <v>28</v>
      </c>
      <c r="F364" s="15">
        <f t="shared" si="23"/>
        <v>43271</v>
      </c>
      <c r="G364" s="12">
        <f t="shared" si="24"/>
        <v>2018</v>
      </c>
      <c r="H364" s="12" t="str">
        <f t="shared" si="25"/>
        <v>Junho</v>
      </c>
      <c r="I364" s="11">
        <f>INDEX(tbCadastroConsultas[],MATCH(tbConsultas[[#This Row],[PROFISSIONAL]],tbCadastroConsultas[PROFISSIONAL],0),3)</f>
        <v>301010110</v>
      </c>
      <c r="J364" s="11">
        <f>INDEX(tbCadastroConsultas[],MATCH(tbConsultas[[#This Row],[PROFISSIONAL]],tbCadastroConsultas[PROFISSIONAL],0),4)</f>
        <v>225142</v>
      </c>
    </row>
    <row r="365" spans="1:10">
      <c r="A365" s="11">
        <f t="shared" si="26"/>
        <v>364</v>
      </c>
      <c r="B365" s="4" t="s">
        <v>14</v>
      </c>
      <c r="C365" s="5">
        <v>14041983</v>
      </c>
      <c r="D365" s="5">
        <v>21052018</v>
      </c>
      <c r="E365" s="4">
        <v>35</v>
      </c>
      <c r="F365" s="15">
        <f t="shared" si="23"/>
        <v>43271</v>
      </c>
      <c r="G365" s="12">
        <f t="shared" si="24"/>
        <v>2018</v>
      </c>
      <c r="H365" s="12" t="str">
        <f t="shared" si="25"/>
        <v>Junho</v>
      </c>
      <c r="I365" s="11">
        <f>INDEX(tbCadastroConsultas[],MATCH(tbConsultas[[#This Row],[PROFISSIONAL]],tbCadastroConsultas[PROFISSIONAL],0),3)</f>
        <v>301010110</v>
      </c>
      <c r="J365" s="11">
        <f>INDEX(tbCadastroConsultas[],MATCH(tbConsultas[[#This Row],[PROFISSIONAL]],tbCadastroConsultas[PROFISSIONAL],0),4)</f>
        <v>225142</v>
      </c>
    </row>
    <row r="366" spans="1:10">
      <c r="A366" s="11">
        <f t="shared" si="26"/>
        <v>365</v>
      </c>
      <c r="B366" s="4" t="s">
        <v>14</v>
      </c>
      <c r="C366" s="5">
        <v>20051989</v>
      </c>
      <c r="D366" s="5">
        <v>21052018</v>
      </c>
      <c r="E366" s="4">
        <v>29</v>
      </c>
      <c r="F366" s="15">
        <f t="shared" si="23"/>
        <v>43271</v>
      </c>
      <c r="G366" s="12">
        <f t="shared" si="24"/>
        <v>2018</v>
      </c>
      <c r="H366" s="12" t="str">
        <f t="shared" si="25"/>
        <v>Junho</v>
      </c>
      <c r="I366" s="11">
        <f>INDEX(tbCadastroConsultas[],MATCH(tbConsultas[[#This Row],[PROFISSIONAL]],tbCadastroConsultas[PROFISSIONAL],0),3)</f>
        <v>301010110</v>
      </c>
      <c r="J366" s="11">
        <f>INDEX(tbCadastroConsultas[],MATCH(tbConsultas[[#This Row],[PROFISSIONAL]],tbCadastroConsultas[PROFISSIONAL],0),4)</f>
        <v>225142</v>
      </c>
    </row>
    <row r="367" spans="1:10">
      <c r="A367" s="11">
        <f t="shared" si="26"/>
        <v>366</v>
      </c>
      <c r="B367" s="4" t="s">
        <v>14</v>
      </c>
      <c r="C367" s="5">
        <v>6011999</v>
      </c>
      <c r="D367" s="5">
        <v>21052018</v>
      </c>
      <c r="E367" s="4">
        <v>19</v>
      </c>
      <c r="F367" s="15">
        <f t="shared" si="23"/>
        <v>43271</v>
      </c>
      <c r="G367" s="12">
        <f t="shared" si="24"/>
        <v>2018</v>
      </c>
      <c r="H367" s="12" t="str">
        <f t="shared" si="25"/>
        <v>Junho</v>
      </c>
      <c r="I367" s="11">
        <f>INDEX(tbCadastroConsultas[],MATCH(tbConsultas[[#This Row],[PROFISSIONAL]],tbCadastroConsultas[PROFISSIONAL],0),3)</f>
        <v>301010110</v>
      </c>
      <c r="J367" s="11">
        <f>INDEX(tbCadastroConsultas[],MATCH(tbConsultas[[#This Row],[PROFISSIONAL]],tbCadastroConsultas[PROFISSIONAL],0),4)</f>
        <v>225142</v>
      </c>
    </row>
    <row r="368" spans="1:10">
      <c r="A368" s="11">
        <f t="shared" si="26"/>
        <v>367</v>
      </c>
      <c r="B368" s="4" t="s">
        <v>14</v>
      </c>
      <c r="C368" s="5">
        <v>13011995</v>
      </c>
      <c r="D368" s="5">
        <v>21052018</v>
      </c>
      <c r="E368" s="4">
        <v>23</v>
      </c>
      <c r="F368" s="15">
        <f t="shared" si="23"/>
        <v>43271</v>
      </c>
      <c r="G368" s="12">
        <f t="shared" si="24"/>
        <v>2018</v>
      </c>
      <c r="H368" s="12" t="str">
        <f t="shared" si="25"/>
        <v>Junho</v>
      </c>
      <c r="I368" s="11">
        <f>INDEX(tbCadastroConsultas[],MATCH(tbConsultas[[#This Row],[PROFISSIONAL]],tbCadastroConsultas[PROFISSIONAL],0),3)</f>
        <v>301010110</v>
      </c>
      <c r="J368" s="11">
        <f>INDEX(tbCadastroConsultas[],MATCH(tbConsultas[[#This Row],[PROFISSIONAL]],tbCadastroConsultas[PROFISSIONAL],0),4)</f>
        <v>225142</v>
      </c>
    </row>
    <row r="369" spans="1:10">
      <c r="A369" s="11">
        <f t="shared" si="26"/>
        <v>368</v>
      </c>
      <c r="B369" s="4" t="s">
        <v>3</v>
      </c>
      <c r="C369" s="5">
        <v>18111988</v>
      </c>
      <c r="D369" s="5">
        <v>21052018</v>
      </c>
      <c r="E369" s="4">
        <v>29</v>
      </c>
      <c r="F369" s="15">
        <f t="shared" si="23"/>
        <v>43271</v>
      </c>
      <c r="G369" s="12">
        <f t="shared" si="24"/>
        <v>2018</v>
      </c>
      <c r="H369" s="12" t="str">
        <f t="shared" si="25"/>
        <v>Junho</v>
      </c>
      <c r="I369" s="11">
        <f>INDEX(tbCadastroConsultas[],MATCH(tbConsultas[[#This Row],[PROFISSIONAL]],tbCadastroConsultas[PROFISSIONAL],0),3)</f>
        <v>301010110</v>
      </c>
      <c r="J369" s="11">
        <f>INDEX(tbCadastroConsultas[],MATCH(tbConsultas[[#This Row],[PROFISSIONAL]],tbCadastroConsultas[PROFISSIONAL],0),4)</f>
        <v>225250</v>
      </c>
    </row>
    <row r="370" spans="1:10">
      <c r="A370" s="11">
        <f t="shared" si="26"/>
        <v>369</v>
      </c>
      <c r="B370" s="4" t="s">
        <v>4</v>
      </c>
      <c r="C370" s="5">
        <v>29091975</v>
      </c>
      <c r="D370" s="5">
        <v>21052018</v>
      </c>
      <c r="E370" s="4">
        <v>42</v>
      </c>
      <c r="F370" s="15">
        <f t="shared" si="23"/>
        <v>43271</v>
      </c>
      <c r="G370" s="12">
        <f t="shared" si="24"/>
        <v>2018</v>
      </c>
      <c r="H370" s="12" t="str">
        <f t="shared" si="25"/>
        <v>Junho</v>
      </c>
      <c r="I370" s="11">
        <f>INDEX(tbCadastroConsultas[],MATCH(tbConsultas[[#This Row],[PROFISSIONAL]],tbCadastroConsultas[PROFISSIONAL],0),3)</f>
        <v>301010064</v>
      </c>
      <c r="J370" s="11">
        <f>INDEX(tbCadastroConsultas[],MATCH(tbConsultas[[#This Row],[PROFISSIONAL]],tbCadastroConsultas[PROFISSIONAL],0),4)</f>
        <v>225250</v>
      </c>
    </row>
    <row r="371" spans="1:10">
      <c r="A371" s="11">
        <f t="shared" si="26"/>
        <v>370</v>
      </c>
      <c r="B371" s="4" t="s">
        <v>4</v>
      </c>
      <c r="C371" s="5">
        <v>25081973</v>
      </c>
      <c r="D371" s="5">
        <v>21052018</v>
      </c>
      <c r="E371" s="4">
        <v>44</v>
      </c>
      <c r="F371" s="15">
        <f t="shared" si="23"/>
        <v>43271</v>
      </c>
      <c r="G371" s="12">
        <f t="shared" si="24"/>
        <v>2018</v>
      </c>
      <c r="H371" s="12" t="str">
        <f t="shared" si="25"/>
        <v>Junho</v>
      </c>
      <c r="I371" s="11">
        <f>INDEX(tbCadastroConsultas[],MATCH(tbConsultas[[#This Row],[PROFISSIONAL]],tbCadastroConsultas[PROFISSIONAL],0),3)</f>
        <v>301010064</v>
      </c>
      <c r="J371" s="11">
        <f>INDEX(tbCadastroConsultas[],MATCH(tbConsultas[[#This Row],[PROFISSIONAL]],tbCadastroConsultas[PROFISSIONAL],0),4)</f>
        <v>225250</v>
      </c>
    </row>
    <row r="372" spans="1:10">
      <c r="A372" s="11">
        <f t="shared" si="26"/>
        <v>371</v>
      </c>
      <c r="B372" s="4" t="s">
        <v>4</v>
      </c>
      <c r="C372" s="5">
        <v>16091986</v>
      </c>
      <c r="D372" s="5">
        <v>21052018</v>
      </c>
      <c r="E372" s="4">
        <v>31</v>
      </c>
      <c r="F372" s="15">
        <f t="shared" si="23"/>
        <v>43271</v>
      </c>
      <c r="G372" s="12">
        <f t="shared" si="24"/>
        <v>2018</v>
      </c>
      <c r="H372" s="12" t="str">
        <f t="shared" si="25"/>
        <v>Junho</v>
      </c>
      <c r="I372" s="11">
        <f>INDEX(tbCadastroConsultas[],MATCH(tbConsultas[[#This Row],[PROFISSIONAL]],tbCadastroConsultas[PROFISSIONAL],0),3)</f>
        <v>301010064</v>
      </c>
      <c r="J372" s="11">
        <f>INDEX(tbCadastroConsultas[],MATCH(tbConsultas[[#This Row],[PROFISSIONAL]],tbCadastroConsultas[PROFISSIONAL],0),4)</f>
        <v>225250</v>
      </c>
    </row>
    <row r="373" spans="1:10">
      <c r="A373" s="11">
        <f t="shared" si="26"/>
        <v>372</v>
      </c>
      <c r="B373" s="4" t="s">
        <v>4</v>
      </c>
      <c r="C373" s="5">
        <v>14111967</v>
      </c>
      <c r="D373" s="5">
        <v>21052018</v>
      </c>
      <c r="E373" s="4">
        <v>50</v>
      </c>
      <c r="F373" s="15">
        <f t="shared" si="23"/>
        <v>43271</v>
      </c>
      <c r="G373" s="12">
        <f t="shared" si="24"/>
        <v>2018</v>
      </c>
      <c r="H373" s="12" t="str">
        <f t="shared" si="25"/>
        <v>Junho</v>
      </c>
      <c r="I373" s="11">
        <f>INDEX(tbCadastroConsultas[],MATCH(tbConsultas[[#This Row],[PROFISSIONAL]],tbCadastroConsultas[PROFISSIONAL],0),3)</f>
        <v>301010064</v>
      </c>
      <c r="J373" s="11">
        <f>INDEX(tbCadastroConsultas[],MATCH(tbConsultas[[#This Row],[PROFISSIONAL]],tbCadastroConsultas[PROFISSIONAL],0),4)</f>
        <v>225250</v>
      </c>
    </row>
    <row r="374" spans="1:10">
      <c r="A374" s="11">
        <f t="shared" ref="A374:A409" si="27">ROW() -1</f>
        <v>373</v>
      </c>
      <c r="B374" s="4" t="s">
        <v>4</v>
      </c>
      <c r="C374" s="5">
        <v>22031968</v>
      </c>
      <c r="D374" s="5">
        <v>21052018</v>
      </c>
      <c r="E374" s="4">
        <v>50</v>
      </c>
      <c r="F374" s="15">
        <f t="shared" si="23"/>
        <v>43271</v>
      </c>
      <c r="G374" s="12">
        <f t="shared" si="24"/>
        <v>2018</v>
      </c>
      <c r="H374" s="12" t="str">
        <f t="shared" si="25"/>
        <v>Junho</v>
      </c>
      <c r="I374" s="11">
        <f>INDEX(tbCadastroConsultas[],MATCH(tbConsultas[[#This Row],[PROFISSIONAL]],tbCadastroConsultas[PROFISSIONAL],0),3)</f>
        <v>301010064</v>
      </c>
      <c r="J374" s="11">
        <f>INDEX(tbCadastroConsultas[],MATCH(tbConsultas[[#This Row],[PROFISSIONAL]],tbCadastroConsultas[PROFISSIONAL],0),4)</f>
        <v>225250</v>
      </c>
    </row>
    <row r="375" spans="1:10">
      <c r="A375" s="11">
        <f t="shared" si="27"/>
        <v>374</v>
      </c>
      <c r="B375" s="4" t="s">
        <v>4</v>
      </c>
      <c r="C375" s="5">
        <v>6061995</v>
      </c>
      <c r="D375" s="5">
        <v>21052018</v>
      </c>
      <c r="E375" s="4">
        <v>22</v>
      </c>
      <c r="F375" s="15">
        <f t="shared" si="23"/>
        <v>43271</v>
      </c>
      <c r="G375" s="12">
        <f t="shared" si="24"/>
        <v>2018</v>
      </c>
      <c r="H375" s="12" t="str">
        <f t="shared" si="25"/>
        <v>Junho</v>
      </c>
      <c r="I375" s="11">
        <f>INDEX(tbCadastroConsultas[],MATCH(tbConsultas[[#This Row],[PROFISSIONAL]],tbCadastroConsultas[PROFISSIONAL],0),3)</f>
        <v>301010064</v>
      </c>
      <c r="J375" s="11">
        <f>INDEX(tbCadastroConsultas[],MATCH(tbConsultas[[#This Row],[PROFISSIONAL]],tbCadastroConsultas[PROFISSIONAL],0),4)</f>
        <v>225250</v>
      </c>
    </row>
    <row r="376" spans="1:10">
      <c r="A376" s="11">
        <f t="shared" si="27"/>
        <v>375</v>
      </c>
      <c r="B376" s="4" t="s">
        <v>4</v>
      </c>
      <c r="C376" s="5">
        <v>6081992</v>
      </c>
      <c r="D376" s="5">
        <v>21052018</v>
      </c>
      <c r="E376" s="4">
        <v>25</v>
      </c>
      <c r="F376" s="15">
        <f t="shared" si="23"/>
        <v>43271</v>
      </c>
      <c r="G376" s="12">
        <f t="shared" si="24"/>
        <v>2018</v>
      </c>
      <c r="H376" s="12" t="str">
        <f t="shared" si="25"/>
        <v>Junho</v>
      </c>
      <c r="I376" s="11">
        <f>INDEX(tbCadastroConsultas[],MATCH(tbConsultas[[#This Row],[PROFISSIONAL]],tbCadastroConsultas[PROFISSIONAL],0),3)</f>
        <v>301010064</v>
      </c>
      <c r="J376" s="11">
        <f>INDEX(tbCadastroConsultas[],MATCH(tbConsultas[[#This Row],[PROFISSIONAL]],tbCadastroConsultas[PROFISSIONAL],0),4)</f>
        <v>225250</v>
      </c>
    </row>
    <row r="377" spans="1:10">
      <c r="A377" s="11">
        <f t="shared" si="27"/>
        <v>376</v>
      </c>
      <c r="B377" s="4" t="s">
        <v>4</v>
      </c>
      <c r="C377" s="5">
        <v>23091994</v>
      </c>
      <c r="D377" s="5">
        <v>21052018</v>
      </c>
      <c r="E377" s="4">
        <v>23</v>
      </c>
      <c r="F377" s="15">
        <f t="shared" si="23"/>
        <v>43271</v>
      </c>
      <c r="G377" s="12">
        <f t="shared" si="24"/>
        <v>2018</v>
      </c>
      <c r="H377" s="12" t="str">
        <f t="shared" si="25"/>
        <v>Junho</v>
      </c>
      <c r="I377" s="11">
        <f>INDEX(tbCadastroConsultas[],MATCH(tbConsultas[[#This Row],[PROFISSIONAL]],tbCadastroConsultas[PROFISSIONAL],0),3)</f>
        <v>301010064</v>
      </c>
      <c r="J377" s="11">
        <f>INDEX(tbCadastroConsultas[],MATCH(tbConsultas[[#This Row],[PROFISSIONAL]],tbCadastroConsultas[PROFISSIONAL],0),4)</f>
        <v>225250</v>
      </c>
    </row>
    <row r="378" spans="1:10">
      <c r="A378" s="11">
        <f t="shared" si="27"/>
        <v>377</v>
      </c>
      <c r="B378" s="4" t="s">
        <v>4</v>
      </c>
      <c r="C378" s="5">
        <v>19011984</v>
      </c>
      <c r="D378" s="5">
        <v>21052018</v>
      </c>
      <c r="E378" s="4">
        <v>34</v>
      </c>
      <c r="F378" s="15">
        <f t="shared" si="23"/>
        <v>43271</v>
      </c>
      <c r="G378" s="12">
        <f t="shared" si="24"/>
        <v>2018</v>
      </c>
      <c r="H378" s="12" t="str">
        <f t="shared" si="25"/>
        <v>Junho</v>
      </c>
      <c r="I378" s="11">
        <f>INDEX(tbCadastroConsultas[],MATCH(tbConsultas[[#This Row],[PROFISSIONAL]],tbCadastroConsultas[PROFISSIONAL],0),3)</f>
        <v>301010064</v>
      </c>
      <c r="J378" s="11">
        <f>INDEX(tbCadastroConsultas[],MATCH(tbConsultas[[#This Row],[PROFISSIONAL]],tbCadastroConsultas[PROFISSIONAL],0),4)</f>
        <v>225250</v>
      </c>
    </row>
    <row r="379" spans="1:10">
      <c r="A379" s="11">
        <f t="shared" si="27"/>
        <v>378</v>
      </c>
      <c r="B379" s="4" t="s">
        <v>4</v>
      </c>
      <c r="C379" s="5">
        <v>8021996</v>
      </c>
      <c r="D379" s="5">
        <v>21052018</v>
      </c>
      <c r="E379" s="4">
        <v>22</v>
      </c>
      <c r="F379" s="15">
        <f t="shared" si="23"/>
        <v>43271</v>
      </c>
      <c r="G379" s="12">
        <f t="shared" si="24"/>
        <v>2018</v>
      </c>
      <c r="H379" s="12" t="str">
        <f t="shared" si="25"/>
        <v>Junho</v>
      </c>
      <c r="I379" s="11">
        <f>INDEX(tbCadastroConsultas[],MATCH(tbConsultas[[#This Row],[PROFISSIONAL]],tbCadastroConsultas[PROFISSIONAL],0),3)</f>
        <v>301010064</v>
      </c>
      <c r="J379" s="11">
        <f>INDEX(tbCadastroConsultas[],MATCH(tbConsultas[[#This Row],[PROFISSIONAL]],tbCadastroConsultas[PROFISSIONAL],0),4)</f>
        <v>225250</v>
      </c>
    </row>
    <row r="380" spans="1:10">
      <c r="A380" s="11">
        <f t="shared" si="27"/>
        <v>379</v>
      </c>
      <c r="B380" s="4" t="s">
        <v>4</v>
      </c>
      <c r="C380" s="5">
        <v>23081980</v>
      </c>
      <c r="D380" s="5">
        <v>21052018</v>
      </c>
      <c r="E380" s="4">
        <v>37</v>
      </c>
      <c r="F380" s="15">
        <f t="shared" si="23"/>
        <v>43271</v>
      </c>
      <c r="G380" s="12">
        <f t="shared" si="24"/>
        <v>2018</v>
      </c>
      <c r="H380" s="12" t="str">
        <f t="shared" si="25"/>
        <v>Junho</v>
      </c>
      <c r="I380" s="11">
        <f>INDEX(tbCadastroConsultas[],MATCH(tbConsultas[[#This Row],[PROFISSIONAL]],tbCadastroConsultas[PROFISSIONAL],0),3)</f>
        <v>301010064</v>
      </c>
      <c r="J380" s="11">
        <f>INDEX(tbCadastroConsultas[],MATCH(tbConsultas[[#This Row],[PROFISSIONAL]],tbCadastroConsultas[PROFISSIONAL],0),4)</f>
        <v>225250</v>
      </c>
    </row>
    <row r="381" spans="1:10">
      <c r="A381" s="11">
        <f t="shared" si="27"/>
        <v>380</v>
      </c>
      <c r="B381" s="4" t="s">
        <v>4</v>
      </c>
      <c r="C381" s="5">
        <v>18071988</v>
      </c>
      <c r="D381" s="5">
        <v>21052018</v>
      </c>
      <c r="E381" s="4">
        <v>29</v>
      </c>
      <c r="F381" s="15">
        <f t="shared" si="23"/>
        <v>43271</v>
      </c>
      <c r="G381" s="12">
        <f t="shared" si="24"/>
        <v>2018</v>
      </c>
      <c r="H381" s="12" t="str">
        <f t="shared" si="25"/>
        <v>Junho</v>
      </c>
      <c r="I381" s="11">
        <f>INDEX(tbCadastroConsultas[],MATCH(tbConsultas[[#This Row],[PROFISSIONAL]],tbCadastroConsultas[PROFISSIONAL],0),3)</f>
        <v>301010064</v>
      </c>
      <c r="J381" s="11">
        <f>INDEX(tbCadastroConsultas[],MATCH(tbConsultas[[#This Row],[PROFISSIONAL]],tbCadastroConsultas[PROFISSIONAL],0),4)</f>
        <v>225250</v>
      </c>
    </row>
    <row r="382" spans="1:10">
      <c r="A382" s="11">
        <f t="shared" si="27"/>
        <v>381</v>
      </c>
      <c r="B382" s="4" t="s">
        <v>4</v>
      </c>
      <c r="C382" s="5">
        <v>3121985</v>
      </c>
      <c r="D382" s="5">
        <v>21052018</v>
      </c>
      <c r="E382" s="4">
        <v>32</v>
      </c>
      <c r="F382" s="15">
        <f t="shared" si="23"/>
        <v>43271</v>
      </c>
      <c r="G382" s="12">
        <f t="shared" si="24"/>
        <v>2018</v>
      </c>
      <c r="H382" s="12" t="str">
        <f t="shared" si="25"/>
        <v>Junho</v>
      </c>
      <c r="I382" s="11">
        <f>INDEX(tbCadastroConsultas[],MATCH(tbConsultas[[#This Row],[PROFISSIONAL]],tbCadastroConsultas[PROFISSIONAL],0),3)</f>
        <v>301010064</v>
      </c>
      <c r="J382" s="11">
        <f>INDEX(tbCadastroConsultas[],MATCH(tbConsultas[[#This Row],[PROFISSIONAL]],tbCadastroConsultas[PROFISSIONAL],0),4)</f>
        <v>225250</v>
      </c>
    </row>
    <row r="383" spans="1:10">
      <c r="A383" s="11">
        <f t="shared" si="27"/>
        <v>382</v>
      </c>
      <c r="B383" s="4" t="s">
        <v>4</v>
      </c>
      <c r="C383" s="5">
        <v>21091988</v>
      </c>
      <c r="D383" s="5">
        <v>21052018</v>
      </c>
      <c r="E383" s="4">
        <v>29</v>
      </c>
      <c r="F383" s="15">
        <f t="shared" si="23"/>
        <v>43271</v>
      </c>
      <c r="G383" s="12">
        <f t="shared" si="24"/>
        <v>2018</v>
      </c>
      <c r="H383" s="12" t="str">
        <f t="shared" si="25"/>
        <v>Junho</v>
      </c>
      <c r="I383" s="11">
        <f>INDEX(tbCadastroConsultas[],MATCH(tbConsultas[[#This Row],[PROFISSIONAL]],tbCadastroConsultas[PROFISSIONAL],0),3)</f>
        <v>301010064</v>
      </c>
      <c r="J383" s="11">
        <f>INDEX(tbCadastroConsultas[],MATCH(tbConsultas[[#This Row],[PROFISSIONAL]],tbCadastroConsultas[PROFISSIONAL],0),4)</f>
        <v>225250</v>
      </c>
    </row>
    <row r="384" spans="1:10">
      <c r="A384" s="11">
        <f t="shared" si="27"/>
        <v>383</v>
      </c>
      <c r="B384" s="4" t="s">
        <v>4</v>
      </c>
      <c r="C384" s="5">
        <v>28021962</v>
      </c>
      <c r="D384" s="5">
        <v>21052018</v>
      </c>
      <c r="E384" s="4">
        <v>56</v>
      </c>
      <c r="F384" s="15">
        <f t="shared" si="23"/>
        <v>43271</v>
      </c>
      <c r="G384" s="12">
        <f t="shared" si="24"/>
        <v>2018</v>
      </c>
      <c r="H384" s="12" t="str">
        <f t="shared" si="25"/>
        <v>Junho</v>
      </c>
      <c r="I384" s="11">
        <f>INDEX(tbCadastroConsultas[],MATCH(tbConsultas[[#This Row],[PROFISSIONAL]],tbCadastroConsultas[PROFISSIONAL],0),3)</f>
        <v>301010064</v>
      </c>
      <c r="J384" s="11">
        <f>INDEX(tbCadastroConsultas[],MATCH(tbConsultas[[#This Row],[PROFISSIONAL]],tbCadastroConsultas[PROFISSIONAL],0),4)</f>
        <v>225250</v>
      </c>
    </row>
    <row r="385" spans="1:10">
      <c r="A385" s="11">
        <f t="shared" si="27"/>
        <v>384</v>
      </c>
      <c r="B385" s="4" t="s">
        <v>4</v>
      </c>
      <c r="C385" s="5">
        <v>9071983</v>
      </c>
      <c r="D385" s="5">
        <v>21052018</v>
      </c>
      <c r="E385" s="4">
        <v>34</v>
      </c>
      <c r="F385" s="15">
        <f t="shared" si="23"/>
        <v>43271</v>
      </c>
      <c r="G385" s="12">
        <f t="shared" si="24"/>
        <v>2018</v>
      </c>
      <c r="H385" s="12" t="str">
        <f t="shared" si="25"/>
        <v>Junho</v>
      </c>
      <c r="I385" s="11">
        <f>INDEX(tbCadastroConsultas[],MATCH(tbConsultas[[#This Row],[PROFISSIONAL]],tbCadastroConsultas[PROFISSIONAL],0),3)</f>
        <v>301010064</v>
      </c>
      <c r="J385" s="11">
        <f>INDEX(tbCadastroConsultas[],MATCH(tbConsultas[[#This Row],[PROFISSIONAL]],tbCadastroConsultas[PROFISSIONAL],0),4)</f>
        <v>225250</v>
      </c>
    </row>
    <row r="386" spans="1:10">
      <c r="A386" s="11">
        <f t="shared" si="27"/>
        <v>385</v>
      </c>
      <c r="B386" s="4" t="s">
        <v>4</v>
      </c>
      <c r="C386" s="5">
        <v>1061967</v>
      </c>
      <c r="D386" s="5">
        <v>21052018</v>
      </c>
      <c r="E386" s="4">
        <v>50</v>
      </c>
      <c r="F386" s="15">
        <f t="shared" ref="F386:F449" si="28">IF(D386="","",DATE(YEAR(TEXT(D386,"00\/00\/0000")),MONTH(TEXT(D386,"00\/00\/0000"))+1,20))</f>
        <v>43271</v>
      </c>
      <c r="G386" s="12">
        <f t="shared" ref="G386:G449" si="29">IF(F386="","",YEAR(F386))</f>
        <v>2018</v>
      </c>
      <c r="H386" s="12" t="str">
        <f t="shared" ref="H386:H449" si="30">PROPER(TEXT(F386,"mmmm"))</f>
        <v>Junho</v>
      </c>
      <c r="I386" s="11">
        <f>INDEX(tbCadastroConsultas[],MATCH(tbConsultas[[#This Row],[PROFISSIONAL]],tbCadastroConsultas[PROFISSIONAL],0),3)</f>
        <v>301010064</v>
      </c>
      <c r="J386" s="11">
        <f>INDEX(tbCadastroConsultas[],MATCH(tbConsultas[[#This Row],[PROFISSIONAL]],tbCadastroConsultas[PROFISSIONAL],0),4)</f>
        <v>225250</v>
      </c>
    </row>
    <row r="387" spans="1:10">
      <c r="A387" s="11">
        <f t="shared" si="27"/>
        <v>386</v>
      </c>
      <c r="B387" s="4" t="s">
        <v>4</v>
      </c>
      <c r="C387" s="5">
        <v>10081983</v>
      </c>
      <c r="D387" s="5">
        <v>21052018</v>
      </c>
      <c r="E387" s="4">
        <v>34</v>
      </c>
      <c r="F387" s="15">
        <f t="shared" si="28"/>
        <v>43271</v>
      </c>
      <c r="G387" s="12">
        <f t="shared" si="29"/>
        <v>2018</v>
      </c>
      <c r="H387" s="12" t="str">
        <f t="shared" si="30"/>
        <v>Junho</v>
      </c>
      <c r="I387" s="11">
        <f>INDEX(tbCadastroConsultas[],MATCH(tbConsultas[[#This Row],[PROFISSIONAL]],tbCadastroConsultas[PROFISSIONAL],0),3)</f>
        <v>301010064</v>
      </c>
      <c r="J387" s="11">
        <f>INDEX(tbCadastroConsultas[],MATCH(tbConsultas[[#This Row],[PROFISSIONAL]],tbCadastroConsultas[PROFISSIONAL],0),4)</f>
        <v>225250</v>
      </c>
    </row>
    <row r="388" spans="1:10">
      <c r="A388" s="11">
        <f t="shared" si="27"/>
        <v>387</v>
      </c>
      <c r="B388" s="4" t="s">
        <v>0</v>
      </c>
      <c r="C388" s="5">
        <v>18032018</v>
      </c>
      <c r="D388" s="5">
        <v>21052018</v>
      </c>
      <c r="E388" s="4">
        <v>0</v>
      </c>
      <c r="F388" s="15">
        <f t="shared" si="28"/>
        <v>43271</v>
      </c>
      <c r="G388" s="12">
        <f t="shared" si="29"/>
        <v>2018</v>
      </c>
      <c r="H388" s="12" t="str">
        <f t="shared" si="30"/>
        <v>Junho</v>
      </c>
      <c r="I388" s="11">
        <f>INDEX(tbCadastroConsultas[],MATCH(tbConsultas[[#This Row],[PROFISSIONAL]],tbCadastroConsultas[PROFISSIONAL],0),3)</f>
        <v>301010080</v>
      </c>
      <c r="J388" s="11">
        <f>INDEX(tbCadastroConsultas[],MATCH(tbConsultas[[#This Row],[PROFISSIONAL]],tbCadastroConsultas[PROFISSIONAL],0),4)</f>
        <v>225124</v>
      </c>
    </row>
    <row r="389" spans="1:10">
      <c r="A389" s="11">
        <f t="shared" si="27"/>
        <v>388</v>
      </c>
      <c r="B389" s="4" t="s">
        <v>0</v>
      </c>
      <c r="C389" s="5">
        <v>9052018</v>
      </c>
      <c r="D389" s="5">
        <v>21052018</v>
      </c>
      <c r="E389" s="4">
        <v>0</v>
      </c>
      <c r="F389" s="15">
        <f t="shared" si="28"/>
        <v>43271</v>
      </c>
      <c r="G389" s="12">
        <f t="shared" si="29"/>
        <v>2018</v>
      </c>
      <c r="H389" s="12" t="str">
        <f t="shared" si="30"/>
        <v>Junho</v>
      </c>
      <c r="I389" s="11">
        <f>INDEX(tbCadastroConsultas[],MATCH(tbConsultas[[#This Row],[PROFISSIONAL]],tbCadastroConsultas[PROFISSIONAL],0),3)</f>
        <v>301010080</v>
      </c>
      <c r="J389" s="11">
        <f>INDEX(tbCadastroConsultas[],MATCH(tbConsultas[[#This Row],[PROFISSIONAL]],tbCadastroConsultas[PROFISSIONAL],0),4)</f>
        <v>225124</v>
      </c>
    </row>
    <row r="390" spans="1:10">
      <c r="A390" s="11">
        <f t="shared" si="27"/>
        <v>389</v>
      </c>
      <c r="B390" s="4" t="s">
        <v>0</v>
      </c>
      <c r="C390" s="5">
        <v>29012018</v>
      </c>
      <c r="D390" s="5">
        <v>21052018</v>
      </c>
      <c r="E390" s="4">
        <v>0</v>
      </c>
      <c r="F390" s="15">
        <f t="shared" si="28"/>
        <v>43271</v>
      </c>
      <c r="G390" s="12">
        <f t="shared" si="29"/>
        <v>2018</v>
      </c>
      <c r="H390" s="12" t="str">
        <f t="shared" si="30"/>
        <v>Junho</v>
      </c>
      <c r="I390" s="11">
        <f>INDEX(tbCadastroConsultas[],MATCH(tbConsultas[[#This Row],[PROFISSIONAL]],tbCadastroConsultas[PROFISSIONAL],0),3)</f>
        <v>301010080</v>
      </c>
      <c r="J390" s="11">
        <f>INDEX(tbCadastroConsultas[],MATCH(tbConsultas[[#This Row],[PROFISSIONAL]],tbCadastroConsultas[PROFISSIONAL],0),4)</f>
        <v>225124</v>
      </c>
    </row>
    <row r="391" spans="1:10">
      <c r="A391" s="11">
        <f t="shared" si="27"/>
        <v>390</v>
      </c>
      <c r="B391" s="4" t="s">
        <v>0</v>
      </c>
      <c r="C391" s="5">
        <v>1042018</v>
      </c>
      <c r="D391" s="5">
        <v>21052018</v>
      </c>
      <c r="E391" s="4">
        <v>0</v>
      </c>
      <c r="F391" s="15">
        <f t="shared" si="28"/>
        <v>43271</v>
      </c>
      <c r="G391" s="12">
        <f t="shared" si="29"/>
        <v>2018</v>
      </c>
      <c r="H391" s="12" t="str">
        <f t="shared" si="30"/>
        <v>Junho</v>
      </c>
      <c r="I391" s="11">
        <f>INDEX(tbCadastroConsultas[],MATCH(tbConsultas[[#This Row],[PROFISSIONAL]],tbCadastroConsultas[PROFISSIONAL],0),3)</f>
        <v>301010080</v>
      </c>
      <c r="J391" s="11">
        <f>INDEX(tbCadastroConsultas[],MATCH(tbConsultas[[#This Row],[PROFISSIONAL]],tbCadastroConsultas[PROFISSIONAL],0),4)</f>
        <v>225124</v>
      </c>
    </row>
    <row r="392" spans="1:10">
      <c r="A392" s="11">
        <f t="shared" si="27"/>
        <v>391</v>
      </c>
      <c r="B392" s="4" t="s">
        <v>0</v>
      </c>
      <c r="C392" s="5">
        <v>17112016</v>
      </c>
      <c r="D392" s="5">
        <v>21052018</v>
      </c>
      <c r="E392" s="4">
        <v>1</v>
      </c>
      <c r="F392" s="15">
        <f t="shared" si="28"/>
        <v>43271</v>
      </c>
      <c r="G392" s="12">
        <f t="shared" si="29"/>
        <v>2018</v>
      </c>
      <c r="H392" s="12" t="str">
        <f t="shared" si="30"/>
        <v>Junho</v>
      </c>
      <c r="I392" s="11">
        <f>INDEX(tbCadastroConsultas[],MATCH(tbConsultas[[#This Row],[PROFISSIONAL]],tbCadastroConsultas[PROFISSIONAL],0),3)</f>
        <v>301010080</v>
      </c>
      <c r="J392" s="11">
        <f>INDEX(tbCadastroConsultas[],MATCH(tbConsultas[[#This Row],[PROFISSIONAL]],tbCadastroConsultas[PROFISSIONAL],0),4)</f>
        <v>225124</v>
      </c>
    </row>
    <row r="393" spans="1:10">
      <c r="A393" s="11">
        <f t="shared" si="27"/>
        <v>392</v>
      </c>
      <c r="B393" s="4" t="s">
        <v>0</v>
      </c>
      <c r="C393" s="5">
        <v>12082016</v>
      </c>
      <c r="D393" s="5">
        <v>21052018</v>
      </c>
      <c r="E393" s="4">
        <v>1</v>
      </c>
      <c r="F393" s="15">
        <f t="shared" si="28"/>
        <v>43271</v>
      </c>
      <c r="G393" s="12">
        <f t="shared" si="29"/>
        <v>2018</v>
      </c>
      <c r="H393" s="12" t="str">
        <f t="shared" si="30"/>
        <v>Junho</v>
      </c>
      <c r="I393" s="11">
        <f>INDEX(tbCadastroConsultas[],MATCH(tbConsultas[[#This Row],[PROFISSIONAL]],tbCadastroConsultas[PROFISSIONAL],0),3)</f>
        <v>301010080</v>
      </c>
      <c r="J393" s="11">
        <f>INDEX(tbCadastroConsultas[],MATCH(tbConsultas[[#This Row],[PROFISSIONAL]],tbCadastroConsultas[PROFISSIONAL],0),4)</f>
        <v>225124</v>
      </c>
    </row>
    <row r="394" spans="1:10">
      <c r="A394" s="11">
        <f t="shared" si="27"/>
        <v>393</v>
      </c>
      <c r="B394" s="4" t="s">
        <v>0</v>
      </c>
      <c r="C394" s="5">
        <v>17042018</v>
      </c>
      <c r="D394" s="5">
        <v>21052018</v>
      </c>
      <c r="E394" s="4">
        <v>0</v>
      </c>
      <c r="F394" s="15">
        <f t="shared" si="28"/>
        <v>43271</v>
      </c>
      <c r="G394" s="12">
        <f t="shared" si="29"/>
        <v>2018</v>
      </c>
      <c r="H394" s="12" t="str">
        <f t="shared" si="30"/>
        <v>Junho</v>
      </c>
      <c r="I394" s="11">
        <f>INDEX(tbCadastroConsultas[],MATCH(tbConsultas[[#This Row],[PROFISSIONAL]],tbCadastroConsultas[PROFISSIONAL],0),3)</f>
        <v>301010080</v>
      </c>
      <c r="J394" s="11">
        <f>INDEX(tbCadastroConsultas[],MATCH(tbConsultas[[#This Row],[PROFISSIONAL]],tbCadastroConsultas[PROFISSIONAL],0),4)</f>
        <v>225124</v>
      </c>
    </row>
    <row r="395" spans="1:10">
      <c r="A395" s="11">
        <f t="shared" si="27"/>
        <v>394</v>
      </c>
      <c r="B395" s="4" t="s">
        <v>7</v>
      </c>
      <c r="C395" s="5">
        <v>29032016</v>
      </c>
      <c r="D395" s="5">
        <v>21052018</v>
      </c>
      <c r="E395" s="4">
        <v>2</v>
      </c>
      <c r="F395" s="15">
        <f t="shared" si="28"/>
        <v>43271</v>
      </c>
      <c r="G395" s="12">
        <f t="shared" si="29"/>
        <v>2018</v>
      </c>
      <c r="H395" s="12" t="str">
        <f t="shared" si="30"/>
        <v>Junho</v>
      </c>
      <c r="I395" s="11">
        <f>INDEX(tbCadastroConsultas[],MATCH(tbConsultas[[#This Row],[PROFISSIONAL]],tbCadastroConsultas[PROFISSIONAL],0),3)</f>
        <v>301010064</v>
      </c>
      <c r="J395" s="11">
        <f>INDEX(tbCadastroConsultas[],MATCH(tbConsultas[[#This Row],[PROFISSIONAL]],tbCadastroConsultas[PROFISSIONAL],0),4)</f>
        <v>225124</v>
      </c>
    </row>
    <row r="396" spans="1:10">
      <c r="A396" s="11">
        <f t="shared" si="27"/>
        <v>395</v>
      </c>
      <c r="B396" s="4" t="s">
        <v>7</v>
      </c>
      <c r="C396" s="5">
        <v>18052011</v>
      </c>
      <c r="D396" s="5">
        <v>21052018</v>
      </c>
      <c r="E396" s="4">
        <v>7</v>
      </c>
      <c r="F396" s="15">
        <f t="shared" si="28"/>
        <v>43271</v>
      </c>
      <c r="G396" s="12">
        <f t="shared" si="29"/>
        <v>2018</v>
      </c>
      <c r="H396" s="12" t="str">
        <f t="shared" si="30"/>
        <v>Junho</v>
      </c>
      <c r="I396" s="11">
        <f>INDEX(tbCadastroConsultas[],MATCH(tbConsultas[[#This Row],[PROFISSIONAL]],tbCadastroConsultas[PROFISSIONAL],0),3)</f>
        <v>301010064</v>
      </c>
      <c r="J396" s="11">
        <f>INDEX(tbCadastroConsultas[],MATCH(tbConsultas[[#This Row],[PROFISSIONAL]],tbCadastroConsultas[PROFISSIONAL],0),4)</f>
        <v>225124</v>
      </c>
    </row>
    <row r="397" spans="1:10">
      <c r="A397" s="11">
        <f t="shared" si="27"/>
        <v>396</v>
      </c>
      <c r="B397" s="4" t="s">
        <v>2</v>
      </c>
      <c r="C397" s="5">
        <v>20121973</v>
      </c>
      <c r="D397" s="5">
        <v>21052018</v>
      </c>
      <c r="E397" s="4">
        <v>44</v>
      </c>
      <c r="F397" s="15">
        <f t="shared" si="28"/>
        <v>43271</v>
      </c>
      <c r="G397" s="12">
        <f t="shared" si="29"/>
        <v>2018</v>
      </c>
      <c r="H397" s="12" t="str">
        <f t="shared" si="30"/>
        <v>Junho</v>
      </c>
      <c r="I397" s="11">
        <f>INDEX(tbCadastroConsultas[],MATCH(tbConsultas[[#This Row],[PROFISSIONAL]],tbCadastroConsultas[PROFISSIONAL],0),3)</f>
        <v>301010030</v>
      </c>
      <c r="J397" s="11">
        <f>INDEX(tbCadastroConsultas[],MATCH(tbConsultas[[#This Row],[PROFISSIONAL]],tbCadastroConsultas[PROFISSIONAL],0),4)</f>
        <v>223505</v>
      </c>
    </row>
    <row r="398" spans="1:10">
      <c r="A398" s="11">
        <f t="shared" si="27"/>
        <v>397</v>
      </c>
      <c r="B398" s="4" t="s">
        <v>2</v>
      </c>
      <c r="C398" s="5">
        <v>17011977</v>
      </c>
      <c r="D398" s="5">
        <v>21052018</v>
      </c>
      <c r="E398" s="4">
        <v>41</v>
      </c>
      <c r="F398" s="15">
        <f t="shared" si="28"/>
        <v>43271</v>
      </c>
      <c r="G398" s="12">
        <f t="shared" si="29"/>
        <v>2018</v>
      </c>
      <c r="H398" s="12" t="str">
        <f t="shared" si="30"/>
        <v>Junho</v>
      </c>
      <c r="I398" s="11">
        <f>INDEX(tbCadastroConsultas[],MATCH(tbConsultas[[#This Row],[PROFISSIONAL]],tbCadastroConsultas[PROFISSIONAL],0),3)</f>
        <v>301010030</v>
      </c>
      <c r="J398" s="11">
        <f>INDEX(tbCadastroConsultas[],MATCH(tbConsultas[[#This Row],[PROFISSIONAL]],tbCadastroConsultas[PROFISSIONAL],0),4)</f>
        <v>223505</v>
      </c>
    </row>
    <row r="399" spans="1:10">
      <c r="A399" s="11">
        <f t="shared" si="27"/>
        <v>398</v>
      </c>
      <c r="B399" s="4" t="s">
        <v>2</v>
      </c>
      <c r="C399" s="5">
        <v>8121950</v>
      </c>
      <c r="D399" s="5">
        <v>21052018</v>
      </c>
      <c r="E399" s="4">
        <v>67</v>
      </c>
      <c r="F399" s="15">
        <f t="shared" si="28"/>
        <v>43271</v>
      </c>
      <c r="G399" s="12">
        <f t="shared" si="29"/>
        <v>2018</v>
      </c>
      <c r="H399" s="12" t="str">
        <f t="shared" si="30"/>
        <v>Junho</v>
      </c>
      <c r="I399" s="11">
        <f>INDEX(tbCadastroConsultas[],MATCH(tbConsultas[[#This Row],[PROFISSIONAL]],tbCadastroConsultas[PROFISSIONAL],0),3)</f>
        <v>301010030</v>
      </c>
      <c r="J399" s="11">
        <f>INDEX(tbCadastroConsultas[],MATCH(tbConsultas[[#This Row],[PROFISSIONAL]],tbCadastroConsultas[PROFISSIONAL],0),4)</f>
        <v>223505</v>
      </c>
    </row>
    <row r="400" spans="1:10">
      <c r="A400" s="11">
        <f t="shared" si="27"/>
        <v>399</v>
      </c>
      <c r="B400" s="4" t="s">
        <v>2</v>
      </c>
      <c r="C400" s="5">
        <v>19011967</v>
      </c>
      <c r="D400" s="5">
        <v>21052018</v>
      </c>
      <c r="E400" s="4">
        <v>51</v>
      </c>
      <c r="F400" s="15">
        <f t="shared" si="28"/>
        <v>43271</v>
      </c>
      <c r="G400" s="12">
        <f t="shared" si="29"/>
        <v>2018</v>
      </c>
      <c r="H400" s="12" t="str">
        <f t="shared" si="30"/>
        <v>Junho</v>
      </c>
      <c r="I400" s="11">
        <f>INDEX(tbCadastroConsultas[],MATCH(tbConsultas[[#This Row],[PROFISSIONAL]],tbCadastroConsultas[PROFISSIONAL],0),3)</f>
        <v>301010030</v>
      </c>
      <c r="J400" s="11">
        <f>INDEX(tbCadastroConsultas[],MATCH(tbConsultas[[#This Row],[PROFISSIONAL]],tbCadastroConsultas[PROFISSIONAL],0),4)</f>
        <v>223505</v>
      </c>
    </row>
    <row r="401" spans="1:10">
      <c r="A401" s="11">
        <f t="shared" si="27"/>
        <v>400</v>
      </c>
      <c r="B401" s="4" t="s">
        <v>2</v>
      </c>
      <c r="C401" s="5">
        <v>2031995</v>
      </c>
      <c r="D401" s="5">
        <v>21052018</v>
      </c>
      <c r="E401" s="4">
        <v>23</v>
      </c>
      <c r="F401" s="15">
        <f t="shared" si="28"/>
        <v>43271</v>
      </c>
      <c r="G401" s="12">
        <f t="shared" si="29"/>
        <v>2018</v>
      </c>
      <c r="H401" s="12" t="str">
        <f t="shared" si="30"/>
        <v>Junho</v>
      </c>
      <c r="I401" s="11">
        <f>INDEX(tbCadastroConsultas[],MATCH(tbConsultas[[#This Row],[PROFISSIONAL]],tbCadastroConsultas[PROFISSIONAL],0),3)</f>
        <v>301010030</v>
      </c>
      <c r="J401" s="11">
        <f>INDEX(tbCadastroConsultas[],MATCH(tbConsultas[[#This Row],[PROFISSIONAL]],tbCadastroConsultas[PROFISSIONAL],0),4)</f>
        <v>223505</v>
      </c>
    </row>
    <row r="402" spans="1:10">
      <c r="A402" s="11">
        <f t="shared" si="27"/>
        <v>401</v>
      </c>
      <c r="B402" s="4" t="s">
        <v>2</v>
      </c>
      <c r="C402" s="5">
        <v>11121990</v>
      </c>
      <c r="D402" s="5">
        <v>21052018</v>
      </c>
      <c r="E402" s="4">
        <v>27</v>
      </c>
      <c r="F402" s="15">
        <f t="shared" si="28"/>
        <v>43271</v>
      </c>
      <c r="G402" s="12">
        <f t="shared" si="29"/>
        <v>2018</v>
      </c>
      <c r="H402" s="12" t="str">
        <f t="shared" si="30"/>
        <v>Junho</v>
      </c>
      <c r="I402" s="11">
        <f>INDEX(tbCadastroConsultas[],MATCH(tbConsultas[[#This Row],[PROFISSIONAL]],tbCadastroConsultas[PROFISSIONAL],0),3)</f>
        <v>301010030</v>
      </c>
      <c r="J402" s="11">
        <f>INDEX(tbCadastroConsultas[],MATCH(tbConsultas[[#This Row],[PROFISSIONAL]],tbCadastroConsultas[PROFISSIONAL],0),4)</f>
        <v>223505</v>
      </c>
    </row>
    <row r="403" spans="1:10">
      <c r="A403" s="11">
        <f t="shared" si="27"/>
        <v>402</v>
      </c>
      <c r="B403" s="4" t="s">
        <v>2</v>
      </c>
      <c r="C403" s="5">
        <v>15121945</v>
      </c>
      <c r="D403" s="5">
        <v>21052018</v>
      </c>
      <c r="E403" s="4">
        <v>72</v>
      </c>
      <c r="F403" s="15">
        <f t="shared" si="28"/>
        <v>43271</v>
      </c>
      <c r="G403" s="12">
        <f t="shared" si="29"/>
        <v>2018</v>
      </c>
      <c r="H403" s="12" t="str">
        <f t="shared" si="30"/>
        <v>Junho</v>
      </c>
      <c r="I403" s="11">
        <f>INDEX(tbCadastroConsultas[],MATCH(tbConsultas[[#This Row],[PROFISSIONAL]],tbCadastroConsultas[PROFISSIONAL],0),3)</f>
        <v>301010030</v>
      </c>
      <c r="J403" s="11">
        <f>INDEX(tbCadastroConsultas[],MATCH(tbConsultas[[#This Row],[PROFISSIONAL]],tbCadastroConsultas[PROFISSIONAL],0),4)</f>
        <v>223505</v>
      </c>
    </row>
    <row r="404" spans="1:10">
      <c r="A404" s="11">
        <f t="shared" si="27"/>
        <v>403</v>
      </c>
      <c r="B404" s="4" t="s">
        <v>2</v>
      </c>
      <c r="C404" s="5">
        <v>18061956</v>
      </c>
      <c r="D404" s="5">
        <v>21052018</v>
      </c>
      <c r="E404" s="4">
        <v>61</v>
      </c>
      <c r="F404" s="15">
        <f t="shared" si="28"/>
        <v>43271</v>
      </c>
      <c r="G404" s="12">
        <f t="shared" si="29"/>
        <v>2018</v>
      </c>
      <c r="H404" s="12" t="str">
        <f t="shared" si="30"/>
        <v>Junho</v>
      </c>
      <c r="I404" s="11">
        <f>INDEX(tbCadastroConsultas[],MATCH(tbConsultas[[#This Row],[PROFISSIONAL]],tbCadastroConsultas[PROFISSIONAL],0),3)</f>
        <v>301010030</v>
      </c>
      <c r="J404" s="11">
        <f>INDEX(tbCadastroConsultas[],MATCH(tbConsultas[[#This Row],[PROFISSIONAL]],tbCadastroConsultas[PROFISSIONAL],0),4)</f>
        <v>223505</v>
      </c>
    </row>
    <row r="405" spans="1:10">
      <c r="A405" s="11">
        <f t="shared" si="27"/>
        <v>404</v>
      </c>
      <c r="B405" s="4" t="s">
        <v>1</v>
      </c>
      <c r="C405" s="5">
        <v>6041999</v>
      </c>
      <c r="D405" s="5">
        <v>21052018</v>
      </c>
      <c r="E405" s="4">
        <v>19</v>
      </c>
      <c r="F405" s="15">
        <f t="shared" si="28"/>
        <v>43271</v>
      </c>
      <c r="G405" s="12">
        <f t="shared" si="29"/>
        <v>2018</v>
      </c>
      <c r="H405" s="12" t="str">
        <f t="shared" si="30"/>
        <v>Junho</v>
      </c>
      <c r="I405" s="11">
        <f>INDEX(tbCadastroConsultas[],MATCH(tbConsultas[[#This Row],[PROFISSIONAL]],tbCadastroConsultas[PROFISSIONAL],0),3)</f>
        <v>301010030</v>
      </c>
      <c r="J405" s="11">
        <f>INDEX(tbCadastroConsultas[],MATCH(tbConsultas[[#This Row],[PROFISSIONAL]],tbCadastroConsultas[PROFISSIONAL],0),4)</f>
        <v>251510</v>
      </c>
    </row>
    <row r="406" spans="1:10">
      <c r="A406" s="11">
        <f t="shared" si="27"/>
        <v>405</v>
      </c>
      <c r="B406" s="4" t="s">
        <v>1</v>
      </c>
      <c r="C406" s="5">
        <v>12122002</v>
      </c>
      <c r="D406" s="5">
        <v>21052018</v>
      </c>
      <c r="E406" s="4">
        <v>15</v>
      </c>
      <c r="F406" s="15">
        <f t="shared" si="28"/>
        <v>43271</v>
      </c>
      <c r="G406" s="12">
        <f t="shared" si="29"/>
        <v>2018</v>
      </c>
      <c r="H406" s="12" t="str">
        <f t="shared" si="30"/>
        <v>Junho</v>
      </c>
      <c r="I406" s="11">
        <f>INDEX(tbCadastroConsultas[],MATCH(tbConsultas[[#This Row],[PROFISSIONAL]],tbCadastroConsultas[PROFISSIONAL],0),3)</f>
        <v>301010030</v>
      </c>
      <c r="J406" s="11">
        <f>INDEX(tbCadastroConsultas[],MATCH(tbConsultas[[#This Row],[PROFISSIONAL]],tbCadastroConsultas[PROFISSIONAL],0),4)</f>
        <v>251510</v>
      </c>
    </row>
    <row r="407" spans="1:10">
      <c r="A407" s="11">
        <f t="shared" si="27"/>
        <v>406</v>
      </c>
      <c r="B407" s="4" t="s">
        <v>1</v>
      </c>
      <c r="C407" s="5">
        <v>9041977</v>
      </c>
      <c r="D407" s="5">
        <v>21052018</v>
      </c>
      <c r="E407" s="4">
        <v>41</v>
      </c>
      <c r="F407" s="15">
        <f t="shared" si="28"/>
        <v>43271</v>
      </c>
      <c r="G407" s="12">
        <f t="shared" si="29"/>
        <v>2018</v>
      </c>
      <c r="H407" s="12" t="str">
        <f t="shared" si="30"/>
        <v>Junho</v>
      </c>
      <c r="I407" s="11">
        <f>INDEX(tbCadastroConsultas[],MATCH(tbConsultas[[#This Row],[PROFISSIONAL]],tbCadastroConsultas[PROFISSIONAL],0),3)</f>
        <v>301010030</v>
      </c>
      <c r="J407" s="11">
        <f>INDEX(tbCadastroConsultas[],MATCH(tbConsultas[[#This Row],[PROFISSIONAL]],tbCadastroConsultas[PROFISSIONAL],0),4)</f>
        <v>251510</v>
      </c>
    </row>
    <row r="408" spans="1:10">
      <c r="A408" s="11">
        <f t="shared" si="27"/>
        <v>407</v>
      </c>
      <c r="B408" s="4" t="s">
        <v>1</v>
      </c>
      <c r="C408" s="5">
        <v>8071964</v>
      </c>
      <c r="D408" s="5">
        <v>21052018</v>
      </c>
      <c r="E408" s="4">
        <v>53</v>
      </c>
      <c r="F408" s="15">
        <f t="shared" si="28"/>
        <v>43271</v>
      </c>
      <c r="G408" s="12">
        <f t="shared" si="29"/>
        <v>2018</v>
      </c>
      <c r="H408" s="12" t="str">
        <f t="shared" si="30"/>
        <v>Junho</v>
      </c>
      <c r="I408" s="11">
        <f>INDEX(tbCadastroConsultas[],MATCH(tbConsultas[[#This Row],[PROFISSIONAL]],tbCadastroConsultas[PROFISSIONAL],0),3)</f>
        <v>301010030</v>
      </c>
      <c r="J408" s="11">
        <f>INDEX(tbCadastroConsultas[],MATCH(tbConsultas[[#This Row],[PROFISSIONAL]],tbCadastroConsultas[PROFISSIONAL],0),4)</f>
        <v>251510</v>
      </c>
    </row>
    <row r="409" spans="1:10">
      <c r="A409" s="11">
        <f t="shared" si="27"/>
        <v>408</v>
      </c>
      <c r="B409" s="4" t="s">
        <v>1</v>
      </c>
      <c r="C409" s="5">
        <v>9071994</v>
      </c>
      <c r="D409" s="5">
        <v>21052018</v>
      </c>
      <c r="E409" s="4">
        <v>23</v>
      </c>
      <c r="F409" s="15">
        <f t="shared" si="28"/>
        <v>43271</v>
      </c>
      <c r="G409" s="12">
        <f t="shared" si="29"/>
        <v>2018</v>
      </c>
      <c r="H409" s="12" t="str">
        <f t="shared" si="30"/>
        <v>Junho</v>
      </c>
      <c r="I409" s="11">
        <f>INDEX(tbCadastroConsultas[],MATCH(tbConsultas[[#This Row],[PROFISSIONAL]],tbCadastroConsultas[PROFISSIONAL],0),3)</f>
        <v>301010030</v>
      </c>
      <c r="J409" s="11">
        <f>INDEX(tbCadastroConsultas[],MATCH(tbConsultas[[#This Row],[PROFISSIONAL]],tbCadastroConsultas[PROFISSIONAL],0),4)</f>
        <v>251510</v>
      </c>
    </row>
    <row r="410" spans="1:10">
      <c r="A410" s="11">
        <f t="shared" ref="A410:A441" si="31">ROW() -1</f>
        <v>409</v>
      </c>
      <c r="B410" s="4" t="s">
        <v>10</v>
      </c>
      <c r="C410" s="5">
        <v>25101944</v>
      </c>
      <c r="D410" s="5">
        <v>21052018</v>
      </c>
      <c r="E410" s="4">
        <v>73</v>
      </c>
      <c r="F410" s="15">
        <f t="shared" si="28"/>
        <v>43271</v>
      </c>
      <c r="G410" s="12">
        <f t="shared" si="29"/>
        <v>2018</v>
      </c>
      <c r="H410" s="12" t="str">
        <f t="shared" si="30"/>
        <v>Junho</v>
      </c>
      <c r="I410" s="11">
        <f>INDEX(tbCadastroConsultas[],MATCH(tbConsultas[[#This Row],[PROFISSIONAL]],tbCadastroConsultas[PROFISSIONAL],0),3)</f>
        <v>301010064</v>
      </c>
      <c r="J410" s="11">
        <f>INDEX(tbCadastroConsultas[],MATCH(tbConsultas[[#This Row],[PROFISSIONAL]],tbCadastroConsultas[PROFISSIONAL],0),4)</f>
        <v>225142</v>
      </c>
    </row>
    <row r="411" spans="1:10">
      <c r="A411" s="11">
        <f t="shared" si="31"/>
        <v>410</v>
      </c>
      <c r="B411" s="4" t="s">
        <v>10</v>
      </c>
      <c r="C411" s="5">
        <v>20031931</v>
      </c>
      <c r="D411" s="5">
        <v>21052018</v>
      </c>
      <c r="E411" s="4">
        <v>87</v>
      </c>
      <c r="F411" s="15">
        <f t="shared" si="28"/>
        <v>43271</v>
      </c>
      <c r="G411" s="12">
        <f t="shared" si="29"/>
        <v>2018</v>
      </c>
      <c r="H411" s="12" t="str">
        <f t="shared" si="30"/>
        <v>Junho</v>
      </c>
      <c r="I411" s="11">
        <f>INDEX(tbCadastroConsultas[],MATCH(tbConsultas[[#This Row],[PROFISSIONAL]],tbCadastroConsultas[PROFISSIONAL],0),3)</f>
        <v>301010064</v>
      </c>
      <c r="J411" s="11">
        <f>INDEX(tbCadastroConsultas[],MATCH(tbConsultas[[#This Row],[PROFISSIONAL]],tbCadastroConsultas[PROFISSIONAL],0),4)</f>
        <v>225142</v>
      </c>
    </row>
    <row r="412" spans="1:10">
      <c r="A412" s="11">
        <f t="shared" si="31"/>
        <v>411</v>
      </c>
      <c r="B412" s="4" t="s">
        <v>10</v>
      </c>
      <c r="C412" s="5">
        <v>29051936</v>
      </c>
      <c r="D412" s="5">
        <v>21052018</v>
      </c>
      <c r="E412" s="4">
        <v>81</v>
      </c>
      <c r="F412" s="15">
        <f t="shared" si="28"/>
        <v>43271</v>
      </c>
      <c r="G412" s="12">
        <f t="shared" si="29"/>
        <v>2018</v>
      </c>
      <c r="H412" s="12" t="str">
        <f t="shared" si="30"/>
        <v>Junho</v>
      </c>
      <c r="I412" s="11">
        <f>INDEX(tbCadastroConsultas[],MATCH(tbConsultas[[#This Row],[PROFISSIONAL]],tbCadastroConsultas[PROFISSIONAL],0),3)</f>
        <v>301010064</v>
      </c>
      <c r="J412" s="11">
        <f>INDEX(tbCadastroConsultas[],MATCH(tbConsultas[[#This Row],[PROFISSIONAL]],tbCadastroConsultas[PROFISSIONAL],0),4)</f>
        <v>225142</v>
      </c>
    </row>
    <row r="413" spans="1:10">
      <c r="A413" s="11">
        <f t="shared" si="31"/>
        <v>412</v>
      </c>
      <c r="B413" s="4" t="s">
        <v>10</v>
      </c>
      <c r="C413" s="5">
        <v>31121954</v>
      </c>
      <c r="D413" s="5">
        <v>21052018</v>
      </c>
      <c r="E413" s="4">
        <v>63</v>
      </c>
      <c r="F413" s="15">
        <f t="shared" si="28"/>
        <v>43271</v>
      </c>
      <c r="G413" s="12">
        <f t="shared" si="29"/>
        <v>2018</v>
      </c>
      <c r="H413" s="12" t="str">
        <f t="shared" si="30"/>
        <v>Junho</v>
      </c>
      <c r="I413" s="11">
        <f>INDEX(tbCadastroConsultas[],MATCH(tbConsultas[[#This Row],[PROFISSIONAL]],tbCadastroConsultas[PROFISSIONAL],0),3)</f>
        <v>301010064</v>
      </c>
      <c r="J413" s="11">
        <f>INDEX(tbCadastroConsultas[],MATCH(tbConsultas[[#This Row],[PROFISSIONAL]],tbCadastroConsultas[PROFISSIONAL],0),4)</f>
        <v>225142</v>
      </c>
    </row>
    <row r="414" spans="1:10">
      <c r="A414" s="11">
        <f t="shared" si="31"/>
        <v>413</v>
      </c>
      <c r="B414" s="4" t="s">
        <v>10</v>
      </c>
      <c r="C414" s="5">
        <v>9031972</v>
      </c>
      <c r="D414" s="5">
        <v>21052018</v>
      </c>
      <c r="E414" s="4">
        <v>46</v>
      </c>
      <c r="F414" s="15">
        <f t="shared" si="28"/>
        <v>43271</v>
      </c>
      <c r="G414" s="12">
        <f t="shared" si="29"/>
        <v>2018</v>
      </c>
      <c r="H414" s="12" t="str">
        <f t="shared" si="30"/>
        <v>Junho</v>
      </c>
      <c r="I414" s="11">
        <f>INDEX(tbCadastroConsultas[],MATCH(tbConsultas[[#This Row],[PROFISSIONAL]],tbCadastroConsultas[PROFISSIONAL],0),3)</f>
        <v>301010064</v>
      </c>
      <c r="J414" s="11">
        <f>INDEX(tbCadastroConsultas[],MATCH(tbConsultas[[#This Row],[PROFISSIONAL]],tbCadastroConsultas[PROFISSIONAL],0),4)</f>
        <v>225142</v>
      </c>
    </row>
    <row r="415" spans="1:10">
      <c r="A415" s="11">
        <f t="shared" si="31"/>
        <v>414</v>
      </c>
      <c r="B415" s="4" t="s">
        <v>10</v>
      </c>
      <c r="C415" s="5">
        <v>23021939</v>
      </c>
      <c r="D415" s="5">
        <v>21052018</v>
      </c>
      <c r="E415" s="4">
        <v>79</v>
      </c>
      <c r="F415" s="15">
        <f t="shared" si="28"/>
        <v>43271</v>
      </c>
      <c r="G415" s="12">
        <f t="shared" si="29"/>
        <v>2018</v>
      </c>
      <c r="H415" s="12" t="str">
        <f t="shared" si="30"/>
        <v>Junho</v>
      </c>
      <c r="I415" s="11">
        <f>INDEX(tbCadastroConsultas[],MATCH(tbConsultas[[#This Row],[PROFISSIONAL]],tbCadastroConsultas[PROFISSIONAL],0),3)</f>
        <v>301010064</v>
      </c>
      <c r="J415" s="11">
        <f>INDEX(tbCadastroConsultas[],MATCH(tbConsultas[[#This Row],[PROFISSIONAL]],tbCadastroConsultas[PROFISSIONAL],0),4)</f>
        <v>225142</v>
      </c>
    </row>
    <row r="416" spans="1:10">
      <c r="A416" s="11">
        <f t="shared" si="31"/>
        <v>415</v>
      </c>
      <c r="B416" s="4" t="s">
        <v>10</v>
      </c>
      <c r="C416" s="5">
        <v>28031998</v>
      </c>
      <c r="D416" s="5">
        <v>21052018</v>
      </c>
      <c r="E416" s="4">
        <v>20</v>
      </c>
      <c r="F416" s="15">
        <f t="shared" si="28"/>
        <v>43271</v>
      </c>
      <c r="G416" s="12">
        <f t="shared" si="29"/>
        <v>2018</v>
      </c>
      <c r="H416" s="12" t="str">
        <f t="shared" si="30"/>
        <v>Junho</v>
      </c>
      <c r="I416" s="11">
        <f>INDEX(tbCadastroConsultas[],MATCH(tbConsultas[[#This Row],[PROFISSIONAL]],tbCadastroConsultas[PROFISSIONAL],0),3)</f>
        <v>301010064</v>
      </c>
      <c r="J416" s="11">
        <f>INDEX(tbCadastroConsultas[],MATCH(tbConsultas[[#This Row],[PROFISSIONAL]],tbCadastroConsultas[PROFISSIONAL],0),4)</f>
        <v>225142</v>
      </c>
    </row>
    <row r="417" spans="1:10">
      <c r="A417" s="11">
        <f t="shared" si="31"/>
        <v>416</v>
      </c>
      <c r="B417" s="4" t="s">
        <v>10</v>
      </c>
      <c r="C417" s="5">
        <v>11122000</v>
      </c>
      <c r="D417" s="5">
        <v>21052018</v>
      </c>
      <c r="E417" s="4">
        <v>17</v>
      </c>
      <c r="F417" s="15">
        <f t="shared" si="28"/>
        <v>43271</v>
      </c>
      <c r="G417" s="12">
        <f t="shared" si="29"/>
        <v>2018</v>
      </c>
      <c r="H417" s="12" t="str">
        <f t="shared" si="30"/>
        <v>Junho</v>
      </c>
      <c r="I417" s="11">
        <f>INDEX(tbCadastroConsultas[],MATCH(tbConsultas[[#This Row],[PROFISSIONAL]],tbCadastroConsultas[PROFISSIONAL],0),3)</f>
        <v>301010064</v>
      </c>
      <c r="J417" s="11">
        <f>INDEX(tbCadastroConsultas[],MATCH(tbConsultas[[#This Row],[PROFISSIONAL]],tbCadastroConsultas[PROFISSIONAL],0),4)</f>
        <v>225142</v>
      </c>
    </row>
    <row r="418" spans="1:10">
      <c r="A418" s="11">
        <f t="shared" si="31"/>
        <v>417</v>
      </c>
      <c r="B418" s="4" t="s">
        <v>10</v>
      </c>
      <c r="C418" s="5">
        <v>4061978</v>
      </c>
      <c r="D418" s="5">
        <v>21052018</v>
      </c>
      <c r="E418" s="4">
        <v>39</v>
      </c>
      <c r="F418" s="15">
        <f t="shared" si="28"/>
        <v>43271</v>
      </c>
      <c r="G418" s="12">
        <f t="shared" si="29"/>
        <v>2018</v>
      </c>
      <c r="H418" s="12" t="str">
        <f t="shared" si="30"/>
        <v>Junho</v>
      </c>
      <c r="I418" s="11">
        <f>INDEX(tbCadastroConsultas[],MATCH(tbConsultas[[#This Row],[PROFISSIONAL]],tbCadastroConsultas[PROFISSIONAL],0),3)</f>
        <v>301010064</v>
      </c>
      <c r="J418" s="11">
        <f>INDEX(tbCadastroConsultas[],MATCH(tbConsultas[[#This Row],[PROFISSIONAL]],tbCadastroConsultas[PROFISSIONAL],0),4)</f>
        <v>225142</v>
      </c>
    </row>
    <row r="419" spans="1:10">
      <c r="A419" s="11">
        <f t="shared" si="31"/>
        <v>418</v>
      </c>
      <c r="B419" s="4" t="s">
        <v>10</v>
      </c>
      <c r="C419" s="5">
        <v>5111939</v>
      </c>
      <c r="D419" s="5">
        <v>21052018</v>
      </c>
      <c r="E419" s="4">
        <v>78</v>
      </c>
      <c r="F419" s="15">
        <f t="shared" si="28"/>
        <v>43271</v>
      </c>
      <c r="G419" s="12">
        <f t="shared" si="29"/>
        <v>2018</v>
      </c>
      <c r="H419" s="12" t="str">
        <f t="shared" si="30"/>
        <v>Junho</v>
      </c>
      <c r="I419" s="11">
        <f>INDEX(tbCadastroConsultas[],MATCH(tbConsultas[[#This Row],[PROFISSIONAL]],tbCadastroConsultas[PROFISSIONAL],0),3)</f>
        <v>301010064</v>
      </c>
      <c r="J419" s="11">
        <f>INDEX(tbCadastroConsultas[],MATCH(tbConsultas[[#This Row],[PROFISSIONAL]],tbCadastroConsultas[PROFISSIONAL],0),4)</f>
        <v>225142</v>
      </c>
    </row>
    <row r="420" spans="1:10">
      <c r="A420" s="11">
        <f t="shared" si="31"/>
        <v>419</v>
      </c>
      <c r="B420" s="4" t="s">
        <v>10</v>
      </c>
      <c r="C420" s="5">
        <v>8121940</v>
      </c>
      <c r="D420" s="5">
        <v>21052018</v>
      </c>
      <c r="E420" s="4">
        <v>77</v>
      </c>
      <c r="F420" s="15">
        <f t="shared" si="28"/>
        <v>43271</v>
      </c>
      <c r="G420" s="12">
        <f t="shared" si="29"/>
        <v>2018</v>
      </c>
      <c r="H420" s="12" t="str">
        <f t="shared" si="30"/>
        <v>Junho</v>
      </c>
      <c r="I420" s="11">
        <f>INDEX(tbCadastroConsultas[],MATCH(tbConsultas[[#This Row],[PROFISSIONAL]],tbCadastroConsultas[PROFISSIONAL],0),3)</f>
        <v>301010064</v>
      </c>
      <c r="J420" s="11">
        <f>INDEX(tbCadastroConsultas[],MATCH(tbConsultas[[#This Row],[PROFISSIONAL]],tbCadastroConsultas[PROFISSIONAL],0),4)</f>
        <v>225142</v>
      </c>
    </row>
    <row r="421" spans="1:10">
      <c r="A421" s="11">
        <f t="shared" si="31"/>
        <v>420</v>
      </c>
      <c r="B421" s="4" t="s">
        <v>10</v>
      </c>
      <c r="C421" s="5">
        <v>30121967</v>
      </c>
      <c r="D421" s="5">
        <v>21052018</v>
      </c>
      <c r="E421" s="4">
        <v>50</v>
      </c>
      <c r="F421" s="15">
        <f t="shared" si="28"/>
        <v>43271</v>
      </c>
      <c r="G421" s="12">
        <f t="shared" si="29"/>
        <v>2018</v>
      </c>
      <c r="H421" s="12" t="str">
        <f t="shared" si="30"/>
        <v>Junho</v>
      </c>
      <c r="I421" s="11">
        <f>INDEX(tbCadastroConsultas[],MATCH(tbConsultas[[#This Row],[PROFISSIONAL]],tbCadastroConsultas[PROFISSIONAL],0),3)</f>
        <v>301010064</v>
      </c>
      <c r="J421" s="11">
        <f>INDEX(tbCadastroConsultas[],MATCH(tbConsultas[[#This Row],[PROFISSIONAL]],tbCadastroConsultas[PROFISSIONAL],0),4)</f>
        <v>225142</v>
      </c>
    </row>
    <row r="422" spans="1:10">
      <c r="A422" s="11">
        <f t="shared" si="31"/>
        <v>421</v>
      </c>
      <c r="B422" s="4" t="s">
        <v>10</v>
      </c>
      <c r="C422" s="5">
        <v>4021962</v>
      </c>
      <c r="D422" s="5">
        <v>21052018</v>
      </c>
      <c r="E422" s="4">
        <v>56</v>
      </c>
      <c r="F422" s="15">
        <f t="shared" si="28"/>
        <v>43271</v>
      </c>
      <c r="G422" s="12">
        <f t="shared" si="29"/>
        <v>2018</v>
      </c>
      <c r="H422" s="12" t="str">
        <f t="shared" si="30"/>
        <v>Junho</v>
      </c>
      <c r="I422" s="11">
        <f>INDEX(tbCadastroConsultas[],MATCH(tbConsultas[[#This Row],[PROFISSIONAL]],tbCadastroConsultas[PROFISSIONAL],0),3)</f>
        <v>301010064</v>
      </c>
      <c r="J422" s="11">
        <f>INDEX(tbCadastroConsultas[],MATCH(tbConsultas[[#This Row],[PROFISSIONAL]],tbCadastroConsultas[PROFISSIONAL],0),4)</f>
        <v>225142</v>
      </c>
    </row>
    <row r="423" spans="1:10">
      <c r="A423" s="11">
        <f t="shared" si="31"/>
        <v>422</v>
      </c>
      <c r="B423" s="4" t="s">
        <v>10</v>
      </c>
      <c r="C423" s="5">
        <v>8111954</v>
      </c>
      <c r="D423" s="5">
        <v>21052018</v>
      </c>
      <c r="E423" s="4">
        <v>63</v>
      </c>
      <c r="F423" s="15">
        <f t="shared" si="28"/>
        <v>43271</v>
      </c>
      <c r="G423" s="12">
        <f t="shared" si="29"/>
        <v>2018</v>
      </c>
      <c r="H423" s="12" t="str">
        <f t="shared" si="30"/>
        <v>Junho</v>
      </c>
      <c r="I423" s="11">
        <f>INDEX(tbCadastroConsultas[],MATCH(tbConsultas[[#This Row],[PROFISSIONAL]],tbCadastroConsultas[PROFISSIONAL],0),3)</f>
        <v>301010064</v>
      </c>
      <c r="J423" s="11">
        <f>INDEX(tbCadastroConsultas[],MATCH(tbConsultas[[#This Row],[PROFISSIONAL]],tbCadastroConsultas[PROFISSIONAL],0),4)</f>
        <v>225142</v>
      </c>
    </row>
    <row r="424" spans="1:10">
      <c r="A424" s="11">
        <f t="shared" si="31"/>
        <v>423</v>
      </c>
      <c r="B424" s="4" t="s">
        <v>5</v>
      </c>
      <c r="C424" s="5">
        <v>15101967</v>
      </c>
      <c r="D424" s="5">
        <v>21052018</v>
      </c>
      <c r="E424" s="4">
        <v>50</v>
      </c>
      <c r="F424" s="15">
        <f t="shared" si="28"/>
        <v>43271</v>
      </c>
      <c r="G424" s="12">
        <f t="shared" si="29"/>
        <v>2018</v>
      </c>
      <c r="H424" s="12" t="str">
        <f t="shared" si="30"/>
        <v>Junho</v>
      </c>
      <c r="I424" s="11">
        <f>INDEX(tbCadastroConsultas[],MATCH(tbConsultas[[#This Row],[PROFISSIONAL]],tbCadastroConsultas[PROFISSIONAL],0),3)</f>
        <v>301010030</v>
      </c>
      <c r="J424" s="11">
        <f>INDEX(tbCadastroConsultas[],MATCH(tbConsultas[[#This Row],[PROFISSIONAL]],tbCadastroConsultas[PROFISSIONAL],0),4)</f>
        <v>223565</v>
      </c>
    </row>
    <row r="425" spans="1:10">
      <c r="A425" s="11">
        <f t="shared" si="31"/>
        <v>424</v>
      </c>
      <c r="B425" s="4" t="s">
        <v>5</v>
      </c>
      <c r="C425" s="5">
        <v>11122013</v>
      </c>
      <c r="D425" s="5">
        <v>21052018</v>
      </c>
      <c r="E425" s="4">
        <v>4</v>
      </c>
      <c r="F425" s="15">
        <f t="shared" si="28"/>
        <v>43271</v>
      </c>
      <c r="G425" s="12">
        <f t="shared" si="29"/>
        <v>2018</v>
      </c>
      <c r="H425" s="12" t="str">
        <f t="shared" si="30"/>
        <v>Junho</v>
      </c>
      <c r="I425" s="11">
        <f>INDEX(tbCadastroConsultas[],MATCH(tbConsultas[[#This Row],[PROFISSIONAL]],tbCadastroConsultas[PROFISSIONAL],0),3)</f>
        <v>301010030</v>
      </c>
      <c r="J425" s="11">
        <f>INDEX(tbCadastroConsultas[],MATCH(tbConsultas[[#This Row],[PROFISSIONAL]],tbCadastroConsultas[PROFISSIONAL],0),4)</f>
        <v>223565</v>
      </c>
    </row>
    <row r="426" spans="1:10">
      <c r="A426" s="11">
        <f t="shared" si="31"/>
        <v>425</v>
      </c>
      <c r="B426" s="4" t="s">
        <v>5</v>
      </c>
      <c r="C426" s="5">
        <v>12051964</v>
      </c>
      <c r="D426" s="5">
        <v>21052018</v>
      </c>
      <c r="E426" s="4">
        <v>54</v>
      </c>
      <c r="F426" s="15">
        <f t="shared" si="28"/>
        <v>43271</v>
      </c>
      <c r="G426" s="12">
        <f t="shared" si="29"/>
        <v>2018</v>
      </c>
      <c r="H426" s="12" t="str">
        <f t="shared" si="30"/>
        <v>Junho</v>
      </c>
      <c r="I426" s="11">
        <f>INDEX(tbCadastroConsultas[],MATCH(tbConsultas[[#This Row],[PROFISSIONAL]],tbCadastroConsultas[PROFISSIONAL],0),3)</f>
        <v>301010030</v>
      </c>
      <c r="J426" s="11">
        <f>INDEX(tbCadastroConsultas[],MATCH(tbConsultas[[#This Row],[PROFISSIONAL]],tbCadastroConsultas[PROFISSIONAL],0),4)</f>
        <v>223565</v>
      </c>
    </row>
    <row r="427" spans="1:10">
      <c r="A427" s="11">
        <f t="shared" si="31"/>
        <v>426</v>
      </c>
      <c r="B427" s="4" t="s">
        <v>5</v>
      </c>
      <c r="C427" s="5">
        <v>11122013</v>
      </c>
      <c r="D427" s="5">
        <v>21052018</v>
      </c>
      <c r="E427" s="4">
        <v>4</v>
      </c>
      <c r="F427" s="15">
        <f t="shared" si="28"/>
        <v>43271</v>
      </c>
      <c r="G427" s="12">
        <f t="shared" si="29"/>
        <v>2018</v>
      </c>
      <c r="H427" s="12" t="str">
        <f t="shared" si="30"/>
        <v>Junho</v>
      </c>
      <c r="I427" s="11">
        <f>INDEX(tbCadastroConsultas[],MATCH(tbConsultas[[#This Row],[PROFISSIONAL]],tbCadastroConsultas[PROFISSIONAL],0),3)</f>
        <v>301010030</v>
      </c>
      <c r="J427" s="11">
        <f>INDEX(tbCadastroConsultas[],MATCH(tbConsultas[[#This Row],[PROFISSIONAL]],tbCadastroConsultas[PROFISSIONAL],0),4)</f>
        <v>223565</v>
      </c>
    </row>
    <row r="428" spans="1:10">
      <c r="A428" s="11">
        <f t="shared" si="31"/>
        <v>427</v>
      </c>
      <c r="B428" s="4" t="s">
        <v>77</v>
      </c>
      <c r="C428" s="5">
        <v>25011996</v>
      </c>
      <c r="D428" s="5">
        <v>21052018</v>
      </c>
      <c r="E428" s="4">
        <v>22</v>
      </c>
      <c r="F428" s="15">
        <f t="shared" si="28"/>
        <v>43271</v>
      </c>
      <c r="G428" s="12">
        <f t="shared" si="29"/>
        <v>2018</v>
      </c>
      <c r="H428" s="12" t="str">
        <f t="shared" si="30"/>
        <v>Junho</v>
      </c>
      <c r="I428" s="11">
        <f>INDEX(tbCadastroConsultas[],MATCH(tbConsultas[[#This Row],[PROFISSIONAL]],tbCadastroConsultas[PROFISSIONAL],0),3)</f>
        <v>301010110</v>
      </c>
      <c r="J428" s="11">
        <f>INDEX(tbCadastroConsultas[],MATCH(tbConsultas[[#This Row],[PROFISSIONAL]],tbCadastroConsultas[PROFISSIONAL],0),4)</f>
        <v>223565</v>
      </c>
    </row>
    <row r="429" spans="1:10">
      <c r="A429" s="11">
        <f t="shared" si="31"/>
        <v>428</v>
      </c>
      <c r="B429" s="4" t="s">
        <v>77</v>
      </c>
      <c r="C429" s="5">
        <v>8041995</v>
      </c>
      <c r="D429" s="5">
        <v>21052018</v>
      </c>
      <c r="E429" s="4">
        <v>23</v>
      </c>
      <c r="F429" s="15">
        <f t="shared" si="28"/>
        <v>43271</v>
      </c>
      <c r="G429" s="12">
        <f t="shared" si="29"/>
        <v>2018</v>
      </c>
      <c r="H429" s="12" t="str">
        <f t="shared" si="30"/>
        <v>Junho</v>
      </c>
      <c r="I429" s="11">
        <f>INDEX(tbCadastroConsultas[],MATCH(tbConsultas[[#This Row],[PROFISSIONAL]],tbCadastroConsultas[PROFISSIONAL],0),3)</f>
        <v>301010110</v>
      </c>
      <c r="J429" s="11">
        <f>INDEX(tbCadastroConsultas[],MATCH(tbConsultas[[#This Row],[PROFISSIONAL]],tbCadastroConsultas[PROFISSIONAL],0),4)</f>
        <v>223565</v>
      </c>
    </row>
    <row r="430" spans="1:10">
      <c r="A430" s="11">
        <f t="shared" si="31"/>
        <v>429</v>
      </c>
      <c r="B430" s="4" t="s">
        <v>77</v>
      </c>
      <c r="C430" s="5">
        <v>26021996</v>
      </c>
      <c r="D430" s="5">
        <v>21052018</v>
      </c>
      <c r="E430" s="4">
        <v>22</v>
      </c>
      <c r="F430" s="15">
        <f t="shared" si="28"/>
        <v>43271</v>
      </c>
      <c r="G430" s="12">
        <f t="shared" si="29"/>
        <v>2018</v>
      </c>
      <c r="H430" s="12" t="str">
        <f t="shared" si="30"/>
        <v>Junho</v>
      </c>
      <c r="I430" s="11">
        <f>INDEX(tbCadastroConsultas[],MATCH(tbConsultas[[#This Row],[PROFISSIONAL]],tbCadastroConsultas[PROFISSIONAL],0),3)</f>
        <v>301010110</v>
      </c>
      <c r="J430" s="11">
        <f>INDEX(tbCadastroConsultas[],MATCH(tbConsultas[[#This Row],[PROFISSIONAL]],tbCadastroConsultas[PROFISSIONAL],0),4)</f>
        <v>223565</v>
      </c>
    </row>
    <row r="431" spans="1:10">
      <c r="A431" s="11">
        <f t="shared" si="31"/>
        <v>430</v>
      </c>
      <c r="B431" s="4" t="s">
        <v>5</v>
      </c>
      <c r="C431" s="5">
        <v>10061998</v>
      </c>
      <c r="D431" s="5">
        <v>21052018</v>
      </c>
      <c r="E431" s="4">
        <v>19</v>
      </c>
      <c r="F431" s="15">
        <f t="shared" si="28"/>
        <v>43271</v>
      </c>
      <c r="G431" s="12">
        <f t="shared" si="29"/>
        <v>2018</v>
      </c>
      <c r="H431" s="12" t="str">
        <f t="shared" si="30"/>
        <v>Junho</v>
      </c>
      <c r="I431" s="11">
        <f>INDEX(tbCadastroConsultas[],MATCH(tbConsultas[[#This Row],[PROFISSIONAL]],tbCadastroConsultas[PROFISSIONAL],0),3)</f>
        <v>301010030</v>
      </c>
      <c r="J431" s="11">
        <f>INDEX(tbCadastroConsultas[],MATCH(tbConsultas[[#This Row],[PROFISSIONAL]],tbCadastroConsultas[PROFISSIONAL],0),4)</f>
        <v>223565</v>
      </c>
    </row>
    <row r="432" spans="1:10">
      <c r="A432" s="11">
        <f t="shared" si="31"/>
        <v>431</v>
      </c>
      <c r="B432" s="4" t="s">
        <v>5</v>
      </c>
      <c r="C432" s="5">
        <v>28091945</v>
      </c>
      <c r="D432" s="5">
        <v>21052018</v>
      </c>
      <c r="E432" s="4">
        <v>72</v>
      </c>
      <c r="F432" s="15">
        <f t="shared" si="28"/>
        <v>43271</v>
      </c>
      <c r="G432" s="12">
        <f t="shared" si="29"/>
        <v>2018</v>
      </c>
      <c r="H432" s="12" t="str">
        <f t="shared" si="30"/>
        <v>Junho</v>
      </c>
      <c r="I432" s="11">
        <f>INDEX(tbCadastroConsultas[],MATCH(tbConsultas[[#This Row],[PROFISSIONAL]],tbCadastroConsultas[PROFISSIONAL],0),3)</f>
        <v>301010030</v>
      </c>
      <c r="J432" s="11">
        <f>INDEX(tbCadastroConsultas[],MATCH(tbConsultas[[#This Row],[PROFISSIONAL]],tbCadastroConsultas[PROFISSIONAL],0),4)</f>
        <v>223565</v>
      </c>
    </row>
    <row r="433" spans="1:10">
      <c r="A433" s="11">
        <f t="shared" si="31"/>
        <v>432</v>
      </c>
      <c r="B433" s="4" t="s">
        <v>5</v>
      </c>
      <c r="C433" s="5">
        <v>3101966</v>
      </c>
      <c r="D433" s="5">
        <v>21052018</v>
      </c>
      <c r="E433" s="4">
        <v>51</v>
      </c>
      <c r="F433" s="15">
        <f t="shared" si="28"/>
        <v>43271</v>
      </c>
      <c r="G433" s="12">
        <f t="shared" si="29"/>
        <v>2018</v>
      </c>
      <c r="H433" s="12" t="str">
        <f t="shared" si="30"/>
        <v>Junho</v>
      </c>
      <c r="I433" s="11">
        <f>INDEX(tbCadastroConsultas[],MATCH(tbConsultas[[#This Row],[PROFISSIONAL]],tbCadastroConsultas[PROFISSIONAL],0),3)</f>
        <v>301010030</v>
      </c>
      <c r="J433" s="11">
        <f>INDEX(tbCadastroConsultas[],MATCH(tbConsultas[[#This Row],[PROFISSIONAL]],tbCadastroConsultas[PROFISSIONAL],0),4)</f>
        <v>223565</v>
      </c>
    </row>
    <row r="434" spans="1:10">
      <c r="A434" s="11">
        <f t="shared" si="31"/>
        <v>433</v>
      </c>
      <c r="B434" s="4" t="s">
        <v>5</v>
      </c>
      <c r="C434" s="5">
        <v>24091932</v>
      </c>
      <c r="D434" s="5">
        <v>21052018</v>
      </c>
      <c r="E434" s="4">
        <v>85</v>
      </c>
      <c r="F434" s="15">
        <f t="shared" si="28"/>
        <v>43271</v>
      </c>
      <c r="G434" s="12">
        <f t="shared" si="29"/>
        <v>2018</v>
      </c>
      <c r="H434" s="12" t="str">
        <f t="shared" si="30"/>
        <v>Junho</v>
      </c>
      <c r="I434" s="11">
        <f>INDEX(tbCadastroConsultas[],MATCH(tbConsultas[[#This Row],[PROFISSIONAL]],tbCadastroConsultas[PROFISSIONAL],0),3)</f>
        <v>301010030</v>
      </c>
      <c r="J434" s="11">
        <f>INDEX(tbCadastroConsultas[],MATCH(tbConsultas[[#This Row],[PROFISSIONAL]],tbCadastroConsultas[PROFISSIONAL],0),4)</f>
        <v>223565</v>
      </c>
    </row>
    <row r="435" spans="1:10">
      <c r="A435" s="11">
        <f t="shared" si="31"/>
        <v>434</v>
      </c>
      <c r="B435" s="4" t="s">
        <v>5</v>
      </c>
      <c r="C435" s="5">
        <v>20061951</v>
      </c>
      <c r="D435" s="5">
        <v>21052018</v>
      </c>
      <c r="E435" s="4">
        <v>66</v>
      </c>
      <c r="F435" s="15">
        <f t="shared" si="28"/>
        <v>43271</v>
      </c>
      <c r="G435" s="12">
        <f t="shared" si="29"/>
        <v>2018</v>
      </c>
      <c r="H435" s="12" t="str">
        <f t="shared" si="30"/>
        <v>Junho</v>
      </c>
      <c r="I435" s="11">
        <f>INDEX(tbCadastroConsultas[],MATCH(tbConsultas[[#This Row],[PROFISSIONAL]],tbCadastroConsultas[PROFISSIONAL],0),3)</f>
        <v>301010030</v>
      </c>
      <c r="J435" s="11">
        <f>INDEX(tbCadastroConsultas[],MATCH(tbConsultas[[#This Row],[PROFISSIONAL]],tbCadastroConsultas[PROFISSIONAL],0),4)</f>
        <v>223565</v>
      </c>
    </row>
    <row r="436" spans="1:10">
      <c r="A436" s="11">
        <f t="shared" si="31"/>
        <v>435</v>
      </c>
      <c r="B436" s="4" t="s">
        <v>5</v>
      </c>
      <c r="C436" s="5">
        <v>17041983</v>
      </c>
      <c r="D436" s="5">
        <v>21052018</v>
      </c>
      <c r="E436" s="4">
        <v>35</v>
      </c>
      <c r="F436" s="15">
        <f t="shared" si="28"/>
        <v>43271</v>
      </c>
      <c r="G436" s="12">
        <f t="shared" si="29"/>
        <v>2018</v>
      </c>
      <c r="H436" s="12" t="str">
        <f t="shared" si="30"/>
        <v>Junho</v>
      </c>
      <c r="I436" s="11">
        <f>INDEX(tbCadastroConsultas[],MATCH(tbConsultas[[#This Row],[PROFISSIONAL]],tbCadastroConsultas[PROFISSIONAL],0),3)</f>
        <v>301010030</v>
      </c>
      <c r="J436" s="11">
        <f>INDEX(tbCadastroConsultas[],MATCH(tbConsultas[[#This Row],[PROFISSIONAL]],tbCadastroConsultas[PROFISSIONAL],0),4)</f>
        <v>223565</v>
      </c>
    </row>
    <row r="437" spans="1:10">
      <c r="A437" s="11">
        <f t="shared" si="31"/>
        <v>436</v>
      </c>
      <c r="B437" s="4" t="s">
        <v>5</v>
      </c>
      <c r="C437" s="5">
        <v>7071958</v>
      </c>
      <c r="D437" s="5">
        <v>21052018</v>
      </c>
      <c r="E437" s="4">
        <v>59</v>
      </c>
      <c r="F437" s="15">
        <f t="shared" si="28"/>
        <v>43271</v>
      </c>
      <c r="G437" s="12">
        <f t="shared" si="29"/>
        <v>2018</v>
      </c>
      <c r="H437" s="12" t="str">
        <f t="shared" si="30"/>
        <v>Junho</v>
      </c>
      <c r="I437" s="11">
        <f>INDEX(tbCadastroConsultas[],MATCH(tbConsultas[[#This Row],[PROFISSIONAL]],tbCadastroConsultas[PROFISSIONAL],0),3)</f>
        <v>301010030</v>
      </c>
      <c r="J437" s="11">
        <f>INDEX(tbCadastroConsultas[],MATCH(tbConsultas[[#This Row],[PROFISSIONAL]],tbCadastroConsultas[PROFISSIONAL],0),4)</f>
        <v>223565</v>
      </c>
    </row>
    <row r="438" spans="1:10">
      <c r="A438" s="11">
        <f t="shared" si="31"/>
        <v>437</v>
      </c>
      <c r="B438" s="4" t="s">
        <v>5</v>
      </c>
      <c r="C438" s="5">
        <v>8091948</v>
      </c>
      <c r="D438" s="5">
        <v>21052018</v>
      </c>
      <c r="E438" s="4">
        <v>69</v>
      </c>
      <c r="F438" s="15">
        <f t="shared" si="28"/>
        <v>43271</v>
      </c>
      <c r="G438" s="12">
        <f t="shared" si="29"/>
        <v>2018</v>
      </c>
      <c r="H438" s="12" t="str">
        <f t="shared" si="30"/>
        <v>Junho</v>
      </c>
      <c r="I438" s="11">
        <f>INDEX(tbCadastroConsultas[],MATCH(tbConsultas[[#This Row],[PROFISSIONAL]],tbCadastroConsultas[PROFISSIONAL],0),3)</f>
        <v>301010030</v>
      </c>
      <c r="J438" s="11">
        <f>INDEX(tbCadastroConsultas[],MATCH(tbConsultas[[#This Row],[PROFISSIONAL]],tbCadastroConsultas[PROFISSIONAL],0),4)</f>
        <v>223565</v>
      </c>
    </row>
    <row r="439" spans="1:10">
      <c r="A439" s="11">
        <f t="shared" si="31"/>
        <v>438</v>
      </c>
      <c r="B439" s="4" t="s">
        <v>5</v>
      </c>
      <c r="C439" s="5">
        <v>11011936</v>
      </c>
      <c r="D439" s="5">
        <v>21052018</v>
      </c>
      <c r="E439" s="4">
        <v>82</v>
      </c>
      <c r="F439" s="15">
        <f t="shared" si="28"/>
        <v>43271</v>
      </c>
      <c r="G439" s="12">
        <f t="shared" si="29"/>
        <v>2018</v>
      </c>
      <c r="H439" s="12" t="str">
        <f t="shared" si="30"/>
        <v>Junho</v>
      </c>
      <c r="I439" s="11">
        <f>INDEX(tbCadastroConsultas[],MATCH(tbConsultas[[#This Row],[PROFISSIONAL]],tbCadastroConsultas[PROFISSIONAL],0),3)</f>
        <v>301010030</v>
      </c>
      <c r="J439" s="11">
        <f>INDEX(tbCadastroConsultas[],MATCH(tbConsultas[[#This Row],[PROFISSIONAL]],tbCadastroConsultas[PROFISSIONAL],0),4)</f>
        <v>223565</v>
      </c>
    </row>
    <row r="440" spans="1:10">
      <c r="A440" s="11">
        <f t="shared" si="31"/>
        <v>439</v>
      </c>
      <c r="B440" s="4" t="s">
        <v>5</v>
      </c>
      <c r="C440" s="5">
        <v>23071979</v>
      </c>
      <c r="D440" s="5">
        <v>21052018</v>
      </c>
      <c r="E440" s="4">
        <v>38</v>
      </c>
      <c r="F440" s="15">
        <f t="shared" si="28"/>
        <v>43271</v>
      </c>
      <c r="G440" s="12">
        <f t="shared" si="29"/>
        <v>2018</v>
      </c>
      <c r="H440" s="12" t="str">
        <f t="shared" si="30"/>
        <v>Junho</v>
      </c>
      <c r="I440" s="11">
        <f>INDEX(tbCadastroConsultas[],MATCH(tbConsultas[[#This Row],[PROFISSIONAL]],tbCadastroConsultas[PROFISSIONAL],0),3)</f>
        <v>301010030</v>
      </c>
      <c r="J440" s="11">
        <f>INDEX(tbCadastroConsultas[],MATCH(tbConsultas[[#This Row],[PROFISSIONAL]],tbCadastroConsultas[PROFISSIONAL],0),4)</f>
        <v>223565</v>
      </c>
    </row>
    <row r="441" spans="1:10">
      <c r="A441" s="11">
        <f t="shared" si="31"/>
        <v>440</v>
      </c>
      <c r="B441" s="4" t="s">
        <v>5</v>
      </c>
      <c r="C441" s="5">
        <v>9051921</v>
      </c>
      <c r="D441" s="5">
        <v>21052018</v>
      </c>
      <c r="E441" s="4">
        <v>97</v>
      </c>
      <c r="F441" s="15">
        <f t="shared" si="28"/>
        <v>43271</v>
      </c>
      <c r="G441" s="12">
        <f t="shared" si="29"/>
        <v>2018</v>
      </c>
      <c r="H441" s="12" t="str">
        <f t="shared" si="30"/>
        <v>Junho</v>
      </c>
      <c r="I441" s="11">
        <f>INDEX(tbCadastroConsultas[],MATCH(tbConsultas[[#This Row],[PROFISSIONAL]],tbCadastroConsultas[PROFISSIONAL],0),3)</f>
        <v>301010030</v>
      </c>
      <c r="J441" s="11">
        <f>INDEX(tbCadastroConsultas[],MATCH(tbConsultas[[#This Row],[PROFISSIONAL]],tbCadastroConsultas[PROFISSIONAL],0),4)</f>
        <v>223565</v>
      </c>
    </row>
    <row r="442" spans="1:10">
      <c r="A442" s="11">
        <f t="shared" ref="A442:A473" si="32">ROW() -1</f>
        <v>441</v>
      </c>
      <c r="B442" s="4" t="s">
        <v>5</v>
      </c>
      <c r="C442" s="5">
        <v>14011950</v>
      </c>
      <c r="D442" s="5">
        <v>21052018</v>
      </c>
      <c r="E442" s="4">
        <v>68</v>
      </c>
      <c r="F442" s="15">
        <f t="shared" si="28"/>
        <v>43271</v>
      </c>
      <c r="G442" s="12">
        <f t="shared" si="29"/>
        <v>2018</v>
      </c>
      <c r="H442" s="12" t="str">
        <f t="shared" si="30"/>
        <v>Junho</v>
      </c>
      <c r="I442" s="11">
        <f>INDEX(tbCadastroConsultas[],MATCH(tbConsultas[[#This Row],[PROFISSIONAL]],tbCadastroConsultas[PROFISSIONAL],0),3)</f>
        <v>301010030</v>
      </c>
      <c r="J442" s="11">
        <f>INDEX(tbCadastroConsultas[],MATCH(tbConsultas[[#This Row],[PROFISSIONAL]],tbCadastroConsultas[PROFISSIONAL],0),4)</f>
        <v>223565</v>
      </c>
    </row>
    <row r="443" spans="1:10">
      <c r="A443" s="11">
        <f t="shared" si="32"/>
        <v>442</v>
      </c>
      <c r="B443" s="4" t="s">
        <v>5</v>
      </c>
      <c r="C443" s="5">
        <v>2051950</v>
      </c>
      <c r="D443" s="5">
        <v>21052018</v>
      </c>
      <c r="E443" s="4">
        <v>68</v>
      </c>
      <c r="F443" s="15">
        <f t="shared" si="28"/>
        <v>43271</v>
      </c>
      <c r="G443" s="12">
        <f t="shared" si="29"/>
        <v>2018</v>
      </c>
      <c r="H443" s="12" t="str">
        <f t="shared" si="30"/>
        <v>Junho</v>
      </c>
      <c r="I443" s="11">
        <f>INDEX(tbCadastroConsultas[],MATCH(tbConsultas[[#This Row],[PROFISSIONAL]],tbCadastroConsultas[PROFISSIONAL],0),3)</f>
        <v>301010030</v>
      </c>
      <c r="J443" s="11">
        <f>INDEX(tbCadastroConsultas[],MATCH(tbConsultas[[#This Row],[PROFISSIONAL]],tbCadastroConsultas[PROFISSIONAL],0),4)</f>
        <v>223565</v>
      </c>
    </row>
    <row r="444" spans="1:10">
      <c r="A444" s="11">
        <f t="shared" si="32"/>
        <v>443</v>
      </c>
      <c r="B444" s="4" t="s">
        <v>5</v>
      </c>
      <c r="C444" s="5">
        <v>11021963</v>
      </c>
      <c r="D444" s="5">
        <v>21052018</v>
      </c>
      <c r="E444" s="4">
        <v>55</v>
      </c>
      <c r="F444" s="15">
        <f t="shared" si="28"/>
        <v>43271</v>
      </c>
      <c r="G444" s="12">
        <f t="shared" si="29"/>
        <v>2018</v>
      </c>
      <c r="H444" s="12" t="str">
        <f t="shared" si="30"/>
        <v>Junho</v>
      </c>
      <c r="I444" s="11">
        <f>INDEX(tbCadastroConsultas[],MATCH(tbConsultas[[#This Row],[PROFISSIONAL]],tbCadastroConsultas[PROFISSIONAL],0),3)</f>
        <v>301010030</v>
      </c>
      <c r="J444" s="11">
        <f>INDEX(tbCadastroConsultas[],MATCH(tbConsultas[[#This Row],[PROFISSIONAL]],tbCadastroConsultas[PROFISSIONAL],0),4)</f>
        <v>223565</v>
      </c>
    </row>
    <row r="445" spans="1:10">
      <c r="A445" s="11">
        <f t="shared" si="32"/>
        <v>444</v>
      </c>
      <c r="B445" s="4" t="s">
        <v>5</v>
      </c>
      <c r="C445" s="5">
        <v>11071951</v>
      </c>
      <c r="D445" s="5">
        <v>21052018</v>
      </c>
      <c r="E445" s="4">
        <v>66</v>
      </c>
      <c r="F445" s="15">
        <f t="shared" si="28"/>
        <v>43271</v>
      </c>
      <c r="G445" s="12">
        <f t="shared" si="29"/>
        <v>2018</v>
      </c>
      <c r="H445" s="12" t="str">
        <f t="shared" si="30"/>
        <v>Junho</v>
      </c>
      <c r="I445" s="11">
        <f>INDEX(tbCadastroConsultas[],MATCH(tbConsultas[[#This Row],[PROFISSIONAL]],tbCadastroConsultas[PROFISSIONAL],0),3)</f>
        <v>301010030</v>
      </c>
      <c r="J445" s="11">
        <f>INDEX(tbCadastroConsultas[],MATCH(tbConsultas[[#This Row],[PROFISSIONAL]],tbCadastroConsultas[PROFISSIONAL],0),4)</f>
        <v>223565</v>
      </c>
    </row>
    <row r="446" spans="1:10">
      <c r="A446" s="11">
        <f t="shared" si="32"/>
        <v>445</v>
      </c>
      <c r="B446" s="4" t="s">
        <v>5</v>
      </c>
      <c r="C446" s="5">
        <v>22081958</v>
      </c>
      <c r="D446" s="5">
        <v>21052018</v>
      </c>
      <c r="E446" s="4">
        <v>59</v>
      </c>
      <c r="F446" s="15">
        <f t="shared" si="28"/>
        <v>43271</v>
      </c>
      <c r="G446" s="12">
        <f t="shared" si="29"/>
        <v>2018</v>
      </c>
      <c r="H446" s="12" t="str">
        <f t="shared" si="30"/>
        <v>Junho</v>
      </c>
      <c r="I446" s="11">
        <f>INDEX(tbCadastroConsultas[],MATCH(tbConsultas[[#This Row],[PROFISSIONAL]],tbCadastroConsultas[PROFISSIONAL],0),3)</f>
        <v>301010030</v>
      </c>
      <c r="J446" s="11">
        <f>INDEX(tbCadastroConsultas[],MATCH(tbConsultas[[#This Row],[PROFISSIONAL]],tbCadastroConsultas[PROFISSIONAL],0),4)</f>
        <v>223565</v>
      </c>
    </row>
    <row r="447" spans="1:10">
      <c r="A447" s="11">
        <f t="shared" si="32"/>
        <v>446</v>
      </c>
      <c r="B447" s="4" t="s">
        <v>5</v>
      </c>
      <c r="C447" s="5">
        <v>8121966</v>
      </c>
      <c r="D447" s="5">
        <v>21052018</v>
      </c>
      <c r="E447" s="4">
        <v>51</v>
      </c>
      <c r="F447" s="15">
        <f t="shared" si="28"/>
        <v>43271</v>
      </c>
      <c r="G447" s="12">
        <f t="shared" si="29"/>
        <v>2018</v>
      </c>
      <c r="H447" s="12" t="str">
        <f t="shared" si="30"/>
        <v>Junho</v>
      </c>
      <c r="I447" s="11">
        <f>INDEX(tbCadastroConsultas[],MATCH(tbConsultas[[#This Row],[PROFISSIONAL]],tbCadastroConsultas[PROFISSIONAL],0),3)</f>
        <v>301010030</v>
      </c>
      <c r="J447" s="11">
        <f>INDEX(tbCadastroConsultas[],MATCH(tbConsultas[[#This Row],[PROFISSIONAL]],tbCadastroConsultas[PROFISSIONAL],0),4)</f>
        <v>223565</v>
      </c>
    </row>
    <row r="448" spans="1:10">
      <c r="A448" s="11">
        <f t="shared" si="32"/>
        <v>447</v>
      </c>
      <c r="B448" s="4" t="s">
        <v>5</v>
      </c>
      <c r="C448" s="5">
        <v>10011958</v>
      </c>
      <c r="D448" s="5">
        <v>21052018</v>
      </c>
      <c r="E448" s="4">
        <v>60</v>
      </c>
      <c r="F448" s="15">
        <f t="shared" si="28"/>
        <v>43271</v>
      </c>
      <c r="G448" s="12">
        <f t="shared" si="29"/>
        <v>2018</v>
      </c>
      <c r="H448" s="12" t="str">
        <f t="shared" si="30"/>
        <v>Junho</v>
      </c>
      <c r="I448" s="11">
        <f>INDEX(tbCadastroConsultas[],MATCH(tbConsultas[[#This Row],[PROFISSIONAL]],tbCadastroConsultas[PROFISSIONAL],0),3)</f>
        <v>301010030</v>
      </c>
      <c r="J448" s="11">
        <f>INDEX(tbCadastroConsultas[],MATCH(tbConsultas[[#This Row],[PROFISSIONAL]],tbCadastroConsultas[PROFISSIONAL],0),4)</f>
        <v>223565</v>
      </c>
    </row>
    <row r="449" spans="1:10">
      <c r="A449" s="11">
        <f t="shared" si="32"/>
        <v>448</v>
      </c>
      <c r="B449" s="4" t="s">
        <v>5</v>
      </c>
      <c r="C449" s="5">
        <v>11071978</v>
      </c>
      <c r="D449" s="5">
        <v>21052018</v>
      </c>
      <c r="E449" s="4">
        <v>39</v>
      </c>
      <c r="F449" s="15">
        <f t="shared" si="28"/>
        <v>43271</v>
      </c>
      <c r="G449" s="12">
        <f t="shared" si="29"/>
        <v>2018</v>
      </c>
      <c r="H449" s="12" t="str">
        <f t="shared" si="30"/>
        <v>Junho</v>
      </c>
      <c r="I449" s="11">
        <f>INDEX(tbCadastroConsultas[],MATCH(tbConsultas[[#This Row],[PROFISSIONAL]],tbCadastroConsultas[PROFISSIONAL],0),3)</f>
        <v>301010030</v>
      </c>
      <c r="J449" s="11">
        <f>INDEX(tbCadastroConsultas[],MATCH(tbConsultas[[#This Row],[PROFISSIONAL]],tbCadastroConsultas[PROFISSIONAL],0),4)</f>
        <v>223565</v>
      </c>
    </row>
    <row r="450" spans="1:10">
      <c r="A450" s="11">
        <f t="shared" si="32"/>
        <v>449</v>
      </c>
      <c r="B450" s="4" t="s">
        <v>5</v>
      </c>
      <c r="C450" s="5">
        <v>15051942</v>
      </c>
      <c r="D450" s="5">
        <v>21052018</v>
      </c>
      <c r="E450" s="4">
        <v>76</v>
      </c>
      <c r="F450" s="15">
        <f t="shared" ref="F450:F513" si="33">IF(D450="","",DATE(YEAR(TEXT(D450,"00\/00\/0000")),MONTH(TEXT(D450,"00\/00\/0000"))+1,20))</f>
        <v>43271</v>
      </c>
      <c r="G450" s="12">
        <f t="shared" ref="G450:G513" si="34">IF(F450="","",YEAR(F450))</f>
        <v>2018</v>
      </c>
      <c r="H450" s="12" t="str">
        <f t="shared" ref="H450:H513" si="35">PROPER(TEXT(F450,"mmmm"))</f>
        <v>Junho</v>
      </c>
      <c r="I450" s="11">
        <f>INDEX(tbCadastroConsultas[],MATCH(tbConsultas[[#This Row],[PROFISSIONAL]],tbCadastroConsultas[PROFISSIONAL],0),3)</f>
        <v>301010030</v>
      </c>
      <c r="J450" s="11">
        <f>INDEX(tbCadastroConsultas[],MATCH(tbConsultas[[#This Row],[PROFISSIONAL]],tbCadastroConsultas[PROFISSIONAL],0),4)</f>
        <v>223565</v>
      </c>
    </row>
    <row r="451" spans="1:10">
      <c r="A451" s="11">
        <f t="shared" si="32"/>
        <v>450</v>
      </c>
      <c r="B451" s="4" t="s">
        <v>5</v>
      </c>
      <c r="C451" s="5">
        <v>30121959</v>
      </c>
      <c r="D451" s="5">
        <v>21052018</v>
      </c>
      <c r="E451" s="4">
        <v>58</v>
      </c>
      <c r="F451" s="15">
        <f t="shared" si="33"/>
        <v>43271</v>
      </c>
      <c r="G451" s="12">
        <f t="shared" si="34"/>
        <v>2018</v>
      </c>
      <c r="H451" s="12" t="str">
        <f t="shared" si="35"/>
        <v>Junho</v>
      </c>
      <c r="I451" s="11">
        <f>INDEX(tbCadastroConsultas[],MATCH(tbConsultas[[#This Row],[PROFISSIONAL]],tbCadastroConsultas[PROFISSIONAL],0),3)</f>
        <v>301010030</v>
      </c>
      <c r="J451" s="11">
        <f>INDEX(tbCadastroConsultas[],MATCH(tbConsultas[[#This Row],[PROFISSIONAL]],tbCadastroConsultas[PROFISSIONAL],0),4)</f>
        <v>223565</v>
      </c>
    </row>
    <row r="452" spans="1:10">
      <c r="A452" s="11">
        <f t="shared" si="32"/>
        <v>451</v>
      </c>
      <c r="B452" s="4" t="s">
        <v>5</v>
      </c>
      <c r="C452" s="5">
        <v>18061943</v>
      </c>
      <c r="D452" s="5">
        <v>21052018</v>
      </c>
      <c r="E452" s="4">
        <v>74</v>
      </c>
      <c r="F452" s="15">
        <f t="shared" si="33"/>
        <v>43271</v>
      </c>
      <c r="G452" s="12">
        <f t="shared" si="34"/>
        <v>2018</v>
      </c>
      <c r="H452" s="12" t="str">
        <f t="shared" si="35"/>
        <v>Junho</v>
      </c>
      <c r="I452" s="11">
        <f>INDEX(tbCadastroConsultas[],MATCH(tbConsultas[[#This Row],[PROFISSIONAL]],tbCadastroConsultas[PROFISSIONAL],0),3)</f>
        <v>301010030</v>
      </c>
      <c r="J452" s="11">
        <f>INDEX(tbCadastroConsultas[],MATCH(tbConsultas[[#This Row],[PROFISSIONAL]],tbCadastroConsultas[PROFISSIONAL],0),4)</f>
        <v>223565</v>
      </c>
    </row>
    <row r="453" spans="1:10">
      <c r="A453" s="11">
        <f t="shared" si="32"/>
        <v>452</v>
      </c>
      <c r="B453" s="4" t="s">
        <v>5</v>
      </c>
      <c r="C453" s="5">
        <v>11091952</v>
      </c>
      <c r="D453" s="5">
        <v>21052018</v>
      </c>
      <c r="E453" s="4">
        <v>65</v>
      </c>
      <c r="F453" s="15">
        <f t="shared" si="33"/>
        <v>43271</v>
      </c>
      <c r="G453" s="12">
        <f t="shared" si="34"/>
        <v>2018</v>
      </c>
      <c r="H453" s="12" t="str">
        <f t="shared" si="35"/>
        <v>Junho</v>
      </c>
      <c r="I453" s="11">
        <f>INDEX(tbCadastroConsultas[],MATCH(tbConsultas[[#This Row],[PROFISSIONAL]],tbCadastroConsultas[PROFISSIONAL],0),3)</f>
        <v>301010030</v>
      </c>
      <c r="J453" s="11">
        <f>INDEX(tbCadastroConsultas[],MATCH(tbConsultas[[#This Row],[PROFISSIONAL]],tbCadastroConsultas[PROFISSIONAL],0),4)</f>
        <v>223565</v>
      </c>
    </row>
    <row r="454" spans="1:10">
      <c r="A454" s="11">
        <f t="shared" si="32"/>
        <v>453</v>
      </c>
      <c r="B454" s="4" t="s">
        <v>5</v>
      </c>
      <c r="C454" s="5">
        <v>30011942</v>
      </c>
      <c r="D454" s="5">
        <v>21052018</v>
      </c>
      <c r="E454" s="4">
        <v>76</v>
      </c>
      <c r="F454" s="15">
        <f t="shared" si="33"/>
        <v>43271</v>
      </c>
      <c r="G454" s="12">
        <f t="shared" si="34"/>
        <v>2018</v>
      </c>
      <c r="H454" s="12" t="str">
        <f t="shared" si="35"/>
        <v>Junho</v>
      </c>
      <c r="I454" s="11">
        <f>INDEX(tbCadastroConsultas[],MATCH(tbConsultas[[#This Row],[PROFISSIONAL]],tbCadastroConsultas[PROFISSIONAL],0),3)</f>
        <v>301010030</v>
      </c>
      <c r="J454" s="11">
        <f>INDEX(tbCadastroConsultas[],MATCH(tbConsultas[[#This Row],[PROFISSIONAL]],tbCadastroConsultas[PROFISSIONAL],0),4)</f>
        <v>223565</v>
      </c>
    </row>
    <row r="455" spans="1:10">
      <c r="A455" s="11">
        <f t="shared" si="32"/>
        <v>454</v>
      </c>
      <c r="B455" s="4" t="s">
        <v>5</v>
      </c>
      <c r="C455" s="5">
        <v>7081952</v>
      </c>
      <c r="D455" s="5">
        <v>21052018</v>
      </c>
      <c r="E455" s="4">
        <v>65</v>
      </c>
      <c r="F455" s="15">
        <f t="shared" si="33"/>
        <v>43271</v>
      </c>
      <c r="G455" s="12">
        <f t="shared" si="34"/>
        <v>2018</v>
      </c>
      <c r="H455" s="12" t="str">
        <f t="shared" si="35"/>
        <v>Junho</v>
      </c>
      <c r="I455" s="11">
        <f>INDEX(tbCadastroConsultas[],MATCH(tbConsultas[[#This Row],[PROFISSIONAL]],tbCadastroConsultas[PROFISSIONAL],0),3)</f>
        <v>301010030</v>
      </c>
      <c r="J455" s="11">
        <f>INDEX(tbCadastroConsultas[],MATCH(tbConsultas[[#This Row],[PROFISSIONAL]],tbCadastroConsultas[PROFISSIONAL],0),4)</f>
        <v>223565</v>
      </c>
    </row>
    <row r="456" spans="1:10">
      <c r="A456" s="11">
        <f t="shared" si="32"/>
        <v>455</v>
      </c>
      <c r="B456" s="4" t="s">
        <v>5</v>
      </c>
      <c r="C456" s="5">
        <v>2021944</v>
      </c>
      <c r="D456" s="5">
        <v>21052018</v>
      </c>
      <c r="E456" s="4">
        <v>74</v>
      </c>
      <c r="F456" s="15">
        <f t="shared" si="33"/>
        <v>43271</v>
      </c>
      <c r="G456" s="12">
        <f t="shared" si="34"/>
        <v>2018</v>
      </c>
      <c r="H456" s="12" t="str">
        <f t="shared" si="35"/>
        <v>Junho</v>
      </c>
      <c r="I456" s="11">
        <f>INDEX(tbCadastroConsultas[],MATCH(tbConsultas[[#This Row],[PROFISSIONAL]],tbCadastroConsultas[PROFISSIONAL],0),3)</f>
        <v>301010030</v>
      </c>
      <c r="J456" s="11">
        <f>INDEX(tbCadastroConsultas[],MATCH(tbConsultas[[#This Row],[PROFISSIONAL]],tbCadastroConsultas[PROFISSIONAL],0),4)</f>
        <v>223565</v>
      </c>
    </row>
    <row r="457" spans="1:10">
      <c r="A457" s="11">
        <f t="shared" si="32"/>
        <v>456</v>
      </c>
      <c r="B457" s="4" t="s">
        <v>5</v>
      </c>
      <c r="C457" s="5">
        <v>15071960</v>
      </c>
      <c r="D457" s="5">
        <v>21052018</v>
      </c>
      <c r="E457" s="4">
        <v>57</v>
      </c>
      <c r="F457" s="15">
        <f t="shared" si="33"/>
        <v>43271</v>
      </c>
      <c r="G457" s="12">
        <f t="shared" si="34"/>
        <v>2018</v>
      </c>
      <c r="H457" s="12" t="str">
        <f t="shared" si="35"/>
        <v>Junho</v>
      </c>
      <c r="I457" s="11">
        <f>INDEX(tbCadastroConsultas[],MATCH(tbConsultas[[#This Row],[PROFISSIONAL]],tbCadastroConsultas[PROFISSIONAL],0),3)</f>
        <v>301010030</v>
      </c>
      <c r="J457" s="11">
        <f>INDEX(tbCadastroConsultas[],MATCH(tbConsultas[[#This Row],[PROFISSIONAL]],tbCadastroConsultas[PROFISSIONAL],0),4)</f>
        <v>223565</v>
      </c>
    </row>
    <row r="458" spans="1:10">
      <c r="A458" s="11">
        <f t="shared" si="32"/>
        <v>457</v>
      </c>
      <c r="B458" s="4" t="s">
        <v>5</v>
      </c>
      <c r="C458" s="5">
        <v>5091949</v>
      </c>
      <c r="D458" s="5">
        <v>21052018</v>
      </c>
      <c r="E458" s="4">
        <v>68</v>
      </c>
      <c r="F458" s="15">
        <f t="shared" si="33"/>
        <v>43271</v>
      </c>
      <c r="G458" s="12">
        <f t="shared" si="34"/>
        <v>2018</v>
      </c>
      <c r="H458" s="12" t="str">
        <f t="shared" si="35"/>
        <v>Junho</v>
      </c>
      <c r="I458" s="11">
        <f>INDEX(tbCadastroConsultas[],MATCH(tbConsultas[[#This Row],[PROFISSIONAL]],tbCadastroConsultas[PROFISSIONAL],0),3)</f>
        <v>301010030</v>
      </c>
      <c r="J458" s="11">
        <f>INDEX(tbCadastroConsultas[],MATCH(tbConsultas[[#This Row],[PROFISSIONAL]],tbCadastroConsultas[PROFISSIONAL],0),4)</f>
        <v>223565</v>
      </c>
    </row>
    <row r="459" spans="1:10">
      <c r="A459" s="11">
        <f t="shared" si="32"/>
        <v>458</v>
      </c>
      <c r="B459" s="4" t="s">
        <v>5</v>
      </c>
      <c r="C459" s="5">
        <v>23121964</v>
      </c>
      <c r="D459" s="5">
        <v>21052018</v>
      </c>
      <c r="E459" s="4">
        <v>53</v>
      </c>
      <c r="F459" s="15">
        <f t="shared" si="33"/>
        <v>43271</v>
      </c>
      <c r="G459" s="12">
        <f t="shared" si="34"/>
        <v>2018</v>
      </c>
      <c r="H459" s="12" t="str">
        <f t="shared" si="35"/>
        <v>Junho</v>
      </c>
      <c r="I459" s="11">
        <f>INDEX(tbCadastroConsultas[],MATCH(tbConsultas[[#This Row],[PROFISSIONAL]],tbCadastroConsultas[PROFISSIONAL],0),3)</f>
        <v>301010030</v>
      </c>
      <c r="J459" s="11">
        <f>INDEX(tbCadastroConsultas[],MATCH(tbConsultas[[#This Row],[PROFISSIONAL]],tbCadastroConsultas[PROFISSIONAL],0),4)</f>
        <v>223565</v>
      </c>
    </row>
    <row r="460" spans="1:10">
      <c r="A460" s="11">
        <f t="shared" si="32"/>
        <v>459</v>
      </c>
      <c r="B460" s="4" t="s">
        <v>5</v>
      </c>
      <c r="C460" s="5">
        <v>8111955</v>
      </c>
      <c r="D460" s="5">
        <v>21052018</v>
      </c>
      <c r="E460" s="4">
        <v>62</v>
      </c>
      <c r="F460" s="15">
        <f t="shared" si="33"/>
        <v>43271</v>
      </c>
      <c r="G460" s="12">
        <f t="shared" si="34"/>
        <v>2018</v>
      </c>
      <c r="H460" s="12" t="str">
        <f t="shared" si="35"/>
        <v>Junho</v>
      </c>
      <c r="I460" s="11">
        <f>INDEX(tbCadastroConsultas[],MATCH(tbConsultas[[#This Row],[PROFISSIONAL]],tbCadastroConsultas[PROFISSIONAL],0),3)</f>
        <v>301010030</v>
      </c>
      <c r="J460" s="11">
        <f>INDEX(tbCadastroConsultas[],MATCH(tbConsultas[[#This Row],[PROFISSIONAL]],tbCadastroConsultas[PROFISSIONAL],0),4)</f>
        <v>223565</v>
      </c>
    </row>
    <row r="461" spans="1:10">
      <c r="A461" s="11">
        <f t="shared" si="32"/>
        <v>460</v>
      </c>
      <c r="B461" s="4" t="s">
        <v>5</v>
      </c>
      <c r="C461" s="5">
        <v>20011957</v>
      </c>
      <c r="D461" s="5">
        <v>21052018</v>
      </c>
      <c r="E461" s="4">
        <v>61</v>
      </c>
      <c r="F461" s="15">
        <f t="shared" si="33"/>
        <v>43271</v>
      </c>
      <c r="G461" s="12">
        <f t="shared" si="34"/>
        <v>2018</v>
      </c>
      <c r="H461" s="12" t="str">
        <f t="shared" si="35"/>
        <v>Junho</v>
      </c>
      <c r="I461" s="11">
        <f>INDEX(tbCadastroConsultas[],MATCH(tbConsultas[[#This Row],[PROFISSIONAL]],tbCadastroConsultas[PROFISSIONAL],0),3)</f>
        <v>301010030</v>
      </c>
      <c r="J461" s="11">
        <f>INDEX(tbCadastroConsultas[],MATCH(tbConsultas[[#This Row],[PROFISSIONAL]],tbCadastroConsultas[PROFISSIONAL],0),4)</f>
        <v>223565</v>
      </c>
    </row>
    <row r="462" spans="1:10">
      <c r="A462" s="11">
        <f t="shared" si="32"/>
        <v>461</v>
      </c>
      <c r="B462" s="4" t="s">
        <v>5</v>
      </c>
      <c r="C462" s="5">
        <v>16061943</v>
      </c>
      <c r="D462" s="5">
        <v>21052018</v>
      </c>
      <c r="E462" s="4">
        <v>74</v>
      </c>
      <c r="F462" s="15">
        <f t="shared" si="33"/>
        <v>43271</v>
      </c>
      <c r="G462" s="12">
        <f t="shared" si="34"/>
        <v>2018</v>
      </c>
      <c r="H462" s="12" t="str">
        <f t="shared" si="35"/>
        <v>Junho</v>
      </c>
      <c r="I462" s="11">
        <f>INDEX(tbCadastroConsultas[],MATCH(tbConsultas[[#This Row],[PROFISSIONAL]],tbCadastroConsultas[PROFISSIONAL],0),3)</f>
        <v>301010030</v>
      </c>
      <c r="J462" s="11">
        <f>INDEX(tbCadastroConsultas[],MATCH(tbConsultas[[#This Row],[PROFISSIONAL]],tbCadastroConsultas[PROFISSIONAL],0),4)</f>
        <v>223565</v>
      </c>
    </row>
    <row r="463" spans="1:10">
      <c r="A463" s="11">
        <f t="shared" si="32"/>
        <v>462</v>
      </c>
      <c r="B463" s="4" t="s">
        <v>5</v>
      </c>
      <c r="C463" s="5">
        <v>12081956</v>
      </c>
      <c r="D463" s="5">
        <v>21052018</v>
      </c>
      <c r="E463" s="4">
        <v>61</v>
      </c>
      <c r="F463" s="15">
        <f t="shared" si="33"/>
        <v>43271</v>
      </c>
      <c r="G463" s="12">
        <f t="shared" si="34"/>
        <v>2018</v>
      </c>
      <c r="H463" s="12" t="str">
        <f t="shared" si="35"/>
        <v>Junho</v>
      </c>
      <c r="I463" s="11">
        <f>INDEX(tbCadastroConsultas[],MATCH(tbConsultas[[#This Row],[PROFISSIONAL]],tbCadastroConsultas[PROFISSIONAL],0),3)</f>
        <v>301010030</v>
      </c>
      <c r="J463" s="11">
        <f>INDEX(tbCadastroConsultas[],MATCH(tbConsultas[[#This Row],[PROFISSIONAL]],tbCadastroConsultas[PROFISSIONAL],0),4)</f>
        <v>223565</v>
      </c>
    </row>
    <row r="464" spans="1:10">
      <c r="A464" s="11">
        <f t="shared" si="32"/>
        <v>463</v>
      </c>
      <c r="B464" s="4" t="s">
        <v>0</v>
      </c>
      <c r="C464" s="5">
        <v>18042018</v>
      </c>
      <c r="D464" s="5">
        <v>21052018</v>
      </c>
      <c r="E464" s="4">
        <v>0</v>
      </c>
      <c r="F464" s="15">
        <f t="shared" si="33"/>
        <v>43271</v>
      </c>
      <c r="G464" s="12">
        <f t="shared" si="34"/>
        <v>2018</v>
      </c>
      <c r="H464" s="12" t="str">
        <f t="shared" si="35"/>
        <v>Junho</v>
      </c>
      <c r="I464" s="11">
        <f>INDEX(tbCadastroConsultas[],MATCH(tbConsultas[[#This Row],[PROFISSIONAL]],tbCadastroConsultas[PROFISSIONAL],0),3)</f>
        <v>301010080</v>
      </c>
      <c r="J464" s="11">
        <f>INDEX(tbCadastroConsultas[],MATCH(tbConsultas[[#This Row],[PROFISSIONAL]],tbCadastroConsultas[PROFISSIONAL],0),4)</f>
        <v>225124</v>
      </c>
    </row>
    <row r="465" spans="1:10">
      <c r="A465" s="11">
        <f t="shared" si="32"/>
        <v>464</v>
      </c>
      <c r="B465" s="4" t="s">
        <v>5</v>
      </c>
      <c r="C465" s="5">
        <v>19102012</v>
      </c>
      <c r="D465" s="5">
        <v>21052018</v>
      </c>
      <c r="E465" s="4">
        <v>5</v>
      </c>
      <c r="F465" s="15">
        <f t="shared" si="33"/>
        <v>43271</v>
      </c>
      <c r="G465" s="12">
        <f t="shared" si="34"/>
        <v>2018</v>
      </c>
      <c r="H465" s="12" t="str">
        <f t="shared" si="35"/>
        <v>Junho</v>
      </c>
      <c r="I465" s="11">
        <f>INDEX(tbCadastroConsultas[],MATCH(tbConsultas[[#This Row],[PROFISSIONAL]],tbCadastroConsultas[PROFISSIONAL],0),3)</f>
        <v>301010030</v>
      </c>
      <c r="J465" s="11">
        <f>INDEX(tbCadastroConsultas[],MATCH(tbConsultas[[#This Row],[PROFISSIONAL]],tbCadastroConsultas[PROFISSIONAL],0),4)</f>
        <v>223565</v>
      </c>
    </row>
    <row r="466" spans="1:10">
      <c r="A466" s="11">
        <f t="shared" si="32"/>
        <v>465</v>
      </c>
      <c r="B466" s="4" t="s">
        <v>0</v>
      </c>
      <c r="C466" s="5">
        <v>12062008</v>
      </c>
      <c r="D466" s="5">
        <v>21052018</v>
      </c>
      <c r="E466" s="4">
        <v>9</v>
      </c>
      <c r="F466" s="15">
        <f t="shared" si="33"/>
        <v>43271</v>
      </c>
      <c r="G466" s="12">
        <f t="shared" si="34"/>
        <v>2018</v>
      </c>
      <c r="H466" s="12" t="str">
        <f t="shared" si="35"/>
        <v>Junho</v>
      </c>
      <c r="I466" s="11">
        <f>INDEX(tbCadastroConsultas[],MATCH(tbConsultas[[#This Row],[PROFISSIONAL]],tbCadastroConsultas[PROFISSIONAL],0),3)</f>
        <v>301010080</v>
      </c>
      <c r="J466" s="11">
        <f>INDEX(tbCadastroConsultas[],MATCH(tbConsultas[[#This Row],[PROFISSIONAL]],tbCadastroConsultas[PROFISSIONAL],0),4)</f>
        <v>225124</v>
      </c>
    </row>
    <row r="467" spans="1:10">
      <c r="A467" s="11">
        <f t="shared" si="32"/>
        <v>466</v>
      </c>
      <c r="B467" s="4" t="s">
        <v>0</v>
      </c>
      <c r="C467" s="5">
        <v>24102016</v>
      </c>
      <c r="D467" s="5">
        <v>21052018</v>
      </c>
      <c r="E467" s="4">
        <v>1</v>
      </c>
      <c r="F467" s="15">
        <f t="shared" si="33"/>
        <v>43271</v>
      </c>
      <c r="G467" s="12">
        <f t="shared" si="34"/>
        <v>2018</v>
      </c>
      <c r="H467" s="12" t="str">
        <f t="shared" si="35"/>
        <v>Junho</v>
      </c>
      <c r="I467" s="11">
        <f>INDEX(tbCadastroConsultas[],MATCH(tbConsultas[[#This Row],[PROFISSIONAL]],tbCadastroConsultas[PROFISSIONAL],0),3)</f>
        <v>301010080</v>
      </c>
      <c r="J467" s="11">
        <f>INDEX(tbCadastroConsultas[],MATCH(tbConsultas[[#This Row],[PROFISSIONAL]],tbCadastroConsultas[PROFISSIONAL],0),4)</f>
        <v>225124</v>
      </c>
    </row>
    <row r="468" spans="1:10">
      <c r="A468" s="11">
        <f t="shared" si="32"/>
        <v>467</v>
      </c>
      <c r="B468" s="4" t="s">
        <v>0</v>
      </c>
      <c r="C468" s="5">
        <v>22032002</v>
      </c>
      <c r="D468" s="5">
        <v>21052018</v>
      </c>
      <c r="E468" s="4">
        <v>16</v>
      </c>
      <c r="F468" s="15">
        <f t="shared" si="33"/>
        <v>43271</v>
      </c>
      <c r="G468" s="12">
        <f t="shared" si="34"/>
        <v>2018</v>
      </c>
      <c r="H468" s="12" t="str">
        <f t="shared" si="35"/>
        <v>Junho</v>
      </c>
      <c r="I468" s="11">
        <f>INDEX(tbCadastroConsultas[],MATCH(tbConsultas[[#This Row],[PROFISSIONAL]],tbCadastroConsultas[PROFISSIONAL],0),3)</f>
        <v>301010080</v>
      </c>
      <c r="J468" s="11">
        <f>INDEX(tbCadastroConsultas[],MATCH(tbConsultas[[#This Row],[PROFISSIONAL]],tbCadastroConsultas[PROFISSIONAL],0),4)</f>
        <v>225124</v>
      </c>
    </row>
    <row r="469" spans="1:10">
      <c r="A469" s="11">
        <f t="shared" si="32"/>
        <v>468</v>
      </c>
      <c r="B469" s="4" t="s">
        <v>0</v>
      </c>
      <c r="C469" s="5">
        <v>31032011</v>
      </c>
      <c r="D469" s="5">
        <v>21052018</v>
      </c>
      <c r="E469" s="4">
        <v>7</v>
      </c>
      <c r="F469" s="15">
        <f t="shared" si="33"/>
        <v>43271</v>
      </c>
      <c r="G469" s="12">
        <f t="shared" si="34"/>
        <v>2018</v>
      </c>
      <c r="H469" s="12" t="str">
        <f t="shared" si="35"/>
        <v>Junho</v>
      </c>
      <c r="I469" s="11">
        <f>INDEX(tbCadastroConsultas[],MATCH(tbConsultas[[#This Row],[PROFISSIONAL]],tbCadastroConsultas[PROFISSIONAL],0),3)</f>
        <v>301010080</v>
      </c>
      <c r="J469" s="11">
        <f>INDEX(tbCadastroConsultas[],MATCH(tbConsultas[[#This Row],[PROFISSIONAL]],tbCadastroConsultas[PROFISSIONAL],0),4)</f>
        <v>225124</v>
      </c>
    </row>
    <row r="470" spans="1:10">
      <c r="A470" s="11">
        <f t="shared" si="32"/>
        <v>469</v>
      </c>
      <c r="B470" s="4" t="s">
        <v>0</v>
      </c>
      <c r="C470" s="5">
        <v>19122013</v>
      </c>
      <c r="D470" s="5">
        <v>21052018</v>
      </c>
      <c r="E470" s="4">
        <v>4</v>
      </c>
      <c r="F470" s="15">
        <f t="shared" si="33"/>
        <v>43271</v>
      </c>
      <c r="G470" s="12">
        <f t="shared" si="34"/>
        <v>2018</v>
      </c>
      <c r="H470" s="12" t="str">
        <f t="shared" si="35"/>
        <v>Junho</v>
      </c>
      <c r="I470" s="11">
        <f>INDEX(tbCadastroConsultas[],MATCH(tbConsultas[[#This Row],[PROFISSIONAL]],tbCadastroConsultas[PROFISSIONAL],0),3)</f>
        <v>301010080</v>
      </c>
      <c r="J470" s="11">
        <f>INDEX(tbCadastroConsultas[],MATCH(tbConsultas[[#This Row],[PROFISSIONAL]],tbCadastroConsultas[PROFISSIONAL],0),4)</f>
        <v>225124</v>
      </c>
    </row>
    <row r="471" spans="1:10">
      <c r="A471" s="11">
        <f t="shared" si="32"/>
        <v>470</v>
      </c>
      <c r="B471" s="4" t="s">
        <v>0</v>
      </c>
      <c r="C471" s="5">
        <v>3102016</v>
      </c>
      <c r="D471" s="5">
        <v>21052018</v>
      </c>
      <c r="E471" s="4">
        <v>1</v>
      </c>
      <c r="F471" s="15">
        <f t="shared" si="33"/>
        <v>43271</v>
      </c>
      <c r="G471" s="12">
        <f t="shared" si="34"/>
        <v>2018</v>
      </c>
      <c r="H471" s="12" t="str">
        <f t="shared" si="35"/>
        <v>Junho</v>
      </c>
      <c r="I471" s="11">
        <f>INDEX(tbCadastroConsultas[],MATCH(tbConsultas[[#This Row],[PROFISSIONAL]],tbCadastroConsultas[PROFISSIONAL],0),3)</f>
        <v>301010080</v>
      </c>
      <c r="J471" s="11">
        <f>INDEX(tbCadastroConsultas[],MATCH(tbConsultas[[#This Row],[PROFISSIONAL]],tbCadastroConsultas[PROFISSIONAL],0),4)</f>
        <v>225124</v>
      </c>
    </row>
    <row r="472" spans="1:10">
      <c r="A472" s="11">
        <f t="shared" si="32"/>
        <v>471</v>
      </c>
      <c r="B472" s="4" t="s">
        <v>0</v>
      </c>
      <c r="C472" s="5">
        <v>5042018</v>
      </c>
      <c r="D472" s="5">
        <v>21052018</v>
      </c>
      <c r="E472" s="4">
        <v>0</v>
      </c>
      <c r="F472" s="15">
        <f t="shared" si="33"/>
        <v>43271</v>
      </c>
      <c r="G472" s="12">
        <f t="shared" si="34"/>
        <v>2018</v>
      </c>
      <c r="H472" s="12" t="str">
        <f t="shared" si="35"/>
        <v>Junho</v>
      </c>
      <c r="I472" s="11">
        <f>INDEX(tbCadastroConsultas[],MATCH(tbConsultas[[#This Row],[PROFISSIONAL]],tbCadastroConsultas[PROFISSIONAL],0),3)</f>
        <v>301010080</v>
      </c>
      <c r="J472" s="11">
        <f>INDEX(tbCadastroConsultas[],MATCH(tbConsultas[[#This Row],[PROFISSIONAL]],tbCadastroConsultas[PROFISSIONAL],0),4)</f>
        <v>225124</v>
      </c>
    </row>
    <row r="473" spans="1:10">
      <c r="A473" s="11">
        <f t="shared" si="32"/>
        <v>472</v>
      </c>
      <c r="B473" s="4" t="s">
        <v>0</v>
      </c>
      <c r="C473" s="5">
        <v>2042018</v>
      </c>
      <c r="D473" s="5">
        <v>21052018</v>
      </c>
      <c r="E473" s="4">
        <v>0</v>
      </c>
      <c r="F473" s="15">
        <f t="shared" si="33"/>
        <v>43271</v>
      </c>
      <c r="G473" s="12">
        <f t="shared" si="34"/>
        <v>2018</v>
      </c>
      <c r="H473" s="12" t="str">
        <f t="shared" si="35"/>
        <v>Junho</v>
      </c>
      <c r="I473" s="11">
        <f>INDEX(tbCadastroConsultas[],MATCH(tbConsultas[[#This Row],[PROFISSIONAL]],tbCadastroConsultas[PROFISSIONAL],0),3)</f>
        <v>301010080</v>
      </c>
      <c r="J473" s="11">
        <f>INDEX(tbCadastroConsultas[],MATCH(tbConsultas[[#This Row],[PROFISSIONAL]],tbCadastroConsultas[PROFISSIONAL],0),4)</f>
        <v>225124</v>
      </c>
    </row>
    <row r="474" spans="1:10">
      <c r="A474" s="11">
        <f t="shared" ref="A474:A505" si="36">ROW() -1</f>
        <v>473</v>
      </c>
      <c r="B474" s="4" t="s">
        <v>0</v>
      </c>
      <c r="C474" s="5">
        <v>24022018</v>
      </c>
      <c r="D474" s="5">
        <v>21052018</v>
      </c>
      <c r="E474" s="4">
        <v>0</v>
      </c>
      <c r="F474" s="15">
        <f t="shared" si="33"/>
        <v>43271</v>
      </c>
      <c r="G474" s="12">
        <f t="shared" si="34"/>
        <v>2018</v>
      </c>
      <c r="H474" s="12" t="str">
        <f t="shared" si="35"/>
        <v>Junho</v>
      </c>
      <c r="I474" s="11">
        <f>INDEX(tbCadastroConsultas[],MATCH(tbConsultas[[#This Row],[PROFISSIONAL]],tbCadastroConsultas[PROFISSIONAL],0),3)</f>
        <v>301010080</v>
      </c>
      <c r="J474" s="11">
        <f>INDEX(tbCadastroConsultas[],MATCH(tbConsultas[[#This Row],[PROFISSIONAL]],tbCadastroConsultas[PROFISSIONAL],0),4)</f>
        <v>225124</v>
      </c>
    </row>
    <row r="475" spans="1:10">
      <c r="A475" s="11">
        <f t="shared" si="36"/>
        <v>474</v>
      </c>
      <c r="B475" s="4" t="s">
        <v>0</v>
      </c>
      <c r="C475" s="5">
        <v>11042018</v>
      </c>
      <c r="D475" s="5">
        <v>21052018</v>
      </c>
      <c r="E475" s="4">
        <v>0</v>
      </c>
      <c r="F475" s="15">
        <f t="shared" si="33"/>
        <v>43271</v>
      </c>
      <c r="G475" s="12">
        <f t="shared" si="34"/>
        <v>2018</v>
      </c>
      <c r="H475" s="12" t="str">
        <f t="shared" si="35"/>
        <v>Junho</v>
      </c>
      <c r="I475" s="11">
        <f>INDEX(tbCadastroConsultas[],MATCH(tbConsultas[[#This Row],[PROFISSIONAL]],tbCadastroConsultas[PROFISSIONAL],0),3)</f>
        <v>301010080</v>
      </c>
      <c r="J475" s="11">
        <f>INDEX(tbCadastroConsultas[],MATCH(tbConsultas[[#This Row],[PROFISSIONAL]],tbCadastroConsultas[PROFISSIONAL],0),4)</f>
        <v>225124</v>
      </c>
    </row>
    <row r="476" spans="1:10">
      <c r="A476" s="11">
        <f t="shared" si="36"/>
        <v>475</v>
      </c>
      <c r="B476" s="4" t="s">
        <v>0</v>
      </c>
      <c r="C476" s="5">
        <v>30102017</v>
      </c>
      <c r="D476" s="5">
        <v>21052018</v>
      </c>
      <c r="E476" s="4">
        <v>0</v>
      </c>
      <c r="F476" s="15">
        <f t="shared" si="33"/>
        <v>43271</v>
      </c>
      <c r="G476" s="12">
        <f t="shared" si="34"/>
        <v>2018</v>
      </c>
      <c r="H476" s="12" t="str">
        <f t="shared" si="35"/>
        <v>Junho</v>
      </c>
      <c r="I476" s="11">
        <f>INDEX(tbCadastroConsultas[],MATCH(tbConsultas[[#This Row],[PROFISSIONAL]],tbCadastroConsultas[PROFISSIONAL],0),3)</f>
        <v>301010080</v>
      </c>
      <c r="J476" s="11">
        <f>INDEX(tbCadastroConsultas[],MATCH(tbConsultas[[#This Row],[PROFISSIONAL]],tbCadastroConsultas[PROFISSIONAL],0),4)</f>
        <v>225124</v>
      </c>
    </row>
    <row r="477" spans="1:10">
      <c r="A477" s="11">
        <f t="shared" si="36"/>
        <v>476</v>
      </c>
      <c r="B477" s="4" t="s">
        <v>0</v>
      </c>
      <c r="C477" s="5">
        <v>11082009</v>
      </c>
      <c r="D477" s="5">
        <v>21052018</v>
      </c>
      <c r="E477" s="4">
        <v>8</v>
      </c>
      <c r="F477" s="15">
        <f t="shared" si="33"/>
        <v>43271</v>
      </c>
      <c r="G477" s="12">
        <f t="shared" si="34"/>
        <v>2018</v>
      </c>
      <c r="H477" s="12" t="str">
        <f t="shared" si="35"/>
        <v>Junho</v>
      </c>
      <c r="I477" s="11">
        <f>INDEX(tbCadastroConsultas[],MATCH(tbConsultas[[#This Row],[PROFISSIONAL]],tbCadastroConsultas[PROFISSIONAL],0),3)</f>
        <v>301010080</v>
      </c>
      <c r="J477" s="11">
        <f>INDEX(tbCadastroConsultas[],MATCH(tbConsultas[[#This Row],[PROFISSIONAL]],tbCadastroConsultas[PROFISSIONAL],0),4)</f>
        <v>225124</v>
      </c>
    </row>
    <row r="478" spans="1:10">
      <c r="A478" s="11">
        <f t="shared" si="36"/>
        <v>477</v>
      </c>
      <c r="B478" s="4" t="s">
        <v>0</v>
      </c>
      <c r="C478" s="5">
        <v>26042017</v>
      </c>
      <c r="D478" s="5">
        <v>21052018</v>
      </c>
      <c r="E478" s="4">
        <v>1</v>
      </c>
      <c r="F478" s="15">
        <f t="shared" si="33"/>
        <v>43271</v>
      </c>
      <c r="G478" s="12">
        <f t="shared" si="34"/>
        <v>2018</v>
      </c>
      <c r="H478" s="12" t="str">
        <f t="shared" si="35"/>
        <v>Junho</v>
      </c>
      <c r="I478" s="11">
        <f>INDEX(tbCadastroConsultas[],MATCH(tbConsultas[[#This Row],[PROFISSIONAL]],tbCadastroConsultas[PROFISSIONAL],0),3)</f>
        <v>301010080</v>
      </c>
      <c r="J478" s="11">
        <f>INDEX(tbCadastroConsultas[],MATCH(tbConsultas[[#This Row],[PROFISSIONAL]],tbCadastroConsultas[PROFISSIONAL],0),4)</f>
        <v>225124</v>
      </c>
    </row>
    <row r="479" spans="1:10">
      <c r="A479" s="11">
        <f t="shared" si="36"/>
        <v>478</v>
      </c>
      <c r="B479" s="4" t="s">
        <v>1</v>
      </c>
      <c r="C479" s="5">
        <v>15101942</v>
      </c>
      <c r="D479" s="5">
        <v>21052018</v>
      </c>
      <c r="E479" s="4">
        <v>75</v>
      </c>
      <c r="F479" s="15">
        <f t="shared" si="33"/>
        <v>43271</v>
      </c>
      <c r="G479" s="12">
        <f t="shared" si="34"/>
        <v>2018</v>
      </c>
      <c r="H479" s="12" t="str">
        <f t="shared" si="35"/>
        <v>Junho</v>
      </c>
      <c r="I479" s="11">
        <f>INDEX(tbCadastroConsultas[],MATCH(tbConsultas[[#This Row],[PROFISSIONAL]],tbCadastroConsultas[PROFISSIONAL],0),3)</f>
        <v>301010030</v>
      </c>
      <c r="J479" s="11">
        <f>INDEX(tbCadastroConsultas[],MATCH(tbConsultas[[#This Row],[PROFISSIONAL]],tbCadastroConsultas[PROFISSIONAL],0),4)</f>
        <v>251510</v>
      </c>
    </row>
    <row r="480" spans="1:10">
      <c r="A480" s="11">
        <f t="shared" si="36"/>
        <v>479</v>
      </c>
      <c r="B480" s="4" t="s">
        <v>1</v>
      </c>
      <c r="C480" s="5">
        <v>17041962</v>
      </c>
      <c r="D480" s="5">
        <v>21052018</v>
      </c>
      <c r="E480" s="4">
        <v>56</v>
      </c>
      <c r="F480" s="15">
        <f t="shared" si="33"/>
        <v>43271</v>
      </c>
      <c r="G480" s="12">
        <f t="shared" si="34"/>
        <v>2018</v>
      </c>
      <c r="H480" s="12" t="str">
        <f t="shared" si="35"/>
        <v>Junho</v>
      </c>
      <c r="I480" s="11">
        <f>INDEX(tbCadastroConsultas[],MATCH(tbConsultas[[#This Row],[PROFISSIONAL]],tbCadastroConsultas[PROFISSIONAL],0),3)</f>
        <v>301010030</v>
      </c>
      <c r="J480" s="11">
        <f>INDEX(tbCadastroConsultas[],MATCH(tbConsultas[[#This Row],[PROFISSIONAL]],tbCadastroConsultas[PROFISSIONAL],0),4)</f>
        <v>251510</v>
      </c>
    </row>
    <row r="481" spans="1:10">
      <c r="A481" s="11">
        <f t="shared" si="36"/>
        <v>480</v>
      </c>
      <c r="B481" s="4" t="s">
        <v>1</v>
      </c>
      <c r="C481" s="5">
        <v>5061961</v>
      </c>
      <c r="D481" s="5">
        <v>21052018</v>
      </c>
      <c r="E481" s="4">
        <v>56</v>
      </c>
      <c r="F481" s="15">
        <f t="shared" si="33"/>
        <v>43271</v>
      </c>
      <c r="G481" s="12">
        <f t="shared" si="34"/>
        <v>2018</v>
      </c>
      <c r="H481" s="12" t="str">
        <f t="shared" si="35"/>
        <v>Junho</v>
      </c>
      <c r="I481" s="11">
        <f>INDEX(tbCadastroConsultas[],MATCH(tbConsultas[[#This Row],[PROFISSIONAL]],tbCadastroConsultas[PROFISSIONAL],0),3)</f>
        <v>301010030</v>
      </c>
      <c r="J481" s="11">
        <f>INDEX(tbCadastroConsultas[],MATCH(tbConsultas[[#This Row],[PROFISSIONAL]],tbCadastroConsultas[PROFISSIONAL],0),4)</f>
        <v>251510</v>
      </c>
    </row>
    <row r="482" spans="1:10">
      <c r="A482" s="11">
        <f t="shared" si="36"/>
        <v>481</v>
      </c>
      <c r="B482" s="4" t="s">
        <v>1</v>
      </c>
      <c r="C482" s="5">
        <v>10051981</v>
      </c>
      <c r="D482" s="5">
        <v>21052018</v>
      </c>
      <c r="E482" s="4">
        <v>37</v>
      </c>
      <c r="F482" s="15">
        <f t="shared" si="33"/>
        <v>43271</v>
      </c>
      <c r="G482" s="12">
        <f t="shared" si="34"/>
        <v>2018</v>
      </c>
      <c r="H482" s="12" t="str">
        <f t="shared" si="35"/>
        <v>Junho</v>
      </c>
      <c r="I482" s="11">
        <f>INDEX(tbCadastroConsultas[],MATCH(tbConsultas[[#This Row],[PROFISSIONAL]],tbCadastroConsultas[PROFISSIONAL],0),3)</f>
        <v>301010030</v>
      </c>
      <c r="J482" s="11">
        <f>INDEX(tbCadastroConsultas[],MATCH(tbConsultas[[#This Row],[PROFISSIONAL]],tbCadastroConsultas[PROFISSIONAL],0),4)</f>
        <v>251510</v>
      </c>
    </row>
    <row r="483" spans="1:10">
      <c r="A483" s="11">
        <f t="shared" si="36"/>
        <v>482</v>
      </c>
      <c r="B483" s="4" t="s">
        <v>1</v>
      </c>
      <c r="C483" s="5">
        <v>7021967</v>
      </c>
      <c r="D483" s="5">
        <v>21052018</v>
      </c>
      <c r="E483" s="4">
        <v>51</v>
      </c>
      <c r="F483" s="15">
        <f t="shared" si="33"/>
        <v>43271</v>
      </c>
      <c r="G483" s="12">
        <f t="shared" si="34"/>
        <v>2018</v>
      </c>
      <c r="H483" s="12" t="str">
        <f t="shared" si="35"/>
        <v>Junho</v>
      </c>
      <c r="I483" s="11">
        <f>INDEX(tbCadastroConsultas[],MATCH(tbConsultas[[#This Row],[PROFISSIONAL]],tbCadastroConsultas[PROFISSIONAL],0),3)</f>
        <v>301010030</v>
      </c>
      <c r="J483" s="11">
        <f>INDEX(tbCadastroConsultas[],MATCH(tbConsultas[[#This Row],[PROFISSIONAL]],tbCadastroConsultas[PROFISSIONAL],0),4)</f>
        <v>251510</v>
      </c>
    </row>
    <row r="484" spans="1:10">
      <c r="A484" s="11">
        <f t="shared" si="36"/>
        <v>483</v>
      </c>
      <c r="B484" s="4" t="s">
        <v>15</v>
      </c>
      <c r="C484" s="5">
        <v>31051980</v>
      </c>
      <c r="D484" s="5">
        <v>21052018</v>
      </c>
      <c r="E484" s="4">
        <v>37</v>
      </c>
      <c r="F484" s="15">
        <f t="shared" si="33"/>
        <v>43271</v>
      </c>
      <c r="G484" s="12">
        <f t="shared" si="34"/>
        <v>2018</v>
      </c>
      <c r="H484" s="12" t="str">
        <f t="shared" si="35"/>
        <v>Junho</v>
      </c>
      <c r="I484" s="11">
        <f>INDEX(tbCadastroConsultas[],MATCH(tbConsultas[[#This Row],[PROFISSIONAL]],tbCadastroConsultas[PROFISSIONAL],0),3)</f>
        <v>301010072</v>
      </c>
      <c r="J484" s="11">
        <f>INDEX(tbCadastroConsultas[],MATCH(tbConsultas[[#This Row],[PROFISSIONAL]],tbCadastroConsultas[PROFISSIONAL],0),4)</f>
        <v>225133</v>
      </c>
    </row>
    <row r="485" spans="1:10">
      <c r="A485" s="11">
        <f t="shared" si="36"/>
        <v>484</v>
      </c>
      <c r="B485" s="4" t="s">
        <v>15</v>
      </c>
      <c r="C485" s="5">
        <v>12031990</v>
      </c>
      <c r="D485" s="5">
        <v>21052018</v>
      </c>
      <c r="E485" s="4">
        <v>28</v>
      </c>
      <c r="F485" s="15">
        <f t="shared" si="33"/>
        <v>43271</v>
      </c>
      <c r="G485" s="12">
        <f t="shared" si="34"/>
        <v>2018</v>
      </c>
      <c r="H485" s="12" t="str">
        <f t="shared" si="35"/>
        <v>Junho</v>
      </c>
      <c r="I485" s="11">
        <f>INDEX(tbCadastroConsultas[],MATCH(tbConsultas[[#This Row],[PROFISSIONAL]],tbCadastroConsultas[PROFISSIONAL],0),3)</f>
        <v>301010072</v>
      </c>
      <c r="J485" s="11">
        <f>INDEX(tbCadastroConsultas[],MATCH(tbConsultas[[#This Row],[PROFISSIONAL]],tbCadastroConsultas[PROFISSIONAL],0),4)</f>
        <v>225133</v>
      </c>
    </row>
    <row r="486" spans="1:10">
      <c r="A486" s="11">
        <f t="shared" si="36"/>
        <v>485</v>
      </c>
      <c r="B486" s="4" t="s">
        <v>15</v>
      </c>
      <c r="C486" s="5">
        <v>23121951</v>
      </c>
      <c r="D486" s="5">
        <v>21052018</v>
      </c>
      <c r="E486" s="4">
        <v>66</v>
      </c>
      <c r="F486" s="15">
        <f t="shared" si="33"/>
        <v>43271</v>
      </c>
      <c r="G486" s="12">
        <f t="shared" si="34"/>
        <v>2018</v>
      </c>
      <c r="H486" s="12" t="str">
        <f t="shared" si="35"/>
        <v>Junho</v>
      </c>
      <c r="I486" s="11">
        <f>INDEX(tbCadastroConsultas[],MATCH(tbConsultas[[#This Row],[PROFISSIONAL]],tbCadastroConsultas[PROFISSIONAL],0),3)</f>
        <v>301010072</v>
      </c>
      <c r="J486" s="11">
        <f>INDEX(tbCadastroConsultas[],MATCH(tbConsultas[[#This Row],[PROFISSIONAL]],tbCadastroConsultas[PROFISSIONAL],0),4)</f>
        <v>225133</v>
      </c>
    </row>
    <row r="487" spans="1:10">
      <c r="A487" s="11">
        <f t="shared" si="36"/>
        <v>486</v>
      </c>
      <c r="B487" s="4" t="s">
        <v>15</v>
      </c>
      <c r="C487" s="5">
        <v>18111969</v>
      </c>
      <c r="D487" s="5">
        <v>21052018</v>
      </c>
      <c r="E487" s="4">
        <v>48</v>
      </c>
      <c r="F487" s="15">
        <f t="shared" si="33"/>
        <v>43271</v>
      </c>
      <c r="G487" s="12">
        <f t="shared" si="34"/>
        <v>2018</v>
      </c>
      <c r="H487" s="12" t="str">
        <f t="shared" si="35"/>
        <v>Junho</v>
      </c>
      <c r="I487" s="11">
        <f>INDEX(tbCadastroConsultas[],MATCH(tbConsultas[[#This Row],[PROFISSIONAL]],tbCadastroConsultas[PROFISSIONAL],0),3)</f>
        <v>301010072</v>
      </c>
      <c r="J487" s="11">
        <f>INDEX(tbCadastroConsultas[],MATCH(tbConsultas[[#This Row],[PROFISSIONAL]],tbCadastroConsultas[PROFISSIONAL],0),4)</f>
        <v>225133</v>
      </c>
    </row>
    <row r="488" spans="1:10">
      <c r="A488" s="11">
        <f t="shared" si="36"/>
        <v>487</v>
      </c>
      <c r="B488" s="4" t="s">
        <v>15</v>
      </c>
      <c r="C488" s="5">
        <v>23111984</v>
      </c>
      <c r="D488" s="5">
        <v>21052018</v>
      </c>
      <c r="E488" s="4">
        <v>33</v>
      </c>
      <c r="F488" s="15">
        <f t="shared" si="33"/>
        <v>43271</v>
      </c>
      <c r="G488" s="12">
        <f t="shared" si="34"/>
        <v>2018</v>
      </c>
      <c r="H488" s="12" t="str">
        <f t="shared" si="35"/>
        <v>Junho</v>
      </c>
      <c r="I488" s="11">
        <f>INDEX(tbCadastroConsultas[],MATCH(tbConsultas[[#This Row],[PROFISSIONAL]],tbCadastroConsultas[PROFISSIONAL],0),3)</f>
        <v>301010072</v>
      </c>
      <c r="J488" s="11">
        <f>INDEX(tbCadastroConsultas[],MATCH(tbConsultas[[#This Row],[PROFISSIONAL]],tbCadastroConsultas[PROFISSIONAL],0),4)</f>
        <v>225133</v>
      </c>
    </row>
    <row r="489" spans="1:10">
      <c r="A489" s="11">
        <f t="shared" si="36"/>
        <v>488</v>
      </c>
      <c r="B489" s="4" t="s">
        <v>15</v>
      </c>
      <c r="C489" s="5">
        <v>28051962</v>
      </c>
      <c r="D489" s="5">
        <v>21052018</v>
      </c>
      <c r="E489" s="4">
        <v>56</v>
      </c>
      <c r="F489" s="15">
        <f t="shared" si="33"/>
        <v>43271</v>
      </c>
      <c r="G489" s="12">
        <f t="shared" si="34"/>
        <v>2018</v>
      </c>
      <c r="H489" s="12" t="str">
        <f t="shared" si="35"/>
        <v>Junho</v>
      </c>
      <c r="I489" s="11">
        <f>INDEX(tbCadastroConsultas[],MATCH(tbConsultas[[#This Row],[PROFISSIONAL]],tbCadastroConsultas[PROFISSIONAL],0),3)</f>
        <v>301010072</v>
      </c>
      <c r="J489" s="11">
        <f>INDEX(tbCadastroConsultas[],MATCH(tbConsultas[[#This Row],[PROFISSIONAL]],tbCadastroConsultas[PROFISSIONAL],0),4)</f>
        <v>225133</v>
      </c>
    </row>
    <row r="490" spans="1:10">
      <c r="A490" s="11">
        <f t="shared" si="36"/>
        <v>489</v>
      </c>
      <c r="B490" s="4" t="s">
        <v>15</v>
      </c>
      <c r="C490" s="5">
        <v>11021955</v>
      </c>
      <c r="D490" s="5">
        <v>21052018</v>
      </c>
      <c r="E490" s="4">
        <v>63</v>
      </c>
      <c r="F490" s="15">
        <f t="shared" si="33"/>
        <v>43271</v>
      </c>
      <c r="G490" s="12">
        <f t="shared" si="34"/>
        <v>2018</v>
      </c>
      <c r="H490" s="12" t="str">
        <f t="shared" si="35"/>
        <v>Junho</v>
      </c>
      <c r="I490" s="11">
        <f>INDEX(tbCadastroConsultas[],MATCH(tbConsultas[[#This Row],[PROFISSIONAL]],tbCadastroConsultas[PROFISSIONAL],0),3)</f>
        <v>301010072</v>
      </c>
      <c r="J490" s="11">
        <f>INDEX(tbCadastroConsultas[],MATCH(tbConsultas[[#This Row],[PROFISSIONAL]],tbCadastroConsultas[PROFISSIONAL],0),4)</f>
        <v>225133</v>
      </c>
    </row>
    <row r="491" spans="1:10">
      <c r="A491" s="11">
        <f t="shared" si="36"/>
        <v>490</v>
      </c>
      <c r="B491" s="4" t="s">
        <v>15</v>
      </c>
      <c r="C491" s="5">
        <v>12071963</v>
      </c>
      <c r="D491" s="5">
        <v>21052018</v>
      </c>
      <c r="E491" s="4">
        <v>54</v>
      </c>
      <c r="F491" s="15">
        <f t="shared" si="33"/>
        <v>43271</v>
      </c>
      <c r="G491" s="12">
        <f t="shared" si="34"/>
        <v>2018</v>
      </c>
      <c r="H491" s="12" t="str">
        <f t="shared" si="35"/>
        <v>Junho</v>
      </c>
      <c r="I491" s="11">
        <f>INDEX(tbCadastroConsultas[],MATCH(tbConsultas[[#This Row],[PROFISSIONAL]],tbCadastroConsultas[PROFISSIONAL],0),3)</f>
        <v>301010072</v>
      </c>
      <c r="J491" s="11">
        <f>INDEX(tbCadastroConsultas[],MATCH(tbConsultas[[#This Row],[PROFISSIONAL]],tbCadastroConsultas[PROFISSIONAL],0),4)</f>
        <v>225133</v>
      </c>
    </row>
    <row r="492" spans="1:10">
      <c r="A492" s="11">
        <f t="shared" si="36"/>
        <v>491</v>
      </c>
      <c r="B492" s="4" t="s">
        <v>15</v>
      </c>
      <c r="C492" s="5">
        <v>27091954</v>
      </c>
      <c r="D492" s="5">
        <v>21052018</v>
      </c>
      <c r="E492" s="4">
        <v>63</v>
      </c>
      <c r="F492" s="15">
        <f t="shared" si="33"/>
        <v>43271</v>
      </c>
      <c r="G492" s="12">
        <f t="shared" si="34"/>
        <v>2018</v>
      </c>
      <c r="H492" s="12" t="str">
        <f t="shared" si="35"/>
        <v>Junho</v>
      </c>
      <c r="I492" s="11">
        <f>INDEX(tbCadastroConsultas[],MATCH(tbConsultas[[#This Row],[PROFISSIONAL]],tbCadastroConsultas[PROFISSIONAL],0),3)</f>
        <v>301010072</v>
      </c>
      <c r="J492" s="11">
        <f>INDEX(tbCadastroConsultas[],MATCH(tbConsultas[[#This Row],[PROFISSIONAL]],tbCadastroConsultas[PROFISSIONAL],0),4)</f>
        <v>225133</v>
      </c>
    </row>
    <row r="493" spans="1:10">
      <c r="A493" s="11">
        <f t="shared" si="36"/>
        <v>492</v>
      </c>
      <c r="B493" s="4" t="s">
        <v>15</v>
      </c>
      <c r="C493" s="5">
        <v>17021947</v>
      </c>
      <c r="D493" s="5">
        <v>21052018</v>
      </c>
      <c r="E493" s="4">
        <v>71</v>
      </c>
      <c r="F493" s="15">
        <f t="shared" si="33"/>
        <v>43271</v>
      </c>
      <c r="G493" s="12">
        <f t="shared" si="34"/>
        <v>2018</v>
      </c>
      <c r="H493" s="12" t="str">
        <f t="shared" si="35"/>
        <v>Junho</v>
      </c>
      <c r="I493" s="11">
        <f>INDEX(tbCadastroConsultas[],MATCH(tbConsultas[[#This Row],[PROFISSIONAL]],tbCadastroConsultas[PROFISSIONAL],0),3)</f>
        <v>301010072</v>
      </c>
      <c r="J493" s="11">
        <f>INDEX(tbCadastroConsultas[],MATCH(tbConsultas[[#This Row],[PROFISSIONAL]],tbCadastroConsultas[PROFISSIONAL],0),4)</f>
        <v>225133</v>
      </c>
    </row>
    <row r="494" spans="1:10">
      <c r="A494" s="11">
        <f t="shared" si="36"/>
        <v>493</v>
      </c>
      <c r="B494" s="4" t="s">
        <v>15</v>
      </c>
      <c r="C494" s="5">
        <v>26091940</v>
      </c>
      <c r="D494" s="5">
        <v>21052018</v>
      </c>
      <c r="E494" s="4">
        <v>77</v>
      </c>
      <c r="F494" s="15">
        <f t="shared" si="33"/>
        <v>43271</v>
      </c>
      <c r="G494" s="12">
        <f t="shared" si="34"/>
        <v>2018</v>
      </c>
      <c r="H494" s="12" t="str">
        <f t="shared" si="35"/>
        <v>Junho</v>
      </c>
      <c r="I494" s="11">
        <f>INDEX(tbCadastroConsultas[],MATCH(tbConsultas[[#This Row],[PROFISSIONAL]],tbCadastroConsultas[PROFISSIONAL],0),3)</f>
        <v>301010072</v>
      </c>
      <c r="J494" s="11">
        <f>INDEX(tbCadastroConsultas[],MATCH(tbConsultas[[#This Row],[PROFISSIONAL]],tbCadastroConsultas[PROFISSIONAL],0),4)</f>
        <v>225133</v>
      </c>
    </row>
    <row r="495" spans="1:10">
      <c r="A495" s="11">
        <f t="shared" si="36"/>
        <v>494</v>
      </c>
      <c r="B495" s="4" t="s">
        <v>15</v>
      </c>
      <c r="C495" s="5">
        <v>14071958</v>
      </c>
      <c r="D495" s="5">
        <v>21052018</v>
      </c>
      <c r="E495" s="4">
        <v>59</v>
      </c>
      <c r="F495" s="15">
        <f t="shared" si="33"/>
        <v>43271</v>
      </c>
      <c r="G495" s="12">
        <f t="shared" si="34"/>
        <v>2018</v>
      </c>
      <c r="H495" s="12" t="str">
        <f t="shared" si="35"/>
        <v>Junho</v>
      </c>
      <c r="I495" s="11">
        <f>INDEX(tbCadastroConsultas[],MATCH(tbConsultas[[#This Row],[PROFISSIONAL]],tbCadastroConsultas[PROFISSIONAL],0),3)</f>
        <v>301010072</v>
      </c>
      <c r="J495" s="11">
        <f>INDEX(tbCadastroConsultas[],MATCH(tbConsultas[[#This Row],[PROFISSIONAL]],tbCadastroConsultas[PROFISSIONAL],0),4)</f>
        <v>225133</v>
      </c>
    </row>
    <row r="496" spans="1:10">
      <c r="A496" s="11">
        <f t="shared" si="36"/>
        <v>495</v>
      </c>
      <c r="B496" s="4" t="s">
        <v>15</v>
      </c>
      <c r="C496" s="5">
        <v>7071955</v>
      </c>
      <c r="D496" s="5">
        <v>21052018</v>
      </c>
      <c r="E496" s="4">
        <v>62</v>
      </c>
      <c r="F496" s="15">
        <f t="shared" si="33"/>
        <v>43271</v>
      </c>
      <c r="G496" s="12">
        <f t="shared" si="34"/>
        <v>2018</v>
      </c>
      <c r="H496" s="12" t="str">
        <f t="shared" si="35"/>
        <v>Junho</v>
      </c>
      <c r="I496" s="11">
        <f>INDEX(tbCadastroConsultas[],MATCH(tbConsultas[[#This Row],[PROFISSIONAL]],tbCadastroConsultas[PROFISSIONAL],0),3)</f>
        <v>301010072</v>
      </c>
      <c r="J496" s="11">
        <f>INDEX(tbCadastroConsultas[],MATCH(tbConsultas[[#This Row],[PROFISSIONAL]],tbCadastroConsultas[PROFISSIONAL],0),4)</f>
        <v>225133</v>
      </c>
    </row>
    <row r="497" spans="1:10">
      <c r="A497" s="11">
        <f t="shared" si="36"/>
        <v>496</v>
      </c>
      <c r="B497" s="4" t="s">
        <v>15</v>
      </c>
      <c r="C497" s="5">
        <v>2081952</v>
      </c>
      <c r="D497" s="5">
        <v>21052018</v>
      </c>
      <c r="E497" s="4">
        <v>65</v>
      </c>
      <c r="F497" s="15">
        <f t="shared" si="33"/>
        <v>43271</v>
      </c>
      <c r="G497" s="12">
        <f t="shared" si="34"/>
        <v>2018</v>
      </c>
      <c r="H497" s="12" t="str">
        <f t="shared" si="35"/>
        <v>Junho</v>
      </c>
      <c r="I497" s="11">
        <f>INDEX(tbCadastroConsultas[],MATCH(tbConsultas[[#This Row],[PROFISSIONAL]],tbCadastroConsultas[PROFISSIONAL],0),3)</f>
        <v>301010072</v>
      </c>
      <c r="J497" s="11">
        <f>INDEX(tbCadastroConsultas[],MATCH(tbConsultas[[#This Row],[PROFISSIONAL]],tbCadastroConsultas[PROFISSIONAL],0),4)</f>
        <v>225133</v>
      </c>
    </row>
    <row r="498" spans="1:10">
      <c r="A498" s="11">
        <f t="shared" si="36"/>
        <v>497</v>
      </c>
      <c r="B498" s="4" t="s">
        <v>15</v>
      </c>
      <c r="C498" s="5">
        <v>8041950</v>
      </c>
      <c r="D498" s="5">
        <v>21052018</v>
      </c>
      <c r="E498" s="4">
        <v>68</v>
      </c>
      <c r="F498" s="15">
        <f t="shared" si="33"/>
        <v>43271</v>
      </c>
      <c r="G498" s="12">
        <f t="shared" si="34"/>
        <v>2018</v>
      </c>
      <c r="H498" s="12" t="str">
        <f t="shared" si="35"/>
        <v>Junho</v>
      </c>
      <c r="I498" s="11">
        <f>INDEX(tbCadastroConsultas[],MATCH(tbConsultas[[#This Row],[PROFISSIONAL]],tbCadastroConsultas[PROFISSIONAL],0),3)</f>
        <v>301010072</v>
      </c>
      <c r="J498" s="11">
        <f>INDEX(tbCadastroConsultas[],MATCH(tbConsultas[[#This Row],[PROFISSIONAL]],tbCadastroConsultas[PROFISSIONAL],0),4)</f>
        <v>225133</v>
      </c>
    </row>
    <row r="499" spans="1:10">
      <c r="A499" s="11">
        <f t="shared" si="36"/>
        <v>498</v>
      </c>
      <c r="B499" s="4" t="s">
        <v>79</v>
      </c>
      <c r="C499" s="5">
        <v>3052013</v>
      </c>
      <c r="D499" s="5">
        <v>21052018</v>
      </c>
      <c r="E499" s="4">
        <v>5</v>
      </c>
      <c r="F499" s="15">
        <f t="shared" si="33"/>
        <v>43271</v>
      </c>
      <c r="G499" s="12">
        <f t="shared" si="34"/>
        <v>2018</v>
      </c>
      <c r="H499" s="12" t="str">
        <f t="shared" si="35"/>
        <v>Junho</v>
      </c>
      <c r="I499" s="11">
        <f>INDEX(tbCadastroConsultas[],MATCH(tbConsultas[[#This Row],[PROFISSIONAL]],tbCadastroConsultas[PROFISSIONAL],0),3)</f>
        <v>301010080</v>
      </c>
      <c r="J499" s="11">
        <f>INDEX(tbCadastroConsultas[],MATCH(tbConsultas[[#This Row],[PROFISSIONAL]],tbCadastroConsultas[PROFISSIONAL],0),4)</f>
        <v>223565</v>
      </c>
    </row>
    <row r="500" spans="1:10">
      <c r="A500" s="11">
        <f t="shared" si="36"/>
        <v>499</v>
      </c>
      <c r="B500" s="4" t="s">
        <v>5</v>
      </c>
      <c r="C500" s="5">
        <v>25071956</v>
      </c>
      <c r="D500" s="5">
        <v>21052018</v>
      </c>
      <c r="E500" s="4">
        <v>61</v>
      </c>
      <c r="F500" s="15">
        <f t="shared" si="33"/>
        <v>43271</v>
      </c>
      <c r="G500" s="12">
        <f t="shared" si="34"/>
        <v>2018</v>
      </c>
      <c r="H500" s="12" t="str">
        <f t="shared" si="35"/>
        <v>Junho</v>
      </c>
      <c r="I500" s="11">
        <f>INDEX(tbCadastroConsultas[],MATCH(tbConsultas[[#This Row],[PROFISSIONAL]],tbCadastroConsultas[PROFISSIONAL],0),3)</f>
        <v>301010030</v>
      </c>
      <c r="J500" s="11">
        <f>INDEX(tbCadastroConsultas[],MATCH(tbConsultas[[#This Row],[PROFISSIONAL]],tbCadastroConsultas[PROFISSIONAL],0),4)</f>
        <v>223565</v>
      </c>
    </row>
    <row r="501" spans="1:10">
      <c r="A501" s="11">
        <f t="shared" si="36"/>
        <v>500</v>
      </c>
      <c r="B501" s="4" t="s">
        <v>5</v>
      </c>
      <c r="C501" s="5">
        <v>2081952</v>
      </c>
      <c r="D501" s="5">
        <v>21052018</v>
      </c>
      <c r="E501" s="4">
        <v>65</v>
      </c>
      <c r="F501" s="15">
        <f t="shared" si="33"/>
        <v>43271</v>
      </c>
      <c r="G501" s="12">
        <f t="shared" si="34"/>
        <v>2018</v>
      </c>
      <c r="H501" s="12" t="str">
        <f t="shared" si="35"/>
        <v>Junho</v>
      </c>
      <c r="I501" s="11">
        <f>INDEX(tbCadastroConsultas[],MATCH(tbConsultas[[#This Row],[PROFISSIONAL]],tbCadastroConsultas[PROFISSIONAL],0),3)</f>
        <v>301010030</v>
      </c>
      <c r="J501" s="11">
        <f>INDEX(tbCadastroConsultas[],MATCH(tbConsultas[[#This Row],[PROFISSIONAL]],tbCadastroConsultas[PROFISSIONAL],0),4)</f>
        <v>223565</v>
      </c>
    </row>
    <row r="502" spans="1:10">
      <c r="A502" s="11">
        <f t="shared" si="36"/>
        <v>501</v>
      </c>
      <c r="B502" s="4" t="s">
        <v>5</v>
      </c>
      <c r="C502" s="5">
        <v>13111956</v>
      </c>
      <c r="D502" s="5">
        <v>21052018</v>
      </c>
      <c r="E502" s="4">
        <v>61</v>
      </c>
      <c r="F502" s="15">
        <f t="shared" si="33"/>
        <v>43271</v>
      </c>
      <c r="G502" s="12">
        <f t="shared" si="34"/>
        <v>2018</v>
      </c>
      <c r="H502" s="12" t="str">
        <f t="shared" si="35"/>
        <v>Junho</v>
      </c>
      <c r="I502" s="11">
        <f>INDEX(tbCadastroConsultas[],MATCH(tbConsultas[[#This Row],[PROFISSIONAL]],tbCadastroConsultas[PROFISSIONAL],0),3)</f>
        <v>301010030</v>
      </c>
      <c r="J502" s="11">
        <f>INDEX(tbCadastroConsultas[],MATCH(tbConsultas[[#This Row],[PROFISSIONAL]],tbCadastroConsultas[PROFISSIONAL],0),4)</f>
        <v>223565</v>
      </c>
    </row>
    <row r="503" spans="1:10">
      <c r="A503" s="11">
        <f t="shared" si="36"/>
        <v>502</v>
      </c>
      <c r="B503" s="4" t="s">
        <v>5</v>
      </c>
      <c r="C503" s="5">
        <v>5062015</v>
      </c>
      <c r="D503" s="5">
        <v>21052018</v>
      </c>
      <c r="E503" s="4">
        <v>2</v>
      </c>
      <c r="F503" s="15">
        <f t="shared" si="33"/>
        <v>43271</v>
      </c>
      <c r="G503" s="12">
        <f t="shared" si="34"/>
        <v>2018</v>
      </c>
      <c r="H503" s="12" t="str">
        <f t="shared" si="35"/>
        <v>Junho</v>
      </c>
      <c r="I503" s="11">
        <f>INDEX(tbCadastroConsultas[],MATCH(tbConsultas[[#This Row],[PROFISSIONAL]],tbCadastroConsultas[PROFISSIONAL],0),3)</f>
        <v>301010030</v>
      </c>
      <c r="J503" s="11">
        <f>INDEX(tbCadastroConsultas[],MATCH(tbConsultas[[#This Row],[PROFISSIONAL]],tbCadastroConsultas[PROFISSIONAL],0),4)</f>
        <v>223565</v>
      </c>
    </row>
    <row r="504" spans="1:10">
      <c r="A504" s="11">
        <f t="shared" si="36"/>
        <v>503</v>
      </c>
      <c r="B504" s="4" t="s">
        <v>5</v>
      </c>
      <c r="C504" s="5">
        <v>22081958</v>
      </c>
      <c r="D504" s="5">
        <v>21052018</v>
      </c>
      <c r="E504" s="4">
        <v>59</v>
      </c>
      <c r="F504" s="15">
        <f t="shared" si="33"/>
        <v>43271</v>
      </c>
      <c r="G504" s="12">
        <f t="shared" si="34"/>
        <v>2018</v>
      </c>
      <c r="H504" s="12" t="str">
        <f t="shared" si="35"/>
        <v>Junho</v>
      </c>
      <c r="I504" s="11">
        <f>INDEX(tbCadastroConsultas[],MATCH(tbConsultas[[#This Row],[PROFISSIONAL]],tbCadastroConsultas[PROFISSIONAL],0),3)</f>
        <v>301010030</v>
      </c>
      <c r="J504" s="11">
        <f>INDEX(tbCadastroConsultas[],MATCH(tbConsultas[[#This Row],[PROFISSIONAL]],tbCadastroConsultas[PROFISSIONAL],0),4)</f>
        <v>223565</v>
      </c>
    </row>
    <row r="505" spans="1:10">
      <c r="A505" s="11">
        <f t="shared" si="36"/>
        <v>504</v>
      </c>
      <c r="B505" s="4" t="s">
        <v>5</v>
      </c>
      <c r="C505" s="5">
        <v>28031998</v>
      </c>
      <c r="D505" s="5">
        <v>21052018</v>
      </c>
      <c r="E505" s="4">
        <v>20</v>
      </c>
      <c r="F505" s="15">
        <f t="shared" si="33"/>
        <v>43271</v>
      </c>
      <c r="G505" s="12">
        <f t="shared" si="34"/>
        <v>2018</v>
      </c>
      <c r="H505" s="12" t="str">
        <f t="shared" si="35"/>
        <v>Junho</v>
      </c>
      <c r="I505" s="11">
        <f>INDEX(tbCadastroConsultas[],MATCH(tbConsultas[[#This Row],[PROFISSIONAL]],tbCadastroConsultas[PROFISSIONAL],0),3)</f>
        <v>301010030</v>
      </c>
      <c r="J505" s="11">
        <f>INDEX(tbCadastroConsultas[],MATCH(tbConsultas[[#This Row],[PROFISSIONAL]],tbCadastroConsultas[PROFISSIONAL],0),4)</f>
        <v>223565</v>
      </c>
    </row>
    <row r="506" spans="1:10">
      <c r="A506" s="11">
        <f t="shared" ref="A506:A513" si="37">ROW() -1</f>
        <v>505</v>
      </c>
      <c r="B506" s="4" t="s">
        <v>5</v>
      </c>
      <c r="C506" s="5">
        <v>8111996</v>
      </c>
      <c r="D506" s="5">
        <v>21052018</v>
      </c>
      <c r="E506" s="4">
        <v>21</v>
      </c>
      <c r="F506" s="15">
        <f t="shared" si="33"/>
        <v>43271</v>
      </c>
      <c r="G506" s="12">
        <f t="shared" si="34"/>
        <v>2018</v>
      </c>
      <c r="H506" s="12" t="str">
        <f t="shared" si="35"/>
        <v>Junho</v>
      </c>
      <c r="I506" s="11">
        <f>INDEX(tbCadastroConsultas[],MATCH(tbConsultas[[#This Row],[PROFISSIONAL]],tbCadastroConsultas[PROFISSIONAL],0),3)</f>
        <v>301010030</v>
      </c>
      <c r="J506" s="11">
        <f>INDEX(tbCadastroConsultas[],MATCH(tbConsultas[[#This Row],[PROFISSIONAL]],tbCadastroConsultas[PROFISSIONAL],0),4)</f>
        <v>223565</v>
      </c>
    </row>
    <row r="507" spans="1:10">
      <c r="A507" s="11">
        <f t="shared" si="37"/>
        <v>506</v>
      </c>
      <c r="B507" s="4" t="s">
        <v>14</v>
      </c>
      <c r="C507" s="5">
        <v>2111986</v>
      </c>
      <c r="D507" s="5">
        <v>21052018</v>
      </c>
      <c r="E507" s="4">
        <v>31</v>
      </c>
      <c r="F507" s="15">
        <f t="shared" si="33"/>
        <v>43271</v>
      </c>
      <c r="G507" s="12">
        <f t="shared" si="34"/>
        <v>2018</v>
      </c>
      <c r="H507" s="12" t="str">
        <f t="shared" si="35"/>
        <v>Junho</v>
      </c>
      <c r="I507" s="11">
        <f>INDEX(tbCadastroConsultas[],MATCH(tbConsultas[[#This Row],[PROFISSIONAL]],tbCadastroConsultas[PROFISSIONAL],0),3)</f>
        <v>301010110</v>
      </c>
      <c r="J507" s="11">
        <f>INDEX(tbCadastroConsultas[],MATCH(tbConsultas[[#This Row],[PROFISSIONAL]],tbCadastroConsultas[PROFISSIONAL],0),4)</f>
        <v>225142</v>
      </c>
    </row>
    <row r="508" spans="1:10">
      <c r="A508" s="11">
        <f t="shared" si="37"/>
        <v>507</v>
      </c>
      <c r="B508" s="4" t="s">
        <v>14</v>
      </c>
      <c r="C508" s="5">
        <v>1031993</v>
      </c>
      <c r="D508" s="5">
        <v>21052018</v>
      </c>
      <c r="E508" s="4">
        <v>25</v>
      </c>
      <c r="F508" s="15">
        <f t="shared" si="33"/>
        <v>43271</v>
      </c>
      <c r="G508" s="12">
        <f t="shared" si="34"/>
        <v>2018</v>
      </c>
      <c r="H508" s="12" t="str">
        <f t="shared" si="35"/>
        <v>Junho</v>
      </c>
      <c r="I508" s="11">
        <f>INDEX(tbCadastroConsultas[],MATCH(tbConsultas[[#This Row],[PROFISSIONAL]],tbCadastroConsultas[PROFISSIONAL],0),3)</f>
        <v>301010110</v>
      </c>
      <c r="J508" s="11">
        <f>INDEX(tbCadastroConsultas[],MATCH(tbConsultas[[#This Row],[PROFISSIONAL]],tbCadastroConsultas[PROFISSIONAL],0),4)</f>
        <v>225142</v>
      </c>
    </row>
    <row r="509" spans="1:10">
      <c r="A509" s="11">
        <f t="shared" si="37"/>
        <v>508</v>
      </c>
      <c r="B509" s="4" t="s">
        <v>14</v>
      </c>
      <c r="C509" s="5">
        <v>20101997</v>
      </c>
      <c r="D509" s="5">
        <v>21052018</v>
      </c>
      <c r="E509" s="4">
        <v>20</v>
      </c>
      <c r="F509" s="15">
        <f t="shared" si="33"/>
        <v>43271</v>
      </c>
      <c r="G509" s="12">
        <f t="shared" si="34"/>
        <v>2018</v>
      </c>
      <c r="H509" s="12" t="str">
        <f t="shared" si="35"/>
        <v>Junho</v>
      </c>
      <c r="I509" s="11">
        <f>INDEX(tbCadastroConsultas[],MATCH(tbConsultas[[#This Row],[PROFISSIONAL]],tbCadastroConsultas[PROFISSIONAL],0),3)</f>
        <v>301010110</v>
      </c>
      <c r="J509" s="11">
        <f>INDEX(tbCadastroConsultas[],MATCH(tbConsultas[[#This Row],[PROFISSIONAL]],tbCadastroConsultas[PROFISSIONAL],0),4)</f>
        <v>225142</v>
      </c>
    </row>
    <row r="510" spans="1:10">
      <c r="A510" s="11">
        <f t="shared" si="37"/>
        <v>509</v>
      </c>
      <c r="B510" s="4" t="s">
        <v>14</v>
      </c>
      <c r="C510" s="5">
        <v>11121986</v>
      </c>
      <c r="D510" s="5">
        <v>21052018</v>
      </c>
      <c r="E510" s="4">
        <v>31</v>
      </c>
      <c r="F510" s="15">
        <f t="shared" si="33"/>
        <v>43271</v>
      </c>
      <c r="G510" s="12">
        <f t="shared" si="34"/>
        <v>2018</v>
      </c>
      <c r="H510" s="12" t="str">
        <f t="shared" si="35"/>
        <v>Junho</v>
      </c>
      <c r="I510" s="11">
        <f>INDEX(tbCadastroConsultas[],MATCH(tbConsultas[[#This Row],[PROFISSIONAL]],tbCadastroConsultas[PROFISSIONAL],0),3)</f>
        <v>301010110</v>
      </c>
      <c r="J510" s="11">
        <f>INDEX(tbCadastroConsultas[],MATCH(tbConsultas[[#This Row],[PROFISSIONAL]],tbCadastroConsultas[PROFISSIONAL],0),4)</f>
        <v>225142</v>
      </c>
    </row>
    <row r="511" spans="1:10">
      <c r="A511" s="11">
        <f t="shared" si="37"/>
        <v>510</v>
      </c>
      <c r="B511" s="4" t="s">
        <v>14</v>
      </c>
      <c r="C511" s="5">
        <v>22091984</v>
      </c>
      <c r="D511" s="5">
        <v>21052018</v>
      </c>
      <c r="E511" s="4">
        <v>33</v>
      </c>
      <c r="F511" s="15">
        <f t="shared" si="33"/>
        <v>43271</v>
      </c>
      <c r="G511" s="12">
        <f t="shared" si="34"/>
        <v>2018</v>
      </c>
      <c r="H511" s="12" t="str">
        <f t="shared" si="35"/>
        <v>Junho</v>
      </c>
      <c r="I511" s="11">
        <f>INDEX(tbCadastroConsultas[],MATCH(tbConsultas[[#This Row],[PROFISSIONAL]],tbCadastroConsultas[PROFISSIONAL],0),3)</f>
        <v>301010110</v>
      </c>
      <c r="J511" s="11">
        <f>INDEX(tbCadastroConsultas[],MATCH(tbConsultas[[#This Row],[PROFISSIONAL]],tbCadastroConsultas[PROFISSIONAL],0),4)</f>
        <v>225142</v>
      </c>
    </row>
    <row r="512" spans="1:10">
      <c r="A512" s="11">
        <f t="shared" si="37"/>
        <v>511</v>
      </c>
      <c r="B512" s="4" t="s">
        <v>14</v>
      </c>
      <c r="C512" s="5">
        <v>5051984</v>
      </c>
      <c r="D512" s="5">
        <v>21052018</v>
      </c>
      <c r="E512" s="4">
        <v>34</v>
      </c>
      <c r="F512" s="15">
        <f t="shared" si="33"/>
        <v>43271</v>
      </c>
      <c r="G512" s="12">
        <f t="shared" si="34"/>
        <v>2018</v>
      </c>
      <c r="H512" s="12" t="str">
        <f t="shared" si="35"/>
        <v>Junho</v>
      </c>
      <c r="I512" s="11">
        <f>INDEX(tbCadastroConsultas[],MATCH(tbConsultas[[#This Row],[PROFISSIONAL]],tbCadastroConsultas[PROFISSIONAL],0),3)</f>
        <v>301010110</v>
      </c>
      <c r="J512" s="11">
        <f>INDEX(tbCadastroConsultas[],MATCH(tbConsultas[[#This Row],[PROFISSIONAL]],tbCadastroConsultas[PROFISSIONAL],0),4)</f>
        <v>225142</v>
      </c>
    </row>
    <row r="513" spans="1:10">
      <c r="A513" s="11">
        <f t="shared" si="37"/>
        <v>512</v>
      </c>
      <c r="B513" s="4" t="s">
        <v>14</v>
      </c>
      <c r="C513" s="5">
        <v>19081992</v>
      </c>
      <c r="D513" s="5">
        <v>21052018</v>
      </c>
      <c r="E513" s="4">
        <v>25</v>
      </c>
      <c r="F513" s="15">
        <f t="shared" si="33"/>
        <v>43271</v>
      </c>
      <c r="G513" s="12">
        <f t="shared" si="34"/>
        <v>2018</v>
      </c>
      <c r="H513" s="12" t="str">
        <f t="shared" si="35"/>
        <v>Junho</v>
      </c>
      <c r="I513" s="11">
        <f>INDEX(tbCadastroConsultas[],MATCH(tbConsultas[[#This Row],[PROFISSIONAL]],tbCadastroConsultas[PROFISSIONAL],0),3)</f>
        <v>301010110</v>
      </c>
      <c r="J513" s="11">
        <f>INDEX(tbCadastroConsultas[],MATCH(tbConsultas[[#This Row],[PROFISSIONAL]],tbCadastroConsultas[PROFISSIONAL],0),4)</f>
        <v>225142</v>
      </c>
    </row>
    <row r="514" spans="1:10">
      <c r="A514" s="11">
        <f t="shared" ref="A514:A545" si="38">ROW() -1</f>
        <v>513</v>
      </c>
      <c r="B514" s="4" t="s">
        <v>5</v>
      </c>
      <c r="C514" s="5">
        <v>22071946</v>
      </c>
      <c r="D514" s="5">
        <v>21052018</v>
      </c>
      <c r="E514" s="4">
        <v>71</v>
      </c>
      <c r="F514" s="15">
        <f t="shared" ref="F514:F577" si="39">IF(D514="","",DATE(YEAR(TEXT(D514,"00\/00\/0000")),MONTH(TEXT(D514,"00\/00\/0000"))+1,20))</f>
        <v>43271</v>
      </c>
      <c r="G514" s="12">
        <f t="shared" ref="G514:G577" si="40">IF(F514="","",YEAR(F514))</f>
        <v>2018</v>
      </c>
      <c r="H514" s="12" t="str">
        <f t="shared" ref="H514:H577" si="41">PROPER(TEXT(F514,"mmmm"))</f>
        <v>Junho</v>
      </c>
      <c r="I514" s="11">
        <f>INDEX(tbCadastroConsultas[],MATCH(tbConsultas[[#This Row],[PROFISSIONAL]],tbCadastroConsultas[PROFISSIONAL],0),3)</f>
        <v>301010030</v>
      </c>
      <c r="J514" s="11">
        <f>INDEX(tbCadastroConsultas[],MATCH(tbConsultas[[#This Row],[PROFISSIONAL]],tbCadastroConsultas[PROFISSIONAL],0),4)</f>
        <v>223565</v>
      </c>
    </row>
    <row r="515" spans="1:10">
      <c r="A515" s="11">
        <f t="shared" si="38"/>
        <v>514</v>
      </c>
      <c r="B515" s="4" t="s">
        <v>5</v>
      </c>
      <c r="C515" s="5">
        <v>20111950</v>
      </c>
      <c r="D515" s="5">
        <v>21052018</v>
      </c>
      <c r="E515" s="4">
        <v>67</v>
      </c>
      <c r="F515" s="15">
        <f t="shared" si="39"/>
        <v>43271</v>
      </c>
      <c r="G515" s="12">
        <f t="shared" si="40"/>
        <v>2018</v>
      </c>
      <c r="H515" s="12" t="str">
        <f t="shared" si="41"/>
        <v>Junho</v>
      </c>
      <c r="I515" s="11">
        <f>INDEX(tbCadastroConsultas[],MATCH(tbConsultas[[#This Row],[PROFISSIONAL]],tbCadastroConsultas[PROFISSIONAL],0),3)</f>
        <v>301010030</v>
      </c>
      <c r="J515" s="11">
        <f>INDEX(tbCadastroConsultas[],MATCH(tbConsultas[[#This Row],[PROFISSIONAL]],tbCadastroConsultas[PROFISSIONAL],0),4)</f>
        <v>223565</v>
      </c>
    </row>
    <row r="516" spans="1:10">
      <c r="A516" s="11">
        <f t="shared" si="38"/>
        <v>515</v>
      </c>
      <c r="B516" s="4" t="s">
        <v>5</v>
      </c>
      <c r="C516" s="5">
        <v>8111972</v>
      </c>
      <c r="D516" s="5">
        <v>21052018</v>
      </c>
      <c r="E516" s="4">
        <v>45</v>
      </c>
      <c r="F516" s="15">
        <f t="shared" si="39"/>
        <v>43271</v>
      </c>
      <c r="G516" s="12">
        <f t="shared" si="40"/>
        <v>2018</v>
      </c>
      <c r="H516" s="12" t="str">
        <f t="shared" si="41"/>
        <v>Junho</v>
      </c>
      <c r="I516" s="11">
        <f>INDEX(tbCadastroConsultas[],MATCH(tbConsultas[[#This Row],[PROFISSIONAL]],tbCadastroConsultas[PROFISSIONAL],0),3)</f>
        <v>301010030</v>
      </c>
      <c r="J516" s="11">
        <f>INDEX(tbCadastroConsultas[],MATCH(tbConsultas[[#This Row],[PROFISSIONAL]],tbCadastroConsultas[PROFISSIONAL],0),4)</f>
        <v>223565</v>
      </c>
    </row>
    <row r="517" spans="1:10">
      <c r="A517" s="11">
        <f t="shared" si="38"/>
        <v>516</v>
      </c>
      <c r="B517" s="4" t="s">
        <v>5</v>
      </c>
      <c r="C517" s="5">
        <v>18061966</v>
      </c>
      <c r="D517" s="5">
        <v>21052018</v>
      </c>
      <c r="E517" s="4">
        <v>51</v>
      </c>
      <c r="F517" s="15">
        <f t="shared" si="39"/>
        <v>43271</v>
      </c>
      <c r="G517" s="12">
        <f t="shared" si="40"/>
        <v>2018</v>
      </c>
      <c r="H517" s="12" t="str">
        <f t="shared" si="41"/>
        <v>Junho</v>
      </c>
      <c r="I517" s="11">
        <f>INDEX(tbCadastroConsultas[],MATCH(tbConsultas[[#This Row],[PROFISSIONAL]],tbCadastroConsultas[PROFISSIONAL],0),3)</f>
        <v>301010030</v>
      </c>
      <c r="J517" s="11">
        <f>INDEX(tbCadastroConsultas[],MATCH(tbConsultas[[#This Row],[PROFISSIONAL]],tbCadastroConsultas[PROFISSIONAL],0),4)</f>
        <v>223565</v>
      </c>
    </row>
    <row r="518" spans="1:10">
      <c r="A518" s="11">
        <f t="shared" si="38"/>
        <v>517</v>
      </c>
      <c r="B518" s="4" t="s">
        <v>5</v>
      </c>
      <c r="C518" s="5">
        <v>30071944</v>
      </c>
      <c r="D518" s="5">
        <v>21052018</v>
      </c>
      <c r="E518" s="4">
        <v>73</v>
      </c>
      <c r="F518" s="15">
        <f t="shared" si="39"/>
        <v>43271</v>
      </c>
      <c r="G518" s="12">
        <f t="shared" si="40"/>
        <v>2018</v>
      </c>
      <c r="H518" s="12" t="str">
        <f t="shared" si="41"/>
        <v>Junho</v>
      </c>
      <c r="I518" s="11">
        <f>INDEX(tbCadastroConsultas[],MATCH(tbConsultas[[#This Row],[PROFISSIONAL]],tbCadastroConsultas[PROFISSIONAL],0),3)</f>
        <v>301010030</v>
      </c>
      <c r="J518" s="11">
        <f>INDEX(tbCadastroConsultas[],MATCH(tbConsultas[[#This Row],[PROFISSIONAL]],tbCadastroConsultas[PROFISSIONAL],0),4)</f>
        <v>223565</v>
      </c>
    </row>
    <row r="519" spans="1:10">
      <c r="A519" s="11">
        <f t="shared" si="38"/>
        <v>518</v>
      </c>
      <c r="B519" s="4" t="s">
        <v>5</v>
      </c>
      <c r="C519" s="5">
        <v>8091966</v>
      </c>
      <c r="D519" s="5">
        <v>21052018</v>
      </c>
      <c r="E519" s="4">
        <v>51</v>
      </c>
      <c r="F519" s="15">
        <f t="shared" si="39"/>
        <v>43271</v>
      </c>
      <c r="G519" s="12">
        <f t="shared" si="40"/>
        <v>2018</v>
      </c>
      <c r="H519" s="12" t="str">
        <f t="shared" si="41"/>
        <v>Junho</v>
      </c>
      <c r="I519" s="11">
        <f>INDEX(tbCadastroConsultas[],MATCH(tbConsultas[[#This Row],[PROFISSIONAL]],tbCadastroConsultas[PROFISSIONAL],0),3)</f>
        <v>301010030</v>
      </c>
      <c r="J519" s="11">
        <f>INDEX(tbCadastroConsultas[],MATCH(tbConsultas[[#This Row],[PROFISSIONAL]],tbCadastroConsultas[PROFISSIONAL],0),4)</f>
        <v>223565</v>
      </c>
    </row>
    <row r="520" spans="1:10">
      <c r="A520" s="11">
        <f t="shared" si="38"/>
        <v>519</v>
      </c>
      <c r="B520" s="4" t="s">
        <v>13</v>
      </c>
      <c r="C520" s="5">
        <v>2072009</v>
      </c>
      <c r="D520" s="5">
        <v>21052018</v>
      </c>
      <c r="E520" s="4">
        <v>8</v>
      </c>
      <c r="F520" s="15">
        <f t="shared" si="39"/>
        <v>43271</v>
      </c>
      <c r="G520" s="12">
        <f t="shared" si="40"/>
        <v>2018</v>
      </c>
      <c r="H520" s="12" t="str">
        <f t="shared" si="41"/>
        <v>Junho</v>
      </c>
      <c r="I520" s="11">
        <f>INDEX(tbCadastroConsultas[],MATCH(tbConsultas[[#This Row],[PROFISSIONAL]],tbCadastroConsultas[PROFISSIONAL],0),3)</f>
        <v>301010080</v>
      </c>
      <c r="J520" s="11">
        <f>INDEX(tbCadastroConsultas[],MATCH(tbConsultas[[#This Row],[PROFISSIONAL]],tbCadastroConsultas[PROFISSIONAL],0),4)</f>
        <v>225142</v>
      </c>
    </row>
    <row r="521" spans="1:10">
      <c r="A521" s="11">
        <f t="shared" si="38"/>
        <v>520</v>
      </c>
      <c r="B521" s="4" t="s">
        <v>13</v>
      </c>
      <c r="C521" s="5">
        <v>7022013</v>
      </c>
      <c r="D521" s="5">
        <v>21052018</v>
      </c>
      <c r="E521" s="4">
        <v>5</v>
      </c>
      <c r="F521" s="15">
        <f t="shared" si="39"/>
        <v>43271</v>
      </c>
      <c r="G521" s="12">
        <f t="shared" si="40"/>
        <v>2018</v>
      </c>
      <c r="H521" s="12" t="str">
        <f t="shared" si="41"/>
        <v>Junho</v>
      </c>
      <c r="I521" s="11">
        <f>INDEX(tbCadastroConsultas[],MATCH(tbConsultas[[#This Row],[PROFISSIONAL]],tbCadastroConsultas[PROFISSIONAL],0),3)</f>
        <v>301010080</v>
      </c>
      <c r="J521" s="11">
        <f>INDEX(tbCadastroConsultas[],MATCH(tbConsultas[[#This Row],[PROFISSIONAL]],tbCadastroConsultas[PROFISSIONAL],0),4)</f>
        <v>225142</v>
      </c>
    </row>
    <row r="522" spans="1:10">
      <c r="A522" s="11">
        <f t="shared" si="38"/>
        <v>521</v>
      </c>
      <c r="B522" s="4" t="s">
        <v>13</v>
      </c>
      <c r="C522" s="5">
        <v>2092006</v>
      </c>
      <c r="D522" s="5">
        <v>21052018</v>
      </c>
      <c r="E522" s="4">
        <v>11</v>
      </c>
      <c r="F522" s="15">
        <f t="shared" si="39"/>
        <v>43271</v>
      </c>
      <c r="G522" s="12">
        <f t="shared" si="40"/>
        <v>2018</v>
      </c>
      <c r="H522" s="12" t="str">
        <f t="shared" si="41"/>
        <v>Junho</v>
      </c>
      <c r="I522" s="11">
        <f>INDEX(tbCadastroConsultas[],MATCH(tbConsultas[[#This Row],[PROFISSIONAL]],tbCadastroConsultas[PROFISSIONAL],0),3)</f>
        <v>301010080</v>
      </c>
      <c r="J522" s="11">
        <f>INDEX(tbCadastroConsultas[],MATCH(tbConsultas[[#This Row],[PROFISSIONAL]],tbCadastroConsultas[PROFISSIONAL],0),4)</f>
        <v>225142</v>
      </c>
    </row>
    <row r="523" spans="1:10">
      <c r="A523" s="11">
        <f t="shared" si="38"/>
        <v>522</v>
      </c>
      <c r="B523" s="4" t="s">
        <v>13</v>
      </c>
      <c r="C523" s="5">
        <v>13112007</v>
      </c>
      <c r="D523" s="5">
        <v>21052018</v>
      </c>
      <c r="E523" s="4">
        <v>10</v>
      </c>
      <c r="F523" s="15">
        <f t="shared" si="39"/>
        <v>43271</v>
      </c>
      <c r="G523" s="12">
        <f t="shared" si="40"/>
        <v>2018</v>
      </c>
      <c r="H523" s="12" t="str">
        <f t="shared" si="41"/>
        <v>Junho</v>
      </c>
      <c r="I523" s="11">
        <f>INDEX(tbCadastroConsultas[],MATCH(tbConsultas[[#This Row],[PROFISSIONAL]],tbCadastroConsultas[PROFISSIONAL],0),3)</f>
        <v>301010080</v>
      </c>
      <c r="J523" s="11">
        <f>INDEX(tbCadastroConsultas[],MATCH(tbConsultas[[#This Row],[PROFISSIONAL]],tbCadastroConsultas[PROFISSIONAL],0),4)</f>
        <v>225142</v>
      </c>
    </row>
    <row r="524" spans="1:10">
      <c r="A524" s="11">
        <f t="shared" si="38"/>
        <v>523</v>
      </c>
      <c r="B524" s="4" t="s">
        <v>13</v>
      </c>
      <c r="C524" s="5">
        <v>15072009</v>
      </c>
      <c r="D524" s="5">
        <v>21052018</v>
      </c>
      <c r="E524" s="4">
        <v>8</v>
      </c>
      <c r="F524" s="15">
        <f t="shared" si="39"/>
        <v>43271</v>
      </c>
      <c r="G524" s="12">
        <f t="shared" si="40"/>
        <v>2018</v>
      </c>
      <c r="H524" s="12" t="str">
        <f t="shared" si="41"/>
        <v>Junho</v>
      </c>
      <c r="I524" s="11">
        <f>INDEX(tbCadastroConsultas[],MATCH(tbConsultas[[#This Row],[PROFISSIONAL]],tbCadastroConsultas[PROFISSIONAL],0),3)</f>
        <v>301010080</v>
      </c>
      <c r="J524" s="11">
        <f>INDEX(tbCadastroConsultas[],MATCH(tbConsultas[[#This Row],[PROFISSIONAL]],tbCadastroConsultas[PROFISSIONAL],0),4)</f>
        <v>225142</v>
      </c>
    </row>
    <row r="525" spans="1:10">
      <c r="A525" s="11">
        <f t="shared" si="38"/>
        <v>524</v>
      </c>
      <c r="B525" s="4" t="s">
        <v>10</v>
      </c>
      <c r="C525" s="5">
        <v>15111950</v>
      </c>
      <c r="D525" s="5">
        <v>21052018</v>
      </c>
      <c r="E525" s="4">
        <v>67</v>
      </c>
      <c r="F525" s="15">
        <f t="shared" si="39"/>
        <v>43271</v>
      </c>
      <c r="G525" s="12">
        <f t="shared" si="40"/>
        <v>2018</v>
      </c>
      <c r="H525" s="12" t="str">
        <f t="shared" si="41"/>
        <v>Junho</v>
      </c>
      <c r="I525" s="11">
        <f>INDEX(tbCadastroConsultas[],MATCH(tbConsultas[[#This Row],[PROFISSIONAL]],tbCadastroConsultas[PROFISSIONAL],0),3)</f>
        <v>301010064</v>
      </c>
      <c r="J525" s="11">
        <f>INDEX(tbCadastroConsultas[],MATCH(tbConsultas[[#This Row],[PROFISSIONAL]],tbCadastroConsultas[PROFISSIONAL],0),4)</f>
        <v>225142</v>
      </c>
    </row>
    <row r="526" spans="1:10">
      <c r="A526" s="11">
        <f t="shared" si="38"/>
        <v>525</v>
      </c>
      <c r="B526" s="4" t="s">
        <v>10</v>
      </c>
      <c r="C526" s="5">
        <v>9051989</v>
      </c>
      <c r="D526" s="5">
        <v>21052018</v>
      </c>
      <c r="E526" s="4">
        <v>29</v>
      </c>
      <c r="F526" s="15">
        <f t="shared" si="39"/>
        <v>43271</v>
      </c>
      <c r="G526" s="12">
        <f t="shared" si="40"/>
        <v>2018</v>
      </c>
      <c r="H526" s="12" t="str">
        <f t="shared" si="41"/>
        <v>Junho</v>
      </c>
      <c r="I526" s="11">
        <f>INDEX(tbCadastroConsultas[],MATCH(tbConsultas[[#This Row],[PROFISSIONAL]],tbCadastroConsultas[PROFISSIONAL],0),3)</f>
        <v>301010064</v>
      </c>
      <c r="J526" s="11">
        <f>INDEX(tbCadastroConsultas[],MATCH(tbConsultas[[#This Row],[PROFISSIONAL]],tbCadastroConsultas[PROFISSIONAL],0),4)</f>
        <v>225142</v>
      </c>
    </row>
    <row r="527" spans="1:10">
      <c r="A527" s="11">
        <f t="shared" si="38"/>
        <v>526</v>
      </c>
      <c r="B527" s="4" t="s">
        <v>10</v>
      </c>
      <c r="C527" s="5">
        <v>30111987</v>
      </c>
      <c r="D527" s="5">
        <v>21052018</v>
      </c>
      <c r="E527" s="4">
        <v>30</v>
      </c>
      <c r="F527" s="15">
        <f t="shared" si="39"/>
        <v>43271</v>
      </c>
      <c r="G527" s="12">
        <f t="shared" si="40"/>
        <v>2018</v>
      </c>
      <c r="H527" s="12" t="str">
        <f t="shared" si="41"/>
        <v>Junho</v>
      </c>
      <c r="I527" s="11">
        <f>INDEX(tbCadastroConsultas[],MATCH(tbConsultas[[#This Row],[PROFISSIONAL]],tbCadastroConsultas[PROFISSIONAL],0),3)</f>
        <v>301010064</v>
      </c>
      <c r="J527" s="11">
        <f>INDEX(tbCadastroConsultas[],MATCH(tbConsultas[[#This Row],[PROFISSIONAL]],tbCadastroConsultas[PROFISSIONAL],0),4)</f>
        <v>225142</v>
      </c>
    </row>
    <row r="528" spans="1:10">
      <c r="A528" s="11">
        <f t="shared" si="38"/>
        <v>527</v>
      </c>
      <c r="B528" s="4" t="s">
        <v>10</v>
      </c>
      <c r="C528" s="5">
        <v>2081998</v>
      </c>
      <c r="D528" s="5">
        <v>21052018</v>
      </c>
      <c r="E528" s="4">
        <v>19</v>
      </c>
      <c r="F528" s="15">
        <f t="shared" si="39"/>
        <v>43271</v>
      </c>
      <c r="G528" s="12">
        <f t="shared" si="40"/>
        <v>2018</v>
      </c>
      <c r="H528" s="12" t="str">
        <f t="shared" si="41"/>
        <v>Junho</v>
      </c>
      <c r="I528" s="11">
        <f>INDEX(tbCadastroConsultas[],MATCH(tbConsultas[[#This Row],[PROFISSIONAL]],tbCadastroConsultas[PROFISSIONAL],0),3)</f>
        <v>301010064</v>
      </c>
      <c r="J528" s="11">
        <f>INDEX(tbCadastroConsultas[],MATCH(tbConsultas[[#This Row],[PROFISSIONAL]],tbCadastroConsultas[PROFISSIONAL],0),4)</f>
        <v>225142</v>
      </c>
    </row>
    <row r="529" spans="1:10">
      <c r="A529" s="11">
        <f t="shared" si="38"/>
        <v>528</v>
      </c>
      <c r="B529" s="4" t="s">
        <v>10</v>
      </c>
      <c r="C529" s="5">
        <v>18031989</v>
      </c>
      <c r="D529" s="5">
        <v>21052018</v>
      </c>
      <c r="E529" s="4">
        <v>29</v>
      </c>
      <c r="F529" s="15">
        <f t="shared" si="39"/>
        <v>43271</v>
      </c>
      <c r="G529" s="12">
        <f t="shared" si="40"/>
        <v>2018</v>
      </c>
      <c r="H529" s="12" t="str">
        <f t="shared" si="41"/>
        <v>Junho</v>
      </c>
      <c r="I529" s="11">
        <f>INDEX(tbCadastroConsultas[],MATCH(tbConsultas[[#This Row],[PROFISSIONAL]],tbCadastroConsultas[PROFISSIONAL],0),3)</f>
        <v>301010064</v>
      </c>
      <c r="J529" s="11">
        <f>INDEX(tbCadastroConsultas[],MATCH(tbConsultas[[#This Row],[PROFISSIONAL]],tbCadastroConsultas[PROFISSIONAL],0),4)</f>
        <v>225142</v>
      </c>
    </row>
    <row r="530" spans="1:10">
      <c r="A530" s="11">
        <f t="shared" si="38"/>
        <v>529</v>
      </c>
      <c r="B530" s="4" t="s">
        <v>10</v>
      </c>
      <c r="C530" s="5">
        <v>2111961</v>
      </c>
      <c r="D530" s="5">
        <v>21052018</v>
      </c>
      <c r="E530" s="4">
        <v>56</v>
      </c>
      <c r="F530" s="15">
        <f t="shared" si="39"/>
        <v>43271</v>
      </c>
      <c r="G530" s="12">
        <f t="shared" si="40"/>
        <v>2018</v>
      </c>
      <c r="H530" s="12" t="str">
        <f t="shared" si="41"/>
        <v>Junho</v>
      </c>
      <c r="I530" s="11">
        <f>INDEX(tbCadastroConsultas[],MATCH(tbConsultas[[#This Row],[PROFISSIONAL]],tbCadastroConsultas[PROFISSIONAL],0),3)</f>
        <v>301010064</v>
      </c>
      <c r="J530" s="11">
        <f>INDEX(tbCadastroConsultas[],MATCH(tbConsultas[[#This Row],[PROFISSIONAL]],tbCadastroConsultas[PROFISSIONAL],0),4)</f>
        <v>225142</v>
      </c>
    </row>
    <row r="531" spans="1:10">
      <c r="A531" s="11">
        <f t="shared" si="38"/>
        <v>530</v>
      </c>
      <c r="B531" s="4" t="s">
        <v>10</v>
      </c>
      <c r="C531" s="5">
        <v>16041961</v>
      </c>
      <c r="D531" s="5">
        <v>21052018</v>
      </c>
      <c r="E531" s="4">
        <v>57</v>
      </c>
      <c r="F531" s="15">
        <f t="shared" si="39"/>
        <v>43271</v>
      </c>
      <c r="G531" s="12">
        <f t="shared" si="40"/>
        <v>2018</v>
      </c>
      <c r="H531" s="12" t="str">
        <f t="shared" si="41"/>
        <v>Junho</v>
      </c>
      <c r="I531" s="11">
        <f>INDEX(tbCadastroConsultas[],MATCH(tbConsultas[[#This Row],[PROFISSIONAL]],tbCadastroConsultas[PROFISSIONAL],0),3)</f>
        <v>301010064</v>
      </c>
      <c r="J531" s="11">
        <f>INDEX(tbCadastroConsultas[],MATCH(tbConsultas[[#This Row],[PROFISSIONAL]],tbCadastroConsultas[PROFISSIONAL],0),4)</f>
        <v>225142</v>
      </c>
    </row>
    <row r="532" spans="1:10">
      <c r="A532" s="11">
        <f t="shared" si="38"/>
        <v>531</v>
      </c>
      <c r="B532" s="4" t="s">
        <v>10</v>
      </c>
      <c r="C532" s="5">
        <v>15052001</v>
      </c>
      <c r="D532" s="5">
        <v>21052018</v>
      </c>
      <c r="E532" s="4">
        <v>17</v>
      </c>
      <c r="F532" s="15">
        <f t="shared" si="39"/>
        <v>43271</v>
      </c>
      <c r="G532" s="12">
        <f t="shared" si="40"/>
        <v>2018</v>
      </c>
      <c r="H532" s="12" t="str">
        <f t="shared" si="41"/>
        <v>Junho</v>
      </c>
      <c r="I532" s="11">
        <f>INDEX(tbCadastroConsultas[],MATCH(tbConsultas[[#This Row],[PROFISSIONAL]],tbCadastroConsultas[PROFISSIONAL],0),3)</f>
        <v>301010064</v>
      </c>
      <c r="J532" s="11">
        <f>INDEX(tbCadastroConsultas[],MATCH(tbConsultas[[#This Row],[PROFISSIONAL]],tbCadastroConsultas[PROFISSIONAL],0),4)</f>
        <v>225142</v>
      </c>
    </row>
    <row r="533" spans="1:10">
      <c r="A533" s="11">
        <f t="shared" si="38"/>
        <v>532</v>
      </c>
      <c r="B533" s="4" t="s">
        <v>10</v>
      </c>
      <c r="C533" s="5">
        <v>2012002</v>
      </c>
      <c r="D533" s="5">
        <v>21052018</v>
      </c>
      <c r="E533" s="4">
        <v>16</v>
      </c>
      <c r="F533" s="15">
        <f t="shared" si="39"/>
        <v>43271</v>
      </c>
      <c r="G533" s="12">
        <f t="shared" si="40"/>
        <v>2018</v>
      </c>
      <c r="H533" s="12" t="str">
        <f t="shared" si="41"/>
        <v>Junho</v>
      </c>
      <c r="I533" s="11">
        <f>INDEX(tbCadastroConsultas[],MATCH(tbConsultas[[#This Row],[PROFISSIONAL]],tbCadastroConsultas[PROFISSIONAL],0),3)</f>
        <v>301010064</v>
      </c>
      <c r="J533" s="11">
        <f>INDEX(tbCadastroConsultas[],MATCH(tbConsultas[[#This Row],[PROFISSIONAL]],tbCadastroConsultas[PROFISSIONAL],0),4)</f>
        <v>225142</v>
      </c>
    </row>
    <row r="534" spans="1:10">
      <c r="A534" s="11">
        <f t="shared" si="38"/>
        <v>533</v>
      </c>
      <c r="B534" s="4" t="s">
        <v>10</v>
      </c>
      <c r="C534" s="5">
        <v>27111976</v>
      </c>
      <c r="D534" s="5">
        <v>21052018</v>
      </c>
      <c r="E534" s="4">
        <v>41</v>
      </c>
      <c r="F534" s="15">
        <f t="shared" si="39"/>
        <v>43271</v>
      </c>
      <c r="G534" s="12">
        <f t="shared" si="40"/>
        <v>2018</v>
      </c>
      <c r="H534" s="12" t="str">
        <f t="shared" si="41"/>
        <v>Junho</v>
      </c>
      <c r="I534" s="11">
        <f>INDEX(tbCadastroConsultas[],MATCH(tbConsultas[[#This Row],[PROFISSIONAL]],tbCadastroConsultas[PROFISSIONAL],0),3)</f>
        <v>301010064</v>
      </c>
      <c r="J534" s="11">
        <f>INDEX(tbCadastroConsultas[],MATCH(tbConsultas[[#This Row],[PROFISSIONAL]],tbCadastroConsultas[PROFISSIONAL],0),4)</f>
        <v>225142</v>
      </c>
    </row>
    <row r="535" spans="1:10">
      <c r="A535" s="11">
        <f t="shared" si="38"/>
        <v>534</v>
      </c>
      <c r="B535" s="4" t="s">
        <v>10</v>
      </c>
      <c r="C535" s="5">
        <v>27071964</v>
      </c>
      <c r="D535" s="5">
        <v>21052018</v>
      </c>
      <c r="E535" s="4">
        <v>53</v>
      </c>
      <c r="F535" s="15">
        <f t="shared" si="39"/>
        <v>43271</v>
      </c>
      <c r="G535" s="12">
        <f t="shared" si="40"/>
        <v>2018</v>
      </c>
      <c r="H535" s="12" t="str">
        <f t="shared" si="41"/>
        <v>Junho</v>
      </c>
      <c r="I535" s="11">
        <f>INDEX(tbCadastroConsultas[],MATCH(tbConsultas[[#This Row],[PROFISSIONAL]],tbCadastroConsultas[PROFISSIONAL],0),3)</f>
        <v>301010064</v>
      </c>
      <c r="J535" s="11">
        <f>INDEX(tbCadastroConsultas[],MATCH(tbConsultas[[#This Row],[PROFISSIONAL]],tbCadastroConsultas[PROFISSIONAL],0),4)</f>
        <v>225142</v>
      </c>
    </row>
    <row r="536" spans="1:10">
      <c r="A536" s="11">
        <f t="shared" si="38"/>
        <v>535</v>
      </c>
      <c r="B536" s="4" t="s">
        <v>6</v>
      </c>
      <c r="C536" s="5">
        <v>11062003</v>
      </c>
      <c r="D536" s="5">
        <v>21052018</v>
      </c>
      <c r="E536" s="4">
        <v>14</v>
      </c>
      <c r="F536" s="15">
        <f t="shared" si="39"/>
        <v>43271</v>
      </c>
      <c r="G536" s="12">
        <f t="shared" si="40"/>
        <v>2018</v>
      </c>
      <c r="H536" s="12" t="str">
        <f t="shared" si="41"/>
        <v>Junho</v>
      </c>
      <c r="I536" s="11">
        <f>INDEX(tbCadastroConsultas[],MATCH(tbConsultas[[#This Row],[PROFISSIONAL]],tbCadastroConsultas[PROFISSIONAL],0),3)</f>
        <v>301010064</v>
      </c>
      <c r="J536" s="11">
        <f>INDEX(tbCadastroConsultas[],MATCH(tbConsultas[[#This Row],[PROFISSIONAL]],tbCadastroConsultas[PROFISSIONAL],0),4)</f>
        <v>225125</v>
      </c>
    </row>
    <row r="537" spans="1:10">
      <c r="A537" s="11">
        <f t="shared" si="38"/>
        <v>536</v>
      </c>
      <c r="B537" s="4" t="s">
        <v>6</v>
      </c>
      <c r="C537" s="5">
        <v>14121940</v>
      </c>
      <c r="D537" s="5">
        <v>21052018</v>
      </c>
      <c r="E537" s="4">
        <v>77</v>
      </c>
      <c r="F537" s="15">
        <f t="shared" si="39"/>
        <v>43271</v>
      </c>
      <c r="G537" s="12">
        <f t="shared" si="40"/>
        <v>2018</v>
      </c>
      <c r="H537" s="12" t="str">
        <f t="shared" si="41"/>
        <v>Junho</v>
      </c>
      <c r="I537" s="11">
        <f>INDEX(tbCadastroConsultas[],MATCH(tbConsultas[[#This Row],[PROFISSIONAL]],tbCadastroConsultas[PROFISSIONAL],0),3)</f>
        <v>301010064</v>
      </c>
      <c r="J537" s="11">
        <f>INDEX(tbCadastroConsultas[],MATCH(tbConsultas[[#This Row],[PROFISSIONAL]],tbCadastroConsultas[PROFISSIONAL],0),4)</f>
        <v>225125</v>
      </c>
    </row>
    <row r="538" spans="1:10">
      <c r="A538" s="11">
        <f t="shared" si="38"/>
        <v>537</v>
      </c>
      <c r="B538" s="4" t="s">
        <v>6</v>
      </c>
      <c r="C538" s="5">
        <v>21071963</v>
      </c>
      <c r="D538" s="5">
        <v>21052018</v>
      </c>
      <c r="E538" s="4">
        <v>54</v>
      </c>
      <c r="F538" s="15">
        <f t="shared" si="39"/>
        <v>43271</v>
      </c>
      <c r="G538" s="12">
        <f t="shared" si="40"/>
        <v>2018</v>
      </c>
      <c r="H538" s="12" t="str">
        <f t="shared" si="41"/>
        <v>Junho</v>
      </c>
      <c r="I538" s="11">
        <f>INDEX(tbCadastroConsultas[],MATCH(tbConsultas[[#This Row],[PROFISSIONAL]],tbCadastroConsultas[PROFISSIONAL],0),3)</f>
        <v>301010064</v>
      </c>
      <c r="J538" s="11">
        <f>INDEX(tbCadastroConsultas[],MATCH(tbConsultas[[#This Row],[PROFISSIONAL]],tbCadastroConsultas[PROFISSIONAL],0),4)</f>
        <v>225125</v>
      </c>
    </row>
    <row r="539" spans="1:10">
      <c r="A539" s="11">
        <f t="shared" si="38"/>
        <v>538</v>
      </c>
      <c r="B539" s="4" t="s">
        <v>6</v>
      </c>
      <c r="C539" s="5">
        <v>23121967</v>
      </c>
      <c r="D539" s="5">
        <v>21052018</v>
      </c>
      <c r="E539" s="4">
        <v>50</v>
      </c>
      <c r="F539" s="15">
        <f t="shared" si="39"/>
        <v>43271</v>
      </c>
      <c r="G539" s="12">
        <f t="shared" si="40"/>
        <v>2018</v>
      </c>
      <c r="H539" s="12" t="str">
        <f t="shared" si="41"/>
        <v>Junho</v>
      </c>
      <c r="I539" s="11">
        <f>INDEX(tbCadastroConsultas[],MATCH(tbConsultas[[#This Row],[PROFISSIONAL]],tbCadastroConsultas[PROFISSIONAL],0),3)</f>
        <v>301010064</v>
      </c>
      <c r="J539" s="11">
        <f>INDEX(tbCadastroConsultas[],MATCH(tbConsultas[[#This Row],[PROFISSIONAL]],tbCadastroConsultas[PROFISSIONAL],0),4)</f>
        <v>225125</v>
      </c>
    </row>
    <row r="540" spans="1:10">
      <c r="A540" s="11">
        <f t="shared" si="38"/>
        <v>539</v>
      </c>
      <c r="B540" s="4" t="s">
        <v>6</v>
      </c>
      <c r="C540" s="5">
        <v>29091971</v>
      </c>
      <c r="D540" s="5">
        <v>21052018</v>
      </c>
      <c r="E540" s="4">
        <v>46</v>
      </c>
      <c r="F540" s="15">
        <f t="shared" si="39"/>
        <v>43271</v>
      </c>
      <c r="G540" s="12">
        <f t="shared" si="40"/>
        <v>2018</v>
      </c>
      <c r="H540" s="12" t="str">
        <f t="shared" si="41"/>
        <v>Junho</v>
      </c>
      <c r="I540" s="11">
        <f>INDEX(tbCadastroConsultas[],MATCH(tbConsultas[[#This Row],[PROFISSIONAL]],tbCadastroConsultas[PROFISSIONAL],0),3)</f>
        <v>301010064</v>
      </c>
      <c r="J540" s="11">
        <f>INDEX(tbCadastroConsultas[],MATCH(tbConsultas[[#This Row],[PROFISSIONAL]],tbCadastroConsultas[PROFISSIONAL],0),4)</f>
        <v>225125</v>
      </c>
    </row>
    <row r="541" spans="1:10">
      <c r="A541" s="11">
        <f t="shared" si="38"/>
        <v>540</v>
      </c>
      <c r="B541" s="4" t="s">
        <v>6</v>
      </c>
      <c r="C541" s="5">
        <v>1051998</v>
      </c>
      <c r="D541" s="5">
        <v>21052018</v>
      </c>
      <c r="E541" s="4">
        <v>20</v>
      </c>
      <c r="F541" s="15">
        <f t="shared" si="39"/>
        <v>43271</v>
      </c>
      <c r="G541" s="12">
        <f t="shared" si="40"/>
        <v>2018</v>
      </c>
      <c r="H541" s="12" t="str">
        <f t="shared" si="41"/>
        <v>Junho</v>
      </c>
      <c r="I541" s="11">
        <f>INDEX(tbCadastroConsultas[],MATCH(tbConsultas[[#This Row],[PROFISSIONAL]],tbCadastroConsultas[PROFISSIONAL],0),3)</f>
        <v>301010064</v>
      </c>
      <c r="J541" s="11">
        <f>INDEX(tbCadastroConsultas[],MATCH(tbConsultas[[#This Row],[PROFISSIONAL]],tbCadastroConsultas[PROFISSIONAL],0),4)</f>
        <v>225125</v>
      </c>
    </row>
    <row r="542" spans="1:10">
      <c r="A542" s="11">
        <f t="shared" si="38"/>
        <v>541</v>
      </c>
      <c r="B542" s="4" t="s">
        <v>6</v>
      </c>
      <c r="C542" s="5">
        <v>15061941</v>
      </c>
      <c r="D542" s="5">
        <v>21052018</v>
      </c>
      <c r="E542" s="4">
        <v>76</v>
      </c>
      <c r="F542" s="15">
        <f t="shared" si="39"/>
        <v>43271</v>
      </c>
      <c r="G542" s="12">
        <f t="shared" si="40"/>
        <v>2018</v>
      </c>
      <c r="H542" s="12" t="str">
        <f t="shared" si="41"/>
        <v>Junho</v>
      </c>
      <c r="I542" s="11">
        <f>INDEX(tbCadastroConsultas[],MATCH(tbConsultas[[#This Row],[PROFISSIONAL]],tbCadastroConsultas[PROFISSIONAL],0),3)</f>
        <v>301010064</v>
      </c>
      <c r="J542" s="11">
        <f>INDEX(tbCadastroConsultas[],MATCH(tbConsultas[[#This Row],[PROFISSIONAL]],tbCadastroConsultas[PROFISSIONAL],0),4)</f>
        <v>225125</v>
      </c>
    </row>
    <row r="543" spans="1:10">
      <c r="A543" s="11">
        <f t="shared" si="38"/>
        <v>542</v>
      </c>
      <c r="B543" s="4" t="s">
        <v>6</v>
      </c>
      <c r="C543" s="5">
        <v>6101974</v>
      </c>
      <c r="D543" s="5">
        <v>21052018</v>
      </c>
      <c r="E543" s="4">
        <v>43</v>
      </c>
      <c r="F543" s="15">
        <f t="shared" si="39"/>
        <v>43271</v>
      </c>
      <c r="G543" s="12">
        <f t="shared" si="40"/>
        <v>2018</v>
      </c>
      <c r="H543" s="12" t="str">
        <f t="shared" si="41"/>
        <v>Junho</v>
      </c>
      <c r="I543" s="11">
        <f>INDEX(tbCadastroConsultas[],MATCH(tbConsultas[[#This Row],[PROFISSIONAL]],tbCadastroConsultas[PROFISSIONAL],0),3)</f>
        <v>301010064</v>
      </c>
      <c r="J543" s="11">
        <f>INDEX(tbCadastroConsultas[],MATCH(tbConsultas[[#This Row],[PROFISSIONAL]],tbCadastroConsultas[PROFISSIONAL],0),4)</f>
        <v>225125</v>
      </c>
    </row>
    <row r="544" spans="1:10">
      <c r="A544" s="11">
        <f t="shared" si="38"/>
        <v>543</v>
      </c>
      <c r="B544" s="4" t="s">
        <v>6</v>
      </c>
      <c r="C544" s="5">
        <v>4121994</v>
      </c>
      <c r="D544" s="5">
        <v>21052018</v>
      </c>
      <c r="E544" s="4">
        <v>23</v>
      </c>
      <c r="F544" s="15">
        <f t="shared" si="39"/>
        <v>43271</v>
      </c>
      <c r="G544" s="12">
        <f t="shared" si="40"/>
        <v>2018</v>
      </c>
      <c r="H544" s="12" t="str">
        <f t="shared" si="41"/>
        <v>Junho</v>
      </c>
      <c r="I544" s="11">
        <f>INDEX(tbCadastroConsultas[],MATCH(tbConsultas[[#This Row],[PROFISSIONAL]],tbCadastroConsultas[PROFISSIONAL],0),3)</f>
        <v>301010064</v>
      </c>
      <c r="J544" s="11">
        <f>INDEX(tbCadastroConsultas[],MATCH(tbConsultas[[#This Row],[PROFISSIONAL]],tbCadastroConsultas[PROFISSIONAL],0),4)</f>
        <v>225125</v>
      </c>
    </row>
    <row r="545" spans="1:10">
      <c r="A545" s="11">
        <f t="shared" si="38"/>
        <v>544</v>
      </c>
      <c r="B545" s="4" t="s">
        <v>6</v>
      </c>
      <c r="C545" s="5">
        <v>27081945</v>
      </c>
      <c r="D545" s="5">
        <v>21052018</v>
      </c>
      <c r="E545" s="4">
        <v>72</v>
      </c>
      <c r="F545" s="15">
        <f t="shared" si="39"/>
        <v>43271</v>
      </c>
      <c r="G545" s="12">
        <f t="shared" si="40"/>
        <v>2018</v>
      </c>
      <c r="H545" s="12" t="str">
        <f t="shared" si="41"/>
        <v>Junho</v>
      </c>
      <c r="I545" s="11">
        <f>INDEX(tbCadastroConsultas[],MATCH(tbConsultas[[#This Row],[PROFISSIONAL]],tbCadastroConsultas[PROFISSIONAL],0),3)</f>
        <v>301010064</v>
      </c>
      <c r="J545" s="11">
        <f>INDEX(tbCadastroConsultas[],MATCH(tbConsultas[[#This Row],[PROFISSIONAL]],tbCadastroConsultas[PROFISSIONAL],0),4)</f>
        <v>225125</v>
      </c>
    </row>
    <row r="546" spans="1:10">
      <c r="A546" s="11">
        <f t="shared" ref="A546:A574" si="42">ROW() -1</f>
        <v>545</v>
      </c>
      <c r="B546" s="4" t="s">
        <v>6</v>
      </c>
      <c r="C546" s="5">
        <v>2101952</v>
      </c>
      <c r="D546" s="5">
        <v>21052018</v>
      </c>
      <c r="E546" s="4">
        <v>65</v>
      </c>
      <c r="F546" s="15">
        <f t="shared" si="39"/>
        <v>43271</v>
      </c>
      <c r="G546" s="12">
        <f t="shared" si="40"/>
        <v>2018</v>
      </c>
      <c r="H546" s="12" t="str">
        <f t="shared" si="41"/>
        <v>Junho</v>
      </c>
      <c r="I546" s="11">
        <f>INDEX(tbCadastroConsultas[],MATCH(tbConsultas[[#This Row],[PROFISSIONAL]],tbCadastroConsultas[PROFISSIONAL],0),3)</f>
        <v>301010064</v>
      </c>
      <c r="J546" s="11">
        <f>INDEX(tbCadastroConsultas[],MATCH(tbConsultas[[#This Row],[PROFISSIONAL]],tbCadastroConsultas[PROFISSIONAL],0),4)</f>
        <v>225125</v>
      </c>
    </row>
    <row r="547" spans="1:10">
      <c r="A547" s="11">
        <f t="shared" si="42"/>
        <v>546</v>
      </c>
      <c r="B547" s="4" t="s">
        <v>6</v>
      </c>
      <c r="C547" s="5">
        <v>13041976</v>
      </c>
      <c r="D547" s="5">
        <v>21052018</v>
      </c>
      <c r="E547" s="4">
        <v>42</v>
      </c>
      <c r="F547" s="15">
        <f t="shared" si="39"/>
        <v>43271</v>
      </c>
      <c r="G547" s="12">
        <f t="shared" si="40"/>
        <v>2018</v>
      </c>
      <c r="H547" s="12" t="str">
        <f t="shared" si="41"/>
        <v>Junho</v>
      </c>
      <c r="I547" s="11">
        <f>INDEX(tbCadastroConsultas[],MATCH(tbConsultas[[#This Row],[PROFISSIONAL]],tbCadastroConsultas[PROFISSIONAL],0),3)</f>
        <v>301010064</v>
      </c>
      <c r="J547" s="11">
        <f>INDEX(tbCadastroConsultas[],MATCH(tbConsultas[[#This Row],[PROFISSIONAL]],tbCadastroConsultas[PROFISSIONAL],0),4)</f>
        <v>225125</v>
      </c>
    </row>
    <row r="548" spans="1:10">
      <c r="A548" s="11">
        <f t="shared" si="42"/>
        <v>547</v>
      </c>
      <c r="B548" s="4" t="s">
        <v>6</v>
      </c>
      <c r="C548" s="5">
        <v>14121952</v>
      </c>
      <c r="D548" s="5">
        <v>21052018</v>
      </c>
      <c r="E548" s="4">
        <v>65</v>
      </c>
      <c r="F548" s="15">
        <f t="shared" si="39"/>
        <v>43271</v>
      </c>
      <c r="G548" s="12">
        <f t="shared" si="40"/>
        <v>2018</v>
      </c>
      <c r="H548" s="12" t="str">
        <f t="shared" si="41"/>
        <v>Junho</v>
      </c>
      <c r="I548" s="11">
        <f>INDEX(tbCadastroConsultas[],MATCH(tbConsultas[[#This Row],[PROFISSIONAL]],tbCadastroConsultas[PROFISSIONAL],0),3)</f>
        <v>301010064</v>
      </c>
      <c r="J548" s="11">
        <f>INDEX(tbCadastroConsultas[],MATCH(tbConsultas[[#This Row],[PROFISSIONAL]],tbCadastroConsultas[PROFISSIONAL],0),4)</f>
        <v>225125</v>
      </c>
    </row>
    <row r="549" spans="1:10">
      <c r="A549" s="11">
        <f t="shared" si="42"/>
        <v>548</v>
      </c>
      <c r="B549" s="4" t="s">
        <v>6</v>
      </c>
      <c r="C549" s="5">
        <v>15111999</v>
      </c>
      <c r="D549" s="5">
        <v>21052018</v>
      </c>
      <c r="E549" s="4">
        <v>18</v>
      </c>
      <c r="F549" s="15">
        <f t="shared" si="39"/>
        <v>43271</v>
      </c>
      <c r="G549" s="12">
        <f t="shared" si="40"/>
        <v>2018</v>
      </c>
      <c r="H549" s="12" t="str">
        <f t="shared" si="41"/>
        <v>Junho</v>
      </c>
      <c r="I549" s="11">
        <f>INDEX(tbCadastroConsultas[],MATCH(tbConsultas[[#This Row],[PROFISSIONAL]],tbCadastroConsultas[PROFISSIONAL],0),3)</f>
        <v>301010064</v>
      </c>
      <c r="J549" s="11">
        <f>INDEX(tbCadastroConsultas[],MATCH(tbConsultas[[#This Row],[PROFISSIONAL]],tbCadastroConsultas[PROFISSIONAL],0),4)</f>
        <v>225125</v>
      </c>
    </row>
    <row r="550" spans="1:10">
      <c r="A550" s="11">
        <f t="shared" si="42"/>
        <v>549</v>
      </c>
      <c r="B550" s="4" t="s">
        <v>6</v>
      </c>
      <c r="C550" s="5">
        <v>17051968</v>
      </c>
      <c r="D550" s="5">
        <v>21052018</v>
      </c>
      <c r="E550" s="4">
        <v>50</v>
      </c>
      <c r="F550" s="15">
        <f t="shared" si="39"/>
        <v>43271</v>
      </c>
      <c r="G550" s="12">
        <f t="shared" si="40"/>
        <v>2018</v>
      </c>
      <c r="H550" s="12" t="str">
        <f t="shared" si="41"/>
        <v>Junho</v>
      </c>
      <c r="I550" s="11">
        <f>INDEX(tbCadastroConsultas[],MATCH(tbConsultas[[#This Row],[PROFISSIONAL]],tbCadastroConsultas[PROFISSIONAL],0),3)</f>
        <v>301010064</v>
      </c>
      <c r="J550" s="11">
        <f>INDEX(tbCadastroConsultas[],MATCH(tbConsultas[[#This Row],[PROFISSIONAL]],tbCadastroConsultas[PROFISSIONAL],0),4)</f>
        <v>225125</v>
      </c>
    </row>
    <row r="551" spans="1:10">
      <c r="A551" s="11">
        <f t="shared" si="42"/>
        <v>550</v>
      </c>
      <c r="B551" s="4" t="s">
        <v>6</v>
      </c>
      <c r="C551" s="5">
        <v>23031973</v>
      </c>
      <c r="D551" s="5">
        <v>21052018</v>
      </c>
      <c r="E551" s="4">
        <v>45</v>
      </c>
      <c r="F551" s="15">
        <f t="shared" si="39"/>
        <v>43271</v>
      </c>
      <c r="G551" s="12">
        <f t="shared" si="40"/>
        <v>2018</v>
      </c>
      <c r="H551" s="12" t="str">
        <f t="shared" si="41"/>
        <v>Junho</v>
      </c>
      <c r="I551" s="11">
        <f>INDEX(tbCadastroConsultas[],MATCH(tbConsultas[[#This Row],[PROFISSIONAL]],tbCadastroConsultas[PROFISSIONAL],0),3)</f>
        <v>301010064</v>
      </c>
      <c r="J551" s="11">
        <f>INDEX(tbCadastroConsultas[],MATCH(tbConsultas[[#This Row],[PROFISSIONAL]],tbCadastroConsultas[PROFISSIONAL],0),4)</f>
        <v>225125</v>
      </c>
    </row>
    <row r="552" spans="1:10">
      <c r="A552" s="11">
        <f t="shared" si="42"/>
        <v>551</v>
      </c>
      <c r="B552" s="4" t="s">
        <v>6</v>
      </c>
      <c r="C552" s="5">
        <v>19101957</v>
      </c>
      <c r="D552" s="5">
        <v>21052018</v>
      </c>
      <c r="E552" s="4">
        <v>60</v>
      </c>
      <c r="F552" s="15">
        <f t="shared" si="39"/>
        <v>43271</v>
      </c>
      <c r="G552" s="12">
        <f t="shared" si="40"/>
        <v>2018</v>
      </c>
      <c r="H552" s="12" t="str">
        <f t="shared" si="41"/>
        <v>Junho</v>
      </c>
      <c r="I552" s="11">
        <f>INDEX(tbCadastroConsultas[],MATCH(tbConsultas[[#This Row],[PROFISSIONAL]],tbCadastroConsultas[PROFISSIONAL],0),3)</f>
        <v>301010064</v>
      </c>
      <c r="J552" s="11">
        <f>INDEX(tbCadastroConsultas[],MATCH(tbConsultas[[#This Row],[PROFISSIONAL]],tbCadastroConsultas[PROFISSIONAL],0),4)</f>
        <v>225125</v>
      </c>
    </row>
    <row r="553" spans="1:10">
      <c r="A553" s="11">
        <f t="shared" si="42"/>
        <v>552</v>
      </c>
      <c r="B553" s="4" t="s">
        <v>6</v>
      </c>
      <c r="C553" s="5">
        <v>3011948</v>
      </c>
      <c r="D553" s="5">
        <v>21052018</v>
      </c>
      <c r="E553" s="4">
        <v>70</v>
      </c>
      <c r="F553" s="15">
        <f t="shared" si="39"/>
        <v>43271</v>
      </c>
      <c r="G553" s="12">
        <f t="shared" si="40"/>
        <v>2018</v>
      </c>
      <c r="H553" s="12" t="str">
        <f t="shared" si="41"/>
        <v>Junho</v>
      </c>
      <c r="I553" s="11">
        <f>INDEX(tbCadastroConsultas[],MATCH(tbConsultas[[#This Row],[PROFISSIONAL]],tbCadastroConsultas[PROFISSIONAL],0),3)</f>
        <v>301010064</v>
      </c>
      <c r="J553" s="11">
        <f>INDEX(tbCadastroConsultas[],MATCH(tbConsultas[[#This Row],[PROFISSIONAL]],tbCadastroConsultas[PROFISSIONAL],0),4)</f>
        <v>225125</v>
      </c>
    </row>
    <row r="554" spans="1:10">
      <c r="A554" s="11">
        <f t="shared" si="42"/>
        <v>553</v>
      </c>
      <c r="B554" s="4" t="s">
        <v>6</v>
      </c>
      <c r="C554" s="5">
        <v>22071940</v>
      </c>
      <c r="D554" s="5">
        <v>21052018</v>
      </c>
      <c r="E554" s="4">
        <v>77</v>
      </c>
      <c r="F554" s="15">
        <f t="shared" si="39"/>
        <v>43271</v>
      </c>
      <c r="G554" s="12">
        <f t="shared" si="40"/>
        <v>2018</v>
      </c>
      <c r="H554" s="12" t="str">
        <f t="shared" si="41"/>
        <v>Junho</v>
      </c>
      <c r="I554" s="11">
        <f>INDEX(tbCadastroConsultas[],MATCH(tbConsultas[[#This Row],[PROFISSIONAL]],tbCadastroConsultas[PROFISSIONAL],0),3)</f>
        <v>301010064</v>
      </c>
      <c r="J554" s="11">
        <f>INDEX(tbCadastroConsultas[],MATCH(tbConsultas[[#This Row],[PROFISSIONAL]],tbCadastroConsultas[PROFISSIONAL],0),4)</f>
        <v>225125</v>
      </c>
    </row>
    <row r="555" spans="1:10">
      <c r="A555" s="11">
        <f t="shared" si="42"/>
        <v>554</v>
      </c>
      <c r="B555" s="4" t="s">
        <v>6</v>
      </c>
      <c r="C555" s="5">
        <v>3061948</v>
      </c>
      <c r="D555" s="5">
        <v>21052018</v>
      </c>
      <c r="E555" s="4">
        <v>70</v>
      </c>
      <c r="F555" s="15">
        <f t="shared" si="39"/>
        <v>43271</v>
      </c>
      <c r="G555" s="12">
        <f t="shared" si="40"/>
        <v>2018</v>
      </c>
      <c r="H555" s="12" t="str">
        <f t="shared" si="41"/>
        <v>Junho</v>
      </c>
      <c r="I555" s="11">
        <f>INDEX(tbCadastroConsultas[],MATCH(tbConsultas[[#This Row],[PROFISSIONAL]],tbCadastroConsultas[PROFISSIONAL],0),3)</f>
        <v>301010064</v>
      </c>
      <c r="J555" s="11">
        <f>INDEX(tbCadastroConsultas[],MATCH(tbConsultas[[#This Row],[PROFISSIONAL]],tbCadastroConsultas[PROFISSIONAL],0),4)</f>
        <v>225125</v>
      </c>
    </row>
    <row r="556" spans="1:10">
      <c r="A556" s="11">
        <f t="shared" si="42"/>
        <v>555</v>
      </c>
      <c r="B556" s="4" t="s">
        <v>6</v>
      </c>
      <c r="C556" s="5">
        <v>7021970</v>
      </c>
      <c r="D556" s="5">
        <v>21052018</v>
      </c>
      <c r="E556" s="4">
        <v>48</v>
      </c>
      <c r="F556" s="15">
        <f t="shared" si="39"/>
        <v>43271</v>
      </c>
      <c r="G556" s="12">
        <f t="shared" si="40"/>
        <v>2018</v>
      </c>
      <c r="H556" s="12" t="str">
        <f t="shared" si="41"/>
        <v>Junho</v>
      </c>
      <c r="I556" s="11">
        <f>INDEX(tbCadastroConsultas[],MATCH(tbConsultas[[#This Row],[PROFISSIONAL]],tbCadastroConsultas[PROFISSIONAL],0),3)</f>
        <v>301010064</v>
      </c>
      <c r="J556" s="11">
        <f>INDEX(tbCadastroConsultas[],MATCH(tbConsultas[[#This Row],[PROFISSIONAL]],tbCadastroConsultas[PROFISSIONAL],0),4)</f>
        <v>225125</v>
      </c>
    </row>
    <row r="557" spans="1:10">
      <c r="A557" s="11">
        <f t="shared" si="42"/>
        <v>556</v>
      </c>
      <c r="B557" s="4" t="s">
        <v>6</v>
      </c>
      <c r="C557" s="5">
        <v>18091997</v>
      </c>
      <c r="D557" s="5">
        <v>21052018</v>
      </c>
      <c r="E557" s="4">
        <v>20</v>
      </c>
      <c r="F557" s="15">
        <f t="shared" si="39"/>
        <v>43271</v>
      </c>
      <c r="G557" s="12">
        <f t="shared" si="40"/>
        <v>2018</v>
      </c>
      <c r="H557" s="12" t="str">
        <f t="shared" si="41"/>
        <v>Junho</v>
      </c>
      <c r="I557" s="11">
        <f>INDEX(tbCadastroConsultas[],MATCH(tbConsultas[[#This Row],[PROFISSIONAL]],tbCadastroConsultas[PROFISSIONAL],0),3)</f>
        <v>301010064</v>
      </c>
      <c r="J557" s="11">
        <f>INDEX(tbCadastroConsultas[],MATCH(tbConsultas[[#This Row],[PROFISSIONAL]],tbCadastroConsultas[PROFISSIONAL],0),4)</f>
        <v>225125</v>
      </c>
    </row>
    <row r="558" spans="1:10">
      <c r="A558" s="11">
        <f t="shared" si="42"/>
        <v>557</v>
      </c>
      <c r="B558" s="4" t="s">
        <v>6</v>
      </c>
      <c r="C558" s="5">
        <v>28091979</v>
      </c>
      <c r="D558" s="5">
        <v>21052018</v>
      </c>
      <c r="E558" s="4">
        <v>38</v>
      </c>
      <c r="F558" s="15">
        <f t="shared" si="39"/>
        <v>43271</v>
      </c>
      <c r="G558" s="12">
        <f t="shared" si="40"/>
        <v>2018</v>
      </c>
      <c r="H558" s="12" t="str">
        <f t="shared" si="41"/>
        <v>Junho</v>
      </c>
      <c r="I558" s="11">
        <f>INDEX(tbCadastroConsultas[],MATCH(tbConsultas[[#This Row],[PROFISSIONAL]],tbCadastroConsultas[PROFISSIONAL],0),3)</f>
        <v>301010064</v>
      </c>
      <c r="J558" s="11">
        <f>INDEX(tbCadastroConsultas[],MATCH(tbConsultas[[#This Row],[PROFISSIONAL]],tbCadastroConsultas[PROFISSIONAL],0),4)</f>
        <v>225125</v>
      </c>
    </row>
    <row r="559" spans="1:10">
      <c r="A559" s="11">
        <f t="shared" si="42"/>
        <v>558</v>
      </c>
      <c r="B559" s="4" t="s">
        <v>6</v>
      </c>
      <c r="C559" s="5">
        <v>23101957</v>
      </c>
      <c r="D559" s="5">
        <v>21052018</v>
      </c>
      <c r="E559" s="4">
        <v>60</v>
      </c>
      <c r="F559" s="15">
        <f t="shared" si="39"/>
        <v>43271</v>
      </c>
      <c r="G559" s="12">
        <f t="shared" si="40"/>
        <v>2018</v>
      </c>
      <c r="H559" s="12" t="str">
        <f t="shared" si="41"/>
        <v>Junho</v>
      </c>
      <c r="I559" s="11">
        <f>INDEX(tbCadastroConsultas[],MATCH(tbConsultas[[#This Row],[PROFISSIONAL]],tbCadastroConsultas[PROFISSIONAL],0),3)</f>
        <v>301010064</v>
      </c>
      <c r="J559" s="11">
        <f>INDEX(tbCadastroConsultas[],MATCH(tbConsultas[[#This Row],[PROFISSIONAL]],tbCadastroConsultas[PROFISSIONAL],0),4)</f>
        <v>225125</v>
      </c>
    </row>
    <row r="560" spans="1:10">
      <c r="A560" s="11">
        <f t="shared" si="42"/>
        <v>559</v>
      </c>
      <c r="B560" s="4" t="s">
        <v>6</v>
      </c>
      <c r="C560" s="5">
        <v>15111951</v>
      </c>
      <c r="D560" s="5">
        <v>21052018</v>
      </c>
      <c r="E560" s="4">
        <v>66</v>
      </c>
      <c r="F560" s="15">
        <f t="shared" si="39"/>
        <v>43271</v>
      </c>
      <c r="G560" s="12">
        <f t="shared" si="40"/>
        <v>2018</v>
      </c>
      <c r="H560" s="12" t="str">
        <f t="shared" si="41"/>
        <v>Junho</v>
      </c>
      <c r="I560" s="11">
        <f>INDEX(tbCadastroConsultas[],MATCH(tbConsultas[[#This Row],[PROFISSIONAL]],tbCadastroConsultas[PROFISSIONAL],0),3)</f>
        <v>301010064</v>
      </c>
      <c r="J560" s="11">
        <f>INDEX(tbCadastroConsultas[],MATCH(tbConsultas[[#This Row],[PROFISSIONAL]],tbCadastroConsultas[PROFISSIONAL],0),4)</f>
        <v>225125</v>
      </c>
    </row>
    <row r="561" spans="1:10">
      <c r="A561" s="11">
        <f t="shared" si="42"/>
        <v>560</v>
      </c>
      <c r="B561" s="4" t="s">
        <v>6</v>
      </c>
      <c r="C561" s="5">
        <v>27071979</v>
      </c>
      <c r="D561" s="5">
        <v>21052018</v>
      </c>
      <c r="E561" s="4">
        <v>38</v>
      </c>
      <c r="F561" s="15">
        <f t="shared" si="39"/>
        <v>43271</v>
      </c>
      <c r="G561" s="12">
        <f t="shared" si="40"/>
        <v>2018</v>
      </c>
      <c r="H561" s="12" t="str">
        <f t="shared" si="41"/>
        <v>Junho</v>
      </c>
      <c r="I561" s="11">
        <f>INDEX(tbCadastroConsultas[],MATCH(tbConsultas[[#This Row],[PROFISSIONAL]],tbCadastroConsultas[PROFISSIONAL],0),3)</f>
        <v>301010064</v>
      </c>
      <c r="J561" s="11">
        <f>INDEX(tbCadastroConsultas[],MATCH(tbConsultas[[#This Row],[PROFISSIONAL]],tbCadastroConsultas[PROFISSIONAL],0),4)</f>
        <v>225125</v>
      </c>
    </row>
    <row r="562" spans="1:10">
      <c r="A562" s="11">
        <f t="shared" si="42"/>
        <v>561</v>
      </c>
      <c r="B562" s="4" t="s">
        <v>6</v>
      </c>
      <c r="C562" s="5">
        <v>2081953</v>
      </c>
      <c r="D562" s="5">
        <v>21052018</v>
      </c>
      <c r="E562" s="4">
        <v>64</v>
      </c>
      <c r="F562" s="15">
        <f t="shared" si="39"/>
        <v>43271</v>
      </c>
      <c r="G562" s="12">
        <f t="shared" si="40"/>
        <v>2018</v>
      </c>
      <c r="H562" s="12" t="str">
        <f t="shared" si="41"/>
        <v>Junho</v>
      </c>
      <c r="I562" s="11">
        <f>INDEX(tbCadastroConsultas[],MATCH(tbConsultas[[#This Row],[PROFISSIONAL]],tbCadastroConsultas[PROFISSIONAL],0),3)</f>
        <v>301010064</v>
      </c>
      <c r="J562" s="11">
        <f>INDEX(tbCadastroConsultas[],MATCH(tbConsultas[[#This Row],[PROFISSIONAL]],tbCadastroConsultas[PROFISSIONAL],0),4)</f>
        <v>225125</v>
      </c>
    </row>
    <row r="563" spans="1:10">
      <c r="A563" s="11">
        <f t="shared" si="42"/>
        <v>562</v>
      </c>
      <c r="B563" s="4" t="s">
        <v>6</v>
      </c>
      <c r="C563" s="5">
        <v>17091981</v>
      </c>
      <c r="D563" s="5">
        <v>21052018</v>
      </c>
      <c r="E563" s="4">
        <v>36</v>
      </c>
      <c r="F563" s="15">
        <f t="shared" si="39"/>
        <v>43271</v>
      </c>
      <c r="G563" s="12">
        <f t="shared" si="40"/>
        <v>2018</v>
      </c>
      <c r="H563" s="12" t="str">
        <f t="shared" si="41"/>
        <v>Junho</v>
      </c>
      <c r="I563" s="11">
        <f>INDEX(tbCadastroConsultas[],MATCH(tbConsultas[[#This Row],[PROFISSIONAL]],tbCadastroConsultas[PROFISSIONAL],0),3)</f>
        <v>301010064</v>
      </c>
      <c r="J563" s="11">
        <f>INDEX(tbCadastroConsultas[],MATCH(tbConsultas[[#This Row],[PROFISSIONAL]],tbCadastroConsultas[PROFISSIONAL],0),4)</f>
        <v>225125</v>
      </c>
    </row>
    <row r="564" spans="1:10">
      <c r="A564" s="11">
        <f t="shared" si="42"/>
        <v>563</v>
      </c>
      <c r="B564" s="4" t="s">
        <v>6</v>
      </c>
      <c r="C564" s="5">
        <v>3031986</v>
      </c>
      <c r="D564" s="5">
        <v>21052018</v>
      </c>
      <c r="E564" s="4">
        <v>32</v>
      </c>
      <c r="F564" s="15">
        <f t="shared" si="39"/>
        <v>43271</v>
      </c>
      <c r="G564" s="12">
        <f t="shared" si="40"/>
        <v>2018</v>
      </c>
      <c r="H564" s="12" t="str">
        <f t="shared" si="41"/>
        <v>Junho</v>
      </c>
      <c r="I564" s="11">
        <f>INDEX(tbCadastroConsultas[],MATCH(tbConsultas[[#This Row],[PROFISSIONAL]],tbCadastroConsultas[PROFISSIONAL],0),3)</f>
        <v>301010064</v>
      </c>
      <c r="J564" s="11">
        <f>INDEX(tbCadastroConsultas[],MATCH(tbConsultas[[#This Row],[PROFISSIONAL]],tbCadastroConsultas[PROFISSIONAL],0),4)</f>
        <v>225125</v>
      </c>
    </row>
    <row r="565" spans="1:10">
      <c r="A565" s="11">
        <f t="shared" si="42"/>
        <v>564</v>
      </c>
      <c r="B565" s="4" t="s">
        <v>6</v>
      </c>
      <c r="C565" s="5">
        <v>3031988</v>
      </c>
      <c r="D565" s="5">
        <v>21052018</v>
      </c>
      <c r="E565" s="4">
        <v>30</v>
      </c>
      <c r="F565" s="15">
        <f t="shared" si="39"/>
        <v>43271</v>
      </c>
      <c r="G565" s="12">
        <f t="shared" si="40"/>
        <v>2018</v>
      </c>
      <c r="H565" s="12" t="str">
        <f t="shared" si="41"/>
        <v>Junho</v>
      </c>
      <c r="I565" s="11">
        <f>INDEX(tbCadastroConsultas[],MATCH(tbConsultas[[#This Row],[PROFISSIONAL]],tbCadastroConsultas[PROFISSIONAL],0),3)</f>
        <v>301010064</v>
      </c>
      <c r="J565" s="11">
        <f>INDEX(tbCadastroConsultas[],MATCH(tbConsultas[[#This Row],[PROFISSIONAL]],tbCadastroConsultas[PROFISSIONAL],0),4)</f>
        <v>225125</v>
      </c>
    </row>
    <row r="566" spans="1:10">
      <c r="A566" s="11">
        <f t="shared" si="42"/>
        <v>565</v>
      </c>
      <c r="B566" s="4" t="s">
        <v>6</v>
      </c>
      <c r="C566" s="5">
        <v>13051976</v>
      </c>
      <c r="D566" s="5">
        <v>21052018</v>
      </c>
      <c r="E566" s="4">
        <v>42</v>
      </c>
      <c r="F566" s="15">
        <f t="shared" si="39"/>
        <v>43271</v>
      </c>
      <c r="G566" s="12">
        <f t="shared" si="40"/>
        <v>2018</v>
      </c>
      <c r="H566" s="12" t="str">
        <f t="shared" si="41"/>
        <v>Junho</v>
      </c>
      <c r="I566" s="11">
        <f>INDEX(tbCadastroConsultas[],MATCH(tbConsultas[[#This Row],[PROFISSIONAL]],tbCadastroConsultas[PROFISSIONAL],0),3)</f>
        <v>301010064</v>
      </c>
      <c r="J566" s="11">
        <f>INDEX(tbCadastroConsultas[],MATCH(tbConsultas[[#This Row],[PROFISSIONAL]],tbCadastroConsultas[PROFISSIONAL],0),4)</f>
        <v>225125</v>
      </c>
    </row>
    <row r="567" spans="1:10">
      <c r="A567" s="11">
        <f t="shared" si="42"/>
        <v>566</v>
      </c>
      <c r="B567" s="4" t="s">
        <v>6</v>
      </c>
      <c r="C567" s="5">
        <v>3051953</v>
      </c>
      <c r="D567" s="5">
        <v>21052018</v>
      </c>
      <c r="E567" s="4">
        <v>65</v>
      </c>
      <c r="F567" s="15">
        <f t="shared" si="39"/>
        <v>43271</v>
      </c>
      <c r="G567" s="12">
        <f t="shared" si="40"/>
        <v>2018</v>
      </c>
      <c r="H567" s="12" t="str">
        <f t="shared" si="41"/>
        <v>Junho</v>
      </c>
      <c r="I567" s="11">
        <f>INDEX(tbCadastroConsultas[],MATCH(tbConsultas[[#This Row],[PROFISSIONAL]],tbCadastroConsultas[PROFISSIONAL],0),3)</f>
        <v>301010064</v>
      </c>
      <c r="J567" s="11">
        <f>INDEX(tbCadastroConsultas[],MATCH(tbConsultas[[#This Row],[PROFISSIONAL]],tbCadastroConsultas[PROFISSIONAL],0),4)</f>
        <v>225125</v>
      </c>
    </row>
    <row r="568" spans="1:10">
      <c r="A568" s="11">
        <f t="shared" si="42"/>
        <v>567</v>
      </c>
      <c r="B568" s="4" t="s">
        <v>7</v>
      </c>
      <c r="C568" s="5">
        <v>14122010</v>
      </c>
      <c r="D568" s="5">
        <v>21052018</v>
      </c>
      <c r="E568" s="4">
        <v>7</v>
      </c>
      <c r="F568" s="15">
        <f t="shared" si="39"/>
        <v>43271</v>
      </c>
      <c r="G568" s="12">
        <f t="shared" si="40"/>
        <v>2018</v>
      </c>
      <c r="H568" s="12" t="str">
        <f t="shared" si="41"/>
        <v>Junho</v>
      </c>
      <c r="I568" s="11">
        <f>INDEX(tbCadastroConsultas[],MATCH(tbConsultas[[#This Row],[PROFISSIONAL]],tbCadastroConsultas[PROFISSIONAL],0),3)</f>
        <v>301010064</v>
      </c>
      <c r="J568" s="11">
        <f>INDEX(tbCadastroConsultas[],MATCH(tbConsultas[[#This Row],[PROFISSIONAL]],tbCadastroConsultas[PROFISSIONAL],0),4)</f>
        <v>225124</v>
      </c>
    </row>
    <row r="569" spans="1:10">
      <c r="A569" s="11">
        <f t="shared" si="42"/>
        <v>568</v>
      </c>
      <c r="B569" s="4" t="s">
        <v>7</v>
      </c>
      <c r="C569" s="5">
        <v>26052016</v>
      </c>
      <c r="D569" s="5">
        <v>21052018</v>
      </c>
      <c r="E569" s="4">
        <v>2</v>
      </c>
      <c r="F569" s="15">
        <f t="shared" si="39"/>
        <v>43271</v>
      </c>
      <c r="G569" s="12">
        <f t="shared" si="40"/>
        <v>2018</v>
      </c>
      <c r="H569" s="12" t="str">
        <f t="shared" si="41"/>
        <v>Junho</v>
      </c>
      <c r="I569" s="11">
        <f>INDEX(tbCadastroConsultas[],MATCH(tbConsultas[[#This Row],[PROFISSIONAL]],tbCadastroConsultas[PROFISSIONAL],0),3)</f>
        <v>301010064</v>
      </c>
      <c r="J569" s="11">
        <f>INDEX(tbCadastroConsultas[],MATCH(tbConsultas[[#This Row],[PROFISSIONAL]],tbCadastroConsultas[PROFISSIONAL],0),4)</f>
        <v>225124</v>
      </c>
    </row>
    <row r="570" spans="1:10">
      <c r="A570" s="11">
        <f t="shared" si="42"/>
        <v>569</v>
      </c>
      <c r="B570" s="4" t="s">
        <v>7</v>
      </c>
      <c r="C570" s="5">
        <v>30122014</v>
      </c>
      <c r="D570" s="5">
        <v>21052018</v>
      </c>
      <c r="E570" s="4">
        <v>3</v>
      </c>
      <c r="F570" s="15">
        <f t="shared" si="39"/>
        <v>43271</v>
      </c>
      <c r="G570" s="12">
        <f t="shared" si="40"/>
        <v>2018</v>
      </c>
      <c r="H570" s="12" t="str">
        <f t="shared" si="41"/>
        <v>Junho</v>
      </c>
      <c r="I570" s="11">
        <f>INDEX(tbCadastroConsultas[],MATCH(tbConsultas[[#This Row],[PROFISSIONAL]],tbCadastroConsultas[PROFISSIONAL],0),3)</f>
        <v>301010064</v>
      </c>
      <c r="J570" s="11">
        <f>INDEX(tbCadastroConsultas[],MATCH(tbConsultas[[#This Row],[PROFISSIONAL]],tbCadastroConsultas[PROFISSIONAL],0),4)</f>
        <v>225124</v>
      </c>
    </row>
    <row r="571" spans="1:10">
      <c r="A571" s="11">
        <f t="shared" si="42"/>
        <v>570</v>
      </c>
      <c r="B571" s="4" t="s">
        <v>7</v>
      </c>
      <c r="C571" s="5">
        <v>9022011</v>
      </c>
      <c r="D571" s="5">
        <v>21052018</v>
      </c>
      <c r="E571" s="4">
        <v>7</v>
      </c>
      <c r="F571" s="15">
        <f t="shared" si="39"/>
        <v>43271</v>
      </c>
      <c r="G571" s="12">
        <f t="shared" si="40"/>
        <v>2018</v>
      </c>
      <c r="H571" s="12" t="str">
        <f t="shared" si="41"/>
        <v>Junho</v>
      </c>
      <c r="I571" s="11">
        <f>INDEX(tbCadastroConsultas[],MATCH(tbConsultas[[#This Row],[PROFISSIONAL]],tbCadastroConsultas[PROFISSIONAL],0),3)</f>
        <v>301010064</v>
      </c>
      <c r="J571" s="11">
        <f>INDEX(tbCadastroConsultas[],MATCH(tbConsultas[[#This Row],[PROFISSIONAL]],tbCadastroConsultas[PROFISSIONAL],0),4)</f>
        <v>225124</v>
      </c>
    </row>
    <row r="572" spans="1:10">
      <c r="A572" s="11">
        <f t="shared" si="42"/>
        <v>571</v>
      </c>
      <c r="B572" s="4" t="s">
        <v>7</v>
      </c>
      <c r="C572" s="5">
        <v>13012016</v>
      </c>
      <c r="D572" s="5">
        <v>21052018</v>
      </c>
      <c r="E572" s="4">
        <v>2</v>
      </c>
      <c r="F572" s="15">
        <f t="shared" si="39"/>
        <v>43271</v>
      </c>
      <c r="G572" s="12">
        <f t="shared" si="40"/>
        <v>2018</v>
      </c>
      <c r="H572" s="12" t="str">
        <f t="shared" si="41"/>
        <v>Junho</v>
      </c>
      <c r="I572" s="11">
        <f>INDEX(tbCadastroConsultas[],MATCH(tbConsultas[[#This Row],[PROFISSIONAL]],tbCadastroConsultas[PROFISSIONAL],0),3)</f>
        <v>301010064</v>
      </c>
      <c r="J572" s="11">
        <f>INDEX(tbCadastroConsultas[],MATCH(tbConsultas[[#This Row],[PROFISSIONAL]],tbCadastroConsultas[PROFISSIONAL],0),4)</f>
        <v>225124</v>
      </c>
    </row>
    <row r="573" spans="1:10">
      <c r="A573" s="11">
        <f t="shared" si="42"/>
        <v>572</v>
      </c>
      <c r="B573" s="4" t="s">
        <v>7</v>
      </c>
      <c r="C573" s="5">
        <v>24022016</v>
      </c>
      <c r="D573" s="5">
        <v>21052018</v>
      </c>
      <c r="E573" s="4">
        <v>2</v>
      </c>
      <c r="F573" s="15">
        <f t="shared" si="39"/>
        <v>43271</v>
      </c>
      <c r="G573" s="12">
        <f t="shared" si="40"/>
        <v>2018</v>
      </c>
      <c r="H573" s="12" t="str">
        <f t="shared" si="41"/>
        <v>Junho</v>
      </c>
      <c r="I573" s="11">
        <f>INDEX(tbCadastroConsultas[],MATCH(tbConsultas[[#This Row],[PROFISSIONAL]],tbCadastroConsultas[PROFISSIONAL],0),3)</f>
        <v>301010064</v>
      </c>
      <c r="J573" s="11">
        <f>INDEX(tbCadastroConsultas[],MATCH(tbConsultas[[#This Row],[PROFISSIONAL]],tbCadastroConsultas[PROFISSIONAL],0),4)</f>
        <v>225124</v>
      </c>
    </row>
    <row r="574" spans="1:10">
      <c r="A574" s="11">
        <f t="shared" si="42"/>
        <v>573</v>
      </c>
      <c r="B574" s="4" t="s">
        <v>7</v>
      </c>
      <c r="C574" s="5">
        <v>13032013</v>
      </c>
      <c r="D574" s="5">
        <v>21052018</v>
      </c>
      <c r="E574" s="4">
        <v>5</v>
      </c>
      <c r="F574" s="15">
        <f t="shared" si="39"/>
        <v>43271</v>
      </c>
      <c r="G574" s="12">
        <f t="shared" si="40"/>
        <v>2018</v>
      </c>
      <c r="H574" s="12" t="str">
        <f t="shared" si="41"/>
        <v>Junho</v>
      </c>
      <c r="I574" s="11">
        <f>INDEX(tbCadastroConsultas[],MATCH(tbConsultas[[#This Row],[PROFISSIONAL]],tbCadastroConsultas[PROFISSIONAL],0),3)</f>
        <v>301010064</v>
      </c>
      <c r="J574" s="11">
        <f>INDEX(tbCadastroConsultas[],MATCH(tbConsultas[[#This Row],[PROFISSIONAL]],tbCadastroConsultas[PROFISSIONAL],0),4)</f>
        <v>225124</v>
      </c>
    </row>
    <row r="575" spans="1:10">
      <c r="A575" s="11">
        <f t="shared" ref="A575:A606" si="43">ROW() -1</f>
        <v>574</v>
      </c>
      <c r="B575" s="4" t="s">
        <v>7</v>
      </c>
      <c r="C575" s="5">
        <v>29102007</v>
      </c>
      <c r="D575" s="5">
        <v>21052018</v>
      </c>
      <c r="E575" s="4">
        <v>10</v>
      </c>
      <c r="F575" s="15">
        <f t="shared" si="39"/>
        <v>43271</v>
      </c>
      <c r="G575" s="12">
        <f t="shared" si="40"/>
        <v>2018</v>
      </c>
      <c r="H575" s="12" t="str">
        <f t="shared" si="41"/>
        <v>Junho</v>
      </c>
      <c r="I575" s="11">
        <f>INDEX(tbCadastroConsultas[],MATCH(tbConsultas[[#This Row],[PROFISSIONAL]],tbCadastroConsultas[PROFISSIONAL],0),3)</f>
        <v>301010064</v>
      </c>
      <c r="J575" s="11">
        <f>INDEX(tbCadastroConsultas[],MATCH(tbConsultas[[#This Row],[PROFISSIONAL]],tbCadastroConsultas[PROFISSIONAL],0),4)</f>
        <v>225124</v>
      </c>
    </row>
    <row r="576" spans="1:10">
      <c r="A576" s="11">
        <f t="shared" si="43"/>
        <v>575</v>
      </c>
      <c r="B576" s="4" t="s">
        <v>7</v>
      </c>
      <c r="C576" s="5">
        <v>11072013</v>
      </c>
      <c r="D576" s="5">
        <v>21052018</v>
      </c>
      <c r="E576" s="4">
        <v>4</v>
      </c>
      <c r="F576" s="15">
        <f t="shared" si="39"/>
        <v>43271</v>
      </c>
      <c r="G576" s="12">
        <f t="shared" si="40"/>
        <v>2018</v>
      </c>
      <c r="H576" s="12" t="str">
        <f t="shared" si="41"/>
        <v>Junho</v>
      </c>
      <c r="I576" s="11">
        <f>INDEX(tbCadastroConsultas[],MATCH(tbConsultas[[#This Row],[PROFISSIONAL]],tbCadastroConsultas[PROFISSIONAL],0),3)</f>
        <v>301010064</v>
      </c>
      <c r="J576" s="11">
        <f>INDEX(tbCadastroConsultas[],MATCH(tbConsultas[[#This Row],[PROFISSIONAL]],tbCadastroConsultas[PROFISSIONAL],0),4)</f>
        <v>225124</v>
      </c>
    </row>
    <row r="577" spans="1:10">
      <c r="A577" s="11">
        <f t="shared" si="43"/>
        <v>576</v>
      </c>
      <c r="B577" s="4" t="s">
        <v>7</v>
      </c>
      <c r="C577" s="5">
        <v>15072013</v>
      </c>
      <c r="D577" s="5">
        <v>21052018</v>
      </c>
      <c r="E577" s="4">
        <v>4</v>
      </c>
      <c r="F577" s="15">
        <f t="shared" si="39"/>
        <v>43271</v>
      </c>
      <c r="G577" s="12">
        <f t="shared" si="40"/>
        <v>2018</v>
      </c>
      <c r="H577" s="12" t="str">
        <f t="shared" si="41"/>
        <v>Junho</v>
      </c>
      <c r="I577" s="11">
        <f>INDEX(tbCadastroConsultas[],MATCH(tbConsultas[[#This Row],[PROFISSIONAL]],tbCadastroConsultas[PROFISSIONAL],0),3)</f>
        <v>301010064</v>
      </c>
      <c r="J577" s="11">
        <f>INDEX(tbCadastroConsultas[],MATCH(tbConsultas[[#This Row],[PROFISSIONAL]],tbCadastroConsultas[PROFISSIONAL],0),4)</f>
        <v>225124</v>
      </c>
    </row>
    <row r="578" spans="1:10">
      <c r="A578" s="11">
        <f t="shared" si="43"/>
        <v>577</v>
      </c>
      <c r="B578" s="4" t="s">
        <v>7</v>
      </c>
      <c r="C578" s="5">
        <v>15102009</v>
      </c>
      <c r="D578" s="5">
        <v>21052018</v>
      </c>
      <c r="E578" s="4">
        <v>8</v>
      </c>
      <c r="F578" s="15">
        <f t="shared" ref="F578:F641" si="44">IF(D578="","",DATE(YEAR(TEXT(D578,"00\/00\/0000")),MONTH(TEXT(D578,"00\/00\/0000"))+1,20))</f>
        <v>43271</v>
      </c>
      <c r="G578" s="12">
        <f t="shared" ref="G578:G641" si="45">IF(F578="","",YEAR(F578))</f>
        <v>2018</v>
      </c>
      <c r="H578" s="12" t="str">
        <f t="shared" ref="H578:H641" si="46">PROPER(TEXT(F578,"mmmm"))</f>
        <v>Junho</v>
      </c>
      <c r="I578" s="11">
        <f>INDEX(tbCadastroConsultas[],MATCH(tbConsultas[[#This Row],[PROFISSIONAL]],tbCadastroConsultas[PROFISSIONAL],0),3)</f>
        <v>301010064</v>
      </c>
      <c r="J578" s="11">
        <f>INDEX(tbCadastroConsultas[],MATCH(tbConsultas[[#This Row],[PROFISSIONAL]],tbCadastroConsultas[PROFISSIONAL],0),4)</f>
        <v>225124</v>
      </c>
    </row>
    <row r="579" spans="1:10">
      <c r="A579" s="11">
        <f t="shared" si="43"/>
        <v>578</v>
      </c>
      <c r="B579" s="4" t="s">
        <v>7</v>
      </c>
      <c r="C579" s="5">
        <v>24042012</v>
      </c>
      <c r="D579" s="5">
        <v>21052018</v>
      </c>
      <c r="E579" s="4">
        <v>6</v>
      </c>
      <c r="F579" s="15">
        <f t="shared" si="44"/>
        <v>43271</v>
      </c>
      <c r="G579" s="12">
        <f t="shared" si="45"/>
        <v>2018</v>
      </c>
      <c r="H579" s="12" t="str">
        <f t="shared" si="46"/>
        <v>Junho</v>
      </c>
      <c r="I579" s="11">
        <f>INDEX(tbCadastroConsultas[],MATCH(tbConsultas[[#This Row],[PROFISSIONAL]],tbCadastroConsultas[PROFISSIONAL],0),3)</f>
        <v>301010064</v>
      </c>
      <c r="J579" s="11">
        <f>INDEX(tbCadastroConsultas[],MATCH(tbConsultas[[#This Row],[PROFISSIONAL]],tbCadastroConsultas[PROFISSIONAL],0),4)</f>
        <v>225124</v>
      </c>
    </row>
    <row r="580" spans="1:10">
      <c r="A580" s="11">
        <f t="shared" si="43"/>
        <v>579</v>
      </c>
      <c r="B580" s="4" t="s">
        <v>7</v>
      </c>
      <c r="C580" s="5">
        <v>24042012</v>
      </c>
      <c r="D580" s="5">
        <v>21052018</v>
      </c>
      <c r="E580" s="4">
        <v>6</v>
      </c>
      <c r="F580" s="15">
        <f t="shared" si="44"/>
        <v>43271</v>
      </c>
      <c r="G580" s="12">
        <f t="shared" si="45"/>
        <v>2018</v>
      </c>
      <c r="H580" s="12" t="str">
        <f t="shared" si="46"/>
        <v>Junho</v>
      </c>
      <c r="I580" s="11">
        <f>INDEX(tbCadastroConsultas[],MATCH(tbConsultas[[#This Row],[PROFISSIONAL]],tbCadastroConsultas[PROFISSIONAL],0),3)</f>
        <v>301010064</v>
      </c>
      <c r="J580" s="11">
        <f>INDEX(tbCadastroConsultas[],MATCH(tbConsultas[[#This Row],[PROFISSIONAL]],tbCadastroConsultas[PROFISSIONAL],0),4)</f>
        <v>225124</v>
      </c>
    </row>
    <row r="581" spans="1:10">
      <c r="A581" s="11">
        <f t="shared" si="43"/>
        <v>580</v>
      </c>
      <c r="B581" s="4" t="s">
        <v>7</v>
      </c>
      <c r="C581" s="5">
        <v>24042012</v>
      </c>
      <c r="D581" s="5">
        <v>21052018</v>
      </c>
      <c r="E581" s="4">
        <v>6</v>
      </c>
      <c r="F581" s="15">
        <f t="shared" si="44"/>
        <v>43271</v>
      </c>
      <c r="G581" s="12">
        <f t="shared" si="45"/>
        <v>2018</v>
      </c>
      <c r="H581" s="12" t="str">
        <f t="shared" si="46"/>
        <v>Junho</v>
      </c>
      <c r="I581" s="11">
        <f>INDEX(tbCadastroConsultas[],MATCH(tbConsultas[[#This Row],[PROFISSIONAL]],tbCadastroConsultas[PROFISSIONAL],0),3)</f>
        <v>301010064</v>
      </c>
      <c r="J581" s="11">
        <f>INDEX(tbCadastroConsultas[],MATCH(tbConsultas[[#This Row],[PROFISSIONAL]],tbCadastroConsultas[PROFISSIONAL],0),4)</f>
        <v>225124</v>
      </c>
    </row>
    <row r="582" spans="1:10">
      <c r="A582" s="11">
        <f t="shared" si="43"/>
        <v>581</v>
      </c>
      <c r="B582" s="4" t="s">
        <v>7</v>
      </c>
      <c r="C582" s="5">
        <v>16032016</v>
      </c>
      <c r="D582" s="5">
        <v>21052018</v>
      </c>
      <c r="E582" s="4">
        <v>2</v>
      </c>
      <c r="F582" s="15">
        <f t="shared" si="44"/>
        <v>43271</v>
      </c>
      <c r="G582" s="12">
        <f t="shared" si="45"/>
        <v>2018</v>
      </c>
      <c r="H582" s="12" t="str">
        <f t="shared" si="46"/>
        <v>Junho</v>
      </c>
      <c r="I582" s="11">
        <f>INDEX(tbCadastroConsultas[],MATCH(tbConsultas[[#This Row],[PROFISSIONAL]],tbCadastroConsultas[PROFISSIONAL],0),3)</f>
        <v>301010064</v>
      </c>
      <c r="J582" s="11">
        <f>INDEX(tbCadastroConsultas[],MATCH(tbConsultas[[#This Row],[PROFISSIONAL]],tbCadastroConsultas[PROFISSIONAL],0),4)</f>
        <v>225124</v>
      </c>
    </row>
    <row r="583" spans="1:10">
      <c r="A583" s="11">
        <f t="shared" si="43"/>
        <v>582</v>
      </c>
      <c r="B583" s="4" t="s">
        <v>7</v>
      </c>
      <c r="C583" s="5">
        <v>24042013</v>
      </c>
      <c r="D583" s="5">
        <v>21052018</v>
      </c>
      <c r="E583" s="4">
        <v>5</v>
      </c>
      <c r="F583" s="15">
        <f t="shared" si="44"/>
        <v>43271</v>
      </c>
      <c r="G583" s="12">
        <f t="shared" si="45"/>
        <v>2018</v>
      </c>
      <c r="H583" s="12" t="str">
        <f t="shared" si="46"/>
        <v>Junho</v>
      </c>
      <c r="I583" s="11">
        <f>INDEX(tbCadastroConsultas[],MATCH(tbConsultas[[#This Row],[PROFISSIONAL]],tbCadastroConsultas[PROFISSIONAL],0),3)</f>
        <v>301010064</v>
      </c>
      <c r="J583" s="11">
        <f>INDEX(tbCadastroConsultas[],MATCH(tbConsultas[[#This Row],[PROFISSIONAL]],tbCadastroConsultas[PROFISSIONAL],0),4)</f>
        <v>225124</v>
      </c>
    </row>
    <row r="584" spans="1:10">
      <c r="A584" s="11">
        <f t="shared" si="43"/>
        <v>583</v>
      </c>
      <c r="B584" s="4" t="s">
        <v>0</v>
      </c>
      <c r="C584" s="5">
        <v>14062016</v>
      </c>
      <c r="D584" s="5">
        <v>21052018</v>
      </c>
      <c r="E584" s="4">
        <v>1</v>
      </c>
      <c r="F584" s="15">
        <f t="shared" si="44"/>
        <v>43271</v>
      </c>
      <c r="G584" s="12">
        <f t="shared" si="45"/>
        <v>2018</v>
      </c>
      <c r="H584" s="12" t="str">
        <f t="shared" si="46"/>
        <v>Junho</v>
      </c>
      <c r="I584" s="11">
        <f>INDEX(tbCadastroConsultas[],MATCH(tbConsultas[[#This Row],[PROFISSIONAL]],tbCadastroConsultas[PROFISSIONAL],0),3)</f>
        <v>301010080</v>
      </c>
      <c r="J584" s="11">
        <f>INDEX(tbCadastroConsultas[],MATCH(tbConsultas[[#This Row],[PROFISSIONAL]],tbCadastroConsultas[PROFISSIONAL],0),4)</f>
        <v>225124</v>
      </c>
    </row>
    <row r="585" spans="1:10">
      <c r="A585" s="11">
        <f t="shared" si="43"/>
        <v>584</v>
      </c>
      <c r="B585" s="4" t="s">
        <v>0</v>
      </c>
      <c r="C585" s="5">
        <v>6032018</v>
      </c>
      <c r="D585" s="5">
        <v>21052018</v>
      </c>
      <c r="E585" s="4">
        <v>0</v>
      </c>
      <c r="F585" s="15">
        <f t="shared" si="44"/>
        <v>43271</v>
      </c>
      <c r="G585" s="12">
        <f t="shared" si="45"/>
        <v>2018</v>
      </c>
      <c r="H585" s="12" t="str">
        <f t="shared" si="46"/>
        <v>Junho</v>
      </c>
      <c r="I585" s="11">
        <f>INDEX(tbCadastroConsultas[],MATCH(tbConsultas[[#This Row],[PROFISSIONAL]],tbCadastroConsultas[PROFISSIONAL],0),3)</f>
        <v>301010080</v>
      </c>
      <c r="J585" s="11">
        <f>INDEX(tbCadastroConsultas[],MATCH(tbConsultas[[#This Row],[PROFISSIONAL]],tbCadastroConsultas[PROFISSIONAL],0),4)</f>
        <v>225124</v>
      </c>
    </row>
    <row r="586" spans="1:10">
      <c r="A586" s="11">
        <f t="shared" si="43"/>
        <v>585</v>
      </c>
      <c r="B586" s="4" t="s">
        <v>0</v>
      </c>
      <c r="C586" s="5">
        <v>23042018</v>
      </c>
      <c r="D586" s="5">
        <v>21052018</v>
      </c>
      <c r="E586" s="4">
        <v>0</v>
      </c>
      <c r="F586" s="15">
        <f t="shared" si="44"/>
        <v>43271</v>
      </c>
      <c r="G586" s="12">
        <f t="shared" si="45"/>
        <v>2018</v>
      </c>
      <c r="H586" s="12" t="str">
        <f t="shared" si="46"/>
        <v>Junho</v>
      </c>
      <c r="I586" s="11">
        <f>INDEX(tbCadastroConsultas[],MATCH(tbConsultas[[#This Row],[PROFISSIONAL]],tbCadastroConsultas[PROFISSIONAL],0),3)</f>
        <v>301010080</v>
      </c>
      <c r="J586" s="11">
        <f>INDEX(tbCadastroConsultas[],MATCH(tbConsultas[[#This Row],[PROFISSIONAL]],tbCadastroConsultas[PROFISSIONAL],0),4)</f>
        <v>225124</v>
      </c>
    </row>
    <row r="587" spans="1:10">
      <c r="A587" s="11">
        <f t="shared" si="43"/>
        <v>586</v>
      </c>
      <c r="B587" s="4" t="s">
        <v>0</v>
      </c>
      <c r="C587" s="5">
        <v>18032018</v>
      </c>
      <c r="D587" s="5">
        <v>21052018</v>
      </c>
      <c r="E587" s="4">
        <v>0</v>
      </c>
      <c r="F587" s="15">
        <f t="shared" si="44"/>
        <v>43271</v>
      </c>
      <c r="G587" s="12">
        <f t="shared" si="45"/>
        <v>2018</v>
      </c>
      <c r="H587" s="12" t="str">
        <f t="shared" si="46"/>
        <v>Junho</v>
      </c>
      <c r="I587" s="11">
        <f>INDEX(tbCadastroConsultas[],MATCH(tbConsultas[[#This Row],[PROFISSIONAL]],tbCadastroConsultas[PROFISSIONAL],0),3)</f>
        <v>301010080</v>
      </c>
      <c r="J587" s="11">
        <f>INDEX(tbCadastroConsultas[],MATCH(tbConsultas[[#This Row],[PROFISSIONAL]],tbCadastroConsultas[PROFISSIONAL],0),4)</f>
        <v>225124</v>
      </c>
    </row>
    <row r="588" spans="1:10">
      <c r="A588" s="11">
        <f t="shared" si="43"/>
        <v>587</v>
      </c>
      <c r="B588" s="4" t="s">
        <v>0</v>
      </c>
      <c r="C588" s="5">
        <v>22072017</v>
      </c>
      <c r="D588" s="5">
        <v>21052018</v>
      </c>
      <c r="E588" s="4">
        <v>0</v>
      </c>
      <c r="F588" s="15">
        <f t="shared" si="44"/>
        <v>43271</v>
      </c>
      <c r="G588" s="12">
        <f t="shared" si="45"/>
        <v>2018</v>
      </c>
      <c r="H588" s="12" t="str">
        <f t="shared" si="46"/>
        <v>Junho</v>
      </c>
      <c r="I588" s="11">
        <f>INDEX(tbCadastroConsultas[],MATCH(tbConsultas[[#This Row],[PROFISSIONAL]],tbCadastroConsultas[PROFISSIONAL],0),3)</f>
        <v>301010080</v>
      </c>
      <c r="J588" s="11">
        <f>INDEX(tbCadastroConsultas[],MATCH(tbConsultas[[#This Row],[PROFISSIONAL]],tbCadastroConsultas[PROFISSIONAL],0),4)</f>
        <v>225124</v>
      </c>
    </row>
    <row r="589" spans="1:10">
      <c r="A589" s="11">
        <f t="shared" si="43"/>
        <v>588</v>
      </c>
      <c r="B589" s="4" t="s">
        <v>0</v>
      </c>
      <c r="C589" s="5">
        <v>6122007</v>
      </c>
      <c r="D589" s="5">
        <v>21052018</v>
      </c>
      <c r="E589" s="4">
        <v>10</v>
      </c>
      <c r="F589" s="15">
        <f t="shared" si="44"/>
        <v>43271</v>
      </c>
      <c r="G589" s="12">
        <f t="shared" si="45"/>
        <v>2018</v>
      </c>
      <c r="H589" s="12" t="str">
        <f t="shared" si="46"/>
        <v>Junho</v>
      </c>
      <c r="I589" s="11">
        <f>INDEX(tbCadastroConsultas[],MATCH(tbConsultas[[#This Row],[PROFISSIONAL]],tbCadastroConsultas[PROFISSIONAL],0),3)</f>
        <v>301010080</v>
      </c>
      <c r="J589" s="11">
        <f>INDEX(tbCadastroConsultas[],MATCH(tbConsultas[[#This Row],[PROFISSIONAL]],tbCadastroConsultas[PROFISSIONAL],0),4)</f>
        <v>225124</v>
      </c>
    </row>
    <row r="590" spans="1:10">
      <c r="A590" s="11">
        <f t="shared" si="43"/>
        <v>589</v>
      </c>
      <c r="B590" s="4" t="s">
        <v>0</v>
      </c>
      <c r="C590" s="5">
        <v>26112007</v>
      </c>
      <c r="D590" s="5">
        <v>21052018</v>
      </c>
      <c r="E590" s="4">
        <v>10</v>
      </c>
      <c r="F590" s="15">
        <f t="shared" si="44"/>
        <v>43271</v>
      </c>
      <c r="G590" s="12">
        <f t="shared" si="45"/>
        <v>2018</v>
      </c>
      <c r="H590" s="12" t="str">
        <f t="shared" si="46"/>
        <v>Junho</v>
      </c>
      <c r="I590" s="11">
        <f>INDEX(tbCadastroConsultas[],MATCH(tbConsultas[[#This Row],[PROFISSIONAL]],tbCadastroConsultas[PROFISSIONAL],0),3)</f>
        <v>301010080</v>
      </c>
      <c r="J590" s="11">
        <f>INDEX(tbCadastroConsultas[],MATCH(tbConsultas[[#This Row],[PROFISSIONAL]],tbCadastroConsultas[PROFISSIONAL],0),4)</f>
        <v>225124</v>
      </c>
    </row>
    <row r="591" spans="1:10">
      <c r="A591" s="11">
        <f t="shared" si="43"/>
        <v>590</v>
      </c>
      <c r="B591" s="4" t="s">
        <v>0</v>
      </c>
      <c r="C591" s="5">
        <v>26112007</v>
      </c>
      <c r="D591" s="5">
        <v>21052018</v>
      </c>
      <c r="E591" s="4">
        <v>10</v>
      </c>
      <c r="F591" s="15">
        <f t="shared" si="44"/>
        <v>43271</v>
      </c>
      <c r="G591" s="12">
        <f t="shared" si="45"/>
        <v>2018</v>
      </c>
      <c r="H591" s="12" t="str">
        <f t="shared" si="46"/>
        <v>Junho</v>
      </c>
      <c r="I591" s="11">
        <f>INDEX(tbCadastroConsultas[],MATCH(tbConsultas[[#This Row],[PROFISSIONAL]],tbCadastroConsultas[PROFISSIONAL],0),3)</f>
        <v>301010080</v>
      </c>
      <c r="J591" s="11">
        <f>INDEX(tbCadastroConsultas[],MATCH(tbConsultas[[#This Row],[PROFISSIONAL]],tbCadastroConsultas[PROFISSIONAL],0),4)</f>
        <v>225124</v>
      </c>
    </row>
    <row r="592" spans="1:10">
      <c r="A592" s="11">
        <f t="shared" si="43"/>
        <v>591</v>
      </c>
      <c r="B592" s="4" t="s">
        <v>0</v>
      </c>
      <c r="C592" s="5">
        <v>26112007</v>
      </c>
      <c r="D592" s="5">
        <v>21052018</v>
      </c>
      <c r="E592" s="4">
        <v>10</v>
      </c>
      <c r="F592" s="15">
        <f t="shared" si="44"/>
        <v>43271</v>
      </c>
      <c r="G592" s="12">
        <f t="shared" si="45"/>
        <v>2018</v>
      </c>
      <c r="H592" s="12" t="str">
        <f t="shared" si="46"/>
        <v>Junho</v>
      </c>
      <c r="I592" s="11">
        <f>INDEX(tbCadastroConsultas[],MATCH(tbConsultas[[#This Row],[PROFISSIONAL]],tbCadastroConsultas[PROFISSIONAL],0),3)</f>
        <v>301010080</v>
      </c>
      <c r="J592" s="11">
        <f>INDEX(tbCadastroConsultas[],MATCH(tbConsultas[[#This Row],[PROFISSIONAL]],tbCadastroConsultas[PROFISSIONAL],0),4)</f>
        <v>225124</v>
      </c>
    </row>
    <row r="593" spans="1:10">
      <c r="A593" s="11">
        <f t="shared" si="43"/>
        <v>592</v>
      </c>
      <c r="B593" s="4" t="s">
        <v>0</v>
      </c>
      <c r="C593" s="5">
        <v>8012006</v>
      </c>
      <c r="D593" s="5">
        <v>21052018</v>
      </c>
      <c r="E593" s="4">
        <v>12</v>
      </c>
      <c r="F593" s="15">
        <f t="shared" si="44"/>
        <v>43271</v>
      </c>
      <c r="G593" s="12">
        <f t="shared" si="45"/>
        <v>2018</v>
      </c>
      <c r="H593" s="12" t="str">
        <f t="shared" si="46"/>
        <v>Junho</v>
      </c>
      <c r="I593" s="11">
        <f>INDEX(tbCadastroConsultas[],MATCH(tbConsultas[[#This Row],[PROFISSIONAL]],tbCadastroConsultas[PROFISSIONAL],0),3)</f>
        <v>301010080</v>
      </c>
      <c r="J593" s="11">
        <f>INDEX(tbCadastroConsultas[],MATCH(tbConsultas[[#This Row],[PROFISSIONAL]],tbCadastroConsultas[PROFISSIONAL],0),4)</f>
        <v>225124</v>
      </c>
    </row>
    <row r="594" spans="1:10">
      <c r="A594" s="11">
        <f t="shared" si="43"/>
        <v>593</v>
      </c>
      <c r="B594" s="4" t="s">
        <v>0</v>
      </c>
      <c r="C594" s="5">
        <v>4052018</v>
      </c>
      <c r="D594" s="5">
        <v>21052018</v>
      </c>
      <c r="E594" s="4">
        <v>0</v>
      </c>
      <c r="F594" s="15">
        <f t="shared" si="44"/>
        <v>43271</v>
      </c>
      <c r="G594" s="12">
        <f t="shared" si="45"/>
        <v>2018</v>
      </c>
      <c r="H594" s="12" t="str">
        <f t="shared" si="46"/>
        <v>Junho</v>
      </c>
      <c r="I594" s="11">
        <f>INDEX(tbCadastroConsultas[],MATCH(tbConsultas[[#This Row],[PROFISSIONAL]],tbCadastroConsultas[PROFISSIONAL],0),3)</f>
        <v>301010080</v>
      </c>
      <c r="J594" s="11">
        <f>INDEX(tbCadastroConsultas[],MATCH(tbConsultas[[#This Row],[PROFISSIONAL]],tbCadastroConsultas[PROFISSIONAL],0),4)</f>
        <v>225124</v>
      </c>
    </row>
    <row r="595" spans="1:10">
      <c r="A595" s="11">
        <f t="shared" si="43"/>
        <v>594</v>
      </c>
      <c r="B595" s="4" t="s">
        <v>0</v>
      </c>
      <c r="C595" s="5">
        <v>15092016</v>
      </c>
      <c r="D595" s="5">
        <v>21052018</v>
      </c>
      <c r="E595" s="4">
        <v>1</v>
      </c>
      <c r="F595" s="15">
        <f t="shared" si="44"/>
        <v>43271</v>
      </c>
      <c r="G595" s="12">
        <f t="shared" si="45"/>
        <v>2018</v>
      </c>
      <c r="H595" s="12" t="str">
        <f t="shared" si="46"/>
        <v>Junho</v>
      </c>
      <c r="I595" s="11">
        <f>INDEX(tbCadastroConsultas[],MATCH(tbConsultas[[#This Row],[PROFISSIONAL]],tbCadastroConsultas[PROFISSIONAL],0),3)</f>
        <v>301010080</v>
      </c>
      <c r="J595" s="11">
        <f>INDEX(tbCadastroConsultas[],MATCH(tbConsultas[[#This Row],[PROFISSIONAL]],tbCadastroConsultas[PROFISSIONAL],0),4)</f>
        <v>225124</v>
      </c>
    </row>
    <row r="596" spans="1:10">
      <c r="A596" s="11">
        <f t="shared" si="43"/>
        <v>595</v>
      </c>
      <c r="B596" s="4" t="s">
        <v>0</v>
      </c>
      <c r="C596" s="5">
        <v>22012017</v>
      </c>
      <c r="D596" s="5">
        <v>21052018</v>
      </c>
      <c r="E596" s="4">
        <v>1</v>
      </c>
      <c r="F596" s="15">
        <f t="shared" si="44"/>
        <v>43271</v>
      </c>
      <c r="G596" s="12">
        <f t="shared" si="45"/>
        <v>2018</v>
      </c>
      <c r="H596" s="12" t="str">
        <f t="shared" si="46"/>
        <v>Junho</v>
      </c>
      <c r="I596" s="11">
        <f>INDEX(tbCadastroConsultas[],MATCH(tbConsultas[[#This Row],[PROFISSIONAL]],tbCadastroConsultas[PROFISSIONAL],0),3)</f>
        <v>301010080</v>
      </c>
      <c r="J596" s="11">
        <f>INDEX(tbCadastroConsultas[],MATCH(tbConsultas[[#This Row],[PROFISSIONAL]],tbCadastroConsultas[PROFISSIONAL],0),4)</f>
        <v>225124</v>
      </c>
    </row>
    <row r="597" spans="1:10">
      <c r="A597" s="11">
        <f t="shared" si="43"/>
        <v>596</v>
      </c>
      <c r="B597" s="4" t="s">
        <v>0</v>
      </c>
      <c r="C597" s="5">
        <v>10112010</v>
      </c>
      <c r="D597" s="5">
        <v>21052018</v>
      </c>
      <c r="E597" s="4">
        <v>7</v>
      </c>
      <c r="F597" s="15">
        <f t="shared" si="44"/>
        <v>43271</v>
      </c>
      <c r="G597" s="12">
        <f t="shared" si="45"/>
        <v>2018</v>
      </c>
      <c r="H597" s="12" t="str">
        <f t="shared" si="46"/>
        <v>Junho</v>
      </c>
      <c r="I597" s="11">
        <f>INDEX(tbCadastroConsultas[],MATCH(tbConsultas[[#This Row],[PROFISSIONAL]],tbCadastroConsultas[PROFISSIONAL],0),3)</f>
        <v>301010080</v>
      </c>
      <c r="J597" s="11">
        <f>INDEX(tbCadastroConsultas[],MATCH(tbConsultas[[#This Row],[PROFISSIONAL]],tbCadastroConsultas[PROFISSIONAL],0),4)</f>
        <v>225124</v>
      </c>
    </row>
    <row r="598" spans="1:10">
      <c r="A598" s="11">
        <f t="shared" si="43"/>
        <v>597</v>
      </c>
      <c r="B598" s="4" t="s">
        <v>0</v>
      </c>
      <c r="C598" s="5">
        <v>24022007</v>
      </c>
      <c r="D598" s="5">
        <v>21052018</v>
      </c>
      <c r="E598" s="4">
        <v>11</v>
      </c>
      <c r="F598" s="15">
        <f t="shared" si="44"/>
        <v>43271</v>
      </c>
      <c r="G598" s="12">
        <f t="shared" si="45"/>
        <v>2018</v>
      </c>
      <c r="H598" s="12" t="str">
        <f t="shared" si="46"/>
        <v>Junho</v>
      </c>
      <c r="I598" s="11">
        <f>INDEX(tbCadastroConsultas[],MATCH(tbConsultas[[#This Row],[PROFISSIONAL]],tbCadastroConsultas[PROFISSIONAL],0),3)</f>
        <v>301010080</v>
      </c>
      <c r="J598" s="11">
        <f>INDEX(tbCadastroConsultas[],MATCH(tbConsultas[[#This Row],[PROFISSIONAL]],tbCadastroConsultas[PROFISSIONAL],0),4)</f>
        <v>225124</v>
      </c>
    </row>
    <row r="599" spans="1:10">
      <c r="A599" s="11">
        <f t="shared" si="43"/>
        <v>598</v>
      </c>
      <c r="B599" s="4" t="s">
        <v>0</v>
      </c>
      <c r="C599" s="5">
        <v>31072017</v>
      </c>
      <c r="D599" s="5">
        <v>21052018</v>
      </c>
      <c r="E599" s="4">
        <v>0</v>
      </c>
      <c r="F599" s="15">
        <f t="shared" si="44"/>
        <v>43271</v>
      </c>
      <c r="G599" s="12">
        <f t="shared" si="45"/>
        <v>2018</v>
      </c>
      <c r="H599" s="12" t="str">
        <f t="shared" si="46"/>
        <v>Junho</v>
      </c>
      <c r="I599" s="11">
        <f>INDEX(tbCadastroConsultas[],MATCH(tbConsultas[[#This Row],[PROFISSIONAL]],tbCadastroConsultas[PROFISSIONAL],0),3)</f>
        <v>301010080</v>
      </c>
      <c r="J599" s="11">
        <f>INDEX(tbCadastroConsultas[],MATCH(tbConsultas[[#This Row],[PROFISSIONAL]],tbCadastroConsultas[PROFISSIONAL],0),4)</f>
        <v>225124</v>
      </c>
    </row>
    <row r="600" spans="1:10">
      <c r="A600" s="11">
        <f t="shared" si="43"/>
        <v>599</v>
      </c>
      <c r="B600" s="4" t="s">
        <v>0</v>
      </c>
      <c r="C600" s="5">
        <v>3122015</v>
      </c>
      <c r="D600" s="5">
        <v>21052018</v>
      </c>
      <c r="E600" s="4">
        <v>2</v>
      </c>
      <c r="F600" s="15">
        <f t="shared" si="44"/>
        <v>43271</v>
      </c>
      <c r="G600" s="12">
        <f t="shared" si="45"/>
        <v>2018</v>
      </c>
      <c r="H600" s="12" t="str">
        <f t="shared" si="46"/>
        <v>Junho</v>
      </c>
      <c r="I600" s="11">
        <f>INDEX(tbCadastroConsultas[],MATCH(tbConsultas[[#This Row],[PROFISSIONAL]],tbCadastroConsultas[PROFISSIONAL],0),3)</f>
        <v>301010080</v>
      </c>
      <c r="J600" s="11">
        <f>INDEX(tbCadastroConsultas[],MATCH(tbConsultas[[#This Row],[PROFISSIONAL]],tbCadastroConsultas[PROFISSIONAL],0),4)</f>
        <v>225124</v>
      </c>
    </row>
    <row r="601" spans="1:10">
      <c r="A601" s="11">
        <f t="shared" si="43"/>
        <v>600</v>
      </c>
      <c r="B601" s="4" t="s">
        <v>0</v>
      </c>
      <c r="C601" s="5">
        <v>6052017</v>
      </c>
      <c r="D601" s="5">
        <v>21052018</v>
      </c>
      <c r="E601" s="4">
        <v>1</v>
      </c>
      <c r="F601" s="15">
        <f t="shared" si="44"/>
        <v>43271</v>
      </c>
      <c r="G601" s="12">
        <f t="shared" si="45"/>
        <v>2018</v>
      </c>
      <c r="H601" s="12" t="str">
        <f t="shared" si="46"/>
        <v>Junho</v>
      </c>
      <c r="I601" s="11">
        <f>INDEX(tbCadastroConsultas[],MATCH(tbConsultas[[#This Row],[PROFISSIONAL]],tbCadastroConsultas[PROFISSIONAL],0),3)</f>
        <v>301010080</v>
      </c>
      <c r="J601" s="11">
        <f>INDEX(tbCadastroConsultas[],MATCH(tbConsultas[[#This Row],[PROFISSIONAL]],tbCadastroConsultas[PROFISSIONAL],0),4)</f>
        <v>225124</v>
      </c>
    </row>
    <row r="602" spans="1:10">
      <c r="A602" s="11">
        <f t="shared" si="43"/>
        <v>601</v>
      </c>
      <c r="B602" s="4" t="s">
        <v>6</v>
      </c>
      <c r="C602" s="5">
        <v>14081946</v>
      </c>
      <c r="D602" s="5">
        <v>21052018</v>
      </c>
      <c r="E602" s="4">
        <v>71</v>
      </c>
      <c r="F602" s="15">
        <f t="shared" si="44"/>
        <v>43271</v>
      </c>
      <c r="G602" s="12">
        <f t="shared" si="45"/>
        <v>2018</v>
      </c>
      <c r="H602" s="12" t="str">
        <f t="shared" si="46"/>
        <v>Junho</v>
      </c>
      <c r="I602" s="11">
        <f>INDEX(tbCadastroConsultas[],MATCH(tbConsultas[[#This Row],[PROFISSIONAL]],tbCadastroConsultas[PROFISSIONAL],0),3)</f>
        <v>301010064</v>
      </c>
      <c r="J602" s="11">
        <f>INDEX(tbCadastroConsultas[],MATCH(tbConsultas[[#This Row],[PROFISSIONAL]],tbCadastroConsultas[PROFISSIONAL],0),4)</f>
        <v>225125</v>
      </c>
    </row>
    <row r="603" spans="1:10">
      <c r="A603" s="11">
        <f t="shared" si="43"/>
        <v>602</v>
      </c>
      <c r="B603" s="4" t="s">
        <v>6</v>
      </c>
      <c r="C603" s="5">
        <v>18031958</v>
      </c>
      <c r="D603" s="5">
        <v>21052018</v>
      </c>
      <c r="E603" s="4">
        <v>60</v>
      </c>
      <c r="F603" s="15">
        <f t="shared" si="44"/>
        <v>43271</v>
      </c>
      <c r="G603" s="12">
        <f t="shared" si="45"/>
        <v>2018</v>
      </c>
      <c r="H603" s="12" t="str">
        <f t="shared" si="46"/>
        <v>Junho</v>
      </c>
      <c r="I603" s="11">
        <f>INDEX(tbCadastroConsultas[],MATCH(tbConsultas[[#This Row],[PROFISSIONAL]],tbCadastroConsultas[PROFISSIONAL],0),3)</f>
        <v>301010064</v>
      </c>
      <c r="J603" s="11">
        <f>INDEX(tbCadastroConsultas[],MATCH(tbConsultas[[#This Row],[PROFISSIONAL]],tbCadastroConsultas[PROFISSIONAL],0),4)</f>
        <v>225125</v>
      </c>
    </row>
    <row r="604" spans="1:10">
      <c r="A604" s="11">
        <f t="shared" si="43"/>
        <v>603</v>
      </c>
      <c r="B604" s="4" t="s">
        <v>6</v>
      </c>
      <c r="C604" s="5">
        <v>13061946</v>
      </c>
      <c r="D604" s="5">
        <v>21052018</v>
      </c>
      <c r="E604" s="4">
        <v>71</v>
      </c>
      <c r="F604" s="15">
        <f t="shared" si="44"/>
        <v>43271</v>
      </c>
      <c r="G604" s="12">
        <f t="shared" si="45"/>
        <v>2018</v>
      </c>
      <c r="H604" s="12" t="str">
        <f t="shared" si="46"/>
        <v>Junho</v>
      </c>
      <c r="I604" s="11">
        <f>INDEX(tbCadastroConsultas[],MATCH(tbConsultas[[#This Row],[PROFISSIONAL]],tbCadastroConsultas[PROFISSIONAL],0),3)</f>
        <v>301010064</v>
      </c>
      <c r="J604" s="11">
        <f>INDEX(tbCadastroConsultas[],MATCH(tbConsultas[[#This Row],[PROFISSIONAL]],tbCadastroConsultas[PROFISSIONAL],0),4)</f>
        <v>225125</v>
      </c>
    </row>
    <row r="605" spans="1:10">
      <c r="A605" s="11">
        <f t="shared" si="43"/>
        <v>604</v>
      </c>
      <c r="B605" s="4" t="s">
        <v>6</v>
      </c>
      <c r="C605" s="5">
        <v>12121946</v>
      </c>
      <c r="D605" s="5">
        <v>21052018</v>
      </c>
      <c r="E605" s="4">
        <v>71</v>
      </c>
      <c r="F605" s="15">
        <f t="shared" si="44"/>
        <v>43271</v>
      </c>
      <c r="G605" s="12">
        <f t="shared" si="45"/>
        <v>2018</v>
      </c>
      <c r="H605" s="12" t="str">
        <f t="shared" si="46"/>
        <v>Junho</v>
      </c>
      <c r="I605" s="11">
        <f>INDEX(tbCadastroConsultas[],MATCH(tbConsultas[[#This Row],[PROFISSIONAL]],tbCadastroConsultas[PROFISSIONAL],0),3)</f>
        <v>301010064</v>
      </c>
      <c r="J605" s="11">
        <f>INDEX(tbCadastroConsultas[],MATCH(tbConsultas[[#This Row],[PROFISSIONAL]],tbCadastroConsultas[PROFISSIONAL],0),4)</f>
        <v>225125</v>
      </c>
    </row>
    <row r="606" spans="1:10">
      <c r="A606" s="11">
        <f t="shared" si="43"/>
        <v>605</v>
      </c>
      <c r="B606" s="4" t="s">
        <v>6</v>
      </c>
      <c r="C606" s="5">
        <v>2011943</v>
      </c>
      <c r="D606" s="5">
        <v>21052018</v>
      </c>
      <c r="E606" s="4">
        <v>75</v>
      </c>
      <c r="F606" s="15">
        <f t="shared" si="44"/>
        <v>43271</v>
      </c>
      <c r="G606" s="12">
        <f t="shared" si="45"/>
        <v>2018</v>
      </c>
      <c r="H606" s="12" t="str">
        <f t="shared" si="46"/>
        <v>Junho</v>
      </c>
      <c r="I606" s="11">
        <f>INDEX(tbCadastroConsultas[],MATCH(tbConsultas[[#This Row],[PROFISSIONAL]],tbCadastroConsultas[PROFISSIONAL],0),3)</f>
        <v>301010064</v>
      </c>
      <c r="J606" s="11">
        <f>INDEX(tbCadastroConsultas[],MATCH(tbConsultas[[#This Row],[PROFISSIONAL]],tbCadastroConsultas[PROFISSIONAL],0),4)</f>
        <v>225125</v>
      </c>
    </row>
    <row r="607" spans="1:10">
      <c r="A607" s="11">
        <f t="shared" ref="A607:A638" si="47">ROW() -1</f>
        <v>606</v>
      </c>
      <c r="B607" s="4" t="s">
        <v>6</v>
      </c>
      <c r="C607" s="5">
        <v>3111985</v>
      </c>
      <c r="D607" s="5">
        <v>21052018</v>
      </c>
      <c r="E607" s="4">
        <v>32</v>
      </c>
      <c r="F607" s="15">
        <f t="shared" si="44"/>
        <v>43271</v>
      </c>
      <c r="G607" s="12">
        <f t="shared" si="45"/>
        <v>2018</v>
      </c>
      <c r="H607" s="12" t="str">
        <f t="shared" si="46"/>
        <v>Junho</v>
      </c>
      <c r="I607" s="11">
        <f>INDEX(tbCadastroConsultas[],MATCH(tbConsultas[[#This Row],[PROFISSIONAL]],tbCadastroConsultas[PROFISSIONAL],0),3)</f>
        <v>301010064</v>
      </c>
      <c r="J607" s="11">
        <f>INDEX(tbCadastroConsultas[],MATCH(tbConsultas[[#This Row],[PROFISSIONAL]],tbCadastroConsultas[PROFISSIONAL],0),4)</f>
        <v>225125</v>
      </c>
    </row>
    <row r="608" spans="1:10">
      <c r="A608" s="11">
        <f t="shared" si="47"/>
        <v>607</v>
      </c>
      <c r="B608" s="4" t="s">
        <v>6</v>
      </c>
      <c r="C608" s="5">
        <v>2091964</v>
      </c>
      <c r="D608" s="5">
        <v>21052018</v>
      </c>
      <c r="E608" s="4">
        <v>53</v>
      </c>
      <c r="F608" s="15">
        <f t="shared" si="44"/>
        <v>43271</v>
      </c>
      <c r="G608" s="12">
        <f t="shared" si="45"/>
        <v>2018</v>
      </c>
      <c r="H608" s="12" t="str">
        <f t="shared" si="46"/>
        <v>Junho</v>
      </c>
      <c r="I608" s="11">
        <f>INDEX(tbCadastroConsultas[],MATCH(tbConsultas[[#This Row],[PROFISSIONAL]],tbCadastroConsultas[PROFISSIONAL],0),3)</f>
        <v>301010064</v>
      </c>
      <c r="J608" s="11">
        <f>INDEX(tbCadastroConsultas[],MATCH(tbConsultas[[#This Row],[PROFISSIONAL]],tbCadastroConsultas[PROFISSIONAL],0),4)</f>
        <v>225125</v>
      </c>
    </row>
    <row r="609" spans="1:10">
      <c r="A609" s="11">
        <f t="shared" si="47"/>
        <v>608</v>
      </c>
      <c r="B609" s="4" t="s">
        <v>6</v>
      </c>
      <c r="C609" s="5">
        <v>5121949</v>
      </c>
      <c r="D609" s="5">
        <v>21052018</v>
      </c>
      <c r="E609" s="4">
        <v>68</v>
      </c>
      <c r="F609" s="15">
        <f t="shared" si="44"/>
        <v>43271</v>
      </c>
      <c r="G609" s="12">
        <f t="shared" si="45"/>
        <v>2018</v>
      </c>
      <c r="H609" s="12" t="str">
        <f t="shared" si="46"/>
        <v>Junho</v>
      </c>
      <c r="I609" s="11">
        <f>INDEX(tbCadastroConsultas[],MATCH(tbConsultas[[#This Row],[PROFISSIONAL]],tbCadastroConsultas[PROFISSIONAL],0),3)</f>
        <v>301010064</v>
      </c>
      <c r="J609" s="11">
        <f>INDEX(tbCadastroConsultas[],MATCH(tbConsultas[[#This Row],[PROFISSIONAL]],tbCadastroConsultas[PROFISSIONAL],0),4)</f>
        <v>225125</v>
      </c>
    </row>
    <row r="610" spans="1:10">
      <c r="A610" s="11">
        <f t="shared" si="47"/>
        <v>609</v>
      </c>
      <c r="B610" s="4" t="s">
        <v>6</v>
      </c>
      <c r="C610" s="5">
        <v>2101957</v>
      </c>
      <c r="D610" s="5">
        <v>21052018</v>
      </c>
      <c r="E610" s="4">
        <v>60</v>
      </c>
      <c r="F610" s="15">
        <f t="shared" si="44"/>
        <v>43271</v>
      </c>
      <c r="G610" s="12">
        <f t="shared" si="45"/>
        <v>2018</v>
      </c>
      <c r="H610" s="12" t="str">
        <f t="shared" si="46"/>
        <v>Junho</v>
      </c>
      <c r="I610" s="11">
        <f>INDEX(tbCadastroConsultas[],MATCH(tbConsultas[[#This Row],[PROFISSIONAL]],tbCadastroConsultas[PROFISSIONAL],0),3)</f>
        <v>301010064</v>
      </c>
      <c r="J610" s="11">
        <f>INDEX(tbCadastroConsultas[],MATCH(tbConsultas[[#This Row],[PROFISSIONAL]],tbCadastroConsultas[PROFISSIONAL],0),4)</f>
        <v>225125</v>
      </c>
    </row>
    <row r="611" spans="1:10">
      <c r="A611" s="11">
        <f t="shared" si="47"/>
        <v>610</v>
      </c>
      <c r="B611" s="4" t="s">
        <v>6</v>
      </c>
      <c r="C611" s="5">
        <v>19101949</v>
      </c>
      <c r="D611" s="5">
        <v>21052018</v>
      </c>
      <c r="E611" s="4">
        <v>68</v>
      </c>
      <c r="F611" s="15">
        <f t="shared" si="44"/>
        <v>43271</v>
      </c>
      <c r="G611" s="12">
        <f t="shared" si="45"/>
        <v>2018</v>
      </c>
      <c r="H611" s="12" t="str">
        <f t="shared" si="46"/>
        <v>Junho</v>
      </c>
      <c r="I611" s="11">
        <f>INDEX(tbCadastroConsultas[],MATCH(tbConsultas[[#This Row],[PROFISSIONAL]],tbCadastroConsultas[PROFISSIONAL],0),3)</f>
        <v>301010064</v>
      </c>
      <c r="J611" s="11">
        <f>INDEX(tbCadastroConsultas[],MATCH(tbConsultas[[#This Row],[PROFISSIONAL]],tbCadastroConsultas[PROFISSIONAL],0),4)</f>
        <v>225125</v>
      </c>
    </row>
    <row r="612" spans="1:10">
      <c r="A612" s="11">
        <f t="shared" si="47"/>
        <v>611</v>
      </c>
      <c r="B612" s="4" t="s">
        <v>6</v>
      </c>
      <c r="C612" s="5">
        <v>20031954</v>
      </c>
      <c r="D612" s="5">
        <v>21052018</v>
      </c>
      <c r="E612" s="4">
        <v>64</v>
      </c>
      <c r="F612" s="15">
        <f t="shared" si="44"/>
        <v>43271</v>
      </c>
      <c r="G612" s="12">
        <f t="shared" si="45"/>
        <v>2018</v>
      </c>
      <c r="H612" s="12" t="str">
        <f t="shared" si="46"/>
        <v>Junho</v>
      </c>
      <c r="I612" s="11">
        <f>INDEX(tbCadastroConsultas[],MATCH(tbConsultas[[#This Row],[PROFISSIONAL]],tbCadastroConsultas[PROFISSIONAL],0),3)</f>
        <v>301010064</v>
      </c>
      <c r="J612" s="11">
        <f>INDEX(tbCadastroConsultas[],MATCH(tbConsultas[[#This Row],[PROFISSIONAL]],tbCadastroConsultas[PROFISSIONAL],0),4)</f>
        <v>225125</v>
      </c>
    </row>
    <row r="613" spans="1:10">
      <c r="A613" s="11">
        <f t="shared" si="47"/>
        <v>612</v>
      </c>
      <c r="B613" s="4" t="s">
        <v>6</v>
      </c>
      <c r="C613" s="5">
        <v>31031952</v>
      </c>
      <c r="D613" s="5">
        <v>21052018</v>
      </c>
      <c r="E613" s="4">
        <v>66</v>
      </c>
      <c r="F613" s="15">
        <f t="shared" si="44"/>
        <v>43271</v>
      </c>
      <c r="G613" s="12">
        <f t="shared" si="45"/>
        <v>2018</v>
      </c>
      <c r="H613" s="12" t="str">
        <f t="shared" si="46"/>
        <v>Junho</v>
      </c>
      <c r="I613" s="11">
        <f>INDEX(tbCadastroConsultas[],MATCH(tbConsultas[[#This Row],[PROFISSIONAL]],tbCadastroConsultas[PROFISSIONAL],0),3)</f>
        <v>301010064</v>
      </c>
      <c r="J613" s="11">
        <f>INDEX(tbCadastroConsultas[],MATCH(tbConsultas[[#This Row],[PROFISSIONAL]],tbCadastroConsultas[PROFISSIONAL],0),4)</f>
        <v>225125</v>
      </c>
    </row>
    <row r="614" spans="1:10">
      <c r="A614" s="11">
        <f t="shared" si="47"/>
        <v>613</v>
      </c>
      <c r="B614" s="4" t="s">
        <v>6</v>
      </c>
      <c r="C614" s="5">
        <v>17121959</v>
      </c>
      <c r="D614" s="5">
        <v>21052018</v>
      </c>
      <c r="E614" s="4">
        <v>58</v>
      </c>
      <c r="F614" s="15">
        <f t="shared" si="44"/>
        <v>43271</v>
      </c>
      <c r="G614" s="12">
        <f t="shared" si="45"/>
        <v>2018</v>
      </c>
      <c r="H614" s="12" t="str">
        <f t="shared" si="46"/>
        <v>Junho</v>
      </c>
      <c r="I614" s="11">
        <f>INDEX(tbCadastroConsultas[],MATCH(tbConsultas[[#This Row],[PROFISSIONAL]],tbCadastroConsultas[PROFISSIONAL],0),3)</f>
        <v>301010064</v>
      </c>
      <c r="J614" s="11">
        <f>INDEX(tbCadastroConsultas[],MATCH(tbConsultas[[#This Row],[PROFISSIONAL]],tbCadastroConsultas[PROFISSIONAL],0),4)</f>
        <v>225125</v>
      </c>
    </row>
    <row r="615" spans="1:10">
      <c r="A615" s="11">
        <f t="shared" si="47"/>
        <v>614</v>
      </c>
      <c r="B615" s="4" t="s">
        <v>6</v>
      </c>
      <c r="C615" s="5">
        <v>2051948</v>
      </c>
      <c r="D615" s="5">
        <v>21052018</v>
      </c>
      <c r="E615" s="4">
        <v>70</v>
      </c>
      <c r="F615" s="15">
        <f t="shared" si="44"/>
        <v>43271</v>
      </c>
      <c r="G615" s="12">
        <f t="shared" si="45"/>
        <v>2018</v>
      </c>
      <c r="H615" s="12" t="str">
        <f t="shared" si="46"/>
        <v>Junho</v>
      </c>
      <c r="I615" s="11">
        <f>INDEX(tbCadastroConsultas[],MATCH(tbConsultas[[#This Row],[PROFISSIONAL]],tbCadastroConsultas[PROFISSIONAL],0),3)</f>
        <v>301010064</v>
      </c>
      <c r="J615" s="11">
        <f>INDEX(tbCadastroConsultas[],MATCH(tbConsultas[[#This Row],[PROFISSIONAL]],tbCadastroConsultas[PROFISSIONAL],0),4)</f>
        <v>225125</v>
      </c>
    </row>
    <row r="616" spans="1:10">
      <c r="A616" s="11">
        <f t="shared" si="47"/>
        <v>615</v>
      </c>
      <c r="B616" s="4" t="s">
        <v>6</v>
      </c>
      <c r="C616" s="5">
        <v>20011953</v>
      </c>
      <c r="D616" s="5">
        <v>21052018</v>
      </c>
      <c r="E616" s="4">
        <v>65</v>
      </c>
      <c r="F616" s="15">
        <f t="shared" si="44"/>
        <v>43271</v>
      </c>
      <c r="G616" s="12">
        <f t="shared" si="45"/>
        <v>2018</v>
      </c>
      <c r="H616" s="12" t="str">
        <f t="shared" si="46"/>
        <v>Junho</v>
      </c>
      <c r="I616" s="11">
        <f>INDEX(tbCadastroConsultas[],MATCH(tbConsultas[[#This Row],[PROFISSIONAL]],tbCadastroConsultas[PROFISSIONAL],0),3)</f>
        <v>301010064</v>
      </c>
      <c r="J616" s="11">
        <f>INDEX(tbCadastroConsultas[],MATCH(tbConsultas[[#This Row],[PROFISSIONAL]],tbCadastroConsultas[PROFISSIONAL],0),4)</f>
        <v>225125</v>
      </c>
    </row>
    <row r="617" spans="1:10">
      <c r="A617" s="11">
        <f t="shared" si="47"/>
        <v>616</v>
      </c>
      <c r="B617" s="4" t="s">
        <v>6</v>
      </c>
      <c r="C617" s="5">
        <v>2021965</v>
      </c>
      <c r="D617" s="5">
        <v>21052018</v>
      </c>
      <c r="E617" s="4">
        <v>53</v>
      </c>
      <c r="F617" s="15">
        <f t="shared" si="44"/>
        <v>43271</v>
      </c>
      <c r="G617" s="12">
        <f t="shared" si="45"/>
        <v>2018</v>
      </c>
      <c r="H617" s="12" t="str">
        <f t="shared" si="46"/>
        <v>Junho</v>
      </c>
      <c r="I617" s="11">
        <f>INDEX(tbCadastroConsultas[],MATCH(tbConsultas[[#This Row],[PROFISSIONAL]],tbCadastroConsultas[PROFISSIONAL],0),3)</f>
        <v>301010064</v>
      </c>
      <c r="J617" s="11">
        <f>INDEX(tbCadastroConsultas[],MATCH(tbConsultas[[#This Row],[PROFISSIONAL]],tbCadastroConsultas[PROFISSIONAL],0),4)</f>
        <v>225125</v>
      </c>
    </row>
    <row r="618" spans="1:10">
      <c r="A618" s="11">
        <f t="shared" si="47"/>
        <v>617</v>
      </c>
      <c r="B618" s="4" t="s">
        <v>6</v>
      </c>
      <c r="C618" s="5">
        <v>11011936</v>
      </c>
      <c r="D618" s="5">
        <v>21052018</v>
      </c>
      <c r="E618" s="4">
        <v>82</v>
      </c>
      <c r="F618" s="15">
        <f t="shared" si="44"/>
        <v>43271</v>
      </c>
      <c r="G618" s="12">
        <f t="shared" si="45"/>
        <v>2018</v>
      </c>
      <c r="H618" s="12" t="str">
        <f t="shared" si="46"/>
        <v>Junho</v>
      </c>
      <c r="I618" s="11">
        <f>INDEX(tbCadastroConsultas[],MATCH(tbConsultas[[#This Row],[PROFISSIONAL]],tbCadastroConsultas[PROFISSIONAL],0),3)</f>
        <v>301010064</v>
      </c>
      <c r="J618" s="11">
        <f>INDEX(tbCadastroConsultas[],MATCH(tbConsultas[[#This Row],[PROFISSIONAL]],tbCadastroConsultas[PROFISSIONAL],0),4)</f>
        <v>225125</v>
      </c>
    </row>
    <row r="619" spans="1:10">
      <c r="A619" s="11">
        <f t="shared" si="47"/>
        <v>618</v>
      </c>
      <c r="B619" s="4" t="s">
        <v>6</v>
      </c>
      <c r="C619" s="5">
        <v>8101971</v>
      </c>
      <c r="D619" s="5">
        <v>21052018</v>
      </c>
      <c r="E619" s="4">
        <v>46</v>
      </c>
      <c r="F619" s="15">
        <f t="shared" si="44"/>
        <v>43271</v>
      </c>
      <c r="G619" s="12">
        <f t="shared" si="45"/>
        <v>2018</v>
      </c>
      <c r="H619" s="12" t="str">
        <f t="shared" si="46"/>
        <v>Junho</v>
      </c>
      <c r="I619" s="11">
        <f>INDEX(tbCadastroConsultas[],MATCH(tbConsultas[[#This Row],[PROFISSIONAL]],tbCadastroConsultas[PROFISSIONAL],0),3)</f>
        <v>301010064</v>
      </c>
      <c r="J619" s="11">
        <f>INDEX(tbCadastroConsultas[],MATCH(tbConsultas[[#This Row],[PROFISSIONAL]],tbCadastroConsultas[PROFISSIONAL],0),4)</f>
        <v>225125</v>
      </c>
    </row>
    <row r="620" spans="1:10">
      <c r="A620" s="11">
        <f t="shared" si="47"/>
        <v>619</v>
      </c>
      <c r="B620" s="4" t="s">
        <v>6</v>
      </c>
      <c r="C620" s="5">
        <v>16021943</v>
      </c>
      <c r="D620" s="5">
        <v>21052018</v>
      </c>
      <c r="E620" s="4">
        <v>75</v>
      </c>
      <c r="F620" s="15">
        <f t="shared" si="44"/>
        <v>43271</v>
      </c>
      <c r="G620" s="12">
        <f t="shared" si="45"/>
        <v>2018</v>
      </c>
      <c r="H620" s="12" t="str">
        <f t="shared" si="46"/>
        <v>Junho</v>
      </c>
      <c r="I620" s="11">
        <f>INDEX(tbCadastroConsultas[],MATCH(tbConsultas[[#This Row],[PROFISSIONAL]],tbCadastroConsultas[PROFISSIONAL],0),3)</f>
        <v>301010064</v>
      </c>
      <c r="J620" s="11">
        <f>INDEX(tbCadastroConsultas[],MATCH(tbConsultas[[#This Row],[PROFISSIONAL]],tbCadastroConsultas[PROFISSIONAL],0),4)</f>
        <v>225125</v>
      </c>
    </row>
    <row r="621" spans="1:10">
      <c r="A621" s="11">
        <f t="shared" si="47"/>
        <v>620</v>
      </c>
      <c r="B621" s="4" t="s">
        <v>6</v>
      </c>
      <c r="C621" s="5">
        <v>10081944</v>
      </c>
      <c r="D621" s="5">
        <v>21052018</v>
      </c>
      <c r="E621" s="4">
        <v>73</v>
      </c>
      <c r="F621" s="15">
        <f t="shared" si="44"/>
        <v>43271</v>
      </c>
      <c r="G621" s="12">
        <f t="shared" si="45"/>
        <v>2018</v>
      </c>
      <c r="H621" s="12" t="str">
        <f t="shared" si="46"/>
        <v>Junho</v>
      </c>
      <c r="I621" s="11">
        <f>INDEX(tbCadastroConsultas[],MATCH(tbConsultas[[#This Row],[PROFISSIONAL]],tbCadastroConsultas[PROFISSIONAL],0),3)</f>
        <v>301010064</v>
      </c>
      <c r="J621" s="11">
        <f>INDEX(tbCadastroConsultas[],MATCH(tbConsultas[[#This Row],[PROFISSIONAL]],tbCadastroConsultas[PROFISSIONAL],0),4)</f>
        <v>225125</v>
      </c>
    </row>
    <row r="622" spans="1:10">
      <c r="A622" s="11">
        <f t="shared" si="47"/>
        <v>621</v>
      </c>
      <c r="B622" s="4" t="s">
        <v>6</v>
      </c>
      <c r="C622" s="5">
        <v>13091972</v>
      </c>
      <c r="D622" s="5">
        <v>21052018</v>
      </c>
      <c r="E622" s="4">
        <v>45</v>
      </c>
      <c r="F622" s="15">
        <f t="shared" si="44"/>
        <v>43271</v>
      </c>
      <c r="G622" s="12">
        <f t="shared" si="45"/>
        <v>2018</v>
      </c>
      <c r="H622" s="12" t="str">
        <f t="shared" si="46"/>
        <v>Junho</v>
      </c>
      <c r="I622" s="11">
        <f>INDEX(tbCadastroConsultas[],MATCH(tbConsultas[[#This Row],[PROFISSIONAL]],tbCadastroConsultas[PROFISSIONAL],0),3)</f>
        <v>301010064</v>
      </c>
      <c r="J622" s="11">
        <f>INDEX(tbCadastroConsultas[],MATCH(tbConsultas[[#This Row],[PROFISSIONAL]],tbCadastroConsultas[PROFISSIONAL],0),4)</f>
        <v>225125</v>
      </c>
    </row>
    <row r="623" spans="1:10">
      <c r="A623" s="11">
        <f t="shared" si="47"/>
        <v>622</v>
      </c>
      <c r="B623" s="4" t="s">
        <v>6</v>
      </c>
      <c r="C623" s="5">
        <v>26031942</v>
      </c>
      <c r="D623" s="5">
        <v>21052018</v>
      </c>
      <c r="E623" s="4">
        <v>76</v>
      </c>
      <c r="F623" s="15">
        <f t="shared" si="44"/>
        <v>43271</v>
      </c>
      <c r="G623" s="12">
        <f t="shared" si="45"/>
        <v>2018</v>
      </c>
      <c r="H623" s="12" t="str">
        <f t="shared" si="46"/>
        <v>Junho</v>
      </c>
      <c r="I623" s="11">
        <f>INDEX(tbCadastroConsultas[],MATCH(tbConsultas[[#This Row],[PROFISSIONAL]],tbCadastroConsultas[PROFISSIONAL],0),3)</f>
        <v>301010064</v>
      </c>
      <c r="J623" s="11">
        <f>INDEX(tbCadastroConsultas[],MATCH(tbConsultas[[#This Row],[PROFISSIONAL]],tbCadastroConsultas[PROFISSIONAL],0),4)</f>
        <v>225125</v>
      </c>
    </row>
    <row r="624" spans="1:10">
      <c r="A624" s="11">
        <f t="shared" si="47"/>
        <v>623</v>
      </c>
      <c r="B624" s="4" t="s">
        <v>6</v>
      </c>
      <c r="C624" s="5">
        <v>8111972</v>
      </c>
      <c r="D624" s="5">
        <v>21052018</v>
      </c>
      <c r="E624" s="4">
        <v>45</v>
      </c>
      <c r="F624" s="15">
        <f t="shared" si="44"/>
        <v>43271</v>
      </c>
      <c r="G624" s="12">
        <f t="shared" si="45"/>
        <v>2018</v>
      </c>
      <c r="H624" s="12" t="str">
        <f t="shared" si="46"/>
        <v>Junho</v>
      </c>
      <c r="I624" s="11">
        <f>INDEX(tbCadastroConsultas[],MATCH(tbConsultas[[#This Row],[PROFISSIONAL]],tbCadastroConsultas[PROFISSIONAL],0),3)</f>
        <v>301010064</v>
      </c>
      <c r="J624" s="11">
        <f>INDEX(tbCadastroConsultas[],MATCH(tbConsultas[[#This Row],[PROFISSIONAL]],tbCadastroConsultas[PROFISSIONAL],0),4)</f>
        <v>225125</v>
      </c>
    </row>
    <row r="625" spans="1:10">
      <c r="A625" s="11">
        <f t="shared" si="47"/>
        <v>624</v>
      </c>
      <c r="B625" s="4" t="s">
        <v>3</v>
      </c>
      <c r="C625" s="5">
        <v>26101981</v>
      </c>
      <c r="D625" s="5">
        <v>21052018</v>
      </c>
      <c r="E625" s="4">
        <v>36</v>
      </c>
      <c r="F625" s="15">
        <f t="shared" si="44"/>
        <v>43271</v>
      </c>
      <c r="G625" s="12">
        <f t="shared" si="45"/>
        <v>2018</v>
      </c>
      <c r="H625" s="12" t="str">
        <f t="shared" si="46"/>
        <v>Junho</v>
      </c>
      <c r="I625" s="11">
        <f>INDEX(tbCadastroConsultas[],MATCH(tbConsultas[[#This Row],[PROFISSIONAL]],tbCadastroConsultas[PROFISSIONAL],0),3)</f>
        <v>301010110</v>
      </c>
      <c r="J625" s="11">
        <f>INDEX(tbCadastroConsultas[],MATCH(tbConsultas[[#This Row],[PROFISSIONAL]],tbCadastroConsultas[PROFISSIONAL],0),4)</f>
        <v>225250</v>
      </c>
    </row>
    <row r="626" spans="1:10">
      <c r="A626" s="11">
        <f t="shared" si="47"/>
        <v>625</v>
      </c>
      <c r="B626" s="4" t="s">
        <v>3</v>
      </c>
      <c r="C626" s="5">
        <v>12101987</v>
      </c>
      <c r="D626" s="5">
        <v>21052018</v>
      </c>
      <c r="E626" s="4">
        <v>30</v>
      </c>
      <c r="F626" s="15">
        <f t="shared" si="44"/>
        <v>43271</v>
      </c>
      <c r="G626" s="12">
        <f t="shared" si="45"/>
        <v>2018</v>
      </c>
      <c r="H626" s="12" t="str">
        <f t="shared" si="46"/>
        <v>Junho</v>
      </c>
      <c r="I626" s="11">
        <f>INDEX(tbCadastroConsultas[],MATCH(tbConsultas[[#This Row],[PROFISSIONAL]],tbCadastroConsultas[PROFISSIONAL],0),3)</f>
        <v>301010110</v>
      </c>
      <c r="J626" s="11">
        <f>INDEX(tbCadastroConsultas[],MATCH(tbConsultas[[#This Row],[PROFISSIONAL]],tbCadastroConsultas[PROFISSIONAL],0),4)</f>
        <v>225250</v>
      </c>
    </row>
    <row r="627" spans="1:10">
      <c r="A627" s="11">
        <f t="shared" si="47"/>
        <v>626</v>
      </c>
      <c r="B627" s="4" t="s">
        <v>3</v>
      </c>
      <c r="C627" s="5">
        <v>17051994</v>
      </c>
      <c r="D627" s="5">
        <v>21052018</v>
      </c>
      <c r="E627" s="4">
        <v>24</v>
      </c>
      <c r="F627" s="15">
        <f t="shared" si="44"/>
        <v>43271</v>
      </c>
      <c r="G627" s="12">
        <f t="shared" si="45"/>
        <v>2018</v>
      </c>
      <c r="H627" s="12" t="str">
        <f t="shared" si="46"/>
        <v>Junho</v>
      </c>
      <c r="I627" s="11">
        <f>INDEX(tbCadastroConsultas[],MATCH(tbConsultas[[#This Row],[PROFISSIONAL]],tbCadastroConsultas[PROFISSIONAL],0),3)</f>
        <v>301010110</v>
      </c>
      <c r="J627" s="11">
        <f>INDEX(tbCadastroConsultas[],MATCH(tbConsultas[[#This Row],[PROFISSIONAL]],tbCadastroConsultas[PROFISSIONAL],0),4)</f>
        <v>225250</v>
      </c>
    </row>
    <row r="628" spans="1:10">
      <c r="A628" s="11">
        <f t="shared" si="47"/>
        <v>627</v>
      </c>
      <c r="B628" s="4" t="s">
        <v>3</v>
      </c>
      <c r="C628" s="5">
        <v>6071998</v>
      </c>
      <c r="D628" s="5">
        <v>21052018</v>
      </c>
      <c r="E628" s="4">
        <v>19</v>
      </c>
      <c r="F628" s="15">
        <f t="shared" si="44"/>
        <v>43271</v>
      </c>
      <c r="G628" s="12">
        <f t="shared" si="45"/>
        <v>2018</v>
      </c>
      <c r="H628" s="12" t="str">
        <f t="shared" si="46"/>
        <v>Junho</v>
      </c>
      <c r="I628" s="11">
        <f>INDEX(tbCadastroConsultas[],MATCH(tbConsultas[[#This Row],[PROFISSIONAL]],tbCadastroConsultas[PROFISSIONAL],0),3)</f>
        <v>301010110</v>
      </c>
      <c r="J628" s="11">
        <f>INDEX(tbCadastroConsultas[],MATCH(tbConsultas[[#This Row],[PROFISSIONAL]],tbCadastroConsultas[PROFISSIONAL],0),4)</f>
        <v>225250</v>
      </c>
    </row>
    <row r="629" spans="1:10">
      <c r="A629" s="11">
        <f t="shared" si="47"/>
        <v>628</v>
      </c>
      <c r="B629" s="4" t="s">
        <v>4</v>
      </c>
      <c r="C629" s="5">
        <v>12051995</v>
      </c>
      <c r="D629" s="5">
        <v>21052018</v>
      </c>
      <c r="E629" s="4">
        <v>23</v>
      </c>
      <c r="F629" s="15">
        <f t="shared" si="44"/>
        <v>43271</v>
      </c>
      <c r="G629" s="12">
        <f t="shared" si="45"/>
        <v>2018</v>
      </c>
      <c r="H629" s="12" t="str">
        <f t="shared" si="46"/>
        <v>Junho</v>
      </c>
      <c r="I629" s="11">
        <f>INDEX(tbCadastroConsultas[],MATCH(tbConsultas[[#This Row],[PROFISSIONAL]],tbCadastroConsultas[PROFISSIONAL],0),3)</f>
        <v>301010064</v>
      </c>
      <c r="J629" s="11">
        <f>INDEX(tbCadastroConsultas[],MATCH(tbConsultas[[#This Row],[PROFISSIONAL]],tbCadastroConsultas[PROFISSIONAL],0),4)</f>
        <v>225250</v>
      </c>
    </row>
    <row r="630" spans="1:10">
      <c r="A630" s="11">
        <f t="shared" si="47"/>
        <v>629</v>
      </c>
      <c r="B630" s="4" t="s">
        <v>4</v>
      </c>
      <c r="C630" s="5">
        <v>5031972</v>
      </c>
      <c r="D630" s="5">
        <v>21052018</v>
      </c>
      <c r="E630" s="4">
        <v>46</v>
      </c>
      <c r="F630" s="15">
        <f t="shared" si="44"/>
        <v>43271</v>
      </c>
      <c r="G630" s="12">
        <f t="shared" si="45"/>
        <v>2018</v>
      </c>
      <c r="H630" s="12" t="str">
        <f t="shared" si="46"/>
        <v>Junho</v>
      </c>
      <c r="I630" s="11">
        <f>INDEX(tbCadastroConsultas[],MATCH(tbConsultas[[#This Row],[PROFISSIONAL]],tbCadastroConsultas[PROFISSIONAL],0),3)</f>
        <v>301010064</v>
      </c>
      <c r="J630" s="11">
        <f>INDEX(tbCadastroConsultas[],MATCH(tbConsultas[[#This Row],[PROFISSIONAL]],tbCadastroConsultas[PROFISSIONAL],0),4)</f>
        <v>225250</v>
      </c>
    </row>
    <row r="631" spans="1:10">
      <c r="A631" s="11">
        <f t="shared" si="47"/>
        <v>630</v>
      </c>
      <c r="B631" s="4" t="s">
        <v>4</v>
      </c>
      <c r="C631" s="5">
        <v>12081991</v>
      </c>
      <c r="D631" s="5">
        <v>21052018</v>
      </c>
      <c r="E631" s="4">
        <v>26</v>
      </c>
      <c r="F631" s="15">
        <f t="shared" si="44"/>
        <v>43271</v>
      </c>
      <c r="G631" s="12">
        <f t="shared" si="45"/>
        <v>2018</v>
      </c>
      <c r="H631" s="12" t="str">
        <f t="shared" si="46"/>
        <v>Junho</v>
      </c>
      <c r="I631" s="11">
        <f>INDEX(tbCadastroConsultas[],MATCH(tbConsultas[[#This Row],[PROFISSIONAL]],tbCadastroConsultas[PROFISSIONAL],0),3)</f>
        <v>301010064</v>
      </c>
      <c r="J631" s="11">
        <f>INDEX(tbCadastroConsultas[],MATCH(tbConsultas[[#This Row],[PROFISSIONAL]],tbCadastroConsultas[PROFISSIONAL],0),4)</f>
        <v>225250</v>
      </c>
    </row>
    <row r="632" spans="1:10">
      <c r="A632" s="11">
        <f t="shared" si="47"/>
        <v>631</v>
      </c>
      <c r="B632" s="4" t="s">
        <v>4</v>
      </c>
      <c r="C632" s="5">
        <v>26071970</v>
      </c>
      <c r="D632" s="5">
        <v>21052018</v>
      </c>
      <c r="E632" s="4">
        <v>47</v>
      </c>
      <c r="F632" s="15">
        <f t="shared" si="44"/>
        <v>43271</v>
      </c>
      <c r="G632" s="12">
        <f t="shared" si="45"/>
        <v>2018</v>
      </c>
      <c r="H632" s="12" t="str">
        <f t="shared" si="46"/>
        <v>Junho</v>
      </c>
      <c r="I632" s="11">
        <f>INDEX(tbCadastroConsultas[],MATCH(tbConsultas[[#This Row],[PROFISSIONAL]],tbCadastroConsultas[PROFISSIONAL],0),3)</f>
        <v>301010064</v>
      </c>
      <c r="J632" s="11">
        <f>INDEX(tbCadastroConsultas[],MATCH(tbConsultas[[#This Row],[PROFISSIONAL]],tbCadastroConsultas[PROFISSIONAL],0),4)</f>
        <v>225250</v>
      </c>
    </row>
    <row r="633" spans="1:10">
      <c r="A633" s="11">
        <f t="shared" si="47"/>
        <v>632</v>
      </c>
      <c r="B633" s="4" t="s">
        <v>4</v>
      </c>
      <c r="C633" s="5">
        <v>27031976</v>
      </c>
      <c r="D633" s="5">
        <v>21052018</v>
      </c>
      <c r="E633" s="4">
        <v>42</v>
      </c>
      <c r="F633" s="15">
        <f t="shared" si="44"/>
        <v>43271</v>
      </c>
      <c r="G633" s="12">
        <f t="shared" si="45"/>
        <v>2018</v>
      </c>
      <c r="H633" s="12" t="str">
        <f t="shared" si="46"/>
        <v>Junho</v>
      </c>
      <c r="I633" s="11">
        <f>INDEX(tbCadastroConsultas[],MATCH(tbConsultas[[#This Row],[PROFISSIONAL]],tbCadastroConsultas[PROFISSIONAL],0),3)</f>
        <v>301010064</v>
      </c>
      <c r="J633" s="11">
        <f>INDEX(tbCadastroConsultas[],MATCH(tbConsultas[[#This Row],[PROFISSIONAL]],tbCadastroConsultas[PROFISSIONAL],0),4)</f>
        <v>225250</v>
      </c>
    </row>
    <row r="634" spans="1:10">
      <c r="A634" s="11">
        <f t="shared" si="47"/>
        <v>633</v>
      </c>
      <c r="B634" s="4" t="s">
        <v>4</v>
      </c>
      <c r="C634" s="5">
        <v>21061967</v>
      </c>
      <c r="D634" s="5">
        <v>21052018</v>
      </c>
      <c r="E634" s="4">
        <v>50</v>
      </c>
      <c r="F634" s="15">
        <f t="shared" si="44"/>
        <v>43271</v>
      </c>
      <c r="G634" s="12">
        <f t="shared" si="45"/>
        <v>2018</v>
      </c>
      <c r="H634" s="12" t="str">
        <f t="shared" si="46"/>
        <v>Junho</v>
      </c>
      <c r="I634" s="11">
        <f>INDEX(tbCadastroConsultas[],MATCH(tbConsultas[[#This Row],[PROFISSIONAL]],tbCadastroConsultas[PROFISSIONAL],0),3)</f>
        <v>301010064</v>
      </c>
      <c r="J634" s="11">
        <f>INDEX(tbCadastroConsultas[],MATCH(tbConsultas[[#This Row],[PROFISSIONAL]],tbCadastroConsultas[PROFISSIONAL],0),4)</f>
        <v>225250</v>
      </c>
    </row>
    <row r="635" spans="1:10">
      <c r="A635" s="11">
        <f t="shared" si="47"/>
        <v>634</v>
      </c>
      <c r="B635" s="4" t="s">
        <v>4</v>
      </c>
      <c r="C635" s="5">
        <v>8121954</v>
      </c>
      <c r="D635" s="5">
        <v>21052018</v>
      </c>
      <c r="E635" s="4">
        <v>63</v>
      </c>
      <c r="F635" s="15">
        <f t="shared" si="44"/>
        <v>43271</v>
      </c>
      <c r="G635" s="12">
        <f t="shared" si="45"/>
        <v>2018</v>
      </c>
      <c r="H635" s="12" t="str">
        <f t="shared" si="46"/>
        <v>Junho</v>
      </c>
      <c r="I635" s="11">
        <f>INDEX(tbCadastroConsultas[],MATCH(tbConsultas[[#This Row],[PROFISSIONAL]],tbCadastroConsultas[PROFISSIONAL],0),3)</f>
        <v>301010064</v>
      </c>
      <c r="J635" s="11">
        <f>INDEX(tbCadastroConsultas[],MATCH(tbConsultas[[#This Row],[PROFISSIONAL]],tbCadastroConsultas[PROFISSIONAL],0),4)</f>
        <v>225250</v>
      </c>
    </row>
    <row r="636" spans="1:10">
      <c r="A636" s="11">
        <f t="shared" si="47"/>
        <v>635</v>
      </c>
      <c r="B636" s="4" t="s">
        <v>2</v>
      </c>
      <c r="C636" s="5">
        <v>16071948</v>
      </c>
      <c r="D636" s="5">
        <v>21052018</v>
      </c>
      <c r="E636" s="4">
        <v>69</v>
      </c>
      <c r="F636" s="15">
        <f t="shared" si="44"/>
        <v>43271</v>
      </c>
      <c r="G636" s="12">
        <f t="shared" si="45"/>
        <v>2018</v>
      </c>
      <c r="H636" s="12" t="str">
        <f t="shared" si="46"/>
        <v>Junho</v>
      </c>
      <c r="I636" s="11">
        <f>INDEX(tbCadastroConsultas[],MATCH(tbConsultas[[#This Row],[PROFISSIONAL]],tbCadastroConsultas[PROFISSIONAL],0),3)</f>
        <v>301010030</v>
      </c>
      <c r="J636" s="11">
        <f>INDEX(tbCadastroConsultas[],MATCH(tbConsultas[[#This Row],[PROFISSIONAL]],tbCadastroConsultas[PROFISSIONAL],0),4)</f>
        <v>223505</v>
      </c>
    </row>
    <row r="637" spans="1:10">
      <c r="A637" s="11">
        <f t="shared" si="47"/>
        <v>636</v>
      </c>
      <c r="B637" s="4" t="s">
        <v>5</v>
      </c>
      <c r="C637" s="5">
        <v>10071938</v>
      </c>
      <c r="D637" s="5">
        <v>21052018</v>
      </c>
      <c r="E637" s="4">
        <v>79</v>
      </c>
      <c r="F637" s="15">
        <f t="shared" si="44"/>
        <v>43271</v>
      </c>
      <c r="G637" s="12">
        <f t="shared" si="45"/>
        <v>2018</v>
      </c>
      <c r="H637" s="12" t="str">
        <f t="shared" si="46"/>
        <v>Junho</v>
      </c>
      <c r="I637" s="11">
        <f>INDEX(tbCadastroConsultas[],MATCH(tbConsultas[[#This Row],[PROFISSIONAL]],tbCadastroConsultas[PROFISSIONAL],0),3)</f>
        <v>301010030</v>
      </c>
      <c r="J637" s="11">
        <f>INDEX(tbCadastroConsultas[],MATCH(tbConsultas[[#This Row],[PROFISSIONAL]],tbCadastroConsultas[PROFISSIONAL],0),4)</f>
        <v>223565</v>
      </c>
    </row>
    <row r="638" spans="1:10">
      <c r="A638" s="11">
        <f t="shared" si="47"/>
        <v>637</v>
      </c>
      <c r="B638" s="4" t="s">
        <v>2</v>
      </c>
      <c r="C638" s="5">
        <v>21061964</v>
      </c>
      <c r="D638" s="5">
        <v>21052018</v>
      </c>
      <c r="E638" s="4">
        <v>53</v>
      </c>
      <c r="F638" s="15">
        <f t="shared" si="44"/>
        <v>43271</v>
      </c>
      <c r="G638" s="12">
        <f t="shared" si="45"/>
        <v>2018</v>
      </c>
      <c r="H638" s="12" t="str">
        <f t="shared" si="46"/>
        <v>Junho</v>
      </c>
      <c r="I638" s="11">
        <f>INDEX(tbCadastroConsultas[],MATCH(tbConsultas[[#This Row],[PROFISSIONAL]],tbCadastroConsultas[PROFISSIONAL],0),3)</f>
        <v>301010030</v>
      </c>
      <c r="J638" s="11">
        <f>INDEX(tbCadastroConsultas[],MATCH(tbConsultas[[#This Row],[PROFISSIONAL]],tbCadastroConsultas[PROFISSIONAL],0),4)</f>
        <v>223505</v>
      </c>
    </row>
    <row r="639" spans="1:10">
      <c r="A639" s="11">
        <f t="shared" ref="A639:A661" si="48">ROW() -1</f>
        <v>638</v>
      </c>
      <c r="B639" s="4" t="s">
        <v>2</v>
      </c>
      <c r="C639" s="5">
        <v>3061973</v>
      </c>
      <c r="D639" s="5">
        <v>21052018</v>
      </c>
      <c r="E639" s="4">
        <v>45</v>
      </c>
      <c r="F639" s="15">
        <f t="shared" si="44"/>
        <v>43271</v>
      </c>
      <c r="G639" s="12">
        <f t="shared" si="45"/>
        <v>2018</v>
      </c>
      <c r="H639" s="12" t="str">
        <f t="shared" si="46"/>
        <v>Junho</v>
      </c>
      <c r="I639" s="11">
        <f>INDEX(tbCadastroConsultas[],MATCH(tbConsultas[[#This Row],[PROFISSIONAL]],tbCadastroConsultas[PROFISSIONAL],0),3)</f>
        <v>301010030</v>
      </c>
      <c r="J639" s="11">
        <f>INDEX(tbCadastroConsultas[],MATCH(tbConsultas[[#This Row],[PROFISSIONAL]],tbCadastroConsultas[PROFISSIONAL],0),4)</f>
        <v>223505</v>
      </c>
    </row>
    <row r="640" spans="1:10">
      <c r="A640" s="11">
        <f t="shared" si="48"/>
        <v>639</v>
      </c>
      <c r="B640" s="4" t="s">
        <v>2</v>
      </c>
      <c r="C640" s="5">
        <v>10121976</v>
      </c>
      <c r="D640" s="5">
        <v>21052018</v>
      </c>
      <c r="E640" s="4">
        <v>41</v>
      </c>
      <c r="F640" s="15">
        <f t="shared" si="44"/>
        <v>43271</v>
      </c>
      <c r="G640" s="12">
        <f t="shared" si="45"/>
        <v>2018</v>
      </c>
      <c r="H640" s="12" t="str">
        <f t="shared" si="46"/>
        <v>Junho</v>
      </c>
      <c r="I640" s="11">
        <f>INDEX(tbCadastroConsultas[],MATCH(tbConsultas[[#This Row],[PROFISSIONAL]],tbCadastroConsultas[PROFISSIONAL],0),3)</f>
        <v>301010030</v>
      </c>
      <c r="J640" s="11">
        <f>INDEX(tbCadastroConsultas[],MATCH(tbConsultas[[#This Row],[PROFISSIONAL]],tbCadastroConsultas[PROFISSIONAL],0),4)</f>
        <v>223505</v>
      </c>
    </row>
    <row r="641" spans="1:10">
      <c r="A641" s="11">
        <f t="shared" si="48"/>
        <v>640</v>
      </c>
      <c r="B641" s="4" t="s">
        <v>2</v>
      </c>
      <c r="C641" s="5">
        <v>9042000</v>
      </c>
      <c r="D641" s="5">
        <v>21052018</v>
      </c>
      <c r="E641" s="4">
        <v>18</v>
      </c>
      <c r="F641" s="15">
        <f t="shared" si="44"/>
        <v>43271</v>
      </c>
      <c r="G641" s="12">
        <f t="shared" si="45"/>
        <v>2018</v>
      </c>
      <c r="H641" s="12" t="str">
        <f t="shared" si="46"/>
        <v>Junho</v>
      </c>
      <c r="I641" s="11">
        <f>INDEX(tbCadastroConsultas[],MATCH(tbConsultas[[#This Row],[PROFISSIONAL]],tbCadastroConsultas[PROFISSIONAL],0),3)</f>
        <v>301010030</v>
      </c>
      <c r="J641" s="11">
        <f>INDEX(tbCadastroConsultas[],MATCH(tbConsultas[[#This Row],[PROFISSIONAL]],tbCadastroConsultas[PROFISSIONAL],0),4)</f>
        <v>223505</v>
      </c>
    </row>
    <row r="642" spans="1:10">
      <c r="A642" s="11">
        <f t="shared" si="48"/>
        <v>641</v>
      </c>
      <c r="B642" s="4" t="s">
        <v>2</v>
      </c>
      <c r="C642" s="5">
        <v>21101997</v>
      </c>
      <c r="D642" s="5">
        <v>21052018</v>
      </c>
      <c r="E642" s="4">
        <v>20</v>
      </c>
      <c r="F642" s="15">
        <f t="shared" ref="F642:F705" si="49">IF(D642="","",DATE(YEAR(TEXT(D642,"00\/00\/0000")),MONTH(TEXT(D642,"00\/00\/0000"))+1,20))</f>
        <v>43271</v>
      </c>
      <c r="G642" s="12">
        <f t="shared" ref="G642:G705" si="50">IF(F642="","",YEAR(F642))</f>
        <v>2018</v>
      </c>
      <c r="H642" s="12" t="str">
        <f t="shared" ref="H642:H705" si="51">PROPER(TEXT(F642,"mmmm"))</f>
        <v>Junho</v>
      </c>
      <c r="I642" s="11">
        <f>INDEX(tbCadastroConsultas[],MATCH(tbConsultas[[#This Row],[PROFISSIONAL]],tbCadastroConsultas[PROFISSIONAL],0),3)</f>
        <v>301010030</v>
      </c>
      <c r="J642" s="11">
        <f>INDEX(tbCadastroConsultas[],MATCH(tbConsultas[[#This Row],[PROFISSIONAL]],tbCadastroConsultas[PROFISSIONAL],0),4)</f>
        <v>223505</v>
      </c>
    </row>
    <row r="643" spans="1:10">
      <c r="A643" s="11">
        <f t="shared" si="48"/>
        <v>642</v>
      </c>
      <c r="B643" s="4" t="s">
        <v>2</v>
      </c>
      <c r="C643" s="5">
        <v>18091997</v>
      </c>
      <c r="D643" s="5">
        <v>21052018</v>
      </c>
      <c r="E643" s="4">
        <v>20</v>
      </c>
      <c r="F643" s="15">
        <f t="shared" si="49"/>
        <v>43271</v>
      </c>
      <c r="G643" s="12">
        <f t="shared" si="50"/>
        <v>2018</v>
      </c>
      <c r="H643" s="12" t="str">
        <f t="shared" si="51"/>
        <v>Junho</v>
      </c>
      <c r="I643" s="11">
        <f>INDEX(tbCadastroConsultas[],MATCH(tbConsultas[[#This Row],[PROFISSIONAL]],tbCadastroConsultas[PROFISSIONAL],0),3)</f>
        <v>301010030</v>
      </c>
      <c r="J643" s="11">
        <f>INDEX(tbCadastroConsultas[],MATCH(tbConsultas[[#This Row],[PROFISSIONAL]],tbCadastroConsultas[PROFISSIONAL],0),4)</f>
        <v>223505</v>
      </c>
    </row>
    <row r="644" spans="1:10">
      <c r="A644" s="11">
        <f t="shared" si="48"/>
        <v>643</v>
      </c>
      <c r="B644" s="4" t="s">
        <v>2</v>
      </c>
      <c r="C644" s="5">
        <v>7011980</v>
      </c>
      <c r="D644" s="5">
        <v>21052018</v>
      </c>
      <c r="E644" s="4">
        <v>38</v>
      </c>
      <c r="F644" s="15">
        <f t="shared" si="49"/>
        <v>43271</v>
      </c>
      <c r="G644" s="12">
        <f t="shared" si="50"/>
        <v>2018</v>
      </c>
      <c r="H644" s="12" t="str">
        <f t="shared" si="51"/>
        <v>Junho</v>
      </c>
      <c r="I644" s="11">
        <f>INDEX(tbCadastroConsultas[],MATCH(tbConsultas[[#This Row],[PROFISSIONAL]],tbCadastroConsultas[PROFISSIONAL],0),3)</f>
        <v>301010030</v>
      </c>
      <c r="J644" s="11">
        <f>INDEX(tbCadastroConsultas[],MATCH(tbConsultas[[#This Row],[PROFISSIONAL]],tbCadastroConsultas[PROFISSIONAL],0),4)</f>
        <v>223505</v>
      </c>
    </row>
    <row r="645" spans="1:10">
      <c r="A645" s="11">
        <f t="shared" si="48"/>
        <v>644</v>
      </c>
      <c r="B645" s="4" t="s">
        <v>2</v>
      </c>
      <c r="C645" s="5">
        <v>23061970</v>
      </c>
      <c r="D645" s="5">
        <v>21052018</v>
      </c>
      <c r="E645" s="4">
        <v>47</v>
      </c>
      <c r="F645" s="15">
        <f t="shared" si="49"/>
        <v>43271</v>
      </c>
      <c r="G645" s="12">
        <f t="shared" si="50"/>
        <v>2018</v>
      </c>
      <c r="H645" s="12" t="str">
        <f t="shared" si="51"/>
        <v>Junho</v>
      </c>
      <c r="I645" s="11">
        <f>INDEX(tbCadastroConsultas[],MATCH(tbConsultas[[#This Row],[PROFISSIONAL]],tbCadastroConsultas[PROFISSIONAL],0),3)</f>
        <v>301010030</v>
      </c>
      <c r="J645" s="11">
        <f>INDEX(tbCadastroConsultas[],MATCH(tbConsultas[[#This Row],[PROFISSIONAL]],tbCadastroConsultas[PROFISSIONAL],0),4)</f>
        <v>223505</v>
      </c>
    </row>
    <row r="646" spans="1:10">
      <c r="A646" s="11">
        <f t="shared" si="48"/>
        <v>645</v>
      </c>
      <c r="B646" s="4" t="s">
        <v>1</v>
      </c>
      <c r="C646" s="5">
        <v>25112010</v>
      </c>
      <c r="D646" s="5">
        <v>21052018</v>
      </c>
      <c r="E646" s="4">
        <v>7</v>
      </c>
      <c r="F646" s="15">
        <f t="shared" si="49"/>
        <v>43271</v>
      </c>
      <c r="G646" s="12">
        <f t="shared" si="50"/>
        <v>2018</v>
      </c>
      <c r="H646" s="12" t="str">
        <f t="shared" si="51"/>
        <v>Junho</v>
      </c>
      <c r="I646" s="11">
        <f>INDEX(tbCadastroConsultas[],MATCH(tbConsultas[[#This Row],[PROFISSIONAL]],tbCadastroConsultas[PROFISSIONAL],0),3)</f>
        <v>301010030</v>
      </c>
      <c r="J646" s="11">
        <f>INDEX(tbCadastroConsultas[],MATCH(tbConsultas[[#This Row],[PROFISSIONAL]],tbCadastroConsultas[PROFISSIONAL],0),4)</f>
        <v>251510</v>
      </c>
    </row>
    <row r="647" spans="1:10">
      <c r="A647" s="11">
        <f t="shared" si="48"/>
        <v>646</v>
      </c>
      <c r="B647" s="4" t="s">
        <v>1</v>
      </c>
      <c r="C647" s="5">
        <v>21051950</v>
      </c>
      <c r="D647" s="5">
        <v>21052018</v>
      </c>
      <c r="E647" s="4">
        <v>68</v>
      </c>
      <c r="F647" s="15">
        <f t="shared" si="49"/>
        <v>43271</v>
      </c>
      <c r="G647" s="12">
        <f t="shared" si="50"/>
        <v>2018</v>
      </c>
      <c r="H647" s="12" t="str">
        <f t="shared" si="51"/>
        <v>Junho</v>
      </c>
      <c r="I647" s="11">
        <f>INDEX(tbCadastroConsultas[],MATCH(tbConsultas[[#This Row],[PROFISSIONAL]],tbCadastroConsultas[PROFISSIONAL],0),3)</f>
        <v>301010030</v>
      </c>
      <c r="J647" s="11">
        <f>INDEX(tbCadastroConsultas[],MATCH(tbConsultas[[#This Row],[PROFISSIONAL]],tbCadastroConsultas[PROFISSIONAL],0),4)</f>
        <v>251510</v>
      </c>
    </row>
    <row r="648" spans="1:10">
      <c r="A648" s="11">
        <f t="shared" si="48"/>
        <v>647</v>
      </c>
      <c r="B648" s="4" t="s">
        <v>1</v>
      </c>
      <c r="C648" s="5">
        <v>27101986</v>
      </c>
      <c r="D648" s="5">
        <v>21052018</v>
      </c>
      <c r="E648" s="4">
        <v>31</v>
      </c>
      <c r="F648" s="15">
        <f t="shared" si="49"/>
        <v>43271</v>
      </c>
      <c r="G648" s="12">
        <f t="shared" si="50"/>
        <v>2018</v>
      </c>
      <c r="H648" s="12" t="str">
        <f t="shared" si="51"/>
        <v>Junho</v>
      </c>
      <c r="I648" s="11">
        <f>INDEX(tbCadastroConsultas[],MATCH(tbConsultas[[#This Row],[PROFISSIONAL]],tbCadastroConsultas[PROFISSIONAL],0),3)</f>
        <v>301010030</v>
      </c>
      <c r="J648" s="11">
        <f>INDEX(tbCadastroConsultas[],MATCH(tbConsultas[[#This Row],[PROFISSIONAL]],tbCadastroConsultas[PROFISSIONAL],0),4)</f>
        <v>251510</v>
      </c>
    </row>
    <row r="649" spans="1:10">
      <c r="A649" s="11">
        <f t="shared" si="48"/>
        <v>648</v>
      </c>
      <c r="B649" s="4" t="s">
        <v>1</v>
      </c>
      <c r="C649" s="5">
        <v>28111997</v>
      </c>
      <c r="D649" s="5">
        <v>21052018</v>
      </c>
      <c r="E649" s="4">
        <v>20</v>
      </c>
      <c r="F649" s="15">
        <f t="shared" si="49"/>
        <v>43271</v>
      </c>
      <c r="G649" s="12">
        <f t="shared" si="50"/>
        <v>2018</v>
      </c>
      <c r="H649" s="12" t="str">
        <f t="shared" si="51"/>
        <v>Junho</v>
      </c>
      <c r="I649" s="11">
        <f>INDEX(tbCadastroConsultas[],MATCH(tbConsultas[[#This Row],[PROFISSIONAL]],tbCadastroConsultas[PROFISSIONAL],0),3)</f>
        <v>301010030</v>
      </c>
      <c r="J649" s="11">
        <f>INDEX(tbCadastroConsultas[],MATCH(tbConsultas[[#This Row],[PROFISSIONAL]],tbCadastroConsultas[PROFISSIONAL],0),4)</f>
        <v>251510</v>
      </c>
    </row>
    <row r="650" spans="1:10">
      <c r="A650" s="11">
        <f t="shared" si="48"/>
        <v>649</v>
      </c>
      <c r="B650" s="4" t="s">
        <v>1</v>
      </c>
      <c r="C650" s="5">
        <v>19101964</v>
      </c>
      <c r="D650" s="5">
        <v>21052018</v>
      </c>
      <c r="E650" s="4">
        <v>53</v>
      </c>
      <c r="F650" s="15">
        <f t="shared" si="49"/>
        <v>43271</v>
      </c>
      <c r="G650" s="12">
        <f t="shared" si="50"/>
        <v>2018</v>
      </c>
      <c r="H650" s="12" t="str">
        <f t="shared" si="51"/>
        <v>Junho</v>
      </c>
      <c r="I650" s="11">
        <f>INDEX(tbCadastroConsultas[],MATCH(tbConsultas[[#This Row],[PROFISSIONAL]],tbCadastroConsultas[PROFISSIONAL],0),3)</f>
        <v>301010030</v>
      </c>
      <c r="J650" s="11">
        <f>INDEX(tbCadastroConsultas[],MATCH(tbConsultas[[#This Row],[PROFISSIONAL]],tbCadastroConsultas[PROFISSIONAL],0),4)</f>
        <v>251510</v>
      </c>
    </row>
    <row r="651" spans="1:10">
      <c r="A651" s="11">
        <f t="shared" si="48"/>
        <v>650</v>
      </c>
      <c r="B651" s="4" t="s">
        <v>1</v>
      </c>
      <c r="C651" s="5">
        <v>1012010</v>
      </c>
      <c r="D651" s="5">
        <v>21052018</v>
      </c>
      <c r="E651" s="4">
        <v>8</v>
      </c>
      <c r="F651" s="15">
        <f t="shared" si="49"/>
        <v>43271</v>
      </c>
      <c r="G651" s="12">
        <f t="shared" si="50"/>
        <v>2018</v>
      </c>
      <c r="H651" s="12" t="str">
        <f t="shared" si="51"/>
        <v>Junho</v>
      </c>
      <c r="I651" s="11">
        <f>INDEX(tbCadastroConsultas[],MATCH(tbConsultas[[#This Row],[PROFISSIONAL]],tbCadastroConsultas[PROFISSIONAL],0),3)</f>
        <v>301010030</v>
      </c>
      <c r="J651" s="11">
        <f>INDEX(tbCadastroConsultas[],MATCH(tbConsultas[[#This Row],[PROFISSIONAL]],tbCadastroConsultas[PROFISSIONAL],0),4)</f>
        <v>251510</v>
      </c>
    </row>
    <row r="652" spans="1:10">
      <c r="A652" s="11">
        <f t="shared" si="48"/>
        <v>651</v>
      </c>
      <c r="B652" s="4" t="s">
        <v>1</v>
      </c>
      <c r="C652" s="5">
        <v>19051987</v>
      </c>
      <c r="D652" s="5">
        <v>21052018</v>
      </c>
      <c r="E652" s="4">
        <v>31</v>
      </c>
      <c r="F652" s="15">
        <f t="shared" si="49"/>
        <v>43271</v>
      </c>
      <c r="G652" s="12">
        <f t="shared" si="50"/>
        <v>2018</v>
      </c>
      <c r="H652" s="12" t="str">
        <f t="shared" si="51"/>
        <v>Junho</v>
      </c>
      <c r="I652" s="11">
        <f>INDEX(tbCadastroConsultas[],MATCH(tbConsultas[[#This Row],[PROFISSIONAL]],tbCadastroConsultas[PROFISSIONAL],0),3)</f>
        <v>301010030</v>
      </c>
      <c r="J652" s="11">
        <f>INDEX(tbCadastroConsultas[],MATCH(tbConsultas[[#This Row],[PROFISSIONAL]],tbCadastroConsultas[PROFISSIONAL],0),4)</f>
        <v>251510</v>
      </c>
    </row>
    <row r="653" spans="1:10">
      <c r="A653" s="11">
        <f t="shared" si="48"/>
        <v>652</v>
      </c>
      <c r="B653" s="4" t="s">
        <v>5</v>
      </c>
      <c r="C653" s="5">
        <v>10071947</v>
      </c>
      <c r="D653" s="5">
        <v>21052018</v>
      </c>
      <c r="E653" s="4">
        <v>70</v>
      </c>
      <c r="F653" s="15">
        <f t="shared" si="49"/>
        <v>43271</v>
      </c>
      <c r="G653" s="12">
        <f t="shared" si="50"/>
        <v>2018</v>
      </c>
      <c r="H653" s="12" t="str">
        <f t="shared" si="51"/>
        <v>Junho</v>
      </c>
      <c r="I653" s="11">
        <f>INDEX(tbCadastroConsultas[],MATCH(tbConsultas[[#This Row],[PROFISSIONAL]],tbCadastroConsultas[PROFISSIONAL],0),3)</f>
        <v>301010030</v>
      </c>
      <c r="J653" s="11">
        <f>INDEX(tbCadastroConsultas[],MATCH(tbConsultas[[#This Row],[PROFISSIONAL]],tbCadastroConsultas[PROFISSIONAL],0),4)</f>
        <v>223565</v>
      </c>
    </row>
    <row r="654" spans="1:10">
      <c r="A654" s="11">
        <f t="shared" si="48"/>
        <v>653</v>
      </c>
      <c r="B654" s="4" t="s">
        <v>5</v>
      </c>
      <c r="C654" s="5">
        <v>22091958</v>
      </c>
      <c r="D654" s="5">
        <v>21052018</v>
      </c>
      <c r="E654" s="4">
        <v>59</v>
      </c>
      <c r="F654" s="15">
        <f t="shared" si="49"/>
        <v>43271</v>
      </c>
      <c r="G654" s="12">
        <f t="shared" si="50"/>
        <v>2018</v>
      </c>
      <c r="H654" s="12" t="str">
        <f t="shared" si="51"/>
        <v>Junho</v>
      </c>
      <c r="I654" s="11">
        <f>INDEX(tbCadastroConsultas[],MATCH(tbConsultas[[#This Row],[PROFISSIONAL]],tbCadastroConsultas[PROFISSIONAL],0),3)</f>
        <v>301010030</v>
      </c>
      <c r="J654" s="11">
        <f>INDEX(tbCadastroConsultas[],MATCH(tbConsultas[[#This Row],[PROFISSIONAL]],tbCadastroConsultas[PROFISSIONAL],0),4)</f>
        <v>223565</v>
      </c>
    </row>
    <row r="655" spans="1:10">
      <c r="A655" s="11">
        <f t="shared" si="48"/>
        <v>654</v>
      </c>
      <c r="B655" s="4" t="s">
        <v>79</v>
      </c>
      <c r="C655" s="5">
        <v>22042016</v>
      </c>
      <c r="D655" s="5">
        <v>21052018</v>
      </c>
      <c r="E655" s="4">
        <v>2</v>
      </c>
      <c r="F655" s="15">
        <f t="shared" si="49"/>
        <v>43271</v>
      </c>
      <c r="G655" s="12">
        <f t="shared" si="50"/>
        <v>2018</v>
      </c>
      <c r="H655" s="12" t="str">
        <f t="shared" si="51"/>
        <v>Junho</v>
      </c>
      <c r="I655" s="11">
        <f>INDEX(tbCadastroConsultas[],MATCH(tbConsultas[[#This Row],[PROFISSIONAL]],tbCadastroConsultas[PROFISSIONAL],0),3)</f>
        <v>301010080</v>
      </c>
      <c r="J655" s="11">
        <f>INDEX(tbCadastroConsultas[],MATCH(tbConsultas[[#This Row],[PROFISSIONAL]],tbCadastroConsultas[PROFISSIONAL],0),4)</f>
        <v>223565</v>
      </c>
    </row>
    <row r="656" spans="1:10">
      <c r="A656" s="11">
        <f t="shared" si="48"/>
        <v>655</v>
      </c>
      <c r="B656" s="4" t="s">
        <v>5</v>
      </c>
      <c r="C656" s="5">
        <v>2051926</v>
      </c>
      <c r="D656" s="5">
        <v>21052018</v>
      </c>
      <c r="E656" s="4">
        <v>92</v>
      </c>
      <c r="F656" s="15">
        <f t="shared" si="49"/>
        <v>43271</v>
      </c>
      <c r="G656" s="12">
        <f t="shared" si="50"/>
        <v>2018</v>
      </c>
      <c r="H656" s="12" t="str">
        <f t="shared" si="51"/>
        <v>Junho</v>
      </c>
      <c r="I656" s="11">
        <f>INDEX(tbCadastroConsultas[],MATCH(tbConsultas[[#This Row],[PROFISSIONAL]],tbCadastroConsultas[PROFISSIONAL],0),3)</f>
        <v>301010030</v>
      </c>
      <c r="J656" s="11">
        <f>INDEX(tbCadastroConsultas[],MATCH(tbConsultas[[#This Row],[PROFISSIONAL]],tbCadastroConsultas[PROFISSIONAL],0),4)</f>
        <v>223565</v>
      </c>
    </row>
    <row r="657" spans="1:10">
      <c r="A657" s="11">
        <f t="shared" si="48"/>
        <v>656</v>
      </c>
      <c r="B657" s="4" t="s">
        <v>5</v>
      </c>
      <c r="C657" s="5">
        <v>23121964</v>
      </c>
      <c r="D657" s="5">
        <v>21052018</v>
      </c>
      <c r="E657" s="4">
        <v>53</v>
      </c>
      <c r="F657" s="15">
        <f t="shared" si="49"/>
        <v>43271</v>
      </c>
      <c r="G657" s="12">
        <f t="shared" si="50"/>
        <v>2018</v>
      </c>
      <c r="H657" s="12" t="str">
        <f t="shared" si="51"/>
        <v>Junho</v>
      </c>
      <c r="I657" s="11">
        <f>INDEX(tbCadastroConsultas[],MATCH(tbConsultas[[#This Row],[PROFISSIONAL]],tbCadastroConsultas[PROFISSIONAL],0),3)</f>
        <v>301010030</v>
      </c>
      <c r="J657" s="11">
        <f>INDEX(tbCadastroConsultas[],MATCH(tbConsultas[[#This Row],[PROFISSIONAL]],tbCadastroConsultas[PROFISSIONAL],0),4)</f>
        <v>223565</v>
      </c>
    </row>
    <row r="658" spans="1:10">
      <c r="A658" s="11">
        <f t="shared" si="48"/>
        <v>657</v>
      </c>
      <c r="B658" s="4" t="s">
        <v>5</v>
      </c>
      <c r="C658" s="5">
        <v>5071998</v>
      </c>
      <c r="D658" s="5">
        <v>21052018</v>
      </c>
      <c r="E658" s="4">
        <v>19</v>
      </c>
      <c r="F658" s="15">
        <f t="shared" si="49"/>
        <v>43271</v>
      </c>
      <c r="G658" s="12">
        <f t="shared" si="50"/>
        <v>2018</v>
      </c>
      <c r="H658" s="12" t="str">
        <f t="shared" si="51"/>
        <v>Junho</v>
      </c>
      <c r="I658" s="11">
        <f>INDEX(tbCadastroConsultas[],MATCH(tbConsultas[[#This Row],[PROFISSIONAL]],tbCadastroConsultas[PROFISSIONAL],0),3)</f>
        <v>301010030</v>
      </c>
      <c r="J658" s="11">
        <f>INDEX(tbCadastroConsultas[],MATCH(tbConsultas[[#This Row],[PROFISSIONAL]],tbCadastroConsultas[PROFISSIONAL],0),4)</f>
        <v>223565</v>
      </c>
    </row>
    <row r="659" spans="1:10">
      <c r="A659" s="11">
        <f t="shared" si="48"/>
        <v>658</v>
      </c>
      <c r="B659" s="4" t="s">
        <v>3</v>
      </c>
      <c r="C659" s="5">
        <v>7121984</v>
      </c>
      <c r="D659" s="5">
        <v>21052018</v>
      </c>
      <c r="E659" s="4">
        <v>33</v>
      </c>
      <c r="F659" s="15">
        <f t="shared" si="49"/>
        <v>43271</v>
      </c>
      <c r="G659" s="12">
        <f t="shared" si="50"/>
        <v>2018</v>
      </c>
      <c r="H659" s="12" t="str">
        <f t="shared" si="51"/>
        <v>Junho</v>
      </c>
      <c r="I659" s="11">
        <f>INDEX(tbCadastroConsultas[],MATCH(tbConsultas[[#This Row],[PROFISSIONAL]],tbCadastroConsultas[PROFISSIONAL],0),3)</f>
        <v>301010110</v>
      </c>
      <c r="J659" s="11">
        <f>INDEX(tbCadastroConsultas[],MATCH(tbConsultas[[#This Row],[PROFISSIONAL]],tbCadastroConsultas[PROFISSIONAL],0),4)</f>
        <v>225250</v>
      </c>
    </row>
    <row r="660" spans="1:10">
      <c r="A660" s="11">
        <f t="shared" si="48"/>
        <v>659</v>
      </c>
      <c r="B660" s="4" t="s">
        <v>3</v>
      </c>
      <c r="C660" s="5">
        <v>1041981</v>
      </c>
      <c r="D660" s="5">
        <v>21052018</v>
      </c>
      <c r="E660" s="4">
        <v>37</v>
      </c>
      <c r="F660" s="15">
        <f t="shared" si="49"/>
        <v>43271</v>
      </c>
      <c r="G660" s="12">
        <f t="shared" si="50"/>
        <v>2018</v>
      </c>
      <c r="H660" s="12" t="str">
        <f t="shared" si="51"/>
        <v>Junho</v>
      </c>
      <c r="I660" s="11">
        <f>INDEX(tbCadastroConsultas[],MATCH(tbConsultas[[#This Row],[PROFISSIONAL]],tbCadastroConsultas[PROFISSIONAL],0),3)</f>
        <v>301010110</v>
      </c>
      <c r="J660" s="11">
        <f>INDEX(tbCadastroConsultas[],MATCH(tbConsultas[[#This Row],[PROFISSIONAL]],tbCadastroConsultas[PROFISSIONAL],0),4)</f>
        <v>225250</v>
      </c>
    </row>
    <row r="661" spans="1:10">
      <c r="A661" s="11">
        <f t="shared" si="48"/>
        <v>660</v>
      </c>
      <c r="B661" s="4" t="s">
        <v>3</v>
      </c>
      <c r="C661" s="5">
        <v>28061988</v>
      </c>
      <c r="D661" s="5">
        <v>21052018</v>
      </c>
      <c r="E661" s="4">
        <v>29</v>
      </c>
      <c r="F661" s="15">
        <f t="shared" si="49"/>
        <v>43271</v>
      </c>
      <c r="G661" s="12">
        <f t="shared" si="50"/>
        <v>2018</v>
      </c>
      <c r="H661" s="12" t="str">
        <f t="shared" si="51"/>
        <v>Junho</v>
      </c>
      <c r="I661" s="11">
        <f>INDEX(tbCadastroConsultas[],MATCH(tbConsultas[[#This Row],[PROFISSIONAL]],tbCadastroConsultas[PROFISSIONAL],0),3)</f>
        <v>301010110</v>
      </c>
      <c r="J661" s="11">
        <f>INDEX(tbCadastroConsultas[],MATCH(tbConsultas[[#This Row],[PROFISSIONAL]],tbCadastroConsultas[PROFISSIONAL],0),4)</f>
        <v>225250</v>
      </c>
    </row>
    <row r="662" spans="1:10">
      <c r="A662" s="11">
        <f t="shared" ref="A662:A689" si="52">ROW() -1</f>
        <v>661</v>
      </c>
      <c r="B662" s="4" t="s">
        <v>144</v>
      </c>
      <c r="C662" s="5">
        <v>26041976</v>
      </c>
      <c r="D662" s="5">
        <v>21052018</v>
      </c>
      <c r="E662" s="4">
        <v>42</v>
      </c>
      <c r="F662" s="15">
        <f t="shared" si="49"/>
        <v>43271</v>
      </c>
      <c r="G662" s="12">
        <f t="shared" si="50"/>
        <v>2018</v>
      </c>
      <c r="H662" s="12" t="str">
        <f t="shared" si="51"/>
        <v>Junho</v>
      </c>
      <c r="I662" s="11">
        <f>INDEX(tbCadastroConsultas[],MATCH(tbConsultas[[#This Row],[PROFISSIONAL]],tbCadastroConsultas[PROFISSIONAL],0),3)</f>
        <v>301010129</v>
      </c>
      <c r="J662" s="11">
        <f>INDEX(tbCadastroConsultas[],MATCH(tbConsultas[[#This Row],[PROFISSIONAL]],tbCadastroConsultas[PROFISSIONAL],0),4)</f>
        <v>225250</v>
      </c>
    </row>
    <row r="663" spans="1:10">
      <c r="A663" s="11">
        <f t="shared" si="52"/>
        <v>662</v>
      </c>
      <c r="B663" s="4" t="s">
        <v>4</v>
      </c>
      <c r="C663" s="5">
        <v>12021982</v>
      </c>
      <c r="D663" s="5">
        <v>21052018</v>
      </c>
      <c r="E663" s="4">
        <v>36</v>
      </c>
      <c r="F663" s="15">
        <f t="shared" si="49"/>
        <v>43271</v>
      </c>
      <c r="G663" s="12">
        <f t="shared" si="50"/>
        <v>2018</v>
      </c>
      <c r="H663" s="12" t="str">
        <f t="shared" si="51"/>
        <v>Junho</v>
      </c>
      <c r="I663" s="11">
        <f>INDEX(tbCadastroConsultas[],MATCH(tbConsultas[[#This Row],[PROFISSIONAL]],tbCadastroConsultas[PROFISSIONAL],0),3)</f>
        <v>301010064</v>
      </c>
      <c r="J663" s="11">
        <f>INDEX(tbCadastroConsultas[],MATCH(tbConsultas[[#This Row],[PROFISSIONAL]],tbCadastroConsultas[PROFISSIONAL],0),4)</f>
        <v>225250</v>
      </c>
    </row>
    <row r="664" spans="1:10">
      <c r="A664" s="11">
        <f t="shared" si="52"/>
        <v>663</v>
      </c>
      <c r="B664" s="4" t="s">
        <v>4</v>
      </c>
      <c r="C664" s="5">
        <v>7021989</v>
      </c>
      <c r="D664" s="5">
        <v>21052018</v>
      </c>
      <c r="E664" s="4">
        <v>29</v>
      </c>
      <c r="F664" s="15">
        <f t="shared" si="49"/>
        <v>43271</v>
      </c>
      <c r="G664" s="12">
        <f t="shared" si="50"/>
        <v>2018</v>
      </c>
      <c r="H664" s="12" t="str">
        <f t="shared" si="51"/>
        <v>Junho</v>
      </c>
      <c r="I664" s="11">
        <f>INDEX(tbCadastroConsultas[],MATCH(tbConsultas[[#This Row],[PROFISSIONAL]],tbCadastroConsultas[PROFISSIONAL],0),3)</f>
        <v>301010064</v>
      </c>
      <c r="J664" s="11">
        <f>INDEX(tbCadastroConsultas[],MATCH(tbConsultas[[#This Row],[PROFISSIONAL]],tbCadastroConsultas[PROFISSIONAL],0),4)</f>
        <v>225250</v>
      </c>
    </row>
    <row r="665" spans="1:10">
      <c r="A665" s="11">
        <f t="shared" si="52"/>
        <v>664</v>
      </c>
      <c r="B665" s="4" t="s">
        <v>4</v>
      </c>
      <c r="C665" s="5">
        <v>17071984</v>
      </c>
      <c r="D665" s="5">
        <v>21052018</v>
      </c>
      <c r="E665" s="4">
        <v>33</v>
      </c>
      <c r="F665" s="15">
        <f t="shared" si="49"/>
        <v>43271</v>
      </c>
      <c r="G665" s="12">
        <f t="shared" si="50"/>
        <v>2018</v>
      </c>
      <c r="H665" s="12" t="str">
        <f t="shared" si="51"/>
        <v>Junho</v>
      </c>
      <c r="I665" s="11">
        <f>INDEX(tbCadastroConsultas[],MATCH(tbConsultas[[#This Row],[PROFISSIONAL]],tbCadastroConsultas[PROFISSIONAL],0),3)</f>
        <v>301010064</v>
      </c>
      <c r="J665" s="11">
        <f>INDEX(tbCadastroConsultas[],MATCH(tbConsultas[[#This Row],[PROFISSIONAL]],tbCadastroConsultas[PROFISSIONAL],0),4)</f>
        <v>225250</v>
      </c>
    </row>
    <row r="666" spans="1:10">
      <c r="A666" s="11">
        <f t="shared" si="52"/>
        <v>665</v>
      </c>
      <c r="B666" s="4" t="s">
        <v>4</v>
      </c>
      <c r="C666" s="5">
        <v>23011995</v>
      </c>
      <c r="D666" s="5">
        <v>21052018</v>
      </c>
      <c r="E666" s="4">
        <v>23</v>
      </c>
      <c r="F666" s="15">
        <f t="shared" si="49"/>
        <v>43271</v>
      </c>
      <c r="G666" s="12">
        <f t="shared" si="50"/>
        <v>2018</v>
      </c>
      <c r="H666" s="12" t="str">
        <f t="shared" si="51"/>
        <v>Junho</v>
      </c>
      <c r="I666" s="11">
        <f>INDEX(tbCadastroConsultas[],MATCH(tbConsultas[[#This Row],[PROFISSIONAL]],tbCadastroConsultas[PROFISSIONAL],0),3)</f>
        <v>301010064</v>
      </c>
      <c r="J666" s="11">
        <f>INDEX(tbCadastroConsultas[],MATCH(tbConsultas[[#This Row],[PROFISSIONAL]],tbCadastroConsultas[PROFISSIONAL],0),4)</f>
        <v>225250</v>
      </c>
    </row>
    <row r="667" spans="1:10">
      <c r="A667" s="11">
        <f t="shared" si="52"/>
        <v>666</v>
      </c>
      <c r="B667" s="4" t="s">
        <v>4</v>
      </c>
      <c r="C667" s="5">
        <v>23121969</v>
      </c>
      <c r="D667" s="5">
        <v>21052018</v>
      </c>
      <c r="E667" s="4">
        <v>48</v>
      </c>
      <c r="F667" s="15">
        <f t="shared" si="49"/>
        <v>43271</v>
      </c>
      <c r="G667" s="12">
        <f t="shared" si="50"/>
        <v>2018</v>
      </c>
      <c r="H667" s="12" t="str">
        <f t="shared" si="51"/>
        <v>Junho</v>
      </c>
      <c r="I667" s="11">
        <f>INDEX(tbCadastroConsultas[],MATCH(tbConsultas[[#This Row],[PROFISSIONAL]],tbCadastroConsultas[PROFISSIONAL],0),3)</f>
        <v>301010064</v>
      </c>
      <c r="J667" s="11">
        <f>INDEX(tbCadastroConsultas[],MATCH(tbConsultas[[#This Row],[PROFISSIONAL]],tbCadastroConsultas[PROFISSIONAL],0),4)</f>
        <v>225250</v>
      </c>
    </row>
    <row r="668" spans="1:10">
      <c r="A668" s="11">
        <f t="shared" si="52"/>
        <v>667</v>
      </c>
      <c r="B668" s="4" t="s">
        <v>4</v>
      </c>
      <c r="C668" s="5">
        <v>22052002</v>
      </c>
      <c r="D668" s="5">
        <v>21052018</v>
      </c>
      <c r="E668" s="4">
        <v>16</v>
      </c>
      <c r="F668" s="15">
        <f t="shared" si="49"/>
        <v>43271</v>
      </c>
      <c r="G668" s="12">
        <f t="shared" si="50"/>
        <v>2018</v>
      </c>
      <c r="H668" s="12" t="str">
        <f t="shared" si="51"/>
        <v>Junho</v>
      </c>
      <c r="I668" s="11">
        <f>INDEX(tbCadastroConsultas[],MATCH(tbConsultas[[#This Row],[PROFISSIONAL]],tbCadastroConsultas[PROFISSIONAL],0),3)</f>
        <v>301010064</v>
      </c>
      <c r="J668" s="11">
        <f>INDEX(tbCadastroConsultas[],MATCH(tbConsultas[[#This Row],[PROFISSIONAL]],tbCadastroConsultas[PROFISSIONAL],0),4)</f>
        <v>225250</v>
      </c>
    </row>
    <row r="669" spans="1:10">
      <c r="A669" s="11">
        <f t="shared" si="52"/>
        <v>668</v>
      </c>
      <c r="B669" s="4" t="s">
        <v>4</v>
      </c>
      <c r="C669" s="5">
        <v>25011974</v>
      </c>
      <c r="D669" s="5">
        <v>21052018</v>
      </c>
      <c r="E669" s="4">
        <v>44</v>
      </c>
      <c r="F669" s="15">
        <f t="shared" si="49"/>
        <v>43271</v>
      </c>
      <c r="G669" s="12">
        <f t="shared" si="50"/>
        <v>2018</v>
      </c>
      <c r="H669" s="12" t="str">
        <f t="shared" si="51"/>
        <v>Junho</v>
      </c>
      <c r="I669" s="11">
        <f>INDEX(tbCadastroConsultas[],MATCH(tbConsultas[[#This Row],[PROFISSIONAL]],tbCadastroConsultas[PROFISSIONAL],0),3)</f>
        <v>301010064</v>
      </c>
      <c r="J669" s="11">
        <f>INDEX(tbCadastroConsultas[],MATCH(tbConsultas[[#This Row],[PROFISSIONAL]],tbCadastroConsultas[PROFISSIONAL],0),4)</f>
        <v>225250</v>
      </c>
    </row>
    <row r="670" spans="1:10">
      <c r="A670" s="11">
        <f t="shared" si="52"/>
        <v>669</v>
      </c>
      <c r="B670" s="4" t="s">
        <v>4</v>
      </c>
      <c r="C670" s="5">
        <v>4021983</v>
      </c>
      <c r="D670" s="5">
        <v>21052018</v>
      </c>
      <c r="E670" s="4">
        <v>35</v>
      </c>
      <c r="F670" s="15">
        <f t="shared" si="49"/>
        <v>43271</v>
      </c>
      <c r="G670" s="12">
        <f t="shared" si="50"/>
        <v>2018</v>
      </c>
      <c r="H670" s="12" t="str">
        <f t="shared" si="51"/>
        <v>Junho</v>
      </c>
      <c r="I670" s="11">
        <f>INDEX(tbCadastroConsultas[],MATCH(tbConsultas[[#This Row],[PROFISSIONAL]],tbCadastroConsultas[PROFISSIONAL],0),3)</f>
        <v>301010064</v>
      </c>
      <c r="J670" s="11">
        <f>INDEX(tbCadastroConsultas[],MATCH(tbConsultas[[#This Row],[PROFISSIONAL]],tbCadastroConsultas[PROFISSIONAL],0),4)</f>
        <v>225250</v>
      </c>
    </row>
    <row r="671" spans="1:10">
      <c r="A671" s="11">
        <f t="shared" si="52"/>
        <v>670</v>
      </c>
      <c r="B671" s="4" t="s">
        <v>11</v>
      </c>
      <c r="C671" s="5">
        <v>25011983</v>
      </c>
      <c r="D671" s="5">
        <v>21052018</v>
      </c>
      <c r="E671" s="4">
        <v>35</v>
      </c>
      <c r="F671" s="15">
        <f t="shared" si="49"/>
        <v>43271</v>
      </c>
      <c r="G671" s="12">
        <f t="shared" si="50"/>
        <v>2018</v>
      </c>
      <c r="H671" s="12" t="str">
        <f t="shared" si="51"/>
        <v>Junho</v>
      </c>
      <c r="I671" s="11">
        <f>INDEX(tbCadastroConsultas[],MATCH(tbConsultas[[#This Row],[PROFISSIONAL]],tbCadastroConsultas[PROFISSIONAL],0),3)</f>
        <v>301010110</v>
      </c>
      <c r="J671" s="11">
        <f>INDEX(tbCadastroConsultas[],MATCH(tbConsultas[[#This Row],[PROFISSIONAL]],tbCadastroConsultas[PROFISSIONAL],0),4)</f>
        <v>223505</v>
      </c>
    </row>
    <row r="672" spans="1:10">
      <c r="A672" s="11">
        <f t="shared" si="52"/>
        <v>671</v>
      </c>
      <c r="B672" s="4" t="s">
        <v>11</v>
      </c>
      <c r="C672" s="5">
        <v>5061989</v>
      </c>
      <c r="D672" s="5">
        <v>21052018</v>
      </c>
      <c r="E672" s="4">
        <v>28</v>
      </c>
      <c r="F672" s="15">
        <f t="shared" si="49"/>
        <v>43271</v>
      </c>
      <c r="G672" s="12">
        <f t="shared" si="50"/>
        <v>2018</v>
      </c>
      <c r="H672" s="12" t="str">
        <f t="shared" si="51"/>
        <v>Junho</v>
      </c>
      <c r="I672" s="11">
        <f>INDEX(tbCadastroConsultas[],MATCH(tbConsultas[[#This Row],[PROFISSIONAL]],tbCadastroConsultas[PROFISSIONAL],0),3)</f>
        <v>301010110</v>
      </c>
      <c r="J672" s="11">
        <f>INDEX(tbCadastroConsultas[],MATCH(tbConsultas[[#This Row],[PROFISSIONAL]],tbCadastroConsultas[PROFISSIONAL],0),4)</f>
        <v>223505</v>
      </c>
    </row>
    <row r="673" spans="1:10">
      <c r="A673" s="11">
        <f t="shared" si="52"/>
        <v>672</v>
      </c>
      <c r="B673" s="4" t="s">
        <v>2</v>
      </c>
      <c r="C673" s="5">
        <v>9042000</v>
      </c>
      <c r="D673" s="5">
        <v>21052018</v>
      </c>
      <c r="E673" s="4">
        <v>18</v>
      </c>
      <c r="F673" s="15">
        <f t="shared" si="49"/>
        <v>43271</v>
      </c>
      <c r="G673" s="12">
        <f t="shared" si="50"/>
        <v>2018</v>
      </c>
      <c r="H673" s="12" t="str">
        <f t="shared" si="51"/>
        <v>Junho</v>
      </c>
      <c r="I673" s="11">
        <f>INDEX(tbCadastroConsultas[],MATCH(tbConsultas[[#This Row],[PROFISSIONAL]],tbCadastroConsultas[PROFISSIONAL],0),3)</f>
        <v>301010030</v>
      </c>
      <c r="J673" s="11">
        <f>INDEX(tbCadastroConsultas[],MATCH(tbConsultas[[#This Row],[PROFISSIONAL]],tbCadastroConsultas[PROFISSIONAL],0),4)</f>
        <v>223505</v>
      </c>
    </row>
    <row r="674" spans="1:10">
      <c r="A674" s="11">
        <f t="shared" si="52"/>
        <v>673</v>
      </c>
      <c r="B674" s="4" t="s">
        <v>2</v>
      </c>
      <c r="C674" s="5">
        <v>12061964</v>
      </c>
      <c r="D674" s="5">
        <v>21052018</v>
      </c>
      <c r="E674" s="4">
        <v>53</v>
      </c>
      <c r="F674" s="15">
        <f t="shared" si="49"/>
        <v>43271</v>
      </c>
      <c r="G674" s="12">
        <f t="shared" si="50"/>
        <v>2018</v>
      </c>
      <c r="H674" s="12" t="str">
        <f t="shared" si="51"/>
        <v>Junho</v>
      </c>
      <c r="I674" s="11">
        <f>INDEX(tbCadastroConsultas[],MATCH(tbConsultas[[#This Row],[PROFISSIONAL]],tbCadastroConsultas[PROFISSIONAL],0),3)</f>
        <v>301010030</v>
      </c>
      <c r="J674" s="11">
        <f>INDEX(tbCadastroConsultas[],MATCH(tbConsultas[[#This Row],[PROFISSIONAL]],tbCadastroConsultas[PROFISSIONAL],0),4)</f>
        <v>223505</v>
      </c>
    </row>
    <row r="675" spans="1:10">
      <c r="A675" s="11">
        <f t="shared" si="52"/>
        <v>674</v>
      </c>
      <c r="B675" s="4" t="s">
        <v>2</v>
      </c>
      <c r="C675" s="5">
        <v>24061963</v>
      </c>
      <c r="D675" s="5">
        <v>21052018</v>
      </c>
      <c r="E675" s="4">
        <v>54</v>
      </c>
      <c r="F675" s="15">
        <f t="shared" si="49"/>
        <v>43271</v>
      </c>
      <c r="G675" s="12">
        <f t="shared" si="50"/>
        <v>2018</v>
      </c>
      <c r="H675" s="12" t="str">
        <f t="shared" si="51"/>
        <v>Junho</v>
      </c>
      <c r="I675" s="11">
        <f>INDEX(tbCadastroConsultas[],MATCH(tbConsultas[[#This Row],[PROFISSIONAL]],tbCadastroConsultas[PROFISSIONAL],0),3)</f>
        <v>301010030</v>
      </c>
      <c r="J675" s="11">
        <f>INDEX(tbCadastroConsultas[],MATCH(tbConsultas[[#This Row],[PROFISSIONAL]],tbCadastroConsultas[PROFISSIONAL],0),4)</f>
        <v>223505</v>
      </c>
    </row>
    <row r="676" spans="1:10">
      <c r="A676" s="11">
        <f t="shared" si="52"/>
        <v>675</v>
      </c>
      <c r="B676" s="4" t="s">
        <v>2</v>
      </c>
      <c r="C676" s="5">
        <v>15121945</v>
      </c>
      <c r="D676" s="5">
        <v>21052018</v>
      </c>
      <c r="E676" s="4">
        <v>72</v>
      </c>
      <c r="F676" s="15">
        <f t="shared" si="49"/>
        <v>43271</v>
      </c>
      <c r="G676" s="12">
        <f t="shared" si="50"/>
        <v>2018</v>
      </c>
      <c r="H676" s="12" t="str">
        <f t="shared" si="51"/>
        <v>Junho</v>
      </c>
      <c r="I676" s="11">
        <f>INDEX(tbCadastroConsultas[],MATCH(tbConsultas[[#This Row],[PROFISSIONAL]],tbCadastroConsultas[PROFISSIONAL],0),3)</f>
        <v>301010030</v>
      </c>
      <c r="J676" s="11">
        <f>INDEX(tbCadastroConsultas[],MATCH(tbConsultas[[#This Row],[PROFISSIONAL]],tbCadastroConsultas[PROFISSIONAL],0),4)</f>
        <v>223505</v>
      </c>
    </row>
    <row r="677" spans="1:10">
      <c r="A677" s="11">
        <f t="shared" si="52"/>
        <v>676</v>
      </c>
      <c r="B677" s="4" t="s">
        <v>2</v>
      </c>
      <c r="C677" s="5">
        <v>27032001</v>
      </c>
      <c r="D677" s="5">
        <v>21052018</v>
      </c>
      <c r="E677" s="4">
        <v>17</v>
      </c>
      <c r="F677" s="15">
        <f t="shared" si="49"/>
        <v>43271</v>
      </c>
      <c r="G677" s="12">
        <f t="shared" si="50"/>
        <v>2018</v>
      </c>
      <c r="H677" s="12" t="str">
        <f t="shared" si="51"/>
        <v>Junho</v>
      </c>
      <c r="I677" s="11">
        <f>INDEX(tbCadastroConsultas[],MATCH(tbConsultas[[#This Row],[PROFISSIONAL]],tbCadastroConsultas[PROFISSIONAL],0),3)</f>
        <v>301010030</v>
      </c>
      <c r="J677" s="11">
        <f>INDEX(tbCadastroConsultas[],MATCH(tbConsultas[[#This Row],[PROFISSIONAL]],tbCadastroConsultas[PROFISSIONAL],0),4)</f>
        <v>223505</v>
      </c>
    </row>
    <row r="678" spans="1:10">
      <c r="A678" s="11">
        <f t="shared" si="52"/>
        <v>677</v>
      </c>
      <c r="B678" s="4" t="s">
        <v>2</v>
      </c>
      <c r="C678" s="5">
        <v>1071970</v>
      </c>
      <c r="D678" s="5">
        <v>21052018</v>
      </c>
      <c r="E678" s="4">
        <v>47</v>
      </c>
      <c r="F678" s="15">
        <f t="shared" si="49"/>
        <v>43271</v>
      </c>
      <c r="G678" s="12">
        <f t="shared" si="50"/>
        <v>2018</v>
      </c>
      <c r="H678" s="12" t="str">
        <f t="shared" si="51"/>
        <v>Junho</v>
      </c>
      <c r="I678" s="11">
        <f>INDEX(tbCadastroConsultas[],MATCH(tbConsultas[[#This Row],[PROFISSIONAL]],tbCadastroConsultas[PROFISSIONAL],0),3)</f>
        <v>301010030</v>
      </c>
      <c r="J678" s="11">
        <f>INDEX(tbCadastroConsultas[],MATCH(tbConsultas[[#This Row],[PROFISSIONAL]],tbCadastroConsultas[PROFISSIONAL],0),4)</f>
        <v>223505</v>
      </c>
    </row>
    <row r="679" spans="1:10">
      <c r="A679" s="11">
        <f t="shared" si="52"/>
        <v>678</v>
      </c>
      <c r="B679" s="4" t="s">
        <v>2</v>
      </c>
      <c r="C679" s="5">
        <v>18011996</v>
      </c>
      <c r="D679" s="5">
        <v>21052018</v>
      </c>
      <c r="E679" s="4">
        <v>22</v>
      </c>
      <c r="F679" s="15">
        <f t="shared" si="49"/>
        <v>43271</v>
      </c>
      <c r="G679" s="12">
        <f t="shared" si="50"/>
        <v>2018</v>
      </c>
      <c r="H679" s="12" t="str">
        <f t="shared" si="51"/>
        <v>Junho</v>
      </c>
      <c r="I679" s="11">
        <f>INDEX(tbCadastroConsultas[],MATCH(tbConsultas[[#This Row],[PROFISSIONAL]],tbCadastroConsultas[PROFISSIONAL],0),3)</f>
        <v>301010030</v>
      </c>
      <c r="J679" s="11">
        <f>INDEX(tbCadastroConsultas[],MATCH(tbConsultas[[#This Row],[PROFISSIONAL]],tbCadastroConsultas[PROFISSIONAL],0),4)</f>
        <v>223505</v>
      </c>
    </row>
    <row r="680" spans="1:10">
      <c r="A680" s="11">
        <f t="shared" si="52"/>
        <v>679</v>
      </c>
      <c r="B680" s="4" t="s">
        <v>3</v>
      </c>
      <c r="C680" s="5">
        <v>12041997</v>
      </c>
      <c r="D680" s="5">
        <v>21052018</v>
      </c>
      <c r="E680" s="4">
        <v>21</v>
      </c>
      <c r="F680" s="15">
        <f t="shared" si="49"/>
        <v>43271</v>
      </c>
      <c r="G680" s="12">
        <f t="shared" si="50"/>
        <v>2018</v>
      </c>
      <c r="H680" s="12" t="str">
        <f t="shared" si="51"/>
        <v>Junho</v>
      </c>
      <c r="I680" s="11">
        <f>INDEX(tbCadastroConsultas[],MATCH(tbConsultas[[#This Row],[PROFISSIONAL]],tbCadastroConsultas[PROFISSIONAL],0),3)</f>
        <v>301010110</v>
      </c>
      <c r="J680" s="11">
        <f>INDEX(tbCadastroConsultas[],MATCH(tbConsultas[[#This Row],[PROFISSIONAL]],tbCadastroConsultas[PROFISSIONAL],0),4)</f>
        <v>225250</v>
      </c>
    </row>
    <row r="681" spans="1:10">
      <c r="A681" s="11">
        <f t="shared" si="52"/>
        <v>680</v>
      </c>
      <c r="B681" s="4" t="s">
        <v>2</v>
      </c>
      <c r="C681" s="5">
        <v>30041968</v>
      </c>
      <c r="D681" s="5">
        <v>21052018</v>
      </c>
      <c r="E681" s="4">
        <v>50</v>
      </c>
      <c r="F681" s="15">
        <f t="shared" si="49"/>
        <v>43271</v>
      </c>
      <c r="G681" s="12">
        <f t="shared" si="50"/>
        <v>2018</v>
      </c>
      <c r="H681" s="12" t="str">
        <f t="shared" si="51"/>
        <v>Junho</v>
      </c>
      <c r="I681" s="11">
        <f>INDEX(tbCadastroConsultas[],MATCH(tbConsultas[[#This Row],[PROFISSIONAL]],tbCadastroConsultas[PROFISSIONAL],0),3)</f>
        <v>301010030</v>
      </c>
      <c r="J681" s="11">
        <f>INDEX(tbCadastroConsultas[],MATCH(tbConsultas[[#This Row],[PROFISSIONAL]],tbCadastroConsultas[PROFISSIONAL],0),4)</f>
        <v>223505</v>
      </c>
    </row>
    <row r="682" spans="1:10">
      <c r="A682" s="11">
        <f t="shared" si="52"/>
        <v>681</v>
      </c>
      <c r="B682" s="4" t="s">
        <v>2</v>
      </c>
      <c r="C682" s="5">
        <v>31012002</v>
      </c>
      <c r="D682" s="5">
        <v>21052018</v>
      </c>
      <c r="E682" s="4">
        <v>16</v>
      </c>
      <c r="F682" s="15">
        <f t="shared" si="49"/>
        <v>43271</v>
      </c>
      <c r="G682" s="12">
        <f t="shared" si="50"/>
        <v>2018</v>
      </c>
      <c r="H682" s="12" t="str">
        <f t="shared" si="51"/>
        <v>Junho</v>
      </c>
      <c r="I682" s="11">
        <f>INDEX(tbCadastroConsultas[],MATCH(tbConsultas[[#This Row],[PROFISSIONAL]],tbCadastroConsultas[PROFISSIONAL],0),3)</f>
        <v>301010030</v>
      </c>
      <c r="J682" s="11">
        <f>INDEX(tbCadastroConsultas[],MATCH(tbConsultas[[#This Row],[PROFISSIONAL]],tbCadastroConsultas[PROFISSIONAL],0),4)</f>
        <v>223505</v>
      </c>
    </row>
    <row r="683" spans="1:10">
      <c r="A683" s="11">
        <f t="shared" si="52"/>
        <v>682</v>
      </c>
      <c r="B683" s="4" t="s">
        <v>2</v>
      </c>
      <c r="C683" s="5">
        <v>6051942</v>
      </c>
      <c r="D683" s="5">
        <v>21052018</v>
      </c>
      <c r="E683" s="4">
        <v>76</v>
      </c>
      <c r="F683" s="15">
        <f t="shared" si="49"/>
        <v>43271</v>
      </c>
      <c r="G683" s="12">
        <f t="shared" si="50"/>
        <v>2018</v>
      </c>
      <c r="H683" s="12" t="str">
        <f t="shared" si="51"/>
        <v>Junho</v>
      </c>
      <c r="I683" s="11">
        <f>INDEX(tbCadastroConsultas[],MATCH(tbConsultas[[#This Row],[PROFISSIONAL]],tbCadastroConsultas[PROFISSIONAL],0),3)</f>
        <v>301010030</v>
      </c>
      <c r="J683" s="11">
        <f>INDEX(tbCadastroConsultas[],MATCH(tbConsultas[[#This Row],[PROFISSIONAL]],tbCadastroConsultas[PROFISSIONAL],0),4)</f>
        <v>223505</v>
      </c>
    </row>
    <row r="684" spans="1:10">
      <c r="A684" s="11">
        <f t="shared" si="52"/>
        <v>683</v>
      </c>
      <c r="B684" s="4" t="s">
        <v>2</v>
      </c>
      <c r="C684" s="5">
        <v>17121983</v>
      </c>
      <c r="D684" s="5">
        <v>21052018</v>
      </c>
      <c r="E684" s="4">
        <v>34</v>
      </c>
      <c r="F684" s="15">
        <f t="shared" si="49"/>
        <v>43271</v>
      </c>
      <c r="G684" s="12">
        <f t="shared" si="50"/>
        <v>2018</v>
      </c>
      <c r="H684" s="12" t="str">
        <f t="shared" si="51"/>
        <v>Junho</v>
      </c>
      <c r="I684" s="11">
        <f>INDEX(tbCadastroConsultas[],MATCH(tbConsultas[[#This Row],[PROFISSIONAL]],tbCadastroConsultas[PROFISSIONAL],0),3)</f>
        <v>301010030</v>
      </c>
      <c r="J684" s="11">
        <f>INDEX(tbCadastroConsultas[],MATCH(tbConsultas[[#This Row],[PROFISSIONAL]],tbCadastroConsultas[PROFISSIONAL],0),4)</f>
        <v>223505</v>
      </c>
    </row>
    <row r="685" spans="1:10">
      <c r="A685" s="11">
        <f t="shared" si="52"/>
        <v>684</v>
      </c>
      <c r="B685" s="4" t="s">
        <v>2</v>
      </c>
      <c r="C685" s="5">
        <v>12031976</v>
      </c>
      <c r="D685" s="5">
        <v>21052018</v>
      </c>
      <c r="E685" s="4">
        <v>42</v>
      </c>
      <c r="F685" s="15">
        <f t="shared" si="49"/>
        <v>43271</v>
      </c>
      <c r="G685" s="12">
        <f t="shared" si="50"/>
        <v>2018</v>
      </c>
      <c r="H685" s="12" t="str">
        <f t="shared" si="51"/>
        <v>Junho</v>
      </c>
      <c r="I685" s="11">
        <f>INDEX(tbCadastroConsultas[],MATCH(tbConsultas[[#This Row],[PROFISSIONAL]],tbCadastroConsultas[PROFISSIONAL],0),3)</f>
        <v>301010030</v>
      </c>
      <c r="J685" s="11">
        <f>INDEX(tbCadastroConsultas[],MATCH(tbConsultas[[#This Row],[PROFISSIONAL]],tbCadastroConsultas[PROFISSIONAL],0),4)</f>
        <v>223505</v>
      </c>
    </row>
    <row r="686" spans="1:10">
      <c r="A686" s="11">
        <f t="shared" si="52"/>
        <v>685</v>
      </c>
      <c r="B686" s="4" t="s">
        <v>2</v>
      </c>
      <c r="C686" s="5">
        <v>11021957</v>
      </c>
      <c r="D686" s="5">
        <v>21052018</v>
      </c>
      <c r="E686" s="4">
        <v>61</v>
      </c>
      <c r="F686" s="15">
        <f t="shared" si="49"/>
        <v>43271</v>
      </c>
      <c r="G686" s="12">
        <f t="shared" si="50"/>
        <v>2018</v>
      </c>
      <c r="H686" s="12" t="str">
        <f t="shared" si="51"/>
        <v>Junho</v>
      </c>
      <c r="I686" s="11">
        <f>INDEX(tbCadastroConsultas[],MATCH(tbConsultas[[#This Row],[PROFISSIONAL]],tbCadastroConsultas[PROFISSIONAL],0),3)</f>
        <v>301010030</v>
      </c>
      <c r="J686" s="11">
        <f>INDEX(tbCadastroConsultas[],MATCH(tbConsultas[[#This Row],[PROFISSIONAL]],tbCadastroConsultas[PROFISSIONAL],0),4)</f>
        <v>223505</v>
      </c>
    </row>
    <row r="687" spans="1:10">
      <c r="A687" s="11">
        <f t="shared" si="52"/>
        <v>686</v>
      </c>
      <c r="B687" s="4" t="s">
        <v>2</v>
      </c>
      <c r="C687" s="5">
        <v>15092003</v>
      </c>
      <c r="D687" s="5">
        <v>21052018</v>
      </c>
      <c r="E687" s="4">
        <v>14</v>
      </c>
      <c r="F687" s="15">
        <f t="shared" si="49"/>
        <v>43271</v>
      </c>
      <c r="G687" s="12">
        <f t="shared" si="50"/>
        <v>2018</v>
      </c>
      <c r="H687" s="12" t="str">
        <f t="shared" si="51"/>
        <v>Junho</v>
      </c>
      <c r="I687" s="11">
        <f>INDEX(tbCadastroConsultas[],MATCH(tbConsultas[[#This Row],[PROFISSIONAL]],tbCadastroConsultas[PROFISSIONAL],0),3)</f>
        <v>301010030</v>
      </c>
      <c r="J687" s="11">
        <f>INDEX(tbCadastroConsultas[],MATCH(tbConsultas[[#This Row],[PROFISSIONAL]],tbCadastroConsultas[PROFISSIONAL],0),4)</f>
        <v>223505</v>
      </c>
    </row>
    <row r="688" spans="1:10">
      <c r="A688" s="11">
        <f t="shared" si="52"/>
        <v>687</v>
      </c>
      <c r="B688" s="4" t="s">
        <v>2</v>
      </c>
      <c r="C688" s="5">
        <v>8101948</v>
      </c>
      <c r="D688" s="5">
        <v>21052018</v>
      </c>
      <c r="E688" s="4">
        <v>69</v>
      </c>
      <c r="F688" s="15">
        <f t="shared" si="49"/>
        <v>43271</v>
      </c>
      <c r="G688" s="12">
        <f t="shared" si="50"/>
        <v>2018</v>
      </c>
      <c r="H688" s="12" t="str">
        <f t="shared" si="51"/>
        <v>Junho</v>
      </c>
      <c r="I688" s="11">
        <f>INDEX(tbCadastroConsultas[],MATCH(tbConsultas[[#This Row],[PROFISSIONAL]],tbCadastroConsultas[PROFISSIONAL],0),3)</f>
        <v>301010030</v>
      </c>
      <c r="J688" s="11">
        <f>INDEX(tbCadastroConsultas[],MATCH(tbConsultas[[#This Row],[PROFISSIONAL]],tbCadastroConsultas[PROFISSIONAL],0),4)</f>
        <v>223505</v>
      </c>
    </row>
    <row r="689" spans="1:10">
      <c r="A689" s="11">
        <f t="shared" si="52"/>
        <v>688</v>
      </c>
      <c r="B689" s="4" t="s">
        <v>2</v>
      </c>
      <c r="C689" s="5">
        <v>17041953</v>
      </c>
      <c r="D689" s="5">
        <v>21052018</v>
      </c>
      <c r="E689" s="4">
        <v>65</v>
      </c>
      <c r="F689" s="15">
        <f t="shared" si="49"/>
        <v>43271</v>
      </c>
      <c r="G689" s="12">
        <f t="shared" si="50"/>
        <v>2018</v>
      </c>
      <c r="H689" s="12" t="str">
        <f t="shared" si="51"/>
        <v>Junho</v>
      </c>
      <c r="I689" s="11">
        <f>INDEX(tbCadastroConsultas[],MATCH(tbConsultas[[#This Row],[PROFISSIONAL]],tbCadastroConsultas[PROFISSIONAL],0),3)</f>
        <v>301010030</v>
      </c>
      <c r="J689" s="11">
        <f>INDEX(tbCadastroConsultas[],MATCH(tbConsultas[[#This Row],[PROFISSIONAL]],tbCadastroConsultas[PROFISSIONAL],0),4)</f>
        <v>223505</v>
      </c>
    </row>
    <row r="690" spans="1:10">
      <c r="A690" s="11">
        <f t="shared" ref="A690:A721" si="53">ROW() -1</f>
        <v>689</v>
      </c>
      <c r="B690" s="4" t="s">
        <v>13</v>
      </c>
      <c r="C690" s="5">
        <v>14072014</v>
      </c>
      <c r="D690" s="5">
        <v>21052018</v>
      </c>
      <c r="E690" s="4">
        <v>3</v>
      </c>
      <c r="F690" s="15">
        <f t="shared" si="49"/>
        <v>43271</v>
      </c>
      <c r="G690" s="12">
        <f t="shared" si="50"/>
        <v>2018</v>
      </c>
      <c r="H690" s="12" t="str">
        <f t="shared" si="51"/>
        <v>Junho</v>
      </c>
      <c r="I690" s="11">
        <f>INDEX(tbCadastroConsultas[],MATCH(tbConsultas[[#This Row],[PROFISSIONAL]],tbCadastroConsultas[PROFISSIONAL],0),3)</f>
        <v>301010080</v>
      </c>
      <c r="J690" s="11">
        <f>INDEX(tbCadastroConsultas[],MATCH(tbConsultas[[#This Row],[PROFISSIONAL]],tbCadastroConsultas[PROFISSIONAL],0),4)</f>
        <v>225142</v>
      </c>
    </row>
    <row r="691" spans="1:10">
      <c r="A691" s="11">
        <f t="shared" si="53"/>
        <v>690</v>
      </c>
      <c r="B691" s="4" t="s">
        <v>13</v>
      </c>
      <c r="C691" s="5">
        <v>15022010</v>
      </c>
      <c r="D691" s="5">
        <v>21052018</v>
      </c>
      <c r="E691" s="4">
        <v>8</v>
      </c>
      <c r="F691" s="15">
        <f t="shared" si="49"/>
        <v>43271</v>
      </c>
      <c r="G691" s="12">
        <f t="shared" si="50"/>
        <v>2018</v>
      </c>
      <c r="H691" s="12" t="str">
        <f t="shared" si="51"/>
        <v>Junho</v>
      </c>
      <c r="I691" s="11">
        <f>INDEX(tbCadastroConsultas[],MATCH(tbConsultas[[#This Row],[PROFISSIONAL]],tbCadastroConsultas[PROFISSIONAL],0),3)</f>
        <v>301010080</v>
      </c>
      <c r="J691" s="11">
        <f>INDEX(tbCadastroConsultas[],MATCH(tbConsultas[[#This Row],[PROFISSIONAL]],tbCadastroConsultas[PROFISSIONAL],0),4)</f>
        <v>225142</v>
      </c>
    </row>
    <row r="692" spans="1:10">
      <c r="A692" s="11">
        <f t="shared" si="53"/>
        <v>691</v>
      </c>
      <c r="B692" s="4" t="s">
        <v>13</v>
      </c>
      <c r="C692" s="5">
        <v>6072016</v>
      </c>
      <c r="D692" s="5">
        <v>21052018</v>
      </c>
      <c r="E692" s="4">
        <v>1</v>
      </c>
      <c r="F692" s="15">
        <f t="shared" si="49"/>
        <v>43271</v>
      </c>
      <c r="G692" s="12">
        <f t="shared" si="50"/>
        <v>2018</v>
      </c>
      <c r="H692" s="12" t="str">
        <f t="shared" si="51"/>
        <v>Junho</v>
      </c>
      <c r="I692" s="11">
        <f>INDEX(tbCadastroConsultas[],MATCH(tbConsultas[[#This Row],[PROFISSIONAL]],tbCadastroConsultas[PROFISSIONAL],0),3)</f>
        <v>301010080</v>
      </c>
      <c r="J692" s="11">
        <f>INDEX(tbCadastroConsultas[],MATCH(tbConsultas[[#This Row],[PROFISSIONAL]],tbCadastroConsultas[PROFISSIONAL],0),4)</f>
        <v>225142</v>
      </c>
    </row>
    <row r="693" spans="1:10">
      <c r="A693" s="11">
        <f t="shared" si="53"/>
        <v>692</v>
      </c>
      <c r="B693" s="4" t="s">
        <v>13</v>
      </c>
      <c r="C693" s="5">
        <v>22052011</v>
      </c>
      <c r="D693" s="5">
        <v>21052018</v>
      </c>
      <c r="E693" s="4">
        <v>7</v>
      </c>
      <c r="F693" s="15">
        <f t="shared" si="49"/>
        <v>43271</v>
      </c>
      <c r="G693" s="12">
        <f t="shared" si="50"/>
        <v>2018</v>
      </c>
      <c r="H693" s="12" t="str">
        <f t="shared" si="51"/>
        <v>Junho</v>
      </c>
      <c r="I693" s="11">
        <f>INDEX(tbCadastroConsultas[],MATCH(tbConsultas[[#This Row],[PROFISSIONAL]],tbCadastroConsultas[PROFISSIONAL],0),3)</f>
        <v>301010080</v>
      </c>
      <c r="J693" s="11">
        <f>INDEX(tbCadastroConsultas[],MATCH(tbConsultas[[#This Row],[PROFISSIONAL]],tbCadastroConsultas[PROFISSIONAL],0),4)</f>
        <v>225142</v>
      </c>
    </row>
    <row r="694" spans="1:10">
      <c r="A694" s="11">
        <f t="shared" si="53"/>
        <v>693</v>
      </c>
      <c r="B694" s="4" t="s">
        <v>13</v>
      </c>
      <c r="C694" s="5">
        <v>6012009</v>
      </c>
      <c r="D694" s="5">
        <v>21052018</v>
      </c>
      <c r="E694" s="4">
        <v>9</v>
      </c>
      <c r="F694" s="15">
        <f t="shared" si="49"/>
        <v>43271</v>
      </c>
      <c r="G694" s="12">
        <f t="shared" si="50"/>
        <v>2018</v>
      </c>
      <c r="H694" s="12" t="str">
        <f t="shared" si="51"/>
        <v>Junho</v>
      </c>
      <c r="I694" s="11">
        <f>INDEX(tbCadastroConsultas[],MATCH(tbConsultas[[#This Row],[PROFISSIONAL]],tbCadastroConsultas[PROFISSIONAL],0),3)</f>
        <v>301010080</v>
      </c>
      <c r="J694" s="11">
        <f>INDEX(tbCadastroConsultas[],MATCH(tbConsultas[[#This Row],[PROFISSIONAL]],tbCadastroConsultas[PROFISSIONAL],0),4)</f>
        <v>225142</v>
      </c>
    </row>
    <row r="695" spans="1:10">
      <c r="A695" s="11">
        <f t="shared" si="53"/>
        <v>694</v>
      </c>
      <c r="B695" s="4" t="s">
        <v>10</v>
      </c>
      <c r="C695" s="5">
        <v>28081925</v>
      </c>
      <c r="D695" s="5">
        <v>21052018</v>
      </c>
      <c r="E695" s="4">
        <v>92</v>
      </c>
      <c r="F695" s="15">
        <f t="shared" si="49"/>
        <v>43271</v>
      </c>
      <c r="G695" s="12">
        <f t="shared" si="50"/>
        <v>2018</v>
      </c>
      <c r="H695" s="12" t="str">
        <f t="shared" si="51"/>
        <v>Junho</v>
      </c>
      <c r="I695" s="11">
        <f>INDEX(tbCadastroConsultas[],MATCH(tbConsultas[[#This Row],[PROFISSIONAL]],tbCadastroConsultas[PROFISSIONAL],0),3)</f>
        <v>301010064</v>
      </c>
      <c r="J695" s="11">
        <f>INDEX(tbCadastroConsultas[],MATCH(tbConsultas[[#This Row],[PROFISSIONAL]],tbCadastroConsultas[PROFISSIONAL],0),4)</f>
        <v>225142</v>
      </c>
    </row>
    <row r="696" spans="1:10">
      <c r="A696" s="11">
        <f t="shared" si="53"/>
        <v>695</v>
      </c>
      <c r="B696" s="4" t="s">
        <v>10</v>
      </c>
      <c r="C696" s="5">
        <v>7111983</v>
      </c>
      <c r="D696" s="5">
        <v>21052018</v>
      </c>
      <c r="E696" s="4">
        <v>34</v>
      </c>
      <c r="F696" s="15">
        <f t="shared" si="49"/>
        <v>43271</v>
      </c>
      <c r="G696" s="12">
        <f t="shared" si="50"/>
        <v>2018</v>
      </c>
      <c r="H696" s="12" t="str">
        <f t="shared" si="51"/>
        <v>Junho</v>
      </c>
      <c r="I696" s="11">
        <f>INDEX(tbCadastroConsultas[],MATCH(tbConsultas[[#This Row],[PROFISSIONAL]],tbCadastroConsultas[PROFISSIONAL],0),3)</f>
        <v>301010064</v>
      </c>
      <c r="J696" s="11">
        <f>INDEX(tbCadastroConsultas[],MATCH(tbConsultas[[#This Row],[PROFISSIONAL]],tbCadastroConsultas[PROFISSIONAL],0),4)</f>
        <v>225142</v>
      </c>
    </row>
    <row r="697" spans="1:10">
      <c r="A697" s="11">
        <f t="shared" si="53"/>
        <v>696</v>
      </c>
      <c r="B697" s="4" t="s">
        <v>10</v>
      </c>
      <c r="C697" s="5">
        <v>16091964</v>
      </c>
      <c r="D697" s="5">
        <v>21052018</v>
      </c>
      <c r="E697" s="4">
        <v>53</v>
      </c>
      <c r="F697" s="15">
        <f t="shared" si="49"/>
        <v>43271</v>
      </c>
      <c r="G697" s="12">
        <f t="shared" si="50"/>
        <v>2018</v>
      </c>
      <c r="H697" s="12" t="str">
        <f t="shared" si="51"/>
        <v>Junho</v>
      </c>
      <c r="I697" s="11">
        <f>INDEX(tbCadastroConsultas[],MATCH(tbConsultas[[#This Row],[PROFISSIONAL]],tbCadastroConsultas[PROFISSIONAL],0),3)</f>
        <v>301010064</v>
      </c>
      <c r="J697" s="11">
        <f>INDEX(tbCadastroConsultas[],MATCH(tbConsultas[[#This Row],[PROFISSIONAL]],tbCadastroConsultas[PROFISSIONAL],0),4)</f>
        <v>225142</v>
      </c>
    </row>
    <row r="698" spans="1:10">
      <c r="A698" s="11">
        <f t="shared" si="53"/>
        <v>697</v>
      </c>
      <c r="B698" s="4" t="s">
        <v>10</v>
      </c>
      <c r="C698" s="5">
        <v>5031964</v>
      </c>
      <c r="D698" s="5">
        <v>21052018</v>
      </c>
      <c r="E698" s="4">
        <v>54</v>
      </c>
      <c r="F698" s="15">
        <f t="shared" si="49"/>
        <v>43271</v>
      </c>
      <c r="G698" s="12">
        <f t="shared" si="50"/>
        <v>2018</v>
      </c>
      <c r="H698" s="12" t="str">
        <f t="shared" si="51"/>
        <v>Junho</v>
      </c>
      <c r="I698" s="11">
        <f>INDEX(tbCadastroConsultas[],MATCH(tbConsultas[[#This Row],[PROFISSIONAL]],tbCadastroConsultas[PROFISSIONAL],0),3)</f>
        <v>301010064</v>
      </c>
      <c r="J698" s="11">
        <f>INDEX(tbCadastroConsultas[],MATCH(tbConsultas[[#This Row],[PROFISSIONAL]],tbCadastroConsultas[PROFISSIONAL],0),4)</f>
        <v>225142</v>
      </c>
    </row>
    <row r="699" spans="1:10">
      <c r="A699" s="11">
        <f t="shared" si="53"/>
        <v>698</v>
      </c>
      <c r="B699" s="4" t="s">
        <v>12</v>
      </c>
      <c r="C699" s="5">
        <v>20081988</v>
      </c>
      <c r="D699" s="5">
        <v>21052018</v>
      </c>
      <c r="E699" s="4">
        <v>29</v>
      </c>
      <c r="F699" s="15">
        <f t="shared" si="49"/>
        <v>43271</v>
      </c>
      <c r="G699" s="12">
        <f t="shared" si="50"/>
        <v>2018</v>
      </c>
      <c r="H699" s="12" t="str">
        <f t="shared" si="51"/>
        <v>Junho</v>
      </c>
      <c r="I699" s="11">
        <f>INDEX(tbCadastroConsultas[],MATCH(tbConsultas[[#This Row],[PROFISSIONAL]],tbCadastroConsultas[PROFISSIONAL],0),3)</f>
        <v>301010030</v>
      </c>
      <c r="J699" s="11">
        <f>INDEX(tbCadastroConsultas[],MATCH(tbConsultas[[#This Row],[PROFISSIONAL]],tbCadastroConsultas[PROFISSIONAL],0),4)</f>
        <v>223710</v>
      </c>
    </row>
    <row r="700" spans="1:10">
      <c r="A700" s="11">
        <f t="shared" si="53"/>
        <v>699</v>
      </c>
      <c r="B700" s="4" t="s">
        <v>12</v>
      </c>
      <c r="C700" s="5">
        <v>23022016</v>
      </c>
      <c r="D700" s="5">
        <v>21052018</v>
      </c>
      <c r="E700" s="4">
        <v>2</v>
      </c>
      <c r="F700" s="15">
        <f t="shared" si="49"/>
        <v>43271</v>
      </c>
      <c r="G700" s="12">
        <f t="shared" si="50"/>
        <v>2018</v>
      </c>
      <c r="H700" s="12" t="str">
        <f t="shared" si="51"/>
        <v>Junho</v>
      </c>
      <c r="I700" s="11">
        <f>INDEX(tbCadastroConsultas[],MATCH(tbConsultas[[#This Row],[PROFISSIONAL]],tbCadastroConsultas[PROFISSIONAL],0),3)</f>
        <v>301010030</v>
      </c>
      <c r="J700" s="11">
        <f>INDEX(tbCadastroConsultas[],MATCH(tbConsultas[[#This Row],[PROFISSIONAL]],tbCadastroConsultas[PROFISSIONAL],0),4)</f>
        <v>223710</v>
      </c>
    </row>
    <row r="701" spans="1:10">
      <c r="A701" s="11">
        <f t="shared" si="53"/>
        <v>700</v>
      </c>
      <c r="B701" s="4" t="s">
        <v>12</v>
      </c>
      <c r="C701" s="5">
        <v>7021970</v>
      </c>
      <c r="D701" s="5">
        <v>21052018</v>
      </c>
      <c r="E701" s="4">
        <v>48</v>
      </c>
      <c r="F701" s="15">
        <f t="shared" si="49"/>
        <v>43271</v>
      </c>
      <c r="G701" s="12">
        <f t="shared" si="50"/>
        <v>2018</v>
      </c>
      <c r="H701" s="12" t="str">
        <f t="shared" si="51"/>
        <v>Junho</v>
      </c>
      <c r="I701" s="11">
        <f>INDEX(tbCadastroConsultas[],MATCH(tbConsultas[[#This Row],[PROFISSIONAL]],tbCadastroConsultas[PROFISSIONAL],0),3)</f>
        <v>301010030</v>
      </c>
      <c r="J701" s="11">
        <f>INDEX(tbCadastroConsultas[],MATCH(tbConsultas[[#This Row],[PROFISSIONAL]],tbCadastroConsultas[PROFISSIONAL],0),4)</f>
        <v>223710</v>
      </c>
    </row>
    <row r="702" spans="1:10">
      <c r="A702" s="11">
        <f t="shared" si="53"/>
        <v>701</v>
      </c>
      <c r="B702" s="4" t="s">
        <v>12</v>
      </c>
      <c r="C702" s="5">
        <v>25021964</v>
      </c>
      <c r="D702" s="5">
        <v>21052018</v>
      </c>
      <c r="E702" s="4">
        <v>54</v>
      </c>
      <c r="F702" s="15">
        <f t="shared" si="49"/>
        <v>43271</v>
      </c>
      <c r="G702" s="12">
        <f t="shared" si="50"/>
        <v>2018</v>
      </c>
      <c r="H702" s="12" t="str">
        <f t="shared" si="51"/>
        <v>Junho</v>
      </c>
      <c r="I702" s="11">
        <f>INDEX(tbCadastroConsultas[],MATCH(tbConsultas[[#This Row],[PROFISSIONAL]],tbCadastroConsultas[PROFISSIONAL],0),3)</f>
        <v>301010030</v>
      </c>
      <c r="J702" s="11">
        <f>INDEX(tbCadastroConsultas[],MATCH(tbConsultas[[#This Row],[PROFISSIONAL]],tbCadastroConsultas[PROFISSIONAL],0),4)</f>
        <v>223710</v>
      </c>
    </row>
    <row r="703" spans="1:10">
      <c r="A703" s="11">
        <f t="shared" si="53"/>
        <v>702</v>
      </c>
      <c r="B703" s="4" t="s">
        <v>12</v>
      </c>
      <c r="C703" s="5">
        <v>26032014</v>
      </c>
      <c r="D703" s="5">
        <v>21052018</v>
      </c>
      <c r="E703" s="4">
        <v>4</v>
      </c>
      <c r="F703" s="15">
        <f t="shared" si="49"/>
        <v>43271</v>
      </c>
      <c r="G703" s="12">
        <f t="shared" si="50"/>
        <v>2018</v>
      </c>
      <c r="H703" s="12" t="str">
        <f t="shared" si="51"/>
        <v>Junho</v>
      </c>
      <c r="I703" s="11">
        <f>INDEX(tbCadastroConsultas[],MATCH(tbConsultas[[#This Row],[PROFISSIONAL]],tbCadastroConsultas[PROFISSIONAL],0),3)</f>
        <v>301010030</v>
      </c>
      <c r="J703" s="11">
        <f>INDEX(tbCadastroConsultas[],MATCH(tbConsultas[[#This Row],[PROFISSIONAL]],tbCadastroConsultas[PROFISSIONAL],0),4)</f>
        <v>223710</v>
      </c>
    </row>
    <row r="704" spans="1:10">
      <c r="A704" s="11">
        <f t="shared" si="53"/>
        <v>703</v>
      </c>
      <c r="B704" s="4" t="s">
        <v>12</v>
      </c>
      <c r="C704" s="5">
        <v>8052007</v>
      </c>
      <c r="D704" s="5">
        <v>21052018</v>
      </c>
      <c r="E704" s="4">
        <v>11</v>
      </c>
      <c r="F704" s="15">
        <f t="shared" si="49"/>
        <v>43271</v>
      </c>
      <c r="G704" s="12">
        <f t="shared" si="50"/>
        <v>2018</v>
      </c>
      <c r="H704" s="12" t="str">
        <f t="shared" si="51"/>
        <v>Junho</v>
      </c>
      <c r="I704" s="11">
        <f>INDEX(tbCadastroConsultas[],MATCH(tbConsultas[[#This Row],[PROFISSIONAL]],tbCadastroConsultas[PROFISSIONAL],0),3)</f>
        <v>301010030</v>
      </c>
      <c r="J704" s="11">
        <f>INDEX(tbCadastroConsultas[],MATCH(tbConsultas[[#This Row],[PROFISSIONAL]],tbCadastroConsultas[PROFISSIONAL],0),4)</f>
        <v>223710</v>
      </c>
    </row>
    <row r="705" spans="1:10">
      <c r="A705" s="11">
        <f t="shared" si="53"/>
        <v>704</v>
      </c>
      <c r="B705" s="4" t="s">
        <v>12</v>
      </c>
      <c r="C705" s="5">
        <v>26101967</v>
      </c>
      <c r="D705" s="5">
        <v>21052018</v>
      </c>
      <c r="E705" s="4">
        <v>50</v>
      </c>
      <c r="F705" s="15">
        <f t="shared" si="49"/>
        <v>43271</v>
      </c>
      <c r="G705" s="12">
        <f t="shared" si="50"/>
        <v>2018</v>
      </c>
      <c r="H705" s="12" t="str">
        <f t="shared" si="51"/>
        <v>Junho</v>
      </c>
      <c r="I705" s="11">
        <f>INDEX(tbCadastroConsultas[],MATCH(tbConsultas[[#This Row],[PROFISSIONAL]],tbCadastroConsultas[PROFISSIONAL],0),3)</f>
        <v>301010030</v>
      </c>
      <c r="J705" s="11">
        <f>INDEX(tbCadastroConsultas[],MATCH(tbConsultas[[#This Row],[PROFISSIONAL]],tbCadastroConsultas[PROFISSIONAL],0),4)</f>
        <v>223710</v>
      </c>
    </row>
    <row r="706" spans="1:10">
      <c r="A706" s="11">
        <f t="shared" si="53"/>
        <v>705</v>
      </c>
      <c r="B706" s="4" t="s">
        <v>12</v>
      </c>
      <c r="C706" s="5">
        <v>18052002</v>
      </c>
      <c r="D706" s="5">
        <v>21052018</v>
      </c>
      <c r="E706" s="4">
        <v>16</v>
      </c>
      <c r="F706" s="15">
        <f t="shared" ref="F706:F769" si="54">IF(D706="","",DATE(YEAR(TEXT(D706,"00\/00\/0000")),MONTH(TEXT(D706,"00\/00\/0000"))+1,20))</f>
        <v>43271</v>
      </c>
      <c r="G706" s="12">
        <f t="shared" ref="G706:G769" si="55">IF(F706="","",YEAR(F706))</f>
        <v>2018</v>
      </c>
      <c r="H706" s="12" t="str">
        <f t="shared" ref="H706:H769" si="56">PROPER(TEXT(F706,"mmmm"))</f>
        <v>Junho</v>
      </c>
      <c r="I706" s="11">
        <f>INDEX(tbCadastroConsultas[],MATCH(tbConsultas[[#This Row],[PROFISSIONAL]],tbCadastroConsultas[PROFISSIONAL],0),3)</f>
        <v>301010030</v>
      </c>
      <c r="J706" s="11">
        <f>INDEX(tbCadastroConsultas[],MATCH(tbConsultas[[#This Row],[PROFISSIONAL]],tbCadastroConsultas[PROFISSIONAL],0),4)</f>
        <v>223710</v>
      </c>
    </row>
    <row r="707" spans="1:10">
      <c r="A707" s="11">
        <f t="shared" si="53"/>
        <v>706</v>
      </c>
      <c r="B707" s="4" t="s">
        <v>12</v>
      </c>
      <c r="C707" s="5">
        <v>17101986</v>
      </c>
      <c r="D707" s="5">
        <v>21052018</v>
      </c>
      <c r="E707" s="4">
        <v>31</v>
      </c>
      <c r="F707" s="15">
        <f t="shared" si="54"/>
        <v>43271</v>
      </c>
      <c r="G707" s="12">
        <f t="shared" si="55"/>
        <v>2018</v>
      </c>
      <c r="H707" s="12" t="str">
        <f t="shared" si="56"/>
        <v>Junho</v>
      </c>
      <c r="I707" s="11">
        <f>INDEX(tbCadastroConsultas[],MATCH(tbConsultas[[#This Row],[PROFISSIONAL]],tbCadastroConsultas[PROFISSIONAL],0),3)</f>
        <v>301010030</v>
      </c>
      <c r="J707" s="11">
        <f>INDEX(tbCadastroConsultas[],MATCH(tbConsultas[[#This Row],[PROFISSIONAL]],tbCadastroConsultas[PROFISSIONAL],0),4)</f>
        <v>223710</v>
      </c>
    </row>
    <row r="708" spans="1:10">
      <c r="A708" s="11">
        <f t="shared" si="53"/>
        <v>707</v>
      </c>
      <c r="B708" s="4" t="s">
        <v>0</v>
      </c>
      <c r="C708" s="5">
        <v>1042018</v>
      </c>
      <c r="D708" s="5">
        <v>21052018</v>
      </c>
      <c r="E708" s="4">
        <v>0</v>
      </c>
      <c r="F708" s="15">
        <f t="shared" si="54"/>
        <v>43271</v>
      </c>
      <c r="G708" s="12">
        <f t="shared" si="55"/>
        <v>2018</v>
      </c>
      <c r="H708" s="12" t="str">
        <f t="shared" si="56"/>
        <v>Junho</v>
      </c>
      <c r="I708" s="11">
        <f>INDEX(tbCadastroConsultas[],MATCH(tbConsultas[[#This Row],[PROFISSIONAL]],tbCadastroConsultas[PROFISSIONAL],0),3)</f>
        <v>301010080</v>
      </c>
      <c r="J708" s="11">
        <f>INDEX(tbCadastroConsultas[],MATCH(tbConsultas[[#This Row],[PROFISSIONAL]],tbCadastroConsultas[PROFISSIONAL],0),4)</f>
        <v>225124</v>
      </c>
    </row>
    <row r="709" spans="1:10">
      <c r="A709" s="11">
        <f t="shared" si="53"/>
        <v>708</v>
      </c>
      <c r="B709" s="4" t="s">
        <v>0</v>
      </c>
      <c r="C709" s="5">
        <v>19092016</v>
      </c>
      <c r="D709" s="5">
        <v>21052018</v>
      </c>
      <c r="E709" s="4">
        <v>1</v>
      </c>
      <c r="F709" s="15">
        <f t="shared" si="54"/>
        <v>43271</v>
      </c>
      <c r="G709" s="12">
        <f t="shared" si="55"/>
        <v>2018</v>
      </c>
      <c r="H709" s="12" t="str">
        <f t="shared" si="56"/>
        <v>Junho</v>
      </c>
      <c r="I709" s="11">
        <f>INDEX(tbCadastroConsultas[],MATCH(tbConsultas[[#This Row],[PROFISSIONAL]],tbCadastroConsultas[PROFISSIONAL],0),3)</f>
        <v>301010080</v>
      </c>
      <c r="J709" s="11">
        <f>INDEX(tbCadastroConsultas[],MATCH(tbConsultas[[#This Row],[PROFISSIONAL]],tbCadastroConsultas[PROFISSIONAL],0),4)</f>
        <v>225124</v>
      </c>
    </row>
    <row r="710" spans="1:10">
      <c r="A710" s="11">
        <f t="shared" si="53"/>
        <v>709</v>
      </c>
      <c r="B710" s="4" t="s">
        <v>0</v>
      </c>
      <c r="C710" s="5">
        <v>26092016</v>
      </c>
      <c r="D710" s="5">
        <v>21052018</v>
      </c>
      <c r="E710" s="4">
        <v>1</v>
      </c>
      <c r="F710" s="15">
        <f t="shared" si="54"/>
        <v>43271</v>
      </c>
      <c r="G710" s="12">
        <f t="shared" si="55"/>
        <v>2018</v>
      </c>
      <c r="H710" s="12" t="str">
        <f t="shared" si="56"/>
        <v>Junho</v>
      </c>
      <c r="I710" s="11">
        <f>INDEX(tbCadastroConsultas[],MATCH(tbConsultas[[#This Row],[PROFISSIONAL]],tbCadastroConsultas[PROFISSIONAL],0),3)</f>
        <v>301010080</v>
      </c>
      <c r="J710" s="11">
        <f>INDEX(tbCadastroConsultas[],MATCH(tbConsultas[[#This Row],[PROFISSIONAL]],tbCadastroConsultas[PROFISSIONAL],0),4)</f>
        <v>225124</v>
      </c>
    </row>
    <row r="711" spans="1:10">
      <c r="A711" s="11">
        <f t="shared" si="53"/>
        <v>710</v>
      </c>
      <c r="B711" s="4" t="s">
        <v>7</v>
      </c>
      <c r="C711" s="5">
        <v>17112016</v>
      </c>
      <c r="D711" s="5">
        <v>21052018</v>
      </c>
      <c r="E711" s="4">
        <v>1</v>
      </c>
      <c r="F711" s="15">
        <f t="shared" si="54"/>
        <v>43271</v>
      </c>
      <c r="G711" s="12">
        <f t="shared" si="55"/>
        <v>2018</v>
      </c>
      <c r="H711" s="12" t="str">
        <f t="shared" si="56"/>
        <v>Junho</v>
      </c>
      <c r="I711" s="11">
        <f>INDEX(tbCadastroConsultas[],MATCH(tbConsultas[[#This Row],[PROFISSIONAL]],tbCadastroConsultas[PROFISSIONAL],0),3)</f>
        <v>301010064</v>
      </c>
      <c r="J711" s="11">
        <f>INDEX(tbCadastroConsultas[],MATCH(tbConsultas[[#This Row],[PROFISSIONAL]],tbCadastroConsultas[PROFISSIONAL],0),4)</f>
        <v>225124</v>
      </c>
    </row>
    <row r="712" spans="1:10">
      <c r="A712" s="11">
        <f t="shared" si="53"/>
        <v>711</v>
      </c>
      <c r="B712" s="4" t="s">
        <v>7</v>
      </c>
      <c r="C712" s="5">
        <v>30012011</v>
      </c>
      <c r="D712" s="5">
        <v>21052018</v>
      </c>
      <c r="E712" s="4">
        <v>7</v>
      </c>
      <c r="F712" s="15">
        <f t="shared" si="54"/>
        <v>43271</v>
      </c>
      <c r="G712" s="12">
        <f t="shared" si="55"/>
        <v>2018</v>
      </c>
      <c r="H712" s="12" t="str">
        <f t="shared" si="56"/>
        <v>Junho</v>
      </c>
      <c r="I712" s="11">
        <f>INDEX(tbCadastroConsultas[],MATCH(tbConsultas[[#This Row],[PROFISSIONAL]],tbCadastroConsultas[PROFISSIONAL],0),3)</f>
        <v>301010064</v>
      </c>
      <c r="J712" s="11">
        <f>INDEX(tbCadastroConsultas[],MATCH(tbConsultas[[#This Row],[PROFISSIONAL]],tbCadastroConsultas[PROFISSIONAL],0),4)</f>
        <v>225124</v>
      </c>
    </row>
    <row r="713" spans="1:10">
      <c r="A713" s="11">
        <f t="shared" si="53"/>
        <v>712</v>
      </c>
      <c r="B713" s="4" t="s">
        <v>7</v>
      </c>
      <c r="C713" s="5">
        <v>27092015</v>
      </c>
      <c r="D713" s="5">
        <v>21052018</v>
      </c>
      <c r="E713" s="4">
        <v>2</v>
      </c>
      <c r="F713" s="15">
        <f t="shared" si="54"/>
        <v>43271</v>
      </c>
      <c r="G713" s="12">
        <f t="shared" si="55"/>
        <v>2018</v>
      </c>
      <c r="H713" s="12" t="str">
        <f t="shared" si="56"/>
        <v>Junho</v>
      </c>
      <c r="I713" s="11">
        <f>INDEX(tbCadastroConsultas[],MATCH(tbConsultas[[#This Row],[PROFISSIONAL]],tbCadastroConsultas[PROFISSIONAL],0),3)</f>
        <v>301010064</v>
      </c>
      <c r="J713" s="11">
        <f>INDEX(tbCadastroConsultas[],MATCH(tbConsultas[[#This Row],[PROFISSIONAL]],tbCadastroConsultas[PROFISSIONAL],0),4)</f>
        <v>225124</v>
      </c>
    </row>
    <row r="714" spans="1:10">
      <c r="A714" s="11">
        <f t="shared" si="53"/>
        <v>713</v>
      </c>
      <c r="B714" s="4" t="s">
        <v>7</v>
      </c>
      <c r="C714" s="5">
        <v>8082012</v>
      </c>
      <c r="D714" s="5">
        <v>21052018</v>
      </c>
      <c r="E714" s="4">
        <v>5</v>
      </c>
      <c r="F714" s="15">
        <f t="shared" si="54"/>
        <v>43271</v>
      </c>
      <c r="G714" s="12">
        <f t="shared" si="55"/>
        <v>2018</v>
      </c>
      <c r="H714" s="12" t="str">
        <f t="shared" si="56"/>
        <v>Junho</v>
      </c>
      <c r="I714" s="11">
        <f>INDEX(tbCadastroConsultas[],MATCH(tbConsultas[[#This Row],[PROFISSIONAL]],tbCadastroConsultas[PROFISSIONAL],0),3)</f>
        <v>301010064</v>
      </c>
      <c r="J714" s="11">
        <f>INDEX(tbCadastroConsultas[],MATCH(tbConsultas[[#This Row],[PROFISSIONAL]],tbCadastroConsultas[PROFISSIONAL],0),4)</f>
        <v>225124</v>
      </c>
    </row>
    <row r="715" spans="1:10">
      <c r="A715" s="11">
        <f t="shared" si="53"/>
        <v>714</v>
      </c>
      <c r="B715" s="4" t="s">
        <v>7</v>
      </c>
      <c r="C715" s="5">
        <v>26032013</v>
      </c>
      <c r="D715" s="5">
        <v>21052018</v>
      </c>
      <c r="E715" s="4">
        <v>5</v>
      </c>
      <c r="F715" s="15">
        <f t="shared" si="54"/>
        <v>43271</v>
      </c>
      <c r="G715" s="12">
        <f t="shared" si="55"/>
        <v>2018</v>
      </c>
      <c r="H715" s="12" t="str">
        <f t="shared" si="56"/>
        <v>Junho</v>
      </c>
      <c r="I715" s="11">
        <f>INDEX(tbCadastroConsultas[],MATCH(tbConsultas[[#This Row],[PROFISSIONAL]],tbCadastroConsultas[PROFISSIONAL],0),3)</f>
        <v>301010064</v>
      </c>
      <c r="J715" s="11">
        <f>INDEX(tbCadastroConsultas[],MATCH(tbConsultas[[#This Row],[PROFISSIONAL]],tbCadastroConsultas[PROFISSIONAL],0),4)</f>
        <v>225124</v>
      </c>
    </row>
    <row r="716" spans="1:10">
      <c r="A716" s="11">
        <f t="shared" si="53"/>
        <v>715</v>
      </c>
      <c r="B716" s="4" t="s">
        <v>7</v>
      </c>
      <c r="C716" s="5">
        <v>1052013</v>
      </c>
      <c r="D716" s="5">
        <v>21052018</v>
      </c>
      <c r="E716" s="4">
        <v>5</v>
      </c>
      <c r="F716" s="15">
        <f t="shared" si="54"/>
        <v>43271</v>
      </c>
      <c r="G716" s="12">
        <f t="shared" si="55"/>
        <v>2018</v>
      </c>
      <c r="H716" s="12" t="str">
        <f t="shared" si="56"/>
        <v>Junho</v>
      </c>
      <c r="I716" s="11">
        <f>INDEX(tbCadastroConsultas[],MATCH(tbConsultas[[#This Row],[PROFISSIONAL]],tbCadastroConsultas[PROFISSIONAL],0),3)</f>
        <v>301010064</v>
      </c>
      <c r="J716" s="11">
        <f>INDEX(tbCadastroConsultas[],MATCH(tbConsultas[[#This Row],[PROFISSIONAL]],tbCadastroConsultas[PROFISSIONAL],0),4)</f>
        <v>225124</v>
      </c>
    </row>
    <row r="717" spans="1:10">
      <c r="A717" s="11">
        <f t="shared" si="53"/>
        <v>716</v>
      </c>
      <c r="B717" s="4" t="s">
        <v>7</v>
      </c>
      <c r="C717" s="5">
        <v>8042014</v>
      </c>
      <c r="D717" s="5">
        <v>21052018</v>
      </c>
      <c r="E717" s="4">
        <v>4</v>
      </c>
      <c r="F717" s="15">
        <f t="shared" si="54"/>
        <v>43271</v>
      </c>
      <c r="G717" s="12">
        <f t="shared" si="55"/>
        <v>2018</v>
      </c>
      <c r="H717" s="12" t="str">
        <f t="shared" si="56"/>
        <v>Junho</v>
      </c>
      <c r="I717" s="11">
        <f>INDEX(tbCadastroConsultas[],MATCH(tbConsultas[[#This Row],[PROFISSIONAL]],tbCadastroConsultas[PROFISSIONAL],0),3)</f>
        <v>301010064</v>
      </c>
      <c r="J717" s="11">
        <f>INDEX(tbCadastroConsultas[],MATCH(tbConsultas[[#This Row],[PROFISSIONAL]],tbCadastroConsultas[PROFISSIONAL],0),4)</f>
        <v>225124</v>
      </c>
    </row>
    <row r="718" spans="1:10">
      <c r="A718" s="11">
        <f t="shared" si="53"/>
        <v>717</v>
      </c>
      <c r="B718" s="4" t="s">
        <v>7</v>
      </c>
      <c r="C718" s="5">
        <v>1022007</v>
      </c>
      <c r="D718" s="5">
        <v>21052018</v>
      </c>
      <c r="E718" s="4">
        <v>11</v>
      </c>
      <c r="F718" s="15">
        <f t="shared" si="54"/>
        <v>43271</v>
      </c>
      <c r="G718" s="12">
        <f t="shared" si="55"/>
        <v>2018</v>
      </c>
      <c r="H718" s="12" t="str">
        <f t="shared" si="56"/>
        <v>Junho</v>
      </c>
      <c r="I718" s="11">
        <f>INDEX(tbCadastroConsultas[],MATCH(tbConsultas[[#This Row],[PROFISSIONAL]],tbCadastroConsultas[PROFISSIONAL],0),3)</f>
        <v>301010064</v>
      </c>
      <c r="J718" s="11">
        <f>INDEX(tbCadastroConsultas[],MATCH(tbConsultas[[#This Row],[PROFISSIONAL]],tbCadastroConsultas[PROFISSIONAL],0),4)</f>
        <v>225124</v>
      </c>
    </row>
    <row r="719" spans="1:10">
      <c r="A719" s="11">
        <f t="shared" si="53"/>
        <v>718</v>
      </c>
      <c r="B719" s="4" t="s">
        <v>7</v>
      </c>
      <c r="C719" s="5">
        <v>9112015</v>
      </c>
      <c r="D719" s="5">
        <v>21052018</v>
      </c>
      <c r="E719" s="4">
        <v>2</v>
      </c>
      <c r="F719" s="15">
        <f t="shared" si="54"/>
        <v>43271</v>
      </c>
      <c r="G719" s="12">
        <f t="shared" si="55"/>
        <v>2018</v>
      </c>
      <c r="H719" s="12" t="str">
        <f t="shared" si="56"/>
        <v>Junho</v>
      </c>
      <c r="I719" s="11">
        <f>INDEX(tbCadastroConsultas[],MATCH(tbConsultas[[#This Row],[PROFISSIONAL]],tbCadastroConsultas[PROFISSIONAL],0),3)</f>
        <v>301010064</v>
      </c>
      <c r="J719" s="11">
        <f>INDEX(tbCadastroConsultas[],MATCH(tbConsultas[[#This Row],[PROFISSIONAL]],tbCadastroConsultas[PROFISSIONAL],0),4)</f>
        <v>225124</v>
      </c>
    </row>
    <row r="720" spans="1:10">
      <c r="A720" s="11">
        <f t="shared" si="53"/>
        <v>719</v>
      </c>
      <c r="B720" s="4" t="s">
        <v>7</v>
      </c>
      <c r="C720" s="5">
        <v>28092011</v>
      </c>
      <c r="D720" s="5">
        <v>21052018</v>
      </c>
      <c r="E720" s="4">
        <v>6</v>
      </c>
      <c r="F720" s="15">
        <f t="shared" si="54"/>
        <v>43271</v>
      </c>
      <c r="G720" s="12">
        <f t="shared" si="55"/>
        <v>2018</v>
      </c>
      <c r="H720" s="12" t="str">
        <f t="shared" si="56"/>
        <v>Junho</v>
      </c>
      <c r="I720" s="11">
        <f>INDEX(tbCadastroConsultas[],MATCH(tbConsultas[[#This Row],[PROFISSIONAL]],tbCadastroConsultas[PROFISSIONAL],0),3)</f>
        <v>301010064</v>
      </c>
      <c r="J720" s="11">
        <f>INDEX(tbCadastroConsultas[],MATCH(tbConsultas[[#This Row],[PROFISSIONAL]],tbCadastroConsultas[PROFISSIONAL],0),4)</f>
        <v>225124</v>
      </c>
    </row>
    <row r="721" spans="1:10">
      <c r="A721" s="11">
        <f t="shared" si="53"/>
        <v>720</v>
      </c>
      <c r="B721" s="4" t="s">
        <v>7</v>
      </c>
      <c r="C721" s="5">
        <v>3062008</v>
      </c>
      <c r="D721" s="5">
        <v>21052018</v>
      </c>
      <c r="E721" s="4">
        <v>10</v>
      </c>
      <c r="F721" s="15">
        <f t="shared" si="54"/>
        <v>43271</v>
      </c>
      <c r="G721" s="12">
        <f t="shared" si="55"/>
        <v>2018</v>
      </c>
      <c r="H721" s="12" t="str">
        <f t="shared" si="56"/>
        <v>Junho</v>
      </c>
      <c r="I721" s="11">
        <f>INDEX(tbCadastroConsultas[],MATCH(tbConsultas[[#This Row],[PROFISSIONAL]],tbCadastroConsultas[PROFISSIONAL],0),3)</f>
        <v>301010064</v>
      </c>
      <c r="J721" s="11">
        <f>INDEX(tbCadastroConsultas[],MATCH(tbConsultas[[#This Row],[PROFISSIONAL]],tbCadastroConsultas[PROFISSIONAL],0),4)</f>
        <v>225124</v>
      </c>
    </row>
    <row r="722" spans="1:10">
      <c r="A722" s="11">
        <f t="shared" ref="A722:A753" si="57">ROW() -1</f>
        <v>721</v>
      </c>
      <c r="B722" s="4" t="s">
        <v>0</v>
      </c>
      <c r="C722" s="5">
        <v>24042018</v>
      </c>
      <c r="D722" s="5">
        <v>21052018</v>
      </c>
      <c r="E722" s="4">
        <v>0</v>
      </c>
      <c r="F722" s="15">
        <f t="shared" si="54"/>
        <v>43271</v>
      </c>
      <c r="G722" s="12">
        <f t="shared" si="55"/>
        <v>2018</v>
      </c>
      <c r="H722" s="12" t="str">
        <f t="shared" si="56"/>
        <v>Junho</v>
      </c>
      <c r="I722" s="11">
        <f>INDEX(tbCadastroConsultas[],MATCH(tbConsultas[[#This Row],[PROFISSIONAL]],tbCadastroConsultas[PROFISSIONAL],0),3)</f>
        <v>301010080</v>
      </c>
      <c r="J722" s="11">
        <f>INDEX(tbCadastroConsultas[],MATCH(tbConsultas[[#This Row],[PROFISSIONAL]],tbCadastroConsultas[PROFISSIONAL],0),4)</f>
        <v>225124</v>
      </c>
    </row>
    <row r="723" spans="1:10">
      <c r="A723" s="11">
        <f t="shared" si="57"/>
        <v>722</v>
      </c>
      <c r="B723" s="4" t="s">
        <v>0</v>
      </c>
      <c r="C723" s="5">
        <v>31012018</v>
      </c>
      <c r="D723" s="5">
        <v>21052018</v>
      </c>
      <c r="E723" s="4">
        <v>0</v>
      </c>
      <c r="F723" s="15">
        <f t="shared" si="54"/>
        <v>43271</v>
      </c>
      <c r="G723" s="12">
        <f t="shared" si="55"/>
        <v>2018</v>
      </c>
      <c r="H723" s="12" t="str">
        <f t="shared" si="56"/>
        <v>Junho</v>
      </c>
      <c r="I723" s="11">
        <f>INDEX(tbCadastroConsultas[],MATCH(tbConsultas[[#This Row],[PROFISSIONAL]],tbCadastroConsultas[PROFISSIONAL],0),3)</f>
        <v>301010080</v>
      </c>
      <c r="J723" s="11">
        <f>INDEX(tbCadastroConsultas[],MATCH(tbConsultas[[#This Row],[PROFISSIONAL]],tbCadastroConsultas[PROFISSIONAL],0),4)</f>
        <v>225124</v>
      </c>
    </row>
    <row r="724" spans="1:10">
      <c r="A724" s="11">
        <f t="shared" si="57"/>
        <v>723</v>
      </c>
      <c r="B724" s="4" t="s">
        <v>0</v>
      </c>
      <c r="C724" s="5">
        <v>23092017</v>
      </c>
      <c r="D724" s="5">
        <v>21052018</v>
      </c>
      <c r="E724" s="4">
        <v>0</v>
      </c>
      <c r="F724" s="15">
        <f t="shared" si="54"/>
        <v>43271</v>
      </c>
      <c r="G724" s="12">
        <f t="shared" si="55"/>
        <v>2018</v>
      </c>
      <c r="H724" s="12" t="str">
        <f t="shared" si="56"/>
        <v>Junho</v>
      </c>
      <c r="I724" s="11">
        <f>INDEX(tbCadastroConsultas[],MATCH(tbConsultas[[#This Row],[PROFISSIONAL]],tbCadastroConsultas[PROFISSIONAL],0),3)</f>
        <v>301010080</v>
      </c>
      <c r="J724" s="11">
        <f>INDEX(tbCadastroConsultas[],MATCH(tbConsultas[[#This Row],[PROFISSIONAL]],tbCadastroConsultas[PROFISSIONAL],0),4)</f>
        <v>225124</v>
      </c>
    </row>
    <row r="725" spans="1:10">
      <c r="A725" s="11">
        <f t="shared" si="57"/>
        <v>724</v>
      </c>
      <c r="B725" s="4" t="s">
        <v>0</v>
      </c>
      <c r="C725" s="5">
        <v>14032018</v>
      </c>
      <c r="D725" s="5">
        <v>21052018</v>
      </c>
      <c r="E725" s="4">
        <v>0</v>
      </c>
      <c r="F725" s="15">
        <f t="shared" si="54"/>
        <v>43271</v>
      </c>
      <c r="G725" s="12">
        <f t="shared" si="55"/>
        <v>2018</v>
      </c>
      <c r="H725" s="12" t="str">
        <f t="shared" si="56"/>
        <v>Junho</v>
      </c>
      <c r="I725" s="11">
        <f>INDEX(tbCadastroConsultas[],MATCH(tbConsultas[[#This Row],[PROFISSIONAL]],tbCadastroConsultas[PROFISSIONAL],0),3)</f>
        <v>301010080</v>
      </c>
      <c r="J725" s="11">
        <f>INDEX(tbCadastroConsultas[],MATCH(tbConsultas[[#This Row],[PROFISSIONAL]],tbCadastroConsultas[PROFISSIONAL],0),4)</f>
        <v>225124</v>
      </c>
    </row>
    <row r="726" spans="1:10">
      <c r="A726" s="11">
        <f t="shared" si="57"/>
        <v>725</v>
      </c>
      <c r="B726" s="4" t="s">
        <v>0</v>
      </c>
      <c r="C726" s="5">
        <v>4042018</v>
      </c>
      <c r="D726" s="5">
        <v>21052018</v>
      </c>
      <c r="E726" s="4">
        <v>0</v>
      </c>
      <c r="F726" s="15">
        <f t="shared" si="54"/>
        <v>43271</v>
      </c>
      <c r="G726" s="12">
        <f t="shared" si="55"/>
        <v>2018</v>
      </c>
      <c r="H726" s="12" t="str">
        <f t="shared" si="56"/>
        <v>Junho</v>
      </c>
      <c r="I726" s="11">
        <f>INDEX(tbCadastroConsultas[],MATCH(tbConsultas[[#This Row],[PROFISSIONAL]],tbCadastroConsultas[PROFISSIONAL],0),3)</f>
        <v>301010080</v>
      </c>
      <c r="J726" s="11">
        <f>INDEX(tbCadastroConsultas[],MATCH(tbConsultas[[#This Row],[PROFISSIONAL]],tbCadastroConsultas[PROFISSIONAL],0),4)</f>
        <v>225124</v>
      </c>
    </row>
    <row r="727" spans="1:10">
      <c r="A727" s="11">
        <f t="shared" si="57"/>
        <v>726</v>
      </c>
      <c r="B727" s="4" t="s">
        <v>0</v>
      </c>
      <c r="C727" s="5">
        <v>2072017</v>
      </c>
      <c r="D727" s="5">
        <v>21052018</v>
      </c>
      <c r="E727" s="4">
        <v>0</v>
      </c>
      <c r="F727" s="15">
        <f t="shared" si="54"/>
        <v>43271</v>
      </c>
      <c r="G727" s="12">
        <f t="shared" si="55"/>
        <v>2018</v>
      </c>
      <c r="H727" s="12" t="str">
        <f t="shared" si="56"/>
        <v>Junho</v>
      </c>
      <c r="I727" s="11">
        <f>INDEX(tbCadastroConsultas[],MATCH(tbConsultas[[#This Row],[PROFISSIONAL]],tbCadastroConsultas[PROFISSIONAL],0),3)</f>
        <v>301010080</v>
      </c>
      <c r="J727" s="11">
        <f>INDEX(tbCadastroConsultas[],MATCH(tbConsultas[[#This Row],[PROFISSIONAL]],tbCadastroConsultas[PROFISSIONAL],0),4)</f>
        <v>225124</v>
      </c>
    </row>
    <row r="728" spans="1:10">
      <c r="A728" s="11">
        <f t="shared" si="57"/>
        <v>727</v>
      </c>
      <c r="B728" s="4" t="s">
        <v>6</v>
      </c>
      <c r="C728" s="5">
        <v>17041952</v>
      </c>
      <c r="D728" s="5">
        <v>21052018</v>
      </c>
      <c r="E728" s="4">
        <v>66</v>
      </c>
      <c r="F728" s="15">
        <f t="shared" si="54"/>
        <v>43271</v>
      </c>
      <c r="G728" s="12">
        <f t="shared" si="55"/>
        <v>2018</v>
      </c>
      <c r="H728" s="12" t="str">
        <f t="shared" si="56"/>
        <v>Junho</v>
      </c>
      <c r="I728" s="11">
        <f>INDEX(tbCadastroConsultas[],MATCH(tbConsultas[[#This Row],[PROFISSIONAL]],tbCadastroConsultas[PROFISSIONAL],0),3)</f>
        <v>301010064</v>
      </c>
      <c r="J728" s="11">
        <f>INDEX(tbCadastroConsultas[],MATCH(tbConsultas[[#This Row],[PROFISSIONAL]],tbCadastroConsultas[PROFISSIONAL],0),4)</f>
        <v>225125</v>
      </c>
    </row>
    <row r="729" spans="1:10">
      <c r="A729" s="11">
        <f t="shared" si="57"/>
        <v>728</v>
      </c>
      <c r="B729" s="4" t="s">
        <v>6</v>
      </c>
      <c r="C729" s="5">
        <v>12061964</v>
      </c>
      <c r="D729" s="5">
        <v>21052018</v>
      </c>
      <c r="E729" s="4">
        <v>53</v>
      </c>
      <c r="F729" s="15">
        <f t="shared" si="54"/>
        <v>43271</v>
      </c>
      <c r="G729" s="12">
        <f t="shared" si="55"/>
        <v>2018</v>
      </c>
      <c r="H729" s="12" t="str">
        <f t="shared" si="56"/>
        <v>Junho</v>
      </c>
      <c r="I729" s="11">
        <f>INDEX(tbCadastroConsultas[],MATCH(tbConsultas[[#This Row],[PROFISSIONAL]],tbCadastroConsultas[PROFISSIONAL],0),3)</f>
        <v>301010064</v>
      </c>
      <c r="J729" s="11">
        <f>INDEX(tbCadastroConsultas[],MATCH(tbConsultas[[#This Row],[PROFISSIONAL]],tbCadastroConsultas[PROFISSIONAL],0),4)</f>
        <v>225125</v>
      </c>
    </row>
    <row r="730" spans="1:10">
      <c r="A730" s="11">
        <f t="shared" si="57"/>
        <v>729</v>
      </c>
      <c r="B730" s="4" t="s">
        <v>6</v>
      </c>
      <c r="C730" s="5">
        <v>30111949</v>
      </c>
      <c r="D730" s="5">
        <v>21052018</v>
      </c>
      <c r="E730" s="4">
        <v>68</v>
      </c>
      <c r="F730" s="15">
        <f t="shared" si="54"/>
        <v>43271</v>
      </c>
      <c r="G730" s="12">
        <f t="shared" si="55"/>
        <v>2018</v>
      </c>
      <c r="H730" s="12" t="str">
        <f t="shared" si="56"/>
        <v>Junho</v>
      </c>
      <c r="I730" s="11">
        <f>INDEX(tbCadastroConsultas[],MATCH(tbConsultas[[#This Row],[PROFISSIONAL]],tbCadastroConsultas[PROFISSIONAL],0),3)</f>
        <v>301010064</v>
      </c>
      <c r="J730" s="11">
        <f>INDEX(tbCadastroConsultas[],MATCH(tbConsultas[[#This Row],[PROFISSIONAL]],tbCadastroConsultas[PROFISSIONAL],0),4)</f>
        <v>225125</v>
      </c>
    </row>
    <row r="731" spans="1:10">
      <c r="A731" s="11">
        <f t="shared" si="57"/>
        <v>730</v>
      </c>
      <c r="B731" s="4" t="s">
        <v>6</v>
      </c>
      <c r="C731" s="5">
        <v>12061969</v>
      </c>
      <c r="D731" s="5">
        <v>21052018</v>
      </c>
      <c r="E731" s="4">
        <v>48</v>
      </c>
      <c r="F731" s="15">
        <f t="shared" si="54"/>
        <v>43271</v>
      </c>
      <c r="G731" s="12">
        <f t="shared" si="55"/>
        <v>2018</v>
      </c>
      <c r="H731" s="12" t="str">
        <f t="shared" si="56"/>
        <v>Junho</v>
      </c>
      <c r="I731" s="11">
        <f>INDEX(tbCadastroConsultas[],MATCH(tbConsultas[[#This Row],[PROFISSIONAL]],tbCadastroConsultas[PROFISSIONAL],0),3)</f>
        <v>301010064</v>
      </c>
      <c r="J731" s="11">
        <f>INDEX(tbCadastroConsultas[],MATCH(tbConsultas[[#This Row],[PROFISSIONAL]],tbCadastroConsultas[PROFISSIONAL],0),4)</f>
        <v>225125</v>
      </c>
    </row>
    <row r="732" spans="1:10">
      <c r="A732" s="11">
        <f t="shared" si="57"/>
        <v>731</v>
      </c>
      <c r="B732" s="4" t="s">
        <v>6</v>
      </c>
      <c r="C732" s="5">
        <v>11031955</v>
      </c>
      <c r="D732" s="5">
        <v>21052018</v>
      </c>
      <c r="E732" s="4">
        <v>63</v>
      </c>
      <c r="F732" s="15">
        <f t="shared" si="54"/>
        <v>43271</v>
      </c>
      <c r="G732" s="12">
        <f t="shared" si="55"/>
        <v>2018</v>
      </c>
      <c r="H732" s="12" t="str">
        <f t="shared" si="56"/>
        <v>Junho</v>
      </c>
      <c r="I732" s="11">
        <f>INDEX(tbCadastroConsultas[],MATCH(tbConsultas[[#This Row],[PROFISSIONAL]],tbCadastroConsultas[PROFISSIONAL],0),3)</f>
        <v>301010064</v>
      </c>
      <c r="J732" s="11">
        <f>INDEX(tbCadastroConsultas[],MATCH(tbConsultas[[#This Row],[PROFISSIONAL]],tbCadastroConsultas[PROFISSIONAL],0),4)</f>
        <v>225125</v>
      </c>
    </row>
    <row r="733" spans="1:10">
      <c r="A733" s="11">
        <f t="shared" si="57"/>
        <v>732</v>
      </c>
      <c r="B733" s="4" t="s">
        <v>6</v>
      </c>
      <c r="C733" s="5">
        <v>28031956</v>
      </c>
      <c r="D733" s="5">
        <v>21052018</v>
      </c>
      <c r="E733" s="4">
        <v>62</v>
      </c>
      <c r="F733" s="15">
        <f t="shared" si="54"/>
        <v>43271</v>
      </c>
      <c r="G733" s="12">
        <f t="shared" si="55"/>
        <v>2018</v>
      </c>
      <c r="H733" s="12" t="str">
        <f t="shared" si="56"/>
        <v>Junho</v>
      </c>
      <c r="I733" s="11">
        <f>INDEX(tbCadastroConsultas[],MATCH(tbConsultas[[#This Row],[PROFISSIONAL]],tbCadastroConsultas[PROFISSIONAL],0),3)</f>
        <v>301010064</v>
      </c>
      <c r="J733" s="11">
        <f>INDEX(tbCadastroConsultas[],MATCH(tbConsultas[[#This Row],[PROFISSIONAL]],tbCadastroConsultas[PROFISSIONAL],0),4)</f>
        <v>225125</v>
      </c>
    </row>
    <row r="734" spans="1:10">
      <c r="A734" s="11">
        <f t="shared" si="57"/>
        <v>733</v>
      </c>
      <c r="B734" s="4" t="s">
        <v>6</v>
      </c>
      <c r="C734" s="5">
        <v>20062003</v>
      </c>
      <c r="D734" s="5">
        <v>21052018</v>
      </c>
      <c r="E734" s="4">
        <v>14</v>
      </c>
      <c r="F734" s="15">
        <f t="shared" si="54"/>
        <v>43271</v>
      </c>
      <c r="G734" s="12">
        <f t="shared" si="55"/>
        <v>2018</v>
      </c>
      <c r="H734" s="12" t="str">
        <f t="shared" si="56"/>
        <v>Junho</v>
      </c>
      <c r="I734" s="11">
        <f>INDEX(tbCadastroConsultas[],MATCH(tbConsultas[[#This Row],[PROFISSIONAL]],tbCadastroConsultas[PROFISSIONAL],0),3)</f>
        <v>301010064</v>
      </c>
      <c r="J734" s="11">
        <f>INDEX(tbCadastroConsultas[],MATCH(tbConsultas[[#This Row],[PROFISSIONAL]],tbCadastroConsultas[PROFISSIONAL],0),4)</f>
        <v>225125</v>
      </c>
    </row>
    <row r="735" spans="1:10">
      <c r="A735" s="11">
        <f t="shared" si="57"/>
        <v>734</v>
      </c>
      <c r="B735" s="4" t="s">
        <v>6</v>
      </c>
      <c r="C735" s="5">
        <v>26012005</v>
      </c>
      <c r="D735" s="5">
        <v>21052018</v>
      </c>
      <c r="E735" s="4">
        <v>13</v>
      </c>
      <c r="F735" s="15">
        <f t="shared" si="54"/>
        <v>43271</v>
      </c>
      <c r="G735" s="12">
        <f t="shared" si="55"/>
        <v>2018</v>
      </c>
      <c r="H735" s="12" t="str">
        <f t="shared" si="56"/>
        <v>Junho</v>
      </c>
      <c r="I735" s="11">
        <f>INDEX(tbCadastroConsultas[],MATCH(tbConsultas[[#This Row],[PROFISSIONAL]],tbCadastroConsultas[PROFISSIONAL],0),3)</f>
        <v>301010064</v>
      </c>
      <c r="J735" s="11">
        <f>INDEX(tbCadastroConsultas[],MATCH(tbConsultas[[#This Row],[PROFISSIONAL]],tbCadastroConsultas[PROFISSIONAL],0),4)</f>
        <v>225125</v>
      </c>
    </row>
    <row r="736" spans="1:10">
      <c r="A736" s="11">
        <f t="shared" si="57"/>
        <v>735</v>
      </c>
      <c r="B736" s="4" t="s">
        <v>6</v>
      </c>
      <c r="C736" s="5">
        <v>8111969</v>
      </c>
      <c r="D736" s="5">
        <v>21052018</v>
      </c>
      <c r="E736" s="4">
        <v>48</v>
      </c>
      <c r="F736" s="15">
        <f t="shared" si="54"/>
        <v>43271</v>
      </c>
      <c r="G736" s="12">
        <f t="shared" si="55"/>
        <v>2018</v>
      </c>
      <c r="H736" s="12" t="str">
        <f t="shared" si="56"/>
        <v>Junho</v>
      </c>
      <c r="I736" s="11">
        <f>INDEX(tbCadastroConsultas[],MATCH(tbConsultas[[#This Row],[PROFISSIONAL]],tbCadastroConsultas[PROFISSIONAL],0),3)</f>
        <v>301010064</v>
      </c>
      <c r="J736" s="11">
        <f>INDEX(tbCadastroConsultas[],MATCH(tbConsultas[[#This Row],[PROFISSIONAL]],tbCadastroConsultas[PROFISSIONAL],0),4)</f>
        <v>225125</v>
      </c>
    </row>
    <row r="737" spans="1:10">
      <c r="A737" s="11">
        <f t="shared" si="57"/>
        <v>736</v>
      </c>
      <c r="B737" s="4" t="s">
        <v>6</v>
      </c>
      <c r="C737" s="5">
        <v>8032003</v>
      </c>
      <c r="D737" s="5">
        <v>21052018</v>
      </c>
      <c r="E737" s="4">
        <v>15</v>
      </c>
      <c r="F737" s="15">
        <f t="shared" si="54"/>
        <v>43271</v>
      </c>
      <c r="G737" s="12">
        <f t="shared" si="55"/>
        <v>2018</v>
      </c>
      <c r="H737" s="12" t="str">
        <f t="shared" si="56"/>
        <v>Junho</v>
      </c>
      <c r="I737" s="11">
        <f>INDEX(tbCadastroConsultas[],MATCH(tbConsultas[[#This Row],[PROFISSIONAL]],tbCadastroConsultas[PROFISSIONAL],0),3)</f>
        <v>301010064</v>
      </c>
      <c r="J737" s="11">
        <f>INDEX(tbCadastroConsultas[],MATCH(tbConsultas[[#This Row],[PROFISSIONAL]],tbCadastroConsultas[PROFISSIONAL],0),4)</f>
        <v>225125</v>
      </c>
    </row>
    <row r="738" spans="1:10">
      <c r="A738" s="11">
        <f t="shared" si="57"/>
        <v>737</v>
      </c>
      <c r="B738" s="4" t="s">
        <v>6</v>
      </c>
      <c r="C738" s="5">
        <v>11101947</v>
      </c>
      <c r="D738" s="5">
        <v>21052018</v>
      </c>
      <c r="E738" s="4">
        <v>70</v>
      </c>
      <c r="F738" s="15">
        <f t="shared" si="54"/>
        <v>43271</v>
      </c>
      <c r="G738" s="12">
        <f t="shared" si="55"/>
        <v>2018</v>
      </c>
      <c r="H738" s="12" t="str">
        <f t="shared" si="56"/>
        <v>Junho</v>
      </c>
      <c r="I738" s="11">
        <f>INDEX(tbCadastroConsultas[],MATCH(tbConsultas[[#This Row],[PROFISSIONAL]],tbCadastroConsultas[PROFISSIONAL],0),3)</f>
        <v>301010064</v>
      </c>
      <c r="J738" s="11">
        <f>INDEX(tbCadastroConsultas[],MATCH(tbConsultas[[#This Row],[PROFISSIONAL]],tbCadastroConsultas[PROFISSIONAL],0),4)</f>
        <v>225125</v>
      </c>
    </row>
    <row r="739" spans="1:10">
      <c r="A739" s="11">
        <f t="shared" si="57"/>
        <v>738</v>
      </c>
      <c r="B739" s="4" t="s">
        <v>6</v>
      </c>
      <c r="C739" s="5">
        <v>16021997</v>
      </c>
      <c r="D739" s="5">
        <v>21052018</v>
      </c>
      <c r="E739" s="4">
        <v>21</v>
      </c>
      <c r="F739" s="15">
        <f t="shared" si="54"/>
        <v>43271</v>
      </c>
      <c r="G739" s="12">
        <f t="shared" si="55"/>
        <v>2018</v>
      </c>
      <c r="H739" s="12" t="str">
        <f t="shared" si="56"/>
        <v>Junho</v>
      </c>
      <c r="I739" s="11">
        <f>INDEX(tbCadastroConsultas[],MATCH(tbConsultas[[#This Row],[PROFISSIONAL]],tbCadastroConsultas[PROFISSIONAL],0),3)</f>
        <v>301010064</v>
      </c>
      <c r="J739" s="11">
        <f>INDEX(tbCadastroConsultas[],MATCH(tbConsultas[[#This Row],[PROFISSIONAL]],tbCadastroConsultas[PROFISSIONAL],0),4)</f>
        <v>225125</v>
      </c>
    </row>
    <row r="740" spans="1:10">
      <c r="A740" s="11">
        <f t="shared" si="57"/>
        <v>739</v>
      </c>
      <c r="B740" s="4" t="s">
        <v>6</v>
      </c>
      <c r="C740" s="5">
        <v>16031971</v>
      </c>
      <c r="D740" s="5">
        <v>21052018</v>
      </c>
      <c r="E740" s="4">
        <v>47</v>
      </c>
      <c r="F740" s="15">
        <f t="shared" si="54"/>
        <v>43271</v>
      </c>
      <c r="G740" s="12">
        <f t="shared" si="55"/>
        <v>2018</v>
      </c>
      <c r="H740" s="12" t="str">
        <f t="shared" si="56"/>
        <v>Junho</v>
      </c>
      <c r="I740" s="11">
        <f>INDEX(tbCadastroConsultas[],MATCH(tbConsultas[[#This Row],[PROFISSIONAL]],tbCadastroConsultas[PROFISSIONAL],0),3)</f>
        <v>301010064</v>
      </c>
      <c r="J740" s="11">
        <f>INDEX(tbCadastroConsultas[],MATCH(tbConsultas[[#This Row],[PROFISSIONAL]],tbCadastroConsultas[PROFISSIONAL],0),4)</f>
        <v>225125</v>
      </c>
    </row>
    <row r="741" spans="1:10">
      <c r="A741" s="11">
        <f t="shared" si="57"/>
        <v>740</v>
      </c>
      <c r="B741" s="4" t="s">
        <v>6</v>
      </c>
      <c r="C741" s="5">
        <v>28051946</v>
      </c>
      <c r="D741" s="5">
        <v>21052018</v>
      </c>
      <c r="E741" s="4">
        <v>72</v>
      </c>
      <c r="F741" s="15">
        <f t="shared" si="54"/>
        <v>43271</v>
      </c>
      <c r="G741" s="12">
        <f t="shared" si="55"/>
        <v>2018</v>
      </c>
      <c r="H741" s="12" t="str">
        <f t="shared" si="56"/>
        <v>Junho</v>
      </c>
      <c r="I741" s="11">
        <f>INDEX(tbCadastroConsultas[],MATCH(tbConsultas[[#This Row],[PROFISSIONAL]],tbCadastroConsultas[PROFISSIONAL],0),3)</f>
        <v>301010064</v>
      </c>
      <c r="J741" s="11">
        <f>INDEX(tbCadastroConsultas[],MATCH(tbConsultas[[#This Row],[PROFISSIONAL]],tbCadastroConsultas[PROFISSIONAL],0),4)</f>
        <v>225125</v>
      </c>
    </row>
    <row r="742" spans="1:10">
      <c r="A742" s="11">
        <f t="shared" si="57"/>
        <v>741</v>
      </c>
      <c r="B742" s="4" t="s">
        <v>6</v>
      </c>
      <c r="C742" s="5">
        <v>7061970</v>
      </c>
      <c r="D742" s="5">
        <v>21052018</v>
      </c>
      <c r="E742" s="4">
        <v>47</v>
      </c>
      <c r="F742" s="15">
        <f t="shared" si="54"/>
        <v>43271</v>
      </c>
      <c r="G742" s="12">
        <f t="shared" si="55"/>
        <v>2018</v>
      </c>
      <c r="H742" s="12" t="str">
        <f t="shared" si="56"/>
        <v>Junho</v>
      </c>
      <c r="I742" s="11">
        <f>INDEX(tbCadastroConsultas[],MATCH(tbConsultas[[#This Row],[PROFISSIONAL]],tbCadastroConsultas[PROFISSIONAL],0),3)</f>
        <v>301010064</v>
      </c>
      <c r="J742" s="11">
        <f>INDEX(tbCadastroConsultas[],MATCH(tbConsultas[[#This Row],[PROFISSIONAL]],tbCadastroConsultas[PROFISSIONAL],0),4)</f>
        <v>225125</v>
      </c>
    </row>
    <row r="743" spans="1:10">
      <c r="A743" s="11">
        <f t="shared" si="57"/>
        <v>742</v>
      </c>
      <c r="B743" s="4" t="s">
        <v>6</v>
      </c>
      <c r="C743" s="5">
        <v>25121976</v>
      </c>
      <c r="D743" s="5">
        <v>21052018</v>
      </c>
      <c r="E743" s="4">
        <v>41</v>
      </c>
      <c r="F743" s="15">
        <f t="shared" si="54"/>
        <v>43271</v>
      </c>
      <c r="G743" s="12">
        <f t="shared" si="55"/>
        <v>2018</v>
      </c>
      <c r="H743" s="12" t="str">
        <f t="shared" si="56"/>
        <v>Junho</v>
      </c>
      <c r="I743" s="11">
        <f>INDEX(tbCadastroConsultas[],MATCH(tbConsultas[[#This Row],[PROFISSIONAL]],tbCadastroConsultas[PROFISSIONAL],0),3)</f>
        <v>301010064</v>
      </c>
      <c r="J743" s="11">
        <f>INDEX(tbCadastroConsultas[],MATCH(tbConsultas[[#This Row],[PROFISSIONAL]],tbCadastroConsultas[PROFISSIONAL],0),4)</f>
        <v>225125</v>
      </c>
    </row>
    <row r="744" spans="1:10">
      <c r="A744" s="11">
        <f t="shared" si="57"/>
        <v>743</v>
      </c>
      <c r="B744" s="4" t="s">
        <v>6</v>
      </c>
      <c r="C744" s="5">
        <v>15091995</v>
      </c>
      <c r="D744" s="5">
        <v>21052018</v>
      </c>
      <c r="E744" s="4">
        <v>22</v>
      </c>
      <c r="F744" s="15">
        <f t="shared" si="54"/>
        <v>43271</v>
      </c>
      <c r="G744" s="12">
        <f t="shared" si="55"/>
        <v>2018</v>
      </c>
      <c r="H744" s="12" t="str">
        <f t="shared" si="56"/>
        <v>Junho</v>
      </c>
      <c r="I744" s="11">
        <f>INDEX(tbCadastroConsultas[],MATCH(tbConsultas[[#This Row],[PROFISSIONAL]],tbCadastroConsultas[PROFISSIONAL],0),3)</f>
        <v>301010064</v>
      </c>
      <c r="J744" s="11">
        <f>INDEX(tbCadastroConsultas[],MATCH(tbConsultas[[#This Row],[PROFISSIONAL]],tbCadastroConsultas[PROFISSIONAL],0),4)</f>
        <v>225125</v>
      </c>
    </row>
    <row r="745" spans="1:10">
      <c r="A745" s="11">
        <f t="shared" si="57"/>
        <v>744</v>
      </c>
      <c r="B745" s="4" t="s">
        <v>6</v>
      </c>
      <c r="C745" s="5">
        <v>15111995</v>
      </c>
      <c r="D745" s="5">
        <v>21052018</v>
      </c>
      <c r="E745" s="4">
        <v>22</v>
      </c>
      <c r="F745" s="15">
        <f t="shared" si="54"/>
        <v>43271</v>
      </c>
      <c r="G745" s="12">
        <f t="shared" si="55"/>
        <v>2018</v>
      </c>
      <c r="H745" s="12" t="str">
        <f t="shared" si="56"/>
        <v>Junho</v>
      </c>
      <c r="I745" s="11">
        <f>INDEX(tbCadastroConsultas[],MATCH(tbConsultas[[#This Row],[PROFISSIONAL]],tbCadastroConsultas[PROFISSIONAL],0),3)</f>
        <v>301010064</v>
      </c>
      <c r="J745" s="11">
        <f>INDEX(tbCadastroConsultas[],MATCH(tbConsultas[[#This Row],[PROFISSIONAL]],tbCadastroConsultas[PROFISSIONAL],0),4)</f>
        <v>225125</v>
      </c>
    </row>
    <row r="746" spans="1:10">
      <c r="A746" s="11">
        <f t="shared" si="57"/>
        <v>745</v>
      </c>
      <c r="B746" s="4" t="s">
        <v>6</v>
      </c>
      <c r="C746" s="5">
        <v>19031967</v>
      </c>
      <c r="D746" s="5">
        <v>21052018</v>
      </c>
      <c r="E746" s="4">
        <v>51</v>
      </c>
      <c r="F746" s="15">
        <f t="shared" si="54"/>
        <v>43271</v>
      </c>
      <c r="G746" s="12">
        <f t="shared" si="55"/>
        <v>2018</v>
      </c>
      <c r="H746" s="12" t="str">
        <f t="shared" si="56"/>
        <v>Junho</v>
      </c>
      <c r="I746" s="11">
        <f>INDEX(tbCadastroConsultas[],MATCH(tbConsultas[[#This Row],[PROFISSIONAL]],tbCadastroConsultas[PROFISSIONAL],0),3)</f>
        <v>301010064</v>
      </c>
      <c r="J746" s="11">
        <f>INDEX(tbCadastroConsultas[],MATCH(tbConsultas[[#This Row],[PROFISSIONAL]],tbCadastroConsultas[PROFISSIONAL],0),4)</f>
        <v>225125</v>
      </c>
    </row>
    <row r="747" spans="1:10">
      <c r="A747" s="11">
        <f t="shared" si="57"/>
        <v>746</v>
      </c>
      <c r="B747" s="4" t="s">
        <v>6</v>
      </c>
      <c r="C747" s="5">
        <v>19031967</v>
      </c>
      <c r="D747" s="5">
        <v>21052018</v>
      </c>
      <c r="E747" s="4">
        <v>51</v>
      </c>
      <c r="F747" s="15">
        <f t="shared" si="54"/>
        <v>43271</v>
      </c>
      <c r="G747" s="12">
        <f t="shared" si="55"/>
        <v>2018</v>
      </c>
      <c r="H747" s="12" t="str">
        <f t="shared" si="56"/>
        <v>Junho</v>
      </c>
      <c r="I747" s="11">
        <f>INDEX(tbCadastroConsultas[],MATCH(tbConsultas[[#This Row],[PROFISSIONAL]],tbCadastroConsultas[PROFISSIONAL],0),3)</f>
        <v>301010064</v>
      </c>
      <c r="J747" s="11">
        <f>INDEX(tbCadastroConsultas[],MATCH(tbConsultas[[#This Row],[PROFISSIONAL]],tbCadastroConsultas[PROFISSIONAL],0),4)</f>
        <v>225125</v>
      </c>
    </row>
    <row r="748" spans="1:10">
      <c r="A748" s="11">
        <f t="shared" si="57"/>
        <v>747</v>
      </c>
      <c r="B748" s="4" t="s">
        <v>6</v>
      </c>
      <c r="C748" s="5">
        <v>6011949</v>
      </c>
      <c r="D748" s="5">
        <v>21052018</v>
      </c>
      <c r="E748" s="4">
        <v>69</v>
      </c>
      <c r="F748" s="15">
        <f t="shared" si="54"/>
        <v>43271</v>
      </c>
      <c r="G748" s="12">
        <f t="shared" si="55"/>
        <v>2018</v>
      </c>
      <c r="H748" s="12" t="str">
        <f t="shared" si="56"/>
        <v>Junho</v>
      </c>
      <c r="I748" s="11">
        <f>INDEX(tbCadastroConsultas[],MATCH(tbConsultas[[#This Row],[PROFISSIONAL]],tbCadastroConsultas[PROFISSIONAL],0),3)</f>
        <v>301010064</v>
      </c>
      <c r="J748" s="11">
        <f>INDEX(tbCadastroConsultas[],MATCH(tbConsultas[[#This Row],[PROFISSIONAL]],tbCadastroConsultas[PROFISSIONAL],0),4)</f>
        <v>225125</v>
      </c>
    </row>
    <row r="749" spans="1:10">
      <c r="A749" s="11">
        <f t="shared" si="57"/>
        <v>748</v>
      </c>
      <c r="B749" s="4" t="s">
        <v>6</v>
      </c>
      <c r="C749" s="5">
        <v>25051958</v>
      </c>
      <c r="D749" s="5">
        <v>21052018</v>
      </c>
      <c r="E749" s="4">
        <v>60</v>
      </c>
      <c r="F749" s="15">
        <f t="shared" si="54"/>
        <v>43271</v>
      </c>
      <c r="G749" s="12">
        <f t="shared" si="55"/>
        <v>2018</v>
      </c>
      <c r="H749" s="12" t="str">
        <f t="shared" si="56"/>
        <v>Junho</v>
      </c>
      <c r="I749" s="11">
        <f>INDEX(tbCadastroConsultas[],MATCH(tbConsultas[[#This Row],[PROFISSIONAL]],tbCadastroConsultas[PROFISSIONAL],0),3)</f>
        <v>301010064</v>
      </c>
      <c r="J749" s="11">
        <f>INDEX(tbCadastroConsultas[],MATCH(tbConsultas[[#This Row],[PROFISSIONAL]],tbCadastroConsultas[PROFISSIONAL],0),4)</f>
        <v>225125</v>
      </c>
    </row>
    <row r="750" spans="1:10">
      <c r="A750" s="11">
        <f t="shared" si="57"/>
        <v>749</v>
      </c>
      <c r="B750" s="4" t="s">
        <v>6</v>
      </c>
      <c r="C750" s="5">
        <v>18011980</v>
      </c>
      <c r="D750" s="5">
        <v>21052018</v>
      </c>
      <c r="E750" s="4">
        <v>38</v>
      </c>
      <c r="F750" s="15">
        <f t="shared" si="54"/>
        <v>43271</v>
      </c>
      <c r="G750" s="12">
        <f t="shared" si="55"/>
        <v>2018</v>
      </c>
      <c r="H750" s="12" t="str">
        <f t="shared" si="56"/>
        <v>Junho</v>
      </c>
      <c r="I750" s="11">
        <f>INDEX(tbCadastroConsultas[],MATCH(tbConsultas[[#This Row],[PROFISSIONAL]],tbCadastroConsultas[PROFISSIONAL],0),3)</f>
        <v>301010064</v>
      </c>
      <c r="J750" s="11">
        <f>INDEX(tbCadastroConsultas[],MATCH(tbConsultas[[#This Row],[PROFISSIONAL]],tbCadastroConsultas[PROFISSIONAL],0),4)</f>
        <v>225125</v>
      </c>
    </row>
    <row r="751" spans="1:10">
      <c r="A751" s="11">
        <f t="shared" si="57"/>
        <v>750</v>
      </c>
      <c r="B751" s="4" t="s">
        <v>6</v>
      </c>
      <c r="C751" s="5">
        <v>6041979</v>
      </c>
      <c r="D751" s="5">
        <v>21052018</v>
      </c>
      <c r="E751" s="4">
        <v>39</v>
      </c>
      <c r="F751" s="15">
        <f t="shared" si="54"/>
        <v>43271</v>
      </c>
      <c r="G751" s="12">
        <f t="shared" si="55"/>
        <v>2018</v>
      </c>
      <c r="H751" s="12" t="str">
        <f t="shared" si="56"/>
        <v>Junho</v>
      </c>
      <c r="I751" s="11">
        <f>INDEX(tbCadastroConsultas[],MATCH(tbConsultas[[#This Row],[PROFISSIONAL]],tbCadastroConsultas[PROFISSIONAL],0),3)</f>
        <v>301010064</v>
      </c>
      <c r="J751" s="11">
        <f>INDEX(tbCadastroConsultas[],MATCH(tbConsultas[[#This Row],[PROFISSIONAL]],tbCadastroConsultas[PROFISSIONAL],0),4)</f>
        <v>225125</v>
      </c>
    </row>
    <row r="752" spans="1:10">
      <c r="A752" s="11">
        <f t="shared" si="57"/>
        <v>751</v>
      </c>
      <c r="B752" s="4" t="s">
        <v>6</v>
      </c>
      <c r="C752" s="5">
        <v>29111984</v>
      </c>
      <c r="D752" s="5">
        <v>21052018</v>
      </c>
      <c r="E752" s="4">
        <v>33</v>
      </c>
      <c r="F752" s="15">
        <f t="shared" si="54"/>
        <v>43271</v>
      </c>
      <c r="G752" s="12">
        <f t="shared" si="55"/>
        <v>2018</v>
      </c>
      <c r="H752" s="12" t="str">
        <f t="shared" si="56"/>
        <v>Junho</v>
      </c>
      <c r="I752" s="11">
        <f>INDEX(tbCadastroConsultas[],MATCH(tbConsultas[[#This Row],[PROFISSIONAL]],tbCadastroConsultas[PROFISSIONAL],0),3)</f>
        <v>301010064</v>
      </c>
      <c r="J752" s="11">
        <f>INDEX(tbCadastroConsultas[],MATCH(tbConsultas[[#This Row],[PROFISSIONAL]],tbCadastroConsultas[PROFISSIONAL],0),4)</f>
        <v>225125</v>
      </c>
    </row>
    <row r="753" spans="1:10">
      <c r="A753" s="11">
        <f t="shared" si="57"/>
        <v>752</v>
      </c>
      <c r="B753" s="4" t="s">
        <v>6</v>
      </c>
      <c r="C753" s="5">
        <v>8101957</v>
      </c>
      <c r="D753" s="5">
        <v>21052018</v>
      </c>
      <c r="E753" s="4">
        <v>60</v>
      </c>
      <c r="F753" s="15">
        <f t="shared" si="54"/>
        <v>43271</v>
      </c>
      <c r="G753" s="12">
        <f t="shared" si="55"/>
        <v>2018</v>
      </c>
      <c r="H753" s="12" t="str">
        <f t="shared" si="56"/>
        <v>Junho</v>
      </c>
      <c r="I753" s="11">
        <f>INDEX(tbCadastroConsultas[],MATCH(tbConsultas[[#This Row],[PROFISSIONAL]],tbCadastroConsultas[PROFISSIONAL],0),3)</f>
        <v>301010064</v>
      </c>
      <c r="J753" s="11">
        <f>INDEX(tbCadastroConsultas[],MATCH(tbConsultas[[#This Row],[PROFISSIONAL]],tbCadastroConsultas[PROFISSIONAL],0),4)</f>
        <v>225125</v>
      </c>
    </row>
    <row r="754" spans="1:10">
      <c r="A754" s="11">
        <f t="shared" ref="A754:A776" si="58">ROW() -1</f>
        <v>753</v>
      </c>
      <c r="B754" s="4" t="s">
        <v>6</v>
      </c>
      <c r="C754" s="5">
        <v>8021940</v>
      </c>
      <c r="D754" s="5">
        <v>21052018</v>
      </c>
      <c r="E754" s="4">
        <v>78</v>
      </c>
      <c r="F754" s="15">
        <f t="shared" si="54"/>
        <v>43271</v>
      </c>
      <c r="G754" s="12">
        <f t="shared" si="55"/>
        <v>2018</v>
      </c>
      <c r="H754" s="12" t="str">
        <f t="shared" si="56"/>
        <v>Junho</v>
      </c>
      <c r="I754" s="11">
        <f>INDEX(tbCadastroConsultas[],MATCH(tbConsultas[[#This Row],[PROFISSIONAL]],tbCadastroConsultas[PROFISSIONAL],0),3)</f>
        <v>301010064</v>
      </c>
      <c r="J754" s="11">
        <f>INDEX(tbCadastroConsultas[],MATCH(tbConsultas[[#This Row],[PROFISSIONAL]],tbCadastroConsultas[PROFISSIONAL],0),4)</f>
        <v>225125</v>
      </c>
    </row>
    <row r="755" spans="1:10">
      <c r="A755" s="11">
        <f t="shared" si="58"/>
        <v>754</v>
      </c>
      <c r="B755" s="4" t="s">
        <v>6</v>
      </c>
      <c r="C755" s="5">
        <v>17121984</v>
      </c>
      <c r="D755" s="5">
        <v>21052018</v>
      </c>
      <c r="E755" s="4">
        <v>33</v>
      </c>
      <c r="F755" s="15">
        <f t="shared" si="54"/>
        <v>43271</v>
      </c>
      <c r="G755" s="12">
        <f t="shared" si="55"/>
        <v>2018</v>
      </c>
      <c r="H755" s="12" t="str">
        <f t="shared" si="56"/>
        <v>Junho</v>
      </c>
      <c r="I755" s="11">
        <f>INDEX(tbCadastroConsultas[],MATCH(tbConsultas[[#This Row],[PROFISSIONAL]],tbCadastroConsultas[PROFISSIONAL],0),3)</f>
        <v>301010064</v>
      </c>
      <c r="J755" s="11">
        <f>INDEX(tbCadastroConsultas[],MATCH(tbConsultas[[#This Row],[PROFISSIONAL]],tbCadastroConsultas[PROFISSIONAL],0),4)</f>
        <v>225125</v>
      </c>
    </row>
    <row r="756" spans="1:10">
      <c r="A756" s="11">
        <f t="shared" si="58"/>
        <v>755</v>
      </c>
      <c r="B756" s="4" t="s">
        <v>6</v>
      </c>
      <c r="C756" s="5">
        <v>21091963</v>
      </c>
      <c r="D756" s="5">
        <v>21052018</v>
      </c>
      <c r="E756" s="4">
        <v>54</v>
      </c>
      <c r="F756" s="15">
        <f t="shared" si="54"/>
        <v>43271</v>
      </c>
      <c r="G756" s="12">
        <f t="shared" si="55"/>
        <v>2018</v>
      </c>
      <c r="H756" s="12" t="str">
        <f t="shared" si="56"/>
        <v>Junho</v>
      </c>
      <c r="I756" s="11">
        <f>INDEX(tbCadastroConsultas[],MATCH(tbConsultas[[#This Row],[PROFISSIONAL]],tbCadastroConsultas[PROFISSIONAL],0),3)</f>
        <v>301010064</v>
      </c>
      <c r="J756" s="11">
        <f>INDEX(tbCadastroConsultas[],MATCH(tbConsultas[[#This Row],[PROFISSIONAL]],tbCadastroConsultas[PROFISSIONAL],0),4)</f>
        <v>225125</v>
      </c>
    </row>
    <row r="757" spans="1:10">
      <c r="A757" s="11">
        <f t="shared" si="58"/>
        <v>756</v>
      </c>
      <c r="B757" s="4" t="s">
        <v>6</v>
      </c>
      <c r="C757" s="5">
        <v>29031964</v>
      </c>
      <c r="D757" s="5">
        <v>21052018</v>
      </c>
      <c r="E757" s="4">
        <v>54</v>
      </c>
      <c r="F757" s="15">
        <f t="shared" si="54"/>
        <v>43271</v>
      </c>
      <c r="G757" s="12">
        <f t="shared" si="55"/>
        <v>2018</v>
      </c>
      <c r="H757" s="12" t="str">
        <f t="shared" si="56"/>
        <v>Junho</v>
      </c>
      <c r="I757" s="11">
        <f>INDEX(tbCadastroConsultas[],MATCH(tbConsultas[[#This Row],[PROFISSIONAL]],tbCadastroConsultas[PROFISSIONAL],0),3)</f>
        <v>301010064</v>
      </c>
      <c r="J757" s="11">
        <f>INDEX(tbCadastroConsultas[],MATCH(tbConsultas[[#This Row],[PROFISSIONAL]],tbCadastroConsultas[PROFISSIONAL],0),4)</f>
        <v>225125</v>
      </c>
    </row>
    <row r="758" spans="1:10">
      <c r="A758" s="11">
        <f t="shared" si="58"/>
        <v>757</v>
      </c>
      <c r="B758" s="4" t="s">
        <v>6</v>
      </c>
      <c r="C758" s="5">
        <v>31121937</v>
      </c>
      <c r="D758" s="5">
        <v>21052018</v>
      </c>
      <c r="E758" s="4">
        <v>80</v>
      </c>
      <c r="F758" s="15">
        <f t="shared" si="54"/>
        <v>43271</v>
      </c>
      <c r="G758" s="12">
        <f t="shared" si="55"/>
        <v>2018</v>
      </c>
      <c r="H758" s="12" t="str">
        <f t="shared" si="56"/>
        <v>Junho</v>
      </c>
      <c r="I758" s="11">
        <f>INDEX(tbCadastroConsultas[],MATCH(tbConsultas[[#This Row],[PROFISSIONAL]],tbCadastroConsultas[PROFISSIONAL],0),3)</f>
        <v>301010064</v>
      </c>
      <c r="J758" s="11">
        <f>INDEX(tbCadastroConsultas[],MATCH(tbConsultas[[#This Row],[PROFISSIONAL]],tbCadastroConsultas[PROFISSIONAL],0),4)</f>
        <v>225125</v>
      </c>
    </row>
    <row r="759" spans="1:10">
      <c r="A759" s="11">
        <f t="shared" si="58"/>
        <v>758</v>
      </c>
      <c r="B759" s="4" t="s">
        <v>6</v>
      </c>
      <c r="C759" s="5">
        <v>15101957</v>
      </c>
      <c r="D759" s="5">
        <v>21052018</v>
      </c>
      <c r="E759" s="4">
        <v>60</v>
      </c>
      <c r="F759" s="15">
        <f t="shared" si="54"/>
        <v>43271</v>
      </c>
      <c r="G759" s="12">
        <f t="shared" si="55"/>
        <v>2018</v>
      </c>
      <c r="H759" s="12" t="str">
        <f t="shared" si="56"/>
        <v>Junho</v>
      </c>
      <c r="I759" s="11">
        <f>INDEX(tbCadastroConsultas[],MATCH(tbConsultas[[#This Row],[PROFISSIONAL]],tbCadastroConsultas[PROFISSIONAL],0),3)</f>
        <v>301010064</v>
      </c>
      <c r="J759" s="11">
        <f>INDEX(tbCadastroConsultas[],MATCH(tbConsultas[[#This Row],[PROFISSIONAL]],tbCadastroConsultas[PROFISSIONAL],0),4)</f>
        <v>225125</v>
      </c>
    </row>
    <row r="760" spans="1:10">
      <c r="A760" s="11">
        <f t="shared" si="58"/>
        <v>759</v>
      </c>
      <c r="B760" s="4" t="s">
        <v>6</v>
      </c>
      <c r="C760" s="5">
        <v>29101949</v>
      </c>
      <c r="D760" s="5">
        <v>21052018</v>
      </c>
      <c r="E760" s="4">
        <v>68</v>
      </c>
      <c r="F760" s="15">
        <f t="shared" si="54"/>
        <v>43271</v>
      </c>
      <c r="G760" s="12">
        <f t="shared" si="55"/>
        <v>2018</v>
      </c>
      <c r="H760" s="12" t="str">
        <f t="shared" si="56"/>
        <v>Junho</v>
      </c>
      <c r="I760" s="11">
        <f>INDEX(tbCadastroConsultas[],MATCH(tbConsultas[[#This Row],[PROFISSIONAL]],tbCadastroConsultas[PROFISSIONAL],0),3)</f>
        <v>301010064</v>
      </c>
      <c r="J760" s="11">
        <f>INDEX(tbCadastroConsultas[],MATCH(tbConsultas[[#This Row],[PROFISSIONAL]],tbCadastroConsultas[PROFISSIONAL],0),4)</f>
        <v>225125</v>
      </c>
    </row>
    <row r="761" spans="1:10">
      <c r="A761" s="11">
        <f t="shared" si="58"/>
        <v>760</v>
      </c>
      <c r="B761" s="4" t="s">
        <v>6</v>
      </c>
      <c r="C761" s="5">
        <v>20082007</v>
      </c>
      <c r="D761" s="5">
        <v>21052018</v>
      </c>
      <c r="E761" s="4">
        <v>10</v>
      </c>
      <c r="F761" s="15">
        <f t="shared" si="54"/>
        <v>43271</v>
      </c>
      <c r="G761" s="12">
        <f t="shared" si="55"/>
        <v>2018</v>
      </c>
      <c r="H761" s="12" t="str">
        <f t="shared" si="56"/>
        <v>Junho</v>
      </c>
      <c r="I761" s="11">
        <f>INDEX(tbCadastroConsultas[],MATCH(tbConsultas[[#This Row],[PROFISSIONAL]],tbCadastroConsultas[PROFISSIONAL],0),3)</f>
        <v>301010064</v>
      </c>
      <c r="J761" s="11">
        <f>INDEX(tbCadastroConsultas[],MATCH(tbConsultas[[#This Row],[PROFISSIONAL]],tbCadastroConsultas[PROFISSIONAL],0),4)</f>
        <v>225125</v>
      </c>
    </row>
    <row r="762" spans="1:10">
      <c r="A762" s="11">
        <f t="shared" si="58"/>
        <v>761</v>
      </c>
      <c r="B762" s="4" t="s">
        <v>6</v>
      </c>
      <c r="C762" s="5">
        <v>23061972</v>
      </c>
      <c r="D762" s="5">
        <v>21052018</v>
      </c>
      <c r="E762" s="4">
        <v>45</v>
      </c>
      <c r="F762" s="15">
        <f t="shared" si="54"/>
        <v>43271</v>
      </c>
      <c r="G762" s="12">
        <f t="shared" si="55"/>
        <v>2018</v>
      </c>
      <c r="H762" s="12" t="str">
        <f t="shared" si="56"/>
        <v>Junho</v>
      </c>
      <c r="I762" s="11">
        <f>INDEX(tbCadastroConsultas[],MATCH(tbConsultas[[#This Row],[PROFISSIONAL]],tbCadastroConsultas[PROFISSIONAL],0),3)</f>
        <v>301010064</v>
      </c>
      <c r="J762" s="11">
        <f>INDEX(tbCadastroConsultas[],MATCH(tbConsultas[[#This Row],[PROFISSIONAL]],tbCadastroConsultas[PROFISSIONAL],0),4)</f>
        <v>225125</v>
      </c>
    </row>
    <row r="763" spans="1:10">
      <c r="A763" s="11">
        <f t="shared" si="58"/>
        <v>762</v>
      </c>
      <c r="B763" s="4" t="s">
        <v>6</v>
      </c>
      <c r="C763" s="5">
        <v>13021970</v>
      </c>
      <c r="D763" s="5">
        <v>21052018</v>
      </c>
      <c r="E763" s="4">
        <v>48</v>
      </c>
      <c r="F763" s="15">
        <f t="shared" si="54"/>
        <v>43271</v>
      </c>
      <c r="G763" s="12">
        <f t="shared" si="55"/>
        <v>2018</v>
      </c>
      <c r="H763" s="12" t="str">
        <f t="shared" si="56"/>
        <v>Junho</v>
      </c>
      <c r="I763" s="11">
        <f>INDEX(tbCadastroConsultas[],MATCH(tbConsultas[[#This Row],[PROFISSIONAL]],tbCadastroConsultas[PROFISSIONAL],0),3)</f>
        <v>301010064</v>
      </c>
      <c r="J763" s="11">
        <f>INDEX(tbCadastroConsultas[],MATCH(tbConsultas[[#This Row],[PROFISSIONAL]],tbCadastroConsultas[PROFISSIONAL],0),4)</f>
        <v>225125</v>
      </c>
    </row>
    <row r="764" spans="1:10">
      <c r="A764" s="11">
        <f t="shared" si="58"/>
        <v>763</v>
      </c>
      <c r="B764" s="4" t="s">
        <v>6</v>
      </c>
      <c r="C764" s="5">
        <v>3092005</v>
      </c>
      <c r="D764" s="5">
        <v>21052018</v>
      </c>
      <c r="E764" s="4">
        <v>12</v>
      </c>
      <c r="F764" s="15">
        <f t="shared" si="54"/>
        <v>43271</v>
      </c>
      <c r="G764" s="12">
        <f t="shared" si="55"/>
        <v>2018</v>
      </c>
      <c r="H764" s="12" t="str">
        <f t="shared" si="56"/>
        <v>Junho</v>
      </c>
      <c r="I764" s="11">
        <f>INDEX(tbCadastroConsultas[],MATCH(tbConsultas[[#This Row],[PROFISSIONAL]],tbCadastroConsultas[PROFISSIONAL],0),3)</f>
        <v>301010064</v>
      </c>
      <c r="J764" s="11">
        <f>INDEX(tbCadastroConsultas[],MATCH(tbConsultas[[#This Row],[PROFISSIONAL]],tbCadastroConsultas[PROFISSIONAL],0),4)</f>
        <v>225125</v>
      </c>
    </row>
    <row r="765" spans="1:10">
      <c r="A765" s="11">
        <f t="shared" si="58"/>
        <v>764</v>
      </c>
      <c r="B765" s="4" t="s">
        <v>6</v>
      </c>
      <c r="C765" s="5">
        <v>7041966</v>
      </c>
      <c r="D765" s="5">
        <v>21052018</v>
      </c>
      <c r="E765" s="4">
        <v>52</v>
      </c>
      <c r="F765" s="15">
        <f t="shared" si="54"/>
        <v>43271</v>
      </c>
      <c r="G765" s="12">
        <f t="shared" si="55"/>
        <v>2018</v>
      </c>
      <c r="H765" s="12" t="str">
        <f t="shared" si="56"/>
        <v>Junho</v>
      </c>
      <c r="I765" s="11">
        <f>INDEX(tbCadastroConsultas[],MATCH(tbConsultas[[#This Row],[PROFISSIONAL]],tbCadastroConsultas[PROFISSIONAL],0),3)</f>
        <v>301010064</v>
      </c>
      <c r="J765" s="11">
        <f>INDEX(tbCadastroConsultas[],MATCH(tbConsultas[[#This Row],[PROFISSIONAL]],tbCadastroConsultas[PROFISSIONAL],0),4)</f>
        <v>225125</v>
      </c>
    </row>
    <row r="766" spans="1:10">
      <c r="A766" s="11">
        <f t="shared" si="58"/>
        <v>765</v>
      </c>
      <c r="B766" s="4" t="s">
        <v>15</v>
      </c>
      <c r="C766" s="5">
        <v>24081970</v>
      </c>
      <c r="D766" s="5">
        <v>21052018</v>
      </c>
      <c r="E766" s="4">
        <v>47</v>
      </c>
      <c r="F766" s="15">
        <f t="shared" si="54"/>
        <v>43271</v>
      </c>
      <c r="G766" s="12">
        <f t="shared" si="55"/>
        <v>2018</v>
      </c>
      <c r="H766" s="12" t="str">
        <f t="shared" si="56"/>
        <v>Junho</v>
      </c>
      <c r="I766" s="11">
        <f>INDEX(tbCadastroConsultas[],MATCH(tbConsultas[[#This Row],[PROFISSIONAL]],tbCadastroConsultas[PROFISSIONAL],0),3)</f>
        <v>301010072</v>
      </c>
      <c r="J766" s="11">
        <f>INDEX(tbCadastroConsultas[],MATCH(tbConsultas[[#This Row],[PROFISSIONAL]],tbCadastroConsultas[PROFISSIONAL],0),4)</f>
        <v>225133</v>
      </c>
    </row>
    <row r="767" spans="1:10">
      <c r="A767" s="11">
        <f t="shared" si="58"/>
        <v>766</v>
      </c>
      <c r="B767" s="4" t="s">
        <v>15</v>
      </c>
      <c r="C767" s="5">
        <v>21111988</v>
      </c>
      <c r="D767" s="5">
        <v>21052018</v>
      </c>
      <c r="E767" s="4">
        <v>29</v>
      </c>
      <c r="F767" s="15">
        <f t="shared" si="54"/>
        <v>43271</v>
      </c>
      <c r="G767" s="12">
        <f t="shared" si="55"/>
        <v>2018</v>
      </c>
      <c r="H767" s="12" t="str">
        <f t="shared" si="56"/>
        <v>Junho</v>
      </c>
      <c r="I767" s="11">
        <f>INDEX(tbCadastroConsultas[],MATCH(tbConsultas[[#This Row],[PROFISSIONAL]],tbCadastroConsultas[PROFISSIONAL],0),3)</f>
        <v>301010072</v>
      </c>
      <c r="J767" s="11">
        <f>INDEX(tbCadastroConsultas[],MATCH(tbConsultas[[#This Row],[PROFISSIONAL]],tbCadastroConsultas[PROFISSIONAL],0),4)</f>
        <v>225133</v>
      </c>
    </row>
    <row r="768" spans="1:10">
      <c r="A768" s="11">
        <f t="shared" si="58"/>
        <v>767</v>
      </c>
      <c r="B768" s="4" t="s">
        <v>15</v>
      </c>
      <c r="C768" s="5">
        <v>11091991</v>
      </c>
      <c r="D768" s="5">
        <v>21052018</v>
      </c>
      <c r="E768" s="4">
        <v>26</v>
      </c>
      <c r="F768" s="15">
        <f t="shared" si="54"/>
        <v>43271</v>
      </c>
      <c r="G768" s="12">
        <f t="shared" si="55"/>
        <v>2018</v>
      </c>
      <c r="H768" s="12" t="str">
        <f t="shared" si="56"/>
        <v>Junho</v>
      </c>
      <c r="I768" s="11">
        <f>INDEX(tbCadastroConsultas[],MATCH(tbConsultas[[#This Row],[PROFISSIONAL]],tbCadastroConsultas[PROFISSIONAL],0),3)</f>
        <v>301010072</v>
      </c>
      <c r="J768" s="11">
        <f>INDEX(tbCadastroConsultas[],MATCH(tbConsultas[[#This Row],[PROFISSIONAL]],tbCadastroConsultas[PROFISSIONAL],0),4)</f>
        <v>225133</v>
      </c>
    </row>
    <row r="769" spans="1:10">
      <c r="A769" s="11">
        <f t="shared" si="58"/>
        <v>768</v>
      </c>
      <c r="B769" s="4" t="s">
        <v>15</v>
      </c>
      <c r="C769" s="5">
        <v>31031962</v>
      </c>
      <c r="D769" s="5">
        <v>21052018</v>
      </c>
      <c r="E769" s="4">
        <v>56</v>
      </c>
      <c r="F769" s="15">
        <f t="shared" si="54"/>
        <v>43271</v>
      </c>
      <c r="G769" s="12">
        <f t="shared" si="55"/>
        <v>2018</v>
      </c>
      <c r="H769" s="12" t="str">
        <f t="shared" si="56"/>
        <v>Junho</v>
      </c>
      <c r="I769" s="11">
        <f>INDEX(tbCadastroConsultas[],MATCH(tbConsultas[[#This Row],[PROFISSIONAL]],tbCadastroConsultas[PROFISSIONAL],0),3)</f>
        <v>301010072</v>
      </c>
      <c r="J769" s="11">
        <f>INDEX(tbCadastroConsultas[],MATCH(tbConsultas[[#This Row],[PROFISSIONAL]],tbCadastroConsultas[PROFISSIONAL],0),4)</f>
        <v>225133</v>
      </c>
    </row>
    <row r="770" spans="1:10">
      <c r="A770" s="11">
        <f t="shared" si="58"/>
        <v>769</v>
      </c>
      <c r="B770" s="4" t="s">
        <v>15</v>
      </c>
      <c r="C770" s="5">
        <v>28011979</v>
      </c>
      <c r="D770" s="5">
        <v>21052018</v>
      </c>
      <c r="E770" s="4">
        <v>39</v>
      </c>
      <c r="F770" s="15">
        <f t="shared" ref="F770:F833" si="59">IF(D770="","",DATE(YEAR(TEXT(D770,"00\/00\/0000")),MONTH(TEXT(D770,"00\/00\/0000"))+1,20))</f>
        <v>43271</v>
      </c>
      <c r="G770" s="12">
        <f t="shared" ref="G770:G833" si="60">IF(F770="","",YEAR(F770))</f>
        <v>2018</v>
      </c>
      <c r="H770" s="12" t="str">
        <f t="shared" ref="H770:H833" si="61">PROPER(TEXT(F770,"mmmm"))</f>
        <v>Junho</v>
      </c>
      <c r="I770" s="11">
        <f>INDEX(tbCadastroConsultas[],MATCH(tbConsultas[[#This Row],[PROFISSIONAL]],tbCadastroConsultas[PROFISSIONAL],0),3)</f>
        <v>301010072</v>
      </c>
      <c r="J770" s="11">
        <f>INDEX(tbCadastroConsultas[],MATCH(tbConsultas[[#This Row],[PROFISSIONAL]],tbCadastroConsultas[PROFISSIONAL],0),4)</f>
        <v>225133</v>
      </c>
    </row>
    <row r="771" spans="1:10">
      <c r="A771" s="11">
        <f t="shared" si="58"/>
        <v>770</v>
      </c>
      <c r="B771" s="4" t="s">
        <v>15</v>
      </c>
      <c r="C771" s="5">
        <v>10041973</v>
      </c>
      <c r="D771" s="5">
        <v>21052018</v>
      </c>
      <c r="E771" s="4">
        <v>45</v>
      </c>
      <c r="F771" s="15">
        <f t="shared" si="59"/>
        <v>43271</v>
      </c>
      <c r="G771" s="12">
        <f t="shared" si="60"/>
        <v>2018</v>
      </c>
      <c r="H771" s="12" t="str">
        <f t="shared" si="61"/>
        <v>Junho</v>
      </c>
      <c r="I771" s="11">
        <f>INDEX(tbCadastroConsultas[],MATCH(tbConsultas[[#This Row],[PROFISSIONAL]],tbCadastroConsultas[PROFISSIONAL],0),3)</f>
        <v>301010072</v>
      </c>
      <c r="J771" s="11">
        <f>INDEX(tbCadastroConsultas[],MATCH(tbConsultas[[#This Row],[PROFISSIONAL]],tbCadastroConsultas[PROFISSIONAL],0),4)</f>
        <v>225133</v>
      </c>
    </row>
    <row r="772" spans="1:10">
      <c r="A772" s="11">
        <f t="shared" si="58"/>
        <v>771</v>
      </c>
      <c r="B772" s="4" t="s">
        <v>15</v>
      </c>
      <c r="C772" s="5">
        <v>28091968</v>
      </c>
      <c r="D772" s="5">
        <v>21052018</v>
      </c>
      <c r="E772" s="4">
        <v>49</v>
      </c>
      <c r="F772" s="15">
        <f t="shared" si="59"/>
        <v>43271</v>
      </c>
      <c r="G772" s="12">
        <f t="shared" si="60"/>
        <v>2018</v>
      </c>
      <c r="H772" s="12" t="str">
        <f t="shared" si="61"/>
        <v>Junho</v>
      </c>
      <c r="I772" s="11">
        <f>INDEX(tbCadastroConsultas[],MATCH(tbConsultas[[#This Row],[PROFISSIONAL]],tbCadastroConsultas[PROFISSIONAL],0),3)</f>
        <v>301010072</v>
      </c>
      <c r="J772" s="11">
        <f>INDEX(tbCadastroConsultas[],MATCH(tbConsultas[[#This Row],[PROFISSIONAL]],tbCadastroConsultas[PROFISSIONAL],0),4)</f>
        <v>225133</v>
      </c>
    </row>
    <row r="773" spans="1:10">
      <c r="A773" s="11">
        <f t="shared" si="58"/>
        <v>772</v>
      </c>
      <c r="B773" s="4" t="s">
        <v>15</v>
      </c>
      <c r="C773" s="5">
        <v>3081951</v>
      </c>
      <c r="D773" s="5">
        <v>21052018</v>
      </c>
      <c r="E773" s="4">
        <v>66</v>
      </c>
      <c r="F773" s="15">
        <f t="shared" si="59"/>
        <v>43271</v>
      </c>
      <c r="G773" s="12">
        <f t="shared" si="60"/>
        <v>2018</v>
      </c>
      <c r="H773" s="12" t="str">
        <f t="shared" si="61"/>
        <v>Junho</v>
      </c>
      <c r="I773" s="11">
        <f>INDEX(tbCadastroConsultas[],MATCH(tbConsultas[[#This Row],[PROFISSIONAL]],tbCadastroConsultas[PROFISSIONAL],0),3)</f>
        <v>301010072</v>
      </c>
      <c r="J773" s="11">
        <f>INDEX(tbCadastroConsultas[],MATCH(tbConsultas[[#This Row],[PROFISSIONAL]],tbCadastroConsultas[PROFISSIONAL],0),4)</f>
        <v>225133</v>
      </c>
    </row>
    <row r="774" spans="1:10">
      <c r="A774" s="11">
        <f t="shared" si="58"/>
        <v>773</v>
      </c>
      <c r="B774" s="4" t="s">
        <v>15</v>
      </c>
      <c r="C774" s="5">
        <v>23091967</v>
      </c>
      <c r="D774" s="5">
        <v>21052018</v>
      </c>
      <c r="E774" s="4">
        <v>50</v>
      </c>
      <c r="F774" s="15">
        <f t="shared" si="59"/>
        <v>43271</v>
      </c>
      <c r="G774" s="12">
        <f t="shared" si="60"/>
        <v>2018</v>
      </c>
      <c r="H774" s="12" t="str">
        <f t="shared" si="61"/>
        <v>Junho</v>
      </c>
      <c r="I774" s="11">
        <f>INDEX(tbCadastroConsultas[],MATCH(tbConsultas[[#This Row],[PROFISSIONAL]],tbCadastroConsultas[PROFISSIONAL],0),3)</f>
        <v>301010072</v>
      </c>
      <c r="J774" s="11">
        <f>INDEX(tbCadastroConsultas[],MATCH(tbConsultas[[#This Row],[PROFISSIONAL]],tbCadastroConsultas[PROFISSIONAL],0),4)</f>
        <v>225133</v>
      </c>
    </row>
    <row r="775" spans="1:10">
      <c r="A775" s="11">
        <f t="shared" si="58"/>
        <v>774</v>
      </c>
      <c r="B775" s="4" t="s">
        <v>15</v>
      </c>
      <c r="C775" s="5">
        <v>20091946</v>
      </c>
      <c r="D775" s="5">
        <v>21052018</v>
      </c>
      <c r="E775" s="4">
        <v>71</v>
      </c>
      <c r="F775" s="15">
        <f t="shared" si="59"/>
        <v>43271</v>
      </c>
      <c r="G775" s="12">
        <f t="shared" si="60"/>
        <v>2018</v>
      </c>
      <c r="H775" s="12" t="str">
        <f t="shared" si="61"/>
        <v>Junho</v>
      </c>
      <c r="I775" s="11">
        <f>INDEX(tbCadastroConsultas[],MATCH(tbConsultas[[#This Row],[PROFISSIONAL]],tbCadastroConsultas[PROFISSIONAL],0),3)</f>
        <v>301010072</v>
      </c>
      <c r="J775" s="11">
        <f>INDEX(tbCadastroConsultas[],MATCH(tbConsultas[[#This Row],[PROFISSIONAL]],tbCadastroConsultas[PROFISSIONAL],0),4)</f>
        <v>225133</v>
      </c>
    </row>
    <row r="776" spans="1:10">
      <c r="A776" s="11">
        <f t="shared" si="58"/>
        <v>775</v>
      </c>
      <c r="B776" s="4" t="s">
        <v>15</v>
      </c>
      <c r="C776" s="5">
        <v>1011959</v>
      </c>
      <c r="D776" s="5">
        <v>21052018</v>
      </c>
      <c r="E776" s="4">
        <v>59</v>
      </c>
      <c r="F776" s="15">
        <f t="shared" si="59"/>
        <v>43271</v>
      </c>
      <c r="G776" s="12">
        <f t="shared" si="60"/>
        <v>2018</v>
      </c>
      <c r="H776" s="12" t="str">
        <f t="shared" si="61"/>
        <v>Junho</v>
      </c>
      <c r="I776" s="11">
        <f>INDEX(tbCadastroConsultas[],MATCH(tbConsultas[[#This Row],[PROFISSIONAL]],tbCadastroConsultas[PROFISSIONAL],0),3)</f>
        <v>301010072</v>
      </c>
      <c r="J776" s="11">
        <f>INDEX(tbCadastroConsultas[],MATCH(tbConsultas[[#This Row],[PROFISSIONAL]],tbCadastroConsultas[PROFISSIONAL],0),4)</f>
        <v>225133</v>
      </c>
    </row>
    <row r="777" spans="1:10">
      <c r="A777" s="11">
        <f t="shared" ref="A777:A840" si="62">ROW() -1</f>
        <v>776</v>
      </c>
      <c r="B777" s="4" t="s">
        <v>15</v>
      </c>
      <c r="C777" s="5">
        <v>25021997</v>
      </c>
      <c r="D777" s="5">
        <v>21052018</v>
      </c>
      <c r="E777" s="4">
        <v>21</v>
      </c>
      <c r="F777" s="15">
        <f t="shared" si="59"/>
        <v>43271</v>
      </c>
      <c r="G777" s="12">
        <f t="shared" si="60"/>
        <v>2018</v>
      </c>
      <c r="H777" s="12" t="str">
        <f t="shared" si="61"/>
        <v>Junho</v>
      </c>
      <c r="I777" s="11">
        <f>INDEX(tbCadastroConsultas[],MATCH(tbConsultas[[#This Row],[PROFISSIONAL]],tbCadastroConsultas[PROFISSIONAL],0),3)</f>
        <v>301010072</v>
      </c>
      <c r="J777" s="11">
        <f>INDEX(tbCadastroConsultas[],MATCH(tbConsultas[[#This Row],[PROFISSIONAL]],tbCadastroConsultas[PROFISSIONAL],0),4)</f>
        <v>225133</v>
      </c>
    </row>
    <row r="778" spans="1:10">
      <c r="A778" s="11">
        <f t="shared" si="62"/>
        <v>777</v>
      </c>
      <c r="B778" s="4" t="s">
        <v>15</v>
      </c>
      <c r="C778" s="5">
        <v>15091964</v>
      </c>
      <c r="D778" s="5">
        <v>21052018</v>
      </c>
      <c r="E778" s="4">
        <v>53</v>
      </c>
      <c r="F778" s="15">
        <f t="shared" si="59"/>
        <v>43271</v>
      </c>
      <c r="G778" s="12">
        <f t="shared" si="60"/>
        <v>2018</v>
      </c>
      <c r="H778" s="12" t="str">
        <f t="shared" si="61"/>
        <v>Junho</v>
      </c>
      <c r="I778" s="11">
        <f>INDEX(tbCadastroConsultas[],MATCH(tbConsultas[[#This Row],[PROFISSIONAL]],tbCadastroConsultas[PROFISSIONAL],0),3)</f>
        <v>301010072</v>
      </c>
      <c r="J778" s="11">
        <f>INDEX(tbCadastroConsultas[],MATCH(tbConsultas[[#This Row],[PROFISSIONAL]],tbCadastroConsultas[PROFISSIONAL],0),4)</f>
        <v>225133</v>
      </c>
    </row>
    <row r="779" spans="1:10">
      <c r="A779" s="11">
        <f t="shared" si="62"/>
        <v>778</v>
      </c>
      <c r="B779" s="4" t="s">
        <v>15</v>
      </c>
      <c r="C779" s="5">
        <v>16071963</v>
      </c>
      <c r="D779" s="5">
        <v>21052018</v>
      </c>
      <c r="E779" s="4">
        <v>54</v>
      </c>
      <c r="F779" s="15">
        <f t="shared" si="59"/>
        <v>43271</v>
      </c>
      <c r="G779" s="12">
        <f t="shared" si="60"/>
        <v>2018</v>
      </c>
      <c r="H779" s="12" t="str">
        <f t="shared" si="61"/>
        <v>Junho</v>
      </c>
      <c r="I779" s="11">
        <f>INDEX(tbCadastroConsultas[],MATCH(tbConsultas[[#This Row],[PROFISSIONAL]],tbCadastroConsultas[PROFISSIONAL],0),3)</f>
        <v>301010072</v>
      </c>
      <c r="J779" s="11">
        <f>INDEX(tbCadastroConsultas[],MATCH(tbConsultas[[#This Row],[PROFISSIONAL]],tbCadastroConsultas[PROFISSIONAL],0),4)</f>
        <v>225133</v>
      </c>
    </row>
    <row r="780" spans="1:10">
      <c r="A780" s="11">
        <f t="shared" si="62"/>
        <v>779</v>
      </c>
      <c r="B780" s="4" t="s">
        <v>15</v>
      </c>
      <c r="C780" s="5">
        <v>17121985</v>
      </c>
      <c r="D780" s="5">
        <v>21052018</v>
      </c>
      <c r="E780" s="4">
        <v>32</v>
      </c>
      <c r="F780" s="15">
        <f t="shared" si="59"/>
        <v>43271</v>
      </c>
      <c r="G780" s="12">
        <f t="shared" si="60"/>
        <v>2018</v>
      </c>
      <c r="H780" s="12" t="str">
        <f t="shared" si="61"/>
        <v>Junho</v>
      </c>
      <c r="I780" s="11">
        <f>INDEX(tbCadastroConsultas[],MATCH(tbConsultas[[#This Row],[PROFISSIONAL]],tbCadastroConsultas[PROFISSIONAL],0),3)</f>
        <v>301010072</v>
      </c>
      <c r="J780" s="11">
        <f>INDEX(tbCadastroConsultas[],MATCH(tbConsultas[[#This Row],[PROFISSIONAL]],tbCadastroConsultas[PROFISSIONAL],0),4)</f>
        <v>225133</v>
      </c>
    </row>
    <row r="781" spans="1:10">
      <c r="A781" s="11">
        <f t="shared" si="62"/>
        <v>780</v>
      </c>
      <c r="B781" s="4" t="s">
        <v>15</v>
      </c>
      <c r="C781" s="5">
        <v>15091948</v>
      </c>
      <c r="D781" s="5">
        <v>21052018</v>
      </c>
      <c r="E781" s="4">
        <v>69</v>
      </c>
      <c r="F781" s="15">
        <f t="shared" si="59"/>
        <v>43271</v>
      </c>
      <c r="G781" s="12">
        <f t="shared" si="60"/>
        <v>2018</v>
      </c>
      <c r="H781" s="12" t="str">
        <f t="shared" si="61"/>
        <v>Junho</v>
      </c>
      <c r="I781" s="11">
        <f>INDEX(tbCadastroConsultas[],MATCH(tbConsultas[[#This Row],[PROFISSIONAL]],tbCadastroConsultas[PROFISSIONAL],0),3)</f>
        <v>301010072</v>
      </c>
      <c r="J781" s="11">
        <f>INDEX(tbCadastroConsultas[],MATCH(tbConsultas[[#This Row],[PROFISSIONAL]],tbCadastroConsultas[PROFISSIONAL],0),4)</f>
        <v>225133</v>
      </c>
    </row>
    <row r="782" spans="1:10">
      <c r="A782" s="11">
        <f t="shared" si="62"/>
        <v>781</v>
      </c>
      <c r="B782" s="4" t="s">
        <v>15</v>
      </c>
      <c r="C782" s="5">
        <v>27121999</v>
      </c>
      <c r="D782" s="5">
        <v>21052018</v>
      </c>
      <c r="E782" s="4">
        <v>18</v>
      </c>
      <c r="F782" s="15">
        <f t="shared" si="59"/>
        <v>43271</v>
      </c>
      <c r="G782" s="12">
        <f t="shared" si="60"/>
        <v>2018</v>
      </c>
      <c r="H782" s="12" t="str">
        <f t="shared" si="61"/>
        <v>Junho</v>
      </c>
      <c r="I782" s="11">
        <f>INDEX(tbCadastroConsultas[],MATCH(tbConsultas[[#This Row],[PROFISSIONAL]],tbCadastroConsultas[PROFISSIONAL],0),3)</f>
        <v>301010072</v>
      </c>
      <c r="J782" s="11">
        <f>INDEX(tbCadastroConsultas[],MATCH(tbConsultas[[#This Row],[PROFISSIONAL]],tbCadastroConsultas[PROFISSIONAL],0),4)</f>
        <v>225133</v>
      </c>
    </row>
    <row r="783" spans="1:10">
      <c r="A783" s="11">
        <f t="shared" si="62"/>
        <v>782</v>
      </c>
      <c r="B783" s="4" t="s">
        <v>15</v>
      </c>
      <c r="C783" s="5">
        <v>12121969</v>
      </c>
      <c r="D783" s="5">
        <v>21052018</v>
      </c>
      <c r="E783" s="4">
        <v>48</v>
      </c>
      <c r="F783" s="15">
        <f t="shared" si="59"/>
        <v>43271</v>
      </c>
      <c r="G783" s="12">
        <f t="shared" si="60"/>
        <v>2018</v>
      </c>
      <c r="H783" s="12" t="str">
        <f t="shared" si="61"/>
        <v>Junho</v>
      </c>
      <c r="I783" s="11">
        <f>INDEX(tbCadastroConsultas[],MATCH(tbConsultas[[#This Row],[PROFISSIONAL]],tbCadastroConsultas[PROFISSIONAL],0),3)</f>
        <v>301010072</v>
      </c>
      <c r="J783" s="11">
        <f>INDEX(tbCadastroConsultas[],MATCH(tbConsultas[[#This Row],[PROFISSIONAL]],tbCadastroConsultas[PROFISSIONAL],0),4)</f>
        <v>225133</v>
      </c>
    </row>
    <row r="784" spans="1:10">
      <c r="A784" s="11">
        <f t="shared" si="62"/>
        <v>783</v>
      </c>
      <c r="B784" s="4" t="s">
        <v>15</v>
      </c>
      <c r="C784" s="5">
        <v>28021984</v>
      </c>
      <c r="D784" s="5">
        <v>21052018</v>
      </c>
      <c r="E784" s="4">
        <v>34</v>
      </c>
      <c r="F784" s="15">
        <f t="shared" si="59"/>
        <v>43271</v>
      </c>
      <c r="G784" s="12">
        <f t="shared" si="60"/>
        <v>2018</v>
      </c>
      <c r="H784" s="12" t="str">
        <f t="shared" si="61"/>
        <v>Junho</v>
      </c>
      <c r="I784" s="11">
        <f>INDEX(tbCadastroConsultas[],MATCH(tbConsultas[[#This Row],[PROFISSIONAL]],tbCadastroConsultas[PROFISSIONAL],0),3)</f>
        <v>301010072</v>
      </c>
      <c r="J784" s="11">
        <f>INDEX(tbCadastroConsultas[],MATCH(tbConsultas[[#This Row],[PROFISSIONAL]],tbCadastroConsultas[PROFISSIONAL],0),4)</f>
        <v>225133</v>
      </c>
    </row>
    <row r="785" spans="1:10">
      <c r="A785" s="11">
        <f t="shared" si="62"/>
        <v>784</v>
      </c>
      <c r="B785" s="4" t="s">
        <v>15</v>
      </c>
      <c r="C785" s="5">
        <v>11041965</v>
      </c>
      <c r="D785" s="5">
        <v>21052018</v>
      </c>
      <c r="E785" s="4">
        <v>53</v>
      </c>
      <c r="F785" s="15">
        <f t="shared" si="59"/>
        <v>43271</v>
      </c>
      <c r="G785" s="12">
        <f t="shared" si="60"/>
        <v>2018</v>
      </c>
      <c r="H785" s="12" t="str">
        <f t="shared" si="61"/>
        <v>Junho</v>
      </c>
      <c r="I785" s="11">
        <f>INDEX(tbCadastroConsultas[],MATCH(tbConsultas[[#This Row],[PROFISSIONAL]],tbCadastroConsultas[PROFISSIONAL],0),3)</f>
        <v>301010072</v>
      </c>
      <c r="J785" s="11">
        <f>INDEX(tbCadastroConsultas[],MATCH(tbConsultas[[#This Row],[PROFISSIONAL]],tbCadastroConsultas[PROFISSIONAL],0),4)</f>
        <v>225133</v>
      </c>
    </row>
    <row r="786" spans="1:10">
      <c r="A786" s="11">
        <f t="shared" si="62"/>
        <v>785</v>
      </c>
      <c r="B786" s="4" t="s">
        <v>15</v>
      </c>
      <c r="C786" s="5">
        <v>20011957</v>
      </c>
      <c r="D786" s="5">
        <v>21052018</v>
      </c>
      <c r="E786" s="4">
        <v>61</v>
      </c>
      <c r="F786" s="15">
        <f t="shared" si="59"/>
        <v>43271</v>
      </c>
      <c r="G786" s="12">
        <f t="shared" si="60"/>
        <v>2018</v>
      </c>
      <c r="H786" s="12" t="str">
        <f t="shared" si="61"/>
        <v>Junho</v>
      </c>
      <c r="I786" s="11">
        <f>INDEX(tbCadastroConsultas[],MATCH(tbConsultas[[#This Row],[PROFISSIONAL]],tbCadastroConsultas[PROFISSIONAL],0),3)</f>
        <v>301010072</v>
      </c>
      <c r="J786" s="11">
        <f>INDEX(tbCadastroConsultas[],MATCH(tbConsultas[[#This Row],[PROFISSIONAL]],tbCadastroConsultas[PROFISSIONAL],0),4)</f>
        <v>225133</v>
      </c>
    </row>
    <row r="787" spans="1:10">
      <c r="A787" s="11">
        <f t="shared" si="62"/>
        <v>786</v>
      </c>
      <c r="B787" s="4" t="s">
        <v>15</v>
      </c>
      <c r="C787" s="5">
        <v>25081965</v>
      </c>
      <c r="D787" s="5">
        <v>21052018</v>
      </c>
      <c r="E787" s="4">
        <v>52</v>
      </c>
      <c r="F787" s="15">
        <f t="shared" si="59"/>
        <v>43271</v>
      </c>
      <c r="G787" s="12">
        <f t="shared" si="60"/>
        <v>2018</v>
      </c>
      <c r="H787" s="12" t="str">
        <f t="shared" si="61"/>
        <v>Junho</v>
      </c>
      <c r="I787" s="11">
        <f>INDEX(tbCadastroConsultas[],MATCH(tbConsultas[[#This Row],[PROFISSIONAL]],tbCadastroConsultas[PROFISSIONAL],0),3)</f>
        <v>301010072</v>
      </c>
      <c r="J787" s="11">
        <f>INDEX(tbCadastroConsultas[],MATCH(tbConsultas[[#This Row],[PROFISSIONAL]],tbCadastroConsultas[PROFISSIONAL],0),4)</f>
        <v>225133</v>
      </c>
    </row>
    <row r="788" spans="1:10">
      <c r="A788" s="11">
        <f t="shared" si="62"/>
        <v>787</v>
      </c>
      <c r="B788" s="4" t="s">
        <v>15</v>
      </c>
      <c r="C788" s="5">
        <v>22061956</v>
      </c>
      <c r="D788" s="5">
        <v>21052018</v>
      </c>
      <c r="E788" s="4">
        <v>61</v>
      </c>
      <c r="F788" s="15">
        <f t="shared" si="59"/>
        <v>43271</v>
      </c>
      <c r="G788" s="12">
        <f t="shared" si="60"/>
        <v>2018</v>
      </c>
      <c r="H788" s="12" t="str">
        <f t="shared" si="61"/>
        <v>Junho</v>
      </c>
      <c r="I788" s="11">
        <f>INDEX(tbCadastroConsultas[],MATCH(tbConsultas[[#This Row],[PROFISSIONAL]],tbCadastroConsultas[PROFISSIONAL],0),3)</f>
        <v>301010072</v>
      </c>
      <c r="J788" s="11">
        <f>INDEX(tbCadastroConsultas[],MATCH(tbConsultas[[#This Row],[PROFISSIONAL]],tbCadastroConsultas[PROFISSIONAL],0),4)</f>
        <v>225133</v>
      </c>
    </row>
    <row r="789" spans="1:10">
      <c r="A789" s="11">
        <f t="shared" si="62"/>
        <v>788</v>
      </c>
      <c r="B789" s="4" t="s">
        <v>2</v>
      </c>
      <c r="C789" s="5">
        <v>31071955</v>
      </c>
      <c r="D789" s="5">
        <v>21052018</v>
      </c>
      <c r="E789" s="4">
        <v>62</v>
      </c>
      <c r="F789" s="15">
        <f t="shared" si="59"/>
        <v>43271</v>
      </c>
      <c r="G789" s="12">
        <f t="shared" si="60"/>
        <v>2018</v>
      </c>
      <c r="H789" s="12" t="str">
        <f t="shared" si="61"/>
        <v>Junho</v>
      </c>
      <c r="I789" s="11">
        <f>INDEX(tbCadastroConsultas[],MATCH(tbConsultas[[#This Row],[PROFISSIONAL]],tbCadastroConsultas[PROFISSIONAL],0),3)</f>
        <v>301010030</v>
      </c>
      <c r="J789" s="11">
        <f>INDEX(tbCadastroConsultas[],MATCH(tbConsultas[[#This Row],[PROFISSIONAL]],tbCadastroConsultas[PROFISSIONAL],0),4)</f>
        <v>223505</v>
      </c>
    </row>
    <row r="790" spans="1:10">
      <c r="A790" s="11">
        <f t="shared" si="62"/>
        <v>789</v>
      </c>
      <c r="B790" s="4" t="s">
        <v>2</v>
      </c>
      <c r="C790" s="5">
        <v>21091953</v>
      </c>
      <c r="D790" s="5">
        <v>21052018</v>
      </c>
      <c r="E790" s="4">
        <v>64</v>
      </c>
      <c r="F790" s="15">
        <f t="shared" si="59"/>
        <v>43271</v>
      </c>
      <c r="G790" s="12">
        <f t="shared" si="60"/>
        <v>2018</v>
      </c>
      <c r="H790" s="12" t="str">
        <f t="shared" si="61"/>
        <v>Junho</v>
      </c>
      <c r="I790" s="11">
        <f>INDEX(tbCadastroConsultas[],MATCH(tbConsultas[[#This Row],[PROFISSIONAL]],tbCadastroConsultas[PROFISSIONAL],0),3)</f>
        <v>301010030</v>
      </c>
      <c r="J790" s="11">
        <f>INDEX(tbCadastroConsultas[],MATCH(tbConsultas[[#This Row],[PROFISSIONAL]],tbCadastroConsultas[PROFISSIONAL],0),4)</f>
        <v>223505</v>
      </c>
    </row>
    <row r="791" spans="1:10">
      <c r="A791" s="11">
        <f t="shared" si="62"/>
        <v>790</v>
      </c>
      <c r="B791" s="4" t="s">
        <v>2</v>
      </c>
      <c r="C791" s="5">
        <v>10091988</v>
      </c>
      <c r="D791" s="5">
        <v>21052018</v>
      </c>
      <c r="E791" s="4">
        <v>29</v>
      </c>
      <c r="F791" s="15">
        <f t="shared" si="59"/>
        <v>43271</v>
      </c>
      <c r="G791" s="12">
        <f t="shared" si="60"/>
        <v>2018</v>
      </c>
      <c r="H791" s="12" t="str">
        <f t="shared" si="61"/>
        <v>Junho</v>
      </c>
      <c r="I791" s="11">
        <f>INDEX(tbCadastroConsultas[],MATCH(tbConsultas[[#This Row],[PROFISSIONAL]],tbCadastroConsultas[PROFISSIONAL],0),3)</f>
        <v>301010030</v>
      </c>
      <c r="J791" s="11">
        <f>INDEX(tbCadastroConsultas[],MATCH(tbConsultas[[#This Row],[PROFISSIONAL]],tbCadastroConsultas[PROFISSIONAL],0),4)</f>
        <v>223505</v>
      </c>
    </row>
    <row r="792" spans="1:10">
      <c r="A792" s="11">
        <f t="shared" si="62"/>
        <v>791</v>
      </c>
      <c r="B792" s="4" t="s">
        <v>2</v>
      </c>
      <c r="C792" s="5">
        <v>15021951</v>
      </c>
      <c r="D792" s="5">
        <v>21052018</v>
      </c>
      <c r="E792" s="4">
        <v>67</v>
      </c>
      <c r="F792" s="15">
        <f t="shared" si="59"/>
        <v>43271</v>
      </c>
      <c r="G792" s="12">
        <f t="shared" si="60"/>
        <v>2018</v>
      </c>
      <c r="H792" s="12" t="str">
        <f t="shared" si="61"/>
        <v>Junho</v>
      </c>
      <c r="I792" s="11">
        <f>INDEX(tbCadastroConsultas[],MATCH(tbConsultas[[#This Row],[PROFISSIONAL]],tbCadastroConsultas[PROFISSIONAL],0),3)</f>
        <v>301010030</v>
      </c>
      <c r="J792" s="11">
        <f>INDEX(tbCadastroConsultas[],MATCH(tbConsultas[[#This Row],[PROFISSIONAL]],tbCadastroConsultas[PROFISSIONAL],0),4)</f>
        <v>223505</v>
      </c>
    </row>
    <row r="793" spans="1:10">
      <c r="A793" s="11">
        <f t="shared" si="62"/>
        <v>792</v>
      </c>
      <c r="B793" s="4" t="s">
        <v>2</v>
      </c>
      <c r="C793" s="5">
        <v>27111977</v>
      </c>
      <c r="D793" s="5">
        <v>21052018</v>
      </c>
      <c r="E793" s="4">
        <v>40</v>
      </c>
      <c r="F793" s="15">
        <f t="shared" si="59"/>
        <v>43271</v>
      </c>
      <c r="G793" s="12">
        <f t="shared" si="60"/>
        <v>2018</v>
      </c>
      <c r="H793" s="12" t="str">
        <f t="shared" si="61"/>
        <v>Junho</v>
      </c>
      <c r="I793" s="11">
        <f>INDEX(tbCadastroConsultas[],MATCH(tbConsultas[[#This Row],[PROFISSIONAL]],tbCadastroConsultas[PROFISSIONAL],0),3)</f>
        <v>301010030</v>
      </c>
      <c r="J793" s="11">
        <f>INDEX(tbCadastroConsultas[],MATCH(tbConsultas[[#This Row],[PROFISSIONAL]],tbCadastroConsultas[PROFISSIONAL],0),4)</f>
        <v>223505</v>
      </c>
    </row>
    <row r="794" spans="1:10">
      <c r="A794" s="11">
        <f t="shared" si="62"/>
        <v>793</v>
      </c>
      <c r="B794" s="4" t="s">
        <v>2</v>
      </c>
      <c r="C794" s="5">
        <v>1102007</v>
      </c>
      <c r="D794" s="5">
        <v>21052018</v>
      </c>
      <c r="E794" s="4">
        <v>10</v>
      </c>
      <c r="F794" s="15">
        <f t="shared" si="59"/>
        <v>43271</v>
      </c>
      <c r="G794" s="12">
        <f t="shared" si="60"/>
        <v>2018</v>
      </c>
      <c r="H794" s="12" t="str">
        <f t="shared" si="61"/>
        <v>Junho</v>
      </c>
      <c r="I794" s="11">
        <f>INDEX(tbCadastroConsultas[],MATCH(tbConsultas[[#This Row],[PROFISSIONAL]],tbCadastroConsultas[PROFISSIONAL],0),3)</f>
        <v>301010030</v>
      </c>
      <c r="J794" s="11">
        <f>INDEX(tbCadastroConsultas[],MATCH(tbConsultas[[#This Row],[PROFISSIONAL]],tbCadastroConsultas[PROFISSIONAL],0),4)</f>
        <v>223505</v>
      </c>
    </row>
    <row r="795" spans="1:10">
      <c r="A795" s="11">
        <f t="shared" si="62"/>
        <v>794</v>
      </c>
      <c r="B795" s="4" t="s">
        <v>2</v>
      </c>
      <c r="C795" s="5">
        <v>28081982</v>
      </c>
      <c r="D795" s="5">
        <v>21052018</v>
      </c>
      <c r="E795" s="4">
        <v>35</v>
      </c>
      <c r="F795" s="15">
        <f t="shared" si="59"/>
        <v>43271</v>
      </c>
      <c r="G795" s="12">
        <f t="shared" si="60"/>
        <v>2018</v>
      </c>
      <c r="H795" s="12" t="str">
        <f t="shared" si="61"/>
        <v>Junho</v>
      </c>
      <c r="I795" s="11">
        <f>INDEX(tbCadastroConsultas[],MATCH(tbConsultas[[#This Row],[PROFISSIONAL]],tbCadastroConsultas[PROFISSIONAL],0),3)</f>
        <v>301010030</v>
      </c>
      <c r="J795" s="11">
        <f>INDEX(tbCadastroConsultas[],MATCH(tbConsultas[[#This Row],[PROFISSIONAL]],tbCadastroConsultas[PROFISSIONAL],0),4)</f>
        <v>223505</v>
      </c>
    </row>
    <row r="796" spans="1:10">
      <c r="A796" s="11">
        <f t="shared" si="62"/>
        <v>795</v>
      </c>
      <c r="B796" s="4" t="s">
        <v>2</v>
      </c>
      <c r="C796" s="5">
        <v>13051997</v>
      </c>
      <c r="D796" s="5">
        <v>21052018</v>
      </c>
      <c r="E796" s="4">
        <v>21</v>
      </c>
      <c r="F796" s="15">
        <f t="shared" si="59"/>
        <v>43271</v>
      </c>
      <c r="G796" s="12">
        <f t="shared" si="60"/>
        <v>2018</v>
      </c>
      <c r="H796" s="12" t="str">
        <f t="shared" si="61"/>
        <v>Junho</v>
      </c>
      <c r="I796" s="11">
        <f>INDEX(tbCadastroConsultas[],MATCH(tbConsultas[[#This Row],[PROFISSIONAL]],tbCadastroConsultas[PROFISSIONAL],0),3)</f>
        <v>301010030</v>
      </c>
      <c r="J796" s="11">
        <f>INDEX(tbCadastroConsultas[],MATCH(tbConsultas[[#This Row],[PROFISSIONAL]],tbCadastroConsultas[PROFISSIONAL],0),4)</f>
        <v>223505</v>
      </c>
    </row>
    <row r="797" spans="1:10">
      <c r="A797" s="11">
        <f t="shared" si="62"/>
        <v>796</v>
      </c>
      <c r="B797" s="4" t="s">
        <v>3</v>
      </c>
      <c r="C797" s="5">
        <v>8021983</v>
      </c>
      <c r="D797" s="5">
        <v>21052018</v>
      </c>
      <c r="E797" s="4">
        <v>35</v>
      </c>
      <c r="F797" s="15">
        <f t="shared" si="59"/>
        <v>43271</v>
      </c>
      <c r="G797" s="12">
        <f t="shared" si="60"/>
        <v>2018</v>
      </c>
      <c r="H797" s="12" t="str">
        <f t="shared" si="61"/>
        <v>Junho</v>
      </c>
      <c r="I797" s="11">
        <f>INDEX(tbCadastroConsultas[],MATCH(tbConsultas[[#This Row],[PROFISSIONAL]],tbCadastroConsultas[PROFISSIONAL],0),3)</f>
        <v>301010110</v>
      </c>
      <c r="J797" s="11">
        <f>INDEX(tbCadastroConsultas[],MATCH(tbConsultas[[#This Row],[PROFISSIONAL]],tbCadastroConsultas[PROFISSIONAL],0),4)</f>
        <v>225250</v>
      </c>
    </row>
    <row r="798" spans="1:10">
      <c r="A798" s="11">
        <f t="shared" si="62"/>
        <v>797</v>
      </c>
      <c r="B798" s="4" t="s">
        <v>3</v>
      </c>
      <c r="C798" s="5">
        <v>25121995</v>
      </c>
      <c r="D798" s="5">
        <v>21052018</v>
      </c>
      <c r="E798" s="4">
        <v>22</v>
      </c>
      <c r="F798" s="15">
        <f t="shared" si="59"/>
        <v>43271</v>
      </c>
      <c r="G798" s="12">
        <f t="shared" si="60"/>
        <v>2018</v>
      </c>
      <c r="H798" s="12" t="str">
        <f t="shared" si="61"/>
        <v>Junho</v>
      </c>
      <c r="I798" s="11">
        <f>INDEX(tbCadastroConsultas[],MATCH(tbConsultas[[#This Row],[PROFISSIONAL]],tbCadastroConsultas[PROFISSIONAL],0),3)</f>
        <v>301010110</v>
      </c>
      <c r="J798" s="11">
        <f>INDEX(tbCadastroConsultas[],MATCH(tbConsultas[[#This Row],[PROFISSIONAL]],tbCadastroConsultas[PROFISSIONAL],0),4)</f>
        <v>225250</v>
      </c>
    </row>
    <row r="799" spans="1:10">
      <c r="A799" s="11">
        <f t="shared" si="62"/>
        <v>798</v>
      </c>
      <c r="B799" s="4" t="s">
        <v>3</v>
      </c>
      <c r="C799" s="5">
        <v>22021979</v>
      </c>
      <c r="D799" s="5">
        <v>21052018</v>
      </c>
      <c r="E799" s="4">
        <v>39</v>
      </c>
      <c r="F799" s="15">
        <f t="shared" si="59"/>
        <v>43271</v>
      </c>
      <c r="G799" s="12">
        <f t="shared" si="60"/>
        <v>2018</v>
      </c>
      <c r="H799" s="12" t="str">
        <f t="shared" si="61"/>
        <v>Junho</v>
      </c>
      <c r="I799" s="11">
        <f>INDEX(tbCadastroConsultas[],MATCH(tbConsultas[[#This Row],[PROFISSIONAL]],tbCadastroConsultas[PROFISSIONAL],0),3)</f>
        <v>301010110</v>
      </c>
      <c r="J799" s="11">
        <f>INDEX(tbCadastroConsultas[],MATCH(tbConsultas[[#This Row],[PROFISSIONAL]],tbCadastroConsultas[PROFISSIONAL],0),4)</f>
        <v>225250</v>
      </c>
    </row>
    <row r="800" spans="1:10">
      <c r="A800" s="11">
        <f t="shared" si="62"/>
        <v>799</v>
      </c>
      <c r="B800" s="4" t="s">
        <v>3</v>
      </c>
      <c r="C800" s="5">
        <v>22101993</v>
      </c>
      <c r="D800" s="5">
        <v>21052018</v>
      </c>
      <c r="E800" s="4">
        <v>24</v>
      </c>
      <c r="F800" s="15">
        <f t="shared" si="59"/>
        <v>43271</v>
      </c>
      <c r="G800" s="12">
        <f t="shared" si="60"/>
        <v>2018</v>
      </c>
      <c r="H800" s="12" t="str">
        <f t="shared" si="61"/>
        <v>Junho</v>
      </c>
      <c r="I800" s="11">
        <f>INDEX(tbCadastroConsultas[],MATCH(tbConsultas[[#This Row],[PROFISSIONAL]],tbCadastroConsultas[PROFISSIONAL],0),3)</f>
        <v>301010110</v>
      </c>
      <c r="J800" s="11">
        <f>INDEX(tbCadastroConsultas[],MATCH(tbConsultas[[#This Row],[PROFISSIONAL]],tbCadastroConsultas[PROFISSIONAL],0),4)</f>
        <v>225250</v>
      </c>
    </row>
    <row r="801" spans="1:10">
      <c r="A801" s="11">
        <f t="shared" si="62"/>
        <v>800</v>
      </c>
      <c r="B801" s="4" t="s">
        <v>4</v>
      </c>
      <c r="C801" s="5">
        <v>28091979</v>
      </c>
      <c r="D801" s="5">
        <v>21052018</v>
      </c>
      <c r="E801" s="4">
        <v>38</v>
      </c>
      <c r="F801" s="15">
        <f t="shared" si="59"/>
        <v>43271</v>
      </c>
      <c r="G801" s="12">
        <f t="shared" si="60"/>
        <v>2018</v>
      </c>
      <c r="H801" s="12" t="str">
        <f t="shared" si="61"/>
        <v>Junho</v>
      </c>
      <c r="I801" s="11">
        <f>INDEX(tbCadastroConsultas[],MATCH(tbConsultas[[#This Row],[PROFISSIONAL]],tbCadastroConsultas[PROFISSIONAL],0),3)</f>
        <v>301010064</v>
      </c>
      <c r="J801" s="11">
        <f>INDEX(tbCadastroConsultas[],MATCH(tbConsultas[[#This Row],[PROFISSIONAL]],tbCadastroConsultas[PROFISSIONAL],0),4)</f>
        <v>225250</v>
      </c>
    </row>
    <row r="802" spans="1:10">
      <c r="A802" s="11">
        <f t="shared" si="62"/>
        <v>801</v>
      </c>
      <c r="B802" s="4" t="s">
        <v>4</v>
      </c>
      <c r="C802" s="5">
        <v>23031975</v>
      </c>
      <c r="D802" s="5">
        <v>21052018</v>
      </c>
      <c r="E802" s="4">
        <v>43</v>
      </c>
      <c r="F802" s="15">
        <f t="shared" si="59"/>
        <v>43271</v>
      </c>
      <c r="G802" s="12">
        <f t="shared" si="60"/>
        <v>2018</v>
      </c>
      <c r="H802" s="12" t="str">
        <f t="shared" si="61"/>
        <v>Junho</v>
      </c>
      <c r="I802" s="11">
        <f>INDEX(tbCadastroConsultas[],MATCH(tbConsultas[[#This Row],[PROFISSIONAL]],tbCadastroConsultas[PROFISSIONAL],0),3)</f>
        <v>301010064</v>
      </c>
      <c r="J802" s="11">
        <f>INDEX(tbCadastroConsultas[],MATCH(tbConsultas[[#This Row],[PROFISSIONAL]],tbCadastroConsultas[PROFISSIONAL],0),4)</f>
        <v>225250</v>
      </c>
    </row>
    <row r="803" spans="1:10">
      <c r="A803" s="11">
        <f t="shared" si="62"/>
        <v>802</v>
      </c>
      <c r="B803" s="4" t="s">
        <v>4</v>
      </c>
      <c r="C803" s="5">
        <v>25111950</v>
      </c>
      <c r="D803" s="5">
        <v>21052018</v>
      </c>
      <c r="E803" s="4">
        <v>67</v>
      </c>
      <c r="F803" s="15">
        <f t="shared" si="59"/>
        <v>43271</v>
      </c>
      <c r="G803" s="12">
        <f t="shared" si="60"/>
        <v>2018</v>
      </c>
      <c r="H803" s="12" t="str">
        <f t="shared" si="61"/>
        <v>Junho</v>
      </c>
      <c r="I803" s="11">
        <f>INDEX(tbCadastroConsultas[],MATCH(tbConsultas[[#This Row],[PROFISSIONAL]],tbCadastroConsultas[PROFISSIONAL],0),3)</f>
        <v>301010064</v>
      </c>
      <c r="J803" s="11">
        <f>INDEX(tbCadastroConsultas[],MATCH(tbConsultas[[#This Row],[PROFISSIONAL]],tbCadastroConsultas[PROFISSIONAL],0),4)</f>
        <v>225250</v>
      </c>
    </row>
    <row r="804" spans="1:10">
      <c r="A804" s="11">
        <f t="shared" si="62"/>
        <v>803</v>
      </c>
      <c r="B804" s="4" t="s">
        <v>4</v>
      </c>
      <c r="C804" s="5">
        <v>14121969</v>
      </c>
      <c r="D804" s="5">
        <v>21052018</v>
      </c>
      <c r="E804" s="4">
        <v>48</v>
      </c>
      <c r="F804" s="15">
        <f t="shared" si="59"/>
        <v>43271</v>
      </c>
      <c r="G804" s="12">
        <f t="shared" si="60"/>
        <v>2018</v>
      </c>
      <c r="H804" s="12" t="str">
        <f t="shared" si="61"/>
        <v>Junho</v>
      </c>
      <c r="I804" s="11">
        <f>INDEX(tbCadastroConsultas[],MATCH(tbConsultas[[#This Row],[PROFISSIONAL]],tbCadastroConsultas[PROFISSIONAL],0),3)</f>
        <v>301010064</v>
      </c>
      <c r="J804" s="11">
        <f>INDEX(tbCadastroConsultas[],MATCH(tbConsultas[[#This Row],[PROFISSIONAL]],tbCadastroConsultas[PROFISSIONAL],0),4)</f>
        <v>225250</v>
      </c>
    </row>
    <row r="805" spans="1:10">
      <c r="A805" s="11">
        <f t="shared" si="62"/>
        <v>804</v>
      </c>
      <c r="B805" s="4" t="s">
        <v>4</v>
      </c>
      <c r="C805" s="5">
        <v>9041995</v>
      </c>
      <c r="D805" s="5">
        <v>21052018</v>
      </c>
      <c r="E805" s="4">
        <v>23</v>
      </c>
      <c r="F805" s="15">
        <f t="shared" si="59"/>
        <v>43271</v>
      </c>
      <c r="G805" s="12">
        <f t="shared" si="60"/>
        <v>2018</v>
      </c>
      <c r="H805" s="12" t="str">
        <f t="shared" si="61"/>
        <v>Junho</v>
      </c>
      <c r="I805" s="11">
        <f>INDEX(tbCadastroConsultas[],MATCH(tbConsultas[[#This Row],[PROFISSIONAL]],tbCadastroConsultas[PROFISSIONAL],0),3)</f>
        <v>301010064</v>
      </c>
      <c r="J805" s="11">
        <f>INDEX(tbCadastroConsultas[],MATCH(tbConsultas[[#This Row],[PROFISSIONAL]],tbCadastroConsultas[PROFISSIONAL],0),4)</f>
        <v>225250</v>
      </c>
    </row>
    <row r="806" spans="1:10">
      <c r="A806" s="11">
        <f t="shared" si="62"/>
        <v>805</v>
      </c>
      <c r="B806" s="4" t="s">
        <v>4</v>
      </c>
      <c r="C806" s="5">
        <v>7121985</v>
      </c>
      <c r="D806" s="5">
        <v>21052018</v>
      </c>
      <c r="E806" s="4">
        <v>32</v>
      </c>
      <c r="F806" s="15">
        <f t="shared" si="59"/>
        <v>43271</v>
      </c>
      <c r="G806" s="12">
        <f t="shared" si="60"/>
        <v>2018</v>
      </c>
      <c r="H806" s="12" t="str">
        <f t="shared" si="61"/>
        <v>Junho</v>
      </c>
      <c r="I806" s="11">
        <f>INDEX(tbCadastroConsultas[],MATCH(tbConsultas[[#This Row],[PROFISSIONAL]],tbCadastroConsultas[PROFISSIONAL],0),3)</f>
        <v>301010064</v>
      </c>
      <c r="J806" s="11">
        <f>INDEX(tbCadastroConsultas[],MATCH(tbConsultas[[#This Row],[PROFISSIONAL]],tbCadastroConsultas[PROFISSIONAL],0),4)</f>
        <v>225250</v>
      </c>
    </row>
    <row r="807" spans="1:10">
      <c r="A807" s="11">
        <f t="shared" si="62"/>
        <v>806</v>
      </c>
      <c r="B807" s="4" t="s">
        <v>4</v>
      </c>
      <c r="C807" s="5">
        <v>28011969</v>
      </c>
      <c r="D807" s="5">
        <v>21052018</v>
      </c>
      <c r="E807" s="4">
        <v>49</v>
      </c>
      <c r="F807" s="15">
        <f t="shared" si="59"/>
        <v>43271</v>
      </c>
      <c r="G807" s="12">
        <f t="shared" si="60"/>
        <v>2018</v>
      </c>
      <c r="H807" s="12" t="str">
        <f t="shared" si="61"/>
        <v>Junho</v>
      </c>
      <c r="I807" s="11">
        <f>INDEX(tbCadastroConsultas[],MATCH(tbConsultas[[#This Row],[PROFISSIONAL]],tbCadastroConsultas[PROFISSIONAL],0),3)</f>
        <v>301010064</v>
      </c>
      <c r="J807" s="11">
        <f>INDEX(tbCadastroConsultas[],MATCH(tbConsultas[[#This Row],[PROFISSIONAL]],tbCadastroConsultas[PROFISSIONAL],0),4)</f>
        <v>225250</v>
      </c>
    </row>
    <row r="808" spans="1:10">
      <c r="A808" s="11">
        <f t="shared" si="62"/>
        <v>807</v>
      </c>
      <c r="B808" s="4" t="s">
        <v>4</v>
      </c>
      <c r="C808" s="5">
        <v>11011985</v>
      </c>
      <c r="D808" s="5">
        <v>21052018</v>
      </c>
      <c r="E808" s="4">
        <v>33</v>
      </c>
      <c r="F808" s="15">
        <f t="shared" si="59"/>
        <v>43271</v>
      </c>
      <c r="G808" s="12">
        <f t="shared" si="60"/>
        <v>2018</v>
      </c>
      <c r="H808" s="12" t="str">
        <f t="shared" si="61"/>
        <v>Junho</v>
      </c>
      <c r="I808" s="11">
        <f>INDEX(tbCadastroConsultas[],MATCH(tbConsultas[[#This Row],[PROFISSIONAL]],tbCadastroConsultas[PROFISSIONAL],0),3)</f>
        <v>301010064</v>
      </c>
      <c r="J808" s="11">
        <f>INDEX(tbCadastroConsultas[],MATCH(tbConsultas[[#This Row],[PROFISSIONAL]],tbCadastroConsultas[PROFISSIONAL],0),4)</f>
        <v>225250</v>
      </c>
    </row>
    <row r="809" spans="1:10">
      <c r="A809" s="11">
        <f t="shared" si="62"/>
        <v>808</v>
      </c>
      <c r="B809" s="4" t="s">
        <v>12</v>
      </c>
      <c r="C809" s="5">
        <v>30112012</v>
      </c>
      <c r="D809" s="5">
        <v>21052018</v>
      </c>
      <c r="E809" s="4">
        <v>5</v>
      </c>
      <c r="F809" s="15">
        <f t="shared" si="59"/>
        <v>43271</v>
      </c>
      <c r="G809" s="12">
        <f t="shared" si="60"/>
        <v>2018</v>
      </c>
      <c r="H809" s="12" t="str">
        <f t="shared" si="61"/>
        <v>Junho</v>
      </c>
      <c r="I809" s="11">
        <f>INDEX(tbCadastroConsultas[],MATCH(tbConsultas[[#This Row],[PROFISSIONAL]],tbCadastroConsultas[PROFISSIONAL],0),3)</f>
        <v>301010030</v>
      </c>
      <c r="J809" s="11">
        <f>INDEX(tbCadastroConsultas[],MATCH(tbConsultas[[#This Row],[PROFISSIONAL]],tbCadastroConsultas[PROFISSIONAL],0),4)</f>
        <v>223710</v>
      </c>
    </row>
    <row r="810" spans="1:10">
      <c r="A810" s="11">
        <f t="shared" si="62"/>
        <v>809</v>
      </c>
      <c r="B810" s="4" t="s">
        <v>12</v>
      </c>
      <c r="C810" s="5">
        <v>28071993</v>
      </c>
      <c r="D810" s="5">
        <v>21052018</v>
      </c>
      <c r="E810" s="4">
        <v>24</v>
      </c>
      <c r="F810" s="15">
        <f t="shared" si="59"/>
        <v>43271</v>
      </c>
      <c r="G810" s="12">
        <f t="shared" si="60"/>
        <v>2018</v>
      </c>
      <c r="H810" s="12" t="str">
        <f t="shared" si="61"/>
        <v>Junho</v>
      </c>
      <c r="I810" s="11">
        <f>INDEX(tbCadastroConsultas[],MATCH(tbConsultas[[#This Row],[PROFISSIONAL]],tbCadastroConsultas[PROFISSIONAL],0),3)</f>
        <v>301010030</v>
      </c>
      <c r="J810" s="11">
        <f>INDEX(tbCadastroConsultas[],MATCH(tbConsultas[[#This Row],[PROFISSIONAL]],tbCadastroConsultas[PROFISSIONAL],0),4)</f>
        <v>223710</v>
      </c>
    </row>
    <row r="811" spans="1:10">
      <c r="A811" s="11">
        <f t="shared" si="62"/>
        <v>810</v>
      </c>
      <c r="B811" s="4" t="s">
        <v>12</v>
      </c>
      <c r="C811" s="5">
        <v>18091963</v>
      </c>
      <c r="D811" s="5">
        <v>21052018</v>
      </c>
      <c r="E811" s="4">
        <v>54</v>
      </c>
      <c r="F811" s="15">
        <f t="shared" si="59"/>
        <v>43271</v>
      </c>
      <c r="G811" s="12">
        <f t="shared" si="60"/>
        <v>2018</v>
      </c>
      <c r="H811" s="12" t="str">
        <f t="shared" si="61"/>
        <v>Junho</v>
      </c>
      <c r="I811" s="11">
        <f>INDEX(tbCadastroConsultas[],MATCH(tbConsultas[[#This Row],[PROFISSIONAL]],tbCadastroConsultas[PROFISSIONAL],0),3)</f>
        <v>301010030</v>
      </c>
      <c r="J811" s="11">
        <f>INDEX(tbCadastroConsultas[],MATCH(tbConsultas[[#This Row],[PROFISSIONAL]],tbCadastroConsultas[PROFISSIONAL],0),4)</f>
        <v>223710</v>
      </c>
    </row>
    <row r="812" spans="1:10">
      <c r="A812" s="11">
        <f t="shared" si="62"/>
        <v>811</v>
      </c>
      <c r="B812" s="4" t="s">
        <v>12</v>
      </c>
      <c r="C812" s="5">
        <v>18072006</v>
      </c>
      <c r="D812" s="5">
        <v>21052018</v>
      </c>
      <c r="E812" s="4">
        <v>11</v>
      </c>
      <c r="F812" s="15">
        <f t="shared" si="59"/>
        <v>43271</v>
      </c>
      <c r="G812" s="12">
        <f t="shared" si="60"/>
        <v>2018</v>
      </c>
      <c r="H812" s="12" t="str">
        <f t="shared" si="61"/>
        <v>Junho</v>
      </c>
      <c r="I812" s="11">
        <f>INDEX(tbCadastroConsultas[],MATCH(tbConsultas[[#This Row],[PROFISSIONAL]],tbCadastroConsultas[PROFISSIONAL],0),3)</f>
        <v>301010030</v>
      </c>
      <c r="J812" s="11">
        <f>INDEX(tbCadastroConsultas[],MATCH(tbConsultas[[#This Row],[PROFISSIONAL]],tbCadastroConsultas[PROFISSIONAL],0),4)</f>
        <v>223710</v>
      </c>
    </row>
    <row r="813" spans="1:10">
      <c r="A813" s="11">
        <f t="shared" si="62"/>
        <v>812</v>
      </c>
      <c r="B813" s="4" t="s">
        <v>12</v>
      </c>
      <c r="C813" s="5">
        <v>18041987</v>
      </c>
      <c r="D813" s="5">
        <v>21052018</v>
      </c>
      <c r="E813" s="4">
        <v>31</v>
      </c>
      <c r="F813" s="15">
        <f t="shared" si="59"/>
        <v>43271</v>
      </c>
      <c r="G813" s="12">
        <f t="shared" si="60"/>
        <v>2018</v>
      </c>
      <c r="H813" s="12" t="str">
        <f t="shared" si="61"/>
        <v>Junho</v>
      </c>
      <c r="I813" s="11">
        <f>INDEX(tbCadastroConsultas[],MATCH(tbConsultas[[#This Row],[PROFISSIONAL]],tbCadastroConsultas[PROFISSIONAL],0),3)</f>
        <v>301010030</v>
      </c>
      <c r="J813" s="11">
        <f>INDEX(tbCadastroConsultas[],MATCH(tbConsultas[[#This Row],[PROFISSIONAL]],tbCadastroConsultas[PROFISSIONAL],0),4)</f>
        <v>223710</v>
      </c>
    </row>
    <row r="814" spans="1:10">
      <c r="A814" s="11">
        <f t="shared" si="62"/>
        <v>813</v>
      </c>
      <c r="B814" s="4" t="s">
        <v>12</v>
      </c>
      <c r="C814" s="5">
        <v>2032006</v>
      </c>
      <c r="D814" s="5">
        <v>21052018</v>
      </c>
      <c r="E814" s="4">
        <v>12</v>
      </c>
      <c r="F814" s="15">
        <f t="shared" si="59"/>
        <v>43271</v>
      </c>
      <c r="G814" s="12">
        <f t="shared" si="60"/>
        <v>2018</v>
      </c>
      <c r="H814" s="12" t="str">
        <f t="shared" si="61"/>
        <v>Junho</v>
      </c>
      <c r="I814" s="11">
        <f>INDEX(tbCadastroConsultas[],MATCH(tbConsultas[[#This Row],[PROFISSIONAL]],tbCadastroConsultas[PROFISSIONAL],0),3)</f>
        <v>301010030</v>
      </c>
      <c r="J814" s="11">
        <f>INDEX(tbCadastroConsultas[],MATCH(tbConsultas[[#This Row],[PROFISSIONAL]],tbCadastroConsultas[PROFISSIONAL],0),4)</f>
        <v>223710</v>
      </c>
    </row>
    <row r="815" spans="1:10">
      <c r="A815" s="11">
        <f t="shared" si="62"/>
        <v>814</v>
      </c>
      <c r="B815" s="4" t="s">
        <v>12</v>
      </c>
      <c r="C815" s="5">
        <v>10092006</v>
      </c>
      <c r="D815" s="5">
        <v>21052018</v>
      </c>
      <c r="E815" s="4">
        <v>11</v>
      </c>
      <c r="F815" s="15">
        <f t="shared" si="59"/>
        <v>43271</v>
      </c>
      <c r="G815" s="12">
        <f t="shared" si="60"/>
        <v>2018</v>
      </c>
      <c r="H815" s="12" t="str">
        <f t="shared" si="61"/>
        <v>Junho</v>
      </c>
      <c r="I815" s="11">
        <f>INDEX(tbCadastroConsultas[],MATCH(tbConsultas[[#This Row],[PROFISSIONAL]],tbCadastroConsultas[PROFISSIONAL],0),3)</f>
        <v>301010030</v>
      </c>
      <c r="J815" s="11">
        <f>INDEX(tbCadastroConsultas[],MATCH(tbConsultas[[#This Row],[PROFISSIONAL]],tbCadastroConsultas[PROFISSIONAL],0),4)</f>
        <v>223710</v>
      </c>
    </row>
    <row r="816" spans="1:10">
      <c r="A816" s="11">
        <f t="shared" si="62"/>
        <v>815</v>
      </c>
      <c r="B816" s="4" t="s">
        <v>12</v>
      </c>
      <c r="C816" s="5">
        <v>20022010</v>
      </c>
      <c r="D816" s="5">
        <v>21052018</v>
      </c>
      <c r="E816" s="4">
        <v>8</v>
      </c>
      <c r="F816" s="15">
        <f t="shared" si="59"/>
        <v>43271</v>
      </c>
      <c r="G816" s="12">
        <f t="shared" si="60"/>
        <v>2018</v>
      </c>
      <c r="H816" s="12" t="str">
        <f t="shared" si="61"/>
        <v>Junho</v>
      </c>
      <c r="I816" s="11">
        <f>INDEX(tbCadastroConsultas[],MATCH(tbConsultas[[#This Row],[PROFISSIONAL]],tbCadastroConsultas[PROFISSIONAL],0),3)</f>
        <v>301010030</v>
      </c>
      <c r="J816" s="11">
        <f>INDEX(tbCadastroConsultas[],MATCH(tbConsultas[[#This Row],[PROFISSIONAL]],tbCadastroConsultas[PROFISSIONAL],0),4)</f>
        <v>223710</v>
      </c>
    </row>
    <row r="817" spans="1:10">
      <c r="A817" s="11">
        <f t="shared" si="62"/>
        <v>816</v>
      </c>
      <c r="B817" s="4" t="s">
        <v>5</v>
      </c>
      <c r="C817" s="5">
        <v>28101944</v>
      </c>
      <c r="D817" s="5">
        <v>21052018</v>
      </c>
      <c r="E817" s="4">
        <v>73</v>
      </c>
      <c r="F817" s="15">
        <f t="shared" si="59"/>
        <v>43271</v>
      </c>
      <c r="G817" s="12">
        <f t="shared" si="60"/>
        <v>2018</v>
      </c>
      <c r="H817" s="12" t="str">
        <f t="shared" si="61"/>
        <v>Junho</v>
      </c>
      <c r="I817" s="11">
        <f>INDEX(tbCadastroConsultas[],MATCH(tbConsultas[[#This Row],[PROFISSIONAL]],tbCadastroConsultas[PROFISSIONAL],0),3)</f>
        <v>301010030</v>
      </c>
      <c r="J817" s="11">
        <f>INDEX(tbCadastroConsultas[],MATCH(tbConsultas[[#This Row],[PROFISSIONAL]],tbCadastroConsultas[PROFISSIONAL],0),4)</f>
        <v>223565</v>
      </c>
    </row>
    <row r="818" spans="1:10">
      <c r="A818" s="11">
        <f t="shared" si="62"/>
        <v>817</v>
      </c>
      <c r="B818" s="4" t="s">
        <v>5</v>
      </c>
      <c r="C818" s="5">
        <v>19011955</v>
      </c>
      <c r="D818" s="5">
        <v>21052018</v>
      </c>
      <c r="E818" s="4">
        <v>63</v>
      </c>
      <c r="F818" s="15">
        <f t="shared" si="59"/>
        <v>43271</v>
      </c>
      <c r="G818" s="12">
        <f t="shared" si="60"/>
        <v>2018</v>
      </c>
      <c r="H818" s="12" t="str">
        <f t="shared" si="61"/>
        <v>Junho</v>
      </c>
      <c r="I818" s="11">
        <f>INDEX(tbCadastroConsultas[],MATCH(tbConsultas[[#This Row],[PROFISSIONAL]],tbCadastroConsultas[PROFISSIONAL],0),3)</f>
        <v>301010030</v>
      </c>
      <c r="J818" s="11">
        <f>INDEX(tbCadastroConsultas[],MATCH(tbConsultas[[#This Row],[PROFISSIONAL]],tbCadastroConsultas[PROFISSIONAL],0),4)</f>
        <v>223565</v>
      </c>
    </row>
    <row r="819" spans="1:10">
      <c r="A819" s="11">
        <f t="shared" si="62"/>
        <v>818</v>
      </c>
      <c r="B819" s="4" t="s">
        <v>5</v>
      </c>
      <c r="C819" s="5">
        <v>6111943</v>
      </c>
      <c r="D819" s="5">
        <v>21052018</v>
      </c>
      <c r="E819" s="4">
        <v>74</v>
      </c>
      <c r="F819" s="15">
        <f t="shared" si="59"/>
        <v>43271</v>
      </c>
      <c r="G819" s="12">
        <f t="shared" si="60"/>
        <v>2018</v>
      </c>
      <c r="H819" s="12" t="str">
        <f t="shared" si="61"/>
        <v>Junho</v>
      </c>
      <c r="I819" s="11">
        <f>INDEX(tbCadastroConsultas[],MATCH(tbConsultas[[#This Row],[PROFISSIONAL]],tbCadastroConsultas[PROFISSIONAL],0),3)</f>
        <v>301010030</v>
      </c>
      <c r="J819" s="11">
        <f>INDEX(tbCadastroConsultas[],MATCH(tbConsultas[[#This Row],[PROFISSIONAL]],tbCadastroConsultas[PROFISSIONAL],0),4)</f>
        <v>223565</v>
      </c>
    </row>
    <row r="820" spans="1:10">
      <c r="A820" s="11">
        <f t="shared" si="62"/>
        <v>819</v>
      </c>
      <c r="B820" s="4" t="s">
        <v>5</v>
      </c>
      <c r="C820" s="5">
        <v>8111947</v>
      </c>
      <c r="D820" s="5">
        <v>21052018</v>
      </c>
      <c r="E820" s="4">
        <v>70</v>
      </c>
      <c r="F820" s="15">
        <f t="shared" si="59"/>
        <v>43271</v>
      </c>
      <c r="G820" s="12">
        <f t="shared" si="60"/>
        <v>2018</v>
      </c>
      <c r="H820" s="12" t="str">
        <f t="shared" si="61"/>
        <v>Junho</v>
      </c>
      <c r="I820" s="11">
        <f>INDEX(tbCadastroConsultas[],MATCH(tbConsultas[[#This Row],[PROFISSIONAL]],tbCadastroConsultas[PROFISSIONAL],0),3)</f>
        <v>301010030</v>
      </c>
      <c r="J820" s="11">
        <f>INDEX(tbCadastroConsultas[],MATCH(tbConsultas[[#This Row],[PROFISSIONAL]],tbCadastroConsultas[PROFISSIONAL],0),4)</f>
        <v>223565</v>
      </c>
    </row>
    <row r="821" spans="1:10">
      <c r="A821" s="11">
        <f t="shared" si="62"/>
        <v>820</v>
      </c>
      <c r="B821" s="4" t="s">
        <v>5</v>
      </c>
      <c r="C821" s="5">
        <v>31011949</v>
      </c>
      <c r="D821" s="5">
        <v>21052018</v>
      </c>
      <c r="E821" s="4">
        <v>69</v>
      </c>
      <c r="F821" s="15">
        <f t="shared" si="59"/>
        <v>43271</v>
      </c>
      <c r="G821" s="12">
        <f t="shared" si="60"/>
        <v>2018</v>
      </c>
      <c r="H821" s="12" t="str">
        <f t="shared" si="61"/>
        <v>Junho</v>
      </c>
      <c r="I821" s="11">
        <f>INDEX(tbCadastroConsultas[],MATCH(tbConsultas[[#This Row],[PROFISSIONAL]],tbCadastroConsultas[PROFISSIONAL],0),3)</f>
        <v>301010030</v>
      </c>
      <c r="J821" s="11">
        <f>INDEX(tbCadastroConsultas[],MATCH(tbConsultas[[#This Row],[PROFISSIONAL]],tbCadastroConsultas[PROFISSIONAL],0),4)</f>
        <v>223565</v>
      </c>
    </row>
    <row r="822" spans="1:10">
      <c r="A822" s="11">
        <f t="shared" si="62"/>
        <v>821</v>
      </c>
      <c r="B822" s="4" t="s">
        <v>5</v>
      </c>
      <c r="C822" s="5">
        <v>24061952</v>
      </c>
      <c r="D822" s="5">
        <v>21052018</v>
      </c>
      <c r="E822" s="4">
        <v>65</v>
      </c>
      <c r="F822" s="15">
        <f t="shared" si="59"/>
        <v>43271</v>
      </c>
      <c r="G822" s="12">
        <f t="shared" si="60"/>
        <v>2018</v>
      </c>
      <c r="H822" s="12" t="str">
        <f t="shared" si="61"/>
        <v>Junho</v>
      </c>
      <c r="I822" s="11">
        <f>INDEX(tbCadastroConsultas[],MATCH(tbConsultas[[#This Row],[PROFISSIONAL]],tbCadastroConsultas[PROFISSIONAL],0),3)</f>
        <v>301010030</v>
      </c>
      <c r="J822" s="11">
        <f>INDEX(tbCadastroConsultas[],MATCH(tbConsultas[[#This Row],[PROFISSIONAL]],tbCadastroConsultas[PROFISSIONAL],0),4)</f>
        <v>223565</v>
      </c>
    </row>
    <row r="823" spans="1:10">
      <c r="A823" s="11">
        <f t="shared" si="62"/>
        <v>822</v>
      </c>
      <c r="B823" s="4" t="s">
        <v>6</v>
      </c>
      <c r="C823" s="5">
        <v>26091954</v>
      </c>
      <c r="D823" s="5">
        <v>21052018</v>
      </c>
      <c r="E823" s="4">
        <v>63</v>
      </c>
      <c r="F823" s="15">
        <f t="shared" si="59"/>
        <v>43271</v>
      </c>
      <c r="G823" s="12">
        <f t="shared" si="60"/>
        <v>2018</v>
      </c>
      <c r="H823" s="12" t="str">
        <f t="shared" si="61"/>
        <v>Junho</v>
      </c>
      <c r="I823" s="11">
        <f>INDEX(tbCadastroConsultas[],MATCH(tbConsultas[[#This Row],[PROFISSIONAL]],tbCadastroConsultas[PROFISSIONAL],0),3)</f>
        <v>301010064</v>
      </c>
      <c r="J823" s="11">
        <f>INDEX(tbCadastroConsultas[],MATCH(tbConsultas[[#This Row],[PROFISSIONAL]],tbCadastroConsultas[PROFISSIONAL],0),4)</f>
        <v>225125</v>
      </c>
    </row>
    <row r="824" spans="1:10">
      <c r="A824" s="11">
        <f t="shared" si="62"/>
        <v>823</v>
      </c>
      <c r="B824" s="4" t="s">
        <v>6</v>
      </c>
      <c r="C824" s="5">
        <v>28111941</v>
      </c>
      <c r="D824" s="5">
        <v>21052018</v>
      </c>
      <c r="E824" s="4">
        <v>76</v>
      </c>
      <c r="F824" s="15">
        <f t="shared" si="59"/>
        <v>43271</v>
      </c>
      <c r="G824" s="12">
        <f t="shared" si="60"/>
        <v>2018</v>
      </c>
      <c r="H824" s="12" t="str">
        <f t="shared" si="61"/>
        <v>Junho</v>
      </c>
      <c r="I824" s="11">
        <f>INDEX(tbCadastroConsultas[],MATCH(tbConsultas[[#This Row],[PROFISSIONAL]],tbCadastroConsultas[PROFISSIONAL],0),3)</f>
        <v>301010064</v>
      </c>
      <c r="J824" s="11">
        <f>INDEX(tbCadastroConsultas[],MATCH(tbConsultas[[#This Row],[PROFISSIONAL]],tbCadastroConsultas[PROFISSIONAL],0),4)</f>
        <v>225125</v>
      </c>
    </row>
    <row r="825" spans="1:10">
      <c r="A825" s="11">
        <f t="shared" si="62"/>
        <v>824</v>
      </c>
      <c r="B825" s="4" t="s">
        <v>6</v>
      </c>
      <c r="C825" s="5">
        <v>17111944</v>
      </c>
      <c r="D825" s="5">
        <v>21052018</v>
      </c>
      <c r="E825" s="4">
        <v>73</v>
      </c>
      <c r="F825" s="15">
        <f t="shared" si="59"/>
        <v>43271</v>
      </c>
      <c r="G825" s="12">
        <f t="shared" si="60"/>
        <v>2018</v>
      </c>
      <c r="H825" s="12" t="str">
        <f t="shared" si="61"/>
        <v>Junho</v>
      </c>
      <c r="I825" s="11">
        <f>INDEX(tbCadastroConsultas[],MATCH(tbConsultas[[#This Row],[PROFISSIONAL]],tbCadastroConsultas[PROFISSIONAL],0),3)</f>
        <v>301010064</v>
      </c>
      <c r="J825" s="11">
        <f>INDEX(tbCadastroConsultas[],MATCH(tbConsultas[[#This Row],[PROFISSIONAL]],tbCadastroConsultas[PROFISSIONAL],0),4)</f>
        <v>225125</v>
      </c>
    </row>
    <row r="826" spans="1:10">
      <c r="A826" s="11">
        <f t="shared" si="62"/>
        <v>825</v>
      </c>
      <c r="B826" s="4" t="s">
        <v>6</v>
      </c>
      <c r="C826" s="5">
        <v>29041935</v>
      </c>
      <c r="D826" s="5">
        <v>21052018</v>
      </c>
      <c r="E826" s="4">
        <v>83</v>
      </c>
      <c r="F826" s="15">
        <f t="shared" si="59"/>
        <v>43271</v>
      </c>
      <c r="G826" s="12">
        <f t="shared" si="60"/>
        <v>2018</v>
      </c>
      <c r="H826" s="12" t="str">
        <f t="shared" si="61"/>
        <v>Junho</v>
      </c>
      <c r="I826" s="11">
        <f>INDEX(tbCadastroConsultas[],MATCH(tbConsultas[[#This Row],[PROFISSIONAL]],tbCadastroConsultas[PROFISSIONAL],0),3)</f>
        <v>301010064</v>
      </c>
      <c r="J826" s="11">
        <f>INDEX(tbCadastroConsultas[],MATCH(tbConsultas[[#This Row],[PROFISSIONAL]],tbCadastroConsultas[PROFISSIONAL],0),4)</f>
        <v>225125</v>
      </c>
    </row>
    <row r="827" spans="1:10">
      <c r="A827" s="11">
        <f t="shared" si="62"/>
        <v>826</v>
      </c>
      <c r="B827" s="4" t="s">
        <v>6</v>
      </c>
      <c r="C827" s="5">
        <v>12121963</v>
      </c>
      <c r="D827" s="5">
        <v>21052018</v>
      </c>
      <c r="E827" s="4">
        <v>54</v>
      </c>
      <c r="F827" s="15">
        <f t="shared" si="59"/>
        <v>43271</v>
      </c>
      <c r="G827" s="12">
        <f t="shared" si="60"/>
        <v>2018</v>
      </c>
      <c r="H827" s="12" t="str">
        <f t="shared" si="61"/>
        <v>Junho</v>
      </c>
      <c r="I827" s="11">
        <f>INDEX(tbCadastroConsultas[],MATCH(tbConsultas[[#This Row],[PROFISSIONAL]],tbCadastroConsultas[PROFISSIONAL],0),3)</f>
        <v>301010064</v>
      </c>
      <c r="J827" s="11">
        <f>INDEX(tbCadastroConsultas[],MATCH(tbConsultas[[#This Row],[PROFISSIONAL]],tbCadastroConsultas[PROFISSIONAL],0),4)</f>
        <v>225125</v>
      </c>
    </row>
    <row r="828" spans="1:10">
      <c r="A828" s="11">
        <f t="shared" si="62"/>
        <v>827</v>
      </c>
      <c r="B828" s="4" t="s">
        <v>6</v>
      </c>
      <c r="C828" s="5">
        <v>8051950</v>
      </c>
      <c r="D828" s="5">
        <v>21052018</v>
      </c>
      <c r="E828" s="4">
        <v>68</v>
      </c>
      <c r="F828" s="15">
        <f t="shared" si="59"/>
        <v>43271</v>
      </c>
      <c r="G828" s="12">
        <f t="shared" si="60"/>
        <v>2018</v>
      </c>
      <c r="H828" s="12" t="str">
        <f t="shared" si="61"/>
        <v>Junho</v>
      </c>
      <c r="I828" s="11">
        <f>INDEX(tbCadastroConsultas[],MATCH(tbConsultas[[#This Row],[PROFISSIONAL]],tbCadastroConsultas[PROFISSIONAL],0),3)</f>
        <v>301010064</v>
      </c>
      <c r="J828" s="11">
        <f>INDEX(tbCadastroConsultas[],MATCH(tbConsultas[[#This Row],[PROFISSIONAL]],tbCadastroConsultas[PROFISSIONAL],0),4)</f>
        <v>225125</v>
      </c>
    </row>
    <row r="829" spans="1:10">
      <c r="A829" s="11">
        <f t="shared" si="62"/>
        <v>828</v>
      </c>
      <c r="B829" s="4" t="s">
        <v>6</v>
      </c>
      <c r="C829" s="5">
        <v>8071949</v>
      </c>
      <c r="D829" s="5">
        <v>21052018</v>
      </c>
      <c r="E829" s="4">
        <v>68</v>
      </c>
      <c r="F829" s="15">
        <f t="shared" si="59"/>
        <v>43271</v>
      </c>
      <c r="G829" s="12">
        <f t="shared" si="60"/>
        <v>2018</v>
      </c>
      <c r="H829" s="12" t="str">
        <f t="shared" si="61"/>
        <v>Junho</v>
      </c>
      <c r="I829" s="11">
        <f>INDEX(tbCadastroConsultas[],MATCH(tbConsultas[[#This Row],[PROFISSIONAL]],tbCadastroConsultas[PROFISSIONAL],0),3)</f>
        <v>301010064</v>
      </c>
      <c r="J829" s="11">
        <f>INDEX(tbCadastroConsultas[],MATCH(tbConsultas[[#This Row],[PROFISSIONAL]],tbCadastroConsultas[PROFISSIONAL],0),4)</f>
        <v>225125</v>
      </c>
    </row>
    <row r="830" spans="1:10">
      <c r="A830" s="11">
        <f t="shared" si="62"/>
        <v>829</v>
      </c>
      <c r="B830" s="4" t="s">
        <v>6</v>
      </c>
      <c r="C830" s="5">
        <v>29091979</v>
      </c>
      <c r="D830" s="5">
        <v>21052018</v>
      </c>
      <c r="E830" s="4">
        <v>38</v>
      </c>
      <c r="F830" s="15">
        <f t="shared" si="59"/>
        <v>43271</v>
      </c>
      <c r="G830" s="12">
        <f t="shared" si="60"/>
        <v>2018</v>
      </c>
      <c r="H830" s="12" t="str">
        <f t="shared" si="61"/>
        <v>Junho</v>
      </c>
      <c r="I830" s="11">
        <f>INDEX(tbCadastroConsultas[],MATCH(tbConsultas[[#This Row],[PROFISSIONAL]],tbCadastroConsultas[PROFISSIONAL],0),3)</f>
        <v>301010064</v>
      </c>
      <c r="J830" s="11">
        <f>INDEX(tbCadastroConsultas[],MATCH(tbConsultas[[#This Row],[PROFISSIONAL]],tbCadastroConsultas[PROFISSIONAL],0),4)</f>
        <v>225125</v>
      </c>
    </row>
    <row r="831" spans="1:10">
      <c r="A831" s="11">
        <f t="shared" si="62"/>
        <v>830</v>
      </c>
      <c r="B831" s="4" t="s">
        <v>6</v>
      </c>
      <c r="C831" s="5">
        <v>24071997</v>
      </c>
      <c r="D831" s="5">
        <v>21052018</v>
      </c>
      <c r="E831" s="4">
        <v>20</v>
      </c>
      <c r="F831" s="15">
        <f t="shared" si="59"/>
        <v>43271</v>
      </c>
      <c r="G831" s="12">
        <f t="shared" si="60"/>
        <v>2018</v>
      </c>
      <c r="H831" s="12" t="str">
        <f t="shared" si="61"/>
        <v>Junho</v>
      </c>
      <c r="I831" s="11">
        <f>INDEX(tbCadastroConsultas[],MATCH(tbConsultas[[#This Row],[PROFISSIONAL]],tbCadastroConsultas[PROFISSIONAL],0),3)</f>
        <v>301010064</v>
      </c>
      <c r="J831" s="11">
        <f>INDEX(tbCadastroConsultas[],MATCH(tbConsultas[[#This Row],[PROFISSIONAL]],tbCadastroConsultas[PROFISSIONAL],0),4)</f>
        <v>225125</v>
      </c>
    </row>
    <row r="832" spans="1:10">
      <c r="A832" s="11">
        <f t="shared" si="62"/>
        <v>831</v>
      </c>
      <c r="B832" s="4" t="s">
        <v>6</v>
      </c>
      <c r="C832" s="5">
        <v>30041947</v>
      </c>
      <c r="D832" s="5">
        <v>21052018</v>
      </c>
      <c r="E832" s="4">
        <v>71</v>
      </c>
      <c r="F832" s="15">
        <f t="shared" si="59"/>
        <v>43271</v>
      </c>
      <c r="G832" s="12">
        <f t="shared" si="60"/>
        <v>2018</v>
      </c>
      <c r="H832" s="12" t="str">
        <f t="shared" si="61"/>
        <v>Junho</v>
      </c>
      <c r="I832" s="11">
        <f>INDEX(tbCadastroConsultas[],MATCH(tbConsultas[[#This Row],[PROFISSIONAL]],tbCadastroConsultas[PROFISSIONAL],0),3)</f>
        <v>301010064</v>
      </c>
      <c r="J832" s="11">
        <f>INDEX(tbCadastroConsultas[],MATCH(tbConsultas[[#This Row],[PROFISSIONAL]],tbCadastroConsultas[PROFISSIONAL],0),4)</f>
        <v>225125</v>
      </c>
    </row>
    <row r="833" spans="1:10">
      <c r="A833" s="11">
        <f t="shared" si="62"/>
        <v>832</v>
      </c>
      <c r="B833" s="4" t="s">
        <v>6</v>
      </c>
      <c r="C833" s="5">
        <v>5101995</v>
      </c>
      <c r="D833" s="5">
        <v>21052018</v>
      </c>
      <c r="E833" s="4">
        <v>22</v>
      </c>
      <c r="F833" s="15">
        <f t="shared" si="59"/>
        <v>43271</v>
      </c>
      <c r="G833" s="12">
        <f t="shared" si="60"/>
        <v>2018</v>
      </c>
      <c r="H833" s="12" t="str">
        <f t="shared" si="61"/>
        <v>Junho</v>
      </c>
      <c r="I833" s="11">
        <f>INDEX(tbCadastroConsultas[],MATCH(tbConsultas[[#This Row],[PROFISSIONAL]],tbCadastroConsultas[PROFISSIONAL],0),3)</f>
        <v>301010064</v>
      </c>
      <c r="J833" s="11">
        <f>INDEX(tbCadastroConsultas[],MATCH(tbConsultas[[#This Row],[PROFISSIONAL]],tbCadastroConsultas[PROFISSIONAL],0),4)</f>
        <v>225125</v>
      </c>
    </row>
    <row r="834" spans="1:10">
      <c r="A834" s="11">
        <f t="shared" si="62"/>
        <v>833</v>
      </c>
      <c r="B834" s="4" t="s">
        <v>6</v>
      </c>
      <c r="C834" s="5">
        <v>12061930</v>
      </c>
      <c r="D834" s="5">
        <v>21052018</v>
      </c>
      <c r="E834" s="4">
        <v>87</v>
      </c>
      <c r="F834" s="15">
        <f t="shared" ref="F834:F897" si="63">IF(D834="","",DATE(YEAR(TEXT(D834,"00\/00\/0000")),MONTH(TEXT(D834,"00\/00\/0000"))+1,20))</f>
        <v>43271</v>
      </c>
      <c r="G834" s="12">
        <f t="shared" ref="G834:G897" si="64">IF(F834="","",YEAR(F834))</f>
        <v>2018</v>
      </c>
      <c r="H834" s="12" t="str">
        <f t="shared" ref="H834:H897" si="65">PROPER(TEXT(F834,"mmmm"))</f>
        <v>Junho</v>
      </c>
      <c r="I834" s="11">
        <f>INDEX(tbCadastroConsultas[],MATCH(tbConsultas[[#This Row],[PROFISSIONAL]],tbCadastroConsultas[PROFISSIONAL],0),3)</f>
        <v>301010064</v>
      </c>
      <c r="J834" s="11">
        <f>INDEX(tbCadastroConsultas[],MATCH(tbConsultas[[#This Row],[PROFISSIONAL]],tbCadastroConsultas[PROFISSIONAL],0),4)</f>
        <v>225125</v>
      </c>
    </row>
    <row r="835" spans="1:10">
      <c r="A835" s="11">
        <f t="shared" si="62"/>
        <v>834</v>
      </c>
      <c r="B835" s="4" t="s">
        <v>6</v>
      </c>
      <c r="C835" s="5">
        <v>29091979</v>
      </c>
      <c r="D835" s="5">
        <v>21052018</v>
      </c>
      <c r="E835" s="4">
        <v>38</v>
      </c>
      <c r="F835" s="15">
        <f t="shared" si="63"/>
        <v>43271</v>
      </c>
      <c r="G835" s="12">
        <f t="shared" si="64"/>
        <v>2018</v>
      </c>
      <c r="H835" s="12" t="str">
        <f t="shared" si="65"/>
        <v>Junho</v>
      </c>
      <c r="I835" s="11">
        <f>INDEX(tbCadastroConsultas[],MATCH(tbConsultas[[#This Row],[PROFISSIONAL]],tbCadastroConsultas[PROFISSIONAL],0),3)</f>
        <v>301010064</v>
      </c>
      <c r="J835" s="11">
        <f>INDEX(tbCadastroConsultas[],MATCH(tbConsultas[[#This Row],[PROFISSIONAL]],tbCadastroConsultas[PROFISSIONAL],0),4)</f>
        <v>225125</v>
      </c>
    </row>
    <row r="836" spans="1:10">
      <c r="A836" s="11">
        <f t="shared" si="62"/>
        <v>835</v>
      </c>
      <c r="B836" s="4" t="s">
        <v>6</v>
      </c>
      <c r="C836" s="5">
        <v>27031978</v>
      </c>
      <c r="D836" s="5">
        <v>21052018</v>
      </c>
      <c r="E836" s="4">
        <v>40</v>
      </c>
      <c r="F836" s="15">
        <f t="shared" si="63"/>
        <v>43271</v>
      </c>
      <c r="G836" s="12">
        <f t="shared" si="64"/>
        <v>2018</v>
      </c>
      <c r="H836" s="12" t="str">
        <f t="shared" si="65"/>
        <v>Junho</v>
      </c>
      <c r="I836" s="11">
        <f>INDEX(tbCadastroConsultas[],MATCH(tbConsultas[[#This Row],[PROFISSIONAL]],tbCadastroConsultas[PROFISSIONAL],0),3)</f>
        <v>301010064</v>
      </c>
      <c r="J836" s="11">
        <f>INDEX(tbCadastroConsultas[],MATCH(tbConsultas[[#This Row],[PROFISSIONAL]],tbCadastroConsultas[PROFISSIONAL],0),4)</f>
        <v>225125</v>
      </c>
    </row>
    <row r="837" spans="1:10">
      <c r="A837" s="11">
        <f t="shared" si="62"/>
        <v>836</v>
      </c>
      <c r="B837" s="4" t="s">
        <v>6</v>
      </c>
      <c r="C837" s="5">
        <v>12111953</v>
      </c>
      <c r="D837" s="5">
        <v>21052018</v>
      </c>
      <c r="E837" s="4">
        <v>64</v>
      </c>
      <c r="F837" s="15">
        <f t="shared" si="63"/>
        <v>43271</v>
      </c>
      <c r="G837" s="12">
        <f t="shared" si="64"/>
        <v>2018</v>
      </c>
      <c r="H837" s="12" t="str">
        <f t="shared" si="65"/>
        <v>Junho</v>
      </c>
      <c r="I837" s="11">
        <f>INDEX(tbCadastroConsultas[],MATCH(tbConsultas[[#This Row],[PROFISSIONAL]],tbCadastroConsultas[PROFISSIONAL],0),3)</f>
        <v>301010064</v>
      </c>
      <c r="J837" s="11">
        <f>INDEX(tbCadastroConsultas[],MATCH(tbConsultas[[#This Row],[PROFISSIONAL]],tbCadastroConsultas[PROFISSIONAL],0),4)</f>
        <v>225125</v>
      </c>
    </row>
    <row r="838" spans="1:10">
      <c r="A838" s="11">
        <f t="shared" si="62"/>
        <v>837</v>
      </c>
      <c r="B838" s="4" t="s">
        <v>6</v>
      </c>
      <c r="C838" s="5">
        <v>6021977</v>
      </c>
      <c r="D838" s="5">
        <v>21052018</v>
      </c>
      <c r="E838" s="4">
        <v>41</v>
      </c>
      <c r="F838" s="15">
        <f t="shared" si="63"/>
        <v>43271</v>
      </c>
      <c r="G838" s="12">
        <f t="shared" si="64"/>
        <v>2018</v>
      </c>
      <c r="H838" s="12" t="str">
        <f t="shared" si="65"/>
        <v>Junho</v>
      </c>
      <c r="I838" s="11">
        <f>INDEX(tbCadastroConsultas[],MATCH(tbConsultas[[#This Row],[PROFISSIONAL]],tbCadastroConsultas[PROFISSIONAL],0),3)</f>
        <v>301010064</v>
      </c>
      <c r="J838" s="11">
        <f>INDEX(tbCadastroConsultas[],MATCH(tbConsultas[[#This Row],[PROFISSIONAL]],tbCadastroConsultas[PROFISSIONAL],0),4)</f>
        <v>225125</v>
      </c>
    </row>
    <row r="839" spans="1:10">
      <c r="A839" s="11">
        <f t="shared" si="62"/>
        <v>838</v>
      </c>
      <c r="B839" s="4" t="s">
        <v>6</v>
      </c>
      <c r="C839" s="5">
        <v>12051964</v>
      </c>
      <c r="D839" s="5">
        <v>21052018</v>
      </c>
      <c r="E839" s="4">
        <v>54</v>
      </c>
      <c r="F839" s="15">
        <f t="shared" si="63"/>
        <v>43271</v>
      </c>
      <c r="G839" s="12">
        <f t="shared" si="64"/>
        <v>2018</v>
      </c>
      <c r="H839" s="12" t="str">
        <f t="shared" si="65"/>
        <v>Junho</v>
      </c>
      <c r="I839" s="11">
        <f>INDEX(tbCadastroConsultas[],MATCH(tbConsultas[[#This Row],[PROFISSIONAL]],tbCadastroConsultas[PROFISSIONAL],0),3)</f>
        <v>301010064</v>
      </c>
      <c r="J839" s="11">
        <f>INDEX(tbCadastroConsultas[],MATCH(tbConsultas[[#This Row],[PROFISSIONAL]],tbCadastroConsultas[PROFISSIONAL],0),4)</f>
        <v>225125</v>
      </c>
    </row>
    <row r="840" spans="1:10">
      <c r="A840" s="11">
        <f t="shared" si="62"/>
        <v>839</v>
      </c>
      <c r="B840" s="4" t="s">
        <v>6</v>
      </c>
      <c r="C840" s="5">
        <v>4061955</v>
      </c>
      <c r="D840" s="5">
        <v>21052018</v>
      </c>
      <c r="E840" s="4">
        <v>63</v>
      </c>
      <c r="F840" s="15">
        <f t="shared" si="63"/>
        <v>43271</v>
      </c>
      <c r="G840" s="12">
        <f t="shared" si="64"/>
        <v>2018</v>
      </c>
      <c r="H840" s="12" t="str">
        <f t="shared" si="65"/>
        <v>Junho</v>
      </c>
      <c r="I840" s="11">
        <f>INDEX(tbCadastroConsultas[],MATCH(tbConsultas[[#This Row],[PROFISSIONAL]],tbCadastroConsultas[PROFISSIONAL],0),3)</f>
        <v>301010064</v>
      </c>
      <c r="J840" s="11">
        <f>INDEX(tbCadastroConsultas[],MATCH(tbConsultas[[#This Row],[PROFISSIONAL]],tbCadastroConsultas[PROFISSIONAL],0),4)</f>
        <v>225125</v>
      </c>
    </row>
    <row r="841" spans="1:10">
      <c r="A841" s="11">
        <f t="shared" ref="A841:A904" si="66">ROW() -1</f>
        <v>840</v>
      </c>
      <c r="B841" s="4" t="s">
        <v>6</v>
      </c>
      <c r="C841" s="5">
        <v>31031994</v>
      </c>
      <c r="D841" s="5">
        <v>21052018</v>
      </c>
      <c r="E841" s="4">
        <v>24</v>
      </c>
      <c r="F841" s="15">
        <f t="shared" si="63"/>
        <v>43271</v>
      </c>
      <c r="G841" s="12">
        <f t="shared" si="64"/>
        <v>2018</v>
      </c>
      <c r="H841" s="12" t="str">
        <f t="shared" si="65"/>
        <v>Junho</v>
      </c>
      <c r="I841" s="11">
        <f>INDEX(tbCadastroConsultas[],MATCH(tbConsultas[[#This Row],[PROFISSIONAL]],tbCadastroConsultas[PROFISSIONAL],0),3)</f>
        <v>301010064</v>
      </c>
      <c r="J841" s="11">
        <f>INDEX(tbCadastroConsultas[],MATCH(tbConsultas[[#This Row],[PROFISSIONAL]],tbCadastroConsultas[PROFISSIONAL],0),4)</f>
        <v>225125</v>
      </c>
    </row>
    <row r="842" spans="1:10">
      <c r="A842" s="11">
        <f t="shared" si="66"/>
        <v>841</v>
      </c>
      <c r="B842" s="4" t="s">
        <v>6</v>
      </c>
      <c r="C842" s="5">
        <v>6071968</v>
      </c>
      <c r="D842" s="5">
        <v>21052018</v>
      </c>
      <c r="E842" s="4">
        <v>49</v>
      </c>
      <c r="F842" s="15">
        <f t="shared" si="63"/>
        <v>43271</v>
      </c>
      <c r="G842" s="12">
        <f t="shared" si="64"/>
        <v>2018</v>
      </c>
      <c r="H842" s="12" t="str">
        <f t="shared" si="65"/>
        <v>Junho</v>
      </c>
      <c r="I842" s="11">
        <f>INDEX(tbCadastroConsultas[],MATCH(tbConsultas[[#This Row],[PROFISSIONAL]],tbCadastroConsultas[PROFISSIONAL],0),3)</f>
        <v>301010064</v>
      </c>
      <c r="J842" s="11">
        <f>INDEX(tbCadastroConsultas[],MATCH(tbConsultas[[#This Row],[PROFISSIONAL]],tbCadastroConsultas[PROFISSIONAL],0),4)</f>
        <v>225125</v>
      </c>
    </row>
    <row r="843" spans="1:10">
      <c r="A843" s="11">
        <f t="shared" si="66"/>
        <v>842</v>
      </c>
      <c r="B843" s="4" t="s">
        <v>5</v>
      </c>
      <c r="C843" s="5">
        <v>8111972</v>
      </c>
      <c r="D843" s="5">
        <v>21052018</v>
      </c>
      <c r="E843" s="4">
        <v>45</v>
      </c>
      <c r="F843" s="15">
        <f t="shared" si="63"/>
        <v>43271</v>
      </c>
      <c r="G843" s="12">
        <f t="shared" si="64"/>
        <v>2018</v>
      </c>
      <c r="H843" s="12" t="str">
        <f t="shared" si="65"/>
        <v>Junho</v>
      </c>
      <c r="I843" s="11">
        <f>INDEX(tbCadastroConsultas[],MATCH(tbConsultas[[#This Row],[PROFISSIONAL]],tbCadastroConsultas[PROFISSIONAL],0),3)</f>
        <v>301010030</v>
      </c>
      <c r="J843" s="11">
        <f>INDEX(tbCadastroConsultas[],MATCH(tbConsultas[[#This Row],[PROFISSIONAL]],tbCadastroConsultas[PROFISSIONAL],0),4)</f>
        <v>223565</v>
      </c>
    </row>
    <row r="844" spans="1:10">
      <c r="A844" s="11">
        <f t="shared" si="66"/>
        <v>843</v>
      </c>
      <c r="B844" s="4" t="s">
        <v>5</v>
      </c>
      <c r="C844" s="5">
        <v>28101956</v>
      </c>
      <c r="D844" s="5">
        <v>21052018</v>
      </c>
      <c r="E844" s="4">
        <v>61</v>
      </c>
      <c r="F844" s="15">
        <f t="shared" si="63"/>
        <v>43271</v>
      </c>
      <c r="G844" s="12">
        <f t="shared" si="64"/>
        <v>2018</v>
      </c>
      <c r="H844" s="12" t="str">
        <f t="shared" si="65"/>
        <v>Junho</v>
      </c>
      <c r="I844" s="11">
        <f>INDEX(tbCadastroConsultas[],MATCH(tbConsultas[[#This Row],[PROFISSIONAL]],tbCadastroConsultas[PROFISSIONAL],0),3)</f>
        <v>301010030</v>
      </c>
      <c r="J844" s="11">
        <f>INDEX(tbCadastroConsultas[],MATCH(tbConsultas[[#This Row],[PROFISSIONAL]],tbCadastroConsultas[PROFISSIONAL],0),4)</f>
        <v>223565</v>
      </c>
    </row>
    <row r="845" spans="1:10">
      <c r="A845" s="11">
        <f t="shared" si="66"/>
        <v>844</v>
      </c>
      <c r="B845" s="4" t="s">
        <v>5</v>
      </c>
      <c r="C845" s="5">
        <v>8021948</v>
      </c>
      <c r="D845" s="5">
        <v>21052018</v>
      </c>
      <c r="E845" s="4">
        <v>70</v>
      </c>
      <c r="F845" s="15">
        <f t="shared" si="63"/>
        <v>43271</v>
      </c>
      <c r="G845" s="12">
        <f t="shared" si="64"/>
        <v>2018</v>
      </c>
      <c r="H845" s="12" t="str">
        <f t="shared" si="65"/>
        <v>Junho</v>
      </c>
      <c r="I845" s="11">
        <f>INDEX(tbCadastroConsultas[],MATCH(tbConsultas[[#This Row],[PROFISSIONAL]],tbCadastroConsultas[PROFISSIONAL],0),3)</f>
        <v>301010030</v>
      </c>
      <c r="J845" s="11">
        <f>INDEX(tbCadastroConsultas[],MATCH(tbConsultas[[#This Row],[PROFISSIONAL]],tbCadastroConsultas[PROFISSIONAL],0),4)</f>
        <v>223565</v>
      </c>
    </row>
    <row r="846" spans="1:10">
      <c r="A846" s="11">
        <f t="shared" si="66"/>
        <v>845</v>
      </c>
      <c r="B846" s="4" t="s">
        <v>5</v>
      </c>
      <c r="C846" s="5">
        <v>13111966</v>
      </c>
      <c r="D846" s="5">
        <v>21052018</v>
      </c>
      <c r="E846" s="4">
        <v>51</v>
      </c>
      <c r="F846" s="15">
        <f t="shared" si="63"/>
        <v>43271</v>
      </c>
      <c r="G846" s="12">
        <f t="shared" si="64"/>
        <v>2018</v>
      </c>
      <c r="H846" s="12" t="str">
        <f t="shared" si="65"/>
        <v>Junho</v>
      </c>
      <c r="I846" s="11">
        <f>INDEX(tbCadastroConsultas[],MATCH(tbConsultas[[#This Row],[PROFISSIONAL]],tbCadastroConsultas[PROFISSIONAL],0),3)</f>
        <v>301010030</v>
      </c>
      <c r="J846" s="11">
        <f>INDEX(tbCadastroConsultas[],MATCH(tbConsultas[[#This Row],[PROFISSIONAL]],tbCadastroConsultas[PROFISSIONAL],0),4)</f>
        <v>223565</v>
      </c>
    </row>
    <row r="847" spans="1:10">
      <c r="A847" s="11">
        <f t="shared" si="66"/>
        <v>846</v>
      </c>
      <c r="B847" s="4" t="s">
        <v>5</v>
      </c>
      <c r="C847" s="5">
        <v>30081963</v>
      </c>
      <c r="D847" s="5">
        <v>21052018</v>
      </c>
      <c r="E847" s="4">
        <v>54</v>
      </c>
      <c r="F847" s="15">
        <f t="shared" si="63"/>
        <v>43271</v>
      </c>
      <c r="G847" s="12">
        <f t="shared" si="64"/>
        <v>2018</v>
      </c>
      <c r="H847" s="12" t="str">
        <f t="shared" si="65"/>
        <v>Junho</v>
      </c>
      <c r="I847" s="11">
        <f>INDEX(tbCadastroConsultas[],MATCH(tbConsultas[[#This Row],[PROFISSIONAL]],tbCadastroConsultas[PROFISSIONAL],0),3)</f>
        <v>301010030</v>
      </c>
      <c r="J847" s="11">
        <f>INDEX(tbCadastroConsultas[],MATCH(tbConsultas[[#This Row],[PROFISSIONAL]],tbCadastroConsultas[PROFISSIONAL],0),4)</f>
        <v>223565</v>
      </c>
    </row>
    <row r="848" spans="1:10">
      <c r="A848" s="11">
        <f t="shared" si="66"/>
        <v>847</v>
      </c>
      <c r="B848" s="4" t="s">
        <v>5</v>
      </c>
      <c r="C848" s="5">
        <v>22121988</v>
      </c>
      <c r="D848" s="5">
        <v>21052018</v>
      </c>
      <c r="E848" s="4">
        <v>29</v>
      </c>
      <c r="F848" s="15">
        <f t="shared" si="63"/>
        <v>43271</v>
      </c>
      <c r="G848" s="12">
        <f t="shared" si="64"/>
        <v>2018</v>
      </c>
      <c r="H848" s="12" t="str">
        <f t="shared" si="65"/>
        <v>Junho</v>
      </c>
      <c r="I848" s="11">
        <f>INDEX(tbCadastroConsultas[],MATCH(tbConsultas[[#This Row],[PROFISSIONAL]],tbCadastroConsultas[PROFISSIONAL],0),3)</f>
        <v>301010030</v>
      </c>
      <c r="J848" s="11">
        <f>INDEX(tbCadastroConsultas[],MATCH(tbConsultas[[#This Row],[PROFISSIONAL]],tbCadastroConsultas[PROFISSIONAL],0),4)</f>
        <v>223565</v>
      </c>
    </row>
    <row r="849" spans="1:10">
      <c r="A849" s="11">
        <f t="shared" si="66"/>
        <v>848</v>
      </c>
      <c r="B849" s="4" t="s">
        <v>5</v>
      </c>
      <c r="C849" s="5">
        <v>5061984</v>
      </c>
      <c r="D849" s="5">
        <v>21052018</v>
      </c>
      <c r="E849" s="4">
        <v>33</v>
      </c>
      <c r="F849" s="15">
        <f t="shared" si="63"/>
        <v>43271</v>
      </c>
      <c r="G849" s="12">
        <f t="shared" si="64"/>
        <v>2018</v>
      </c>
      <c r="H849" s="12" t="str">
        <f t="shared" si="65"/>
        <v>Junho</v>
      </c>
      <c r="I849" s="11">
        <f>INDEX(tbCadastroConsultas[],MATCH(tbConsultas[[#This Row],[PROFISSIONAL]],tbCadastroConsultas[PROFISSIONAL],0),3)</f>
        <v>301010030</v>
      </c>
      <c r="J849" s="11">
        <f>INDEX(tbCadastroConsultas[],MATCH(tbConsultas[[#This Row],[PROFISSIONAL]],tbCadastroConsultas[PROFISSIONAL],0),4)</f>
        <v>223565</v>
      </c>
    </row>
    <row r="850" spans="1:10">
      <c r="A850" s="11">
        <f t="shared" si="66"/>
        <v>849</v>
      </c>
      <c r="B850" s="4" t="s">
        <v>5</v>
      </c>
      <c r="C850" s="5">
        <v>12032001</v>
      </c>
      <c r="D850" s="5">
        <v>21052018</v>
      </c>
      <c r="E850" s="4">
        <v>17</v>
      </c>
      <c r="F850" s="15">
        <f t="shared" si="63"/>
        <v>43271</v>
      </c>
      <c r="G850" s="12">
        <f t="shared" si="64"/>
        <v>2018</v>
      </c>
      <c r="H850" s="12" t="str">
        <f t="shared" si="65"/>
        <v>Junho</v>
      </c>
      <c r="I850" s="11">
        <f>INDEX(tbCadastroConsultas[],MATCH(tbConsultas[[#This Row],[PROFISSIONAL]],tbCadastroConsultas[PROFISSIONAL],0),3)</f>
        <v>301010030</v>
      </c>
      <c r="J850" s="11">
        <f>INDEX(tbCadastroConsultas[],MATCH(tbConsultas[[#This Row],[PROFISSIONAL]],tbCadastroConsultas[PROFISSIONAL],0),4)</f>
        <v>223565</v>
      </c>
    </row>
    <row r="851" spans="1:10">
      <c r="A851" s="11">
        <f t="shared" si="66"/>
        <v>850</v>
      </c>
      <c r="B851" s="4" t="s">
        <v>2</v>
      </c>
      <c r="C851" s="5">
        <v>10021979</v>
      </c>
      <c r="D851" s="5">
        <v>21052018</v>
      </c>
      <c r="E851" s="4">
        <v>39</v>
      </c>
      <c r="F851" s="15">
        <f t="shared" si="63"/>
        <v>43271</v>
      </c>
      <c r="G851" s="12">
        <f t="shared" si="64"/>
        <v>2018</v>
      </c>
      <c r="H851" s="12" t="str">
        <f t="shared" si="65"/>
        <v>Junho</v>
      </c>
      <c r="I851" s="11">
        <f>INDEX(tbCadastroConsultas[],MATCH(tbConsultas[[#This Row],[PROFISSIONAL]],tbCadastroConsultas[PROFISSIONAL],0),3)</f>
        <v>301010030</v>
      </c>
      <c r="J851" s="11">
        <f>INDEX(tbCadastroConsultas[],MATCH(tbConsultas[[#This Row],[PROFISSIONAL]],tbCadastroConsultas[PROFISSIONAL],0),4)</f>
        <v>223505</v>
      </c>
    </row>
    <row r="852" spans="1:10">
      <c r="A852" s="11">
        <f t="shared" si="66"/>
        <v>851</v>
      </c>
      <c r="B852" s="4" t="s">
        <v>2</v>
      </c>
      <c r="C852" s="5">
        <v>5091970</v>
      </c>
      <c r="D852" s="5">
        <v>21052018</v>
      </c>
      <c r="E852" s="4">
        <v>47</v>
      </c>
      <c r="F852" s="15">
        <f t="shared" si="63"/>
        <v>43271</v>
      </c>
      <c r="G852" s="12">
        <f t="shared" si="64"/>
        <v>2018</v>
      </c>
      <c r="H852" s="12" t="str">
        <f t="shared" si="65"/>
        <v>Junho</v>
      </c>
      <c r="I852" s="11">
        <f>INDEX(tbCadastroConsultas[],MATCH(tbConsultas[[#This Row],[PROFISSIONAL]],tbCadastroConsultas[PROFISSIONAL],0),3)</f>
        <v>301010030</v>
      </c>
      <c r="J852" s="11">
        <f>INDEX(tbCadastroConsultas[],MATCH(tbConsultas[[#This Row],[PROFISSIONAL]],tbCadastroConsultas[PROFISSIONAL],0),4)</f>
        <v>223505</v>
      </c>
    </row>
    <row r="853" spans="1:10">
      <c r="A853" s="11">
        <f t="shared" si="66"/>
        <v>852</v>
      </c>
      <c r="B853" s="4" t="s">
        <v>0</v>
      </c>
      <c r="C853" s="5">
        <v>8112009</v>
      </c>
      <c r="D853" s="5">
        <v>21052018</v>
      </c>
      <c r="E853" s="4">
        <v>8</v>
      </c>
      <c r="F853" s="15">
        <f t="shared" si="63"/>
        <v>43271</v>
      </c>
      <c r="G853" s="12">
        <f t="shared" si="64"/>
        <v>2018</v>
      </c>
      <c r="H853" s="12" t="str">
        <f t="shared" si="65"/>
        <v>Junho</v>
      </c>
      <c r="I853" s="11">
        <f>INDEX(tbCadastroConsultas[],MATCH(tbConsultas[[#This Row],[PROFISSIONAL]],tbCadastroConsultas[PROFISSIONAL],0),3)</f>
        <v>301010080</v>
      </c>
      <c r="J853" s="11">
        <f>INDEX(tbCadastroConsultas[],MATCH(tbConsultas[[#This Row],[PROFISSIONAL]],tbCadastroConsultas[PROFISSIONAL],0),4)</f>
        <v>225124</v>
      </c>
    </row>
    <row r="854" spans="1:10">
      <c r="A854" s="11">
        <f t="shared" si="66"/>
        <v>853</v>
      </c>
      <c r="B854" s="4" t="s">
        <v>0</v>
      </c>
      <c r="C854" s="5">
        <v>5122012</v>
      </c>
      <c r="D854" s="5">
        <v>21052018</v>
      </c>
      <c r="E854" s="4">
        <v>5</v>
      </c>
      <c r="F854" s="15">
        <f t="shared" si="63"/>
        <v>43271</v>
      </c>
      <c r="G854" s="12">
        <f t="shared" si="64"/>
        <v>2018</v>
      </c>
      <c r="H854" s="12" t="str">
        <f t="shared" si="65"/>
        <v>Junho</v>
      </c>
      <c r="I854" s="11">
        <f>INDEX(tbCadastroConsultas[],MATCH(tbConsultas[[#This Row],[PROFISSIONAL]],tbCadastroConsultas[PROFISSIONAL],0),3)</f>
        <v>301010080</v>
      </c>
      <c r="J854" s="11">
        <f>INDEX(tbCadastroConsultas[],MATCH(tbConsultas[[#This Row],[PROFISSIONAL]],tbCadastroConsultas[PROFISSIONAL],0),4)</f>
        <v>225124</v>
      </c>
    </row>
    <row r="855" spans="1:10">
      <c r="A855" s="11">
        <f t="shared" si="66"/>
        <v>854</v>
      </c>
      <c r="B855" s="4" t="s">
        <v>0</v>
      </c>
      <c r="C855" s="5">
        <v>26102009</v>
      </c>
      <c r="D855" s="5">
        <v>21052018</v>
      </c>
      <c r="E855" s="4">
        <v>8</v>
      </c>
      <c r="F855" s="15">
        <f t="shared" si="63"/>
        <v>43271</v>
      </c>
      <c r="G855" s="12">
        <f t="shared" si="64"/>
        <v>2018</v>
      </c>
      <c r="H855" s="12" t="str">
        <f t="shared" si="65"/>
        <v>Junho</v>
      </c>
      <c r="I855" s="11">
        <f>INDEX(tbCadastroConsultas[],MATCH(tbConsultas[[#This Row],[PROFISSIONAL]],tbCadastroConsultas[PROFISSIONAL],0),3)</f>
        <v>301010080</v>
      </c>
      <c r="J855" s="11">
        <f>INDEX(tbCadastroConsultas[],MATCH(tbConsultas[[#This Row],[PROFISSIONAL]],tbCadastroConsultas[PROFISSIONAL],0),4)</f>
        <v>225124</v>
      </c>
    </row>
    <row r="856" spans="1:10">
      <c r="A856" s="11">
        <f t="shared" si="66"/>
        <v>855</v>
      </c>
      <c r="B856" s="4" t="s">
        <v>0</v>
      </c>
      <c r="C856" s="5">
        <v>28072012</v>
      </c>
      <c r="D856" s="5">
        <v>21052018</v>
      </c>
      <c r="E856" s="4">
        <v>5</v>
      </c>
      <c r="F856" s="15">
        <f t="shared" si="63"/>
        <v>43271</v>
      </c>
      <c r="G856" s="12">
        <f t="shared" si="64"/>
        <v>2018</v>
      </c>
      <c r="H856" s="12" t="str">
        <f t="shared" si="65"/>
        <v>Junho</v>
      </c>
      <c r="I856" s="11">
        <f>INDEX(tbCadastroConsultas[],MATCH(tbConsultas[[#This Row],[PROFISSIONAL]],tbCadastroConsultas[PROFISSIONAL],0),3)</f>
        <v>301010080</v>
      </c>
      <c r="J856" s="11">
        <f>INDEX(tbCadastroConsultas[],MATCH(tbConsultas[[#This Row],[PROFISSIONAL]],tbCadastroConsultas[PROFISSIONAL],0),4)</f>
        <v>225124</v>
      </c>
    </row>
    <row r="857" spans="1:10">
      <c r="A857" s="11">
        <f t="shared" si="66"/>
        <v>856</v>
      </c>
      <c r="B857" s="4" t="s">
        <v>0</v>
      </c>
      <c r="C857" s="5">
        <v>9052013</v>
      </c>
      <c r="D857" s="5">
        <v>21052018</v>
      </c>
      <c r="E857" s="4">
        <v>5</v>
      </c>
      <c r="F857" s="15">
        <f t="shared" si="63"/>
        <v>43271</v>
      </c>
      <c r="G857" s="12">
        <f t="shared" si="64"/>
        <v>2018</v>
      </c>
      <c r="H857" s="12" t="str">
        <f t="shared" si="65"/>
        <v>Junho</v>
      </c>
      <c r="I857" s="11">
        <f>INDEX(tbCadastroConsultas[],MATCH(tbConsultas[[#This Row],[PROFISSIONAL]],tbCadastroConsultas[PROFISSIONAL],0),3)</f>
        <v>301010080</v>
      </c>
      <c r="J857" s="11">
        <f>INDEX(tbCadastroConsultas[],MATCH(tbConsultas[[#This Row],[PROFISSIONAL]],tbCadastroConsultas[PROFISSIONAL],0),4)</f>
        <v>225124</v>
      </c>
    </row>
    <row r="858" spans="1:10">
      <c r="A858" s="11">
        <f t="shared" si="66"/>
        <v>857</v>
      </c>
      <c r="B858" s="4" t="s">
        <v>0</v>
      </c>
      <c r="C858" s="5">
        <v>23012011</v>
      </c>
      <c r="D858" s="5">
        <v>21052018</v>
      </c>
      <c r="E858" s="4">
        <v>7</v>
      </c>
      <c r="F858" s="15">
        <f t="shared" si="63"/>
        <v>43271</v>
      </c>
      <c r="G858" s="12">
        <f t="shared" si="64"/>
        <v>2018</v>
      </c>
      <c r="H858" s="12" t="str">
        <f t="shared" si="65"/>
        <v>Junho</v>
      </c>
      <c r="I858" s="11">
        <f>INDEX(tbCadastroConsultas[],MATCH(tbConsultas[[#This Row],[PROFISSIONAL]],tbCadastroConsultas[PROFISSIONAL],0),3)</f>
        <v>301010080</v>
      </c>
      <c r="J858" s="11">
        <f>INDEX(tbCadastroConsultas[],MATCH(tbConsultas[[#This Row],[PROFISSIONAL]],tbCadastroConsultas[PROFISSIONAL],0),4)</f>
        <v>225124</v>
      </c>
    </row>
    <row r="859" spans="1:10">
      <c r="A859" s="11">
        <f t="shared" si="66"/>
        <v>858</v>
      </c>
      <c r="B859" s="4" t="s">
        <v>0</v>
      </c>
      <c r="C859" s="5">
        <v>5032018</v>
      </c>
      <c r="D859" s="5">
        <v>21052018</v>
      </c>
      <c r="E859" s="4">
        <v>0</v>
      </c>
      <c r="F859" s="15">
        <f t="shared" si="63"/>
        <v>43271</v>
      </c>
      <c r="G859" s="12">
        <f t="shared" si="64"/>
        <v>2018</v>
      </c>
      <c r="H859" s="12" t="str">
        <f t="shared" si="65"/>
        <v>Junho</v>
      </c>
      <c r="I859" s="11">
        <f>INDEX(tbCadastroConsultas[],MATCH(tbConsultas[[#This Row],[PROFISSIONAL]],tbCadastroConsultas[PROFISSIONAL],0),3)</f>
        <v>301010080</v>
      </c>
      <c r="J859" s="11">
        <f>INDEX(tbCadastroConsultas[],MATCH(tbConsultas[[#This Row],[PROFISSIONAL]],tbCadastroConsultas[PROFISSIONAL],0),4)</f>
        <v>225124</v>
      </c>
    </row>
    <row r="860" spans="1:10">
      <c r="A860" s="11">
        <f t="shared" si="66"/>
        <v>859</v>
      </c>
      <c r="B860" s="4" t="s">
        <v>0</v>
      </c>
      <c r="C860" s="5">
        <v>25042018</v>
      </c>
      <c r="D860" s="5">
        <v>21052018</v>
      </c>
      <c r="E860" s="4">
        <v>0</v>
      </c>
      <c r="F860" s="15">
        <f t="shared" si="63"/>
        <v>43271</v>
      </c>
      <c r="G860" s="12">
        <f t="shared" si="64"/>
        <v>2018</v>
      </c>
      <c r="H860" s="12" t="str">
        <f t="shared" si="65"/>
        <v>Junho</v>
      </c>
      <c r="I860" s="11">
        <f>INDEX(tbCadastroConsultas[],MATCH(tbConsultas[[#This Row],[PROFISSIONAL]],tbCadastroConsultas[PROFISSIONAL],0),3)</f>
        <v>301010080</v>
      </c>
      <c r="J860" s="11">
        <f>INDEX(tbCadastroConsultas[],MATCH(tbConsultas[[#This Row],[PROFISSIONAL]],tbCadastroConsultas[PROFISSIONAL],0),4)</f>
        <v>225124</v>
      </c>
    </row>
    <row r="861" spans="1:10">
      <c r="A861" s="11">
        <f t="shared" si="66"/>
        <v>860</v>
      </c>
      <c r="B861" s="4" t="s">
        <v>0</v>
      </c>
      <c r="C861" s="5">
        <v>7042018</v>
      </c>
      <c r="D861" s="5">
        <v>21052018</v>
      </c>
      <c r="E861" s="4">
        <v>0</v>
      </c>
      <c r="F861" s="15">
        <f t="shared" si="63"/>
        <v>43271</v>
      </c>
      <c r="G861" s="12">
        <f t="shared" si="64"/>
        <v>2018</v>
      </c>
      <c r="H861" s="12" t="str">
        <f t="shared" si="65"/>
        <v>Junho</v>
      </c>
      <c r="I861" s="11">
        <f>INDEX(tbCadastroConsultas[],MATCH(tbConsultas[[#This Row],[PROFISSIONAL]],tbCadastroConsultas[PROFISSIONAL],0),3)</f>
        <v>301010080</v>
      </c>
      <c r="J861" s="11">
        <f>INDEX(tbCadastroConsultas[],MATCH(tbConsultas[[#This Row],[PROFISSIONAL]],tbCadastroConsultas[PROFISSIONAL],0),4)</f>
        <v>225124</v>
      </c>
    </row>
    <row r="862" spans="1:10">
      <c r="A862" s="11">
        <f t="shared" si="66"/>
        <v>861</v>
      </c>
      <c r="B862" s="4" t="s">
        <v>0</v>
      </c>
      <c r="C862" s="5">
        <v>12042016</v>
      </c>
      <c r="D862" s="5">
        <v>21052018</v>
      </c>
      <c r="E862" s="4">
        <v>2</v>
      </c>
      <c r="F862" s="15">
        <f t="shared" si="63"/>
        <v>43271</v>
      </c>
      <c r="G862" s="12">
        <f t="shared" si="64"/>
        <v>2018</v>
      </c>
      <c r="H862" s="12" t="str">
        <f t="shared" si="65"/>
        <v>Junho</v>
      </c>
      <c r="I862" s="11">
        <f>INDEX(tbCadastroConsultas[],MATCH(tbConsultas[[#This Row],[PROFISSIONAL]],tbCadastroConsultas[PROFISSIONAL],0),3)</f>
        <v>301010080</v>
      </c>
      <c r="J862" s="11">
        <f>INDEX(tbCadastroConsultas[],MATCH(tbConsultas[[#This Row],[PROFISSIONAL]],tbCadastroConsultas[PROFISSIONAL],0),4)</f>
        <v>225124</v>
      </c>
    </row>
    <row r="863" spans="1:10">
      <c r="A863" s="11">
        <f t="shared" si="66"/>
        <v>862</v>
      </c>
      <c r="B863" s="4" t="s">
        <v>0</v>
      </c>
      <c r="C863" s="5">
        <v>2032018</v>
      </c>
      <c r="D863" s="5">
        <v>21052018</v>
      </c>
      <c r="E863" s="4">
        <v>0</v>
      </c>
      <c r="F863" s="15">
        <f t="shared" si="63"/>
        <v>43271</v>
      </c>
      <c r="G863" s="12">
        <f t="shared" si="64"/>
        <v>2018</v>
      </c>
      <c r="H863" s="12" t="str">
        <f t="shared" si="65"/>
        <v>Junho</v>
      </c>
      <c r="I863" s="11">
        <f>INDEX(tbCadastroConsultas[],MATCH(tbConsultas[[#This Row],[PROFISSIONAL]],tbCadastroConsultas[PROFISSIONAL],0),3)</f>
        <v>301010080</v>
      </c>
      <c r="J863" s="11">
        <f>INDEX(tbCadastroConsultas[],MATCH(tbConsultas[[#This Row],[PROFISSIONAL]],tbCadastroConsultas[PROFISSIONAL],0),4)</f>
        <v>225124</v>
      </c>
    </row>
    <row r="864" spans="1:10">
      <c r="A864" s="11">
        <f t="shared" si="66"/>
        <v>863</v>
      </c>
      <c r="B864" s="4" t="s">
        <v>0</v>
      </c>
      <c r="C864" s="5">
        <v>24042013</v>
      </c>
      <c r="D864" s="5">
        <v>21052018</v>
      </c>
      <c r="E864" s="4">
        <v>5</v>
      </c>
      <c r="F864" s="15">
        <f t="shared" si="63"/>
        <v>43271</v>
      </c>
      <c r="G864" s="12">
        <f t="shared" si="64"/>
        <v>2018</v>
      </c>
      <c r="H864" s="12" t="str">
        <f t="shared" si="65"/>
        <v>Junho</v>
      </c>
      <c r="I864" s="11">
        <f>INDEX(tbCadastroConsultas[],MATCH(tbConsultas[[#This Row],[PROFISSIONAL]],tbCadastroConsultas[PROFISSIONAL],0),3)</f>
        <v>301010080</v>
      </c>
      <c r="J864" s="11">
        <f>INDEX(tbCadastroConsultas[],MATCH(tbConsultas[[#This Row],[PROFISSIONAL]],tbCadastroConsultas[PROFISSIONAL],0),4)</f>
        <v>225124</v>
      </c>
    </row>
    <row r="865" spans="1:10">
      <c r="A865" s="11">
        <f t="shared" si="66"/>
        <v>864</v>
      </c>
      <c r="B865" s="4" t="s">
        <v>0</v>
      </c>
      <c r="C865" s="5">
        <v>14072016</v>
      </c>
      <c r="D865" s="5">
        <v>21052018</v>
      </c>
      <c r="E865" s="4">
        <v>1</v>
      </c>
      <c r="F865" s="15">
        <f t="shared" si="63"/>
        <v>43271</v>
      </c>
      <c r="G865" s="12">
        <f t="shared" si="64"/>
        <v>2018</v>
      </c>
      <c r="H865" s="12" t="str">
        <f t="shared" si="65"/>
        <v>Junho</v>
      </c>
      <c r="I865" s="11">
        <f>INDEX(tbCadastroConsultas[],MATCH(tbConsultas[[#This Row],[PROFISSIONAL]],tbCadastroConsultas[PROFISSIONAL],0),3)</f>
        <v>301010080</v>
      </c>
      <c r="J865" s="11">
        <f>INDEX(tbCadastroConsultas[],MATCH(tbConsultas[[#This Row],[PROFISSIONAL]],tbCadastroConsultas[PROFISSIONAL],0),4)</f>
        <v>225124</v>
      </c>
    </row>
    <row r="866" spans="1:10">
      <c r="A866" s="11">
        <f t="shared" si="66"/>
        <v>865</v>
      </c>
      <c r="B866" s="4" t="s">
        <v>0</v>
      </c>
      <c r="C866" s="5">
        <v>22112016</v>
      </c>
      <c r="D866" s="5">
        <v>21052018</v>
      </c>
      <c r="E866" s="4">
        <v>1</v>
      </c>
      <c r="F866" s="15">
        <f t="shared" si="63"/>
        <v>43271</v>
      </c>
      <c r="G866" s="12">
        <f t="shared" si="64"/>
        <v>2018</v>
      </c>
      <c r="H866" s="12" t="str">
        <f t="shared" si="65"/>
        <v>Junho</v>
      </c>
      <c r="I866" s="11">
        <f>INDEX(tbCadastroConsultas[],MATCH(tbConsultas[[#This Row],[PROFISSIONAL]],tbCadastroConsultas[PROFISSIONAL],0),3)</f>
        <v>301010080</v>
      </c>
      <c r="J866" s="11">
        <f>INDEX(tbCadastroConsultas[],MATCH(tbConsultas[[#This Row],[PROFISSIONAL]],tbCadastroConsultas[PROFISSIONAL],0),4)</f>
        <v>225124</v>
      </c>
    </row>
    <row r="867" spans="1:10">
      <c r="A867" s="11">
        <f t="shared" si="66"/>
        <v>866</v>
      </c>
      <c r="B867" s="4" t="s">
        <v>0</v>
      </c>
      <c r="C867" s="5">
        <v>2032017</v>
      </c>
      <c r="D867" s="5">
        <v>21052018</v>
      </c>
      <c r="E867" s="4">
        <v>1</v>
      </c>
      <c r="F867" s="15">
        <f t="shared" si="63"/>
        <v>43271</v>
      </c>
      <c r="G867" s="12">
        <f t="shared" si="64"/>
        <v>2018</v>
      </c>
      <c r="H867" s="12" t="str">
        <f t="shared" si="65"/>
        <v>Junho</v>
      </c>
      <c r="I867" s="11">
        <f>INDEX(tbCadastroConsultas[],MATCH(tbConsultas[[#This Row],[PROFISSIONAL]],tbCadastroConsultas[PROFISSIONAL],0),3)</f>
        <v>301010080</v>
      </c>
      <c r="J867" s="11">
        <f>INDEX(tbCadastroConsultas[],MATCH(tbConsultas[[#This Row],[PROFISSIONAL]],tbCadastroConsultas[PROFISSIONAL],0),4)</f>
        <v>225124</v>
      </c>
    </row>
    <row r="868" spans="1:10">
      <c r="A868" s="11">
        <f t="shared" si="66"/>
        <v>867</v>
      </c>
      <c r="B868" s="4" t="s">
        <v>1</v>
      </c>
      <c r="C868" s="5">
        <v>17052005</v>
      </c>
      <c r="D868" s="5">
        <v>21052018</v>
      </c>
      <c r="E868" s="4">
        <v>13</v>
      </c>
      <c r="F868" s="15">
        <f t="shared" si="63"/>
        <v>43271</v>
      </c>
      <c r="G868" s="12">
        <f t="shared" si="64"/>
        <v>2018</v>
      </c>
      <c r="H868" s="12" t="str">
        <f t="shared" si="65"/>
        <v>Junho</v>
      </c>
      <c r="I868" s="11">
        <f>INDEX(tbCadastroConsultas[],MATCH(tbConsultas[[#This Row],[PROFISSIONAL]],tbCadastroConsultas[PROFISSIONAL],0),3)</f>
        <v>301010030</v>
      </c>
      <c r="J868" s="11">
        <f>INDEX(tbCadastroConsultas[],MATCH(tbConsultas[[#This Row],[PROFISSIONAL]],tbCadastroConsultas[PROFISSIONAL],0),4)</f>
        <v>251510</v>
      </c>
    </row>
    <row r="869" spans="1:10">
      <c r="A869" s="11">
        <f t="shared" si="66"/>
        <v>868</v>
      </c>
      <c r="B869" s="4" t="s">
        <v>1</v>
      </c>
      <c r="C869" s="5">
        <v>5021995</v>
      </c>
      <c r="D869" s="5">
        <v>21052018</v>
      </c>
      <c r="E869" s="4">
        <v>23</v>
      </c>
      <c r="F869" s="15">
        <f t="shared" si="63"/>
        <v>43271</v>
      </c>
      <c r="G869" s="12">
        <f t="shared" si="64"/>
        <v>2018</v>
      </c>
      <c r="H869" s="12" t="str">
        <f t="shared" si="65"/>
        <v>Junho</v>
      </c>
      <c r="I869" s="11">
        <f>INDEX(tbCadastroConsultas[],MATCH(tbConsultas[[#This Row],[PROFISSIONAL]],tbCadastroConsultas[PROFISSIONAL],0),3)</f>
        <v>301010030</v>
      </c>
      <c r="J869" s="11">
        <f>INDEX(tbCadastroConsultas[],MATCH(tbConsultas[[#This Row],[PROFISSIONAL]],tbCadastroConsultas[PROFISSIONAL],0),4)</f>
        <v>251510</v>
      </c>
    </row>
    <row r="870" spans="1:10">
      <c r="A870" s="11">
        <f t="shared" si="66"/>
        <v>869</v>
      </c>
      <c r="B870" s="4" t="s">
        <v>1</v>
      </c>
      <c r="C870" s="5">
        <v>28051985</v>
      </c>
      <c r="D870" s="5">
        <v>21052018</v>
      </c>
      <c r="E870" s="4">
        <v>33</v>
      </c>
      <c r="F870" s="15">
        <f t="shared" si="63"/>
        <v>43271</v>
      </c>
      <c r="G870" s="12">
        <f t="shared" si="64"/>
        <v>2018</v>
      </c>
      <c r="H870" s="12" t="str">
        <f t="shared" si="65"/>
        <v>Junho</v>
      </c>
      <c r="I870" s="11">
        <f>INDEX(tbCadastroConsultas[],MATCH(tbConsultas[[#This Row],[PROFISSIONAL]],tbCadastroConsultas[PROFISSIONAL],0),3)</f>
        <v>301010030</v>
      </c>
      <c r="J870" s="11">
        <f>INDEX(tbCadastroConsultas[],MATCH(tbConsultas[[#This Row],[PROFISSIONAL]],tbCadastroConsultas[PROFISSIONAL],0),4)</f>
        <v>251510</v>
      </c>
    </row>
    <row r="871" spans="1:10">
      <c r="A871" s="11">
        <f t="shared" si="66"/>
        <v>870</v>
      </c>
      <c r="B871" s="4" t="s">
        <v>1</v>
      </c>
      <c r="C871" s="5">
        <v>14111983</v>
      </c>
      <c r="D871" s="5">
        <v>21052018</v>
      </c>
      <c r="E871" s="4">
        <v>34</v>
      </c>
      <c r="F871" s="15">
        <f t="shared" si="63"/>
        <v>43271</v>
      </c>
      <c r="G871" s="12">
        <f t="shared" si="64"/>
        <v>2018</v>
      </c>
      <c r="H871" s="12" t="str">
        <f t="shared" si="65"/>
        <v>Junho</v>
      </c>
      <c r="I871" s="11">
        <f>INDEX(tbCadastroConsultas[],MATCH(tbConsultas[[#This Row],[PROFISSIONAL]],tbCadastroConsultas[PROFISSIONAL],0),3)</f>
        <v>301010030</v>
      </c>
      <c r="J871" s="11">
        <f>INDEX(tbCadastroConsultas[],MATCH(tbConsultas[[#This Row],[PROFISSIONAL]],tbCadastroConsultas[PROFISSIONAL],0),4)</f>
        <v>251510</v>
      </c>
    </row>
    <row r="872" spans="1:10">
      <c r="A872" s="11">
        <f t="shared" si="66"/>
        <v>871</v>
      </c>
      <c r="B872" s="4" t="s">
        <v>1</v>
      </c>
      <c r="C872" s="5">
        <v>23091958</v>
      </c>
      <c r="D872" s="5">
        <v>21052018</v>
      </c>
      <c r="E872" s="4">
        <v>59</v>
      </c>
      <c r="F872" s="15">
        <f t="shared" si="63"/>
        <v>43271</v>
      </c>
      <c r="G872" s="12">
        <f t="shared" si="64"/>
        <v>2018</v>
      </c>
      <c r="H872" s="12" t="str">
        <f t="shared" si="65"/>
        <v>Junho</v>
      </c>
      <c r="I872" s="11">
        <f>INDEX(tbCadastroConsultas[],MATCH(tbConsultas[[#This Row],[PROFISSIONAL]],tbCadastroConsultas[PROFISSIONAL],0),3)</f>
        <v>301010030</v>
      </c>
      <c r="J872" s="11">
        <f>INDEX(tbCadastroConsultas[],MATCH(tbConsultas[[#This Row],[PROFISSIONAL]],tbCadastroConsultas[PROFISSIONAL],0),4)</f>
        <v>251510</v>
      </c>
    </row>
    <row r="873" spans="1:10">
      <c r="A873" s="11">
        <f t="shared" si="66"/>
        <v>872</v>
      </c>
      <c r="B873" s="4" t="s">
        <v>1</v>
      </c>
      <c r="C873" s="5">
        <v>7051989</v>
      </c>
      <c r="D873" s="5">
        <v>21052018</v>
      </c>
      <c r="E873" s="4">
        <v>29</v>
      </c>
      <c r="F873" s="15">
        <f t="shared" si="63"/>
        <v>43271</v>
      </c>
      <c r="G873" s="12">
        <f t="shared" si="64"/>
        <v>2018</v>
      </c>
      <c r="H873" s="12" t="str">
        <f t="shared" si="65"/>
        <v>Junho</v>
      </c>
      <c r="I873" s="11">
        <f>INDEX(tbCadastroConsultas[],MATCH(tbConsultas[[#This Row],[PROFISSIONAL]],tbCadastroConsultas[PROFISSIONAL],0),3)</f>
        <v>301010030</v>
      </c>
      <c r="J873" s="11">
        <f>INDEX(tbCadastroConsultas[],MATCH(tbConsultas[[#This Row],[PROFISSIONAL]],tbCadastroConsultas[PROFISSIONAL],0),4)</f>
        <v>251510</v>
      </c>
    </row>
    <row r="874" spans="1:10">
      <c r="A874" s="11">
        <f t="shared" si="66"/>
        <v>873</v>
      </c>
      <c r="B874" s="4" t="s">
        <v>10</v>
      </c>
      <c r="C874" s="5">
        <v>29101982</v>
      </c>
      <c r="D874" s="5">
        <v>21052018</v>
      </c>
      <c r="E874" s="4">
        <v>35</v>
      </c>
      <c r="F874" s="15">
        <f t="shared" si="63"/>
        <v>43271</v>
      </c>
      <c r="G874" s="12">
        <f t="shared" si="64"/>
        <v>2018</v>
      </c>
      <c r="H874" s="12" t="str">
        <f t="shared" si="65"/>
        <v>Junho</v>
      </c>
      <c r="I874" s="11">
        <f>INDEX(tbCadastroConsultas[],MATCH(tbConsultas[[#This Row],[PROFISSIONAL]],tbCadastroConsultas[PROFISSIONAL],0),3)</f>
        <v>301010064</v>
      </c>
      <c r="J874" s="11">
        <f>INDEX(tbCadastroConsultas[],MATCH(tbConsultas[[#This Row],[PROFISSIONAL]],tbCadastroConsultas[PROFISSIONAL],0),4)</f>
        <v>225142</v>
      </c>
    </row>
    <row r="875" spans="1:10">
      <c r="A875" s="11">
        <f t="shared" si="66"/>
        <v>874</v>
      </c>
      <c r="B875" s="4" t="s">
        <v>10</v>
      </c>
      <c r="C875" s="5">
        <v>15071971</v>
      </c>
      <c r="D875" s="5">
        <v>21052018</v>
      </c>
      <c r="E875" s="4">
        <v>46</v>
      </c>
      <c r="F875" s="15">
        <f t="shared" si="63"/>
        <v>43271</v>
      </c>
      <c r="G875" s="12">
        <f t="shared" si="64"/>
        <v>2018</v>
      </c>
      <c r="H875" s="12" t="str">
        <f t="shared" si="65"/>
        <v>Junho</v>
      </c>
      <c r="I875" s="11">
        <f>INDEX(tbCadastroConsultas[],MATCH(tbConsultas[[#This Row],[PROFISSIONAL]],tbCadastroConsultas[PROFISSIONAL],0),3)</f>
        <v>301010064</v>
      </c>
      <c r="J875" s="11">
        <f>INDEX(tbCadastroConsultas[],MATCH(tbConsultas[[#This Row],[PROFISSIONAL]],tbCadastroConsultas[PROFISSIONAL],0),4)</f>
        <v>225142</v>
      </c>
    </row>
    <row r="876" spans="1:10">
      <c r="A876" s="11">
        <f t="shared" si="66"/>
        <v>875</v>
      </c>
      <c r="B876" s="4" t="s">
        <v>10</v>
      </c>
      <c r="C876" s="5">
        <v>10051954</v>
      </c>
      <c r="D876" s="5">
        <v>21052018</v>
      </c>
      <c r="E876" s="4">
        <v>64</v>
      </c>
      <c r="F876" s="15">
        <f t="shared" si="63"/>
        <v>43271</v>
      </c>
      <c r="G876" s="12">
        <f t="shared" si="64"/>
        <v>2018</v>
      </c>
      <c r="H876" s="12" t="str">
        <f t="shared" si="65"/>
        <v>Junho</v>
      </c>
      <c r="I876" s="11">
        <f>INDEX(tbCadastroConsultas[],MATCH(tbConsultas[[#This Row],[PROFISSIONAL]],tbCadastroConsultas[PROFISSIONAL],0),3)</f>
        <v>301010064</v>
      </c>
      <c r="J876" s="11">
        <f>INDEX(tbCadastroConsultas[],MATCH(tbConsultas[[#This Row],[PROFISSIONAL]],tbCadastroConsultas[PROFISSIONAL],0),4)</f>
        <v>225142</v>
      </c>
    </row>
    <row r="877" spans="1:10">
      <c r="A877" s="11">
        <f t="shared" si="66"/>
        <v>876</v>
      </c>
      <c r="B877" s="4" t="s">
        <v>10</v>
      </c>
      <c r="C877" s="5">
        <v>28101986</v>
      </c>
      <c r="D877" s="5">
        <v>21052018</v>
      </c>
      <c r="E877" s="4">
        <v>31</v>
      </c>
      <c r="F877" s="15">
        <f t="shared" si="63"/>
        <v>43271</v>
      </c>
      <c r="G877" s="12">
        <f t="shared" si="64"/>
        <v>2018</v>
      </c>
      <c r="H877" s="12" t="str">
        <f t="shared" si="65"/>
        <v>Junho</v>
      </c>
      <c r="I877" s="11">
        <f>INDEX(tbCadastroConsultas[],MATCH(tbConsultas[[#This Row],[PROFISSIONAL]],tbCadastroConsultas[PROFISSIONAL],0),3)</f>
        <v>301010064</v>
      </c>
      <c r="J877" s="11">
        <f>INDEX(tbCadastroConsultas[],MATCH(tbConsultas[[#This Row],[PROFISSIONAL]],tbCadastroConsultas[PROFISSIONAL],0),4)</f>
        <v>225142</v>
      </c>
    </row>
    <row r="878" spans="1:10">
      <c r="A878" s="11">
        <f t="shared" si="66"/>
        <v>877</v>
      </c>
      <c r="B878" s="4" t="s">
        <v>10</v>
      </c>
      <c r="C878" s="5">
        <v>5072001</v>
      </c>
      <c r="D878" s="5">
        <v>21052018</v>
      </c>
      <c r="E878" s="4">
        <v>16</v>
      </c>
      <c r="F878" s="15">
        <f t="shared" si="63"/>
        <v>43271</v>
      </c>
      <c r="G878" s="12">
        <f t="shared" si="64"/>
        <v>2018</v>
      </c>
      <c r="H878" s="12" t="str">
        <f t="shared" si="65"/>
        <v>Junho</v>
      </c>
      <c r="I878" s="11">
        <f>INDEX(tbCadastroConsultas[],MATCH(tbConsultas[[#This Row],[PROFISSIONAL]],tbCadastroConsultas[PROFISSIONAL],0),3)</f>
        <v>301010064</v>
      </c>
      <c r="J878" s="11">
        <f>INDEX(tbCadastroConsultas[],MATCH(tbConsultas[[#This Row],[PROFISSIONAL]],tbCadastroConsultas[PROFISSIONAL],0),4)</f>
        <v>225142</v>
      </c>
    </row>
    <row r="879" spans="1:10">
      <c r="A879" s="11">
        <f t="shared" si="66"/>
        <v>878</v>
      </c>
      <c r="B879" s="4" t="s">
        <v>10</v>
      </c>
      <c r="C879" s="5">
        <v>30071966</v>
      </c>
      <c r="D879" s="5">
        <v>21052018</v>
      </c>
      <c r="E879" s="4">
        <v>51</v>
      </c>
      <c r="F879" s="15">
        <f t="shared" si="63"/>
        <v>43271</v>
      </c>
      <c r="G879" s="12">
        <f t="shared" si="64"/>
        <v>2018</v>
      </c>
      <c r="H879" s="12" t="str">
        <f t="shared" si="65"/>
        <v>Junho</v>
      </c>
      <c r="I879" s="11">
        <f>INDEX(tbCadastroConsultas[],MATCH(tbConsultas[[#This Row],[PROFISSIONAL]],tbCadastroConsultas[PROFISSIONAL],0),3)</f>
        <v>301010064</v>
      </c>
      <c r="J879" s="11">
        <f>INDEX(tbCadastroConsultas[],MATCH(tbConsultas[[#This Row],[PROFISSIONAL]],tbCadastroConsultas[PROFISSIONAL],0),4)</f>
        <v>225142</v>
      </c>
    </row>
    <row r="880" spans="1:10">
      <c r="A880" s="11">
        <f t="shared" si="66"/>
        <v>879</v>
      </c>
      <c r="B880" s="4" t="s">
        <v>10</v>
      </c>
      <c r="C880" s="5">
        <v>21111967</v>
      </c>
      <c r="D880" s="5">
        <v>21052018</v>
      </c>
      <c r="E880" s="4">
        <v>50</v>
      </c>
      <c r="F880" s="15">
        <f t="shared" si="63"/>
        <v>43271</v>
      </c>
      <c r="G880" s="12">
        <f t="shared" si="64"/>
        <v>2018</v>
      </c>
      <c r="H880" s="12" t="str">
        <f t="shared" si="65"/>
        <v>Junho</v>
      </c>
      <c r="I880" s="11">
        <f>INDEX(tbCadastroConsultas[],MATCH(tbConsultas[[#This Row],[PROFISSIONAL]],tbCadastroConsultas[PROFISSIONAL],0),3)</f>
        <v>301010064</v>
      </c>
      <c r="J880" s="11">
        <f>INDEX(tbCadastroConsultas[],MATCH(tbConsultas[[#This Row],[PROFISSIONAL]],tbCadastroConsultas[PROFISSIONAL],0),4)</f>
        <v>225142</v>
      </c>
    </row>
    <row r="881" spans="1:10">
      <c r="A881" s="11">
        <f t="shared" si="66"/>
        <v>880</v>
      </c>
      <c r="B881" s="4" t="s">
        <v>10</v>
      </c>
      <c r="C881" s="5">
        <v>29031993</v>
      </c>
      <c r="D881" s="5">
        <v>21052018</v>
      </c>
      <c r="E881" s="4">
        <v>25</v>
      </c>
      <c r="F881" s="15">
        <f t="shared" si="63"/>
        <v>43271</v>
      </c>
      <c r="G881" s="12">
        <f t="shared" si="64"/>
        <v>2018</v>
      </c>
      <c r="H881" s="12" t="str">
        <f t="shared" si="65"/>
        <v>Junho</v>
      </c>
      <c r="I881" s="11">
        <f>INDEX(tbCadastroConsultas[],MATCH(tbConsultas[[#This Row],[PROFISSIONAL]],tbCadastroConsultas[PROFISSIONAL],0),3)</f>
        <v>301010064</v>
      </c>
      <c r="J881" s="11">
        <f>INDEX(tbCadastroConsultas[],MATCH(tbConsultas[[#This Row],[PROFISSIONAL]],tbCadastroConsultas[PROFISSIONAL],0),4)</f>
        <v>225142</v>
      </c>
    </row>
    <row r="882" spans="1:10">
      <c r="A882" s="11">
        <f t="shared" si="66"/>
        <v>881</v>
      </c>
      <c r="B882" s="4" t="s">
        <v>6</v>
      </c>
      <c r="C882" s="5">
        <v>23031946</v>
      </c>
      <c r="D882" s="5">
        <v>21052018</v>
      </c>
      <c r="E882" s="4">
        <v>72</v>
      </c>
      <c r="F882" s="15">
        <f t="shared" si="63"/>
        <v>43271</v>
      </c>
      <c r="G882" s="12">
        <f t="shared" si="64"/>
        <v>2018</v>
      </c>
      <c r="H882" s="12" t="str">
        <f t="shared" si="65"/>
        <v>Junho</v>
      </c>
      <c r="I882" s="11">
        <f>INDEX(tbCadastroConsultas[],MATCH(tbConsultas[[#This Row],[PROFISSIONAL]],tbCadastroConsultas[PROFISSIONAL],0),3)</f>
        <v>301010064</v>
      </c>
      <c r="J882" s="11">
        <f>INDEX(tbCadastroConsultas[],MATCH(tbConsultas[[#This Row],[PROFISSIONAL]],tbCadastroConsultas[PROFISSIONAL],0),4)</f>
        <v>225125</v>
      </c>
    </row>
    <row r="883" spans="1:10">
      <c r="A883" s="11">
        <f t="shared" si="66"/>
        <v>882</v>
      </c>
      <c r="B883" s="4" t="s">
        <v>6</v>
      </c>
      <c r="C883" s="5">
        <v>16121959</v>
      </c>
      <c r="D883" s="5">
        <v>21052018</v>
      </c>
      <c r="E883" s="4">
        <v>58</v>
      </c>
      <c r="F883" s="15">
        <f t="shared" si="63"/>
        <v>43271</v>
      </c>
      <c r="G883" s="12">
        <f t="shared" si="64"/>
        <v>2018</v>
      </c>
      <c r="H883" s="12" t="str">
        <f t="shared" si="65"/>
        <v>Junho</v>
      </c>
      <c r="I883" s="11">
        <f>INDEX(tbCadastroConsultas[],MATCH(tbConsultas[[#This Row],[PROFISSIONAL]],tbCadastroConsultas[PROFISSIONAL],0),3)</f>
        <v>301010064</v>
      </c>
      <c r="J883" s="11">
        <f>INDEX(tbCadastroConsultas[],MATCH(tbConsultas[[#This Row],[PROFISSIONAL]],tbCadastroConsultas[PROFISSIONAL],0),4)</f>
        <v>225125</v>
      </c>
    </row>
    <row r="884" spans="1:10">
      <c r="A884" s="11">
        <f t="shared" si="66"/>
        <v>883</v>
      </c>
      <c r="B884" s="4" t="s">
        <v>6</v>
      </c>
      <c r="C884" s="5">
        <v>1011959</v>
      </c>
      <c r="D884" s="5">
        <v>21052018</v>
      </c>
      <c r="E884" s="4">
        <v>59</v>
      </c>
      <c r="F884" s="15">
        <f t="shared" si="63"/>
        <v>43271</v>
      </c>
      <c r="G884" s="12">
        <f t="shared" si="64"/>
        <v>2018</v>
      </c>
      <c r="H884" s="12" t="str">
        <f t="shared" si="65"/>
        <v>Junho</v>
      </c>
      <c r="I884" s="11">
        <f>INDEX(tbCadastroConsultas[],MATCH(tbConsultas[[#This Row],[PROFISSIONAL]],tbCadastroConsultas[PROFISSIONAL],0),3)</f>
        <v>301010064</v>
      </c>
      <c r="J884" s="11">
        <f>INDEX(tbCadastroConsultas[],MATCH(tbConsultas[[#This Row],[PROFISSIONAL]],tbCadastroConsultas[PROFISSIONAL],0),4)</f>
        <v>225125</v>
      </c>
    </row>
    <row r="885" spans="1:10">
      <c r="A885" s="11">
        <f t="shared" si="66"/>
        <v>884</v>
      </c>
      <c r="B885" s="4" t="s">
        <v>6</v>
      </c>
      <c r="C885" s="5">
        <v>26022002</v>
      </c>
      <c r="D885" s="5">
        <v>21052018</v>
      </c>
      <c r="E885" s="4">
        <v>16</v>
      </c>
      <c r="F885" s="15">
        <f t="shared" si="63"/>
        <v>43271</v>
      </c>
      <c r="G885" s="12">
        <f t="shared" si="64"/>
        <v>2018</v>
      </c>
      <c r="H885" s="12" t="str">
        <f t="shared" si="65"/>
        <v>Junho</v>
      </c>
      <c r="I885" s="11">
        <f>INDEX(tbCadastroConsultas[],MATCH(tbConsultas[[#This Row],[PROFISSIONAL]],tbCadastroConsultas[PROFISSIONAL],0),3)</f>
        <v>301010064</v>
      </c>
      <c r="J885" s="11">
        <f>INDEX(tbCadastroConsultas[],MATCH(tbConsultas[[#This Row],[PROFISSIONAL]],tbCadastroConsultas[PROFISSIONAL],0),4)</f>
        <v>225125</v>
      </c>
    </row>
    <row r="886" spans="1:10">
      <c r="A886" s="11">
        <f t="shared" si="66"/>
        <v>885</v>
      </c>
      <c r="B886" s="4" t="s">
        <v>6</v>
      </c>
      <c r="C886" s="5">
        <v>8021985</v>
      </c>
      <c r="D886" s="5">
        <v>21052018</v>
      </c>
      <c r="E886" s="4">
        <v>33</v>
      </c>
      <c r="F886" s="15">
        <f t="shared" si="63"/>
        <v>43271</v>
      </c>
      <c r="G886" s="12">
        <f t="shared" si="64"/>
        <v>2018</v>
      </c>
      <c r="H886" s="12" t="str">
        <f t="shared" si="65"/>
        <v>Junho</v>
      </c>
      <c r="I886" s="11">
        <f>INDEX(tbCadastroConsultas[],MATCH(tbConsultas[[#This Row],[PROFISSIONAL]],tbCadastroConsultas[PROFISSIONAL],0),3)</f>
        <v>301010064</v>
      </c>
      <c r="J886" s="11">
        <f>INDEX(tbCadastroConsultas[],MATCH(tbConsultas[[#This Row],[PROFISSIONAL]],tbCadastroConsultas[PROFISSIONAL],0),4)</f>
        <v>225125</v>
      </c>
    </row>
    <row r="887" spans="1:10">
      <c r="A887" s="11">
        <f t="shared" si="66"/>
        <v>886</v>
      </c>
      <c r="B887" s="4" t="s">
        <v>6</v>
      </c>
      <c r="C887" s="5">
        <v>23101949</v>
      </c>
      <c r="D887" s="5">
        <v>21052018</v>
      </c>
      <c r="E887" s="4">
        <v>68</v>
      </c>
      <c r="F887" s="15">
        <f t="shared" si="63"/>
        <v>43271</v>
      </c>
      <c r="G887" s="12">
        <f t="shared" si="64"/>
        <v>2018</v>
      </c>
      <c r="H887" s="12" t="str">
        <f t="shared" si="65"/>
        <v>Junho</v>
      </c>
      <c r="I887" s="11">
        <f>INDEX(tbCadastroConsultas[],MATCH(tbConsultas[[#This Row],[PROFISSIONAL]],tbCadastroConsultas[PROFISSIONAL],0),3)</f>
        <v>301010064</v>
      </c>
      <c r="J887" s="11">
        <f>INDEX(tbCadastroConsultas[],MATCH(tbConsultas[[#This Row],[PROFISSIONAL]],tbCadastroConsultas[PROFISSIONAL],0),4)</f>
        <v>225125</v>
      </c>
    </row>
    <row r="888" spans="1:10">
      <c r="A888" s="11">
        <f t="shared" si="66"/>
        <v>887</v>
      </c>
      <c r="B888" s="4" t="s">
        <v>6</v>
      </c>
      <c r="C888" s="5">
        <v>28051968</v>
      </c>
      <c r="D888" s="5">
        <v>21052018</v>
      </c>
      <c r="E888" s="4">
        <v>50</v>
      </c>
      <c r="F888" s="15">
        <f t="shared" si="63"/>
        <v>43271</v>
      </c>
      <c r="G888" s="12">
        <f t="shared" si="64"/>
        <v>2018</v>
      </c>
      <c r="H888" s="12" t="str">
        <f t="shared" si="65"/>
        <v>Junho</v>
      </c>
      <c r="I888" s="11">
        <f>INDEX(tbCadastroConsultas[],MATCH(tbConsultas[[#This Row],[PROFISSIONAL]],tbCadastroConsultas[PROFISSIONAL],0),3)</f>
        <v>301010064</v>
      </c>
      <c r="J888" s="11">
        <f>INDEX(tbCadastroConsultas[],MATCH(tbConsultas[[#This Row],[PROFISSIONAL]],tbCadastroConsultas[PROFISSIONAL],0),4)</f>
        <v>225125</v>
      </c>
    </row>
    <row r="889" spans="1:10">
      <c r="A889" s="11">
        <f t="shared" si="66"/>
        <v>888</v>
      </c>
      <c r="B889" s="4" t="s">
        <v>6</v>
      </c>
      <c r="C889" s="5">
        <v>12081946</v>
      </c>
      <c r="D889" s="5">
        <v>21052018</v>
      </c>
      <c r="E889" s="4">
        <v>71</v>
      </c>
      <c r="F889" s="15">
        <f t="shared" si="63"/>
        <v>43271</v>
      </c>
      <c r="G889" s="12">
        <f t="shared" si="64"/>
        <v>2018</v>
      </c>
      <c r="H889" s="12" t="str">
        <f t="shared" si="65"/>
        <v>Junho</v>
      </c>
      <c r="I889" s="11">
        <f>INDEX(tbCadastroConsultas[],MATCH(tbConsultas[[#This Row],[PROFISSIONAL]],tbCadastroConsultas[PROFISSIONAL],0),3)</f>
        <v>301010064</v>
      </c>
      <c r="J889" s="11">
        <f>INDEX(tbCadastroConsultas[],MATCH(tbConsultas[[#This Row],[PROFISSIONAL]],tbCadastroConsultas[PROFISSIONAL],0),4)</f>
        <v>225125</v>
      </c>
    </row>
    <row r="890" spans="1:10">
      <c r="A890" s="11">
        <f t="shared" si="66"/>
        <v>889</v>
      </c>
      <c r="B890" s="4" t="s">
        <v>6</v>
      </c>
      <c r="C890" s="5">
        <v>16021943</v>
      </c>
      <c r="D890" s="5">
        <v>21052018</v>
      </c>
      <c r="E890" s="4">
        <v>75</v>
      </c>
      <c r="F890" s="15">
        <f t="shared" si="63"/>
        <v>43271</v>
      </c>
      <c r="G890" s="12">
        <f t="shared" si="64"/>
        <v>2018</v>
      </c>
      <c r="H890" s="12" t="str">
        <f t="shared" si="65"/>
        <v>Junho</v>
      </c>
      <c r="I890" s="11">
        <f>INDEX(tbCadastroConsultas[],MATCH(tbConsultas[[#This Row],[PROFISSIONAL]],tbCadastroConsultas[PROFISSIONAL],0),3)</f>
        <v>301010064</v>
      </c>
      <c r="J890" s="11">
        <f>INDEX(tbCadastroConsultas[],MATCH(tbConsultas[[#This Row],[PROFISSIONAL]],tbCadastroConsultas[PROFISSIONAL],0),4)</f>
        <v>225125</v>
      </c>
    </row>
    <row r="891" spans="1:10">
      <c r="A891" s="11">
        <f t="shared" si="66"/>
        <v>890</v>
      </c>
      <c r="B891" s="4" t="s">
        <v>6</v>
      </c>
      <c r="C891" s="5">
        <v>24071990</v>
      </c>
      <c r="D891" s="5">
        <v>21052018</v>
      </c>
      <c r="E891" s="4">
        <v>27</v>
      </c>
      <c r="F891" s="15">
        <f t="shared" si="63"/>
        <v>43271</v>
      </c>
      <c r="G891" s="12">
        <f t="shared" si="64"/>
        <v>2018</v>
      </c>
      <c r="H891" s="12" t="str">
        <f t="shared" si="65"/>
        <v>Junho</v>
      </c>
      <c r="I891" s="11">
        <f>INDEX(tbCadastroConsultas[],MATCH(tbConsultas[[#This Row],[PROFISSIONAL]],tbCadastroConsultas[PROFISSIONAL],0),3)</f>
        <v>301010064</v>
      </c>
      <c r="J891" s="11">
        <f>INDEX(tbCadastroConsultas[],MATCH(tbConsultas[[#This Row],[PROFISSIONAL]],tbCadastroConsultas[PROFISSIONAL],0),4)</f>
        <v>225125</v>
      </c>
    </row>
    <row r="892" spans="1:10">
      <c r="A892" s="11">
        <f t="shared" si="66"/>
        <v>891</v>
      </c>
      <c r="B892" s="4" t="s">
        <v>6</v>
      </c>
      <c r="C892" s="5">
        <v>14041950</v>
      </c>
      <c r="D892" s="5">
        <v>21052018</v>
      </c>
      <c r="E892" s="4">
        <v>68</v>
      </c>
      <c r="F892" s="15">
        <f t="shared" si="63"/>
        <v>43271</v>
      </c>
      <c r="G892" s="12">
        <f t="shared" si="64"/>
        <v>2018</v>
      </c>
      <c r="H892" s="12" t="str">
        <f t="shared" si="65"/>
        <v>Junho</v>
      </c>
      <c r="I892" s="11">
        <f>INDEX(tbCadastroConsultas[],MATCH(tbConsultas[[#This Row],[PROFISSIONAL]],tbCadastroConsultas[PROFISSIONAL],0),3)</f>
        <v>301010064</v>
      </c>
      <c r="J892" s="11">
        <f>INDEX(tbCadastroConsultas[],MATCH(tbConsultas[[#This Row],[PROFISSIONAL]],tbCadastroConsultas[PROFISSIONAL],0),4)</f>
        <v>225125</v>
      </c>
    </row>
    <row r="893" spans="1:10">
      <c r="A893" s="11">
        <f t="shared" si="66"/>
        <v>892</v>
      </c>
      <c r="B893" s="4" t="s">
        <v>6</v>
      </c>
      <c r="C893" s="5">
        <v>1041957</v>
      </c>
      <c r="D893" s="5">
        <v>21052018</v>
      </c>
      <c r="E893" s="4">
        <v>61</v>
      </c>
      <c r="F893" s="15">
        <f t="shared" si="63"/>
        <v>43271</v>
      </c>
      <c r="G893" s="12">
        <f t="shared" si="64"/>
        <v>2018</v>
      </c>
      <c r="H893" s="12" t="str">
        <f t="shared" si="65"/>
        <v>Junho</v>
      </c>
      <c r="I893" s="11">
        <f>INDEX(tbCadastroConsultas[],MATCH(tbConsultas[[#This Row],[PROFISSIONAL]],tbCadastroConsultas[PROFISSIONAL],0),3)</f>
        <v>301010064</v>
      </c>
      <c r="J893" s="11">
        <f>INDEX(tbCadastroConsultas[],MATCH(tbConsultas[[#This Row],[PROFISSIONAL]],tbCadastroConsultas[PROFISSIONAL],0),4)</f>
        <v>225125</v>
      </c>
    </row>
    <row r="894" spans="1:10">
      <c r="A894" s="11">
        <f t="shared" si="66"/>
        <v>893</v>
      </c>
      <c r="B894" s="4" t="s">
        <v>6</v>
      </c>
      <c r="C894" s="5">
        <v>14091963</v>
      </c>
      <c r="D894" s="5">
        <v>21052018</v>
      </c>
      <c r="E894" s="4">
        <v>54</v>
      </c>
      <c r="F894" s="15">
        <f t="shared" si="63"/>
        <v>43271</v>
      </c>
      <c r="G894" s="12">
        <f t="shared" si="64"/>
        <v>2018</v>
      </c>
      <c r="H894" s="12" t="str">
        <f t="shared" si="65"/>
        <v>Junho</v>
      </c>
      <c r="I894" s="11">
        <f>INDEX(tbCadastroConsultas[],MATCH(tbConsultas[[#This Row],[PROFISSIONAL]],tbCadastroConsultas[PROFISSIONAL],0),3)</f>
        <v>301010064</v>
      </c>
      <c r="J894" s="11">
        <f>INDEX(tbCadastroConsultas[],MATCH(tbConsultas[[#This Row],[PROFISSIONAL]],tbCadastroConsultas[PROFISSIONAL],0),4)</f>
        <v>225125</v>
      </c>
    </row>
    <row r="895" spans="1:10">
      <c r="A895" s="11">
        <f t="shared" si="66"/>
        <v>894</v>
      </c>
      <c r="B895" s="4" t="s">
        <v>6</v>
      </c>
      <c r="C895" s="5">
        <v>10041950</v>
      </c>
      <c r="D895" s="5">
        <v>21052018</v>
      </c>
      <c r="E895" s="4">
        <v>68</v>
      </c>
      <c r="F895" s="15">
        <f t="shared" si="63"/>
        <v>43271</v>
      </c>
      <c r="G895" s="12">
        <f t="shared" si="64"/>
        <v>2018</v>
      </c>
      <c r="H895" s="12" t="str">
        <f t="shared" si="65"/>
        <v>Junho</v>
      </c>
      <c r="I895" s="11">
        <f>INDEX(tbCadastroConsultas[],MATCH(tbConsultas[[#This Row],[PROFISSIONAL]],tbCadastroConsultas[PROFISSIONAL],0),3)</f>
        <v>301010064</v>
      </c>
      <c r="J895" s="11">
        <f>INDEX(tbCadastroConsultas[],MATCH(tbConsultas[[#This Row],[PROFISSIONAL]],tbCadastroConsultas[PROFISSIONAL],0),4)</f>
        <v>225125</v>
      </c>
    </row>
    <row r="896" spans="1:10">
      <c r="A896" s="11">
        <f t="shared" si="66"/>
        <v>895</v>
      </c>
      <c r="B896" s="4" t="s">
        <v>6</v>
      </c>
      <c r="C896" s="5">
        <v>24041964</v>
      </c>
      <c r="D896" s="5">
        <v>21052018</v>
      </c>
      <c r="E896" s="4">
        <v>54</v>
      </c>
      <c r="F896" s="15">
        <f t="shared" si="63"/>
        <v>43271</v>
      </c>
      <c r="G896" s="12">
        <f t="shared" si="64"/>
        <v>2018</v>
      </c>
      <c r="H896" s="12" t="str">
        <f t="shared" si="65"/>
        <v>Junho</v>
      </c>
      <c r="I896" s="11">
        <f>INDEX(tbCadastroConsultas[],MATCH(tbConsultas[[#This Row],[PROFISSIONAL]],tbCadastroConsultas[PROFISSIONAL],0),3)</f>
        <v>301010064</v>
      </c>
      <c r="J896" s="11">
        <f>INDEX(tbCadastroConsultas[],MATCH(tbConsultas[[#This Row],[PROFISSIONAL]],tbCadastroConsultas[PROFISSIONAL],0),4)</f>
        <v>225125</v>
      </c>
    </row>
    <row r="897" spans="1:10">
      <c r="A897" s="11">
        <f t="shared" si="66"/>
        <v>896</v>
      </c>
      <c r="B897" s="4" t="s">
        <v>6</v>
      </c>
      <c r="C897" s="5">
        <v>16061969</v>
      </c>
      <c r="D897" s="5">
        <v>21052018</v>
      </c>
      <c r="E897" s="4">
        <v>48</v>
      </c>
      <c r="F897" s="15">
        <f t="shared" si="63"/>
        <v>43271</v>
      </c>
      <c r="G897" s="12">
        <f t="shared" si="64"/>
        <v>2018</v>
      </c>
      <c r="H897" s="12" t="str">
        <f t="shared" si="65"/>
        <v>Junho</v>
      </c>
      <c r="I897" s="11">
        <f>INDEX(tbCadastroConsultas[],MATCH(tbConsultas[[#This Row],[PROFISSIONAL]],tbCadastroConsultas[PROFISSIONAL],0),3)</f>
        <v>301010064</v>
      </c>
      <c r="J897" s="11">
        <f>INDEX(tbCadastroConsultas[],MATCH(tbConsultas[[#This Row],[PROFISSIONAL]],tbCadastroConsultas[PROFISSIONAL],0),4)</f>
        <v>225125</v>
      </c>
    </row>
    <row r="898" spans="1:10">
      <c r="A898" s="11">
        <f t="shared" si="66"/>
        <v>897</v>
      </c>
      <c r="B898" s="4" t="s">
        <v>6</v>
      </c>
      <c r="C898" s="5">
        <v>12031959</v>
      </c>
      <c r="D898" s="5">
        <v>21052018</v>
      </c>
      <c r="E898" s="4">
        <v>59</v>
      </c>
      <c r="F898" s="15">
        <f t="shared" ref="F898:F961" si="67">IF(D898="","",DATE(YEAR(TEXT(D898,"00\/00\/0000")),MONTH(TEXT(D898,"00\/00\/0000"))+1,20))</f>
        <v>43271</v>
      </c>
      <c r="G898" s="12">
        <f t="shared" ref="G898:G961" si="68">IF(F898="","",YEAR(F898))</f>
        <v>2018</v>
      </c>
      <c r="H898" s="12" t="str">
        <f t="shared" ref="H898:H961" si="69">PROPER(TEXT(F898,"mmmm"))</f>
        <v>Junho</v>
      </c>
      <c r="I898" s="11">
        <f>INDEX(tbCadastroConsultas[],MATCH(tbConsultas[[#This Row],[PROFISSIONAL]],tbCadastroConsultas[PROFISSIONAL],0),3)</f>
        <v>301010064</v>
      </c>
      <c r="J898" s="11">
        <f>INDEX(tbCadastroConsultas[],MATCH(tbConsultas[[#This Row],[PROFISSIONAL]],tbCadastroConsultas[PROFISSIONAL],0),4)</f>
        <v>225125</v>
      </c>
    </row>
    <row r="899" spans="1:10">
      <c r="A899" s="11">
        <f t="shared" si="66"/>
        <v>898</v>
      </c>
      <c r="B899" s="4" t="s">
        <v>6</v>
      </c>
      <c r="C899" s="5">
        <v>6021963</v>
      </c>
      <c r="D899" s="5">
        <v>21052018</v>
      </c>
      <c r="E899" s="4">
        <v>55</v>
      </c>
      <c r="F899" s="15">
        <f t="shared" si="67"/>
        <v>43271</v>
      </c>
      <c r="G899" s="12">
        <f t="shared" si="68"/>
        <v>2018</v>
      </c>
      <c r="H899" s="12" t="str">
        <f t="shared" si="69"/>
        <v>Junho</v>
      </c>
      <c r="I899" s="11">
        <f>INDEX(tbCadastroConsultas[],MATCH(tbConsultas[[#This Row],[PROFISSIONAL]],tbCadastroConsultas[PROFISSIONAL],0),3)</f>
        <v>301010064</v>
      </c>
      <c r="J899" s="11">
        <f>INDEX(tbCadastroConsultas[],MATCH(tbConsultas[[#This Row],[PROFISSIONAL]],tbCadastroConsultas[PROFISSIONAL],0),4)</f>
        <v>225125</v>
      </c>
    </row>
    <row r="900" spans="1:10">
      <c r="A900" s="11">
        <f t="shared" si="66"/>
        <v>899</v>
      </c>
      <c r="B900" s="4" t="s">
        <v>6</v>
      </c>
      <c r="C900" s="5">
        <v>6021954</v>
      </c>
      <c r="D900" s="5">
        <v>21052018</v>
      </c>
      <c r="E900" s="4">
        <v>64</v>
      </c>
      <c r="F900" s="15">
        <f t="shared" si="67"/>
        <v>43271</v>
      </c>
      <c r="G900" s="12">
        <f t="shared" si="68"/>
        <v>2018</v>
      </c>
      <c r="H900" s="12" t="str">
        <f t="shared" si="69"/>
        <v>Junho</v>
      </c>
      <c r="I900" s="11">
        <f>INDEX(tbCadastroConsultas[],MATCH(tbConsultas[[#This Row],[PROFISSIONAL]],tbCadastroConsultas[PROFISSIONAL],0),3)</f>
        <v>301010064</v>
      </c>
      <c r="J900" s="11">
        <f>INDEX(tbCadastroConsultas[],MATCH(tbConsultas[[#This Row],[PROFISSIONAL]],tbCadastroConsultas[PROFISSIONAL],0),4)</f>
        <v>225125</v>
      </c>
    </row>
    <row r="901" spans="1:10">
      <c r="A901" s="11">
        <f t="shared" si="66"/>
        <v>900</v>
      </c>
      <c r="B901" s="4" t="s">
        <v>6</v>
      </c>
      <c r="C901" s="5">
        <v>2041970</v>
      </c>
      <c r="D901" s="5">
        <v>21052018</v>
      </c>
      <c r="E901" s="4">
        <v>48</v>
      </c>
      <c r="F901" s="15">
        <f t="shared" si="67"/>
        <v>43271</v>
      </c>
      <c r="G901" s="12">
        <f t="shared" si="68"/>
        <v>2018</v>
      </c>
      <c r="H901" s="12" t="str">
        <f t="shared" si="69"/>
        <v>Junho</v>
      </c>
      <c r="I901" s="11">
        <f>INDEX(tbCadastroConsultas[],MATCH(tbConsultas[[#This Row],[PROFISSIONAL]],tbCadastroConsultas[PROFISSIONAL],0),3)</f>
        <v>301010064</v>
      </c>
      <c r="J901" s="11">
        <f>INDEX(tbCadastroConsultas[],MATCH(tbConsultas[[#This Row],[PROFISSIONAL]],tbCadastroConsultas[PROFISSIONAL],0),4)</f>
        <v>225125</v>
      </c>
    </row>
    <row r="902" spans="1:10">
      <c r="A902" s="11">
        <f t="shared" si="66"/>
        <v>901</v>
      </c>
      <c r="B902" s="4" t="s">
        <v>6</v>
      </c>
      <c r="C902" s="5">
        <v>2061961</v>
      </c>
      <c r="D902" s="5">
        <v>21052018</v>
      </c>
      <c r="E902" s="4">
        <v>57</v>
      </c>
      <c r="F902" s="15">
        <f t="shared" si="67"/>
        <v>43271</v>
      </c>
      <c r="G902" s="12">
        <f t="shared" si="68"/>
        <v>2018</v>
      </c>
      <c r="H902" s="12" t="str">
        <f t="shared" si="69"/>
        <v>Junho</v>
      </c>
      <c r="I902" s="11">
        <f>INDEX(tbCadastroConsultas[],MATCH(tbConsultas[[#This Row],[PROFISSIONAL]],tbCadastroConsultas[PROFISSIONAL],0),3)</f>
        <v>301010064</v>
      </c>
      <c r="J902" s="11">
        <f>INDEX(tbCadastroConsultas[],MATCH(tbConsultas[[#This Row],[PROFISSIONAL]],tbCadastroConsultas[PROFISSIONAL],0),4)</f>
        <v>225125</v>
      </c>
    </row>
    <row r="903" spans="1:10">
      <c r="A903" s="11">
        <f t="shared" si="66"/>
        <v>902</v>
      </c>
      <c r="B903" s="4" t="s">
        <v>6</v>
      </c>
      <c r="C903" s="5">
        <v>6111984</v>
      </c>
      <c r="D903" s="5">
        <v>21052018</v>
      </c>
      <c r="E903" s="4">
        <v>33</v>
      </c>
      <c r="F903" s="15">
        <f t="shared" si="67"/>
        <v>43271</v>
      </c>
      <c r="G903" s="12">
        <f t="shared" si="68"/>
        <v>2018</v>
      </c>
      <c r="H903" s="12" t="str">
        <f t="shared" si="69"/>
        <v>Junho</v>
      </c>
      <c r="I903" s="11">
        <f>INDEX(tbCadastroConsultas[],MATCH(tbConsultas[[#This Row],[PROFISSIONAL]],tbCadastroConsultas[PROFISSIONAL],0),3)</f>
        <v>301010064</v>
      </c>
      <c r="J903" s="11">
        <f>INDEX(tbCadastroConsultas[],MATCH(tbConsultas[[#This Row],[PROFISSIONAL]],tbCadastroConsultas[PROFISSIONAL],0),4)</f>
        <v>225125</v>
      </c>
    </row>
    <row r="904" spans="1:10">
      <c r="A904" s="11">
        <f t="shared" si="66"/>
        <v>903</v>
      </c>
      <c r="B904" s="4" t="s">
        <v>6</v>
      </c>
      <c r="C904" s="5">
        <v>26021982</v>
      </c>
      <c r="D904" s="5">
        <v>21052018</v>
      </c>
      <c r="E904" s="4">
        <v>36</v>
      </c>
      <c r="F904" s="15">
        <f t="shared" si="67"/>
        <v>43271</v>
      </c>
      <c r="G904" s="12">
        <f t="shared" si="68"/>
        <v>2018</v>
      </c>
      <c r="H904" s="12" t="str">
        <f t="shared" si="69"/>
        <v>Junho</v>
      </c>
      <c r="I904" s="11">
        <f>INDEX(tbCadastroConsultas[],MATCH(tbConsultas[[#This Row],[PROFISSIONAL]],tbCadastroConsultas[PROFISSIONAL],0),3)</f>
        <v>301010064</v>
      </c>
      <c r="J904" s="11">
        <f>INDEX(tbCadastroConsultas[],MATCH(tbConsultas[[#This Row],[PROFISSIONAL]],tbCadastroConsultas[PROFISSIONAL],0),4)</f>
        <v>225125</v>
      </c>
    </row>
    <row r="905" spans="1:10">
      <c r="A905" s="11">
        <f t="shared" ref="A905:A968" si="70">ROW() -1</f>
        <v>904</v>
      </c>
      <c r="B905" s="4" t="s">
        <v>6</v>
      </c>
      <c r="C905" s="5">
        <v>28081965</v>
      </c>
      <c r="D905" s="5">
        <v>21052018</v>
      </c>
      <c r="E905" s="4">
        <v>52</v>
      </c>
      <c r="F905" s="15">
        <f t="shared" si="67"/>
        <v>43271</v>
      </c>
      <c r="G905" s="12">
        <f t="shared" si="68"/>
        <v>2018</v>
      </c>
      <c r="H905" s="12" t="str">
        <f t="shared" si="69"/>
        <v>Junho</v>
      </c>
      <c r="I905" s="11">
        <f>INDEX(tbCadastroConsultas[],MATCH(tbConsultas[[#This Row],[PROFISSIONAL]],tbCadastroConsultas[PROFISSIONAL],0),3)</f>
        <v>301010064</v>
      </c>
      <c r="J905" s="11">
        <f>INDEX(tbCadastroConsultas[],MATCH(tbConsultas[[#This Row],[PROFISSIONAL]],tbCadastroConsultas[PROFISSIONAL],0),4)</f>
        <v>225125</v>
      </c>
    </row>
    <row r="906" spans="1:10">
      <c r="A906" s="11">
        <f t="shared" si="70"/>
        <v>905</v>
      </c>
      <c r="B906" s="4" t="s">
        <v>6</v>
      </c>
      <c r="C906" s="5">
        <v>14041953</v>
      </c>
      <c r="D906" s="5">
        <v>21052018</v>
      </c>
      <c r="E906" s="4">
        <v>65</v>
      </c>
      <c r="F906" s="15">
        <f t="shared" si="67"/>
        <v>43271</v>
      </c>
      <c r="G906" s="12">
        <f t="shared" si="68"/>
        <v>2018</v>
      </c>
      <c r="H906" s="12" t="str">
        <f t="shared" si="69"/>
        <v>Junho</v>
      </c>
      <c r="I906" s="11">
        <f>INDEX(tbCadastroConsultas[],MATCH(tbConsultas[[#This Row],[PROFISSIONAL]],tbCadastroConsultas[PROFISSIONAL],0),3)</f>
        <v>301010064</v>
      </c>
      <c r="J906" s="11">
        <f>INDEX(tbCadastroConsultas[],MATCH(tbConsultas[[#This Row],[PROFISSIONAL]],tbCadastroConsultas[PROFISSIONAL],0),4)</f>
        <v>225125</v>
      </c>
    </row>
    <row r="907" spans="1:10">
      <c r="A907" s="11">
        <f t="shared" si="70"/>
        <v>906</v>
      </c>
      <c r="B907" s="4" t="s">
        <v>6</v>
      </c>
      <c r="C907" s="5">
        <v>8021948</v>
      </c>
      <c r="D907" s="5">
        <v>21052018</v>
      </c>
      <c r="E907" s="4">
        <v>70</v>
      </c>
      <c r="F907" s="15">
        <f t="shared" si="67"/>
        <v>43271</v>
      </c>
      <c r="G907" s="12">
        <f t="shared" si="68"/>
        <v>2018</v>
      </c>
      <c r="H907" s="12" t="str">
        <f t="shared" si="69"/>
        <v>Junho</v>
      </c>
      <c r="I907" s="11">
        <f>INDEX(tbCadastroConsultas[],MATCH(tbConsultas[[#This Row],[PROFISSIONAL]],tbCadastroConsultas[PROFISSIONAL],0),3)</f>
        <v>301010064</v>
      </c>
      <c r="J907" s="11">
        <f>INDEX(tbCadastroConsultas[],MATCH(tbConsultas[[#This Row],[PROFISSIONAL]],tbCadastroConsultas[PROFISSIONAL],0),4)</f>
        <v>225125</v>
      </c>
    </row>
    <row r="908" spans="1:10">
      <c r="A908" s="11">
        <f t="shared" si="70"/>
        <v>907</v>
      </c>
      <c r="B908" s="4" t="s">
        <v>6</v>
      </c>
      <c r="C908" s="5">
        <v>10041947</v>
      </c>
      <c r="D908" s="5">
        <v>21052018</v>
      </c>
      <c r="E908" s="4">
        <v>71</v>
      </c>
      <c r="F908" s="15">
        <f t="shared" si="67"/>
        <v>43271</v>
      </c>
      <c r="G908" s="12">
        <f t="shared" si="68"/>
        <v>2018</v>
      </c>
      <c r="H908" s="12" t="str">
        <f t="shared" si="69"/>
        <v>Junho</v>
      </c>
      <c r="I908" s="11">
        <f>INDEX(tbCadastroConsultas[],MATCH(tbConsultas[[#This Row],[PROFISSIONAL]],tbCadastroConsultas[PROFISSIONAL],0),3)</f>
        <v>301010064</v>
      </c>
      <c r="J908" s="11">
        <f>INDEX(tbCadastroConsultas[],MATCH(tbConsultas[[#This Row],[PROFISSIONAL]],tbCadastroConsultas[PROFISSIONAL],0),4)</f>
        <v>225125</v>
      </c>
    </row>
    <row r="909" spans="1:10">
      <c r="A909" s="11">
        <f t="shared" si="70"/>
        <v>908</v>
      </c>
      <c r="B909" s="4" t="s">
        <v>6</v>
      </c>
      <c r="C909" s="5">
        <v>27011980</v>
      </c>
      <c r="D909" s="5">
        <v>21052018</v>
      </c>
      <c r="E909" s="4">
        <v>38</v>
      </c>
      <c r="F909" s="15">
        <f t="shared" si="67"/>
        <v>43271</v>
      </c>
      <c r="G909" s="12">
        <f t="shared" si="68"/>
        <v>2018</v>
      </c>
      <c r="H909" s="12" t="str">
        <f t="shared" si="69"/>
        <v>Junho</v>
      </c>
      <c r="I909" s="11">
        <f>INDEX(tbCadastroConsultas[],MATCH(tbConsultas[[#This Row],[PROFISSIONAL]],tbCadastroConsultas[PROFISSIONAL],0),3)</f>
        <v>301010064</v>
      </c>
      <c r="J909" s="11">
        <f>INDEX(tbCadastroConsultas[],MATCH(tbConsultas[[#This Row],[PROFISSIONAL]],tbCadastroConsultas[PROFISSIONAL],0),4)</f>
        <v>225125</v>
      </c>
    </row>
    <row r="910" spans="1:10">
      <c r="A910" s="11">
        <f t="shared" si="70"/>
        <v>909</v>
      </c>
      <c r="B910" s="4" t="s">
        <v>6</v>
      </c>
      <c r="C910" s="5">
        <v>29051950</v>
      </c>
      <c r="D910" s="5">
        <v>21052018</v>
      </c>
      <c r="E910" s="4">
        <v>68</v>
      </c>
      <c r="F910" s="15">
        <f t="shared" si="67"/>
        <v>43271</v>
      </c>
      <c r="G910" s="12">
        <f t="shared" si="68"/>
        <v>2018</v>
      </c>
      <c r="H910" s="12" t="str">
        <f t="shared" si="69"/>
        <v>Junho</v>
      </c>
      <c r="I910" s="11">
        <f>INDEX(tbCadastroConsultas[],MATCH(tbConsultas[[#This Row],[PROFISSIONAL]],tbCadastroConsultas[PROFISSIONAL],0),3)</f>
        <v>301010064</v>
      </c>
      <c r="J910" s="11">
        <f>INDEX(tbCadastroConsultas[],MATCH(tbConsultas[[#This Row],[PROFISSIONAL]],tbCadastroConsultas[PROFISSIONAL],0),4)</f>
        <v>225125</v>
      </c>
    </row>
    <row r="911" spans="1:10">
      <c r="A911" s="11">
        <f t="shared" si="70"/>
        <v>910</v>
      </c>
      <c r="B911" s="4" t="s">
        <v>6</v>
      </c>
      <c r="C911" s="5">
        <v>29051954</v>
      </c>
      <c r="D911" s="5">
        <v>21052018</v>
      </c>
      <c r="E911" s="4">
        <v>64</v>
      </c>
      <c r="F911" s="15">
        <f t="shared" si="67"/>
        <v>43271</v>
      </c>
      <c r="G911" s="12">
        <f t="shared" si="68"/>
        <v>2018</v>
      </c>
      <c r="H911" s="12" t="str">
        <f t="shared" si="69"/>
        <v>Junho</v>
      </c>
      <c r="I911" s="11">
        <f>INDEX(tbCadastroConsultas[],MATCH(tbConsultas[[#This Row],[PROFISSIONAL]],tbCadastroConsultas[PROFISSIONAL],0),3)</f>
        <v>301010064</v>
      </c>
      <c r="J911" s="11">
        <f>INDEX(tbCadastroConsultas[],MATCH(tbConsultas[[#This Row],[PROFISSIONAL]],tbCadastroConsultas[PROFISSIONAL],0),4)</f>
        <v>225125</v>
      </c>
    </row>
    <row r="912" spans="1:10">
      <c r="A912" s="11">
        <f t="shared" si="70"/>
        <v>911</v>
      </c>
      <c r="B912" s="4" t="s">
        <v>6</v>
      </c>
      <c r="C912" s="5">
        <v>8041950</v>
      </c>
      <c r="D912" s="5">
        <v>21052018</v>
      </c>
      <c r="E912" s="4">
        <v>68</v>
      </c>
      <c r="F912" s="15">
        <f t="shared" si="67"/>
        <v>43271</v>
      </c>
      <c r="G912" s="12">
        <f t="shared" si="68"/>
        <v>2018</v>
      </c>
      <c r="H912" s="12" t="str">
        <f t="shared" si="69"/>
        <v>Junho</v>
      </c>
      <c r="I912" s="11">
        <f>INDEX(tbCadastroConsultas[],MATCH(tbConsultas[[#This Row],[PROFISSIONAL]],tbCadastroConsultas[PROFISSIONAL],0),3)</f>
        <v>301010064</v>
      </c>
      <c r="J912" s="11">
        <f>INDEX(tbCadastroConsultas[],MATCH(tbConsultas[[#This Row],[PROFISSIONAL]],tbCadastroConsultas[PROFISSIONAL],0),4)</f>
        <v>225125</v>
      </c>
    </row>
    <row r="913" spans="1:10">
      <c r="A913" s="11">
        <f t="shared" si="70"/>
        <v>912</v>
      </c>
      <c r="B913" s="4" t="s">
        <v>6</v>
      </c>
      <c r="C913" s="5">
        <v>15061997</v>
      </c>
      <c r="D913" s="5">
        <v>21052018</v>
      </c>
      <c r="E913" s="4">
        <v>20</v>
      </c>
      <c r="F913" s="15">
        <f t="shared" si="67"/>
        <v>43271</v>
      </c>
      <c r="G913" s="12">
        <f t="shared" si="68"/>
        <v>2018</v>
      </c>
      <c r="H913" s="12" t="str">
        <f t="shared" si="69"/>
        <v>Junho</v>
      </c>
      <c r="I913" s="11">
        <f>INDEX(tbCadastroConsultas[],MATCH(tbConsultas[[#This Row],[PROFISSIONAL]],tbCadastroConsultas[PROFISSIONAL],0),3)</f>
        <v>301010064</v>
      </c>
      <c r="J913" s="11">
        <f>INDEX(tbCadastroConsultas[],MATCH(tbConsultas[[#This Row],[PROFISSIONAL]],tbCadastroConsultas[PROFISSIONAL],0),4)</f>
        <v>225125</v>
      </c>
    </row>
    <row r="914" spans="1:10">
      <c r="A914" s="11">
        <f t="shared" si="70"/>
        <v>913</v>
      </c>
      <c r="B914" s="4" t="s">
        <v>6</v>
      </c>
      <c r="C914" s="5">
        <v>12121962</v>
      </c>
      <c r="D914" s="5">
        <v>21052018</v>
      </c>
      <c r="E914" s="4">
        <v>55</v>
      </c>
      <c r="F914" s="15">
        <f t="shared" si="67"/>
        <v>43271</v>
      </c>
      <c r="G914" s="12">
        <f t="shared" si="68"/>
        <v>2018</v>
      </c>
      <c r="H914" s="12" t="str">
        <f t="shared" si="69"/>
        <v>Junho</v>
      </c>
      <c r="I914" s="11">
        <f>INDEX(tbCadastroConsultas[],MATCH(tbConsultas[[#This Row],[PROFISSIONAL]],tbCadastroConsultas[PROFISSIONAL],0),3)</f>
        <v>301010064</v>
      </c>
      <c r="J914" s="11">
        <f>INDEX(tbCadastroConsultas[],MATCH(tbConsultas[[#This Row],[PROFISSIONAL]],tbCadastroConsultas[PROFISSIONAL],0),4)</f>
        <v>225125</v>
      </c>
    </row>
    <row r="915" spans="1:10">
      <c r="A915" s="11">
        <f t="shared" si="70"/>
        <v>914</v>
      </c>
      <c r="B915" s="4" t="s">
        <v>6</v>
      </c>
      <c r="C915" s="5">
        <v>8041982</v>
      </c>
      <c r="D915" s="5">
        <v>21052018</v>
      </c>
      <c r="E915" s="4">
        <v>36</v>
      </c>
      <c r="F915" s="15">
        <f t="shared" si="67"/>
        <v>43271</v>
      </c>
      <c r="G915" s="12">
        <f t="shared" si="68"/>
        <v>2018</v>
      </c>
      <c r="H915" s="12" t="str">
        <f t="shared" si="69"/>
        <v>Junho</v>
      </c>
      <c r="I915" s="11">
        <f>INDEX(tbCadastroConsultas[],MATCH(tbConsultas[[#This Row],[PROFISSIONAL]],tbCadastroConsultas[PROFISSIONAL],0),3)</f>
        <v>301010064</v>
      </c>
      <c r="J915" s="11">
        <f>INDEX(tbCadastroConsultas[],MATCH(tbConsultas[[#This Row],[PROFISSIONAL]],tbCadastroConsultas[PROFISSIONAL],0),4)</f>
        <v>225125</v>
      </c>
    </row>
    <row r="916" spans="1:10">
      <c r="A916" s="11">
        <f t="shared" si="70"/>
        <v>915</v>
      </c>
      <c r="B916" s="4" t="s">
        <v>6</v>
      </c>
      <c r="C916" s="5">
        <v>5121965</v>
      </c>
      <c r="D916" s="5">
        <v>21052018</v>
      </c>
      <c r="E916" s="4">
        <v>52</v>
      </c>
      <c r="F916" s="15">
        <f t="shared" si="67"/>
        <v>43271</v>
      </c>
      <c r="G916" s="12">
        <f t="shared" si="68"/>
        <v>2018</v>
      </c>
      <c r="H916" s="12" t="str">
        <f t="shared" si="69"/>
        <v>Junho</v>
      </c>
      <c r="I916" s="11">
        <f>INDEX(tbCadastroConsultas[],MATCH(tbConsultas[[#This Row],[PROFISSIONAL]],tbCadastroConsultas[PROFISSIONAL],0),3)</f>
        <v>301010064</v>
      </c>
      <c r="J916" s="11">
        <f>INDEX(tbCadastroConsultas[],MATCH(tbConsultas[[#This Row],[PROFISSIONAL]],tbCadastroConsultas[PROFISSIONAL],0),4)</f>
        <v>225125</v>
      </c>
    </row>
    <row r="917" spans="1:10">
      <c r="A917" s="11">
        <f t="shared" si="70"/>
        <v>916</v>
      </c>
      <c r="B917" s="4" t="s">
        <v>6</v>
      </c>
      <c r="C917" s="5">
        <v>3111976</v>
      </c>
      <c r="D917" s="5">
        <v>21052018</v>
      </c>
      <c r="E917" s="4">
        <v>41</v>
      </c>
      <c r="F917" s="15">
        <f t="shared" si="67"/>
        <v>43271</v>
      </c>
      <c r="G917" s="12">
        <f t="shared" si="68"/>
        <v>2018</v>
      </c>
      <c r="H917" s="12" t="str">
        <f t="shared" si="69"/>
        <v>Junho</v>
      </c>
      <c r="I917" s="11">
        <f>INDEX(tbCadastroConsultas[],MATCH(tbConsultas[[#This Row],[PROFISSIONAL]],tbCadastroConsultas[PROFISSIONAL],0),3)</f>
        <v>301010064</v>
      </c>
      <c r="J917" s="11">
        <f>INDEX(tbCadastroConsultas[],MATCH(tbConsultas[[#This Row],[PROFISSIONAL]],tbCadastroConsultas[PROFISSIONAL],0),4)</f>
        <v>225125</v>
      </c>
    </row>
    <row r="918" spans="1:10">
      <c r="A918" s="11">
        <f t="shared" si="70"/>
        <v>917</v>
      </c>
      <c r="B918" s="4" t="s">
        <v>6</v>
      </c>
      <c r="C918" s="5">
        <v>25101944</v>
      </c>
      <c r="D918" s="5">
        <v>21052018</v>
      </c>
      <c r="E918" s="4">
        <v>73</v>
      </c>
      <c r="F918" s="15">
        <f t="shared" si="67"/>
        <v>43271</v>
      </c>
      <c r="G918" s="12">
        <f t="shared" si="68"/>
        <v>2018</v>
      </c>
      <c r="H918" s="12" t="str">
        <f t="shared" si="69"/>
        <v>Junho</v>
      </c>
      <c r="I918" s="11">
        <f>INDEX(tbCadastroConsultas[],MATCH(tbConsultas[[#This Row],[PROFISSIONAL]],tbCadastroConsultas[PROFISSIONAL],0),3)</f>
        <v>301010064</v>
      </c>
      <c r="J918" s="11">
        <f>INDEX(tbCadastroConsultas[],MATCH(tbConsultas[[#This Row],[PROFISSIONAL]],tbCadastroConsultas[PROFISSIONAL],0),4)</f>
        <v>225125</v>
      </c>
    </row>
    <row r="919" spans="1:10">
      <c r="A919" s="11">
        <f t="shared" si="70"/>
        <v>918</v>
      </c>
      <c r="B919" s="4" t="s">
        <v>6</v>
      </c>
      <c r="C919" s="5">
        <v>21121954</v>
      </c>
      <c r="D919" s="5">
        <v>21052018</v>
      </c>
      <c r="E919" s="4">
        <v>63</v>
      </c>
      <c r="F919" s="15">
        <f t="shared" si="67"/>
        <v>43271</v>
      </c>
      <c r="G919" s="12">
        <f t="shared" si="68"/>
        <v>2018</v>
      </c>
      <c r="H919" s="12" t="str">
        <f t="shared" si="69"/>
        <v>Junho</v>
      </c>
      <c r="I919" s="11">
        <f>INDEX(tbCadastroConsultas[],MATCH(tbConsultas[[#This Row],[PROFISSIONAL]],tbCadastroConsultas[PROFISSIONAL],0),3)</f>
        <v>301010064</v>
      </c>
      <c r="J919" s="11">
        <f>INDEX(tbCadastroConsultas[],MATCH(tbConsultas[[#This Row],[PROFISSIONAL]],tbCadastroConsultas[PROFISSIONAL],0),4)</f>
        <v>225125</v>
      </c>
    </row>
    <row r="920" spans="1:10">
      <c r="A920" s="11">
        <f t="shared" si="70"/>
        <v>919</v>
      </c>
      <c r="B920" s="4" t="s">
        <v>15</v>
      </c>
      <c r="C920" s="5">
        <v>12041974</v>
      </c>
      <c r="D920" s="5">
        <v>21052018</v>
      </c>
      <c r="E920" s="4">
        <v>44</v>
      </c>
      <c r="F920" s="15">
        <f t="shared" si="67"/>
        <v>43271</v>
      </c>
      <c r="G920" s="12">
        <f t="shared" si="68"/>
        <v>2018</v>
      </c>
      <c r="H920" s="12" t="str">
        <f t="shared" si="69"/>
        <v>Junho</v>
      </c>
      <c r="I920" s="11">
        <f>INDEX(tbCadastroConsultas[],MATCH(tbConsultas[[#This Row],[PROFISSIONAL]],tbCadastroConsultas[PROFISSIONAL],0),3)</f>
        <v>301010072</v>
      </c>
      <c r="J920" s="11">
        <f>INDEX(tbCadastroConsultas[],MATCH(tbConsultas[[#This Row],[PROFISSIONAL]],tbCadastroConsultas[PROFISSIONAL],0),4)</f>
        <v>225133</v>
      </c>
    </row>
    <row r="921" spans="1:10">
      <c r="A921" s="11">
        <f t="shared" si="70"/>
        <v>920</v>
      </c>
      <c r="B921" s="4" t="s">
        <v>15</v>
      </c>
      <c r="C921" s="5">
        <v>16031952</v>
      </c>
      <c r="D921" s="5">
        <v>21052018</v>
      </c>
      <c r="E921" s="4">
        <v>66</v>
      </c>
      <c r="F921" s="15">
        <f t="shared" si="67"/>
        <v>43271</v>
      </c>
      <c r="G921" s="12">
        <f t="shared" si="68"/>
        <v>2018</v>
      </c>
      <c r="H921" s="12" t="str">
        <f t="shared" si="69"/>
        <v>Junho</v>
      </c>
      <c r="I921" s="11">
        <f>INDEX(tbCadastroConsultas[],MATCH(tbConsultas[[#This Row],[PROFISSIONAL]],tbCadastroConsultas[PROFISSIONAL],0),3)</f>
        <v>301010072</v>
      </c>
      <c r="J921" s="11">
        <f>INDEX(tbCadastroConsultas[],MATCH(tbConsultas[[#This Row],[PROFISSIONAL]],tbCadastroConsultas[PROFISSIONAL],0),4)</f>
        <v>225133</v>
      </c>
    </row>
    <row r="922" spans="1:10">
      <c r="A922" s="11">
        <f t="shared" si="70"/>
        <v>921</v>
      </c>
      <c r="B922" s="4" t="s">
        <v>15</v>
      </c>
      <c r="C922" s="5">
        <v>30011946</v>
      </c>
      <c r="D922" s="5">
        <v>21052018</v>
      </c>
      <c r="E922" s="4">
        <v>72</v>
      </c>
      <c r="F922" s="15">
        <f t="shared" si="67"/>
        <v>43271</v>
      </c>
      <c r="G922" s="12">
        <f t="shared" si="68"/>
        <v>2018</v>
      </c>
      <c r="H922" s="12" t="str">
        <f t="shared" si="69"/>
        <v>Junho</v>
      </c>
      <c r="I922" s="11">
        <f>INDEX(tbCadastroConsultas[],MATCH(tbConsultas[[#This Row],[PROFISSIONAL]],tbCadastroConsultas[PROFISSIONAL],0),3)</f>
        <v>301010072</v>
      </c>
      <c r="J922" s="11">
        <f>INDEX(tbCadastroConsultas[],MATCH(tbConsultas[[#This Row],[PROFISSIONAL]],tbCadastroConsultas[PROFISSIONAL],0),4)</f>
        <v>225133</v>
      </c>
    </row>
    <row r="923" spans="1:10">
      <c r="A923" s="11">
        <f t="shared" si="70"/>
        <v>922</v>
      </c>
      <c r="B923" s="4" t="s">
        <v>15</v>
      </c>
      <c r="C923" s="5">
        <v>4071986</v>
      </c>
      <c r="D923" s="5">
        <v>21052018</v>
      </c>
      <c r="E923" s="4">
        <v>31</v>
      </c>
      <c r="F923" s="15">
        <f t="shared" si="67"/>
        <v>43271</v>
      </c>
      <c r="G923" s="12">
        <f t="shared" si="68"/>
        <v>2018</v>
      </c>
      <c r="H923" s="12" t="str">
        <f t="shared" si="69"/>
        <v>Junho</v>
      </c>
      <c r="I923" s="11">
        <f>INDEX(tbCadastroConsultas[],MATCH(tbConsultas[[#This Row],[PROFISSIONAL]],tbCadastroConsultas[PROFISSIONAL],0),3)</f>
        <v>301010072</v>
      </c>
      <c r="J923" s="11">
        <f>INDEX(tbCadastroConsultas[],MATCH(tbConsultas[[#This Row],[PROFISSIONAL]],tbCadastroConsultas[PROFISSIONAL],0),4)</f>
        <v>225133</v>
      </c>
    </row>
    <row r="924" spans="1:10">
      <c r="A924" s="11">
        <f t="shared" si="70"/>
        <v>923</v>
      </c>
      <c r="B924" s="4" t="s">
        <v>15</v>
      </c>
      <c r="C924" s="5">
        <v>14051940</v>
      </c>
      <c r="D924" s="5">
        <v>21052018</v>
      </c>
      <c r="E924" s="4">
        <v>78</v>
      </c>
      <c r="F924" s="15">
        <f t="shared" si="67"/>
        <v>43271</v>
      </c>
      <c r="G924" s="12">
        <f t="shared" si="68"/>
        <v>2018</v>
      </c>
      <c r="H924" s="12" t="str">
        <f t="shared" si="69"/>
        <v>Junho</v>
      </c>
      <c r="I924" s="11">
        <f>INDEX(tbCadastroConsultas[],MATCH(tbConsultas[[#This Row],[PROFISSIONAL]],tbCadastroConsultas[PROFISSIONAL],0),3)</f>
        <v>301010072</v>
      </c>
      <c r="J924" s="11">
        <f>INDEX(tbCadastroConsultas[],MATCH(tbConsultas[[#This Row],[PROFISSIONAL]],tbCadastroConsultas[PROFISSIONAL],0),4)</f>
        <v>225133</v>
      </c>
    </row>
    <row r="925" spans="1:10">
      <c r="A925" s="11">
        <f t="shared" si="70"/>
        <v>924</v>
      </c>
      <c r="B925" s="4" t="s">
        <v>15</v>
      </c>
      <c r="C925" s="5">
        <v>19101987</v>
      </c>
      <c r="D925" s="5">
        <v>21052018</v>
      </c>
      <c r="E925" s="4">
        <v>30</v>
      </c>
      <c r="F925" s="15">
        <f t="shared" si="67"/>
        <v>43271</v>
      </c>
      <c r="G925" s="12">
        <f t="shared" si="68"/>
        <v>2018</v>
      </c>
      <c r="H925" s="12" t="str">
        <f t="shared" si="69"/>
        <v>Junho</v>
      </c>
      <c r="I925" s="11">
        <f>INDEX(tbCadastroConsultas[],MATCH(tbConsultas[[#This Row],[PROFISSIONAL]],tbCadastroConsultas[PROFISSIONAL],0),3)</f>
        <v>301010072</v>
      </c>
      <c r="J925" s="11">
        <f>INDEX(tbCadastroConsultas[],MATCH(tbConsultas[[#This Row],[PROFISSIONAL]],tbCadastroConsultas[PROFISSIONAL],0),4)</f>
        <v>225133</v>
      </c>
    </row>
    <row r="926" spans="1:10">
      <c r="A926" s="11">
        <f t="shared" si="70"/>
        <v>925</v>
      </c>
      <c r="B926" s="4" t="s">
        <v>15</v>
      </c>
      <c r="C926" s="5">
        <v>8111947</v>
      </c>
      <c r="D926" s="5">
        <v>21052018</v>
      </c>
      <c r="E926" s="4">
        <v>70</v>
      </c>
      <c r="F926" s="15">
        <f t="shared" si="67"/>
        <v>43271</v>
      </c>
      <c r="G926" s="12">
        <f t="shared" si="68"/>
        <v>2018</v>
      </c>
      <c r="H926" s="12" t="str">
        <f t="shared" si="69"/>
        <v>Junho</v>
      </c>
      <c r="I926" s="11">
        <f>INDEX(tbCadastroConsultas[],MATCH(tbConsultas[[#This Row],[PROFISSIONAL]],tbCadastroConsultas[PROFISSIONAL],0),3)</f>
        <v>301010072</v>
      </c>
      <c r="J926" s="11">
        <f>INDEX(tbCadastroConsultas[],MATCH(tbConsultas[[#This Row],[PROFISSIONAL]],tbCadastroConsultas[PROFISSIONAL],0),4)</f>
        <v>225133</v>
      </c>
    </row>
    <row r="927" spans="1:10">
      <c r="A927" s="11">
        <f t="shared" si="70"/>
        <v>926</v>
      </c>
      <c r="B927" s="4" t="s">
        <v>15</v>
      </c>
      <c r="C927" s="5">
        <v>8121950</v>
      </c>
      <c r="D927" s="5">
        <v>21052018</v>
      </c>
      <c r="E927" s="4">
        <v>67</v>
      </c>
      <c r="F927" s="15">
        <f t="shared" si="67"/>
        <v>43271</v>
      </c>
      <c r="G927" s="12">
        <f t="shared" si="68"/>
        <v>2018</v>
      </c>
      <c r="H927" s="12" t="str">
        <f t="shared" si="69"/>
        <v>Junho</v>
      </c>
      <c r="I927" s="11">
        <f>INDEX(tbCadastroConsultas[],MATCH(tbConsultas[[#This Row],[PROFISSIONAL]],tbCadastroConsultas[PROFISSIONAL],0),3)</f>
        <v>301010072</v>
      </c>
      <c r="J927" s="11">
        <f>INDEX(tbCadastroConsultas[],MATCH(tbConsultas[[#This Row],[PROFISSIONAL]],tbCadastroConsultas[PROFISSIONAL],0),4)</f>
        <v>225133</v>
      </c>
    </row>
    <row r="928" spans="1:10">
      <c r="A928" s="11">
        <f t="shared" si="70"/>
        <v>927</v>
      </c>
      <c r="B928" s="4" t="s">
        <v>15</v>
      </c>
      <c r="C928" s="5">
        <v>30031953</v>
      </c>
      <c r="D928" s="5">
        <v>21052018</v>
      </c>
      <c r="E928" s="4">
        <v>65</v>
      </c>
      <c r="F928" s="15">
        <f t="shared" si="67"/>
        <v>43271</v>
      </c>
      <c r="G928" s="12">
        <f t="shared" si="68"/>
        <v>2018</v>
      </c>
      <c r="H928" s="12" t="str">
        <f t="shared" si="69"/>
        <v>Junho</v>
      </c>
      <c r="I928" s="11">
        <f>INDEX(tbCadastroConsultas[],MATCH(tbConsultas[[#This Row],[PROFISSIONAL]],tbCadastroConsultas[PROFISSIONAL],0),3)</f>
        <v>301010072</v>
      </c>
      <c r="J928" s="11">
        <f>INDEX(tbCadastroConsultas[],MATCH(tbConsultas[[#This Row],[PROFISSIONAL]],tbCadastroConsultas[PROFISSIONAL],0),4)</f>
        <v>225133</v>
      </c>
    </row>
    <row r="929" spans="1:10">
      <c r="A929" s="11">
        <f t="shared" si="70"/>
        <v>928</v>
      </c>
      <c r="B929" s="4" t="s">
        <v>15</v>
      </c>
      <c r="C929" s="5">
        <v>16091976</v>
      </c>
      <c r="D929" s="5">
        <v>21052018</v>
      </c>
      <c r="E929" s="4">
        <v>41</v>
      </c>
      <c r="F929" s="15">
        <f t="shared" si="67"/>
        <v>43271</v>
      </c>
      <c r="G929" s="12">
        <f t="shared" si="68"/>
        <v>2018</v>
      </c>
      <c r="H929" s="12" t="str">
        <f t="shared" si="69"/>
        <v>Junho</v>
      </c>
      <c r="I929" s="11">
        <f>INDEX(tbCadastroConsultas[],MATCH(tbConsultas[[#This Row],[PROFISSIONAL]],tbCadastroConsultas[PROFISSIONAL],0),3)</f>
        <v>301010072</v>
      </c>
      <c r="J929" s="11">
        <f>INDEX(tbCadastroConsultas[],MATCH(tbConsultas[[#This Row],[PROFISSIONAL]],tbCadastroConsultas[PROFISSIONAL],0),4)</f>
        <v>225133</v>
      </c>
    </row>
    <row r="930" spans="1:10">
      <c r="A930" s="11">
        <f t="shared" si="70"/>
        <v>929</v>
      </c>
      <c r="B930" s="4" t="s">
        <v>15</v>
      </c>
      <c r="C930" s="5">
        <v>7021967</v>
      </c>
      <c r="D930" s="5">
        <v>21052018</v>
      </c>
      <c r="E930" s="4">
        <v>51</v>
      </c>
      <c r="F930" s="15">
        <f t="shared" si="67"/>
        <v>43271</v>
      </c>
      <c r="G930" s="12">
        <f t="shared" si="68"/>
        <v>2018</v>
      </c>
      <c r="H930" s="12" t="str">
        <f t="shared" si="69"/>
        <v>Junho</v>
      </c>
      <c r="I930" s="11">
        <f>INDEX(tbCadastroConsultas[],MATCH(tbConsultas[[#This Row],[PROFISSIONAL]],tbCadastroConsultas[PROFISSIONAL],0),3)</f>
        <v>301010072</v>
      </c>
      <c r="J930" s="11">
        <f>INDEX(tbCadastroConsultas[],MATCH(tbConsultas[[#This Row],[PROFISSIONAL]],tbCadastroConsultas[PROFISSIONAL],0),4)</f>
        <v>225133</v>
      </c>
    </row>
    <row r="931" spans="1:10">
      <c r="A931" s="11">
        <f t="shared" si="70"/>
        <v>930</v>
      </c>
      <c r="B931" s="4" t="s">
        <v>15</v>
      </c>
      <c r="C931" s="5">
        <v>5011954</v>
      </c>
      <c r="D931" s="5">
        <v>21052018</v>
      </c>
      <c r="E931" s="4">
        <v>64</v>
      </c>
      <c r="F931" s="15">
        <f t="shared" si="67"/>
        <v>43271</v>
      </c>
      <c r="G931" s="12">
        <f t="shared" si="68"/>
        <v>2018</v>
      </c>
      <c r="H931" s="12" t="str">
        <f t="shared" si="69"/>
        <v>Junho</v>
      </c>
      <c r="I931" s="11">
        <f>INDEX(tbCadastroConsultas[],MATCH(tbConsultas[[#This Row],[PROFISSIONAL]],tbCadastroConsultas[PROFISSIONAL],0),3)</f>
        <v>301010072</v>
      </c>
      <c r="J931" s="11">
        <f>INDEX(tbCadastroConsultas[],MATCH(tbConsultas[[#This Row],[PROFISSIONAL]],tbCadastroConsultas[PROFISSIONAL],0),4)</f>
        <v>225133</v>
      </c>
    </row>
    <row r="932" spans="1:10">
      <c r="A932" s="11">
        <f t="shared" si="70"/>
        <v>931</v>
      </c>
      <c r="B932" s="4" t="s">
        <v>3</v>
      </c>
      <c r="C932" s="5">
        <v>17021994</v>
      </c>
      <c r="D932" s="5">
        <v>21052018</v>
      </c>
      <c r="E932" s="4">
        <v>24</v>
      </c>
      <c r="F932" s="15">
        <f t="shared" si="67"/>
        <v>43271</v>
      </c>
      <c r="G932" s="12">
        <f t="shared" si="68"/>
        <v>2018</v>
      </c>
      <c r="H932" s="12" t="str">
        <f t="shared" si="69"/>
        <v>Junho</v>
      </c>
      <c r="I932" s="11">
        <f>INDEX(tbCadastroConsultas[],MATCH(tbConsultas[[#This Row],[PROFISSIONAL]],tbCadastroConsultas[PROFISSIONAL],0),3)</f>
        <v>301010110</v>
      </c>
      <c r="J932" s="11">
        <f>INDEX(tbCadastroConsultas[],MATCH(tbConsultas[[#This Row],[PROFISSIONAL]],tbCadastroConsultas[PROFISSIONAL],0),4)</f>
        <v>225250</v>
      </c>
    </row>
    <row r="933" spans="1:10">
      <c r="A933" s="11">
        <f t="shared" si="70"/>
        <v>932</v>
      </c>
      <c r="B933" s="4" t="s">
        <v>144</v>
      </c>
      <c r="C933" s="5">
        <v>25111990</v>
      </c>
      <c r="D933" s="5">
        <v>21052018</v>
      </c>
      <c r="E933" s="4">
        <v>27</v>
      </c>
      <c r="F933" s="15">
        <f t="shared" si="67"/>
        <v>43271</v>
      </c>
      <c r="G933" s="12">
        <f t="shared" si="68"/>
        <v>2018</v>
      </c>
      <c r="H933" s="12" t="str">
        <f t="shared" si="69"/>
        <v>Junho</v>
      </c>
      <c r="I933" s="11">
        <f>INDEX(tbCadastroConsultas[],MATCH(tbConsultas[[#This Row],[PROFISSIONAL]],tbCadastroConsultas[PROFISSIONAL],0),3)</f>
        <v>301010129</v>
      </c>
      <c r="J933" s="11">
        <f>INDEX(tbCadastroConsultas[],MATCH(tbConsultas[[#This Row],[PROFISSIONAL]],tbCadastroConsultas[PROFISSIONAL],0),4)</f>
        <v>225250</v>
      </c>
    </row>
    <row r="934" spans="1:10">
      <c r="A934" s="11">
        <f t="shared" si="70"/>
        <v>933</v>
      </c>
      <c r="B934" s="4" t="s">
        <v>4</v>
      </c>
      <c r="C934" s="5">
        <v>17091988</v>
      </c>
      <c r="D934" s="5">
        <v>21052018</v>
      </c>
      <c r="E934" s="4">
        <v>29</v>
      </c>
      <c r="F934" s="15">
        <f t="shared" si="67"/>
        <v>43271</v>
      </c>
      <c r="G934" s="12">
        <f t="shared" si="68"/>
        <v>2018</v>
      </c>
      <c r="H934" s="12" t="str">
        <f t="shared" si="69"/>
        <v>Junho</v>
      </c>
      <c r="I934" s="11">
        <f>INDEX(tbCadastroConsultas[],MATCH(tbConsultas[[#This Row],[PROFISSIONAL]],tbCadastroConsultas[PROFISSIONAL],0),3)</f>
        <v>301010064</v>
      </c>
      <c r="J934" s="11">
        <f>INDEX(tbCadastroConsultas[],MATCH(tbConsultas[[#This Row],[PROFISSIONAL]],tbCadastroConsultas[PROFISSIONAL],0),4)</f>
        <v>225250</v>
      </c>
    </row>
    <row r="935" spans="1:10">
      <c r="A935" s="11">
        <f t="shared" si="70"/>
        <v>934</v>
      </c>
      <c r="B935" s="4" t="s">
        <v>4</v>
      </c>
      <c r="C935" s="5">
        <v>26041953</v>
      </c>
      <c r="D935" s="5">
        <v>21052018</v>
      </c>
      <c r="E935" s="4">
        <v>65</v>
      </c>
      <c r="F935" s="15">
        <f t="shared" si="67"/>
        <v>43271</v>
      </c>
      <c r="G935" s="12">
        <f t="shared" si="68"/>
        <v>2018</v>
      </c>
      <c r="H935" s="12" t="str">
        <f t="shared" si="69"/>
        <v>Junho</v>
      </c>
      <c r="I935" s="11">
        <f>INDEX(tbCadastroConsultas[],MATCH(tbConsultas[[#This Row],[PROFISSIONAL]],tbCadastroConsultas[PROFISSIONAL],0),3)</f>
        <v>301010064</v>
      </c>
      <c r="J935" s="11">
        <f>INDEX(tbCadastroConsultas[],MATCH(tbConsultas[[#This Row],[PROFISSIONAL]],tbCadastroConsultas[PROFISSIONAL],0),4)</f>
        <v>225250</v>
      </c>
    </row>
    <row r="936" spans="1:10">
      <c r="A936" s="11">
        <f t="shared" si="70"/>
        <v>935</v>
      </c>
      <c r="B936" s="4" t="s">
        <v>4</v>
      </c>
      <c r="C936" s="5">
        <v>2091985</v>
      </c>
      <c r="D936" s="5">
        <v>21052018</v>
      </c>
      <c r="E936" s="4">
        <v>32</v>
      </c>
      <c r="F936" s="15">
        <f t="shared" si="67"/>
        <v>43271</v>
      </c>
      <c r="G936" s="12">
        <f t="shared" si="68"/>
        <v>2018</v>
      </c>
      <c r="H936" s="12" t="str">
        <f t="shared" si="69"/>
        <v>Junho</v>
      </c>
      <c r="I936" s="11">
        <f>INDEX(tbCadastroConsultas[],MATCH(tbConsultas[[#This Row],[PROFISSIONAL]],tbCadastroConsultas[PROFISSIONAL],0),3)</f>
        <v>301010064</v>
      </c>
      <c r="J936" s="11">
        <f>INDEX(tbCadastroConsultas[],MATCH(tbConsultas[[#This Row],[PROFISSIONAL]],tbCadastroConsultas[PROFISSIONAL],0),4)</f>
        <v>225250</v>
      </c>
    </row>
    <row r="937" spans="1:10">
      <c r="A937" s="11">
        <f t="shared" si="70"/>
        <v>936</v>
      </c>
      <c r="B937" s="4" t="s">
        <v>4</v>
      </c>
      <c r="C937" s="5">
        <v>31101969</v>
      </c>
      <c r="D937" s="5">
        <v>21052018</v>
      </c>
      <c r="E937" s="4">
        <v>48</v>
      </c>
      <c r="F937" s="15">
        <f t="shared" si="67"/>
        <v>43271</v>
      </c>
      <c r="G937" s="12">
        <f t="shared" si="68"/>
        <v>2018</v>
      </c>
      <c r="H937" s="12" t="str">
        <f t="shared" si="69"/>
        <v>Junho</v>
      </c>
      <c r="I937" s="11">
        <f>INDEX(tbCadastroConsultas[],MATCH(tbConsultas[[#This Row],[PROFISSIONAL]],tbCadastroConsultas[PROFISSIONAL],0),3)</f>
        <v>301010064</v>
      </c>
      <c r="J937" s="11">
        <f>INDEX(tbCadastroConsultas[],MATCH(tbConsultas[[#This Row],[PROFISSIONAL]],tbCadastroConsultas[PROFISSIONAL],0),4)</f>
        <v>225250</v>
      </c>
    </row>
    <row r="938" spans="1:10">
      <c r="A938" s="11">
        <f t="shared" si="70"/>
        <v>937</v>
      </c>
      <c r="B938" s="4" t="s">
        <v>4</v>
      </c>
      <c r="C938" s="5">
        <v>3031968</v>
      </c>
      <c r="D938" s="5">
        <v>21052018</v>
      </c>
      <c r="E938" s="4">
        <v>50</v>
      </c>
      <c r="F938" s="15">
        <f t="shared" si="67"/>
        <v>43271</v>
      </c>
      <c r="G938" s="12">
        <f t="shared" si="68"/>
        <v>2018</v>
      </c>
      <c r="H938" s="12" t="str">
        <f t="shared" si="69"/>
        <v>Junho</v>
      </c>
      <c r="I938" s="11">
        <f>INDEX(tbCadastroConsultas[],MATCH(tbConsultas[[#This Row],[PROFISSIONAL]],tbCadastroConsultas[PROFISSIONAL],0),3)</f>
        <v>301010064</v>
      </c>
      <c r="J938" s="11">
        <f>INDEX(tbCadastroConsultas[],MATCH(tbConsultas[[#This Row],[PROFISSIONAL]],tbCadastroConsultas[PROFISSIONAL],0),4)</f>
        <v>225250</v>
      </c>
    </row>
    <row r="939" spans="1:10">
      <c r="A939" s="11">
        <f t="shared" si="70"/>
        <v>938</v>
      </c>
      <c r="B939" s="4" t="s">
        <v>4</v>
      </c>
      <c r="C939" s="5">
        <v>12081972</v>
      </c>
      <c r="D939" s="5">
        <v>21052018</v>
      </c>
      <c r="E939" s="4">
        <v>45</v>
      </c>
      <c r="F939" s="15">
        <f t="shared" si="67"/>
        <v>43271</v>
      </c>
      <c r="G939" s="12">
        <f t="shared" si="68"/>
        <v>2018</v>
      </c>
      <c r="H939" s="12" t="str">
        <f t="shared" si="69"/>
        <v>Junho</v>
      </c>
      <c r="I939" s="11">
        <f>INDEX(tbCadastroConsultas[],MATCH(tbConsultas[[#This Row],[PROFISSIONAL]],tbCadastroConsultas[PROFISSIONAL],0),3)</f>
        <v>301010064</v>
      </c>
      <c r="J939" s="11">
        <f>INDEX(tbCadastroConsultas[],MATCH(tbConsultas[[#This Row],[PROFISSIONAL]],tbCadastroConsultas[PROFISSIONAL],0),4)</f>
        <v>225250</v>
      </c>
    </row>
    <row r="940" spans="1:10">
      <c r="A940" s="11">
        <f t="shared" si="70"/>
        <v>939</v>
      </c>
      <c r="B940" s="4" t="s">
        <v>4</v>
      </c>
      <c r="C940" s="5">
        <v>13121956</v>
      </c>
      <c r="D940" s="5">
        <v>21052018</v>
      </c>
      <c r="E940" s="4">
        <v>61</v>
      </c>
      <c r="F940" s="15">
        <f t="shared" si="67"/>
        <v>43271</v>
      </c>
      <c r="G940" s="12">
        <f t="shared" si="68"/>
        <v>2018</v>
      </c>
      <c r="H940" s="12" t="str">
        <f t="shared" si="69"/>
        <v>Junho</v>
      </c>
      <c r="I940" s="11">
        <f>INDEX(tbCadastroConsultas[],MATCH(tbConsultas[[#This Row],[PROFISSIONAL]],tbCadastroConsultas[PROFISSIONAL],0),3)</f>
        <v>301010064</v>
      </c>
      <c r="J940" s="11">
        <f>INDEX(tbCadastroConsultas[],MATCH(tbConsultas[[#This Row],[PROFISSIONAL]],tbCadastroConsultas[PROFISSIONAL],0),4)</f>
        <v>225250</v>
      </c>
    </row>
    <row r="941" spans="1:10">
      <c r="A941" s="11">
        <f t="shared" si="70"/>
        <v>940</v>
      </c>
      <c r="B941" s="4" t="s">
        <v>4</v>
      </c>
      <c r="C941" s="5">
        <v>5042003</v>
      </c>
      <c r="D941" s="5">
        <v>21052018</v>
      </c>
      <c r="E941" s="4">
        <v>15</v>
      </c>
      <c r="F941" s="15">
        <f t="shared" si="67"/>
        <v>43271</v>
      </c>
      <c r="G941" s="12">
        <f t="shared" si="68"/>
        <v>2018</v>
      </c>
      <c r="H941" s="12" t="str">
        <f t="shared" si="69"/>
        <v>Junho</v>
      </c>
      <c r="I941" s="11">
        <f>INDEX(tbCadastroConsultas[],MATCH(tbConsultas[[#This Row],[PROFISSIONAL]],tbCadastroConsultas[PROFISSIONAL],0),3)</f>
        <v>301010064</v>
      </c>
      <c r="J941" s="11">
        <f>INDEX(tbCadastroConsultas[],MATCH(tbConsultas[[#This Row],[PROFISSIONAL]],tbCadastroConsultas[PROFISSIONAL],0),4)</f>
        <v>225250</v>
      </c>
    </row>
    <row r="942" spans="1:10">
      <c r="A942" s="11">
        <f t="shared" si="70"/>
        <v>941</v>
      </c>
      <c r="B942" s="4" t="s">
        <v>4</v>
      </c>
      <c r="C942" s="5">
        <v>27011980</v>
      </c>
      <c r="D942" s="5">
        <v>21052018</v>
      </c>
      <c r="E942" s="4">
        <v>38</v>
      </c>
      <c r="F942" s="15">
        <f t="shared" si="67"/>
        <v>43271</v>
      </c>
      <c r="G942" s="12">
        <f t="shared" si="68"/>
        <v>2018</v>
      </c>
      <c r="H942" s="12" t="str">
        <f t="shared" si="69"/>
        <v>Junho</v>
      </c>
      <c r="I942" s="11">
        <f>INDEX(tbCadastroConsultas[],MATCH(tbConsultas[[#This Row],[PROFISSIONAL]],tbCadastroConsultas[PROFISSIONAL],0),3)</f>
        <v>301010064</v>
      </c>
      <c r="J942" s="11">
        <f>INDEX(tbCadastroConsultas[],MATCH(tbConsultas[[#This Row],[PROFISSIONAL]],tbCadastroConsultas[PROFISSIONAL],0),4)</f>
        <v>225250</v>
      </c>
    </row>
    <row r="943" spans="1:10">
      <c r="A943" s="11">
        <f t="shared" si="70"/>
        <v>942</v>
      </c>
      <c r="B943" s="4" t="s">
        <v>4</v>
      </c>
      <c r="C943" s="5">
        <v>8111996</v>
      </c>
      <c r="D943" s="5">
        <v>21052018</v>
      </c>
      <c r="E943" s="4">
        <v>21</v>
      </c>
      <c r="F943" s="15">
        <f t="shared" si="67"/>
        <v>43271</v>
      </c>
      <c r="G943" s="12">
        <f t="shared" si="68"/>
        <v>2018</v>
      </c>
      <c r="H943" s="12" t="str">
        <f t="shared" si="69"/>
        <v>Junho</v>
      </c>
      <c r="I943" s="11">
        <f>INDEX(tbCadastroConsultas[],MATCH(tbConsultas[[#This Row],[PROFISSIONAL]],tbCadastroConsultas[PROFISSIONAL],0),3)</f>
        <v>301010064</v>
      </c>
      <c r="J943" s="11">
        <f>INDEX(tbCadastroConsultas[],MATCH(tbConsultas[[#This Row],[PROFISSIONAL]],tbCadastroConsultas[PROFISSIONAL],0),4)</f>
        <v>225250</v>
      </c>
    </row>
    <row r="944" spans="1:10">
      <c r="A944" s="11">
        <f t="shared" si="70"/>
        <v>943</v>
      </c>
      <c r="B944" s="4" t="s">
        <v>4</v>
      </c>
      <c r="C944" s="5">
        <v>7101987</v>
      </c>
      <c r="D944" s="5">
        <v>21052018</v>
      </c>
      <c r="E944" s="4">
        <v>30</v>
      </c>
      <c r="F944" s="15">
        <f t="shared" si="67"/>
        <v>43271</v>
      </c>
      <c r="G944" s="12">
        <f t="shared" si="68"/>
        <v>2018</v>
      </c>
      <c r="H944" s="12" t="str">
        <f t="shared" si="69"/>
        <v>Junho</v>
      </c>
      <c r="I944" s="11">
        <f>INDEX(tbCadastroConsultas[],MATCH(tbConsultas[[#This Row],[PROFISSIONAL]],tbCadastroConsultas[PROFISSIONAL],0),3)</f>
        <v>301010064</v>
      </c>
      <c r="J944" s="11">
        <f>INDEX(tbCadastroConsultas[],MATCH(tbConsultas[[#This Row],[PROFISSIONAL]],tbCadastroConsultas[PROFISSIONAL],0),4)</f>
        <v>225250</v>
      </c>
    </row>
    <row r="945" spans="1:10">
      <c r="A945" s="11">
        <f t="shared" si="70"/>
        <v>944</v>
      </c>
      <c r="B945" s="4" t="s">
        <v>5</v>
      </c>
      <c r="C945" s="5">
        <v>29011980</v>
      </c>
      <c r="D945" s="5">
        <v>21052018</v>
      </c>
      <c r="E945" s="4">
        <v>38</v>
      </c>
      <c r="F945" s="15">
        <f t="shared" si="67"/>
        <v>43271</v>
      </c>
      <c r="G945" s="12">
        <f t="shared" si="68"/>
        <v>2018</v>
      </c>
      <c r="H945" s="12" t="str">
        <f t="shared" si="69"/>
        <v>Junho</v>
      </c>
      <c r="I945" s="11">
        <f>INDEX(tbCadastroConsultas[],MATCH(tbConsultas[[#This Row],[PROFISSIONAL]],tbCadastroConsultas[PROFISSIONAL],0),3)</f>
        <v>301010030</v>
      </c>
      <c r="J945" s="11">
        <f>INDEX(tbCadastroConsultas[],MATCH(tbConsultas[[#This Row],[PROFISSIONAL]],tbCadastroConsultas[PROFISSIONAL],0),4)</f>
        <v>223565</v>
      </c>
    </row>
    <row r="946" spans="1:10">
      <c r="A946" s="11">
        <f t="shared" si="70"/>
        <v>945</v>
      </c>
      <c r="B946" s="4" t="s">
        <v>5</v>
      </c>
      <c r="C946" s="5">
        <v>6112010</v>
      </c>
      <c r="D946" s="5">
        <v>21052018</v>
      </c>
      <c r="E946" s="4">
        <v>7</v>
      </c>
      <c r="F946" s="15">
        <f t="shared" si="67"/>
        <v>43271</v>
      </c>
      <c r="G946" s="12">
        <f t="shared" si="68"/>
        <v>2018</v>
      </c>
      <c r="H946" s="12" t="str">
        <f t="shared" si="69"/>
        <v>Junho</v>
      </c>
      <c r="I946" s="11">
        <f>INDEX(tbCadastroConsultas[],MATCH(tbConsultas[[#This Row],[PROFISSIONAL]],tbCadastroConsultas[PROFISSIONAL],0),3)</f>
        <v>301010030</v>
      </c>
      <c r="J946" s="11">
        <f>INDEX(tbCadastroConsultas[],MATCH(tbConsultas[[#This Row],[PROFISSIONAL]],tbCadastroConsultas[PROFISSIONAL],0),4)</f>
        <v>223565</v>
      </c>
    </row>
    <row r="947" spans="1:10">
      <c r="A947" s="11">
        <f t="shared" si="70"/>
        <v>946</v>
      </c>
      <c r="B947" s="4" t="s">
        <v>5</v>
      </c>
      <c r="C947" s="5">
        <v>23021980</v>
      </c>
      <c r="D947" s="5">
        <v>21052018</v>
      </c>
      <c r="E947" s="4">
        <v>38</v>
      </c>
      <c r="F947" s="15">
        <f t="shared" si="67"/>
        <v>43271</v>
      </c>
      <c r="G947" s="12">
        <f t="shared" si="68"/>
        <v>2018</v>
      </c>
      <c r="H947" s="12" t="str">
        <f t="shared" si="69"/>
        <v>Junho</v>
      </c>
      <c r="I947" s="11">
        <f>INDEX(tbCadastroConsultas[],MATCH(tbConsultas[[#This Row],[PROFISSIONAL]],tbCadastroConsultas[PROFISSIONAL],0),3)</f>
        <v>301010030</v>
      </c>
      <c r="J947" s="11">
        <f>INDEX(tbCadastroConsultas[],MATCH(tbConsultas[[#This Row],[PROFISSIONAL]],tbCadastroConsultas[PROFISSIONAL],0),4)</f>
        <v>223565</v>
      </c>
    </row>
    <row r="948" spans="1:10">
      <c r="A948" s="11">
        <f t="shared" si="70"/>
        <v>947</v>
      </c>
      <c r="B948" s="4" t="s">
        <v>2</v>
      </c>
      <c r="C948" s="5">
        <v>29061961</v>
      </c>
      <c r="D948" s="5">
        <v>21052018</v>
      </c>
      <c r="E948" s="4">
        <v>56</v>
      </c>
      <c r="F948" s="15">
        <f t="shared" si="67"/>
        <v>43271</v>
      </c>
      <c r="G948" s="12">
        <f t="shared" si="68"/>
        <v>2018</v>
      </c>
      <c r="H948" s="12" t="str">
        <f t="shared" si="69"/>
        <v>Junho</v>
      </c>
      <c r="I948" s="11">
        <f>INDEX(tbCadastroConsultas[],MATCH(tbConsultas[[#This Row],[PROFISSIONAL]],tbCadastroConsultas[PROFISSIONAL],0),3)</f>
        <v>301010030</v>
      </c>
      <c r="J948" s="11">
        <f>INDEX(tbCadastroConsultas[],MATCH(tbConsultas[[#This Row],[PROFISSIONAL]],tbCadastroConsultas[PROFISSIONAL],0),4)</f>
        <v>223505</v>
      </c>
    </row>
    <row r="949" spans="1:10">
      <c r="A949" s="11">
        <f t="shared" si="70"/>
        <v>948</v>
      </c>
      <c r="B949" s="4" t="s">
        <v>2</v>
      </c>
      <c r="C949" s="5">
        <v>9122012</v>
      </c>
      <c r="D949" s="5">
        <v>21052018</v>
      </c>
      <c r="E949" s="4">
        <v>5</v>
      </c>
      <c r="F949" s="15">
        <f t="shared" si="67"/>
        <v>43271</v>
      </c>
      <c r="G949" s="12">
        <f t="shared" si="68"/>
        <v>2018</v>
      </c>
      <c r="H949" s="12" t="str">
        <f t="shared" si="69"/>
        <v>Junho</v>
      </c>
      <c r="I949" s="11">
        <f>INDEX(tbCadastroConsultas[],MATCH(tbConsultas[[#This Row],[PROFISSIONAL]],tbCadastroConsultas[PROFISSIONAL],0),3)</f>
        <v>301010030</v>
      </c>
      <c r="J949" s="11">
        <f>INDEX(tbCadastroConsultas[],MATCH(tbConsultas[[#This Row],[PROFISSIONAL]],tbCadastroConsultas[PROFISSIONAL],0),4)</f>
        <v>223505</v>
      </c>
    </row>
    <row r="950" spans="1:10">
      <c r="A950" s="11">
        <f t="shared" si="70"/>
        <v>949</v>
      </c>
      <c r="B950" s="4" t="s">
        <v>2</v>
      </c>
      <c r="C950" s="5">
        <v>5011954</v>
      </c>
      <c r="D950" s="5">
        <v>21052018</v>
      </c>
      <c r="E950" s="4">
        <v>64</v>
      </c>
      <c r="F950" s="15">
        <f t="shared" si="67"/>
        <v>43271</v>
      </c>
      <c r="G950" s="12">
        <f t="shared" si="68"/>
        <v>2018</v>
      </c>
      <c r="H950" s="12" t="str">
        <f t="shared" si="69"/>
        <v>Junho</v>
      </c>
      <c r="I950" s="11">
        <f>INDEX(tbCadastroConsultas[],MATCH(tbConsultas[[#This Row],[PROFISSIONAL]],tbCadastroConsultas[PROFISSIONAL],0),3)</f>
        <v>301010030</v>
      </c>
      <c r="J950" s="11">
        <f>INDEX(tbCadastroConsultas[],MATCH(tbConsultas[[#This Row],[PROFISSIONAL]],tbCadastroConsultas[PROFISSIONAL],0),4)</f>
        <v>223505</v>
      </c>
    </row>
    <row r="951" spans="1:10">
      <c r="A951" s="11">
        <f t="shared" si="70"/>
        <v>950</v>
      </c>
      <c r="B951" s="4" t="s">
        <v>6</v>
      </c>
      <c r="C951" s="5">
        <v>28061942</v>
      </c>
      <c r="D951" s="5">
        <v>21052018</v>
      </c>
      <c r="E951" s="4">
        <v>75</v>
      </c>
      <c r="F951" s="15">
        <f t="shared" si="67"/>
        <v>43271</v>
      </c>
      <c r="G951" s="12">
        <f t="shared" si="68"/>
        <v>2018</v>
      </c>
      <c r="H951" s="12" t="str">
        <f t="shared" si="69"/>
        <v>Junho</v>
      </c>
      <c r="I951" s="11">
        <f>INDEX(tbCadastroConsultas[],MATCH(tbConsultas[[#This Row],[PROFISSIONAL]],tbCadastroConsultas[PROFISSIONAL],0),3)</f>
        <v>301010064</v>
      </c>
      <c r="J951" s="11">
        <f>INDEX(tbCadastroConsultas[],MATCH(tbConsultas[[#This Row],[PROFISSIONAL]],tbCadastroConsultas[PROFISSIONAL],0),4)</f>
        <v>225125</v>
      </c>
    </row>
    <row r="952" spans="1:10">
      <c r="A952" s="11">
        <f t="shared" si="70"/>
        <v>951</v>
      </c>
      <c r="B952" s="4" t="s">
        <v>6</v>
      </c>
      <c r="C952" s="5">
        <v>6011976</v>
      </c>
      <c r="D952" s="5">
        <v>21052018</v>
      </c>
      <c r="E952" s="4">
        <v>42</v>
      </c>
      <c r="F952" s="15">
        <f t="shared" si="67"/>
        <v>43271</v>
      </c>
      <c r="G952" s="12">
        <f t="shared" si="68"/>
        <v>2018</v>
      </c>
      <c r="H952" s="12" t="str">
        <f t="shared" si="69"/>
        <v>Junho</v>
      </c>
      <c r="I952" s="11">
        <f>INDEX(tbCadastroConsultas[],MATCH(tbConsultas[[#This Row],[PROFISSIONAL]],tbCadastroConsultas[PROFISSIONAL],0),3)</f>
        <v>301010064</v>
      </c>
      <c r="J952" s="11">
        <f>INDEX(tbCadastroConsultas[],MATCH(tbConsultas[[#This Row],[PROFISSIONAL]],tbCadastroConsultas[PROFISSIONAL],0),4)</f>
        <v>225125</v>
      </c>
    </row>
    <row r="953" spans="1:10">
      <c r="A953" s="11">
        <f t="shared" si="70"/>
        <v>952</v>
      </c>
      <c r="B953" s="4" t="s">
        <v>6</v>
      </c>
      <c r="C953" s="5">
        <v>23051966</v>
      </c>
      <c r="D953" s="5">
        <v>21052018</v>
      </c>
      <c r="E953" s="4">
        <v>52</v>
      </c>
      <c r="F953" s="15">
        <f t="shared" si="67"/>
        <v>43271</v>
      </c>
      <c r="G953" s="12">
        <f t="shared" si="68"/>
        <v>2018</v>
      </c>
      <c r="H953" s="12" t="str">
        <f t="shared" si="69"/>
        <v>Junho</v>
      </c>
      <c r="I953" s="11">
        <f>INDEX(tbCadastroConsultas[],MATCH(tbConsultas[[#This Row],[PROFISSIONAL]],tbCadastroConsultas[PROFISSIONAL],0),3)</f>
        <v>301010064</v>
      </c>
      <c r="J953" s="11">
        <f>INDEX(tbCadastroConsultas[],MATCH(tbConsultas[[#This Row],[PROFISSIONAL]],tbCadastroConsultas[PROFISSIONAL],0),4)</f>
        <v>225125</v>
      </c>
    </row>
    <row r="954" spans="1:10">
      <c r="A954" s="11">
        <f t="shared" si="70"/>
        <v>953</v>
      </c>
      <c r="B954" s="4" t="s">
        <v>6</v>
      </c>
      <c r="C954" s="5">
        <v>25071966</v>
      </c>
      <c r="D954" s="5">
        <v>21052018</v>
      </c>
      <c r="E954" s="4">
        <v>51</v>
      </c>
      <c r="F954" s="15">
        <f t="shared" si="67"/>
        <v>43271</v>
      </c>
      <c r="G954" s="12">
        <f t="shared" si="68"/>
        <v>2018</v>
      </c>
      <c r="H954" s="12" t="str">
        <f t="shared" si="69"/>
        <v>Junho</v>
      </c>
      <c r="I954" s="11">
        <f>INDEX(tbCadastroConsultas[],MATCH(tbConsultas[[#This Row],[PROFISSIONAL]],tbCadastroConsultas[PROFISSIONAL],0),3)</f>
        <v>301010064</v>
      </c>
      <c r="J954" s="11">
        <f>INDEX(tbCadastroConsultas[],MATCH(tbConsultas[[#This Row],[PROFISSIONAL]],tbCadastroConsultas[PROFISSIONAL],0),4)</f>
        <v>225125</v>
      </c>
    </row>
    <row r="955" spans="1:10">
      <c r="A955" s="11">
        <f t="shared" si="70"/>
        <v>954</v>
      </c>
      <c r="B955" s="4" t="s">
        <v>6</v>
      </c>
      <c r="C955" s="5">
        <v>4101969</v>
      </c>
      <c r="D955" s="5">
        <v>21052018</v>
      </c>
      <c r="E955" s="4">
        <v>48</v>
      </c>
      <c r="F955" s="15">
        <f t="shared" si="67"/>
        <v>43271</v>
      </c>
      <c r="G955" s="12">
        <f t="shared" si="68"/>
        <v>2018</v>
      </c>
      <c r="H955" s="12" t="str">
        <f t="shared" si="69"/>
        <v>Junho</v>
      </c>
      <c r="I955" s="11">
        <f>INDEX(tbCadastroConsultas[],MATCH(tbConsultas[[#This Row],[PROFISSIONAL]],tbCadastroConsultas[PROFISSIONAL],0),3)</f>
        <v>301010064</v>
      </c>
      <c r="J955" s="11">
        <f>INDEX(tbCadastroConsultas[],MATCH(tbConsultas[[#This Row],[PROFISSIONAL]],tbCadastroConsultas[PROFISSIONAL],0),4)</f>
        <v>225125</v>
      </c>
    </row>
    <row r="956" spans="1:10">
      <c r="A956" s="11">
        <f t="shared" si="70"/>
        <v>955</v>
      </c>
      <c r="B956" s="4" t="s">
        <v>6</v>
      </c>
      <c r="C956" s="5">
        <v>28091942</v>
      </c>
      <c r="D956" s="5">
        <v>21052018</v>
      </c>
      <c r="E956" s="4">
        <v>75</v>
      </c>
      <c r="F956" s="15">
        <f t="shared" si="67"/>
        <v>43271</v>
      </c>
      <c r="G956" s="12">
        <f t="shared" si="68"/>
        <v>2018</v>
      </c>
      <c r="H956" s="12" t="str">
        <f t="shared" si="69"/>
        <v>Junho</v>
      </c>
      <c r="I956" s="11">
        <f>INDEX(tbCadastroConsultas[],MATCH(tbConsultas[[#This Row],[PROFISSIONAL]],tbCadastroConsultas[PROFISSIONAL],0),3)</f>
        <v>301010064</v>
      </c>
      <c r="J956" s="11">
        <f>INDEX(tbCadastroConsultas[],MATCH(tbConsultas[[#This Row],[PROFISSIONAL]],tbCadastroConsultas[PROFISSIONAL],0),4)</f>
        <v>225125</v>
      </c>
    </row>
    <row r="957" spans="1:10">
      <c r="A957" s="11">
        <f t="shared" si="70"/>
        <v>956</v>
      </c>
      <c r="B957" s="4" t="s">
        <v>6</v>
      </c>
      <c r="C957" s="5">
        <v>23051978</v>
      </c>
      <c r="D957" s="5">
        <v>21052018</v>
      </c>
      <c r="E957" s="4">
        <v>40</v>
      </c>
      <c r="F957" s="15">
        <f t="shared" si="67"/>
        <v>43271</v>
      </c>
      <c r="G957" s="12">
        <f t="shared" si="68"/>
        <v>2018</v>
      </c>
      <c r="H957" s="12" t="str">
        <f t="shared" si="69"/>
        <v>Junho</v>
      </c>
      <c r="I957" s="11">
        <f>INDEX(tbCadastroConsultas[],MATCH(tbConsultas[[#This Row],[PROFISSIONAL]],tbCadastroConsultas[PROFISSIONAL],0),3)</f>
        <v>301010064</v>
      </c>
      <c r="J957" s="11">
        <f>INDEX(tbCadastroConsultas[],MATCH(tbConsultas[[#This Row],[PROFISSIONAL]],tbCadastroConsultas[PROFISSIONAL],0),4)</f>
        <v>225125</v>
      </c>
    </row>
    <row r="958" spans="1:10">
      <c r="A958" s="11">
        <f t="shared" si="70"/>
        <v>957</v>
      </c>
      <c r="B958" s="4" t="s">
        <v>6</v>
      </c>
      <c r="C958" s="5">
        <v>6031978</v>
      </c>
      <c r="D958" s="5">
        <v>21052018</v>
      </c>
      <c r="E958" s="4">
        <v>40</v>
      </c>
      <c r="F958" s="15">
        <f t="shared" si="67"/>
        <v>43271</v>
      </c>
      <c r="G958" s="12">
        <f t="shared" si="68"/>
        <v>2018</v>
      </c>
      <c r="H958" s="12" t="str">
        <f t="shared" si="69"/>
        <v>Junho</v>
      </c>
      <c r="I958" s="11">
        <f>INDEX(tbCadastroConsultas[],MATCH(tbConsultas[[#This Row],[PROFISSIONAL]],tbCadastroConsultas[PROFISSIONAL],0),3)</f>
        <v>301010064</v>
      </c>
      <c r="J958" s="11">
        <f>INDEX(tbCadastroConsultas[],MATCH(tbConsultas[[#This Row],[PROFISSIONAL]],tbCadastroConsultas[PROFISSIONAL],0),4)</f>
        <v>225125</v>
      </c>
    </row>
    <row r="959" spans="1:10">
      <c r="A959" s="11">
        <f t="shared" si="70"/>
        <v>958</v>
      </c>
      <c r="B959" s="4" t="s">
        <v>6</v>
      </c>
      <c r="C959" s="5">
        <v>20091951</v>
      </c>
      <c r="D959" s="5">
        <v>21052018</v>
      </c>
      <c r="E959" s="4">
        <v>66</v>
      </c>
      <c r="F959" s="15">
        <f t="shared" si="67"/>
        <v>43271</v>
      </c>
      <c r="G959" s="12">
        <f t="shared" si="68"/>
        <v>2018</v>
      </c>
      <c r="H959" s="12" t="str">
        <f t="shared" si="69"/>
        <v>Junho</v>
      </c>
      <c r="I959" s="11">
        <f>INDEX(tbCadastroConsultas[],MATCH(tbConsultas[[#This Row],[PROFISSIONAL]],tbCadastroConsultas[PROFISSIONAL],0),3)</f>
        <v>301010064</v>
      </c>
      <c r="J959" s="11">
        <f>INDEX(tbCadastroConsultas[],MATCH(tbConsultas[[#This Row],[PROFISSIONAL]],tbCadastroConsultas[PROFISSIONAL],0),4)</f>
        <v>225125</v>
      </c>
    </row>
    <row r="960" spans="1:10">
      <c r="A960" s="11">
        <f t="shared" si="70"/>
        <v>959</v>
      </c>
      <c r="B960" s="4" t="s">
        <v>6</v>
      </c>
      <c r="C960" s="5">
        <v>1011942</v>
      </c>
      <c r="D960" s="5">
        <v>21052018</v>
      </c>
      <c r="E960" s="4">
        <v>76</v>
      </c>
      <c r="F960" s="15">
        <f t="shared" si="67"/>
        <v>43271</v>
      </c>
      <c r="G960" s="12">
        <f t="shared" si="68"/>
        <v>2018</v>
      </c>
      <c r="H960" s="12" t="str">
        <f t="shared" si="69"/>
        <v>Junho</v>
      </c>
      <c r="I960" s="11">
        <f>INDEX(tbCadastroConsultas[],MATCH(tbConsultas[[#This Row],[PROFISSIONAL]],tbCadastroConsultas[PROFISSIONAL],0),3)</f>
        <v>301010064</v>
      </c>
      <c r="J960" s="11">
        <f>INDEX(tbCadastroConsultas[],MATCH(tbConsultas[[#This Row],[PROFISSIONAL]],tbCadastroConsultas[PROFISSIONAL],0),4)</f>
        <v>225125</v>
      </c>
    </row>
    <row r="961" spans="1:10">
      <c r="A961" s="11">
        <f t="shared" si="70"/>
        <v>960</v>
      </c>
      <c r="B961" s="4" t="s">
        <v>6</v>
      </c>
      <c r="C961" s="5">
        <v>15081936</v>
      </c>
      <c r="D961" s="5">
        <v>21052018</v>
      </c>
      <c r="E961" s="4">
        <v>81</v>
      </c>
      <c r="F961" s="15">
        <f t="shared" si="67"/>
        <v>43271</v>
      </c>
      <c r="G961" s="12">
        <f t="shared" si="68"/>
        <v>2018</v>
      </c>
      <c r="H961" s="12" t="str">
        <f t="shared" si="69"/>
        <v>Junho</v>
      </c>
      <c r="I961" s="11">
        <f>INDEX(tbCadastroConsultas[],MATCH(tbConsultas[[#This Row],[PROFISSIONAL]],tbCadastroConsultas[PROFISSIONAL],0),3)</f>
        <v>301010064</v>
      </c>
      <c r="J961" s="11">
        <f>INDEX(tbCadastroConsultas[],MATCH(tbConsultas[[#This Row],[PROFISSIONAL]],tbCadastroConsultas[PROFISSIONAL],0),4)</f>
        <v>225125</v>
      </c>
    </row>
    <row r="962" spans="1:10">
      <c r="A962" s="11">
        <f t="shared" si="70"/>
        <v>961</v>
      </c>
      <c r="B962" s="4" t="s">
        <v>6</v>
      </c>
      <c r="C962" s="5">
        <v>10031970</v>
      </c>
      <c r="D962" s="5">
        <v>21052018</v>
      </c>
      <c r="E962" s="4">
        <v>48</v>
      </c>
      <c r="F962" s="15">
        <f t="shared" ref="F962:F1025" si="71">IF(D962="","",DATE(YEAR(TEXT(D962,"00\/00\/0000")),MONTH(TEXT(D962,"00\/00\/0000"))+1,20))</f>
        <v>43271</v>
      </c>
      <c r="G962" s="12">
        <f t="shared" ref="G962:G1025" si="72">IF(F962="","",YEAR(F962))</f>
        <v>2018</v>
      </c>
      <c r="H962" s="12" t="str">
        <f t="shared" ref="H962:H1025" si="73">PROPER(TEXT(F962,"mmmm"))</f>
        <v>Junho</v>
      </c>
      <c r="I962" s="11">
        <f>INDEX(tbCadastroConsultas[],MATCH(tbConsultas[[#This Row],[PROFISSIONAL]],tbCadastroConsultas[PROFISSIONAL],0),3)</f>
        <v>301010064</v>
      </c>
      <c r="J962" s="11">
        <f>INDEX(tbCadastroConsultas[],MATCH(tbConsultas[[#This Row],[PROFISSIONAL]],tbCadastroConsultas[PROFISSIONAL],0),4)</f>
        <v>225125</v>
      </c>
    </row>
    <row r="963" spans="1:10">
      <c r="A963" s="11">
        <f t="shared" si="70"/>
        <v>962</v>
      </c>
      <c r="B963" s="4" t="s">
        <v>6</v>
      </c>
      <c r="C963" s="5">
        <v>30121953</v>
      </c>
      <c r="D963" s="5">
        <v>21052018</v>
      </c>
      <c r="E963" s="4">
        <v>64</v>
      </c>
      <c r="F963" s="15">
        <f t="shared" si="71"/>
        <v>43271</v>
      </c>
      <c r="G963" s="12">
        <f t="shared" si="72"/>
        <v>2018</v>
      </c>
      <c r="H963" s="12" t="str">
        <f t="shared" si="73"/>
        <v>Junho</v>
      </c>
      <c r="I963" s="11">
        <f>INDEX(tbCadastroConsultas[],MATCH(tbConsultas[[#This Row],[PROFISSIONAL]],tbCadastroConsultas[PROFISSIONAL],0),3)</f>
        <v>301010064</v>
      </c>
      <c r="J963" s="11">
        <f>INDEX(tbCadastroConsultas[],MATCH(tbConsultas[[#This Row],[PROFISSIONAL]],tbCadastroConsultas[PROFISSIONAL],0),4)</f>
        <v>225125</v>
      </c>
    </row>
    <row r="964" spans="1:10">
      <c r="A964" s="11">
        <f t="shared" si="70"/>
        <v>963</v>
      </c>
      <c r="B964" s="4" t="s">
        <v>6</v>
      </c>
      <c r="C964" s="5">
        <v>10121951</v>
      </c>
      <c r="D964" s="5">
        <v>21052018</v>
      </c>
      <c r="E964" s="4">
        <v>66</v>
      </c>
      <c r="F964" s="15">
        <f t="shared" si="71"/>
        <v>43271</v>
      </c>
      <c r="G964" s="12">
        <f t="shared" si="72"/>
        <v>2018</v>
      </c>
      <c r="H964" s="12" t="str">
        <f t="shared" si="73"/>
        <v>Junho</v>
      </c>
      <c r="I964" s="11">
        <f>INDEX(tbCadastroConsultas[],MATCH(tbConsultas[[#This Row],[PROFISSIONAL]],tbCadastroConsultas[PROFISSIONAL],0),3)</f>
        <v>301010064</v>
      </c>
      <c r="J964" s="11">
        <f>INDEX(tbCadastroConsultas[],MATCH(tbConsultas[[#This Row],[PROFISSIONAL]],tbCadastroConsultas[PROFISSIONAL],0),4)</f>
        <v>225125</v>
      </c>
    </row>
    <row r="965" spans="1:10">
      <c r="A965" s="11">
        <f t="shared" si="70"/>
        <v>964</v>
      </c>
      <c r="B965" s="4" t="s">
        <v>6</v>
      </c>
      <c r="C965" s="5">
        <v>6091962</v>
      </c>
      <c r="D965" s="5">
        <v>21052018</v>
      </c>
      <c r="E965" s="4">
        <v>55</v>
      </c>
      <c r="F965" s="15">
        <f t="shared" si="71"/>
        <v>43271</v>
      </c>
      <c r="G965" s="12">
        <f t="shared" si="72"/>
        <v>2018</v>
      </c>
      <c r="H965" s="12" t="str">
        <f t="shared" si="73"/>
        <v>Junho</v>
      </c>
      <c r="I965" s="11">
        <f>INDEX(tbCadastroConsultas[],MATCH(tbConsultas[[#This Row],[PROFISSIONAL]],tbCadastroConsultas[PROFISSIONAL],0),3)</f>
        <v>301010064</v>
      </c>
      <c r="J965" s="11">
        <f>INDEX(tbCadastroConsultas[],MATCH(tbConsultas[[#This Row],[PROFISSIONAL]],tbCadastroConsultas[PROFISSIONAL],0),4)</f>
        <v>225125</v>
      </c>
    </row>
    <row r="966" spans="1:10">
      <c r="A966" s="11">
        <f t="shared" si="70"/>
        <v>965</v>
      </c>
      <c r="B966" s="4" t="s">
        <v>6</v>
      </c>
      <c r="C966" s="5">
        <v>1071945</v>
      </c>
      <c r="D966" s="5">
        <v>21052018</v>
      </c>
      <c r="E966" s="4">
        <v>72</v>
      </c>
      <c r="F966" s="15">
        <f t="shared" si="71"/>
        <v>43271</v>
      </c>
      <c r="G966" s="12">
        <f t="shared" si="72"/>
        <v>2018</v>
      </c>
      <c r="H966" s="12" t="str">
        <f t="shared" si="73"/>
        <v>Junho</v>
      </c>
      <c r="I966" s="11">
        <f>INDEX(tbCadastroConsultas[],MATCH(tbConsultas[[#This Row],[PROFISSIONAL]],tbCadastroConsultas[PROFISSIONAL],0),3)</f>
        <v>301010064</v>
      </c>
      <c r="J966" s="11">
        <f>INDEX(tbCadastroConsultas[],MATCH(tbConsultas[[#This Row],[PROFISSIONAL]],tbCadastroConsultas[PROFISSIONAL],0),4)</f>
        <v>225125</v>
      </c>
    </row>
    <row r="967" spans="1:10">
      <c r="A967" s="11">
        <f t="shared" si="70"/>
        <v>966</v>
      </c>
      <c r="B967" s="4" t="s">
        <v>6</v>
      </c>
      <c r="C967" s="5">
        <v>22121975</v>
      </c>
      <c r="D967" s="5">
        <v>21052018</v>
      </c>
      <c r="E967" s="4">
        <v>42</v>
      </c>
      <c r="F967" s="15">
        <f t="shared" si="71"/>
        <v>43271</v>
      </c>
      <c r="G967" s="12">
        <f t="shared" si="72"/>
        <v>2018</v>
      </c>
      <c r="H967" s="12" t="str">
        <f t="shared" si="73"/>
        <v>Junho</v>
      </c>
      <c r="I967" s="11">
        <f>INDEX(tbCadastroConsultas[],MATCH(tbConsultas[[#This Row],[PROFISSIONAL]],tbCadastroConsultas[PROFISSIONAL],0),3)</f>
        <v>301010064</v>
      </c>
      <c r="J967" s="11">
        <f>INDEX(tbCadastroConsultas[],MATCH(tbConsultas[[#This Row],[PROFISSIONAL]],tbCadastroConsultas[PROFISSIONAL],0),4)</f>
        <v>225125</v>
      </c>
    </row>
    <row r="968" spans="1:10">
      <c r="A968" s="11">
        <f t="shared" si="70"/>
        <v>967</v>
      </c>
      <c r="B968" s="4" t="s">
        <v>6</v>
      </c>
      <c r="C968" s="5">
        <v>26061955</v>
      </c>
      <c r="D968" s="5">
        <v>21052018</v>
      </c>
      <c r="E968" s="4">
        <v>62</v>
      </c>
      <c r="F968" s="15">
        <f t="shared" si="71"/>
        <v>43271</v>
      </c>
      <c r="G968" s="12">
        <f t="shared" si="72"/>
        <v>2018</v>
      </c>
      <c r="H968" s="12" t="str">
        <f t="shared" si="73"/>
        <v>Junho</v>
      </c>
      <c r="I968" s="11">
        <f>INDEX(tbCadastroConsultas[],MATCH(tbConsultas[[#This Row],[PROFISSIONAL]],tbCadastroConsultas[PROFISSIONAL],0),3)</f>
        <v>301010064</v>
      </c>
      <c r="J968" s="11">
        <f>INDEX(tbCadastroConsultas[],MATCH(tbConsultas[[#This Row],[PROFISSIONAL]],tbCadastroConsultas[PROFISSIONAL],0),4)</f>
        <v>225125</v>
      </c>
    </row>
    <row r="969" spans="1:10">
      <c r="A969" s="11">
        <f t="shared" ref="A969:A1013" si="74">ROW() -1</f>
        <v>968</v>
      </c>
      <c r="B969" s="4" t="s">
        <v>6</v>
      </c>
      <c r="C969" s="5">
        <v>2111974</v>
      </c>
      <c r="D969" s="5">
        <v>21052018</v>
      </c>
      <c r="E969" s="4">
        <v>43</v>
      </c>
      <c r="F969" s="15">
        <f t="shared" si="71"/>
        <v>43271</v>
      </c>
      <c r="G969" s="12">
        <f t="shared" si="72"/>
        <v>2018</v>
      </c>
      <c r="H969" s="12" t="str">
        <f t="shared" si="73"/>
        <v>Junho</v>
      </c>
      <c r="I969" s="11">
        <f>INDEX(tbCadastroConsultas[],MATCH(tbConsultas[[#This Row],[PROFISSIONAL]],tbCadastroConsultas[PROFISSIONAL],0),3)</f>
        <v>301010064</v>
      </c>
      <c r="J969" s="11">
        <f>INDEX(tbCadastroConsultas[],MATCH(tbConsultas[[#This Row],[PROFISSIONAL]],tbCadastroConsultas[PROFISSIONAL],0),4)</f>
        <v>225125</v>
      </c>
    </row>
    <row r="970" spans="1:10">
      <c r="A970" s="11">
        <f t="shared" si="74"/>
        <v>969</v>
      </c>
      <c r="B970" s="4" t="s">
        <v>6</v>
      </c>
      <c r="C970" s="5">
        <v>9111956</v>
      </c>
      <c r="D970" s="5">
        <v>21052018</v>
      </c>
      <c r="E970" s="4">
        <v>61</v>
      </c>
      <c r="F970" s="15">
        <f t="shared" si="71"/>
        <v>43271</v>
      </c>
      <c r="G970" s="12">
        <f t="shared" si="72"/>
        <v>2018</v>
      </c>
      <c r="H970" s="12" t="str">
        <f t="shared" si="73"/>
        <v>Junho</v>
      </c>
      <c r="I970" s="11">
        <f>INDEX(tbCadastroConsultas[],MATCH(tbConsultas[[#This Row],[PROFISSIONAL]],tbCadastroConsultas[PROFISSIONAL],0),3)</f>
        <v>301010064</v>
      </c>
      <c r="J970" s="11">
        <f>INDEX(tbCadastroConsultas[],MATCH(tbConsultas[[#This Row],[PROFISSIONAL]],tbCadastroConsultas[PROFISSIONAL],0),4)</f>
        <v>225125</v>
      </c>
    </row>
    <row r="971" spans="1:10">
      <c r="A971" s="11">
        <f t="shared" si="74"/>
        <v>970</v>
      </c>
      <c r="B971" s="4" t="s">
        <v>6</v>
      </c>
      <c r="C971" s="5">
        <v>19061953</v>
      </c>
      <c r="D971" s="5">
        <v>21052018</v>
      </c>
      <c r="E971" s="4">
        <v>64</v>
      </c>
      <c r="F971" s="15">
        <f t="shared" si="71"/>
        <v>43271</v>
      </c>
      <c r="G971" s="12">
        <f t="shared" si="72"/>
        <v>2018</v>
      </c>
      <c r="H971" s="12" t="str">
        <f t="shared" si="73"/>
        <v>Junho</v>
      </c>
      <c r="I971" s="11">
        <f>INDEX(tbCadastroConsultas[],MATCH(tbConsultas[[#This Row],[PROFISSIONAL]],tbCadastroConsultas[PROFISSIONAL],0),3)</f>
        <v>301010064</v>
      </c>
      <c r="J971" s="11">
        <f>INDEX(tbCadastroConsultas[],MATCH(tbConsultas[[#This Row],[PROFISSIONAL]],tbCadastroConsultas[PROFISSIONAL],0),4)</f>
        <v>225125</v>
      </c>
    </row>
    <row r="972" spans="1:10">
      <c r="A972" s="11">
        <f t="shared" si="74"/>
        <v>971</v>
      </c>
      <c r="B972" s="4" t="s">
        <v>1</v>
      </c>
      <c r="C972" s="5">
        <v>3052012</v>
      </c>
      <c r="D972" s="5">
        <v>21052018</v>
      </c>
      <c r="E972" s="4">
        <v>6</v>
      </c>
      <c r="F972" s="15">
        <f t="shared" si="71"/>
        <v>43271</v>
      </c>
      <c r="G972" s="12">
        <f t="shared" si="72"/>
        <v>2018</v>
      </c>
      <c r="H972" s="12" t="str">
        <f t="shared" si="73"/>
        <v>Junho</v>
      </c>
      <c r="I972" s="11">
        <f>INDEX(tbCadastroConsultas[],MATCH(tbConsultas[[#This Row],[PROFISSIONAL]],tbCadastroConsultas[PROFISSIONAL],0),3)</f>
        <v>301010030</v>
      </c>
      <c r="J972" s="11">
        <f>INDEX(tbCadastroConsultas[],MATCH(tbConsultas[[#This Row],[PROFISSIONAL]],tbCadastroConsultas[PROFISSIONAL],0),4)</f>
        <v>251510</v>
      </c>
    </row>
    <row r="973" spans="1:10">
      <c r="A973" s="11">
        <f t="shared" si="74"/>
        <v>972</v>
      </c>
      <c r="B973" s="4" t="s">
        <v>1</v>
      </c>
      <c r="C973" s="5">
        <v>12061989</v>
      </c>
      <c r="D973" s="5">
        <v>21052018</v>
      </c>
      <c r="E973" s="4">
        <v>28</v>
      </c>
      <c r="F973" s="15">
        <f t="shared" si="71"/>
        <v>43271</v>
      </c>
      <c r="G973" s="12">
        <f t="shared" si="72"/>
        <v>2018</v>
      </c>
      <c r="H973" s="12" t="str">
        <f t="shared" si="73"/>
        <v>Junho</v>
      </c>
      <c r="I973" s="11">
        <f>INDEX(tbCadastroConsultas[],MATCH(tbConsultas[[#This Row],[PROFISSIONAL]],tbCadastroConsultas[PROFISSIONAL],0),3)</f>
        <v>301010030</v>
      </c>
      <c r="J973" s="11">
        <f>INDEX(tbCadastroConsultas[],MATCH(tbConsultas[[#This Row],[PROFISSIONAL]],tbCadastroConsultas[PROFISSIONAL],0),4)</f>
        <v>251510</v>
      </c>
    </row>
    <row r="974" spans="1:10">
      <c r="A974" s="11">
        <f t="shared" si="74"/>
        <v>973</v>
      </c>
      <c r="B974" s="4" t="s">
        <v>5</v>
      </c>
      <c r="C974" s="5">
        <v>5021951</v>
      </c>
      <c r="D974" s="5">
        <v>21052018</v>
      </c>
      <c r="E974" s="4">
        <v>67</v>
      </c>
      <c r="F974" s="15">
        <f t="shared" si="71"/>
        <v>43271</v>
      </c>
      <c r="G974" s="12">
        <f t="shared" si="72"/>
        <v>2018</v>
      </c>
      <c r="H974" s="12" t="str">
        <f t="shared" si="73"/>
        <v>Junho</v>
      </c>
      <c r="I974" s="11">
        <f>INDEX(tbCadastroConsultas[],MATCH(tbConsultas[[#This Row],[PROFISSIONAL]],tbCadastroConsultas[PROFISSIONAL],0),3)</f>
        <v>301010030</v>
      </c>
      <c r="J974" s="11">
        <f>INDEX(tbCadastroConsultas[],MATCH(tbConsultas[[#This Row],[PROFISSIONAL]],tbCadastroConsultas[PROFISSIONAL],0),4)</f>
        <v>223565</v>
      </c>
    </row>
    <row r="975" spans="1:10">
      <c r="A975" s="11">
        <f t="shared" si="74"/>
        <v>974</v>
      </c>
      <c r="B975" s="4" t="s">
        <v>5</v>
      </c>
      <c r="C975" s="5">
        <v>23011976</v>
      </c>
      <c r="D975" s="5">
        <v>21052018</v>
      </c>
      <c r="E975" s="4">
        <v>42</v>
      </c>
      <c r="F975" s="15">
        <f t="shared" si="71"/>
        <v>43271</v>
      </c>
      <c r="G975" s="12">
        <f t="shared" si="72"/>
        <v>2018</v>
      </c>
      <c r="H975" s="12" t="str">
        <f t="shared" si="73"/>
        <v>Junho</v>
      </c>
      <c r="I975" s="11">
        <f>INDEX(tbCadastroConsultas[],MATCH(tbConsultas[[#This Row],[PROFISSIONAL]],tbCadastroConsultas[PROFISSIONAL],0),3)</f>
        <v>301010030</v>
      </c>
      <c r="J975" s="11">
        <f>INDEX(tbCadastroConsultas[],MATCH(tbConsultas[[#This Row],[PROFISSIONAL]],tbCadastroConsultas[PROFISSIONAL],0),4)</f>
        <v>223565</v>
      </c>
    </row>
    <row r="976" spans="1:10">
      <c r="A976" s="11">
        <f t="shared" si="74"/>
        <v>975</v>
      </c>
      <c r="B976" s="4" t="s">
        <v>5</v>
      </c>
      <c r="C976" s="5">
        <v>29091988</v>
      </c>
      <c r="D976" s="5">
        <v>21052018</v>
      </c>
      <c r="E976" s="4">
        <v>29</v>
      </c>
      <c r="F976" s="15">
        <f t="shared" si="71"/>
        <v>43271</v>
      </c>
      <c r="G976" s="12">
        <f t="shared" si="72"/>
        <v>2018</v>
      </c>
      <c r="H976" s="12" t="str">
        <f t="shared" si="73"/>
        <v>Junho</v>
      </c>
      <c r="I976" s="11">
        <f>INDEX(tbCadastroConsultas[],MATCH(tbConsultas[[#This Row],[PROFISSIONAL]],tbCadastroConsultas[PROFISSIONAL],0),3)</f>
        <v>301010030</v>
      </c>
      <c r="J976" s="11">
        <f>INDEX(tbCadastroConsultas[],MATCH(tbConsultas[[#This Row],[PROFISSIONAL]],tbCadastroConsultas[PROFISSIONAL],0),4)</f>
        <v>223565</v>
      </c>
    </row>
    <row r="977" spans="1:10">
      <c r="A977" s="11">
        <f t="shared" si="74"/>
        <v>976</v>
      </c>
      <c r="B977" s="4" t="s">
        <v>5</v>
      </c>
      <c r="C977" s="5">
        <v>23101983</v>
      </c>
      <c r="D977" s="5">
        <v>21052018</v>
      </c>
      <c r="E977" s="4">
        <v>34</v>
      </c>
      <c r="F977" s="15">
        <f t="shared" si="71"/>
        <v>43271</v>
      </c>
      <c r="G977" s="12">
        <f t="shared" si="72"/>
        <v>2018</v>
      </c>
      <c r="H977" s="12" t="str">
        <f t="shared" si="73"/>
        <v>Junho</v>
      </c>
      <c r="I977" s="11">
        <f>INDEX(tbCadastroConsultas[],MATCH(tbConsultas[[#This Row],[PROFISSIONAL]],tbCadastroConsultas[PROFISSIONAL],0),3)</f>
        <v>301010030</v>
      </c>
      <c r="J977" s="11">
        <f>INDEX(tbCadastroConsultas[],MATCH(tbConsultas[[#This Row],[PROFISSIONAL]],tbCadastroConsultas[PROFISSIONAL],0),4)</f>
        <v>223565</v>
      </c>
    </row>
    <row r="978" spans="1:10">
      <c r="A978" s="11">
        <f t="shared" si="74"/>
        <v>977</v>
      </c>
      <c r="B978" s="4" t="s">
        <v>5</v>
      </c>
      <c r="C978" s="5">
        <v>18041987</v>
      </c>
      <c r="D978" s="5">
        <v>21052018</v>
      </c>
      <c r="E978" s="4">
        <v>31</v>
      </c>
      <c r="F978" s="15">
        <f t="shared" si="71"/>
        <v>43271</v>
      </c>
      <c r="G978" s="12">
        <f t="shared" si="72"/>
        <v>2018</v>
      </c>
      <c r="H978" s="12" t="str">
        <f t="shared" si="73"/>
        <v>Junho</v>
      </c>
      <c r="I978" s="11">
        <f>INDEX(tbCadastroConsultas[],MATCH(tbConsultas[[#This Row],[PROFISSIONAL]],tbCadastroConsultas[PROFISSIONAL],0),3)</f>
        <v>301010030</v>
      </c>
      <c r="J978" s="11">
        <f>INDEX(tbCadastroConsultas[],MATCH(tbConsultas[[#This Row],[PROFISSIONAL]],tbCadastroConsultas[PROFISSIONAL],0),4)</f>
        <v>223565</v>
      </c>
    </row>
    <row r="979" spans="1:10">
      <c r="A979" s="11">
        <f t="shared" si="74"/>
        <v>978</v>
      </c>
      <c r="B979" s="4" t="s">
        <v>5</v>
      </c>
      <c r="C979" s="5">
        <v>8061994</v>
      </c>
      <c r="D979" s="5">
        <v>21052018</v>
      </c>
      <c r="E979" s="4">
        <v>23</v>
      </c>
      <c r="F979" s="15">
        <f t="shared" si="71"/>
        <v>43271</v>
      </c>
      <c r="G979" s="12">
        <f t="shared" si="72"/>
        <v>2018</v>
      </c>
      <c r="H979" s="12" t="str">
        <f t="shared" si="73"/>
        <v>Junho</v>
      </c>
      <c r="I979" s="11">
        <f>INDEX(tbCadastroConsultas[],MATCH(tbConsultas[[#This Row],[PROFISSIONAL]],tbCadastroConsultas[PROFISSIONAL],0),3)</f>
        <v>301010030</v>
      </c>
      <c r="J979" s="11">
        <f>INDEX(tbCadastroConsultas[],MATCH(tbConsultas[[#This Row],[PROFISSIONAL]],tbCadastroConsultas[PROFISSIONAL],0),4)</f>
        <v>223565</v>
      </c>
    </row>
    <row r="980" spans="1:10">
      <c r="A980" s="11">
        <f t="shared" si="74"/>
        <v>979</v>
      </c>
      <c r="B980" s="4" t="s">
        <v>0</v>
      </c>
      <c r="C980" s="5">
        <v>16092005</v>
      </c>
      <c r="D980" s="5">
        <v>21052018</v>
      </c>
      <c r="E980" s="4">
        <v>12</v>
      </c>
      <c r="F980" s="15">
        <f t="shared" si="71"/>
        <v>43271</v>
      </c>
      <c r="G980" s="12">
        <f t="shared" si="72"/>
        <v>2018</v>
      </c>
      <c r="H980" s="12" t="str">
        <f t="shared" si="73"/>
        <v>Junho</v>
      </c>
      <c r="I980" s="11">
        <f>INDEX(tbCadastroConsultas[],MATCH(tbConsultas[[#This Row],[PROFISSIONAL]],tbCadastroConsultas[PROFISSIONAL],0),3)</f>
        <v>301010080</v>
      </c>
      <c r="J980" s="11">
        <f>INDEX(tbCadastroConsultas[],MATCH(tbConsultas[[#This Row],[PROFISSIONAL]],tbCadastroConsultas[PROFISSIONAL],0),4)</f>
        <v>225124</v>
      </c>
    </row>
    <row r="981" spans="1:10">
      <c r="A981" s="11">
        <f t="shared" si="74"/>
        <v>980</v>
      </c>
      <c r="B981" s="4" t="s">
        <v>0</v>
      </c>
      <c r="C981" s="5">
        <v>9092007</v>
      </c>
      <c r="D981" s="5">
        <v>21052018</v>
      </c>
      <c r="E981" s="4">
        <v>10</v>
      </c>
      <c r="F981" s="15">
        <f t="shared" si="71"/>
        <v>43271</v>
      </c>
      <c r="G981" s="12">
        <f t="shared" si="72"/>
        <v>2018</v>
      </c>
      <c r="H981" s="12" t="str">
        <f t="shared" si="73"/>
        <v>Junho</v>
      </c>
      <c r="I981" s="11">
        <f>INDEX(tbCadastroConsultas[],MATCH(tbConsultas[[#This Row],[PROFISSIONAL]],tbCadastroConsultas[PROFISSIONAL],0),3)</f>
        <v>301010080</v>
      </c>
      <c r="J981" s="11">
        <f>INDEX(tbCadastroConsultas[],MATCH(tbConsultas[[#This Row],[PROFISSIONAL]],tbCadastroConsultas[PROFISSIONAL],0),4)</f>
        <v>225124</v>
      </c>
    </row>
    <row r="982" spans="1:10">
      <c r="A982" s="11">
        <f t="shared" si="74"/>
        <v>981</v>
      </c>
      <c r="B982" s="4" t="s">
        <v>0</v>
      </c>
      <c r="C982" s="5">
        <v>2122006</v>
      </c>
      <c r="D982" s="5">
        <v>21052018</v>
      </c>
      <c r="E982" s="4">
        <v>11</v>
      </c>
      <c r="F982" s="15">
        <f t="shared" si="71"/>
        <v>43271</v>
      </c>
      <c r="G982" s="12">
        <f t="shared" si="72"/>
        <v>2018</v>
      </c>
      <c r="H982" s="12" t="str">
        <f t="shared" si="73"/>
        <v>Junho</v>
      </c>
      <c r="I982" s="11">
        <f>INDEX(tbCadastroConsultas[],MATCH(tbConsultas[[#This Row],[PROFISSIONAL]],tbCadastroConsultas[PROFISSIONAL],0),3)</f>
        <v>301010080</v>
      </c>
      <c r="J982" s="11">
        <f>INDEX(tbCadastroConsultas[],MATCH(tbConsultas[[#This Row],[PROFISSIONAL]],tbCadastroConsultas[PROFISSIONAL],0),4)</f>
        <v>225124</v>
      </c>
    </row>
    <row r="983" spans="1:10">
      <c r="A983" s="11">
        <f t="shared" si="74"/>
        <v>982</v>
      </c>
      <c r="B983" s="4" t="s">
        <v>0</v>
      </c>
      <c r="C983" s="5">
        <v>26032010</v>
      </c>
      <c r="D983" s="5">
        <v>21052018</v>
      </c>
      <c r="E983" s="4">
        <v>8</v>
      </c>
      <c r="F983" s="15">
        <f t="shared" si="71"/>
        <v>43271</v>
      </c>
      <c r="G983" s="12">
        <f t="shared" si="72"/>
        <v>2018</v>
      </c>
      <c r="H983" s="12" t="str">
        <f t="shared" si="73"/>
        <v>Junho</v>
      </c>
      <c r="I983" s="11">
        <f>INDEX(tbCadastroConsultas[],MATCH(tbConsultas[[#This Row],[PROFISSIONAL]],tbCadastroConsultas[PROFISSIONAL],0),3)</f>
        <v>301010080</v>
      </c>
      <c r="J983" s="11">
        <f>INDEX(tbCadastroConsultas[],MATCH(tbConsultas[[#This Row],[PROFISSIONAL]],tbCadastroConsultas[PROFISSIONAL],0),4)</f>
        <v>225124</v>
      </c>
    </row>
    <row r="984" spans="1:10">
      <c r="A984" s="11">
        <f t="shared" si="74"/>
        <v>983</v>
      </c>
      <c r="B984" s="4" t="s">
        <v>0</v>
      </c>
      <c r="C984" s="5">
        <v>3052018</v>
      </c>
      <c r="D984" s="5">
        <v>21052018</v>
      </c>
      <c r="E984" s="4">
        <v>0</v>
      </c>
      <c r="F984" s="15">
        <f t="shared" si="71"/>
        <v>43271</v>
      </c>
      <c r="G984" s="12">
        <f t="shared" si="72"/>
        <v>2018</v>
      </c>
      <c r="H984" s="12" t="str">
        <f t="shared" si="73"/>
        <v>Junho</v>
      </c>
      <c r="I984" s="11">
        <f>INDEX(tbCadastroConsultas[],MATCH(tbConsultas[[#This Row],[PROFISSIONAL]],tbCadastroConsultas[PROFISSIONAL],0),3)</f>
        <v>301010080</v>
      </c>
      <c r="J984" s="11">
        <f>INDEX(tbCadastroConsultas[],MATCH(tbConsultas[[#This Row],[PROFISSIONAL]],tbCadastroConsultas[PROFISSIONAL],0),4)</f>
        <v>225124</v>
      </c>
    </row>
    <row r="985" spans="1:10">
      <c r="A985" s="11">
        <f t="shared" si="74"/>
        <v>984</v>
      </c>
      <c r="B985" s="4" t="s">
        <v>0</v>
      </c>
      <c r="C985" s="5">
        <v>6032018</v>
      </c>
      <c r="D985" s="5">
        <v>21052018</v>
      </c>
      <c r="E985" s="4">
        <v>0</v>
      </c>
      <c r="F985" s="15">
        <f t="shared" si="71"/>
        <v>43271</v>
      </c>
      <c r="G985" s="12">
        <f t="shared" si="72"/>
        <v>2018</v>
      </c>
      <c r="H985" s="12" t="str">
        <f t="shared" si="73"/>
        <v>Junho</v>
      </c>
      <c r="I985" s="11">
        <f>INDEX(tbCadastroConsultas[],MATCH(tbConsultas[[#This Row],[PROFISSIONAL]],tbCadastroConsultas[PROFISSIONAL],0),3)</f>
        <v>301010080</v>
      </c>
      <c r="J985" s="11">
        <f>INDEX(tbCadastroConsultas[],MATCH(tbConsultas[[#This Row],[PROFISSIONAL]],tbCadastroConsultas[PROFISSIONAL],0),4)</f>
        <v>225124</v>
      </c>
    </row>
    <row r="986" spans="1:10">
      <c r="A986" s="11">
        <f t="shared" si="74"/>
        <v>985</v>
      </c>
      <c r="B986" s="4" t="s">
        <v>0</v>
      </c>
      <c r="C986" s="5">
        <v>18082016</v>
      </c>
      <c r="D986" s="5">
        <v>21052018</v>
      </c>
      <c r="E986" s="4">
        <v>1</v>
      </c>
      <c r="F986" s="15">
        <f t="shared" si="71"/>
        <v>43271</v>
      </c>
      <c r="G986" s="12">
        <f t="shared" si="72"/>
        <v>2018</v>
      </c>
      <c r="H986" s="12" t="str">
        <f t="shared" si="73"/>
        <v>Junho</v>
      </c>
      <c r="I986" s="11">
        <f>INDEX(tbCadastroConsultas[],MATCH(tbConsultas[[#This Row],[PROFISSIONAL]],tbCadastroConsultas[PROFISSIONAL],0),3)</f>
        <v>301010080</v>
      </c>
      <c r="J986" s="11">
        <f>INDEX(tbCadastroConsultas[],MATCH(tbConsultas[[#This Row],[PROFISSIONAL]],tbCadastroConsultas[PROFISSIONAL],0),4)</f>
        <v>225124</v>
      </c>
    </row>
    <row r="987" spans="1:10">
      <c r="A987" s="11">
        <f t="shared" si="74"/>
        <v>986</v>
      </c>
      <c r="B987" s="4" t="s">
        <v>0</v>
      </c>
      <c r="C987" s="5">
        <v>21122006</v>
      </c>
      <c r="D987" s="5">
        <v>21052018</v>
      </c>
      <c r="E987" s="4">
        <v>11</v>
      </c>
      <c r="F987" s="15">
        <f t="shared" si="71"/>
        <v>43271</v>
      </c>
      <c r="G987" s="12">
        <f t="shared" si="72"/>
        <v>2018</v>
      </c>
      <c r="H987" s="12" t="str">
        <f t="shared" si="73"/>
        <v>Junho</v>
      </c>
      <c r="I987" s="11">
        <f>INDEX(tbCadastroConsultas[],MATCH(tbConsultas[[#This Row],[PROFISSIONAL]],tbCadastroConsultas[PROFISSIONAL],0),3)</f>
        <v>301010080</v>
      </c>
      <c r="J987" s="11">
        <f>INDEX(tbCadastroConsultas[],MATCH(tbConsultas[[#This Row],[PROFISSIONAL]],tbCadastroConsultas[PROFISSIONAL],0),4)</f>
        <v>225124</v>
      </c>
    </row>
    <row r="988" spans="1:10">
      <c r="A988" s="11">
        <f t="shared" si="74"/>
        <v>987</v>
      </c>
      <c r="B988" s="4" t="s">
        <v>0</v>
      </c>
      <c r="C988" s="5">
        <v>11122013</v>
      </c>
      <c r="D988" s="5">
        <v>21052018</v>
      </c>
      <c r="E988" s="4">
        <v>4</v>
      </c>
      <c r="F988" s="15">
        <f t="shared" si="71"/>
        <v>43271</v>
      </c>
      <c r="G988" s="12">
        <f t="shared" si="72"/>
        <v>2018</v>
      </c>
      <c r="H988" s="12" t="str">
        <f t="shared" si="73"/>
        <v>Junho</v>
      </c>
      <c r="I988" s="11">
        <f>INDEX(tbCadastroConsultas[],MATCH(tbConsultas[[#This Row],[PROFISSIONAL]],tbCadastroConsultas[PROFISSIONAL],0),3)</f>
        <v>301010080</v>
      </c>
      <c r="J988" s="11">
        <f>INDEX(tbCadastroConsultas[],MATCH(tbConsultas[[#This Row],[PROFISSIONAL]],tbCadastroConsultas[PROFISSIONAL],0),4)</f>
        <v>225124</v>
      </c>
    </row>
    <row r="989" spans="1:10">
      <c r="A989" s="11">
        <f t="shared" si="74"/>
        <v>988</v>
      </c>
      <c r="B989" s="4" t="s">
        <v>0</v>
      </c>
      <c r="C989" s="5">
        <v>9112012</v>
      </c>
      <c r="D989" s="5">
        <v>21052018</v>
      </c>
      <c r="E989" s="4">
        <v>5</v>
      </c>
      <c r="F989" s="15">
        <f t="shared" si="71"/>
        <v>43271</v>
      </c>
      <c r="G989" s="12">
        <f t="shared" si="72"/>
        <v>2018</v>
      </c>
      <c r="H989" s="12" t="str">
        <f t="shared" si="73"/>
        <v>Junho</v>
      </c>
      <c r="I989" s="11">
        <f>INDEX(tbCadastroConsultas[],MATCH(tbConsultas[[#This Row],[PROFISSIONAL]],tbCadastroConsultas[PROFISSIONAL],0),3)</f>
        <v>301010080</v>
      </c>
      <c r="J989" s="11">
        <f>INDEX(tbCadastroConsultas[],MATCH(tbConsultas[[#This Row],[PROFISSIONAL]],tbCadastroConsultas[PROFISSIONAL],0),4)</f>
        <v>225124</v>
      </c>
    </row>
    <row r="990" spans="1:10">
      <c r="A990" s="11">
        <f t="shared" si="74"/>
        <v>989</v>
      </c>
      <c r="B990" s="4" t="s">
        <v>0</v>
      </c>
      <c r="C990" s="5">
        <v>9042018</v>
      </c>
      <c r="D990" s="5">
        <v>21052018</v>
      </c>
      <c r="E990" s="4">
        <v>0</v>
      </c>
      <c r="F990" s="15">
        <f t="shared" si="71"/>
        <v>43271</v>
      </c>
      <c r="G990" s="12">
        <f t="shared" si="72"/>
        <v>2018</v>
      </c>
      <c r="H990" s="12" t="str">
        <f t="shared" si="73"/>
        <v>Junho</v>
      </c>
      <c r="I990" s="11">
        <f>INDEX(tbCadastroConsultas[],MATCH(tbConsultas[[#This Row],[PROFISSIONAL]],tbCadastroConsultas[PROFISSIONAL],0),3)</f>
        <v>301010080</v>
      </c>
      <c r="J990" s="11">
        <f>INDEX(tbCadastroConsultas[],MATCH(tbConsultas[[#This Row],[PROFISSIONAL]],tbCadastroConsultas[PROFISSIONAL],0),4)</f>
        <v>225124</v>
      </c>
    </row>
    <row r="991" spans="1:10">
      <c r="A991" s="11">
        <f t="shared" si="74"/>
        <v>990</v>
      </c>
      <c r="B991" s="4" t="s">
        <v>0</v>
      </c>
      <c r="C991" s="5">
        <v>12022018</v>
      </c>
      <c r="D991" s="5">
        <v>21052018</v>
      </c>
      <c r="E991" s="4">
        <v>0</v>
      </c>
      <c r="F991" s="15">
        <f t="shared" si="71"/>
        <v>43271</v>
      </c>
      <c r="G991" s="12">
        <f t="shared" si="72"/>
        <v>2018</v>
      </c>
      <c r="H991" s="12" t="str">
        <f t="shared" si="73"/>
        <v>Junho</v>
      </c>
      <c r="I991" s="11">
        <f>INDEX(tbCadastroConsultas[],MATCH(tbConsultas[[#This Row],[PROFISSIONAL]],tbCadastroConsultas[PROFISSIONAL],0),3)</f>
        <v>301010080</v>
      </c>
      <c r="J991" s="11">
        <f>INDEX(tbCadastroConsultas[],MATCH(tbConsultas[[#This Row],[PROFISSIONAL]],tbCadastroConsultas[PROFISSIONAL],0),4)</f>
        <v>225124</v>
      </c>
    </row>
    <row r="992" spans="1:10">
      <c r="A992" s="11">
        <f t="shared" si="74"/>
        <v>991</v>
      </c>
      <c r="B992" s="4" t="s">
        <v>0</v>
      </c>
      <c r="C992" s="5">
        <v>9122012</v>
      </c>
      <c r="D992" s="5">
        <v>21052018</v>
      </c>
      <c r="E992" s="4">
        <v>5</v>
      </c>
      <c r="F992" s="15">
        <f t="shared" si="71"/>
        <v>43271</v>
      </c>
      <c r="G992" s="12">
        <f t="shared" si="72"/>
        <v>2018</v>
      </c>
      <c r="H992" s="12" t="str">
        <f t="shared" si="73"/>
        <v>Junho</v>
      </c>
      <c r="I992" s="11">
        <f>INDEX(tbCadastroConsultas[],MATCH(tbConsultas[[#This Row],[PROFISSIONAL]],tbCadastroConsultas[PROFISSIONAL],0),3)</f>
        <v>301010080</v>
      </c>
      <c r="J992" s="11">
        <f>INDEX(tbCadastroConsultas[],MATCH(tbConsultas[[#This Row],[PROFISSIONAL]],tbCadastroConsultas[PROFISSIONAL],0),4)</f>
        <v>225124</v>
      </c>
    </row>
    <row r="993" spans="1:10">
      <c r="A993" s="11">
        <f t="shared" si="74"/>
        <v>992</v>
      </c>
      <c r="B993" s="4" t="s">
        <v>0</v>
      </c>
      <c r="C993" s="5">
        <v>2122017</v>
      </c>
      <c r="D993" s="5">
        <v>21052018</v>
      </c>
      <c r="E993" s="4">
        <v>0</v>
      </c>
      <c r="F993" s="15">
        <f t="shared" si="71"/>
        <v>43271</v>
      </c>
      <c r="G993" s="12">
        <f t="shared" si="72"/>
        <v>2018</v>
      </c>
      <c r="H993" s="12" t="str">
        <f t="shared" si="73"/>
        <v>Junho</v>
      </c>
      <c r="I993" s="11">
        <f>INDEX(tbCadastroConsultas[],MATCH(tbConsultas[[#This Row],[PROFISSIONAL]],tbCadastroConsultas[PROFISSIONAL],0),3)</f>
        <v>301010080</v>
      </c>
      <c r="J993" s="11">
        <f>INDEX(tbCadastroConsultas[],MATCH(tbConsultas[[#This Row],[PROFISSIONAL]],tbCadastroConsultas[PROFISSIONAL],0),4)</f>
        <v>225124</v>
      </c>
    </row>
    <row r="994" spans="1:10">
      <c r="A994" s="11">
        <f t="shared" si="74"/>
        <v>993</v>
      </c>
      <c r="B994" s="4" t="s">
        <v>0</v>
      </c>
      <c r="C994" s="5">
        <v>9072017</v>
      </c>
      <c r="D994" s="5">
        <v>21052018</v>
      </c>
      <c r="E994" s="4">
        <v>0</v>
      </c>
      <c r="F994" s="15">
        <f t="shared" si="71"/>
        <v>43271</v>
      </c>
      <c r="G994" s="12">
        <f t="shared" si="72"/>
        <v>2018</v>
      </c>
      <c r="H994" s="12" t="str">
        <f t="shared" si="73"/>
        <v>Junho</v>
      </c>
      <c r="I994" s="11">
        <f>INDEX(tbCadastroConsultas[],MATCH(tbConsultas[[#This Row],[PROFISSIONAL]],tbCadastroConsultas[PROFISSIONAL],0),3)</f>
        <v>301010080</v>
      </c>
      <c r="J994" s="11">
        <f>INDEX(tbCadastroConsultas[],MATCH(tbConsultas[[#This Row],[PROFISSIONAL]],tbCadastroConsultas[PROFISSIONAL],0),4)</f>
        <v>225124</v>
      </c>
    </row>
    <row r="995" spans="1:10">
      <c r="A995" s="11">
        <f t="shared" si="74"/>
        <v>994</v>
      </c>
      <c r="B995" s="4" t="s">
        <v>0</v>
      </c>
      <c r="C995" s="5">
        <v>24112012</v>
      </c>
      <c r="D995" s="5">
        <v>21052018</v>
      </c>
      <c r="E995" s="4">
        <v>5</v>
      </c>
      <c r="F995" s="15">
        <f t="shared" si="71"/>
        <v>43271</v>
      </c>
      <c r="G995" s="12">
        <f t="shared" si="72"/>
        <v>2018</v>
      </c>
      <c r="H995" s="12" t="str">
        <f t="shared" si="73"/>
        <v>Junho</v>
      </c>
      <c r="I995" s="11">
        <f>INDEX(tbCadastroConsultas[],MATCH(tbConsultas[[#This Row],[PROFISSIONAL]],tbCadastroConsultas[PROFISSIONAL],0),3)</f>
        <v>301010080</v>
      </c>
      <c r="J995" s="11">
        <f>INDEX(tbCadastroConsultas[],MATCH(tbConsultas[[#This Row],[PROFISSIONAL]],tbCadastroConsultas[PROFISSIONAL],0),4)</f>
        <v>225124</v>
      </c>
    </row>
    <row r="996" spans="1:10">
      <c r="A996" s="11">
        <f t="shared" si="74"/>
        <v>995</v>
      </c>
      <c r="B996" s="4" t="s">
        <v>144</v>
      </c>
      <c r="C996" s="5">
        <v>13051998</v>
      </c>
      <c r="D996" s="5">
        <v>21052018</v>
      </c>
      <c r="E996" s="4">
        <v>20</v>
      </c>
      <c r="F996" s="15">
        <f t="shared" si="71"/>
        <v>43271</v>
      </c>
      <c r="G996" s="12">
        <f t="shared" si="72"/>
        <v>2018</v>
      </c>
      <c r="H996" s="12" t="str">
        <f t="shared" si="73"/>
        <v>Junho</v>
      </c>
      <c r="I996" s="11">
        <f>INDEX(tbCadastroConsultas[],MATCH(tbConsultas[[#This Row],[PROFISSIONAL]],tbCadastroConsultas[PROFISSIONAL],0),3)</f>
        <v>301010129</v>
      </c>
      <c r="J996" s="11">
        <f>INDEX(tbCadastroConsultas[],MATCH(tbConsultas[[#This Row],[PROFISSIONAL]],tbCadastroConsultas[PROFISSIONAL],0),4)</f>
        <v>225250</v>
      </c>
    </row>
    <row r="997" spans="1:10">
      <c r="A997" s="11">
        <f t="shared" si="74"/>
        <v>996</v>
      </c>
      <c r="B997" s="4" t="s">
        <v>10</v>
      </c>
      <c r="C997" s="5">
        <v>2041970</v>
      </c>
      <c r="D997" s="5">
        <v>21052018</v>
      </c>
      <c r="E997" s="4">
        <v>48</v>
      </c>
      <c r="F997" s="15">
        <f t="shared" si="71"/>
        <v>43271</v>
      </c>
      <c r="G997" s="12">
        <f t="shared" si="72"/>
        <v>2018</v>
      </c>
      <c r="H997" s="12" t="str">
        <f t="shared" si="73"/>
        <v>Junho</v>
      </c>
      <c r="I997" s="11">
        <f>INDEX(tbCadastroConsultas[],MATCH(tbConsultas[[#This Row],[PROFISSIONAL]],tbCadastroConsultas[PROFISSIONAL],0),3)</f>
        <v>301010064</v>
      </c>
      <c r="J997" s="11">
        <f>INDEX(tbCadastroConsultas[],MATCH(tbConsultas[[#This Row],[PROFISSIONAL]],tbCadastroConsultas[PROFISSIONAL],0),4)</f>
        <v>225142</v>
      </c>
    </row>
    <row r="998" spans="1:10">
      <c r="A998" s="11">
        <f t="shared" si="74"/>
        <v>997</v>
      </c>
      <c r="B998" s="4" t="s">
        <v>10</v>
      </c>
      <c r="C998" s="5">
        <v>18101995</v>
      </c>
      <c r="D998" s="5">
        <v>21052018</v>
      </c>
      <c r="E998" s="4">
        <v>22</v>
      </c>
      <c r="F998" s="15">
        <f t="shared" si="71"/>
        <v>43271</v>
      </c>
      <c r="G998" s="12">
        <f t="shared" si="72"/>
        <v>2018</v>
      </c>
      <c r="H998" s="12" t="str">
        <f t="shared" si="73"/>
        <v>Junho</v>
      </c>
      <c r="I998" s="11">
        <f>INDEX(tbCadastroConsultas[],MATCH(tbConsultas[[#This Row],[PROFISSIONAL]],tbCadastroConsultas[PROFISSIONAL],0),3)</f>
        <v>301010064</v>
      </c>
      <c r="J998" s="11">
        <f>INDEX(tbCadastroConsultas[],MATCH(tbConsultas[[#This Row],[PROFISSIONAL]],tbCadastroConsultas[PROFISSIONAL],0),4)</f>
        <v>225142</v>
      </c>
    </row>
    <row r="999" spans="1:10">
      <c r="A999" s="11">
        <f t="shared" si="74"/>
        <v>998</v>
      </c>
      <c r="B999" s="4" t="s">
        <v>10</v>
      </c>
      <c r="C999" s="5">
        <v>30071944</v>
      </c>
      <c r="D999" s="5">
        <v>21052018</v>
      </c>
      <c r="E999" s="4">
        <v>73</v>
      </c>
      <c r="F999" s="15">
        <f t="shared" si="71"/>
        <v>43271</v>
      </c>
      <c r="G999" s="12">
        <f t="shared" si="72"/>
        <v>2018</v>
      </c>
      <c r="H999" s="12" t="str">
        <f t="shared" si="73"/>
        <v>Junho</v>
      </c>
      <c r="I999" s="11">
        <f>INDEX(tbCadastroConsultas[],MATCH(tbConsultas[[#This Row],[PROFISSIONAL]],tbCadastroConsultas[PROFISSIONAL],0),3)</f>
        <v>301010064</v>
      </c>
      <c r="J999" s="11">
        <f>INDEX(tbCadastroConsultas[],MATCH(tbConsultas[[#This Row],[PROFISSIONAL]],tbCadastroConsultas[PROFISSIONAL],0),4)</f>
        <v>225142</v>
      </c>
    </row>
    <row r="1000" spans="1:10">
      <c r="A1000" s="11">
        <f t="shared" si="74"/>
        <v>999</v>
      </c>
      <c r="B1000" s="4" t="s">
        <v>10</v>
      </c>
      <c r="C1000" s="5">
        <v>26022000</v>
      </c>
      <c r="D1000" s="5">
        <v>21052018</v>
      </c>
      <c r="E1000" s="4">
        <v>18</v>
      </c>
      <c r="F1000" s="15">
        <f t="shared" si="71"/>
        <v>43271</v>
      </c>
      <c r="G1000" s="12">
        <f t="shared" si="72"/>
        <v>2018</v>
      </c>
      <c r="H1000" s="12" t="str">
        <f t="shared" si="73"/>
        <v>Junho</v>
      </c>
      <c r="I1000" s="11">
        <f>INDEX(tbCadastroConsultas[],MATCH(tbConsultas[[#This Row],[PROFISSIONAL]],tbCadastroConsultas[PROFISSIONAL],0),3)</f>
        <v>301010064</v>
      </c>
      <c r="J1000" s="11">
        <f>INDEX(tbCadastroConsultas[],MATCH(tbConsultas[[#This Row],[PROFISSIONAL]],tbCadastroConsultas[PROFISSIONAL],0),4)</f>
        <v>225142</v>
      </c>
    </row>
    <row r="1001" spans="1:10">
      <c r="A1001" s="11">
        <f t="shared" si="74"/>
        <v>1000</v>
      </c>
      <c r="B1001" s="4" t="s">
        <v>10</v>
      </c>
      <c r="C1001" s="5">
        <v>8101970</v>
      </c>
      <c r="D1001" s="5">
        <v>21052018</v>
      </c>
      <c r="E1001" s="4">
        <v>47</v>
      </c>
      <c r="F1001" s="15">
        <f t="shared" si="71"/>
        <v>43271</v>
      </c>
      <c r="G1001" s="12">
        <f t="shared" si="72"/>
        <v>2018</v>
      </c>
      <c r="H1001" s="12" t="str">
        <f t="shared" si="73"/>
        <v>Junho</v>
      </c>
      <c r="I1001" s="11">
        <f>INDEX(tbCadastroConsultas[],MATCH(tbConsultas[[#This Row],[PROFISSIONAL]],tbCadastroConsultas[PROFISSIONAL],0),3)</f>
        <v>301010064</v>
      </c>
      <c r="J1001" s="11">
        <f>INDEX(tbCadastroConsultas[],MATCH(tbConsultas[[#This Row],[PROFISSIONAL]],tbCadastroConsultas[PROFISSIONAL],0),4)</f>
        <v>225142</v>
      </c>
    </row>
    <row r="1002" spans="1:10">
      <c r="A1002" s="11">
        <f t="shared" si="74"/>
        <v>1001</v>
      </c>
      <c r="B1002" s="4" t="s">
        <v>10</v>
      </c>
      <c r="C1002" s="5">
        <v>10061947</v>
      </c>
      <c r="D1002" s="5">
        <v>21052018</v>
      </c>
      <c r="E1002" s="4">
        <v>70</v>
      </c>
      <c r="F1002" s="15">
        <f t="shared" si="71"/>
        <v>43271</v>
      </c>
      <c r="G1002" s="12">
        <f t="shared" si="72"/>
        <v>2018</v>
      </c>
      <c r="H1002" s="12" t="str">
        <f t="shared" si="73"/>
        <v>Junho</v>
      </c>
      <c r="I1002" s="11">
        <f>INDEX(tbCadastroConsultas[],MATCH(tbConsultas[[#This Row],[PROFISSIONAL]],tbCadastroConsultas[PROFISSIONAL],0),3)</f>
        <v>301010064</v>
      </c>
      <c r="J1002" s="11">
        <f>INDEX(tbCadastroConsultas[],MATCH(tbConsultas[[#This Row],[PROFISSIONAL]],tbCadastroConsultas[PROFISSIONAL],0),4)</f>
        <v>225142</v>
      </c>
    </row>
    <row r="1003" spans="1:10">
      <c r="A1003" s="11">
        <f t="shared" si="74"/>
        <v>1002</v>
      </c>
      <c r="B1003" s="4" t="s">
        <v>10</v>
      </c>
      <c r="C1003" s="5">
        <v>6031980</v>
      </c>
      <c r="D1003" s="5">
        <v>21052018</v>
      </c>
      <c r="E1003" s="4">
        <v>38</v>
      </c>
      <c r="F1003" s="15">
        <f t="shared" si="71"/>
        <v>43271</v>
      </c>
      <c r="G1003" s="12">
        <f t="shared" si="72"/>
        <v>2018</v>
      </c>
      <c r="H1003" s="12" t="str">
        <f t="shared" si="73"/>
        <v>Junho</v>
      </c>
      <c r="I1003" s="11">
        <f>INDEX(tbCadastroConsultas[],MATCH(tbConsultas[[#This Row],[PROFISSIONAL]],tbCadastroConsultas[PROFISSIONAL],0),3)</f>
        <v>301010064</v>
      </c>
      <c r="J1003" s="11">
        <f>INDEX(tbCadastroConsultas[],MATCH(tbConsultas[[#This Row],[PROFISSIONAL]],tbCadastroConsultas[PROFISSIONAL],0),4)</f>
        <v>225142</v>
      </c>
    </row>
    <row r="1004" spans="1:10">
      <c r="A1004" s="11">
        <f t="shared" si="74"/>
        <v>1003</v>
      </c>
      <c r="B1004" s="4" t="s">
        <v>10</v>
      </c>
      <c r="C1004" s="5">
        <v>17051957</v>
      </c>
      <c r="D1004" s="5">
        <v>21052018</v>
      </c>
      <c r="E1004" s="4">
        <v>61</v>
      </c>
      <c r="F1004" s="15">
        <f t="shared" si="71"/>
        <v>43271</v>
      </c>
      <c r="G1004" s="12">
        <f t="shared" si="72"/>
        <v>2018</v>
      </c>
      <c r="H1004" s="12" t="str">
        <f t="shared" si="73"/>
        <v>Junho</v>
      </c>
      <c r="I1004" s="11">
        <f>INDEX(tbCadastroConsultas[],MATCH(tbConsultas[[#This Row],[PROFISSIONAL]],tbCadastroConsultas[PROFISSIONAL],0),3)</f>
        <v>301010064</v>
      </c>
      <c r="J1004" s="11">
        <f>INDEX(tbCadastroConsultas[],MATCH(tbConsultas[[#This Row],[PROFISSIONAL]],tbCadastroConsultas[PROFISSIONAL],0),4)</f>
        <v>225142</v>
      </c>
    </row>
    <row r="1005" spans="1:10">
      <c r="A1005" s="11">
        <f t="shared" si="74"/>
        <v>1004</v>
      </c>
      <c r="B1005" s="4" t="s">
        <v>10</v>
      </c>
      <c r="C1005" s="5">
        <v>29011980</v>
      </c>
      <c r="D1005" s="5">
        <v>21052018</v>
      </c>
      <c r="E1005" s="4">
        <v>38</v>
      </c>
      <c r="F1005" s="15">
        <f t="shared" si="71"/>
        <v>43271</v>
      </c>
      <c r="G1005" s="12">
        <f t="shared" si="72"/>
        <v>2018</v>
      </c>
      <c r="H1005" s="12" t="str">
        <f t="shared" si="73"/>
        <v>Junho</v>
      </c>
      <c r="I1005" s="11">
        <f>INDEX(tbCadastroConsultas[],MATCH(tbConsultas[[#This Row],[PROFISSIONAL]],tbCadastroConsultas[PROFISSIONAL],0),3)</f>
        <v>301010064</v>
      </c>
      <c r="J1005" s="11">
        <f>INDEX(tbCadastroConsultas[],MATCH(tbConsultas[[#This Row],[PROFISSIONAL]],tbCadastroConsultas[PROFISSIONAL],0),4)</f>
        <v>225142</v>
      </c>
    </row>
    <row r="1006" spans="1:10">
      <c r="A1006" s="11">
        <f t="shared" si="74"/>
        <v>1005</v>
      </c>
      <c r="B1006" s="4" t="s">
        <v>2</v>
      </c>
      <c r="C1006" s="5">
        <v>21081966</v>
      </c>
      <c r="D1006" s="5">
        <v>21052018</v>
      </c>
      <c r="E1006" s="4">
        <v>51</v>
      </c>
      <c r="F1006" s="15">
        <f t="shared" si="71"/>
        <v>43271</v>
      </c>
      <c r="G1006" s="12">
        <f t="shared" si="72"/>
        <v>2018</v>
      </c>
      <c r="H1006" s="12" t="str">
        <f t="shared" si="73"/>
        <v>Junho</v>
      </c>
      <c r="I1006" s="11">
        <f>INDEX(tbCadastroConsultas[],MATCH(tbConsultas[[#This Row],[PROFISSIONAL]],tbCadastroConsultas[PROFISSIONAL],0),3)</f>
        <v>301010030</v>
      </c>
      <c r="J1006" s="11">
        <f>INDEX(tbCadastroConsultas[],MATCH(tbConsultas[[#This Row],[PROFISSIONAL]],tbCadastroConsultas[PROFISSIONAL],0),4)</f>
        <v>223505</v>
      </c>
    </row>
    <row r="1007" spans="1:10">
      <c r="A1007" s="11">
        <f t="shared" si="74"/>
        <v>1006</v>
      </c>
      <c r="B1007" s="4" t="s">
        <v>2</v>
      </c>
      <c r="C1007" s="5">
        <v>28101977</v>
      </c>
      <c r="D1007" s="5">
        <v>21052018</v>
      </c>
      <c r="E1007" s="4">
        <v>40</v>
      </c>
      <c r="F1007" s="15">
        <f t="shared" si="71"/>
        <v>43271</v>
      </c>
      <c r="G1007" s="12">
        <f t="shared" si="72"/>
        <v>2018</v>
      </c>
      <c r="H1007" s="12" t="str">
        <f t="shared" si="73"/>
        <v>Junho</v>
      </c>
      <c r="I1007" s="11">
        <f>INDEX(tbCadastroConsultas[],MATCH(tbConsultas[[#This Row],[PROFISSIONAL]],tbCadastroConsultas[PROFISSIONAL],0),3)</f>
        <v>301010030</v>
      </c>
      <c r="J1007" s="11">
        <f>INDEX(tbCadastroConsultas[],MATCH(tbConsultas[[#This Row],[PROFISSIONAL]],tbCadastroConsultas[PROFISSIONAL],0),4)</f>
        <v>223505</v>
      </c>
    </row>
    <row r="1008" spans="1:10">
      <c r="A1008" s="11">
        <f t="shared" si="74"/>
        <v>1007</v>
      </c>
      <c r="B1008" s="4" t="s">
        <v>2</v>
      </c>
      <c r="C1008" s="5">
        <v>12051964</v>
      </c>
      <c r="D1008" s="5">
        <v>21052018</v>
      </c>
      <c r="E1008" s="4">
        <v>54</v>
      </c>
      <c r="F1008" s="15">
        <f t="shared" si="71"/>
        <v>43271</v>
      </c>
      <c r="G1008" s="12">
        <f t="shared" si="72"/>
        <v>2018</v>
      </c>
      <c r="H1008" s="12" t="str">
        <f t="shared" si="73"/>
        <v>Junho</v>
      </c>
      <c r="I1008" s="11">
        <f>INDEX(tbCadastroConsultas[],MATCH(tbConsultas[[#This Row],[PROFISSIONAL]],tbCadastroConsultas[PROFISSIONAL],0),3)</f>
        <v>301010030</v>
      </c>
      <c r="J1008" s="11">
        <f>INDEX(tbCadastroConsultas[],MATCH(tbConsultas[[#This Row],[PROFISSIONAL]],tbCadastroConsultas[PROFISSIONAL],0),4)</f>
        <v>223505</v>
      </c>
    </row>
    <row r="1009" spans="1:10">
      <c r="A1009" s="11">
        <f t="shared" si="74"/>
        <v>1008</v>
      </c>
      <c r="B1009" s="4" t="s">
        <v>2</v>
      </c>
      <c r="C1009" s="5">
        <v>24061952</v>
      </c>
      <c r="D1009" s="5">
        <v>21052018</v>
      </c>
      <c r="E1009" s="4">
        <v>65</v>
      </c>
      <c r="F1009" s="15">
        <f t="shared" si="71"/>
        <v>43271</v>
      </c>
      <c r="G1009" s="12">
        <f t="shared" si="72"/>
        <v>2018</v>
      </c>
      <c r="H1009" s="12" t="str">
        <f t="shared" si="73"/>
        <v>Junho</v>
      </c>
      <c r="I1009" s="11">
        <f>INDEX(tbCadastroConsultas[],MATCH(tbConsultas[[#This Row],[PROFISSIONAL]],tbCadastroConsultas[PROFISSIONAL],0),3)</f>
        <v>301010030</v>
      </c>
      <c r="J1009" s="11">
        <f>INDEX(tbCadastroConsultas[],MATCH(tbConsultas[[#This Row],[PROFISSIONAL]],tbCadastroConsultas[PROFISSIONAL],0),4)</f>
        <v>223505</v>
      </c>
    </row>
    <row r="1010" spans="1:10">
      <c r="A1010" s="11">
        <f t="shared" si="74"/>
        <v>1009</v>
      </c>
      <c r="B1010" s="4" t="s">
        <v>5</v>
      </c>
      <c r="C1010" s="5">
        <v>26081942</v>
      </c>
      <c r="D1010" s="5">
        <v>21052018</v>
      </c>
      <c r="E1010" s="4">
        <v>75</v>
      </c>
      <c r="F1010" s="15">
        <f t="shared" si="71"/>
        <v>43271</v>
      </c>
      <c r="G1010" s="12">
        <f t="shared" si="72"/>
        <v>2018</v>
      </c>
      <c r="H1010" s="12" t="str">
        <f t="shared" si="73"/>
        <v>Junho</v>
      </c>
      <c r="I1010" s="11">
        <f>INDEX(tbCadastroConsultas[],MATCH(tbConsultas[[#This Row],[PROFISSIONAL]],tbCadastroConsultas[PROFISSIONAL],0),3)</f>
        <v>301010030</v>
      </c>
      <c r="J1010" s="11">
        <f>INDEX(tbCadastroConsultas[],MATCH(tbConsultas[[#This Row],[PROFISSIONAL]],tbCadastroConsultas[PROFISSIONAL],0),4)</f>
        <v>223565</v>
      </c>
    </row>
    <row r="1011" spans="1:10">
      <c r="A1011" s="11">
        <f t="shared" si="74"/>
        <v>1010</v>
      </c>
      <c r="B1011" s="4" t="s">
        <v>5</v>
      </c>
      <c r="C1011" s="5">
        <v>31052018</v>
      </c>
      <c r="D1011" s="5">
        <v>21052018</v>
      </c>
      <c r="E1011" s="4">
        <v>0</v>
      </c>
      <c r="F1011" s="15">
        <f t="shared" si="71"/>
        <v>43271</v>
      </c>
      <c r="G1011" s="12">
        <f t="shared" si="72"/>
        <v>2018</v>
      </c>
      <c r="H1011" s="12" t="str">
        <f t="shared" si="73"/>
        <v>Junho</v>
      </c>
      <c r="I1011" s="11">
        <f>INDEX(tbCadastroConsultas[],MATCH(tbConsultas[[#This Row],[PROFISSIONAL]],tbCadastroConsultas[PROFISSIONAL],0),3)</f>
        <v>301010030</v>
      </c>
      <c r="J1011" s="11">
        <f>INDEX(tbCadastroConsultas[],MATCH(tbConsultas[[#This Row],[PROFISSIONAL]],tbCadastroConsultas[PROFISSIONAL],0),4)</f>
        <v>223565</v>
      </c>
    </row>
    <row r="1012" spans="1:10">
      <c r="A1012" s="11">
        <f t="shared" si="74"/>
        <v>1011</v>
      </c>
      <c r="B1012" s="4" t="s">
        <v>5</v>
      </c>
      <c r="C1012" s="5">
        <v>13041978</v>
      </c>
      <c r="D1012" s="5">
        <v>21052018</v>
      </c>
      <c r="E1012" s="4">
        <v>40</v>
      </c>
      <c r="F1012" s="15">
        <f t="shared" si="71"/>
        <v>43271</v>
      </c>
      <c r="G1012" s="12">
        <f t="shared" si="72"/>
        <v>2018</v>
      </c>
      <c r="H1012" s="12" t="str">
        <f t="shared" si="73"/>
        <v>Junho</v>
      </c>
      <c r="I1012" s="11">
        <f>INDEX(tbCadastroConsultas[],MATCH(tbConsultas[[#This Row],[PROFISSIONAL]],tbCadastroConsultas[PROFISSIONAL],0),3)</f>
        <v>301010030</v>
      </c>
      <c r="J1012" s="11">
        <f>INDEX(tbCadastroConsultas[],MATCH(tbConsultas[[#This Row],[PROFISSIONAL]],tbCadastroConsultas[PROFISSIONAL],0),4)</f>
        <v>223565</v>
      </c>
    </row>
    <row r="1013" spans="1:10">
      <c r="A1013" s="11">
        <f t="shared" si="74"/>
        <v>1012</v>
      </c>
      <c r="B1013" s="4" t="s">
        <v>78</v>
      </c>
      <c r="C1013" s="5">
        <v>25032018</v>
      </c>
      <c r="D1013" s="5">
        <v>21052018</v>
      </c>
      <c r="E1013" s="4">
        <v>0</v>
      </c>
      <c r="F1013" s="15">
        <f t="shared" si="71"/>
        <v>43271</v>
      </c>
      <c r="G1013" s="12">
        <f t="shared" si="72"/>
        <v>2018</v>
      </c>
      <c r="H1013" s="12" t="str">
        <f t="shared" si="73"/>
        <v>Junho</v>
      </c>
      <c r="I1013" s="11">
        <f>INDEX(tbCadastroConsultas[],MATCH(tbConsultas[[#This Row],[PROFISSIONAL]],tbCadastroConsultas[PROFISSIONAL],0),3)</f>
        <v>301010080</v>
      </c>
      <c r="J1013" s="11">
        <f>INDEX(tbCadastroConsultas[],MATCH(tbConsultas[[#This Row],[PROFISSIONAL]],tbCadastroConsultas[PROFISSIONAL],0),4)</f>
        <v>223505</v>
      </c>
    </row>
    <row r="1014" spans="1:10">
      <c r="A1014" s="11">
        <f t="shared" ref="A1014:A1054" si="75">ROW() -1</f>
        <v>1013</v>
      </c>
      <c r="B1014" s="4" t="s">
        <v>4</v>
      </c>
      <c r="C1014" s="5">
        <v>11041993</v>
      </c>
      <c r="D1014" s="5">
        <v>21052018</v>
      </c>
      <c r="E1014" s="4">
        <v>25</v>
      </c>
      <c r="F1014" s="15">
        <f t="shared" si="71"/>
        <v>43271</v>
      </c>
      <c r="G1014" s="12">
        <f t="shared" si="72"/>
        <v>2018</v>
      </c>
      <c r="H1014" s="12" t="str">
        <f t="shared" si="73"/>
        <v>Junho</v>
      </c>
      <c r="I1014" s="11">
        <f>INDEX(tbCadastroConsultas[],MATCH(tbConsultas[[#This Row],[PROFISSIONAL]],tbCadastroConsultas[PROFISSIONAL],0),3)</f>
        <v>301010064</v>
      </c>
      <c r="J1014" s="11">
        <f>INDEX(tbCadastroConsultas[],MATCH(tbConsultas[[#This Row],[PROFISSIONAL]],tbCadastroConsultas[PROFISSIONAL],0),4)</f>
        <v>225250</v>
      </c>
    </row>
    <row r="1015" spans="1:10">
      <c r="A1015" s="11">
        <f t="shared" si="75"/>
        <v>1014</v>
      </c>
      <c r="B1015" s="4" t="s">
        <v>4</v>
      </c>
      <c r="C1015" s="5">
        <v>16121991</v>
      </c>
      <c r="D1015" s="5">
        <v>21052018</v>
      </c>
      <c r="E1015" s="4">
        <v>26</v>
      </c>
      <c r="F1015" s="15">
        <f t="shared" si="71"/>
        <v>43271</v>
      </c>
      <c r="G1015" s="12">
        <f t="shared" si="72"/>
        <v>2018</v>
      </c>
      <c r="H1015" s="12" t="str">
        <f t="shared" si="73"/>
        <v>Junho</v>
      </c>
      <c r="I1015" s="11">
        <f>INDEX(tbCadastroConsultas[],MATCH(tbConsultas[[#This Row],[PROFISSIONAL]],tbCadastroConsultas[PROFISSIONAL],0),3)</f>
        <v>301010064</v>
      </c>
      <c r="J1015" s="11">
        <f>INDEX(tbCadastroConsultas[],MATCH(tbConsultas[[#This Row],[PROFISSIONAL]],tbCadastroConsultas[PROFISSIONAL],0),4)</f>
        <v>225250</v>
      </c>
    </row>
    <row r="1016" spans="1:10">
      <c r="A1016" s="11">
        <f t="shared" si="75"/>
        <v>1015</v>
      </c>
      <c r="B1016" s="4" t="s">
        <v>4</v>
      </c>
      <c r="C1016" s="5">
        <v>8071971</v>
      </c>
      <c r="D1016" s="5">
        <v>21052018</v>
      </c>
      <c r="E1016" s="4">
        <v>46</v>
      </c>
      <c r="F1016" s="15">
        <f t="shared" si="71"/>
        <v>43271</v>
      </c>
      <c r="G1016" s="12">
        <f t="shared" si="72"/>
        <v>2018</v>
      </c>
      <c r="H1016" s="12" t="str">
        <f t="shared" si="73"/>
        <v>Junho</v>
      </c>
      <c r="I1016" s="11">
        <f>INDEX(tbCadastroConsultas[],MATCH(tbConsultas[[#This Row],[PROFISSIONAL]],tbCadastroConsultas[PROFISSIONAL],0),3)</f>
        <v>301010064</v>
      </c>
      <c r="J1016" s="11">
        <f>INDEX(tbCadastroConsultas[],MATCH(tbConsultas[[#This Row],[PROFISSIONAL]],tbCadastroConsultas[PROFISSIONAL],0),4)</f>
        <v>225250</v>
      </c>
    </row>
    <row r="1017" spans="1:10">
      <c r="A1017" s="11">
        <f t="shared" si="75"/>
        <v>1016</v>
      </c>
      <c r="B1017" s="4" t="s">
        <v>4</v>
      </c>
      <c r="C1017" s="5">
        <v>24071985</v>
      </c>
      <c r="D1017" s="5">
        <v>21052018</v>
      </c>
      <c r="E1017" s="4">
        <v>32</v>
      </c>
      <c r="F1017" s="15">
        <f t="shared" si="71"/>
        <v>43271</v>
      </c>
      <c r="G1017" s="12">
        <f t="shared" si="72"/>
        <v>2018</v>
      </c>
      <c r="H1017" s="12" t="str">
        <f t="shared" si="73"/>
        <v>Junho</v>
      </c>
      <c r="I1017" s="11">
        <f>INDEX(tbCadastroConsultas[],MATCH(tbConsultas[[#This Row],[PROFISSIONAL]],tbCadastroConsultas[PROFISSIONAL],0),3)</f>
        <v>301010064</v>
      </c>
      <c r="J1017" s="11">
        <f>INDEX(tbCadastroConsultas[],MATCH(tbConsultas[[#This Row],[PROFISSIONAL]],tbCadastroConsultas[PROFISSIONAL],0),4)</f>
        <v>225250</v>
      </c>
    </row>
    <row r="1018" spans="1:10">
      <c r="A1018" s="11">
        <f t="shared" si="75"/>
        <v>1017</v>
      </c>
      <c r="B1018" s="4" t="s">
        <v>4</v>
      </c>
      <c r="C1018" s="5">
        <v>19111980</v>
      </c>
      <c r="D1018" s="5">
        <v>21052018</v>
      </c>
      <c r="E1018" s="4">
        <v>37</v>
      </c>
      <c r="F1018" s="15">
        <f t="shared" si="71"/>
        <v>43271</v>
      </c>
      <c r="G1018" s="12">
        <f t="shared" si="72"/>
        <v>2018</v>
      </c>
      <c r="H1018" s="12" t="str">
        <f t="shared" si="73"/>
        <v>Junho</v>
      </c>
      <c r="I1018" s="11">
        <f>INDEX(tbCadastroConsultas[],MATCH(tbConsultas[[#This Row],[PROFISSIONAL]],tbCadastroConsultas[PROFISSIONAL],0),3)</f>
        <v>301010064</v>
      </c>
      <c r="J1018" s="11">
        <f>INDEX(tbCadastroConsultas[],MATCH(tbConsultas[[#This Row],[PROFISSIONAL]],tbCadastroConsultas[PROFISSIONAL],0),4)</f>
        <v>225250</v>
      </c>
    </row>
    <row r="1019" spans="1:10">
      <c r="A1019" s="11">
        <f t="shared" si="75"/>
        <v>1018</v>
      </c>
      <c r="B1019" s="4" t="s">
        <v>4</v>
      </c>
      <c r="C1019" s="5">
        <v>30041985</v>
      </c>
      <c r="D1019" s="5">
        <v>21052018</v>
      </c>
      <c r="E1019" s="4">
        <v>33</v>
      </c>
      <c r="F1019" s="15">
        <f t="shared" si="71"/>
        <v>43271</v>
      </c>
      <c r="G1019" s="12">
        <f t="shared" si="72"/>
        <v>2018</v>
      </c>
      <c r="H1019" s="12" t="str">
        <f t="shared" si="73"/>
        <v>Junho</v>
      </c>
      <c r="I1019" s="11">
        <f>INDEX(tbCadastroConsultas[],MATCH(tbConsultas[[#This Row],[PROFISSIONAL]],tbCadastroConsultas[PROFISSIONAL],0),3)</f>
        <v>301010064</v>
      </c>
      <c r="J1019" s="11">
        <f>INDEX(tbCadastroConsultas[],MATCH(tbConsultas[[#This Row],[PROFISSIONAL]],tbCadastroConsultas[PROFISSIONAL],0),4)</f>
        <v>225250</v>
      </c>
    </row>
    <row r="1020" spans="1:10">
      <c r="A1020" s="11">
        <f t="shared" si="75"/>
        <v>1019</v>
      </c>
      <c r="B1020" s="4" t="s">
        <v>4</v>
      </c>
      <c r="C1020" s="5">
        <v>22121987</v>
      </c>
      <c r="D1020" s="5">
        <v>21052018</v>
      </c>
      <c r="E1020" s="4">
        <v>30</v>
      </c>
      <c r="F1020" s="15">
        <f t="shared" si="71"/>
        <v>43271</v>
      </c>
      <c r="G1020" s="12">
        <f t="shared" si="72"/>
        <v>2018</v>
      </c>
      <c r="H1020" s="12" t="str">
        <f t="shared" si="73"/>
        <v>Junho</v>
      </c>
      <c r="I1020" s="11">
        <f>INDEX(tbCadastroConsultas[],MATCH(tbConsultas[[#This Row],[PROFISSIONAL]],tbCadastroConsultas[PROFISSIONAL],0),3)</f>
        <v>301010064</v>
      </c>
      <c r="J1020" s="11">
        <f>INDEX(tbCadastroConsultas[],MATCH(tbConsultas[[#This Row],[PROFISSIONAL]],tbCadastroConsultas[PROFISSIONAL],0),4)</f>
        <v>225250</v>
      </c>
    </row>
    <row r="1021" spans="1:10">
      <c r="A1021" s="11">
        <f t="shared" si="75"/>
        <v>1020</v>
      </c>
      <c r="B1021" s="4" t="s">
        <v>4</v>
      </c>
      <c r="C1021" s="5">
        <v>16092003</v>
      </c>
      <c r="D1021" s="5">
        <v>21052018</v>
      </c>
      <c r="E1021" s="4">
        <v>14</v>
      </c>
      <c r="F1021" s="15">
        <f t="shared" si="71"/>
        <v>43271</v>
      </c>
      <c r="G1021" s="12">
        <f t="shared" si="72"/>
        <v>2018</v>
      </c>
      <c r="H1021" s="12" t="str">
        <f t="shared" si="73"/>
        <v>Junho</v>
      </c>
      <c r="I1021" s="11">
        <f>INDEX(tbCadastroConsultas[],MATCH(tbConsultas[[#This Row],[PROFISSIONAL]],tbCadastroConsultas[PROFISSIONAL],0),3)</f>
        <v>301010064</v>
      </c>
      <c r="J1021" s="11">
        <f>INDEX(tbCadastroConsultas[],MATCH(tbConsultas[[#This Row],[PROFISSIONAL]],tbCadastroConsultas[PROFISSIONAL],0),4)</f>
        <v>225250</v>
      </c>
    </row>
    <row r="1022" spans="1:10">
      <c r="A1022" s="11">
        <f t="shared" si="75"/>
        <v>1021</v>
      </c>
      <c r="B1022" s="4" t="s">
        <v>4</v>
      </c>
      <c r="C1022" s="5">
        <v>29031964</v>
      </c>
      <c r="D1022" s="5">
        <v>21052018</v>
      </c>
      <c r="E1022" s="4">
        <v>54</v>
      </c>
      <c r="F1022" s="15">
        <f t="shared" si="71"/>
        <v>43271</v>
      </c>
      <c r="G1022" s="12">
        <f t="shared" si="72"/>
        <v>2018</v>
      </c>
      <c r="H1022" s="12" t="str">
        <f t="shared" si="73"/>
        <v>Junho</v>
      </c>
      <c r="I1022" s="11">
        <f>INDEX(tbCadastroConsultas[],MATCH(tbConsultas[[#This Row],[PROFISSIONAL]],tbCadastroConsultas[PROFISSIONAL],0),3)</f>
        <v>301010064</v>
      </c>
      <c r="J1022" s="11">
        <f>INDEX(tbCadastroConsultas[],MATCH(tbConsultas[[#This Row],[PROFISSIONAL]],tbCadastroConsultas[PROFISSIONAL],0),4)</f>
        <v>225250</v>
      </c>
    </row>
    <row r="1023" spans="1:10">
      <c r="A1023" s="11">
        <f t="shared" si="75"/>
        <v>1022</v>
      </c>
      <c r="B1023" s="4" t="s">
        <v>4</v>
      </c>
      <c r="C1023" s="5">
        <v>31012002</v>
      </c>
      <c r="D1023" s="5">
        <v>21052018</v>
      </c>
      <c r="E1023" s="4">
        <v>16</v>
      </c>
      <c r="F1023" s="15">
        <f t="shared" si="71"/>
        <v>43271</v>
      </c>
      <c r="G1023" s="12">
        <f t="shared" si="72"/>
        <v>2018</v>
      </c>
      <c r="H1023" s="12" t="str">
        <f t="shared" si="73"/>
        <v>Junho</v>
      </c>
      <c r="I1023" s="11">
        <f>INDEX(tbCadastroConsultas[],MATCH(tbConsultas[[#This Row],[PROFISSIONAL]],tbCadastroConsultas[PROFISSIONAL],0),3)</f>
        <v>301010064</v>
      </c>
      <c r="J1023" s="11">
        <f>INDEX(tbCadastroConsultas[],MATCH(tbConsultas[[#This Row],[PROFISSIONAL]],tbCadastroConsultas[PROFISSIONAL],0),4)</f>
        <v>225250</v>
      </c>
    </row>
    <row r="1024" spans="1:10">
      <c r="A1024" s="11">
        <f t="shared" si="75"/>
        <v>1023</v>
      </c>
      <c r="B1024" s="4" t="s">
        <v>4</v>
      </c>
      <c r="C1024" s="5">
        <v>14071976</v>
      </c>
      <c r="D1024" s="5">
        <v>21052018</v>
      </c>
      <c r="E1024" s="4">
        <v>41</v>
      </c>
      <c r="F1024" s="15">
        <f t="shared" si="71"/>
        <v>43271</v>
      </c>
      <c r="G1024" s="12">
        <f t="shared" si="72"/>
        <v>2018</v>
      </c>
      <c r="H1024" s="12" t="str">
        <f t="shared" si="73"/>
        <v>Junho</v>
      </c>
      <c r="I1024" s="11">
        <f>INDEX(tbCadastroConsultas[],MATCH(tbConsultas[[#This Row],[PROFISSIONAL]],tbCadastroConsultas[PROFISSIONAL],0),3)</f>
        <v>301010064</v>
      </c>
      <c r="J1024" s="11">
        <f>INDEX(tbCadastroConsultas[],MATCH(tbConsultas[[#This Row],[PROFISSIONAL]],tbCadastroConsultas[PROFISSIONAL],0),4)</f>
        <v>225250</v>
      </c>
    </row>
    <row r="1025" spans="1:10">
      <c r="A1025" s="11">
        <f t="shared" si="75"/>
        <v>1024</v>
      </c>
      <c r="B1025" s="4" t="s">
        <v>4</v>
      </c>
      <c r="C1025" s="5">
        <v>2121965</v>
      </c>
      <c r="D1025" s="5">
        <v>21052018</v>
      </c>
      <c r="E1025" s="4">
        <v>52</v>
      </c>
      <c r="F1025" s="15">
        <f t="shared" si="71"/>
        <v>43271</v>
      </c>
      <c r="G1025" s="12">
        <f t="shared" si="72"/>
        <v>2018</v>
      </c>
      <c r="H1025" s="12" t="str">
        <f t="shared" si="73"/>
        <v>Junho</v>
      </c>
      <c r="I1025" s="11">
        <f>INDEX(tbCadastroConsultas[],MATCH(tbConsultas[[#This Row],[PROFISSIONAL]],tbCadastroConsultas[PROFISSIONAL],0),3)</f>
        <v>301010064</v>
      </c>
      <c r="J1025" s="11">
        <f>INDEX(tbCadastroConsultas[],MATCH(tbConsultas[[#This Row],[PROFISSIONAL]],tbCadastroConsultas[PROFISSIONAL],0),4)</f>
        <v>225250</v>
      </c>
    </row>
    <row r="1026" spans="1:10">
      <c r="A1026" s="11">
        <f t="shared" si="75"/>
        <v>1025</v>
      </c>
      <c r="B1026" s="4" t="s">
        <v>4</v>
      </c>
      <c r="C1026" s="5">
        <v>19051986</v>
      </c>
      <c r="D1026" s="5">
        <v>21052018</v>
      </c>
      <c r="E1026" s="4">
        <v>32</v>
      </c>
      <c r="F1026" s="15">
        <f t="shared" ref="F1026:F1054" si="76">IF(D1026="","",DATE(YEAR(TEXT(D1026,"00\/00\/0000")),MONTH(TEXT(D1026,"00\/00\/0000"))+1,20))</f>
        <v>43271</v>
      </c>
      <c r="G1026" s="12">
        <f t="shared" ref="G1026:G1054" si="77">IF(F1026="","",YEAR(F1026))</f>
        <v>2018</v>
      </c>
      <c r="H1026" s="12" t="str">
        <f t="shared" ref="H1026:H1054" si="78">PROPER(TEXT(F1026,"mmmm"))</f>
        <v>Junho</v>
      </c>
      <c r="I1026" s="11">
        <f>INDEX(tbCadastroConsultas[],MATCH(tbConsultas[[#This Row],[PROFISSIONAL]],tbCadastroConsultas[PROFISSIONAL],0),3)</f>
        <v>301010064</v>
      </c>
      <c r="J1026" s="11">
        <f>INDEX(tbCadastroConsultas[],MATCH(tbConsultas[[#This Row],[PROFISSIONAL]],tbCadastroConsultas[PROFISSIONAL],0),4)</f>
        <v>225250</v>
      </c>
    </row>
    <row r="1027" spans="1:10">
      <c r="A1027" s="11">
        <f t="shared" si="75"/>
        <v>1026</v>
      </c>
      <c r="B1027" s="4" t="s">
        <v>4</v>
      </c>
      <c r="C1027" s="5">
        <v>29031994</v>
      </c>
      <c r="D1027" s="5">
        <v>21052018</v>
      </c>
      <c r="E1027" s="4">
        <v>24</v>
      </c>
      <c r="F1027" s="15">
        <f t="shared" si="76"/>
        <v>43271</v>
      </c>
      <c r="G1027" s="12">
        <f t="shared" si="77"/>
        <v>2018</v>
      </c>
      <c r="H1027" s="12" t="str">
        <f t="shared" si="78"/>
        <v>Junho</v>
      </c>
      <c r="I1027" s="11">
        <f>INDEX(tbCadastroConsultas[],MATCH(tbConsultas[[#This Row],[PROFISSIONAL]],tbCadastroConsultas[PROFISSIONAL],0),3)</f>
        <v>301010064</v>
      </c>
      <c r="J1027" s="11">
        <f>INDEX(tbCadastroConsultas[],MATCH(tbConsultas[[#This Row],[PROFISSIONAL]],tbCadastroConsultas[PROFISSIONAL],0),4)</f>
        <v>225250</v>
      </c>
    </row>
    <row r="1028" spans="1:10">
      <c r="A1028" s="11">
        <f t="shared" si="75"/>
        <v>1027</v>
      </c>
      <c r="B1028" s="4" t="s">
        <v>4</v>
      </c>
      <c r="C1028" s="5">
        <v>5011970</v>
      </c>
      <c r="D1028" s="5">
        <v>21052018</v>
      </c>
      <c r="E1028" s="4">
        <v>48</v>
      </c>
      <c r="F1028" s="15">
        <f t="shared" si="76"/>
        <v>43271</v>
      </c>
      <c r="G1028" s="12">
        <f t="shared" si="77"/>
        <v>2018</v>
      </c>
      <c r="H1028" s="12" t="str">
        <f t="shared" si="78"/>
        <v>Junho</v>
      </c>
      <c r="I1028" s="11">
        <f>INDEX(tbCadastroConsultas[],MATCH(tbConsultas[[#This Row],[PROFISSIONAL]],tbCadastroConsultas[PROFISSIONAL],0),3)</f>
        <v>301010064</v>
      </c>
      <c r="J1028" s="11">
        <f>INDEX(tbCadastroConsultas[],MATCH(tbConsultas[[#This Row],[PROFISSIONAL]],tbCadastroConsultas[PROFISSIONAL],0),4)</f>
        <v>225250</v>
      </c>
    </row>
    <row r="1029" spans="1:10">
      <c r="A1029" s="11">
        <f t="shared" si="75"/>
        <v>1028</v>
      </c>
      <c r="B1029" s="4" t="s">
        <v>4</v>
      </c>
      <c r="C1029" s="5">
        <v>20031979</v>
      </c>
      <c r="D1029" s="5">
        <v>21052018</v>
      </c>
      <c r="E1029" s="4">
        <v>39</v>
      </c>
      <c r="F1029" s="15">
        <f t="shared" si="76"/>
        <v>43271</v>
      </c>
      <c r="G1029" s="12">
        <f t="shared" si="77"/>
        <v>2018</v>
      </c>
      <c r="H1029" s="12" t="str">
        <f t="shared" si="78"/>
        <v>Junho</v>
      </c>
      <c r="I1029" s="11">
        <f>INDEX(tbCadastroConsultas[],MATCH(tbConsultas[[#This Row],[PROFISSIONAL]],tbCadastroConsultas[PROFISSIONAL],0),3)</f>
        <v>301010064</v>
      </c>
      <c r="J1029" s="11">
        <f>INDEX(tbCadastroConsultas[],MATCH(tbConsultas[[#This Row],[PROFISSIONAL]],tbCadastroConsultas[PROFISSIONAL],0),4)</f>
        <v>225250</v>
      </c>
    </row>
    <row r="1030" spans="1:10">
      <c r="A1030" s="11">
        <f t="shared" si="75"/>
        <v>1029</v>
      </c>
      <c r="B1030" s="4" t="s">
        <v>4</v>
      </c>
      <c r="C1030" s="5">
        <v>26041953</v>
      </c>
      <c r="D1030" s="5">
        <v>21052018</v>
      </c>
      <c r="E1030" s="4">
        <v>65</v>
      </c>
      <c r="F1030" s="15">
        <f t="shared" si="76"/>
        <v>43271</v>
      </c>
      <c r="G1030" s="12">
        <f t="shared" si="77"/>
        <v>2018</v>
      </c>
      <c r="H1030" s="12" t="str">
        <f t="shared" si="78"/>
        <v>Junho</v>
      </c>
      <c r="I1030" s="11">
        <f>INDEX(tbCadastroConsultas[],MATCH(tbConsultas[[#This Row],[PROFISSIONAL]],tbCadastroConsultas[PROFISSIONAL],0),3)</f>
        <v>301010064</v>
      </c>
      <c r="J1030" s="11">
        <f>INDEX(tbCadastroConsultas[],MATCH(tbConsultas[[#This Row],[PROFISSIONAL]],tbCadastroConsultas[PROFISSIONAL],0),4)</f>
        <v>225250</v>
      </c>
    </row>
    <row r="1031" spans="1:10">
      <c r="A1031" s="11">
        <f t="shared" si="75"/>
        <v>1030</v>
      </c>
      <c r="B1031" s="4" t="s">
        <v>15</v>
      </c>
      <c r="C1031" s="5">
        <v>8071972</v>
      </c>
      <c r="D1031" s="5">
        <v>21052018</v>
      </c>
      <c r="E1031" s="4">
        <v>45</v>
      </c>
      <c r="F1031" s="15">
        <f t="shared" si="76"/>
        <v>43271</v>
      </c>
      <c r="G1031" s="12">
        <f t="shared" si="77"/>
        <v>2018</v>
      </c>
      <c r="H1031" s="12" t="str">
        <f t="shared" si="78"/>
        <v>Junho</v>
      </c>
      <c r="I1031" s="11">
        <f>INDEX(tbCadastroConsultas[],MATCH(tbConsultas[[#This Row],[PROFISSIONAL]],tbCadastroConsultas[PROFISSIONAL],0),3)</f>
        <v>301010072</v>
      </c>
      <c r="J1031" s="11">
        <f>INDEX(tbCadastroConsultas[],MATCH(tbConsultas[[#This Row],[PROFISSIONAL]],tbCadastroConsultas[PROFISSIONAL],0),4)</f>
        <v>225133</v>
      </c>
    </row>
    <row r="1032" spans="1:10">
      <c r="A1032" s="11">
        <f t="shared" si="75"/>
        <v>1031</v>
      </c>
      <c r="B1032" s="4" t="s">
        <v>15</v>
      </c>
      <c r="C1032" s="5">
        <v>27051959</v>
      </c>
      <c r="D1032" s="5">
        <v>21052018</v>
      </c>
      <c r="E1032" s="4">
        <v>59</v>
      </c>
      <c r="F1032" s="15">
        <f t="shared" si="76"/>
        <v>43271</v>
      </c>
      <c r="G1032" s="12">
        <f t="shared" si="77"/>
        <v>2018</v>
      </c>
      <c r="H1032" s="12" t="str">
        <f t="shared" si="78"/>
        <v>Junho</v>
      </c>
      <c r="I1032" s="11">
        <f>INDEX(tbCadastroConsultas[],MATCH(tbConsultas[[#This Row],[PROFISSIONAL]],tbCadastroConsultas[PROFISSIONAL],0),3)</f>
        <v>301010072</v>
      </c>
      <c r="J1032" s="11">
        <f>INDEX(tbCadastroConsultas[],MATCH(tbConsultas[[#This Row],[PROFISSIONAL]],tbCadastroConsultas[PROFISSIONAL],0),4)</f>
        <v>225133</v>
      </c>
    </row>
    <row r="1033" spans="1:10">
      <c r="A1033" s="11">
        <f t="shared" si="75"/>
        <v>1032</v>
      </c>
      <c r="B1033" s="4" t="s">
        <v>15</v>
      </c>
      <c r="C1033" s="5">
        <v>28021968</v>
      </c>
      <c r="D1033" s="5">
        <v>21052018</v>
      </c>
      <c r="E1033" s="4">
        <v>50</v>
      </c>
      <c r="F1033" s="15">
        <f t="shared" si="76"/>
        <v>43271</v>
      </c>
      <c r="G1033" s="12">
        <f t="shared" si="77"/>
        <v>2018</v>
      </c>
      <c r="H1033" s="12" t="str">
        <f t="shared" si="78"/>
        <v>Junho</v>
      </c>
      <c r="I1033" s="11">
        <f>INDEX(tbCadastroConsultas[],MATCH(tbConsultas[[#This Row],[PROFISSIONAL]],tbCadastroConsultas[PROFISSIONAL],0),3)</f>
        <v>301010072</v>
      </c>
      <c r="J1033" s="11">
        <f>INDEX(tbCadastroConsultas[],MATCH(tbConsultas[[#This Row],[PROFISSIONAL]],tbCadastroConsultas[PROFISSIONAL],0),4)</f>
        <v>225133</v>
      </c>
    </row>
    <row r="1034" spans="1:10">
      <c r="A1034" s="11">
        <f t="shared" si="75"/>
        <v>1033</v>
      </c>
      <c r="B1034" s="4" t="s">
        <v>15</v>
      </c>
      <c r="C1034" s="5">
        <v>27031952</v>
      </c>
      <c r="D1034" s="5">
        <v>21052018</v>
      </c>
      <c r="E1034" s="4">
        <v>66</v>
      </c>
      <c r="F1034" s="15">
        <f t="shared" si="76"/>
        <v>43271</v>
      </c>
      <c r="G1034" s="12">
        <f t="shared" si="77"/>
        <v>2018</v>
      </c>
      <c r="H1034" s="12" t="str">
        <f t="shared" si="78"/>
        <v>Junho</v>
      </c>
      <c r="I1034" s="11">
        <f>INDEX(tbCadastroConsultas[],MATCH(tbConsultas[[#This Row],[PROFISSIONAL]],tbCadastroConsultas[PROFISSIONAL],0),3)</f>
        <v>301010072</v>
      </c>
      <c r="J1034" s="11">
        <f>INDEX(tbCadastroConsultas[],MATCH(tbConsultas[[#This Row],[PROFISSIONAL]],tbCadastroConsultas[PROFISSIONAL],0),4)</f>
        <v>225133</v>
      </c>
    </row>
    <row r="1035" spans="1:10">
      <c r="A1035" s="11">
        <f t="shared" si="75"/>
        <v>1034</v>
      </c>
      <c r="B1035" s="4" t="s">
        <v>15</v>
      </c>
      <c r="C1035" s="5">
        <v>7091948</v>
      </c>
      <c r="D1035" s="5">
        <v>21052018</v>
      </c>
      <c r="E1035" s="4">
        <v>69</v>
      </c>
      <c r="F1035" s="15">
        <f t="shared" si="76"/>
        <v>43271</v>
      </c>
      <c r="G1035" s="12">
        <f t="shared" si="77"/>
        <v>2018</v>
      </c>
      <c r="H1035" s="12" t="str">
        <f t="shared" si="78"/>
        <v>Junho</v>
      </c>
      <c r="I1035" s="11">
        <f>INDEX(tbCadastroConsultas[],MATCH(tbConsultas[[#This Row],[PROFISSIONAL]],tbCadastroConsultas[PROFISSIONAL],0),3)</f>
        <v>301010072</v>
      </c>
      <c r="J1035" s="11">
        <f>INDEX(tbCadastroConsultas[],MATCH(tbConsultas[[#This Row],[PROFISSIONAL]],tbCadastroConsultas[PROFISSIONAL],0),4)</f>
        <v>225133</v>
      </c>
    </row>
    <row r="1036" spans="1:10">
      <c r="A1036" s="11">
        <f t="shared" si="75"/>
        <v>1035</v>
      </c>
      <c r="B1036" s="4" t="s">
        <v>15</v>
      </c>
      <c r="C1036" s="5">
        <v>17121938</v>
      </c>
      <c r="D1036" s="5">
        <v>21052018</v>
      </c>
      <c r="E1036" s="4">
        <v>79</v>
      </c>
      <c r="F1036" s="15">
        <f t="shared" si="76"/>
        <v>43271</v>
      </c>
      <c r="G1036" s="12">
        <f t="shared" si="77"/>
        <v>2018</v>
      </c>
      <c r="H1036" s="12" t="str">
        <f t="shared" si="78"/>
        <v>Junho</v>
      </c>
      <c r="I1036" s="11">
        <f>INDEX(tbCadastroConsultas[],MATCH(tbConsultas[[#This Row],[PROFISSIONAL]],tbCadastroConsultas[PROFISSIONAL],0),3)</f>
        <v>301010072</v>
      </c>
      <c r="J1036" s="11">
        <f>INDEX(tbCadastroConsultas[],MATCH(tbConsultas[[#This Row],[PROFISSIONAL]],tbCadastroConsultas[PROFISSIONAL],0),4)</f>
        <v>225133</v>
      </c>
    </row>
    <row r="1037" spans="1:10">
      <c r="A1037" s="11">
        <f t="shared" si="75"/>
        <v>1036</v>
      </c>
      <c r="B1037" s="4" t="s">
        <v>15</v>
      </c>
      <c r="C1037" s="5">
        <v>10051948</v>
      </c>
      <c r="D1037" s="5">
        <v>21052018</v>
      </c>
      <c r="E1037" s="4">
        <v>70</v>
      </c>
      <c r="F1037" s="15">
        <f t="shared" si="76"/>
        <v>43271</v>
      </c>
      <c r="G1037" s="12">
        <f t="shared" si="77"/>
        <v>2018</v>
      </c>
      <c r="H1037" s="12" t="str">
        <f t="shared" si="78"/>
        <v>Junho</v>
      </c>
      <c r="I1037" s="11">
        <f>INDEX(tbCadastroConsultas[],MATCH(tbConsultas[[#This Row],[PROFISSIONAL]],tbCadastroConsultas[PROFISSIONAL],0),3)</f>
        <v>301010072</v>
      </c>
      <c r="J1037" s="11">
        <f>INDEX(tbCadastroConsultas[],MATCH(tbConsultas[[#This Row],[PROFISSIONAL]],tbCadastroConsultas[PROFISSIONAL],0),4)</f>
        <v>225133</v>
      </c>
    </row>
    <row r="1038" spans="1:10">
      <c r="A1038" s="11">
        <f t="shared" si="75"/>
        <v>1037</v>
      </c>
      <c r="B1038" s="4" t="s">
        <v>15</v>
      </c>
      <c r="C1038" s="5">
        <v>9121968</v>
      </c>
      <c r="D1038" s="5">
        <v>21052018</v>
      </c>
      <c r="E1038" s="4">
        <v>49</v>
      </c>
      <c r="F1038" s="15">
        <f t="shared" si="76"/>
        <v>43271</v>
      </c>
      <c r="G1038" s="12">
        <f t="shared" si="77"/>
        <v>2018</v>
      </c>
      <c r="H1038" s="12" t="str">
        <f t="shared" si="78"/>
        <v>Junho</v>
      </c>
      <c r="I1038" s="11">
        <f>INDEX(tbCadastroConsultas[],MATCH(tbConsultas[[#This Row],[PROFISSIONAL]],tbCadastroConsultas[PROFISSIONAL],0),3)</f>
        <v>301010072</v>
      </c>
      <c r="J1038" s="11">
        <f>INDEX(tbCadastroConsultas[],MATCH(tbConsultas[[#This Row],[PROFISSIONAL]],tbCadastroConsultas[PROFISSIONAL],0),4)</f>
        <v>225133</v>
      </c>
    </row>
    <row r="1039" spans="1:10">
      <c r="A1039" s="11">
        <f t="shared" si="75"/>
        <v>1038</v>
      </c>
      <c r="B1039" s="4" t="s">
        <v>15</v>
      </c>
      <c r="C1039" s="5">
        <v>30081959</v>
      </c>
      <c r="D1039" s="5">
        <v>21052018</v>
      </c>
      <c r="E1039" s="4">
        <v>58</v>
      </c>
      <c r="F1039" s="15">
        <f t="shared" si="76"/>
        <v>43271</v>
      </c>
      <c r="G1039" s="12">
        <f t="shared" si="77"/>
        <v>2018</v>
      </c>
      <c r="H1039" s="12" t="str">
        <f t="shared" si="78"/>
        <v>Junho</v>
      </c>
      <c r="I1039" s="11">
        <f>INDEX(tbCadastroConsultas[],MATCH(tbConsultas[[#This Row],[PROFISSIONAL]],tbCadastroConsultas[PROFISSIONAL],0),3)</f>
        <v>301010072</v>
      </c>
      <c r="J1039" s="11">
        <f>INDEX(tbCadastroConsultas[],MATCH(tbConsultas[[#This Row],[PROFISSIONAL]],tbCadastroConsultas[PROFISSIONAL],0),4)</f>
        <v>225133</v>
      </c>
    </row>
    <row r="1040" spans="1:10">
      <c r="A1040" s="11">
        <f t="shared" si="75"/>
        <v>1039</v>
      </c>
      <c r="B1040" s="4" t="s">
        <v>15</v>
      </c>
      <c r="C1040" s="5">
        <v>10021954</v>
      </c>
      <c r="D1040" s="5">
        <v>21052018</v>
      </c>
      <c r="E1040" s="4">
        <v>64</v>
      </c>
      <c r="F1040" s="15">
        <f t="shared" si="76"/>
        <v>43271</v>
      </c>
      <c r="G1040" s="12">
        <f t="shared" si="77"/>
        <v>2018</v>
      </c>
      <c r="H1040" s="12" t="str">
        <f t="shared" si="78"/>
        <v>Junho</v>
      </c>
      <c r="I1040" s="11">
        <f>INDEX(tbCadastroConsultas[],MATCH(tbConsultas[[#This Row],[PROFISSIONAL]],tbCadastroConsultas[PROFISSIONAL],0),3)</f>
        <v>301010072</v>
      </c>
      <c r="J1040" s="11">
        <f>INDEX(tbCadastroConsultas[],MATCH(tbConsultas[[#This Row],[PROFISSIONAL]],tbCadastroConsultas[PROFISSIONAL],0),4)</f>
        <v>225133</v>
      </c>
    </row>
    <row r="1041" spans="1:10">
      <c r="A1041" s="11">
        <f t="shared" si="75"/>
        <v>1040</v>
      </c>
      <c r="B1041" s="4" t="s">
        <v>15</v>
      </c>
      <c r="C1041" s="5">
        <v>6081932</v>
      </c>
      <c r="D1041" s="5">
        <v>21052018</v>
      </c>
      <c r="E1041" s="4">
        <v>85</v>
      </c>
      <c r="F1041" s="15">
        <f t="shared" si="76"/>
        <v>43271</v>
      </c>
      <c r="G1041" s="12">
        <f t="shared" si="77"/>
        <v>2018</v>
      </c>
      <c r="H1041" s="12" t="str">
        <f t="shared" si="78"/>
        <v>Junho</v>
      </c>
      <c r="I1041" s="11">
        <f>INDEX(tbCadastroConsultas[],MATCH(tbConsultas[[#This Row],[PROFISSIONAL]],tbCadastroConsultas[PROFISSIONAL],0),3)</f>
        <v>301010072</v>
      </c>
      <c r="J1041" s="11">
        <f>INDEX(tbCadastroConsultas[],MATCH(tbConsultas[[#This Row],[PROFISSIONAL]],tbCadastroConsultas[PROFISSIONAL],0),4)</f>
        <v>225133</v>
      </c>
    </row>
    <row r="1042" spans="1:10">
      <c r="A1042" s="11">
        <f t="shared" si="75"/>
        <v>1041</v>
      </c>
      <c r="B1042" s="4" t="s">
        <v>15</v>
      </c>
      <c r="C1042" s="5">
        <v>6091952</v>
      </c>
      <c r="D1042" s="5">
        <v>21052018</v>
      </c>
      <c r="E1042" s="4">
        <v>65</v>
      </c>
      <c r="F1042" s="15">
        <f t="shared" si="76"/>
        <v>43271</v>
      </c>
      <c r="G1042" s="12">
        <f t="shared" si="77"/>
        <v>2018</v>
      </c>
      <c r="H1042" s="12" t="str">
        <f t="shared" si="78"/>
        <v>Junho</v>
      </c>
      <c r="I1042" s="11">
        <f>INDEX(tbCadastroConsultas[],MATCH(tbConsultas[[#This Row],[PROFISSIONAL]],tbCadastroConsultas[PROFISSIONAL],0),3)</f>
        <v>301010072</v>
      </c>
      <c r="J1042" s="11">
        <f>INDEX(tbCadastroConsultas[],MATCH(tbConsultas[[#This Row],[PROFISSIONAL]],tbCadastroConsultas[PROFISSIONAL],0),4)</f>
        <v>225133</v>
      </c>
    </row>
    <row r="1043" spans="1:10">
      <c r="A1043" s="11">
        <f t="shared" si="75"/>
        <v>1042</v>
      </c>
      <c r="B1043" s="4" t="s">
        <v>15</v>
      </c>
      <c r="C1043" s="5">
        <v>16051944</v>
      </c>
      <c r="D1043" s="5">
        <v>21052018</v>
      </c>
      <c r="E1043" s="4">
        <v>74</v>
      </c>
      <c r="F1043" s="15">
        <f t="shared" si="76"/>
        <v>43271</v>
      </c>
      <c r="G1043" s="12">
        <f t="shared" si="77"/>
        <v>2018</v>
      </c>
      <c r="H1043" s="12" t="str">
        <f t="shared" si="78"/>
        <v>Junho</v>
      </c>
      <c r="I1043" s="11">
        <f>INDEX(tbCadastroConsultas[],MATCH(tbConsultas[[#This Row],[PROFISSIONAL]],tbCadastroConsultas[PROFISSIONAL],0),3)</f>
        <v>301010072</v>
      </c>
      <c r="J1043" s="11">
        <f>INDEX(tbCadastroConsultas[],MATCH(tbConsultas[[#This Row],[PROFISSIONAL]],tbCadastroConsultas[PROFISSIONAL],0),4)</f>
        <v>225133</v>
      </c>
    </row>
    <row r="1044" spans="1:10">
      <c r="A1044" s="11">
        <f t="shared" si="75"/>
        <v>1043</v>
      </c>
      <c r="B1044" s="4" t="s">
        <v>10</v>
      </c>
      <c r="C1044" s="5">
        <v>15051976</v>
      </c>
      <c r="D1044" s="5">
        <v>21052018</v>
      </c>
      <c r="E1044" s="4">
        <v>42</v>
      </c>
      <c r="F1044" s="15">
        <f t="shared" si="76"/>
        <v>43271</v>
      </c>
      <c r="G1044" s="12">
        <f t="shared" si="77"/>
        <v>2018</v>
      </c>
      <c r="H1044" s="12" t="str">
        <f t="shared" si="78"/>
        <v>Junho</v>
      </c>
      <c r="I1044" s="11">
        <f>INDEX(tbCadastroConsultas[],MATCH(tbConsultas[[#This Row],[PROFISSIONAL]],tbCadastroConsultas[PROFISSIONAL],0),3)</f>
        <v>301010064</v>
      </c>
      <c r="J1044" s="11">
        <f>INDEX(tbCadastroConsultas[],MATCH(tbConsultas[[#This Row],[PROFISSIONAL]],tbCadastroConsultas[PROFISSIONAL],0),4)</f>
        <v>225142</v>
      </c>
    </row>
    <row r="1045" spans="1:10">
      <c r="A1045" s="11">
        <f t="shared" si="75"/>
        <v>1044</v>
      </c>
      <c r="B1045" s="4" t="s">
        <v>10</v>
      </c>
      <c r="C1045" s="5">
        <v>17091953</v>
      </c>
      <c r="D1045" s="5">
        <v>21052018</v>
      </c>
      <c r="E1045" s="4">
        <v>64</v>
      </c>
      <c r="F1045" s="15">
        <f t="shared" si="76"/>
        <v>43271</v>
      </c>
      <c r="G1045" s="12">
        <f t="shared" si="77"/>
        <v>2018</v>
      </c>
      <c r="H1045" s="12" t="str">
        <f t="shared" si="78"/>
        <v>Junho</v>
      </c>
      <c r="I1045" s="11">
        <f>INDEX(tbCadastroConsultas[],MATCH(tbConsultas[[#This Row],[PROFISSIONAL]],tbCadastroConsultas[PROFISSIONAL],0),3)</f>
        <v>301010064</v>
      </c>
      <c r="J1045" s="11">
        <f>INDEX(tbCadastroConsultas[],MATCH(tbConsultas[[#This Row],[PROFISSIONAL]],tbCadastroConsultas[PROFISSIONAL],0),4)</f>
        <v>225142</v>
      </c>
    </row>
    <row r="1046" spans="1:10">
      <c r="A1046" s="11">
        <f t="shared" si="75"/>
        <v>1045</v>
      </c>
      <c r="B1046" s="4" t="s">
        <v>10</v>
      </c>
      <c r="C1046" s="5">
        <v>4111973</v>
      </c>
      <c r="D1046" s="5">
        <v>21052018</v>
      </c>
      <c r="E1046" s="4">
        <v>44</v>
      </c>
      <c r="F1046" s="15">
        <f t="shared" si="76"/>
        <v>43271</v>
      </c>
      <c r="G1046" s="12">
        <f t="shared" si="77"/>
        <v>2018</v>
      </c>
      <c r="H1046" s="12" t="str">
        <f t="shared" si="78"/>
        <v>Junho</v>
      </c>
      <c r="I1046" s="11">
        <f>INDEX(tbCadastroConsultas[],MATCH(tbConsultas[[#This Row],[PROFISSIONAL]],tbCadastroConsultas[PROFISSIONAL],0),3)</f>
        <v>301010064</v>
      </c>
      <c r="J1046" s="11">
        <f>INDEX(tbCadastroConsultas[],MATCH(tbConsultas[[#This Row],[PROFISSIONAL]],tbCadastroConsultas[PROFISSIONAL],0),4)</f>
        <v>225142</v>
      </c>
    </row>
    <row r="1047" spans="1:10">
      <c r="A1047" s="11">
        <f t="shared" si="75"/>
        <v>1046</v>
      </c>
      <c r="B1047" s="4" t="s">
        <v>10</v>
      </c>
      <c r="C1047" s="5">
        <v>29102005</v>
      </c>
      <c r="D1047" s="5">
        <v>21052018</v>
      </c>
      <c r="E1047" s="4">
        <v>12</v>
      </c>
      <c r="F1047" s="15">
        <f t="shared" si="76"/>
        <v>43271</v>
      </c>
      <c r="G1047" s="12">
        <f t="shared" si="77"/>
        <v>2018</v>
      </c>
      <c r="H1047" s="12" t="str">
        <f t="shared" si="78"/>
        <v>Junho</v>
      </c>
      <c r="I1047" s="11">
        <f>INDEX(tbCadastroConsultas[],MATCH(tbConsultas[[#This Row],[PROFISSIONAL]],tbCadastroConsultas[PROFISSIONAL],0),3)</f>
        <v>301010064</v>
      </c>
      <c r="J1047" s="11">
        <f>INDEX(tbCadastroConsultas[],MATCH(tbConsultas[[#This Row],[PROFISSIONAL]],tbCadastroConsultas[PROFISSIONAL],0),4)</f>
        <v>225142</v>
      </c>
    </row>
    <row r="1048" spans="1:10">
      <c r="A1048" s="11">
        <f t="shared" si="75"/>
        <v>1047</v>
      </c>
      <c r="B1048" s="4" t="s">
        <v>10</v>
      </c>
      <c r="C1048" s="5">
        <v>7121991</v>
      </c>
      <c r="D1048" s="5">
        <v>21052018</v>
      </c>
      <c r="E1048" s="4">
        <v>26</v>
      </c>
      <c r="F1048" s="15">
        <f t="shared" si="76"/>
        <v>43271</v>
      </c>
      <c r="G1048" s="12">
        <f t="shared" si="77"/>
        <v>2018</v>
      </c>
      <c r="H1048" s="12" t="str">
        <f t="shared" si="78"/>
        <v>Junho</v>
      </c>
      <c r="I1048" s="11">
        <f>INDEX(tbCadastroConsultas[],MATCH(tbConsultas[[#This Row],[PROFISSIONAL]],tbCadastroConsultas[PROFISSIONAL],0),3)</f>
        <v>301010064</v>
      </c>
      <c r="J1048" s="11">
        <f>INDEX(tbCadastroConsultas[],MATCH(tbConsultas[[#This Row],[PROFISSIONAL]],tbCadastroConsultas[PROFISSIONAL],0),4)</f>
        <v>225142</v>
      </c>
    </row>
    <row r="1049" spans="1:10">
      <c r="A1049" s="11">
        <f t="shared" si="75"/>
        <v>1048</v>
      </c>
      <c r="B1049" s="4" t="s">
        <v>10</v>
      </c>
      <c r="C1049" s="5">
        <v>9011969</v>
      </c>
      <c r="D1049" s="5">
        <v>21052018</v>
      </c>
      <c r="E1049" s="4">
        <v>49</v>
      </c>
      <c r="F1049" s="15">
        <f t="shared" si="76"/>
        <v>43271</v>
      </c>
      <c r="G1049" s="12">
        <f t="shared" si="77"/>
        <v>2018</v>
      </c>
      <c r="H1049" s="12" t="str">
        <f t="shared" si="78"/>
        <v>Junho</v>
      </c>
      <c r="I1049" s="11">
        <f>INDEX(tbCadastroConsultas[],MATCH(tbConsultas[[#This Row],[PROFISSIONAL]],tbCadastroConsultas[PROFISSIONAL],0),3)</f>
        <v>301010064</v>
      </c>
      <c r="J1049" s="11">
        <f>INDEX(tbCadastroConsultas[],MATCH(tbConsultas[[#This Row],[PROFISSIONAL]],tbCadastroConsultas[PROFISSIONAL],0),4)</f>
        <v>225142</v>
      </c>
    </row>
    <row r="1050" spans="1:10">
      <c r="A1050" s="11">
        <f t="shared" si="75"/>
        <v>1049</v>
      </c>
      <c r="B1050" s="4" t="s">
        <v>10</v>
      </c>
      <c r="C1050" s="5">
        <v>17051982</v>
      </c>
      <c r="D1050" s="5">
        <v>21052018</v>
      </c>
      <c r="E1050" s="4">
        <v>36</v>
      </c>
      <c r="F1050" s="15">
        <f t="shared" si="76"/>
        <v>43271</v>
      </c>
      <c r="G1050" s="12">
        <f t="shared" si="77"/>
        <v>2018</v>
      </c>
      <c r="H1050" s="12" t="str">
        <f t="shared" si="78"/>
        <v>Junho</v>
      </c>
      <c r="I1050" s="11">
        <f>INDEX(tbCadastroConsultas[],MATCH(tbConsultas[[#This Row],[PROFISSIONAL]],tbCadastroConsultas[PROFISSIONAL],0),3)</f>
        <v>301010064</v>
      </c>
      <c r="J1050" s="11">
        <f>INDEX(tbCadastroConsultas[],MATCH(tbConsultas[[#This Row],[PROFISSIONAL]],tbCadastroConsultas[PROFISSIONAL],0),4)</f>
        <v>225142</v>
      </c>
    </row>
    <row r="1051" spans="1:10">
      <c r="A1051" s="11">
        <f t="shared" si="75"/>
        <v>1050</v>
      </c>
      <c r="B1051" s="4" t="s">
        <v>10</v>
      </c>
      <c r="C1051" s="5">
        <v>10102000</v>
      </c>
      <c r="D1051" s="5">
        <v>21052018</v>
      </c>
      <c r="E1051" s="4">
        <v>17</v>
      </c>
      <c r="F1051" s="15">
        <f t="shared" si="76"/>
        <v>43271</v>
      </c>
      <c r="G1051" s="12">
        <f t="shared" si="77"/>
        <v>2018</v>
      </c>
      <c r="H1051" s="12" t="str">
        <f t="shared" si="78"/>
        <v>Junho</v>
      </c>
      <c r="I1051" s="11">
        <f>INDEX(tbCadastroConsultas[],MATCH(tbConsultas[[#This Row],[PROFISSIONAL]],tbCadastroConsultas[PROFISSIONAL],0),3)</f>
        <v>301010064</v>
      </c>
      <c r="J1051" s="11">
        <f>INDEX(tbCadastroConsultas[],MATCH(tbConsultas[[#This Row],[PROFISSIONAL]],tbCadastroConsultas[PROFISSIONAL],0),4)</f>
        <v>225142</v>
      </c>
    </row>
    <row r="1052" spans="1:10">
      <c r="A1052" s="11">
        <f t="shared" si="75"/>
        <v>1051</v>
      </c>
      <c r="B1052" s="4" t="s">
        <v>10</v>
      </c>
      <c r="C1052" s="5">
        <v>23012003</v>
      </c>
      <c r="D1052" s="5">
        <v>21052018</v>
      </c>
      <c r="E1052" s="4">
        <v>15</v>
      </c>
      <c r="F1052" s="15">
        <f t="shared" si="76"/>
        <v>43271</v>
      </c>
      <c r="G1052" s="12">
        <f t="shared" si="77"/>
        <v>2018</v>
      </c>
      <c r="H1052" s="12" t="str">
        <f t="shared" si="78"/>
        <v>Junho</v>
      </c>
      <c r="I1052" s="11">
        <f>INDEX(tbCadastroConsultas[],MATCH(tbConsultas[[#This Row],[PROFISSIONAL]],tbCadastroConsultas[PROFISSIONAL],0),3)</f>
        <v>301010064</v>
      </c>
      <c r="J1052" s="11">
        <f>INDEX(tbCadastroConsultas[],MATCH(tbConsultas[[#This Row],[PROFISSIONAL]],tbCadastroConsultas[PROFISSIONAL],0),4)</f>
        <v>225142</v>
      </c>
    </row>
    <row r="1053" spans="1:10">
      <c r="A1053" s="11">
        <f t="shared" si="75"/>
        <v>1052</v>
      </c>
      <c r="B1053" s="4" t="s">
        <v>10</v>
      </c>
      <c r="C1053" s="5">
        <v>31011979</v>
      </c>
      <c r="D1053" s="5">
        <v>21052018</v>
      </c>
      <c r="E1053" s="4">
        <v>39</v>
      </c>
      <c r="F1053" s="15">
        <f t="shared" si="76"/>
        <v>43271</v>
      </c>
      <c r="G1053" s="12">
        <f t="shared" si="77"/>
        <v>2018</v>
      </c>
      <c r="H1053" s="12" t="str">
        <f t="shared" si="78"/>
        <v>Junho</v>
      </c>
      <c r="I1053" s="11">
        <f>INDEX(tbCadastroConsultas[],MATCH(tbConsultas[[#This Row],[PROFISSIONAL]],tbCadastroConsultas[PROFISSIONAL],0),3)</f>
        <v>301010064</v>
      </c>
      <c r="J1053" s="11">
        <f>INDEX(tbCadastroConsultas[],MATCH(tbConsultas[[#This Row],[PROFISSIONAL]],tbCadastroConsultas[PROFISSIONAL],0),4)</f>
        <v>225142</v>
      </c>
    </row>
    <row r="1054" spans="1:10">
      <c r="A1054" s="11">
        <f t="shared" si="75"/>
        <v>1053</v>
      </c>
      <c r="B1054" s="4" t="s">
        <v>10</v>
      </c>
      <c r="C1054" s="5">
        <v>29091991</v>
      </c>
      <c r="D1054" s="5">
        <v>21052018</v>
      </c>
      <c r="E1054" s="4">
        <v>26</v>
      </c>
      <c r="F1054" s="15">
        <f t="shared" si="76"/>
        <v>43271</v>
      </c>
      <c r="G1054" s="12">
        <f t="shared" si="77"/>
        <v>2018</v>
      </c>
      <c r="H1054" s="12" t="str">
        <f t="shared" si="78"/>
        <v>Junho</v>
      </c>
      <c r="I1054" s="11">
        <f>INDEX(tbCadastroConsultas[],MATCH(tbConsultas[[#This Row],[PROFISSIONAL]],tbCadastroConsultas[PROFISSIONAL],0),3)</f>
        <v>301010064</v>
      </c>
      <c r="J1054" s="11">
        <f>INDEX(tbCadastroConsultas[],MATCH(tbConsultas[[#This Row],[PROFISSIONAL]],tbCadastroConsultas[PROFISSIONAL],0),4)</f>
        <v>225142</v>
      </c>
    </row>
    <row r="1055" spans="1:10">
      <c r="A1055" s="11">
        <f>ROW() -1</f>
        <v>1054</v>
      </c>
      <c r="B1055" s="4" t="s">
        <v>7</v>
      </c>
      <c r="C1055" s="5">
        <v>15012018</v>
      </c>
      <c r="D1055" s="5">
        <v>21052018</v>
      </c>
      <c r="E1055" s="4">
        <v>0</v>
      </c>
      <c r="F1055" s="15">
        <f>IF(D1055="","",DATE(YEAR(TEXT(D1055,"00\/00\/0000")),MONTH(TEXT(D1055,"00\/00\/0000"))+1,20))</f>
        <v>43271</v>
      </c>
      <c r="G1055" s="12">
        <f>IF(F1055="","",YEAR(F1055))</f>
        <v>2018</v>
      </c>
      <c r="H1055" s="12" t="str">
        <f>PROPER(TEXT(F1055,"mmmm"))</f>
        <v>Junho</v>
      </c>
      <c r="I1055" s="11">
        <f>INDEX(tbCadastroConsultas[],MATCH(tbConsultas[[#This Row],[PROFISSIONAL]],tbCadastroConsultas[PROFISSIONAL],0),3)</f>
        <v>301010064</v>
      </c>
      <c r="J1055" s="11">
        <f>INDEX(tbCadastroConsultas[],MATCH(tbConsultas[[#This Row],[PROFISSIONAL]],tbCadastroConsultas[PROFISSIONAL],0),4)</f>
        <v>225124</v>
      </c>
    </row>
    <row r="1056" spans="1:10">
      <c r="A1056" s="11">
        <f>ROW() -1</f>
        <v>1055</v>
      </c>
      <c r="B1056" s="4" t="s">
        <v>7</v>
      </c>
      <c r="C1056" s="5">
        <v>22022017</v>
      </c>
      <c r="D1056" s="5">
        <v>21052018</v>
      </c>
      <c r="E1056" s="4">
        <v>1</v>
      </c>
      <c r="F1056" s="15">
        <f>IF(D1056="","",DATE(YEAR(TEXT(D1056,"00\/00\/0000")),MONTH(TEXT(D1056,"00\/00\/0000"))+1,20))</f>
        <v>43271</v>
      </c>
      <c r="G1056" s="12">
        <f>IF(F1056="","",YEAR(F1056))</f>
        <v>2018</v>
      </c>
      <c r="H1056" s="12" t="str">
        <f>PROPER(TEXT(F1056,"mmmm"))</f>
        <v>Junho</v>
      </c>
      <c r="I1056" s="11">
        <f>INDEX(tbCadastroConsultas[],MATCH(tbConsultas[[#This Row],[PROFISSIONAL]],tbCadastroConsultas[PROFISSIONAL],0),3)</f>
        <v>301010064</v>
      </c>
      <c r="J1056" s="11">
        <f>INDEX(tbCadastroConsultas[],MATCH(tbConsultas[[#This Row],[PROFISSIONAL]],tbCadastroConsultas[PROFISSIONAL],0),4)</f>
        <v>225124</v>
      </c>
    </row>
    <row r="1057" spans="1:10">
      <c r="A1057" s="11">
        <f>ROW() -1</f>
        <v>1056</v>
      </c>
      <c r="B1057" s="4" t="s">
        <v>6</v>
      </c>
      <c r="C1057" s="5">
        <v>23042017</v>
      </c>
      <c r="D1057" s="5">
        <v>21052018</v>
      </c>
      <c r="E1057" s="4">
        <v>1</v>
      </c>
      <c r="F1057" s="15">
        <f>IF(D1057="","",DATE(YEAR(TEXT(D1057,"00\/00\/0000")),MONTH(TEXT(D1057,"00\/00\/0000"))+1,20))</f>
        <v>43271</v>
      </c>
      <c r="G1057" s="12">
        <f>IF(F1057="","",YEAR(F1057))</f>
        <v>2018</v>
      </c>
      <c r="H1057" s="12" t="str">
        <f>PROPER(TEXT(F1057,"mmmm"))</f>
        <v>Junho</v>
      </c>
      <c r="I1057" s="11">
        <f>INDEX(tbCadastroConsultas[],MATCH(tbConsultas[[#This Row],[PROFISSIONAL]],tbCadastroConsultas[PROFISSIONAL],0),3)</f>
        <v>301010064</v>
      </c>
      <c r="J1057" s="11">
        <f>INDEX(tbCadastroConsultas[],MATCH(tbConsultas[[#This Row],[PROFISSIONAL]],tbCadastroConsultas[PROFISSIONAL],0),4)</f>
        <v>225125</v>
      </c>
    </row>
  </sheetData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1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wsReportConsultas">
    <tabColor rgb="FF004846"/>
  </sheetPr>
  <dimension ref="A1:CR25"/>
  <sheetViews>
    <sheetView showGridLines="0" workbookViewId="0">
      <selection activeCell="B6" sqref="B6 B23 D6:CR6 D23:CR23"/>
      <pivotSelection pane="bottomRight" showHeader="1" extendable="1" axis="axisRow" dimension="1" max="1" activeRow="5" activeCol="1" previousRow="5" previousCol="1" click="1" r:id="rId1">
        <pivotArea dataOnly="0" outline="0" fieldPosition="0">
          <references count="1">
            <reference field="8" count="1">
              <x v="0"/>
            </reference>
          </references>
        </pivotArea>
      </pivotSelection>
    </sheetView>
  </sheetViews>
  <sheetFormatPr defaultRowHeight="15"/>
  <cols>
    <col min="1" max="1" width="33.85546875" bestFit="1" customWidth="1"/>
    <col min="2" max="2" width="12.85546875" bestFit="1" customWidth="1"/>
    <col min="3" max="3" width="9.28515625" bestFit="1" customWidth="1"/>
    <col min="4" max="95" width="11" bestFit="1" customWidth="1"/>
    <col min="96" max="97" width="6.5703125" bestFit="1" customWidth="1"/>
  </cols>
  <sheetData>
    <row r="1" spans="1:96">
      <c r="A1" s="24" t="s">
        <v>63</v>
      </c>
      <c r="B1" s="21" t="s">
        <v>89</v>
      </c>
    </row>
    <row r="2" spans="1:96">
      <c r="A2" s="24" t="s">
        <v>62</v>
      </c>
      <c r="B2" s="21" t="s">
        <v>89</v>
      </c>
    </row>
    <row r="4" spans="1:96">
      <c r="A4" s="24" t="s">
        <v>61</v>
      </c>
      <c r="B4" s="18"/>
      <c r="C4" s="18"/>
      <c r="D4" s="24" t="s">
        <v>18</v>
      </c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</row>
    <row r="5" spans="1:96">
      <c r="A5" s="24" t="s">
        <v>21</v>
      </c>
      <c r="B5" s="24" t="s">
        <v>60</v>
      </c>
      <c r="C5" s="24" t="s">
        <v>59</v>
      </c>
      <c r="D5" s="21">
        <v>-1</v>
      </c>
      <c r="E5" s="21">
        <v>0</v>
      </c>
      <c r="F5" s="21">
        <v>1</v>
      </c>
      <c r="G5" s="21">
        <v>2</v>
      </c>
      <c r="H5" s="21">
        <v>3</v>
      </c>
      <c r="I5" s="21">
        <v>4</v>
      </c>
      <c r="J5" s="21">
        <v>5</v>
      </c>
      <c r="K5" s="21">
        <v>6</v>
      </c>
      <c r="L5" s="21">
        <v>7</v>
      </c>
      <c r="M5" s="21">
        <v>8</v>
      </c>
      <c r="N5" s="21">
        <v>9</v>
      </c>
      <c r="O5" s="21">
        <v>10</v>
      </c>
      <c r="P5" s="21">
        <v>11</v>
      </c>
      <c r="Q5" s="21">
        <v>12</v>
      </c>
      <c r="R5" s="21">
        <v>13</v>
      </c>
      <c r="S5" s="21">
        <v>14</v>
      </c>
      <c r="T5" s="21">
        <v>15</v>
      </c>
      <c r="U5" s="21">
        <v>16</v>
      </c>
      <c r="V5" s="21">
        <v>17</v>
      </c>
      <c r="W5" s="21">
        <v>18</v>
      </c>
      <c r="X5" s="21">
        <v>19</v>
      </c>
      <c r="Y5" s="21">
        <v>20</v>
      </c>
      <c r="Z5" s="21">
        <v>21</v>
      </c>
      <c r="AA5" s="21">
        <v>22</v>
      </c>
      <c r="AB5" s="21">
        <v>23</v>
      </c>
      <c r="AC5" s="21">
        <v>24</v>
      </c>
      <c r="AD5" s="21">
        <v>25</v>
      </c>
      <c r="AE5" s="21">
        <v>26</v>
      </c>
      <c r="AF5" s="21">
        <v>27</v>
      </c>
      <c r="AG5" s="21">
        <v>28</v>
      </c>
      <c r="AH5" s="21">
        <v>29</v>
      </c>
      <c r="AI5" s="21">
        <v>30</v>
      </c>
      <c r="AJ5" s="21">
        <v>31</v>
      </c>
      <c r="AK5" s="21">
        <v>32</v>
      </c>
      <c r="AL5" s="21">
        <v>33</v>
      </c>
      <c r="AM5" s="21">
        <v>34</v>
      </c>
      <c r="AN5" s="21">
        <v>35</v>
      </c>
      <c r="AO5" s="21">
        <v>36</v>
      </c>
      <c r="AP5" s="21">
        <v>37</v>
      </c>
      <c r="AQ5" s="21">
        <v>38</v>
      </c>
      <c r="AR5" s="21">
        <v>39</v>
      </c>
      <c r="AS5" s="21">
        <v>40</v>
      </c>
      <c r="AT5" s="21">
        <v>41</v>
      </c>
      <c r="AU5" s="21">
        <v>42</v>
      </c>
      <c r="AV5" s="21">
        <v>43</v>
      </c>
      <c r="AW5" s="21">
        <v>44</v>
      </c>
      <c r="AX5" s="21">
        <v>45</v>
      </c>
      <c r="AY5" s="21">
        <v>46</v>
      </c>
      <c r="AZ5" s="21">
        <v>47</v>
      </c>
      <c r="BA5" s="21">
        <v>48</v>
      </c>
      <c r="BB5" s="21">
        <v>49</v>
      </c>
      <c r="BC5" s="21">
        <v>50</v>
      </c>
      <c r="BD5" s="21">
        <v>51</v>
      </c>
      <c r="BE5" s="21">
        <v>52</v>
      </c>
      <c r="BF5" s="21">
        <v>53</v>
      </c>
      <c r="BG5" s="21">
        <v>54</v>
      </c>
      <c r="BH5" s="21">
        <v>55</v>
      </c>
      <c r="BI5" s="21">
        <v>56</v>
      </c>
      <c r="BJ5" s="21">
        <v>57</v>
      </c>
      <c r="BK5" s="21">
        <v>58</v>
      </c>
      <c r="BL5" s="21">
        <v>59</v>
      </c>
      <c r="BM5" s="21">
        <v>60</v>
      </c>
      <c r="BN5" s="21">
        <v>61</v>
      </c>
      <c r="BO5" s="21">
        <v>62</v>
      </c>
      <c r="BP5" s="21">
        <v>63</v>
      </c>
      <c r="BQ5" s="21">
        <v>64</v>
      </c>
      <c r="BR5" s="21">
        <v>65</v>
      </c>
      <c r="BS5" s="21">
        <v>66</v>
      </c>
      <c r="BT5" s="21">
        <v>67</v>
      </c>
      <c r="BU5" s="21">
        <v>68</v>
      </c>
      <c r="BV5" s="21">
        <v>69</v>
      </c>
      <c r="BW5" s="21">
        <v>70</v>
      </c>
      <c r="BX5" s="21">
        <v>71</v>
      </c>
      <c r="BY5" s="21">
        <v>72</v>
      </c>
      <c r="BZ5" s="21">
        <v>73</v>
      </c>
      <c r="CA5" s="21">
        <v>74</v>
      </c>
      <c r="CB5" s="21">
        <v>75</v>
      </c>
      <c r="CC5" s="21">
        <v>76</v>
      </c>
      <c r="CD5" s="21">
        <v>77</v>
      </c>
      <c r="CE5" s="21">
        <v>78</v>
      </c>
      <c r="CF5" s="21">
        <v>79</v>
      </c>
      <c r="CG5" s="21">
        <v>80</v>
      </c>
      <c r="CH5" s="21">
        <v>81</v>
      </c>
      <c r="CI5" s="21">
        <v>82</v>
      </c>
      <c r="CJ5" s="21">
        <v>83</v>
      </c>
      <c r="CK5" s="21">
        <v>85</v>
      </c>
      <c r="CL5" s="21">
        <v>87</v>
      </c>
      <c r="CM5" s="21">
        <v>89</v>
      </c>
      <c r="CN5" s="21">
        <v>90</v>
      </c>
      <c r="CO5" s="21">
        <v>92</v>
      </c>
      <c r="CP5" s="21">
        <v>96</v>
      </c>
      <c r="CQ5" s="21">
        <v>97</v>
      </c>
      <c r="CR5" s="18" t="s">
        <v>58</v>
      </c>
    </row>
    <row r="6" spans="1:96">
      <c r="A6" s="21" t="s">
        <v>9</v>
      </c>
      <c r="B6" s="22">
        <v>301010129</v>
      </c>
      <c r="C6" s="21">
        <v>223505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  <c r="P6" s="23">
        <v>0</v>
      </c>
      <c r="Q6" s="23">
        <v>0</v>
      </c>
      <c r="R6" s="23">
        <v>0</v>
      </c>
      <c r="S6" s="23">
        <v>0</v>
      </c>
      <c r="T6" s="23">
        <v>0</v>
      </c>
      <c r="U6" s="23">
        <v>0</v>
      </c>
      <c r="V6" s="23">
        <v>0</v>
      </c>
      <c r="W6" s="23">
        <v>0</v>
      </c>
      <c r="X6" s="23">
        <v>0</v>
      </c>
      <c r="Y6" s="23">
        <v>0</v>
      </c>
      <c r="Z6" s="23">
        <v>0</v>
      </c>
      <c r="AA6" s="23">
        <v>0</v>
      </c>
      <c r="AB6" s="23">
        <v>0</v>
      </c>
      <c r="AC6" s="23">
        <v>0</v>
      </c>
      <c r="AD6" s="23">
        <v>0</v>
      </c>
      <c r="AE6" s="23">
        <v>0</v>
      </c>
      <c r="AF6" s="23">
        <v>0</v>
      </c>
      <c r="AG6" s="23">
        <v>0</v>
      </c>
      <c r="AH6" s="23">
        <v>0</v>
      </c>
      <c r="AI6" s="23">
        <v>0</v>
      </c>
      <c r="AJ6" s="23">
        <v>0</v>
      </c>
      <c r="AK6" s="23">
        <v>1</v>
      </c>
      <c r="AL6" s="23">
        <v>0</v>
      </c>
      <c r="AM6" s="23">
        <v>0</v>
      </c>
      <c r="AN6" s="23">
        <v>0</v>
      </c>
      <c r="AO6" s="23">
        <v>0</v>
      </c>
      <c r="AP6" s="23">
        <v>0</v>
      </c>
      <c r="AQ6" s="23">
        <v>0</v>
      </c>
      <c r="AR6" s="23">
        <v>0</v>
      </c>
      <c r="AS6" s="23">
        <v>0</v>
      </c>
      <c r="AT6" s="23">
        <v>0</v>
      </c>
      <c r="AU6" s="23">
        <v>0</v>
      </c>
      <c r="AV6" s="23">
        <v>0</v>
      </c>
      <c r="AW6" s="23">
        <v>0</v>
      </c>
      <c r="AX6" s="23">
        <v>0</v>
      </c>
      <c r="AY6" s="23">
        <v>0</v>
      </c>
      <c r="AZ6" s="23">
        <v>0</v>
      </c>
      <c r="BA6" s="23">
        <v>0</v>
      </c>
      <c r="BB6" s="23">
        <v>0</v>
      </c>
      <c r="BC6" s="23">
        <v>0</v>
      </c>
      <c r="BD6" s="23">
        <v>0</v>
      </c>
      <c r="BE6" s="23">
        <v>0</v>
      </c>
      <c r="BF6" s="23">
        <v>0</v>
      </c>
      <c r="BG6" s="23">
        <v>0</v>
      </c>
      <c r="BH6" s="23">
        <v>0</v>
      </c>
      <c r="BI6" s="23">
        <v>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3">
        <v>0</v>
      </c>
      <c r="BQ6" s="23">
        <v>0</v>
      </c>
      <c r="BR6" s="23">
        <v>0</v>
      </c>
      <c r="BS6" s="23">
        <v>0</v>
      </c>
      <c r="BT6" s="23">
        <v>0</v>
      </c>
      <c r="BU6" s="23">
        <v>0</v>
      </c>
      <c r="BV6" s="23">
        <v>0</v>
      </c>
      <c r="BW6" s="23">
        <v>0</v>
      </c>
      <c r="BX6" s="23">
        <v>0</v>
      </c>
      <c r="BY6" s="23">
        <v>0</v>
      </c>
      <c r="BZ6" s="23">
        <v>0</v>
      </c>
      <c r="CA6" s="23">
        <v>0</v>
      </c>
      <c r="CB6" s="23">
        <v>0</v>
      </c>
      <c r="CC6" s="23">
        <v>0</v>
      </c>
      <c r="CD6" s="23">
        <v>0</v>
      </c>
      <c r="CE6" s="23">
        <v>0</v>
      </c>
      <c r="CF6" s="23">
        <v>0</v>
      </c>
      <c r="CG6" s="23">
        <v>0</v>
      </c>
      <c r="CH6" s="23">
        <v>0</v>
      </c>
      <c r="CI6" s="23">
        <v>0</v>
      </c>
      <c r="CJ6" s="23">
        <v>0</v>
      </c>
      <c r="CK6" s="23">
        <v>0</v>
      </c>
      <c r="CL6" s="23">
        <v>0</v>
      </c>
      <c r="CM6" s="23">
        <v>0</v>
      </c>
      <c r="CN6" s="23">
        <v>0</v>
      </c>
      <c r="CO6" s="23">
        <v>0</v>
      </c>
      <c r="CP6" s="23">
        <v>0</v>
      </c>
      <c r="CQ6" s="23">
        <v>0</v>
      </c>
      <c r="CR6" s="23">
        <v>1</v>
      </c>
    </row>
    <row r="7" spans="1:96">
      <c r="A7" s="21" t="s">
        <v>2</v>
      </c>
      <c r="B7" s="22">
        <v>301010030</v>
      </c>
      <c r="C7" s="21">
        <v>223505</v>
      </c>
      <c r="D7" s="23">
        <v>0</v>
      </c>
      <c r="E7" s="23">
        <v>1</v>
      </c>
      <c r="F7" s="23">
        <v>1</v>
      </c>
      <c r="G7" s="23">
        <v>0</v>
      </c>
      <c r="H7" s="23">
        <v>0</v>
      </c>
      <c r="I7" s="23">
        <v>0</v>
      </c>
      <c r="J7" s="23">
        <v>1</v>
      </c>
      <c r="K7" s="23">
        <v>0</v>
      </c>
      <c r="L7" s="23">
        <v>0</v>
      </c>
      <c r="M7" s="23">
        <v>0</v>
      </c>
      <c r="N7" s="23">
        <v>0</v>
      </c>
      <c r="O7" s="23">
        <v>1</v>
      </c>
      <c r="P7" s="23">
        <v>0</v>
      </c>
      <c r="Q7" s="23">
        <v>0</v>
      </c>
      <c r="R7" s="23">
        <v>0</v>
      </c>
      <c r="S7" s="23">
        <v>1</v>
      </c>
      <c r="T7" s="23">
        <v>0</v>
      </c>
      <c r="U7" s="23">
        <v>1</v>
      </c>
      <c r="V7" s="23">
        <v>1</v>
      </c>
      <c r="W7" s="23">
        <v>2</v>
      </c>
      <c r="X7" s="23">
        <v>0</v>
      </c>
      <c r="Y7" s="23">
        <v>2</v>
      </c>
      <c r="Z7" s="23">
        <v>2</v>
      </c>
      <c r="AA7" s="23">
        <v>1</v>
      </c>
      <c r="AB7" s="23">
        <v>3</v>
      </c>
      <c r="AC7" s="23">
        <v>0</v>
      </c>
      <c r="AD7" s="23">
        <v>1</v>
      </c>
      <c r="AE7" s="23">
        <v>0</v>
      </c>
      <c r="AF7" s="23">
        <v>1</v>
      </c>
      <c r="AG7" s="23">
        <v>1</v>
      </c>
      <c r="AH7" s="23">
        <v>3</v>
      </c>
      <c r="AI7" s="23">
        <v>0</v>
      </c>
      <c r="AJ7" s="23">
        <v>0</v>
      </c>
      <c r="AK7" s="23">
        <v>0</v>
      </c>
      <c r="AL7" s="23">
        <v>0</v>
      </c>
      <c r="AM7" s="23">
        <v>1</v>
      </c>
      <c r="AN7" s="23">
        <v>1</v>
      </c>
      <c r="AO7" s="23">
        <v>0</v>
      </c>
      <c r="AP7" s="23">
        <v>0</v>
      </c>
      <c r="AQ7" s="23">
        <v>1</v>
      </c>
      <c r="AR7" s="23">
        <v>2</v>
      </c>
      <c r="AS7" s="23">
        <v>2</v>
      </c>
      <c r="AT7" s="23">
        <v>2</v>
      </c>
      <c r="AU7" s="23">
        <v>1</v>
      </c>
      <c r="AV7" s="23">
        <v>1</v>
      </c>
      <c r="AW7" s="23">
        <v>1</v>
      </c>
      <c r="AX7" s="23">
        <v>1</v>
      </c>
      <c r="AY7" s="23">
        <v>0</v>
      </c>
      <c r="AZ7" s="23">
        <v>3</v>
      </c>
      <c r="BA7" s="23">
        <v>2</v>
      </c>
      <c r="BB7" s="23">
        <v>2</v>
      </c>
      <c r="BC7" s="23">
        <v>2</v>
      </c>
      <c r="BD7" s="23">
        <v>4</v>
      </c>
      <c r="BE7" s="23">
        <v>2</v>
      </c>
      <c r="BF7" s="23">
        <v>2</v>
      </c>
      <c r="BG7" s="23">
        <v>2</v>
      </c>
      <c r="BH7" s="23">
        <v>0</v>
      </c>
      <c r="BI7" s="23">
        <v>3</v>
      </c>
      <c r="BJ7" s="23">
        <v>0</v>
      </c>
      <c r="BK7" s="23">
        <v>1</v>
      </c>
      <c r="BL7" s="23">
        <v>0</v>
      </c>
      <c r="BM7" s="23">
        <v>3</v>
      </c>
      <c r="BN7" s="23">
        <v>2</v>
      </c>
      <c r="BO7" s="23">
        <v>2</v>
      </c>
      <c r="BP7" s="23">
        <v>0</v>
      </c>
      <c r="BQ7" s="23">
        <v>6</v>
      </c>
      <c r="BR7" s="23">
        <v>2</v>
      </c>
      <c r="BS7" s="23">
        <v>0</v>
      </c>
      <c r="BT7" s="23">
        <v>2</v>
      </c>
      <c r="BU7" s="23">
        <v>1</v>
      </c>
      <c r="BV7" s="23">
        <v>3</v>
      </c>
      <c r="BW7" s="23">
        <v>0</v>
      </c>
      <c r="BX7" s="23">
        <v>0</v>
      </c>
      <c r="BY7" s="23">
        <v>3</v>
      </c>
      <c r="BZ7" s="23">
        <v>0</v>
      </c>
      <c r="CA7" s="23">
        <v>0</v>
      </c>
      <c r="CB7" s="23">
        <v>0</v>
      </c>
      <c r="CC7" s="23">
        <v>1</v>
      </c>
      <c r="CD7" s="23">
        <v>0</v>
      </c>
      <c r="CE7" s="23">
        <v>0</v>
      </c>
      <c r="CF7" s="23">
        <v>0</v>
      </c>
      <c r="CG7" s="23">
        <v>0</v>
      </c>
      <c r="CH7" s="23">
        <v>0</v>
      </c>
      <c r="CI7" s="23">
        <v>0</v>
      </c>
      <c r="CJ7" s="23">
        <v>0</v>
      </c>
      <c r="CK7" s="23">
        <v>1</v>
      </c>
      <c r="CL7" s="23">
        <v>0</v>
      </c>
      <c r="CM7" s="23">
        <v>1</v>
      </c>
      <c r="CN7" s="23">
        <v>0</v>
      </c>
      <c r="CO7" s="23">
        <v>0</v>
      </c>
      <c r="CP7" s="23">
        <v>1</v>
      </c>
      <c r="CQ7" s="23">
        <v>0</v>
      </c>
      <c r="CR7" s="23">
        <v>87</v>
      </c>
    </row>
    <row r="8" spans="1:96">
      <c r="A8" s="21" t="s">
        <v>10</v>
      </c>
      <c r="B8" s="22">
        <v>301010064</v>
      </c>
      <c r="C8" s="21">
        <v>225142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3">
        <v>1</v>
      </c>
      <c r="R8" s="23">
        <v>0</v>
      </c>
      <c r="S8" s="23">
        <v>0</v>
      </c>
      <c r="T8" s="23">
        <v>1</v>
      </c>
      <c r="U8" s="23">
        <v>2</v>
      </c>
      <c r="V8" s="23">
        <v>3</v>
      </c>
      <c r="W8" s="23">
        <v>3</v>
      </c>
      <c r="X8" s="23">
        <v>2</v>
      </c>
      <c r="Y8" s="23">
        <v>1</v>
      </c>
      <c r="Z8" s="23">
        <v>0</v>
      </c>
      <c r="AA8" s="23">
        <v>1</v>
      </c>
      <c r="AB8" s="23">
        <v>0</v>
      </c>
      <c r="AC8" s="23">
        <v>0</v>
      </c>
      <c r="AD8" s="23">
        <v>1</v>
      </c>
      <c r="AE8" s="23">
        <v>3</v>
      </c>
      <c r="AF8" s="23">
        <v>1</v>
      </c>
      <c r="AG8" s="23">
        <v>1</v>
      </c>
      <c r="AH8" s="23">
        <v>3</v>
      </c>
      <c r="AI8" s="23">
        <v>2</v>
      </c>
      <c r="AJ8" s="23">
        <v>3</v>
      </c>
      <c r="AK8" s="23">
        <v>0</v>
      </c>
      <c r="AL8" s="23">
        <v>1</v>
      </c>
      <c r="AM8" s="23">
        <v>1</v>
      </c>
      <c r="AN8" s="23">
        <v>1</v>
      </c>
      <c r="AO8" s="23">
        <v>1</v>
      </c>
      <c r="AP8" s="23">
        <v>0</v>
      </c>
      <c r="AQ8" s="23">
        <v>2</v>
      </c>
      <c r="AR8" s="23">
        <v>3</v>
      </c>
      <c r="AS8" s="23">
        <v>2</v>
      </c>
      <c r="AT8" s="23">
        <v>2</v>
      </c>
      <c r="AU8" s="23">
        <v>2</v>
      </c>
      <c r="AV8" s="23">
        <v>0</v>
      </c>
      <c r="AW8" s="23">
        <v>2</v>
      </c>
      <c r="AX8" s="23">
        <v>1</v>
      </c>
      <c r="AY8" s="23">
        <v>3</v>
      </c>
      <c r="AZ8" s="23">
        <v>1</v>
      </c>
      <c r="BA8" s="23">
        <v>1</v>
      </c>
      <c r="BB8" s="23">
        <v>2</v>
      </c>
      <c r="BC8" s="23">
        <v>3</v>
      </c>
      <c r="BD8" s="23">
        <v>1</v>
      </c>
      <c r="BE8" s="23">
        <v>1</v>
      </c>
      <c r="BF8" s="23">
        <v>3</v>
      </c>
      <c r="BG8" s="23">
        <v>1</v>
      </c>
      <c r="BH8" s="23">
        <v>0</v>
      </c>
      <c r="BI8" s="23">
        <v>2</v>
      </c>
      <c r="BJ8" s="23">
        <v>1</v>
      </c>
      <c r="BK8" s="23">
        <v>2</v>
      </c>
      <c r="BL8" s="23">
        <v>0</v>
      </c>
      <c r="BM8" s="23">
        <v>0</v>
      </c>
      <c r="BN8" s="23">
        <v>1</v>
      </c>
      <c r="BO8" s="23">
        <v>1</v>
      </c>
      <c r="BP8" s="23">
        <v>2</v>
      </c>
      <c r="BQ8" s="23">
        <v>2</v>
      </c>
      <c r="BR8" s="23">
        <v>1</v>
      </c>
      <c r="BS8" s="23">
        <v>0</v>
      </c>
      <c r="BT8" s="23">
        <v>1</v>
      </c>
      <c r="BU8" s="23">
        <v>1</v>
      </c>
      <c r="BV8" s="23">
        <v>0</v>
      </c>
      <c r="BW8" s="23">
        <v>1</v>
      </c>
      <c r="BX8" s="23">
        <v>1</v>
      </c>
      <c r="BY8" s="23">
        <v>0</v>
      </c>
      <c r="BZ8" s="23">
        <v>2</v>
      </c>
      <c r="CA8" s="23">
        <v>0</v>
      </c>
      <c r="CB8" s="23">
        <v>1</v>
      </c>
      <c r="CC8" s="23">
        <v>0</v>
      </c>
      <c r="CD8" s="23">
        <v>1</v>
      </c>
      <c r="CE8" s="23">
        <v>2</v>
      </c>
      <c r="CF8" s="23">
        <v>1</v>
      </c>
      <c r="CG8" s="23">
        <v>0</v>
      </c>
      <c r="CH8" s="23">
        <v>1</v>
      </c>
      <c r="CI8" s="23">
        <v>0</v>
      </c>
      <c r="CJ8" s="23">
        <v>0</v>
      </c>
      <c r="CK8" s="23">
        <v>0</v>
      </c>
      <c r="CL8" s="23">
        <v>1</v>
      </c>
      <c r="CM8" s="23">
        <v>0</v>
      </c>
      <c r="CN8" s="23">
        <v>0</v>
      </c>
      <c r="CO8" s="23">
        <v>1</v>
      </c>
      <c r="CP8" s="23">
        <v>0</v>
      </c>
      <c r="CQ8" s="23">
        <v>0</v>
      </c>
      <c r="CR8" s="23">
        <v>88</v>
      </c>
    </row>
    <row r="9" spans="1:96">
      <c r="A9" s="21" t="s">
        <v>6</v>
      </c>
      <c r="B9" s="22">
        <v>301010064</v>
      </c>
      <c r="C9" s="21">
        <v>225125</v>
      </c>
      <c r="D9" s="23">
        <v>0</v>
      </c>
      <c r="E9" s="23">
        <v>0</v>
      </c>
      <c r="F9" s="23">
        <v>1</v>
      </c>
      <c r="G9" s="23">
        <v>0</v>
      </c>
      <c r="H9" s="23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3">
        <v>1</v>
      </c>
      <c r="P9" s="23">
        <v>2</v>
      </c>
      <c r="Q9" s="23">
        <v>4</v>
      </c>
      <c r="R9" s="23">
        <v>2</v>
      </c>
      <c r="S9" s="23">
        <v>5</v>
      </c>
      <c r="T9" s="23">
        <v>1</v>
      </c>
      <c r="U9" s="23">
        <v>1</v>
      </c>
      <c r="V9" s="23">
        <v>0</v>
      </c>
      <c r="W9" s="23">
        <v>1</v>
      </c>
      <c r="X9" s="23">
        <v>0</v>
      </c>
      <c r="Y9" s="23">
        <v>5</v>
      </c>
      <c r="Z9" s="23">
        <v>3</v>
      </c>
      <c r="AA9" s="23">
        <v>3</v>
      </c>
      <c r="AB9" s="23">
        <v>3</v>
      </c>
      <c r="AC9" s="23">
        <v>2</v>
      </c>
      <c r="AD9" s="23">
        <v>1</v>
      </c>
      <c r="AE9" s="23">
        <v>3</v>
      </c>
      <c r="AF9" s="23">
        <v>2</v>
      </c>
      <c r="AG9" s="23">
        <v>0</v>
      </c>
      <c r="AH9" s="23">
        <v>0</v>
      </c>
      <c r="AI9" s="23">
        <v>2</v>
      </c>
      <c r="AJ9" s="23">
        <v>1</v>
      </c>
      <c r="AK9" s="23">
        <v>3</v>
      </c>
      <c r="AL9" s="23">
        <v>5</v>
      </c>
      <c r="AM9" s="23">
        <v>1</v>
      </c>
      <c r="AN9" s="23">
        <v>0</v>
      </c>
      <c r="AO9" s="23">
        <v>3</v>
      </c>
      <c r="AP9" s="23">
        <v>0</v>
      </c>
      <c r="AQ9" s="23">
        <v>7</v>
      </c>
      <c r="AR9" s="23">
        <v>3</v>
      </c>
      <c r="AS9" s="23">
        <v>4</v>
      </c>
      <c r="AT9" s="23">
        <v>3</v>
      </c>
      <c r="AU9" s="23">
        <v>4</v>
      </c>
      <c r="AV9" s="23">
        <v>2</v>
      </c>
      <c r="AW9" s="23">
        <v>0</v>
      </c>
      <c r="AX9" s="23">
        <v>5</v>
      </c>
      <c r="AY9" s="23">
        <v>2</v>
      </c>
      <c r="AZ9" s="23">
        <v>3</v>
      </c>
      <c r="BA9" s="23">
        <v>10</v>
      </c>
      <c r="BB9" s="23">
        <v>4</v>
      </c>
      <c r="BC9" s="23">
        <v>5</v>
      </c>
      <c r="BD9" s="23">
        <v>7</v>
      </c>
      <c r="BE9" s="23">
        <v>7</v>
      </c>
      <c r="BF9" s="23">
        <v>3</v>
      </c>
      <c r="BG9" s="23">
        <v>7</v>
      </c>
      <c r="BH9" s="23">
        <v>6</v>
      </c>
      <c r="BI9" s="23">
        <v>1</v>
      </c>
      <c r="BJ9" s="23">
        <v>2</v>
      </c>
      <c r="BK9" s="23">
        <v>2</v>
      </c>
      <c r="BL9" s="23">
        <v>2</v>
      </c>
      <c r="BM9" s="23">
        <v>7</v>
      </c>
      <c r="BN9" s="23">
        <v>2</v>
      </c>
      <c r="BO9" s="23">
        <v>2</v>
      </c>
      <c r="BP9" s="23">
        <v>7</v>
      </c>
      <c r="BQ9" s="23">
        <v>8</v>
      </c>
      <c r="BR9" s="23">
        <v>6</v>
      </c>
      <c r="BS9" s="23">
        <v>5</v>
      </c>
      <c r="BT9" s="23">
        <v>2</v>
      </c>
      <c r="BU9" s="23">
        <v>12</v>
      </c>
      <c r="BV9" s="23">
        <v>3</v>
      </c>
      <c r="BW9" s="23">
        <v>5</v>
      </c>
      <c r="BX9" s="23">
        <v>6</v>
      </c>
      <c r="BY9" s="23">
        <v>5</v>
      </c>
      <c r="BZ9" s="23">
        <v>6</v>
      </c>
      <c r="CA9" s="23">
        <v>0</v>
      </c>
      <c r="CB9" s="23">
        <v>6</v>
      </c>
      <c r="CC9" s="23">
        <v>5</v>
      </c>
      <c r="CD9" s="23">
        <v>3</v>
      </c>
      <c r="CE9" s="23">
        <v>2</v>
      </c>
      <c r="CF9" s="23">
        <v>1</v>
      </c>
      <c r="CG9" s="23">
        <v>1</v>
      </c>
      <c r="CH9" s="23">
        <v>2</v>
      </c>
      <c r="CI9" s="23">
        <v>1</v>
      </c>
      <c r="CJ9" s="23">
        <v>2</v>
      </c>
      <c r="CK9" s="23">
        <v>1</v>
      </c>
      <c r="CL9" s="23">
        <v>1</v>
      </c>
      <c r="CM9" s="23">
        <v>0</v>
      </c>
      <c r="CN9" s="23">
        <v>0</v>
      </c>
      <c r="CO9" s="23">
        <v>0</v>
      </c>
      <c r="CP9" s="23">
        <v>0</v>
      </c>
      <c r="CQ9" s="23">
        <v>0</v>
      </c>
      <c r="CR9" s="23">
        <v>245</v>
      </c>
    </row>
    <row r="10" spans="1:96">
      <c r="A10" s="21" t="s">
        <v>15</v>
      </c>
      <c r="B10" s="22">
        <v>301010072</v>
      </c>
      <c r="C10" s="21">
        <v>225133</v>
      </c>
      <c r="D10" s="23">
        <v>0</v>
      </c>
      <c r="E10" s="23">
        <v>0</v>
      </c>
      <c r="F10" s="23">
        <v>0</v>
      </c>
      <c r="G10" s="23">
        <v>0</v>
      </c>
      <c r="H10" s="23">
        <v>0</v>
      </c>
      <c r="I10" s="23">
        <v>0</v>
      </c>
      <c r="J10" s="23">
        <v>0</v>
      </c>
      <c r="K10" s="23">
        <v>0</v>
      </c>
      <c r="L10" s="23">
        <v>0</v>
      </c>
      <c r="M10" s="23">
        <v>0</v>
      </c>
      <c r="N10" s="23">
        <v>0</v>
      </c>
      <c r="O10" s="23">
        <v>0</v>
      </c>
      <c r="P10" s="23">
        <v>0</v>
      </c>
      <c r="Q10" s="23">
        <v>0</v>
      </c>
      <c r="R10" s="23">
        <v>0</v>
      </c>
      <c r="S10" s="23">
        <v>1</v>
      </c>
      <c r="T10" s="23">
        <v>0</v>
      </c>
      <c r="U10" s="23">
        <v>0</v>
      </c>
      <c r="V10" s="23">
        <v>0</v>
      </c>
      <c r="W10" s="23">
        <v>1</v>
      </c>
      <c r="X10" s="23">
        <v>0</v>
      </c>
      <c r="Y10" s="23">
        <v>0</v>
      </c>
      <c r="Z10" s="23">
        <v>2</v>
      </c>
      <c r="AA10" s="23">
        <v>0</v>
      </c>
      <c r="AB10" s="23">
        <v>0</v>
      </c>
      <c r="AC10" s="23">
        <v>0</v>
      </c>
      <c r="AD10" s="23">
        <v>1</v>
      </c>
      <c r="AE10" s="23">
        <v>1</v>
      </c>
      <c r="AF10" s="23">
        <v>0</v>
      </c>
      <c r="AG10" s="23">
        <v>3</v>
      </c>
      <c r="AH10" s="23">
        <v>1</v>
      </c>
      <c r="AI10" s="23">
        <v>1</v>
      </c>
      <c r="AJ10" s="23">
        <v>1</v>
      </c>
      <c r="AK10" s="23">
        <v>1</v>
      </c>
      <c r="AL10" s="23">
        <v>2</v>
      </c>
      <c r="AM10" s="23">
        <v>2</v>
      </c>
      <c r="AN10" s="23">
        <v>1</v>
      </c>
      <c r="AO10" s="23">
        <v>0</v>
      </c>
      <c r="AP10" s="23">
        <v>1</v>
      </c>
      <c r="AQ10" s="23">
        <v>1</v>
      </c>
      <c r="AR10" s="23">
        <v>1</v>
      </c>
      <c r="AS10" s="23">
        <v>0</v>
      </c>
      <c r="AT10" s="23">
        <v>2</v>
      </c>
      <c r="AU10" s="23">
        <v>1</v>
      </c>
      <c r="AV10" s="23">
        <v>1</v>
      </c>
      <c r="AW10" s="23">
        <v>1</v>
      </c>
      <c r="AX10" s="23">
        <v>2</v>
      </c>
      <c r="AY10" s="23">
        <v>1</v>
      </c>
      <c r="AZ10" s="23">
        <v>1</v>
      </c>
      <c r="BA10" s="23">
        <v>2</v>
      </c>
      <c r="BB10" s="23">
        <v>2</v>
      </c>
      <c r="BC10" s="23">
        <v>2</v>
      </c>
      <c r="BD10" s="23">
        <v>2</v>
      </c>
      <c r="BE10" s="23">
        <v>2</v>
      </c>
      <c r="BF10" s="23">
        <v>2</v>
      </c>
      <c r="BG10" s="23">
        <v>5</v>
      </c>
      <c r="BH10" s="23">
        <v>0</v>
      </c>
      <c r="BI10" s="23">
        <v>2</v>
      </c>
      <c r="BJ10" s="23">
        <v>1</v>
      </c>
      <c r="BK10" s="23">
        <v>3</v>
      </c>
      <c r="BL10" s="23">
        <v>3</v>
      </c>
      <c r="BM10" s="23">
        <v>0</v>
      </c>
      <c r="BN10" s="23">
        <v>3</v>
      </c>
      <c r="BO10" s="23">
        <v>1</v>
      </c>
      <c r="BP10" s="23">
        <v>2</v>
      </c>
      <c r="BQ10" s="23">
        <v>4</v>
      </c>
      <c r="BR10" s="23">
        <v>4</v>
      </c>
      <c r="BS10" s="23">
        <v>4</v>
      </c>
      <c r="BT10" s="23">
        <v>2</v>
      </c>
      <c r="BU10" s="23">
        <v>2</v>
      </c>
      <c r="BV10" s="23">
        <v>2</v>
      </c>
      <c r="BW10" s="23">
        <v>2</v>
      </c>
      <c r="BX10" s="23">
        <v>4</v>
      </c>
      <c r="BY10" s="23">
        <v>1</v>
      </c>
      <c r="BZ10" s="23">
        <v>1</v>
      </c>
      <c r="CA10" s="23">
        <v>1</v>
      </c>
      <c r="CB10" s="23">
        <v>0</v>
      </c>
      <c r="CC10" s="23">
        <v>0</v>
      </c>
      <c r="CD10" s="23">
        <v>2</v>
      </c>
      <c r="CE10" s="23">
        <v>1</v>
      </c>
      <c r="CF10" s="23">
        <v>1</v>
      </c>
      <c r="CG10" s="23">
        <v>0</v>
      </c>
      <c r="CH10" s="23">
        <v>0</v>
      </c>
      <c r="CI10" s="23">
        <v>0</v>
      </c>
      <c r="CJ10" s="23">
        <v>1</v>
      </c>
      <c r="CK10" s="23">
        <v>1</v>
      </c>
      <c r="CL10" s="23">
        <v>0</v>
      </c>
      <c r="CM10" s="23">
        <v>0</v>
      </c>
      <c r="CN10" s="23">
        <v>1</v>
      </c>
      <c r="CO10" s="23">
        <v>0</v>
      </c>
      <c r="CP10" s="23">
        <v>0</v>
      </c>
      <c r="CQ10" s="23">
        <v>0</v>
      </c>
      <c r="CR10" s="23">
        <v>96</v>
      </c>
    </row>
    <row r="11" spans="1:96">
      <c r="A11" s="21" t="s">
        <v>0</v>
      </c>
      <c r="B11" s="22">
        <v>301010080</v>
      </c>
      <c r="C11" s="21">
        <v>225124</v>
      </c>
      <c r="D11" s="23">
        <v>2</v>
      </c>
      <c r="E11" s="23">
        <v>60</v>
      </c>
      <c r="F11" s="23">
        <v>25</v>
      </c>
      <c r="G11" s="23">
        <v>7</v>
      </c>
      <c r="H11" s="23">
        <v>1</v>
      </c>
      <c r="I11" s="23">
        <v>6</v>
      </c>
      <c r="J11" s="23">
        <v>11</v>
      </c>
      <c r="K11" s="23">
        <v>1</v>
      </c>
      <c r="L11" s="23">
        <v>5</v>
      </c>
      <c r="M11" s="23">
        <v>5</v>
      </c>
      <c r="N11" s="23">
        <v>4</v>
      </c>
      <c r="O11" s="23">
        <v>8</v>
      </c>
      <c r="P11" s="23">
        <v>4</v>
      </c>
      <c r="Q11" s="23">
        <v>2</v>
      </c>
      <c r="R11" s="23">
        <v>0</v>
      </c>
      <c r="S11" s="23">
        <v>0</v>
      </c>
      <c r="T11" s="23">
        <v>0</v>
      </c>
      <c r="U11" s="23">
        <v>1</v>
      </c>
      <c r="V11" s="23">
        <v>0</v>
      </c>
      <c r="W11" s="23">
        <v>0</v>
      </c>
      <c r="X11" s="23">
        <v>0</v>
      </c>
      <c r="Y11" s="23">
        <v>0</v>
      </c>
      <c r="Z11" s="23">
        <v>0</v>
      </c>
      <c r="AA11" s="23">
        <v>0</v>
      </c>
      <c r="AB11" s="23">
        <v>0</v>
      </c>
      <c r="AC11" s="23">
        <v>0</v>
      </c>
      <c r="AD11" s="23">
        <v>0</v>
      </c>
      <c r="AE11" s="23">
        <v>0</v>
      </c>
      <c r="AF11" s="23">
        <v>0</v>
      </c>
      <c r="AG11" s="23">
        <v>0</v>
      </c>
      <c r="AH11" s="23">
        <v>0</v>
      </c>
      <c r="AI11" s="23">
        <v>0</v>
      </c>
      <c r="AJ11" s="23">
        <v>0</v>
      </c>
      <c r="AK11" s="23">
        <v>0</v>
      </c>
      <c r="AL11" s="23">
        <v>0</v>
      </c>
      <c r="AM11" s="23">
        <v>0</v>
      </c>
      <c r="AN11" s="23">
        <v>0</v>
      </c>
      <c r="AO11" s="23">
        <v>0</v>
      </c>
      <c r="AP11" s="23">
        <v>0</v>
      </c>
      <c r="AQ11" s="23">
        <v>0</v>
      </c>
      <c r="AR11" s="23">
        <v>0</v>
      </c>
      <c r="AS11" s="23">
        <v>0</v>
      </c>
      <c r="AT11" s="23">
        <v>0</v>
      </c>
      <c r="AU11" s="23">
        <v>0</v>
      </c>
      <c r="AV11" s="23">
        <v>0</v>
      </c>
      <c r="AW11" s="23">
        <v>0</v>
      </c>
      <c r="AX11" s="23">
        <v>0</v>
      </c>
      <c r="AY11" s="23">
        <v>0</v>
      </c>
      <c r="AZ11" s="23">
        <v>0</v>
      </c>
      <c r="BA11" s="23">
        <v>0</v>
      </c>
      <c r="BB11" s="23">
        <v>0</v>
      </c>
      <c r="BC11" s="23">
        <v>0</v>
      </c>
      <c r="BD11" s="23">
        <v>0</v>
      </c>
      <c r="BE11" s="23">
        <v>0</v>
      </c>
      <c r="BF11" s="23">
        <v>0</v>
      </c>
      <c r="BG11" s="23">
        <v>0</v>
      </c>
      <c r="BH11" s="23">
        <v>0</v>
      </c>
      <c r="BI11" s="23">
        <v>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3">
        <v>0</v>
      </c>
      <c r="BQ11" s="23">
        <v>0</v>
      </c>
      <c r="BR11" s="23">
        <v>0</v>
      </c>
      <c r="BS11" s="23">
        <v>0</v>
      </c>
      <c r="BT11" s="23">
        <v>0</v>
      </c>
      <c r="BU11" s="23">
        <v>0</v>
      </c>
      <c r="BV11" s="23">
        <v>0</v>
      </c>
      <c r="BW11" s="23">
        <v>0</v>
      </c>
      <c r="BX11" s="23">
        <v>0</v>
      </c>
      <c r="BY11" s="23">
        <v>0</v>
      </c>
      <c r="BZ11" s="23">
        <v>0</v>
      </c>
      <c r="CA11" s="23">
        <v>0</v>
      </c>
      <c r="CB11" s="23">
        <v>0</v>
      </c>
      <c r="CC11" s="23">
        <v>0</v>
      </c>
      <c r="CD11" s="23">
        <v>0</v>
      </c>
      <c r="CE11" s="23">
        <v>0</v>
      </c>
      <c r="CF11" s="23">
        <v>0</v>
      </c>
      <c r="CG11" s="23">
        <v>0</v>
      </c>
      <c r="CH11" s="23">
        <v>0</v>
      </c>
      <c r="CI11" s="23">
        <v>0</v>
      </c>
      <c r="CJ11" s="23">
        <v>0</v>
      </c>
      <c r="CK11" s="23">
        <v>0</v>
      </c>
      <c r="CL11" s="23">
        <v>0</v>
      </c>
      <c r="CM11" s="23">
        <v>0</v>
      </c>
      <c r="CN11" s="23">
        <v>0</v>
      </c>
      <c r="CO11" s="23">
        <v>0</v>
      </c>
      <c r="CP11" s="23">
        <v>0</v>
      </c>
      <c r="CQ11" s="23">
        <v>0</v>
      </c>
      <c r="CR11" s="23">
        <v>142</v>
      </c>
    </row>
    <row r="12" spans="1:96">
      <c r="A12" s="21" t="s">
        <v>1</v>
      </c>
      <c r="B12" s="22">
        <v>301010030</v>
      </c>
      <c r="C12" s="21">
        <v>251510</v>
      </c>
      <c r="D12" s="23">
        <v>0</v>
      </c>
      <c r="E12" s="23">
        <v>0</v>
      </c>
      <c r="F12" s="23">
        <v>0</v>
      </c>
      <c r="G12" s="23">
        <v>1</v>
      </c>
      <c r="H12" s="23">
        <v>0</v>
      </c>
      <c r="I12" s="23">
        <v>0</v>
      </c>
      <c r="J12" s="23">
        <v>0</v>
      </c>
      <c r="K12" s="23">
        <v>1</v>
      </c>
      <c r="L12" s="23">
        <v>1</v>
      </c>
      <c r="M12" s="23">
        <v>1</v>
      </c>
      <c r="N12" s="23">
        <v>1</v>
      </c>
      <c r="O12" s="23">
        <v>1</v>
      </c>
      <c r="P12" s="23">
        <v>0</v>
      </c>
      <c r="Q12" s="23">
        <v>0</v>
      </c>
      <c r="R12" s="23">
        <v>1</v>
      </c>
      <c r="S12" s="23">
        <v>0</v>
      </c>
      <c r="T12" s="23">
        <v>1</v>
      </c>
      <c r="U12" s="23">
        <v>0</v>
      </c>
      <c r="V12" s="23">
        <v>0</v>
      </c>
      <c r="W12" s="23">
        <v>0</v>
      </c>
      <c r="X12" s="23">
        <v>1</v>
      </c>
      <c r="Y12" s="23">
        <v>2</v>
      </c>
      <c r="Z12" s="23">
        <v>2</v>
      </c>
      <c r="AA12" s="23">
        <v>0</v>
      </c>
      <c r="AB12" s="23">
        <v>2</v>
      </c>
      <c r="AC12" s="23">
        <v>0</v>
      </c>
      <c r="AD12" s="23">
        <v>0</v>
      </c>
      <c r="AE12" s="23">
        <v>0</v>
      </c>
      <c r="AF12" s="23">
        <v>0</v>
      </c>
      <c r="AG12" s="23">
        <v>1</v>
      </c>
      <c r="AH12" s="23">
        <v>1</v>
      </c>
      <c r="AI12" s="23">
        <v>0</v>
      </c>
      <c r="AJ12" s="23">
        <v>2</v>
      </c>
      <c r="AK12" s="23">
        <v>0</v>
      </c>
      <c r="AL12" s="23">
        <v>2</v>
      </c>
      <c r="AM12" s="23">
        <v>1</v>
      </c>
      <c r="AN12" s="23">
        <v>0</v>
      </c>
      <c r="AO12" s="23">
        <v>0</v>
      </c>
      <c r="AP12" s="23">
        <v>3</v>
      </c>
      <c r="AQ12" s="23">
        <v>0</v>
      </c>
      <c r="AR12" s="23">
        <v>0</v>
      </c>
      <c r="AS12" s="23">
        <v>0</v>
      </c>
      <c r="AT12" s="23">
        <v>2</v>
      </c>
      <c r="AU12" s="23">
        <v>0</v>
      </c>
      <c r="AV12" s="23">
        <v>0</v>
      </c>
      <c r="AW12" s="23">
        <v>0</v>
      </c>
      <c r="AX12" s="23">
        <v>0</v>
      </c>
      <c r="AY12" s="23">
        <v>0</v>
      </c>
      <c r="AZ12" s="23">
        <v>0</v>
      </c>
      <c r="BA12" s="23">
        <v>0</v>
      </c>
      <c r="BB12" s="23">
        <v>0</v>
      </c>
      <c r="BC12" s="23">
        <v>0</v>
      </c>
      <c r="BD12" s="23">
        <v>1</v>
      </c>
      <c r="BE12" s="23">
        <v>0</v>
      </c>
      <c r="BF12" s="23">
        <v>2</v>
      </c>
      <c r="BG12" s="23">
        <v>0</v>
      </c>
      <c r="BH12" s="23">
        <v>0</v>
      </c>
      <c r="BI12" s="23">
        <v>2</v>
      </c>
      <c r="BJ12" s="23">
        <v>1</v>
      </c>
      <c r="BK12" s="23">
        <v>0</v>
      </c>
      <c r="BL12" s="23">
        <v>1</v>
      </c>
      <c r="BM12" s="23">
        <v>0</v>
      </c>
      <c r="BN12" s="23">
        <v>0</v>
      </c>
      <c r="BO12" s="23">
        <v>0</v>
      </c>
      <c r="BP12" s="23">
        <v>0</v>
      </c>
      <c r="BQ12" s="23">
        <v>0</v>
      </c>
      <c r="BR12" s="23">
        <v>0</v>
      </c>
      <c r="BS12" s="23">
        <v>0</v>
      </c>
      <c r="BT12" s="23">
        <v>0</v>
      </c>
      <c r="BU12" s="23">
        <v>1</v>
      </c>
      <c r="BV12" s="23">
        <v>0</v>
      </c>
      <c r="BW12" s="23">
        <v>0</v>
      </c>
      <c r="BX12" s="23">
        <v>0</v>
      </c>
      <c r="BY12" s="23">
        <v>0</v>
      </c>
      <c r="BZ12" s="23">
        <v>0</v>
      </c>
      <c r="CA12" s="23">
        <v>0</v>
      </c>
      <c r="CB12" s="23">
        <v>1</v>
      </c>
      <c r="CC12" s="23">
        <v>0</v>
      </c>
      <c r="CD12" s="23">
        <v>0</v>
      </c>
      <c r="CE12" s="23">
        <v>0</v>
      </c>
      <c r="CF12" s="23">
        <v>0</v>
      </c>
      <c r="CG12" s="23">
        <v>0</v>
      </c>
      <c r="CH12" s="23">
        <v>0</v>
      </c>
      <c r="CI12" s="23">
        <v>0</v>
      </c>
      <c r="CJ12" s="23">
        <v>0</v>
      </c>
      <c r="CK12" s="23">
        <v>0</v>
      </c>
      <c r="CL12" s="23">
        <v>0</v>
      </c>
      <c r="CM12" s="23">
        <v>0</v>
      </c>
      <c r="CN12" s="23">
        <v>0</v>
      </c>
      <c r="CO12" s="23">
        <v>0</v>
      </c>
      <c r="CP12" s="23">
        <v>0</v>
      </c>
      <c r="CQ12" s="23">
        <v>0</v>
      </c>
      <c r="CR12" s="23">
        <v>36</v>
      </c>
    </row>
    <row r="13" spans="1:96">
      <c r="A13" s="21" t="s">
        <v>5</v>
      </c>
      <c r="B13" s="22">
        <v>301010030</v>
      </c>
      <c r="C13" s="21">
        <v>223565</v>
      </c>
      <c r="D13" s="23">
        <v>0</v>
      </c>
      <c r="E13" s="23">
        <v>2</v>
      </c>
      <c r="F13" s="23">
        <v>1</v>
      </c>
      <c r="G13" s="23">
        <v>1</v>
      </c>
      <c r="H13" s="23">
        <v>0</v>
      </c>
      <c r="I13" s="23">
        <v>2</v>
      </c>
      <c r="J13" s="23">
        <v>1</v>
      </c>
      <c r="K13" s="23">
        <v>0</v>
      </c>
      <c r="L13" s="23">
        <v>1</v>
      </c>
      <c r="M13" s="23">
        <v>0</v>
      </c>
      <c r="N13" s="23">
        <v>0</v>
      </c>
      <c r="O13" s="23">
        <v>0</v>
      </c>
      <c r="P13" s="23">
        <v>0</v>
      </c>
      <c r="Q13" s="23">
        <v>0</v>
      </c>
      <c r="R13" s="23">
        <v>0</v>
      </c>
      <c r="S13" s="23">
        <v>0</v>
      </c>
      <c r="T13" s="23">
        <v>0</v>
      </c>
      <c r="U13" s="23">
        <v>0</v>
      </c>
      <c r="V13" s="23">
        <v>2</v>
      </c>
      <c r="W13" s="23">
        <v>0</v>
      </c>
      <c r="X13" s="23">
        <v>2</v>
      </c>
      <c r="Y13" s="23">
        <v>2</v>
      </c>
      <c r="Z13" s="23">
        <v>1</v>
      </c>
      <c r="AA13" s="23">
        <v>0</v>
      </c>
      <c r="AB13" s="23">
        <v>1</v>
      </c>
      <c r="AC13" s="23">
        <v>1</v>
      </c>
      <c r="AD13" s="23">
        <v>3</v>
      </c>
      <c r="AE13" s="23">
        <v>0</v>
      </c>
      <c r="AF13" s="23">
        <v>0</v>
      </c>
      <c r="AG13" s="23">
        <v>0</v>
      </c>
      <c r="AH13" s="23">
        <v>4</v>
      </c>
      <c r="AI13" s="23">
        <v>1</v>
      </c>
      <c r="AJ13" s="23">
        <v>2</v>
      </c>
      <c r="AK13" s="23">
        <v>0</v>
      </c>
      <c r="AL13" s="23">
        <v>2</v>
      </c>
      <c r="AM13" s="23">
        <v>2</v>
      </c>
      <c r="AN13" s="23">
        <v>2</v>
      </c>
      <c r="AO13" s="23">
        <v>0</v>
      </c>
      <c r="AP13" s="23">
        <v>0</v>
      </c>
      <c r="AQ13" s="23">
        <v>3</v>
      </c>
      <c r="AR13" s="23">
        <v>1</v>
      </c>
      <c r="AS13" s="23">
        <v>1</v>
      </c>
      <c r="AT13" s="23">
        <v>2</v>
      </c>
      <c r="AU13" s="23">
        <v>2</v>
      </c>
      <c r="AV13" s="23">
        <v>0</v>
      </c>
      <c r="AW13" s="23">
        <v>0</v>
      </c>
      <c r="AX13" s="23">
        <v>2</v>
      </c>
      <c r="AY13" s="23">
        <v>0</v>
      </c>
      <c r="AZ13" s="23">
        <v>0</v>
      </c>
      <c r="BA13" s="23">
        <v>0</v>
      </c>
      <c r="BB13" s="23">
        <v>0</v>
      </c>
      <c r="BC13" s="23">
        <v>1</v>
      </c>
      <c r="BD13" s="23">
        <v>6</v>
      </c>
      <c r="BE13" s="23">
        <v>2</v>
      </c>
      <c r="BF13" s="23">
        <v>3</v>
      </c>
      <c r="BG13" s="23">
        <v>2</v>
      </c>
      <c r="BH13" s="23">
        <v>2</v>
      </c>
      <c r="BI13" s="23">
        <v>1</v>
      </c>
      <c r="BJ13" s="23">
        <v>1</v>
      </c>
      <c r="BK13" s="23">
        <v>1</v>
      </c>
      <c r="BL13" s="23">
        <v>4</v>
      </c>
      <c r="BM13" s="23">
        <v>1</v>
      </c>
      <c r="BN13" s="23">
        <v>5</v>
      </c>
      <c r="BO13" s="23">
        <v>1</v>
      </c>
      <c r="BP13" s="23">
        <v>2</v>
      </c>
      <c r="BQ13" s="23">
        <v>1</v>
      </c>
      <c r="BR13" s="23">
        <v>6</v>
      </c>
      <c r="BS13" s="23">
        <v>2</v>
      </c>
      <c r="BT13" s="23">
        <v>3</v>
      </c>
      <c r="BU13" s="23">
        <v>5</v>
      </c>
      <c r="BV13" s="23">
        <v>3</v>
      </c>
      <c r="BW13" s="23">
        <v>3</v>
      </c>
      <c r="BX13" s="23">
        <v>1</v>
      </c>
      <c r="BY13" s="23">
        <v>1</v>
      </c>
      <c r="BZ13" s="23">
        <v>2</v>
      </c>
      <c r="CA13" s="23">
        <v>5</v>
      </c>
      <c r="CB13" s="23">
        <v>1</v>
      </c>
      <c r="CC13" s="23">
        <v>2</v>
      </c>
      <c r="CD13" s="23">
        <v>0</v>
      </c>
      <c r="CE13" s="23">
        <v>0</v>
      </c>
      <c r="CF13" s="23">
        <v>1</v>
      </c>
      <c r="CG13" s="23">
        <v>1</v>
      </c>
      <c r="CH13" s="23">
        <v>0</v>
      </c>
      <c r="CI13" s="23">
        <v>1</v>
      </c>
      <c r="CJ13" s="23">
        <v>0</v>
      </c>
      <c r="CK13" s="23">
        <v>1</v>
      </c>
      <c r="CL13" s="23">
        <v>0</v>
      </c>
      <c r="CM13" s="23">
        <v>0</v>
      </c>
      <c r="CN13" s="23">
        <v>0</v>
      </c>
      <c r="CO13" s="23">
        <v>2</v>
      </c>
      <c r="CP13" s="23">
        <v>0</v>
      </c>
      <c r="CQ13" s="23">
        <v>1</v>
      </c>
      <c r="CR13" s="23">
        <v>118</v>
      </c>
    </row>
    <row r="14" spans="1:96">
      <c r="A14" s="21" t="s">
        <v>12</v>
      </c>
      <c r="B14" s="22">
        <v>301010030</v>
      </c>
      <c r="C14" s="21">
        <v>223710</v>
      </c>
      <c r="D14" s="23">
        <v>0</v>
      </c>
      <c r="E14" s="23">
        <v>0</v>
      </c>
      <c r="F14" s="23">
        <v>0</v>
      </c>
      <c r="G14" s="23">
        <v>1</v>
      </c>
      <c r="H14" s="23">
        <v>0</v>
      </c>
      <c r="I14" s="23">
        <v>2</v>
      </c>
      <c r="J14" s="23">
        <v>3</v>
      </c>
      <c r="K14" s="23">
        <v>0</v>
      </c>
      <c r="L14" s="23">
        <v>1</v>
      </c>
      <c r="M14" s="23">
        <v>2</v>
      </c>
      <c r="N14" s="23">
        <v>1</v>
      </c>
      <c r="O14" s="23">
        <v>1</v>
      </c>
      <c r="P14" s="23">
        <v>3</v>
      </c>
      <c r="Q14" s="23">
        <v>1</v>
      </c>
      <c r="R14" s="23">
        <v>0</v>
      </c>
      <c r="S14" s="23">
        <v>0</v>
      </c>
      <c r="T14" s="23">
        <v>0</v>
      </c>
      <c r="U14" s="23">
        <v>1</v>
      </c>
      <c r="V14" s="23">
        <v>0</v>
      </c>
      <c r="W14" s="23">
        <v>0</v>
      </c>
      <c r="X14" s="23">
        <v>1</v>
      </c>
      <c r="Y14" s="23">
        <v>0</v>
      </c>
      <c r="Z14" s="23">
        <v>1</v>
      </c>
      <c r="AA14" s="23">
        <v>0</v>
      </c>
      <c r="AB14" s="23">
        <v>0</v>
      </c>
      <c r="AC14" s="23">
        <v>2</v>
      </c>
      <c r="AD14" s="23">
        <v>0</v>
      </c>
      <c r="AE14" s="23">
        <v>0</v>
      </c>
      <c r="AF14" s="23">
        <v>0</v>
      </c>
      <c r="AG14" s="23">
        <v>0</v>
      </c>
      <c r="AH14" s="23">
        <v>1</v>
      </c>
      <c r="AI14" s="23">
        <v>0</v>
      </c>
      <c r="AJ14" s="23">
        <v>2</v>
      </c>
      <c r="AK14" s="23">
        <v>0</v>
      </c>
      <c r="AL14" s="23">
        <v>0</v>
      </c>
      <c r="AM14" s="23">
        <v>0</v>
      </c>
      <c r="AN14" s="23">
        <v>0</v>
      </c>
      <c r="AO14" s="23">
        <v>0</v>
      </c>
      <c r="AP14" s="23">
        <v>0</v>
      </c>
      <c r="AQ14" s="23">
        <v>0</v>
      </c>
      <c r="AR14" s="23">
        <v>0</v>
      </c>
      <c r="AS14" s="23">
        <v>0</v>
      </c>
      <c r="AT14" s="23">
        <v>0</v>
      </c>
      <c r="AU14" s="23">
        <v>0</v>
      </c>
      <c r="AV14" s="23">
        <v>0</v>
      </c>
      <c r="AW14" s="23">
        <v>0</v>
      </c>
      <c r="AX14" s="23">
        <v>0</v>
      </c>
      <c r="AY14" s="23">
        <v>0</v>
      </c>
      <c r="AZ14" s="23">
        <v>0</v>
      </c>
      <c r="BA14" s="23">
        <v>1</v>
      </c>
      <c r="BB14" s="23">
        <v>0</v>
      </c>
      <c r="BC14" s="23">
        <v>1</v>
      </c>
      <c r="BD14" s="23">
        <v>0</v>
      </c>
      <c r="BE14" s="23">
        <v>0</v>
      </c>
      <c r="BF14" s="23">
        <v>0</v>
      </c>
      <c r="BG14" s="23">
        <v>2</v>
      </c>
      <c r="BH14" s="23">
        <v>0</v>
      </c>
      <c r="BI14" s="23">
        <v>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3">
        <v>0</v>
      </c>
      <c r="BQ14" s="23">
        <v>1</v>
      </c>
      <c r="BR14" s="23">
        <v>0</v>
      </c>
      <c r="BS14" s="23">
        <v>0</v>
      </c>
      <c r="BT14" s="23">
        <v>0</v>
      </c>
      <c r="BU14" s="23">
        <v>0</v>
      </c>
      <c r="BV14" s="23">
        <v>0</v>
      </c>
      <c r="BW14" s="23">
        <v>0</v>
      </c>
      <c r="BX14" s="23">
        <v>1</v>
      </c>
      <c r="BY14" s="23">
        <v>0</v>
      </c>
      <c r="BZ14" s="23">
        <v>0</v>
      </c>
      <c r="CA14" s="23">
        <v>0</v>
      </c>
      <c r="CB14" s="23">
        <v>0</v>
      </c>
      <c r="CC14" s="23">
        <v>0</v>
      </c>
      <c r="CD14" s="23">
        <v>0</v>
      </c>
      <c r="CE14" s="23">
        <v>0</v>
      </c>
      <c r="CF14" s="23">
        <v>0</v>
      </c>
      <c r="CG14" s="23">
        <v>0</v>
      </c>
      <c r="CH14" s="23">
        <v>0</v>
      </c>
      <c r="CI14" s="23">
        <v>0</v>
      </c>
      <c r="CJ14" s="23">
        <v>0</v>
      </c>
      <c r="CK14" s="23">
        <v>0</v>
      </c>
      <c r="CL14" s="23">
        <v>0</v>
      </c>
      <c r="CM14" s="23">
        <v>0</v>
      </c>
      <c r="CN14" s="23">
        <v>0</v>
      </c>
      <c r="CO14" s="23">
        <v>0</v>
      </c>
      <c r="CP14" s="23">
        <v>0</v>
      </c>
      <c r="CQ14" s="23">
        <v>0</v>
      </c>
      <c r="CR14" s="23">
        <v>29</v>
      </c>
    </row>
    <row r="15" spans="1:96">
      <c r="A15" s="21" t="s">
        <v>77</v>
      </c>
      <c r="B15" s="22">
        <v>301010110</v>
      </c>
      <c r="C15" s="21">
        <v>223565</v>
      </c>
      <c r="D15" s="23">
        <v>0</v>
      </c>
      <c r="E15" s="23">
        <v>0</v>
      </c>
      <c r="F15" s="23">
        <v>0</v>
      </c>
      <c r="G15" s="23">
        <v>0</v>
      </c>
      <c r="H15" s="23">
        <v>0</v>
      </c>
      <c r="I15" s="23">
        <v>0</v>
      </c>
      <c r="J15" s="23">
        <v>0</v>
      </c>
      <c r="K15" s="23">
        <v>0</v>
      </c>
      <c r="L15" s="23">
        <v>0</v>
      </c>
      <c r="M15" s="23">
        <v>0</v>
      </c>
      <c r="N15" s="23">
        <v>0</v>
      </c>
      <c r="O15" s="23">
        <v>0</v>
      </c>
      <c r="P15" s="23">
        <v>0</v>
      </c>
      <c r="Q15" s="23">
        <v>0</v>
      </c>
      <c r="R15" s="23">
        <v>0</v>
      </c>
      <c r="S15" s="23">
        <v>0</v>
      </c>
      <c r="T15" s="23">
        <v>0</v>
      </c>
      <c r="U15" s="23">
        <v>0</v>
      </c>
      <c r="V15" s="23">
        <v>0</v>
      </c>
      <c r="W15" s="23">
        <v>0</v>
      </c>
      <c r="X15" s="23">
        <v>0</v>
      </c>
      <c r="Y15" s="23">
        <v>0</v>
      </c>
      <c r="Z15" s="23">
        <v>0</v>
      </c>
      <c r="AA15" s="23">
        <v>2</v>
      </c>
      <c r="AB15" s="23">
        <v>1</v>
      </c>
      <c r="AC15" s="23">
        <v>0</v>
      </c>
      <c r="AD15" s="23">
        <v>0</v>
      </c>
      <c r="AE15" s="23">
        <v>0</v>
      </c>
      <c r="AF15" s="23">
        <v>0</v>
      </c>
      <c r="AG15" s="23">
        <v>0</v>
      </c>
      <c r="AH15" s="23">
        <v>0</v>
      </c>
      <c r="AI15" s="23">
        <v>0</v>
      </c>
      <c r="AJ15" s="23">
        <v>0</v>
      </c>
      <c r="AK15" s="23">
        <v>0</v>
      </c>
      <c r="AL15" s="23">
        <v>0</v>
      </c>
      <c r="AM15" s="23">
        <v>0</v>
      </c>
      <c r="AN15" s="23">
        <v>0</v>
      </c>
      <c r="AO15" s="23">
        <v>0</v>
      </c>
      <c r="AP15" s="23">
        <v>0</v>
      </c>
      <c r="AQ15" s="23">
        <v>1</v>
      </c>
      <c r="AR15" s="23">
        <v>0</v>
      </c>
      <c r="AS15" s="23">
        <v>0</v>
      </c>
      <c r="AT15" s="23">
        <v>0</v>
      </c>
      <c r="AU15" s="23">
        <v>0</v>
      </c>
      <c r="AV15" s="23">
        <v>0</v>
      </c>
      <c r="AW15" s="23">
        <v>0</v>
      </c>
      <c r="AX15" s="23">
        <v>0</v>
      </c>
      <c r="AY15" s="23">
        <v>0</v>
      </c>
      <c r="AZ15" s="23">
        <v>0</v>
      </c>
      <c r="BA15" s="23">
        <v>0</v>
      </c>
      <c r="BB15" s="23">
        <v>0</v>
      </c>
      <c r="BC15" s="23">
        <v>0</v>
      </c>
      <c r="BD15" s="23">
        <v>0</v>
      </c>
      <c r="BE15" s="23">
        <v>0</v>
      </c>
      <c r="BF15" s="23">
        <v>0</v>
      </c>
      <c r="BG15" s="23">
        <v>0</v>
      </c>
      <c r="BH15" s="23">
        <v>0</v>
      </c>
      <c r="BI15" s="23">
        <v>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3">
        <v>0</v>
      </c>
      <c r="BQ15" s="23">
        <v>0</v>
      </c>
      <c r="BR15" s="23">
        <v>0</v>
      </c>
      <c r="BS15" s="23">
        <v>0</v>
      </c>
      <c r="BT15" s="23">
        <v>0</v>
      </c>
      <c r="BU15" s="23">
        <v>0</v>
      </c>
      <c r="BV15" s="23">
        <v>0</v>
      </c>
      <c r="BW15" s="23">
        <v>0</v>
      </c>
      <c r="BX15" s="23">
        <v>0</v>
      </c>
      <c r="BY15" s="23">
        <v>0</v>
      </c>
      <c r="BZ15" s="23">
        <v>0</v>
      </c>
      <c r="CA15" s="23">
        <v>0</v>
      </c>
      <c r="CB15" s="23">
        <v>0</v>
      </c>
      <c r="CC15" s="23">
        <v>0</v>
      </c>
      <c r="CD15" s="23">
        <v>0</v>
      </c>
      <c r="CE15" s="23">
        <v>0</v>
      </c>
      <c r="CF15" s="23">
        <v>0</v>
      </c>
      <c r="CG15" s="23">
        <v>0</v>
      </c>
      <c r="CH15" s="23">
        <v>0</v>
      </c>
      <c r="CI15" s="23">
        <v>0</v>
      </c>
      <c r="CJ15" s="23">
        <v>0</v>
      </c>
      <c r="CK15" s="23">
        <v>0</v>
      </c>
      <c r="CL15" s="23">
        <v>0</v>
      </c>
      <c r="CM15" s="23">
        <v>0</v>
      </c>
      <c r="CN15" s="23">
        <v>0</v>
      </c>
      <c r="CO15" s="23">
        <v>0</v>
      </c>
      <c r="CP15" s="23">
        <v>0</v>
      </c>
      <c r="CQ15" s="23">
        <v>0</v>
      </c>
      <c r="CR15" s="23">
        <v>4</v>
      </c>
    </row>
    <row r="16" spans="1:96">
      <c r="A16" s="21" t="s">
        <v>11</v>
      </c>
      <c r="B16" s="22">
        <v>301010110</v>
      </c>
      <c r="C16" s="21">
        <v>223505</v>
      </c>
      <c r="D16" s="23">
        <v>0</v>
      </c>
      <c r="E16" s="23">
        <v>0</v>
      </c>
      <c r="F16" s="23">
        <v>0</v>
      </c>
      <c r="G16" s="23">
        <v>0</v>
      </c>
      <c r="H16" s="23">
        <v>0</v>
      </c>
      <c r="I16" s="23">
        <v>0</v>
      </c>
      <c r="J16" s="23">
        <v>0</v>
      </c>
      <c r="K16" s="23">
        <v>0</v>
      </c>
      <c r="L16" s="23">
        <v>0</v>
      </c>
      <c r="M16" s="23">
        <v>0</v>
      </c>
      <c r="N16" s="23">
        <v>0</v>
      </c>
      <c r="O16" s="23">
        <v>0</v>
      </c>
      <c r="P16" s="23">
        <v>0</v>
      </c>
      <c r="Q16" s="23">
        <v>0</v>
      </c>
      <c r="R16" s="23">
        <v>0</v>
      </c>
      <c r="S16" s="23">
        <v>0</v>
      </c>
      <c r="T16" s="23">
        <v>0</v>
      </c>
      <c r="U16" s="23">
        <v>0</v>
      </c>
      <c r="V16" s="23">
        <v>0</v>
      </c>
      <c r="W16" s="23">
        <v>0</v>
      </c>
      <c r="X16" s="23">
        <v>1</v>
      </c>
      <c r="Y16" s="23">
        <v>0</v>
      </c>
      <c r="Z16" s="23">
        <v>0</v>
      </c>
      <c r="AA16" s="23">
        <v>0</v>
      </c>
      <c r="AB16" s="23">
        <v>0</v>
      </c>
      <c r="AC16" s="23">
        <v>0</v>
      </c>
      <c r="AD16" s="23">
        <v>0</v>
      </c>
      <c r="AE16" s="23">
        <v>0</v>
      </c>
      <c r="AF16" s="23">
        <v>0</v>
      </c>
      <c r="AG16" s="23">
        <v>1</v>
      </c>
      <c r="AH16" s="23">
        <v>0</v>
      </c>
      <c r="AI16" s="23">
        <v>1</v>
      </c>
      <c r="AJ16" s="23">
        <v>0</v>
      </c>
      <c r="AK16" s="23">
        <v>1</v>
      </c>
      <c r="AL16" s="23">
        <v>0</v>
      </c>
      <c r="AM16" s="23">
        <v>0</v>
      </c>
      <c r="AN16" s="23">
        <v>1</v>
      </c>
      <c r="AO16" s="23">
        <v>0</v>
      </c>
      <c r="AP16" s="23">
        <v>0</v>
      </c>
      <c r="AQ16" s="23">
        <v>0</v>
      </c>
      <c r="AR16" s="23">
        <v>0</v>
      </c>
      <c r="AS16" s="23">
        <v>0</v>
      </c>
      <c r="AT16" s="23">
        <v>0</v>
      </c>
      <c r="AU16" s="23">
        <v>0</v>
      </c>
      <c r="AV16" s="23">
        <v>0</v>
      </c>
      <c r="AW16" s="23">
        <v>0</v>
      </c>
      <c r="AX16" s="23">
        <v>0</v>
      </c>
      <c r="AY16" s="23">
        <v>0</v>
      </c>
      <c r="AZ16" s="23">
        <v>0</v>
      </c>
      <c r="BA16" s="23">
        <v>0</v>
      </c>
      <c r="BB16" s="23">
        <v>0</v>
      </c>
      <c r="BC16" s="23">
        <v>0</v>
      </c>
      <c r="BD16" s="23">
        <v>0</v>
      </c>
      <c r="BE16" s="23">
        <v>0</v>
      </c>
      <c r="BF16" s="23">
        <v>0</v>
      </c>
      <c r="BG16" s="23">
        <v>0</v>
      </c>
      <c r="BH16" s="23">
        <v>0</v>
      </c>
      <c r="BI16" s="23">
        <v>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3">
        <v>0</v>
      </c>
      <c r="BQ16" s="23">
        <v>0</v>
      </c>
      <c r="BR16" s="23">
        <v>0</v>
      </c>
      <c r="BS16" s="23">
        <v>0</v>
      </c>
      <c r="BT16" s="23">
        <v>0</v>
      </c>
      <c r="BU16" s="23">
        <v>0</v>
      </c>
      <c r="BV16" s="23">
        <v>0</v>
      </c>
      <c r="BW16" s="23">
        <v>0</v>
      </c>
      <c r="BX16" s="23">
        <v>0</v>
      </c>
      <c r="BY16" s="23">
        <v>0</v>
      </c>
      <c r="BZ16" s="23">
        <v>0</v>
      </c>
      <c r="CA16" s="23">
        <v>0</v>
      </c>
      <c r="CB16" s="23">
        <v>0</v>
      </c>
      <c r="CC16" s="23">
        <v>0</v>
      </c>
      <c r="CD16" s="23">
        <v>0</v>
      </c>
      <c r="CE16" s="23">
        <v>0</v>
      </c>
      <c r="CF16" s="23">
        <v>0</v>
      </c>
      <c r="CG16" s="23">
        <v>0</v>
      </c>
      <c r="CH16" s="23">
        <v>0</v>
      </c>
      <c r="CI16" s="23">
        <v>0</v>
      </c>
      <c r="CJ16" s="23">
        <v>0</v>
      </c>
      <c r="CK16" s="23">
        <v>0</v>
      </c>
      <c r="CL16" s="23">
        <v>0</v>
      </c>
      <c r="CM16" s="23">
        <v>0</v>
      </c>
      <c r="CN16" s="23">
        <v>0</v>
      </c>
      <c r="CO16" s="23">
        <v>0</v>
      </c>
      <c r="CP16" s="23">
        <v>0</v>
      </c>
      <c r="CQ16" s="23">
        <v>0</v>
      </c>
      <c r="CR16" s="23">
        <v>5</v>
      </c>
    </row>
    <row r="17" spans="1:96">
      <c r="A17" s="21" t="s">
        <v>7</v>
      </c>
      <c r="B17" s="22">
        <v>301010064</v>
      </c>
      <c r="C17" s="21">
        <v>225124</v>
      </c>
      <c r="D17" s="23">
        <v>0</v>
      </c>
      <c r="E17" s="23">
        <v>2</v>
      </c>
      <c r="F17" s="23">
        <v>3</v>
      </c>
      <c r="G17" s="23">
        <v>13</v>
      </c>
      <c r="H17" s="23">
        <v>2</v>
      </c>
      <c r="I17" s="23">
        <v>8</v>
      </c>
      <c r="J17" s="23">
        <v>5</v>
      </c>
      <c r="K17" s="23">
        <v>5</v>
      </c>
      <c r="L17" s="23">
        <v>6</v>
      </c>
      <c r="M17" s="23">
        <v>5</v>
      </c>
      <c r="N17" s="23">
        <v>1</v>
      </c>
      <c r="O17" s="23">
        <v>2</v>
      </c>
      <c r="P17" s="23">
        <v>2</v>
      </c>
      <c r="Q17" s="23">
        <v>2</v>
      </c>
      <c r="R17" s="23">
        <v>1</v>
      </c>
      <c r="S17" s="23">
        <v>1</v>
      </c>
      <c r="T17" s="23">
        <v>0</v>
      </c>
      <c r="U17" s="23">
        <v>0</v>
      </c>
      <c r="V17" s="23">
        <v>0</v>
      </c>
      <c r="W17" s="23">
        <v>0</v>
      </c>
      <c r="X17" s="23">
        <v>0</v>
      </c>
      <c r="Y17" s="23">
        <v>0</v>
      </c>
      <c r="Z17" s="23">
        <v>0</v>
      </c>
      <c r="AA17" s="23">
        <v>0</v>
      </c>
      <c r="AB17" s="23">
        <v>0</v>
      </c>
      <c r="AC17" s="23">
        <v>0</v>
      </c>
      <c r="AD17" s="23">
        <v>0</v>
      </c>
      <c r="AE17" s="23">
        <v>0</v>
      </c>
      <c r="AF17" s="23">
        <v>0</v>
      </c>
      <c r="AG17" s="23">
        <v>0</v>
      </c>
      <c r="AH17" s="23">
        <v>0</v>
      </c>
      <c r="AI17" s="23">
        <v>0</v>
      </c>
      <c r="AJ17" s="23">
        <v>0</v>
      </c>
      <c r="AK17" s="23">
        <v>0</v>
      </c>
      <c r="AL17" s="23">
        <v>0</v>
      </c>
      <c r="AM17" s="23">
        <v>0</v>
      </c>
      <c r="AN17" s="23">
        <v>0</v>
      </c>
      <c r="AO17" s="23">
        <v>0</v>
      </c>
      <c r="AP17" s="23">
        <v>0</v>
      </c>
      <c r="AQ17" s="23">
        <v>0</v>
      </c>
      <c r="AR17" s="23">
        <v>0</v>
      </c>
      <c r="AS17" s="23">
        <v>0</v>
      </c>
      <c r="AT17" s="23">
        <v>0</v>
      </c>
      <c r="AU17" s="23">
        <v>0</v>
      </c>
      <c r="AV17" s="23">
        <v>0</v>
      </c>
      <c r="AW17" s="23">
        <v>0</v>
      </c>
      <c r="AX17" s="23">
        <v>0</v>
      </c>
      <c r="AY17" s="23">
        <v>0</v>
      </c>
      <c r="AZ17" s="23">
        <v>0</v>
      </c>
      <c r="BA17" s="23">
        <v>0</v>
      </c>
      <c r="BB17" s="23">
        <v>0</v>
      </c>
      <c r="BC17" s="23">
        <v>0</v>
      </c>
      <c r="BD17" s="23">
        <v>0</v>
      </c>
      <c r="BE17" s="23">
        <v>0</v>
      </c>
      <c r="BF17" s="23">
        <v>0</v>
      </c>
      <c r="BG17" s="23">
        <v>0</v>
      </c>
      <c r="BH17" s="23">
        <v>0</v>
      </c>
      <c r="BI17" s="23">
        <v>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3">
        <v>0</v>
      </c>
      <c r="BQ17" s="23">
        <v>0</v>
      </c>
      <c r="BR17" s="23">
        <v>0</v>
      </c>
      <c r="BS17" s="23">
        <v>0</v>
      </c>
      <c r="BT17" s="23">
        <v>0</v>
      </c>
      <c r="BU17" s="23">
        <v>0</v>
      </c>
      <c r="BV17" s="23">
        <v>0</v>
      </c>
      <c r="BW17" s="23">
        <v>0</v>
      </c>
      <c r="BX17" s="23">
        <v>0</v>
      </c>
      <c r="BY17" s="23">
        <v>0</v>
      </c>
      <c r="BZ17" s="23">
        <v>0</v>
      </c>
      <c r="CA17" s="23">
        <v>0</v>
      </c>
      <c r="CB17" s="23">
        <v>0</v>
      </c>
      <c r="CC17" s="23">
        <v>0</v>
      </c>
      <c r="CD17" s="23">
        <v>0</v>
      </c>
      <c r="CE17" s="23">
        <v>0</v>
      </c>
      <c r="CF17" s="23">
        <v>0</v>
      </c>
      <c r="CG17" s="23">
        <v>0</v>
      </c>
      <c r="CH17" s="23">
        <v>0</v>
      </c>
      <c r="CI17" s="23">
        <v>0</v>
      </c>
      <c r="CJ17" s="23">
        <v>0</v>
      </c>
      <c r="CK17" s="23">
        <v>0</v>
      </c>
      <c r="CL17" s="23">
        <v>0</v>
      </c>
      <c r="CM17" s="23">
        <v>0</v>
      </c>
      <c r="CN17" s="23">
        <v>0</v>
      </c>
      <c r="CO17" s="23">
        <v>0</v>
      </c>
      <c r="CP17" s="23">
        <v>0</v>
      </c>
      <c r="CQ17" s="23">
        <v>0</v>
      </c>
      <c r="CR17" s="23">
        <v>58</v>
      </c>
    </row>
    <row r="18" spans="1:96">
      <c r="A18" s="21" t="s">
        <v>13</v>
      </c>
      <c r="B18" s="22">
        <v>301010080</v>
      </c>
      <c r="C18" s="21">
        <v>225142</v>
      </c>
      <c r="D18" s="23">
        <v>0</v>
      </c>
      <c r="E18" s="23">
        <v>0</v>
      </c>
      <c r="F18" s="23">
        <v>2</v>
      </c>
      <c r="G18" s="23">
        <v>1</v>
      </c>
      <c r="H18" s="23">
        <v>4</v>
      </c>
      <c r="I18" s="23">
        <v>0</v>
      </c>
      <c r="J18" s="23">
        <v>1</v>
      </c>
      <c r="K18" s="23">
        <v>1</v>
      </c>
      <c r="L18" s="23">
        <v>2</v>
      </c>
      <c r="M18" s="23">
        <v>3</v>
      </c>
      <c r="N18" s="23">
        <v>4</v>
      </c>
      <c r="O18" s="23">
        <v>3</v>
      </c>
      <c r="P18" s="23">
        <v>2</v>
      </c>
      <c r="Q18" s="23">
        <v>0</v>
      </c>
      <c r="R18" s="23">
        <v>0</v>
      </c>
      <c r="S18" s="23">
        <v>0</v>
      </c>
      <c r="T18" s="23">
        <v>0</v>
      </c>
      <c r="U18" s="23">
        <v>0</v>
      </c>
      <c r="V18" s="23">
        <v>0</v>
      </c>
      <c r="W18" s="23">
        <v>0</v>
      </c>
      <c r="X18" s="23">
        <v>0</v>
      </c>
      <c r="Y18" s="23">
        <v>0</v>
      </c>
      <c r="Z18" s="23">
        <v>0</v>
      </c>
      <c r="AA18" s="23">
        <v>0</v>
      </c>
      <c r="AB18" s="23">
        <v>0</v>
      </c>
      <c r="AC18" s="23">
        <v>0</v>
      </c>
      <c r="AD18" s="23">
        <v>0</v>
      </c>
      <c r="AE18" s="23">
        <v>0</v>
      </c>
      <c r="AF18" s="23">
        <v>0</v>
      </c>
      <c r="AG18" s="23">
        <v>0</v>
      </c>
      <c r="AH18" s="23">
        <v>0</v>
      </c>
      <c r="AI18" s="23">
        <v>0</v>
      </c>
      <c r="AJ18" s="23">
        <v>0</v>
      </c>
      <c r="AK18" s="23">
        <v>0</v>
      </c>
      <c r="AL18" s="23">
        <v>0</v>
      </c>
      <c r="AM18" s="23">
        <v>0</v>
      </c>
      <c r="AN18" s="23">
        <v>0</v>
      </c>
      <c r="AO18" s="23">
        <v>0</v>
      </c>
      <c r="AP18" s="23">
        <v>0</v>
      </c>
      <c r="AQ18" s="23">
        <v>0</v>
      </c>
      <c r="AR18" s="23">
        <v>0</v>
      </c>
      <c r="AS18" s="23">
        <v>0</v>
      </c>
      <c r="AT18" s="23">
        <v>0</v>
      </c>
      <c r="AU18" s="23">
        <v>0</v>
      </c>
      <c r="AV18" s="23">
        <v>0</v>
      </c>
      <c r="AW18" s="23">
        <v>0</v>
      </c>
      <c r="AX18" s="23">
        <v>0</v>
      </c>
      <c r="AY18" s="23">
        <v>0</v>
      </c>
      <c r="AZ18" s="23">
        <v>0</v>
      </c>
      <c r="BA18" s="23">
        <v>0</v>
      </c>
      <c r="BB18" s="23">
        <v>0</v>
      </c>
      <c r="BC18" s="23">
        <v>0</v>
      </c>
      <c r="BD18" s="23">
        <v>0</v>
      </c>
      <c r="BE18" s="23">
        <v>0</v>
      </c>
      <c r="BF18" s="23">
        <v>0</v>
      </c>
      <c r="BG18" s="23">
        <v>0</v>
      </c>
      <c r="BH18" s="23">
        <v>0</v>
      </c>
      <c r="BI18" s="23">
        <v>0</v>
      </c>
      <c r="BJ18" s="23">
        <v>0</v>
      </c>
      <c r="BK18" s="23">
        <v>0</v>
      </c>
      <c r="BL18" s="23">
        <v>1</v>
      </c>
      <c r="BM18" s="23">
        <v>0</v>
      </c>
      <c r="BN18" s="23">
        <v>0</v>
      </c>
      <c r="BO18" s="23">
        <v>0</v>
      </c>
      <c r="BP18" s="23">
        <v>0</v>
      </c>
      <c r="BQ18" s="23">
        <v>0</v>
      </c>
      <c r="BR18" s="23">
        <v>0</v>
      </c>
      <c r="BS18" s="23">
        <v>0</v>
      </c>
      <c r="BT18" s="23">
        <v>0</v>
      </c>
      <c r="BU18" s="23">
        <v>0</v>
      </c>
      <c r="BV18" s="23">
        <v>0</v>
      </c>
      <c r="BW18" s="23">
        <v>0</v>
      </c>
      <c r="BX18" s="23">
        <v>0</v>
      </c>
      <c r="BY18" s="23">
        <v>0</v>
      </c>
      <c r="BZ18" s="23">
        <v>0</v>
      </c>
      <c r="CA18" s="23">
        <v>0</v>
      </c>
      <c r="CB18" s="23">
        <v>0</v>
      </c>
      <c r="CC18" s="23">
        <v>0</v>
      </c>
      <c r="CD18" s="23">
        <v>0</v>
      </c>
      <c r="CE18" s="23">
        <v>0</v>
      </c>
      <c r="CF18" s="23">
        <v>0</v>
      </c>
      <c r="CG18" s="23">
        <v>0</v>
      </c>
      <c r="CH18" s="23">
        <v>0</v>
      </c>
      <c r="CI18" s="23">
        <v>0</v>
      </c>
      <c r="CJ18" s="23">
        <v>0</v>
      </c>
      <c r="CK18" s="23">
        <v>0</v>
      </c>
      <c r="CL18" s="23">
        <v>0</v>
      </c>
      <c r="CM18" s="23">
        <v>0</v>
      </c>
      <c r="CN18" s="23">
        <v>0</v>
      </c>
      <c r="CO18" s="23">
        <v>0</v>
      </c>
      <c r="CP18" s="23">
        <v>0</v>
      </c>
      <c r="CQ18" s="23">
        <v>0</v>
      </c>
      <c r="CR18" s="23">
        <v>24</v>
      </c>
    </row>
    <row r="19" spans="1:96">
      <c r="A19" s="21" t="s">
        <v>4</v>
      </c>
      <c r="B19" s="22">
        <v>301010064</v>
      </c>
      <c r="C19" s="21">
        <v>225250</v>
      </c>
      <c r="D19" s="23">
        <v>0</v>
      </c>
      <c r="E19" s="23">
        <v>0</v>
      </c>
      <c r="F19" s="23">
        <v>0</v>
      </c>
      <c r="G19" s="23">
        <v>0</v>
      </c>
      <c r="H19" s="23">
        <v>0</v>
      </c>
      <c r="I19" s="23">
        <v>0</v>
      </c>
      <c r="J19" s="23">
        <v>0</v>
      </c>
      <c r="K19" s="23">
        <v>0</v>
      </c>
      <c r="L19" s="23">
        <v>0</v>
      </c>
      <c r="M19" s="23">
        <v>0</v>
      </c>
      <c r="N19" s="23">
        <v>0</v>
      </c>
      <c r="O19" s="23">
        <v>0</v>
      </c>
      <c r="P19" s="23">
        <v>0</v>
      </c>
      <c r="Q19" s="23">
        <v>0</v>
      </c>
      <c r="R19" s="23">
        <v>0</v>
      </c>
      <c r="S19" s="23">
        <v>1</v>
      </c>
      <c r="T19" s="23">
        <v>2</v>
      </c>
      <c r="U19" s="23">
        <v>3</v>
      </c>
      <c r="V19" s="23">
        <v>0</v>
      </c>
      <c r="W19" s="23">
        <v>1</v>
      </c>
      <c r="X19" s="23">
        <v>1</v>
      </c>
      <c r="Y19" s="23">
        <v>1</v>
      </c>
      <c r="Z19" s="23">
        <v>1</v>
      </c>
      <c r="AA19" s="23">
        <v>2</v>
      </c>
      <c r="AB19" s="23">
        <v>4</v>
      </c>
      <c r="AC19" s="23">
        <v>1</v>
      </c>
      <c r="AD19" s="23">
        <v>2</v>
      </c>
      <c r="AE19" s="23">
        <v>2</v>
      </c>
      <c r="AF19" s="23">
        <v>0</v>
      </c>
      <c r="AG19" s="23">
        <v>0</v>
      </c>
      <c r="AH19" s="23">
        <v>5</v>
      </c>
      <c r="AI19" s="23">
        <v>2</v>
      </c>
      <c r="AJ19" s="23">
        <v>1</v>
      </c>
      <c r="AK19" s="23">
        <v>6</v>
      </c>
      <c r="AL19" s="23">
        <v>4</v>
      </c>
      <c r="AM19" s="23">
        <v>3</v>
      </c>
      <c r="AN19" s="23">
        <v>2</v>
      </c>
      <c r="AO19" s="23">
        <v>2</v>
      </c>
      <c r="AP19" s="23">
        <v>2</v>
      </c>
      <c r="AQ19" s="23">
        <v>4</v>
      </c>
      <c r="AR19" s="23">
        <v>1</v>
      </c>
      <c r="AS19" s="23">
        <v>0</v>
      </c>
      <c r="AT19" s="23">
        <v>1</v>
      </c>
      <c r="AU19" s="23">
        <v>4</v>
      </c>
      <c r="AV19" s="23">
        <v>1</v>
      </c>
      <c r="AW19" s="23">
        <v>2</v>
      </c>
      <c r="AX19" s="23">
        <v>1</v>
      </c>
      <c r="AY19" s="23">
        <v>2</v>
      </c>
      <c r="AZ19" s="23">
        <v>1</v>
      </c>
      <c r="BA19" s="23">
        <v>4</v>
      </c>
      <c r="BB19" s="23">
        <v>2</v>
      </c>
      <c r="BC19" s="23">
        <v>5</v>
      </c>
      <c r="BD19" s="23">
        <v>0</v>
      </c>
      <c r="BE19" s="23">
        <v>2</v>
      </c>
      <c r="BF19" s="23">
        <v>0</v>
      </c>
      <c r="BG19" s="23">
        <v>1</v>
      </c>
      <c r="BH19" s="23">
        <v>0</v>
      </c>
      <c r="BI19" s="23">
        <v>1</v>
      </c>
      <c r="BJ19" s="23">
        <v>0</v>
      </c>
      <c r="BK19" s="23">
        <v>0</v>
      </c>
      <c r="BL19" s="23">
        <v>0</v>
      </c>
      <c r="BM19" s="23">
        <v>0</v>
      </c>
      <c r="BN19" s="23">
        <v>1</v>
      </c>
      <c r="BO19" s="23">
        <v>0</v>
      </c>
      <c r="BP19" s="23">
        <v>1</v>
      </c>
      <c r="BQ19" s="23">
        <v>0</v>
      </c>
      <c r="BR19" s="23">
        <v>2</v>
      </c>
      <c r="BS19" s="23">
        <v>0</v>
      </c>
      <c r="BT19" s="23">
        <v>1</v>
      </c>
      <c r="BU19" s="23">
        <v>0</v>
      </c>
      <c r="BV19" s="23">
        <v>0</v>
      </c>
      <c r="BW19" s="23">
        <v>0</v>
      </c>
      <c r="BX19" s="23">
        <v>0</v>
      </c>
      <c r="BY19" s="23">
        <v>0</v>
      </c>
      <c r="BZ19" s="23">
        <v>1</v>
      </c>
      <c r="CA19" s="23">
        <v>0</v>
      </c>
      <c r="CB19" s="23">
        <v>0</v>
      </c>
      <c r="CC19" s="23">
        <v>0</v>
      </c>
      <c r="CD19" s="23">
        <v>0</v>
      </c>
      <c r="CE19" s="23">
        <v>0</v>
      </c>
      <c r="CF19" s="23">
        <v>0</v>
      </c>
      <c r="CG19" s="23">
        <v>0</v>
      </c>
      <c r="CH19" s="23">
        <v>0</v>
      </c>
      <c r="CI19" s="23">
        <v>0</v>
      </c>
      <c r="CJ19" s="23">
        <v>0</v>
      </c>
      <c r="CK19" s="23">
        <v>0</v>
      </c>
      <c r="CL19" s="23">
        <v>0</v>
      </c>
      <c r="CM19" s="23">
        <v>0</v>
      </c>
      <c r="CN19" s="23">
        <v>0</v>
      </c>
      <c r="CO19" s="23">
        <v>0</v>
      </c>
      <c r="CP19" s="23">
        <v>0</v>
      </c>
      <c r="CQ19" s="23">
        <v>0</v>
      </c>
      <c r="CR19" s="23">
        <v>86</v>
      </c>
    </row>
    <row r="20" spans="1:96">
      <c r="A20" s="21" t="s">
        <v>14</v>
      </c>
      <c r="B20" s="22">
        <v>301010110</v>
      </c>
      <c r="C20" s="21">
        <v>225142</v>
      </c>
      <c r="D20" s="23">
        <v>0</v>
      </c>
      <c r="E20" s="23">
        <v>0</v>
      </c>
      <c r="F20" s="23">
        <v>0</v>
      </c>
      <c r="G20" s="23">
        <v>0</v>
      </c>
      <c r="H20" s="23">
        <v>0</v>
      </c>
      <c r="I20" s="23">
        <v>0</v>
      </c>
      <c r="J20" s="23">
        <v>0</v>
      </c>
      <c r="K20" s="23">
        <v>0</v>
      </c>
      <c r="L20" s="23">
        <v>0</v>
      </c>
      <c r="M20" s="23">
        <v>0</v>
      </c>
      <c r="N20" s="23">
        <v>0</v>
      </c>
      <c r="O20" s="23">
        <v>0</v>
      </c>
      <c r="P20" s="23">
        <v>0</v>
      </c>
      <c r="Q20" s="23">
        <v>0</v>
      </c>
      <c r="R20" s="23">
        <v>0</v>
      </c>
      <c r="S20" s="23">
        <v>0</v>
      </c>
      <c r="T20" s="23">
        <v>0</v>
      </c>
      <c r="U20" s="23">
        <v>0</v>
      </c>
      <c r="V20" s="23">
        <v>0</v>
      </c>
      <c r="W20" s="23">
        <v>0</v>
      </c>
      <c r="X20" s="23">
        <v>2</v>
      </c>
      <c r="Y20" s="23">
        <v>1</v>
      </c>
      <c r="Z20" s="23">
        <v>0</v>
      </c>
      <c r="AA20" s="23">
        <v>0</v>
      </c>
      <c r="AB20" s="23">
        <v>1</v>
      </c>
      <c r="AC20" s="23">
        <v>1</v>
      </c>
      <c r="AD20" s="23">
        <v>2</v>
      </c>
      <c r="AE20" s="23">
        <v>0</v>
      </c>
      <c r="AF20" s="23">
        <v>0</v>
      </c>
      <c r="AG20" s="23">
        <v>1</v>
      </c>
      <c r="AH20" s="23">
        <v>1</v>
      </c>
      <c r="AI20" s="23">
        <v>0</v>
      </c>
      <c r="AJ20" s="23">
        <v>2</v>
      </c>
      <c r="AK20" s="23">
        <v>0</v>
      </c>
      <c r="AL20" s="23">
        <v>1</v>
      </c>
      <c r="AM20" s="23">
        <v>1</v>
      </c>
      <c r="AN20" s="23">
        <v>2</v>
      </c>
      <c r="AO20" s="23">
        <v>1</v>
      </c>
      <c r="AP20" s="23">
        <v>0</v>
      </c>
      <c r="AQ20" s="23">
        <v>0</v>
      </c>
      <c r="AR20" s="23">
        <v>0</v>
      </c>
      <c r="AS20" s="23">
        <v>1</v>
      </c>
      <c r="AT20" s="23">
        <v>0</v>
      </c>
      <c r="AU20" s="23">
        <v>0</v>
      </c>
      <c r="AV20" s="23">
        <v>0</v>
      </c>
      <c r="AW20" s="23">
        <v>0</v>
      </c>
      <c r="AX20" s="23">
        <v>0</v>
      </c>
      <c r="AY20" s="23">
        <v>0</v>
      </c>
      <c r="AZ20" s="23">
        <v>0</v>
      </c>
      <c r="BA20" s="23">
        <v>0</v>
      </c>
      <c r="BB20" s="23">
        <v>0</v>
      </c>
      <c r="BC20" s="23">
        <v>0</v>
      </c>
      <c r="BD20" s="23">
        <v>0</v>
      </c>
      <c r="BE20" s="23">
        <v>0</v>
      </c>
      <c r="BF20" s="23">
        <v>0</v>
      </c>
      <c r="BG20" s="23">
        <v>0</v>
      </c>
      <c r="BH20" s="23">
        <v>0</v>
      </c>
      <c r="BI20" s="23">
        <v>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3">
        <v>0</v>
      </c>
      <c r="BQ20" s="23">
        <v>0</v>
      </c>
      <c r="BR20" s="23">
        <v>0</v>
      </c>
      <c r="BS20" s="23">
        <v>0</v>
      </c>
      <c r="BT20" s="23">
        <v>0</v>
      </c>
      <c r="BU20" s="23">
        <v>0</v>
      </c>
      <c r="BV20" s="23">
        <v>0</v>
      </c>
      <c r="BW20" s="23">
        <v>0</v>
      </c>
      <c r="BX20" s="23">
        <v>0</v>
      </c>
      <c r="BY20" s="23">
        <v>0</v>
      </c>
      <c r="BZ20" s="23">
        <v>0</v>
      </c>
      <c r="CA20" s="23">
        <v>0</v>
      </c>
      <c r="CB20" s="23">
        <v>0</v>
      </c>
      <c r="CC20" s="23">
        <v>0</v>
      </c>
      <c r="CD20" s="23">
        <v>0</v>
      </c>
      <c r="CE20" s="23">
        <v>0</v>
      </c>
      <c r="CF20" s="23">
        <v>0</v>
      </c>
      <c r="CG20" s="23">
        <v>0</v>
      </c>
      <c r="CH20" s="23">
        <v>0</v>
      </c>
      <c r="CI20" s="23">
        <v>0</v>
      </c>
      <c r="CJ20" s="23">
        <v>0</v>
      </c>
      <c r="CK20" s="23">
        <v>0</v>
      </c>
      <c r="CL20" s="23">
        <v>0</v>
      </c>
      <c r="CM20" s="23">
        <v>0</v>
      </c>
      <c r="CN20" s="23">
        <v>0</v>
      </c>
      <c r="CO20" s="23">
        <v>0</v>
      </c>
      <c r="CP20" s="23">
        <v>0</v>
      </c>
      <c r="CQ20" s="23">
        <v>0</v>
      </c>
      <c r="CR20" s="23">
        <v>17</v>
      </c>
    </row>
    <row r="21" spans="1:96">
      <c r="A21" s="21" t="s">
        <v>3</v>
      </c>
      <c r="B21" s="22">
        <v>301010110</v>
      </c>
      <c r="C21" s="21">
        <v>225250</v>
      </c>
      <c r="D21" s="23">
        <v>0</v>
      </c>
      <c r="E21" s="23">
        <v>0</v>
      </c>
      <c r="F21" s="23">
        <v>0</v>
      </c>
      <c r="G21" s="23">
        <v>0</v>
      </c>
      <c r="H21" s="23">
        <v>0</v>
      </c>
      <c r="I21" s="23">
        <v>0</v>
      </c>
      <c r="J21" s="23">
        <v>0</v>
      </c>
      <c r="K21" s="23">
        <v>0</v>
      </c>
      <c r="L21" s="23">
        <v>0</v>
      </c>
      <c r="M21" s="23">
        <v>0</v>
      </c>
      <c r="N21" s="23">
        <v>0</v>
      </c>
      <c r="O21" s="23">
        <v>0</v>
      </c>
      <c r="P21" s="23">
        <v>0</v>
      </c>
      <c r="Q21" s="23">
        <v>0</v>
      </c>
      <c r="R21" s="23">
        <v>0</v>
      </c>
      <c r="S21" s="23">
        <v>0</v>
      </c>
      <c r="T21" s="23">
        <v>0</v>
      </c>
      <c r="U21" s="23">
        <v>0</v>
      </c>
      <c r="V21" s="23">
        <v>0</v>
      </c>
      <c r="W21" s="23">
        <v>0</v>
      </c>
      <c r="X21" s="23">
        <v>1</v>
      </c>
      <c r="Y21" s="23">
        <v>0</v>
      </c>
      <c r="Z21" s="23">
        <v>1</v>
      </c>
      <c r="AA21" s="23">
        <v>1</v>
      </c>
      <c r="AB21" s="23">
        <v>0</v>
      </c>
      <c r="AC21" s="23">
        <v>3</v>
      </c>
      <c r="AD21" s="23">
        <v>0</v>
      </c>
      <c r="AE21" s="23">
        <v>0</v>
      </c>
      <c r="AF21" s="23">
        <v>0</v>
      </c>
      <c r="AG21" s="23">
        <v>0</v>
      </c>
      <c r="AH21" s="23">
        <v>2</v>
      </c>
      <c r="AI21" s="23">
        <v>1</v>
      </c>
      <c r="AJ21" s="23">
        <v>0</v>
      </c>
      <c r="AK21" s="23">
        <v>0</v>
      </c>
      <c r="AL21" s="23">
        <v>1</v>
      </c>
      <c r="AM21" s="23">
        <v>0</v>
      </c>
      <c r="AN21" s="23">
        <v>1</v>
      </c>
      <c r="AO21" s="23">
        <v>1</v>
      </c>
      <c r="AP21" s="23">
        <v>1</v>
      </c>
      <c r="AQ21" s="23">
        <v>0</v>
      </c>
      <c r="AR21" s="23">
        <v>1</v>
      </c>
      <c r="AS21" s="23">
        <v>0</v>
      </c>
      <c r="AT21" s="23">
        <v>0</v>
      </c>
      <c r="AU21" s="23">
        <v>0</v>
      </c>
      <c r="AV21" s="23">
        <v>0</v>
      </c>
      <c r="AW21" s="23">
        <v>0</v>
      </c>
      <c r="AX21" s="23">
        <v>0</v>
      </c>
      <c r="AY21" s="23">
        <v>0</v>
      </c>
      <c r="AZ21" s="23">
        <v>0</v>
      </c>
      <c r="BA21" s="23">
        <v>0</v>
      </c>
      <c r="BB21" s="23">
        <v>0</v>
      </c>
      <c r="BC21" s="23">
        <v>0</v>
      </c>
      <c r="BD21" s="23">
        <v>0</v>
      </c>
      <c r="BE21" s="23">
        <v>0</v>
      </c>
      <c r="BF21" s="23">
        <v>0</v>
      </c>
      <c r="BG21" s="23">
        <v>0</v>
      </c>
      <c r="BH21" s="23">
        <v>0</v>
      </c>
      <c r="BI21" s="23">
        <v>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3">
        <v>0</v>
      </c>
      <c r="BQ21" s="23">
        <v>0</v>
      </c>
      <c r="BR21" s="23">
        <v>0</v>
      </c>
      <c r="BS21" s="23">
        <v>0</v>
      </c>
      <c r="BT21" s="23">
        <v>0</v>
      </c>
      <c r="BU21" s="23">
        <v>0</v>
      </c>
      <c r="BV21" s="23">
        <v>0</v>
      </c>
      <c r="BW21" s="23">
        <v>0</v>
      </c>
      <c r="BX21" s="23">
        <v>0</v>
      </c>
      <c r="BY21" s="23">
        <v>0</v>
      </c>
      <c r="BZ21" s="23">
        <v>0</v>
      </c>
      <c r="CA21" s="23">
        <v>0</v>
      </c>
      <c r="CB21" s="23">
        <v>0</v>
      </c>
      <c r="CC21" s="23">
        <v>0</v>
      </c>
      <c r="CD21" s="23">
        <v>0</v>
      </c>
      <c r="CE21" s="23">
        <v>0</v>
      </c>
      <c r="CF21" s="23">
        <v>0</v>
      </c>
      <c r="CG21" s="23">
        <v>0</v>
      </c>
      <c r="CH21" s="23">
        <v>0</v>
      </c>
      <c r="CI21" s="23">
        <v>0</v>
      </c>
      <c r="CJ21" s="23">
        <v>0</v>
      </c>
      <c r="CK21" s="23">
        <v>0</v>
      </c>
      <c r="CL21" s="23">
        <v>0</v>
      </c>
      <c r="CM21" s="23">
        <v>0</v>
      </c>
      <c r="CN21" s="23">
        <v>0</v>
      </c>
      <c r="CO21" s="23">
        <v>0</v>
      </c>
      <c r="CP21" s="23">
        <v>0</v>
      </c>
      <c r="CQ21" s="23">
        <v>0</v>
      </c>
      <c r="CR21" s="23">
        <v>14</v>
      </c>
    </row>
    <row r="22" spans="1:96">
      <c r="A22" s="21" t="s">
        <v>79</v>
      </c>
      <c r="B22" s="22">
        <v>301010080</v>
      </c>
      <c r="C22" s="21">
        <v>223565</v>
      </c>
      <c r="D22" s="23">
        <v>0</v>
      </c>
      <c r="E22" s="23">
        <v>0</v>
      </c>
      <c r="F22" s="23">
        <v>0</v>
      </c>
      <c r="G22" s="23">
        <v>1</v>
      </c>
      <c r="H22" s="23">
        <v>0</v>
      </c>
      <c r="I22" s="23">
        <v>0</v>
      </c>
      <c r="J22" s="23">
        <v>1</v>
      </c>
      <c r="K22" s="23">
        <v>0</v>
      </c>
      <c r="L22" s="23">
        <v>0</v>
      </c>
      <c r="M22" s="23">
        <v>0</v>
      </c>
      <c r="N22" s="23">
        <v>0</v>
      </c>
      <c r="O22" s="23">
        <v>0</v>
      </c>
      <c r="P22" s="23">
        <v>0</v>
      </c>
      <c r="Q22" s="23">
        <v>0</v>
      </c>
      <c r="R22" s="23">
        <v>0</v>
      </c>
      <c r="S22" s="23">
        <v>0</v>
      </c>
      <c r="T22" s="23">
        <v>0</v>
      </c>
      <c r="U22" s="23">
        <v>0</v>
      </c>
      <c r="V22" s="23">
        <v>0</v>
      </c>
      <c r="W22" s="23">
        <v>0</v>
      </c>
      <c r="X22" s="23">
        <v>0</v>
      </c>
      <c r="Y22" s="23">
        <v>0</v>
      </c>
      <c r="Z22" s="23">
        <v>0</v>
      </c>
      <c r="AA22" s="23">
        <v>0</v>
      </c>
      <c r="AB22" s="23">
        <v>0</v>
      </c>
      <c r="AC22" s="23">
        <v>0</v>
      </c>
      <c r="AD22" s="23">
        <v>0</v>
      </c>
      <c r="AE22" s="23">
        <v>0</v>
      </c>
      <c r="AF22" s="23">
        <v>0</v>
      </c>
      <c r="AG22" s="23">
        <v>0</v>
      </c>
      <c r="AH22" s="23">
        <v>0</v>
      </c>
      <c r="AI22" s="23">
        <v>0</v>
      </c>
      <c r="AJ22" s="23">
        <v>0</v>
      </c>
      <c r="AK22" s="23">
        <v>0</v>
      </c>
      <c r="AL22" s="23">
        <v>0</v>
      </c>
      <c r="AM22" s="23">
        <v>0</v>
      </c>
      <c r="AN22" s="23">
        <v>0</v>
      </c>
      <c r="AO22" s="23">
        <v>0</v>
      </c>
      <c r="AP22" s="23">
        <v>0</v>
      </c>
      <c r="AQ22" s="23">
        <v>0</v>
      </c>
      <c r="AR22" s="23">
        <v>0</v>
      </c>
      <c r="AS22" s="23">
        <v>0</v>
      </c>
      <c r="AT22" s="23">
        <v>0</v>
      </c>
      <c r="AU22" s="23">
        <v>0</v>
      </c>
      <c r="AV22" s="23">
        <v>0</v>
      </c>
      <c r="AW22" s="23">
        <v>0</v>
      </c>
      <c r="AX22" s="23">
        <v>0</v>
      </c>
      <c r="AY22" s="23">
        <v>0</v>
      </c>
      <c r="AZ22" s="23">
        <v>0</v>
      </c>
      <c r="BA22" s="23">
        <v>0</v>
      </c>
      <c r="BB22" s="23">
        <v>0</v>
      </c>
      <c r="BC22" s="23">
        <v>0</v>
      </c>
      <c r="BD22" s="23">
        <v>0</v>
      </c>
      <c r="BE22" s="23">
        <v>0</v>
      </c>
      <c r="BF22" s="23">
        <v>0</v>
      </c>
      <c r="BG22" s="23">
        <v>0</v>
      </c>
      <c r="BH22" s="23">
        <v>0</v>
      </c>
      <c r="BI22" s="23">
        <v>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3">
        <v>0</v>
      </c>
      <c r="BQ22" s="23">
        <v>0</v>
      </c>
      <c r="BR22" s="23">
        <v>0</v>
      </c>
      <c r="BS22" s="23">
        <v>0</v>
      </c>
      <c r="BT22" s="23">
        <v>0</v>
      </c>
      <c r="BU22" s="23">
        <v>0</v>
      </c>
      <c r="BV22" s="23">
        <v>0</v>
      </c>
      <c r="BW22" s="23">
        <v>0</v>
      </c>
      <c r="BX22" s="23">
        <v>0</v>
      </c>
      <c r="BY22" s="23">
        <v>0</v>
      </c>
      <c r="BZ22" s="23">
        <v>0</v>
      </c>
      <c r="CA22" s="23">
        <v>0</v>
      </c>
      <c r="CB22" s="23">
        <v>0</v>
      </c>
      <c r="CC22" s="23">
        <v>0</v>
      </c>
      <c r="CD22" s="23">
        <v>0</v>
      </c>
      <c r="CE22" s="23">
        <v>0</v>
      </c>
      <c r="CF22" s="23">
        <v>0</v>
      </c>
      <c r="CG22" s="23">
        <v>0</v>
      </c>
      <c r="CH22" s="23">
        <v>0</v>
      </c>
      <c r="CI22" s="23">
        <v>0</v>
      </c>
      <c r="CJ22" s="23">
        <v>0</v>
      </c>
      <c r="CK22" s="23">
        <v>0</v>
      </c>
      <c r="CL22" s="23">
        <v>0</v>
      </c>
      <c r="CM22" s="23">
        <v>0</v>
      </c>
      <c r="CN22" s="23">
        <v>0</v>
      </c>
      <c r="CO22" s="23">
        <v>0</v>
      </c>
      <c r="CP22" s="23">
        <v>0</v>
      </c>
      <c r="CQ22" s="23">
        <v>0</v>
      </c>
      <c r="CR22" s="23">
        <v>2</v>
      </c>
    </row>
    <row r="23" spans="1:96">
      <c r="A23" s="21" t="s">
        <v>144</v>
      </c>
      <c r="B23" s="22">
        <v>301010129</v>
      </c>
      <c r="C23" s="21">
        <v>225250</v>
      </c>
      <c r="D23" s="23">
        <v>0</v>
      </c>
      <c r="E23" s="23">
        <v>0</v>
      </c>
      <c r="F23" s="23">
        <v>0</v>
      </c>
      <c r="G23" s="23">
        <v>0</v>
      </c>
      <c r="H23" s="23">
        <v>0</v>
      </c>
      <c r="I23" s="23">
        <v>0</v>
      </c>
      <c r="J23" s="23">
        <v>0</v>
      </c>
      <c r="K23" s="23">
        <v>0</v>
      </c>
      <c r="L23" s="23">
        <v>0</v>
      </c>
      <c r="M23" s="23">
        <v>0</v>
      </c>
      <c r="N23" s="23">
        <v>0</v>
      </c>
      <c r="O23" s="23">
        <v>0</v>
      </c>
      <c r="P23" s="23">
        <v>0</v>
      </c>
      <c r="Q23" s="23">
        <v>0</v>
      </c>
      <c r="R23" s="23">
        <v>0</v>
      </c>
      <c r="S23" s="23">
        <v>0</v>
      </c>
      <c r="T23" s="23">
        <v>0</v>
      </c>
      <c r="U23" s="23">
        <v>0</v>
      </c>
      <c r="V23" s="23">
        <v>0</v>
      </c>
      <c r="W23" s="23">
        <v>0</v>
      </c>
      <c r="X23" s="23">
        <v>0</v>
      </c>
      <c r="Y23" s="23">
        <v>1</v>
      </c>
      <c r="Z23" s="23">
        <v>0</v>
      </c>
      <c r="AA23" s="23">
        <v>0</v>
      </c>
      <c r="AB23" s="23">
        <v>0</v>
      </c>
      <c r="AC23" s="23">
        <v>0</v>
      </c>
      <c r="AD23" s="23">
        <v>0</v>
      </c>
      <c r="AE23" s="23">
        <v>0</v>
      </c>
      <c r="AF23" s="23">
        <v>1</v>
      </c>
      <c r="AG23" s="23">
        <v>0</v>
      </c>
      <c r="AH23" s="23">
        <v>0</v>
      </c>
      <c r="AI23" s="23">
        <v>0</v>
      </c>
      <c r="AJ23" s="23">
        <v>0</v>
      </c>
      <c r="AK23" s="23">
        <v>0</v>
      </c>
      <c r="AL23" s="23">
        <v>0</v>
      </c>
      <c r="AM23" s="23">
        <v>0</v>
      </c>
      <c r="AN23" s="23">
        <v>0</v>
      </c>
      <c r="AO23" s="23">
        <v>0</v>
      </c>
      <c r="AP23" s="23">
        <v>0</v>
      </c>
      <c r="AQ23" s="23">
        <v>0</v>
      </c>
      <c r="AR23" s="23">
        <v>0</v>
      </c>
      <c r="AS23" s="23">
        <v>0</v>
      </c>
      <c r="AT23" s="23">
        <v>0</v>
      </c>
      <c r="AU23" s="23">
        <v>1</v>
      </c>
      <c r="AV23" s="23">
        <v>0</v>
      </c>
      <c r="AW23" s="23">
        <v>0</v>
      </c>
      <c r="AX23" s="23">
        <v>0</v>
      </c>
      <c r="AY23" s="23">
        <v>0</v>
      </c>
      <c r="AZ23" s="23">
        <v>0</v>
      </c>
      <c r="BA23" s="23">
        <v>0</v>
      </c>
      <c r="BB23" s="23">
        <v>0</v>
      </c>
      <c r="BC23" s="23">
        <v>0</v>
      </c>
      <c r="BD23" s="23">
        <v>0</v>
      </c>
      <c r="BE23" s="23">
        <v>0</v>
      </c>
      <c r="BF23" s="23">
        <v>0</v>
      </c>
      <c r="BG23" s="23">
        <v>0</v>
      </c>
      <c r="BH23" s="23">
        <v>0</v>
      </c>
      <c r="BI23" s="23">
        <v>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3">
        <v>0</v>
      </c>
      <c r="BQ23" s="23">
        <v>0</v>
      </c>
      <c r="BR23" s="23">
        <v>0</v>
      </c>
      <c r="BS23" s="23">
        <v>0</v>
      </c>
      <c r="BT23" s="23">
        <v>0</v>
      </c>
      <c r="BU23" s="23">
        <v>0</v>
      </c>
      <c r="BV23" s="23">
        <v>0</v>
      </c>
      <c r="BW23" s="23">
        <v>0</v>
      </c>
      <c r="BX23" s="23">
        <v>0</v>
      </c>
      <c r="BY23" s="23">
        <v>0</v>
      </c>
      <c r="BZ23" s="23">
        <v>0</v>
      </c>
      <c r="CA23" s="23">
        <v>0</v>
      </c>
      <c r="CB23" s="23">
        <v>0</v>
      </c>
      <c r="CC23" s="23">
        <v>0</v>
      </c>
      <c r="CD23" s="23">
        <v>0</v>
      </c>
      <c r="CE23" s="23">
        <v>0</v>
      </c>
      <c r="CF23" s="23">
        <v>0</v>
      </c>
      <c r="CG23" s="23">
        <v>0</v>
      </c>
      <c r="CH23" s="23">
        <v>0</v>
      </c>
      <c r="CI23" s="23">
        <v>0</v>
      </c>
      <c r="CJ23" s="23">
        <v>0</v>
      </c>
      <c r="CK23" s="23">
        <v>0</v>
      </c>
      <c r="CL23" s="23">
        <v>0</v>
      </c>
      <c r="CM23" s="23">
        <v>0</v>
      </c>
      <c r="CN23" s="23">
        <v>0</v>
      </c>
      <c r="CO23" s="23">
        <v>0</v>
      </c>
      <c r="CP23" s="23">
        <v>0</v>
      </c>
      <c r="CQ23" s="23">
        <v>0</v>
      </c>
      <c r="CR23" s="23">
        <v>3</v>
      </c>
    </row>
    <row r="24" spans="1:96">
      <c r="A24" s="21" t="s">
        <v>78</v>
      </c>
      <c r="B24" s="22">
        <v>301010080</v>
      </c>
      <c r="C24" s="21">
        <v>223505</v>
      </c>
      <c r="D24" s="23">
        <v>0</v>
      </c>
      <c r="E24" s="23">
        <v>1</v>
      </c>
      <c r="F24" s="23">
        <v>0</v>
      </c>
      <c r="G24" s="23">
        <v>0</v>
      </c>
      <c r="H24" s="23">
        <v>0</v>
      </c>
      <c r="I24" s="23">
        <v>0</v>
      </c>
      <c r="J24" s="23">
        <v>0</v>
      </c>
      <c r="K24" s="23">
        <v>0</v>
      </c>
      <c r="L24" s="23">
        <v>0</v>
      </c>
      <c r="M24" s="23">
        <v>0</v>
      </c>
      <c r="N24" s="23">
        <v>0</v>
      </c>
      <c r="O24" s="23">
        <v>0</v>
      </c>
      <c r="P24" s="23">
        <v>0</v>
      </c>
      <c r="Q24" s="23">
        <v>0</v>
      </c>
      <c r="R24" s="23">
        <v>0</v>
      </c>
      <c r="S24" s="23">
        <v>0</v>
      </c>
      <c r="T24" s="23">
        <v>0</v>
      </c>
      <c r="U24" s="23">
        <v>0</v>
      </c>
      <c r="V24" s="23">
        <v>0</v>
      </c>
      <c r="W24" s="23">
        <v>0</v>
      </c>
      <c r="X24" s="23">
        <v>0</v>
      </c>
      <c r="Y24" s="23">
        <v>0</v>
      </c>
      <c r="Z24" s="23">
        <v>0</v>
      </c>
      <c r="AA24" s="23">
        <v>0</v>
      </c>
      <c r="AB24" s="23">
        <v>0</v>
      </c>
      <c r="AC24" s="23">
        <v>0</v>
      </c>
      <c r="AD24" s="23">
        <v>0</v>
      </c>
      <c r="AE24" s="23">
        <v>0</v>
      </c>
      <c r="AF24" s="23">
        <v>0</v>
      </c>
      <c r="AG24" s="23">
        <v>0</v>
      </c>
      <c r="AH24" s="23">
        <v>0</v>
      </c>
      <c r="AI24" s="23">
        <v>0</v>
      </c>
      <c r="AJ24" s="23">
        <v>0</v>
      </c>
      <c r="AK24" s="23">
        <v>0</v>
      </c>
      <c r="AL24" s="23">
        <v>0</v>
      </c>
      <c r="AM24" s="23">
        <v>0</v>
      </c>
      <c r="AN24" s="23">
        <v>0</v>
      </c>
      <c r="AO24" s="23">
        <v>0</v>
      </c>
      <c r="AP24" s="23">
        <v>0</v>
      </c>
      <c r="AQ24" s="23">
        <v>0</v>
      </c>
      <c r="AR24" s="23">
        <v>0</v>
      </c>
      <c r="AS24" s="23">
        <v>0</v>
      </c>
      <c r="AT24" s="23">
        <v>0</v>
      </c>
      <c r="AU24" s="23">
        <v>0</v>
      </c>
      <c r="AV24" s="23">
        <v>0</v>
      </c>
      <c r="AW24" s="23">
        <v>0</v>
      </c>
      <c r="AX24" s="23">
        <v>0</v>
      </c>
      <c r="AY24" s="23">
        <v>0</v>
      </c>
      <c r="AZ24" s="23">
        <v>0</v>
      </c>
      <c r="BA24" s="23">
        <v>0</v>
      </c>
      <c r="BB24" s="23">
        <v>0</v>
      </c>
      <c r="BC24" s="23">
        <v>0</v>
      </c>
      <c r="BD24" s="23">
        <v>0</v>
      </c>
      <c r="BE24" s="23">
        <v>0</v>
      </c>
      <c r="BF24" s="23">
        <v>0</v>
      </c>
      <c r="BG24" s="23">
        <v>0</v>
      </c>
      <c r="BH24" s="23">
        <v>0</v>
      </c>
      <c r="BI24" s="23">
        <v>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3">
        <v>0</v>
      </c>
      <c r="BQ24" s="23">
        <v>0</v>
      </c>
      <c r="BR24" s="23">
        <v>0</v>
      </c>
      <c r="BS24" s="23">
        <v>0</v>
      </c>
      <c r="BT24" s="23">
        <v>0</v>
      </c>
      <c r="BU24" s="23">
        <v>0</v>
      </c>
      <c r="BV24" s="23">
        <v>0</v>
      </c>
      <c r="BW24" s="23">
        <v>0</v>
      </c>
      <c r="BX24" s="23">
        <v>0</v>
      </c>
      <c r="BY24" s="23">
        <v>0</v>
      </c>
      <c r="BZ24" s="23">
        <v>0</v>
      </c>
      <c r="CA24" s="23">
        <v>0</v>
      </c>
      <c r="CB24" s="23">
        <v>0</v>
      </c>
      <c r="CC24" s="23">
        <v>0</v>
      </c>
      <c r="CD24" s="23">
        <v>0</v>
      </c>
      <c r="CE24" s="23">
        <v>0</v>
      </c>
      <c r="CF24" s="23">
        <v>0</v>
      </c>
      <c r="CG24" s="23">
        <v>0</v>
      </c>
      <c r="CH24" s="23">
        <v>0</v>
      </c>
      <c r="CI24" s="23">
        <v>0</v>
      </c>
      <c r="CJ24" s="23">
        <v>0</v>
      </c>
      <c r="CK24" s="23">
        <v>0</v>
      </c>
      <c r="CL24" s="23">
        <v>0</v>
      </c>
      <c r="CM24" s="23">
        <v>0</v>
      </c>
      <c r="CN24" s="23">
        <v>0</v>
      </c>
      <c r="CO24" s="23">
        <v>0</v>
      </c>
      <c r="CP24" s="23">
        <v>0</v>
      </c>
      <c r="CQ24" s="23">
        <v>0</v>
      </c>
      <c r="CR24" s="23">
        <v>1</v>
      </c>
    </row>
    <row r="25" spans="1:96">
      <c r="A25" s="18" t="s">
        <v>58</v>
      </c>
      <c r="B25" s="18"/>
      <c r="C25" s="18"/>
      <c r="D25" s="23">
        <v>2</v>
      </c>
      <c r="E25" s="23">
        <v>66</v>
      </c>
      <c r="F25" s="23">
        <v>33</v>
      </c>
      <c r="G25" s="23">
        <v>25</v>
      </c>
      <c r="H25" s="23">
        <v>7</v>
      </c>
      <c r="I25" s="23">
        <v>18</v>
      </c>
      <c r="J25" s="23">
        <v>23</v>
      </c>
      <c r="K25" s="23">
        <v>8</v>
      </c>
      <c r="L25" s="23">
        <v>16</v>
      </c>
      <c r="M25" s="23">
        <v>16</v>
      </c>
      <c r="N25" s="23">
        <v>11</v>
      </c>
      <c r="O25" s="23">
        <v>17</v>
      </c>
      <c r="P25" s="23">
        <v>13</v>
      </c>
      <c r="Q25" s="23">
        <v>10</v>
      </c>
      <c r="R25" s="23">
        <v>4</v>
      </c>
      <c r="S25" s="23">
        <v>9</v>
      </c>
      <c r="T25" s="23">
        <v>5</v>
      </c>
      <c r="U25" s="23">
        <v>9</v>
      </c>
      <c r="V25" s="23">
        <v>6</v>
      </c>
      <c r="W25" s="23">
        <v>8</v>
      </c>
      <c r="X25" s="23">
        <v>11</v>
      </c>
      <c r="Y25" s="23">
        <v>15</v>
      </c>
      <c r="Z25" s="23">
        <v>13</v>
      </c>
      <c r="AA25" s="23">
        <v>10</v>
      </c>
      <c r="AB25" s="23">
        <v>15</v>
      </c>
      <c r="AC25" s="23">
        <v>10</v>
      </c>
      <c r="AD25" s="23">
        <v>11</v>
      </c>
      <c r="AE25" s="23">
        <v>9</v>
      </c>
      <c r="AF25" s="23">
        <v>5</v>
      </c>
      <c r="AG25" s="23">
        <v>8</v>
      </c>
      <c r="AH25" s="23">
        <v>21</v>
      </c>
      <c r="AI25" s="23">
        <v>10</v>
      </c>
      <c r="AJ25" s="23">
        <v>14</v>
      </c>
      <c r="AK25" s="23">
        <v>12</v>
      </c>
      <c r="AL25" s="23">
        <v>18</v>
      </c>
      <c r="AM25" s="23">
        <v>12</v>
      </c>
      <c r="AN25" s="23">
        <v>11</v>
      </c>
      <c r="AO25" s="23">
        <v>8</v>
      </c>
      <c r="AP25" s="23">
        <v>7</v>
      </c>
      <c r="AQ25" s="23">
        <v>19</v>
      </c>
      <c r="AR25" s="23">
        <v>12</v>
      </c>
      <c r="AS25" s="23">
        <v>10</v>
      </c>
      <c r="AT25" s="23">
        <v>14</v>
      </c>
      <c r="AU25" s="23">
        <v>15</v>
      </c>
      <c r="AV25" s="23">
        <v>5</v>
      </c>
      <c r="AW25" s="23">
        <v>6</v>
      </c>
      <c r="AX25" s="23">
        <v>12</v>
      </c>
      <c r="AY25" s="23">
        <v>8</v>
      </c>
      <c r="AZ25" s="23">
        <v>9</v>
      </c>
      <c r="BA25" s="23">
        <v>20</v>
      </c>
      <c r="BB25" s="23">
        <v>12</v>
      </c>
      <c r="BC25" s="23">
        <v>19</v>
      </c>
      <c r="BD25" s="23">
        <v>21</v>
      </c>
      <c r="BE25" s="23">
        <v>16</v>
      </c>
      <c r="BF25" s="23">
        <v>15</v>
      </c>
      <c r="BG25" s="23">
        <v>20</v>
      </c>
      <c r="BH25" s="23">
        <v>8</v>
      </c>
      <c r="BI25" s="23">
        <v>12</v>
      </c>
      <c r="BJ25" s="23">
        <v>6</v>
      </c>
      <c r="BK25" s="23">
        <v>9</v>
      </c>
      <c r="BL25" s="23">
        <v>11</v>
      </c>
      <c r="BM25" s="23">
        <v>11</v>
      </c>
      <c r="BN25" s="23">
        <v>14</v>
      </c>
      <c r="BO25" s="23">
        <v>7</v>
      </c>
      <c r="BP25" s="23">
        <v>14</v>
      </c>
      <c r="BQ25" s="23">
        <v>22</v>
      </c>
      <c r="BR25" s="23">
        <v>21</v>
      </c>
      <c r="BS25" s="23">
        <v>11</v>
      </c>
      <c r="BT25" s="23">
        <v>11</v>
      </c>
      <c r="BU25" s="23">
        <v>22</v>
      </c>
      <c r="BV25" s="23">
        <v>11</v>
      </c>
      <c r="BW25" s="23">
        <v>11</v>
      </c>
      <c r="BX25" s="23">
        <v>13</v>
      </c>
      <c r="BY25" s="23">
        <v>10</v>
      </c>
      <c r="BZ25" s="23">
        <v>12</v>
      </c>
      <c r="CA25" s="23">
        <v>6</v>
      </c>
      <c r="CB25" s="23">
        <v>9</v>
      </c>
      <c r="CC25" s="23">
        <v>8</v>
      </c>
      <c r="CD25" s="23">
        <v>6</v>
      </c>
      <c r="CE25" s="23">
        <v>5</v>
      </c>
      <c r="CF25" s="23">
        <v>4</v>
      </c>
      <c r="CG25" s="23">
        <v>2</v>
      </c>
      <c r="CH25" s="23">
        <v>3</v>
      </c>
      <c r="CI25" s="23">
        <v>2</v>
      </c>
      <c r="CJ25" s="23">
        <v>3</v>
      </c>
      <c r="CK25" s="23">
        <v>4</v>
      </c>
      <c r="CL25" s="23">
        <v>2</v>
      </c>
      <c r="CM25" s="23">
        <v>1</v>
      </c>
      <c r="CN25" s="23">
        <v>1</v>
      </c>
      <c r="CO25" s="23">
        <v>3</v>
      </c>
      <c r="CP25" s="23">
        <v>1</v>
      </c>
      <c r="CQ25" s="23">
        <v>1</v>
      </c>
      <c r="CR25" s="23">
        <v>1056</v>
      </c>
    </row>
  </sheetData>
  <dataConsolidate/>
  <printOptions horizontalCentered="1"/>
  <pageMargins left="0.51181102362204722" right="0.51181102362204722" top="0.78740157480314965" bottom="0.78740157480314965" header="0.31496062992125984" footer="0.31496062992125984"/>
  <pageSetup paperSize="9" orientation="landscape" r:id="rId2"/>
  <headerFooter>
    <oddHeader>&amp;L&amp;"Segoe UI,Normal"Página &amp;P de &amp;N&amp;C&amp;"Segoe UI,Normal"BPA Consultas Consolidado&amp;R&amp;"Segoe UI,Normal"&amp;D - &amp;T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wsProcedimentos">
    <tabColor rgb="FF004846"/>
    <pageSetUpPr fitToPage="1"/>
  </sheetPr>
  <dimension ref="A1:L55"/>
  <sheetViews>
    <sheetView showGridLines="0" zoomScaleSheetLayoutView="100" workbookViewId="0"/>
  </sheetViews>
  <sheetFormatPr defaultRowHeight="15"/>
  <cols>
    <col min="1" max="1" width="7.42578125" style="1" bestFit="1" customWidth="1"/>
    <col min="2" max="2" width="20.85546875" style="1" bestFit="1" customWidth="1"/>
    <col min="3" max="3" width="20.140625" style="1" bestFit="1" customWidth="1"/>
    <col min="4" max="4" width="17.7109375" style="1" bestFit="1" customWidth="1"/>
    <col min="5" max="5" width="17.28515625" style="1" bestFit="1" customWidth="1"/>
    <col min="6" max="6" width="16" style="1" bestFit="1" customWidth="1"/>
    <col min="7" max="7" width="9.7109375" style="1" bestFit="1" customWidth="1"/>
    <col min="8" max="8" width="9.42578125" style="1" bestFit="1" customWidth="1"/>
    <col min="9" max="9" width="18.140625" style="1" bestFit="1" customWidth="1"/>
    <col min="10" max="10" width="41.5703125" style="1" bestFit="1" customWidth="1"/>
    <col min="11" max="11" width="22.7109375" style="1" bestFit="1" customWidth="1"/>
    <col min="12" max="12" width="35.42578125" style="1" bestFit="1" customWidth="1"/>
    <col min="13" max="16384" width="9.140625" style="1"/>
  </cols>
  <sheetData>
    <row r="1" spans="1:10">
      <c r="A1" s="18" t="s">
        <v>83</v>
      </c>
      <c r="B1" s="18" t="s">
        <v>21</v>
      </c>
      <c r="C1" s="18" t="s">
        <v>66</v>
      </c>
      <c r="D1" s="19" t="s">
        <v>56</v>
      </c>
      <c r="E1" s="18" t="s">
        <v>19</v>
      </c>
      <c r="F1" s="19" t="s">
        <v>80</v>
      </c>
      <c r="G1" s="19" t="s">
        <v>81</v>
      </c>
      <c r="H1" s="19" t="s">
        <v>82</v>
      </c>
      <c r="I1" s="19" t="s">
        <v>88</v>
      </c>
      <c r="J1" s="19" t="s">
        <v>86</v>
      </c>
    </row>
    <row r="2" spans="1:10">
      <c r="A2" s="7">
        <f t="shared" ref="A2:A15" si="0">ROW() -1</f>
        <v>1</v>
      </c>
      <c r="B2" s="8" t="s">
        <v>43</v>
      </c>
      <c r="C2" s="8" t="s">
        <v>84</v>
      </c>
      <c r="D2" s="9">
        <v>275</v>
      </c>
      <c r="E2" s="13">
        <v>21052018</v>
      </c>
      <c r="F2" s="14">
        <f t="shared" ref="F2:F33" si="1">IF(E2="","",DATE(YEAR(TEXT(E2,"00\/00\/0000")),MONTH(TEXT(E2,"00\/00\/0000"))+1,20))</f>
        <v>43271</v>
      </c>
      <c r="G2" s="10">
        <f t="shared" ref="G2:G33" si="2">YEAR(F2)</f>
        <v>2018</v>
      </c>
      <c r="H2" s="10" t="str">
        <f t="shared" ref="H2:H33" si="3">PROPER(TEXT(F2,"mmmm"))</f>
        <v>Junho</v>
      </c>
      <c r="I2" s="10" t="str">
        <f>INDEX(tbCadastroProcedimento[],MATCH(C2,tbCadastroProcedimento[PROCEDIMENTO],0),3) &amp; "-" &amp;INDEX(tbCadastroProfissional[],MATCH(B2,tbCadastroProfissional[PROFISSIONAL],0),3)</f>
        <v>301100020-322245</v>
      </c>
      <c r="J2" s="10" t="str">
        <f t="shared" ref="J2:J33" si="4">C2&amp; "-" &amp;B2</f>
        <v>MEDICAÇÃO-TÉC. DE ENFERMAGEM</v>
      </c>
    </row>
    <row r="3" spans="1:10">
      <c r="A3" s="7">
        <f t="shared" si="0"/>
        <v>2</v>
      </c>
      <c r="B3" s="8" t="s">
        <v>43</v>
      </c>
      <c r="C3" s="8" t="s">
        <v>50</v>
      </c>
      <c r="D3" s="9">
        <v>16</v>
      </c>
      <c r="E3" s="13">
        <v>21052018</v>
      </c>
      <c r="F3" s="14">
        <f t="shared" si="1"/>
        <v>43271</v>
      </c>
      <c r="G3" s="10">
        <f t="shared" si="2"/>
        <v>2018</v>
      </c>
      <c r="H3" s="10" t="str">
        <f t="shared" si="3"/>
        <v>Junho</v>
      </c>
      <c r="I3" s="10" t="str">
        <f>INDEX(tbCadastroProcedimento[],MATCH(C3,tbCadastroProcedimento[PROCEDIMENTO],0),3) &amp; "-" &amp;INDEX(tbCadastroProfissional[],MATCH(B3,tbCadastroProfissional[PROFISSIONAL],0),3)</f>
        <v>301100039-322245</v>
      </c>
      <c r="J3" s="10" t="str">
        <f t="shared" si="4"/>
        <v>PRESSÃO ARTERIAL-TÉC. DE ENFERMAGEM</v>
      </c>
    </row>
    <row r="4" spans="1:10">
      <c r="A4" s="7">
        <f t="shared" si="0"/>
        <v>3</v>
      </c>
      <c r="B4" s="8" t="s">
        <v>43</v>
      </c>
      <c r="C4" s="8" t="s">
        <v>54</v>
      </c>
      <c r="D4" s="9">
        <v>4</v>
      </c>
      <c r="E4" s="13">
        <v>21052018</v>
      </c>
      <c r="F4" s="14">
        <f t="shared" si="1"/>
        <v>43271</v>
      </c>
      <c r="G4" s="10">
        <f t="shared" si="2"/>
        <v>2018</v>
      </c>
      <c r="H4" s="10" t="str">
        <f t="shared" si="3"/>
        <v>Junho</v>
      </c>
      <c r="I4" s="10" t="str">
        <f>INDEX(tbCadastroProcedimento[],MATCH(C4,tbCadastroProcedimento[PROCEDIMENTO],0),3) &amp; "-" &amp;INDEX(tbCadastroProfissional[],MATCH(B4,tbCadastroProfissional[PROFISSIONAL],0),3)</f>
        <v>401010023-322245</v>
      </c>
      <c r="J4" s="10" t="str">
        <f t="shared" si="4"/>
        <v>CURATIVO-TÉC. DE ENFERMAGEM</v>
      </c>
    </row>
    <row r="5" spans="1:10">
      <c r="A5" s="7">
        <f t="shared" si="0"/>
        <v>4</v>
      </c>
      <c r="B5" s="8" t="s">
        <v>44</v>
      </c>
      <c r="C5" s="8" t="s">
        <v>84</v>
      </c>
      <c r="D5" s="9">
        <v>15</v>
      </c>
      <c r="E5" s="13">
        <v>21052018</v>
      </c>
      <c r="F5" s="14">
        <f t="shared" si="1"/>
        <v>43271</v>
      </c>
      <c r="G5" s="10">
        <f t="shared" si="2"/>
        <v>2018</v>
      </c>
      <c r="H5" s="10" t="str">
        <f t="shared" si="3"/>
        <v>Junho</v>
      </c>
      <c r="I5" s="10" t="str">
        <f>INDEX(tbCadastroProcedimento[],MATCH(C5,tbCadastroProcedimento[PROCEDIMENTO],0),3) &amp; "-" &amp;INDEX(tbCadastroProfissional[],MATCH(B5,tbCadastroProfissional[PROFISSIONAL],0),3)</f>
        <v>301100020-322230</v>
      </c>
      <c r="J5" s="10" t="str">
        <f t="shared" si="4"/>
        <v>MEDICAÇÃO-AUX. ENFERMAGEM</v>
      </c>
    </row>
    <row r="6" spans="1:10">
      <c r="A6" s="7">
        <f t="shared" si="0"/>
        <v>5</v>
      </c>
      <c r="B6" s="8" t="s">
        <v>44</v>
      </c>
      <c r="C6" s="8" t="s">
        <v>50</v>
      </c>
      <c r="D6" s="9">
        <v>66</v>
      </c>
      <c r="E6" s="13">
        <v>21052018</v>
      </c>
      <c r="F6" s="14">
        <f t="shared" si="1"/>
        <v>43271</v>
      </c>
      <c r="G6" s="10">
        <f t="shared" si="2"/>
        <v>2018</v>
      </c>
      <c r="H6" s="10" t="str">
        <f t="shared" si="3"/>
        <v>Junho</v>
      </c>
      <c r="I6" s="10" t="str">
        <f>INDEX(tbCadastroProcedimento[],MATCH(C6,tbCadastroProcedimento[PROCEDIMENTO],0),3) &amp; "-" &amp;INDEX(tbCadastroProfissional[],MATCH(B6,tbCadastroProfissional[PROFISSIONAL],0),3)</f>
        <v>301100039-322230</v>
      </c>
      <c r="J6" s="10" t="str">
        <f t="shared" si="4"/>
        <v>PRESSÃO ARTERIAL-AUX. ENFERMAGEM</v>
      </c>
    </row>
    <row r="7" spans="1:10">
      <c r="A7" s="7">
        <f t="shared" si="0"/>
        <v>6</v>
      </c>
      <c r="B7" s="8" t="s">
        <v>44</v>
      </c>
      <c r="C7" s="8" t="s">
        <v>45</v>
      </c>
      <c r="D7" s="9">
        <v>16</v>
      </c>
      <c r="E7" s="13">
        <v>21052018</v>
      </c>
      <c r="F7" s="14">
        <f t="shared" si="1"/>
        <v>43271</v>
      </c>
      <c r="G7" s="10">
        <f t="shared" si="2"/>
        <v>2018</v>
      </c>
      <c r="H7" s="10" t="str">
        <f t="shared" si="3"/>
        <v>Junho</v>
      </c>
      <c r="I7" s="10" t="str">
        <f>INDEX(tbCadastroProcedimento[],MATCH(C7,tbCadastroProcedimento[PROCEDIMENTO],0),3) &amp; "-" &amp;INDEX(tbCadastroProfissional[],MATCH(B7,tbCadastroProfissional[PROFISSIONAL],0),3)</f>
        <v>201020041-322230</v>
      </c>
      <c r="J7" s="10" t="str">
        <f t="shared" si="4"/>
        <v>EX. LAB-AUX. ENFERMAGEM</v>
      </c>
    </row>
    <row r="8" spans="1:10">
      <c r="A8" s="7">
        <f t="shared" si="0"/>
        <v>7</v>
      </c>
      <c r="B8" s="8" t="s">
        <v>42</v>
      </c>
      <c r="C8" s="8" t="s">
        <v>41</v>
      </c>
      <c r="D8" s="9">
        <v>284</v>
      </c>
      <c r="E8" s="13">
        <v>21052018</v>
      </c>
      <c r="F8" s="14">
        <f t="shared" si="1"/>
        <v>43271</v>
      </c>
      <c r="G8" s="10">
        <f t="shared" si="2"/>
        <v>2018</v>
      </c>
      <c r="H8" s="10" t="str">
        <f t="shared" si="3"/>
        <v>Junho</v>
      </c>
      <c r="I8" s="10" t="str">
        <f>INDEX(tbCadastroProcedimento[],MATCH(C8,tbCadastroProcedimento[PROCEDIMENTO],0),3) &amp; "-" &amp;INDEX(tbCadastroProfissional[],MATCH(B8,tbCadastroProfissional[PROFISSIONAL],0),3)</f>
        <v>101030010-515105</v>
      </c>
      <c r="J8" s="10" t="str">
        <f t="shared" si="4"/>
        <v>VISITA DOMICILIAR-AGENTE C. SAÚDE</v>
      </c>
    </row>
    <row r="9" spans="1:10">
      <c r="A9" s="7">
        <f t="shared" si="0"/>
        <v>8</v>
      </c>
      <c r="B9" s="8" t="s">
        <v>25</v>
      </c>
      <c r="C9" s="8" t="s">
        <v>28</v>
      </c>
      <c r="D9" s="9">
        <v>4</v>
      </c>
      <c r="E9" s="13">
        <v>21052018</v>
      </c>
      <c r="F9" s="14">
        <f t="shared" si="1"/>
        <v>43271</v>
      </c>
      <c r="G9" s="10">
        <f t="shared" si="2"/>
        <v>2018</v>
      </c>
      <c r="H9" s="10" t="str">
        <f t="shared" si="3"/>
        <v>Junho</v>
      </c>
      <c r="I9" s="10" t="str">
        <f>INDEX(tbCadastroProcedimento[],MATCH(C9,tbCadastroProcedimento[PROCEDIMENTO],0),3) &amp; "-" &amp;INDEX(tbCadastroProfissional[],MATCH(B9,tbCadastroProfissional[PROFISSIONAL],0),3)</f>
        <v>101010010-223565</v>
      </c>
      <c r="J9" s="10" t="str">
        <f t="shared" si="4"/>
        <v>GRUPO ENFERMAGEM-ENFERMEIRO (A) PACS</v>
      </c>
    </row>
    <row r="10" spans="1:10">
      <c r="A10" s="7">
        <f t="shared" si="0"/>
        <v>9</v>
      </c>
      <c r="B10" s="8" t="s">
        <v>23</v>
      </c>
      <c r="C10" s="8" t="s">
        <v>45</v>
      </c>
      <c r="D10" s="9">
        <v>21</v>
      </c>
      <c r="E10" s="13">
        <v>21052018</v>
      </c>
      <c r="F10" s="14">
        <f t="shared" si="1"/>
        <v>43271</v>
      </c>
      <c r="G10" s="10">
        <f t="shared" si="2"/>
        <v>2018</v>
      </c>
      <c r="H10" s="10" t="str">
        <f t="shared" si="3"/>
        <v>Junho</v>
      </c>
      <c r="I10" s="10" t="str">
        <f>INDEX(tbCadastroProcedimento[],MATCH(C10,tbCadastroProcedimento[PROCEDIMENTO],0),3) &amp; "-" &amp;INDEX(tbCadastroProfissional[],MATCH(B10,tbCadastroProfissional[PROFISSIONAL],0),3)</f>
        <v>201020041-223505</v>
      </c>
      <c r="J10" s="10" t="str">
        <f t="shared" si="4"/>
        <v>EX. LAB-ENFERMEIRO (A)</v>
      </c>
    </row>
    <row r="11" spans="1:10">
      <c r="A11" s="7">
        <f t="shared" si="0"/>
        <v>10</v>
      </c>
      <c r="B11" s="8" t="s">
        <v>44</v>
      </c>
      <c r="C11" s="8" t="s">
        <v>47</v>
      </c>
      <c r="D11" s="9">
        <v>8</v>
      </c>
      <c r="E11" s="13">
        <v>21052018</v>
      </c>
      <c r="F11" s="14">
        <f t="shared" si="1"/>
        <v>43271</v>
      </c>
      <c r="G11" s="10">
        <f t="shared" si="2"/>
        <v>2018</v>
      </c>
      <c r="H11" s="10" t="str">
        <f t="shared" si="3"/>
        <v>Junho</v>
      </c>
      <c r="I11" s="10" t="str">
        <f>INDEX(tbCadastroProcedimento[],MATCH(C11,tbCadastroProcedimento[PROCEDIMENTO],0),3) &amp; "-" &amp;INDEX(tbCadastroProfissional[],MATCH(B11,tbCadastroProfissional[PROFISSIONAL],0),3)</f>
        <v>214010066-322230</v>
      </c>
      <c r="J11" s="10" t="str">
        <f t="shared" si="4"/>
        <v>TESTE DE GRAVIDEZ-AUX. ENFERMAGEM</v>
      </c>
    </row>
    <row r="12" spans="1:10">
      <c r="A12" s="7">
        <f t="shared" si="0"/>
        <v>11</v>
      </c>
      <c r="B12" s="8" t="s">
        <v>44</v>
      </c>
      <c r="C12" s="8" t="s">
        <v>54</v>
      </c>
      <c r="D12" s="9">
        <v>14</v>
      </c>
      <c r="E12" s="13">
        <v>21052018</v>
      </c>
      <c r="F12" s="14">
        <f t="shared" si="1"/>
        <v>43271</v>
      </c>
      <c r="G12" s="10">
        <f t="shared" si="2"/>
        <v>2018</v>
      </c>
      <c r="H12" s="10" t="str">
        <f t="shared" si="3"/>
        <v>Junho</v>
      </c>
      <c r="I12" s="10" t="str">
        <f>INDEX(tbCadastroProcedimento[],MATCH(C12,tbCadastroProcedimento[PROCEDIMENTO],0),3) &amp; "-" &amp;INDEX(tbCadastroProfissional[],MATCH(B12,tbCadastroProfissional[PROFISSIONAL],0),3)</f>
        <v>401010023-322230</v>
      </c>
      <c r="J12" s="10" t="str">
        <f t="shared" si="4"/>
        <v>CURATIVO-AUX. ENFERMAGEM</v>
      </c>
    </row>
    <row r="13" spans="1:10">
      <c r="A13" s="7">
        <f t="shared" si="0"/>
        <v>12</v>
      </c>
      <c r="B13" s="8" t="s">
        <v>44</v>
      </c>
      <c r="C13" s="8" t="s">
        <v>49</v>
      </c>
      <c r="D13" s="9">
        <v>21</v>
      </c>
      <c r="E13" s="13">
        <v>21052018</v>
      </c>
      <c r="F13" s="14">
        <f t="shared" si="1"/>
        <v>43271</v>
      </c>
      <c r="G13" s="10">
        <f t="shared" si="2"/>
        <v>2018</v>
      </c>
      <c r="H13" s="10" t="str">
        <f t="shared" si="3"/>
        <v>Junho</v>
      </c>
      <c r="I13" s="10" t="str">
        <f>INDEX(tbCadastroProcedimento[],MATCH(C13,tbCadastroProcedimento[PROCEDIMENTO],0),3) &amp; "-" &amp;INDEX(tbCadastroProfissional[],MATCH(B13,tbCadastroProfissional[PROFISSIONAL],0),3)</f>
        <v>214010015-322230</v>
      </c>
      <c r="J13" s="10" t="str">
        <f t="shared" si="4"/>
        <v>GLICEMIA -AUX. ENFERMAGEM</v>
      </c>
    </row>
    <row r="14" spans="1:10">
      <c r="A14" s="7">
        <f t="shared" si="0"/>
        <v>13</v>
      </c>
      <c r="B14" s="8" t="s">
        <v>43</v>
      </c>
      <c r="C14" s="8" t="s">
        <v>55</v>
      </c>
      <c r="D14" s="9">
        <v>1</v>
      </c>
      <c r="E14" s="13">
        <v>21052018</v>
      </c>
      <c r="F14" s="14">
        <f t="shared" si="1"/>
        <v>43271</v>
      </c>
      <c r="G14" s="10">
        <f t="shared" si="2"/>
        <v>2018</v>
      </c>
      <c r="H14" s="10" t="str">
        <f t="shared" si="3"/>
        <v>Junho</v>
      </c>
      <c r="I14" s="10" t="str">
        <f>INDEX(tbCadastroProcedimento[],MATCH(C14,tbCadastroProcedimento[PROCEDIMENTO],0),3) &amp; "-" &amp;INDEX(tbCadastroProfissional[],MATCH(B14,tbCadastroProfissional[PROFISSIONAL],0),3)</f>
        <v>301100101-322245</v>
      </c>
      <c r="J14" s="10" t="str">
        <f t="shared" si="4"/>
        <v>INALAÇÃO-TÉC. DE ENFERMAGEM</v>
      </c>
    </row>
    <row r="15" spans="1:10">
      <c r="A15" s="7">
        <f t="shared" si="0"/>
        <v>14</v>
      </c>
      <c r="B15" s="8" t="s">
        <v>29</v>
      </c>
      <c r="C15" s="8" t="s">
        <v>30</v>
      </c>
      <c r="D15" s="9">
        <v>2</v>
      </c>
      <c r="E15" s="13">
        <v>21052018</v>
      </c>
      <c r="F15" s="14">
        <f t="shared" si="1"/>
        <v>43271</v>
      </c>
      <c r="G15" s="10">
        <f t="shared" si="2"/>
        <v>2018</v>
      </c>
      <c r="H15" s="10" t="str">
        <f t="shared" si="3"/>
        <v>Junho</v>
      </c>
      <c r="I15" s="10" t="str">
        <f>INDEX(tbCadastroProcedimento[],MATCH(C15,tbCadastroProcedimento[PROCEDIMENTO],0),3) &amp; "-" &amp;INDEX(tbCadastroProfissional[],MATCH(B15,tbCadastroProfissional[PROFISSIONAL],0),3)</f>
        <v>301040044-251510</v>
      </c>
      <c r="J15" s="10" t="str">
        <f t="shared" si="4"/>
        <v>GRUPO PSICOLOGIA-PSICÓLOGO (A)</v>
      </c>
    </row>
    <row r="16" spans="1:10">
      <c r="A16" s="7">
        <f t="shared" ref="A16:A27" si="5">ROW() -1</f>
        <v>15</v>
      </c>
      <c r="B16" s="8" t="s">
        <v>44</v>
      </c>
      <c r="C16" s="8" t="s">
        <v>48</v>
      </c>
      <c r="D16" s="9">
        <v>6</v>
      </c>
      <c r="E16" s="13">
        <v>21052018</v>
      </c>
      <c r="F16" s="14">
        <f t="shared" si="1"/>
        <v>43271</v>
      </c>
      <c r="G16" s="10">
        <f t="shared" si="2"/>
        <v>2018</v>
      </c>
      <c r="H16" s="10" t="str">
        <f t="shared" si="3"/>
        <v>Junho</v>
      </c>
      <c r="I16" s="10" t="str">
        <f>INDEX(tbCadastroProcedimento[],MATCH(C16,tbCadastroProcedimento[PROCEDIMENTO],0),3) &amp; "-" &amp;INDEX(tbCadastroProfissional[],MATCH(B16,tbCadastroProfissional[PROFISSIONAL],0),3)</f>
        <v>301100152-322230</v>
      </c>
      <c r="J16" s="10" t="str">
        <f t="shared" si="4"/>
        <v>RETIRADA DE PONTO-AUX. ENFERMAGEM</v>
      </c>
    </row>
    <row r="17" spans="1:12">
      <c r="A17" s="7">
        <f t="shared" si="5"/>
        <v>16</v>
      </c>
      <c r="B17" s="8" t="s">
        <v>25</v>
      </c>
      <c r="C17" s="8" t="s">
        <v>53</v>
      </c>
      <c r="D17" s="9">
        <v>22</v>
      </c>
      <c r="E17" s="13">
        <v>21052018</v>
      </c>
      <c r="F17" s="14">
        <f t="shared" si="1"/>
        <v>43271</v>
      </c>
      <c r="G17" s="10">
        <f t="shared" si="2"/>
        <v>2018</v>
      </c>
      <c r="H17" s="10" t="str">
        <f t="shared" si="3"/>
        <v>Junho</v>
      </c>
      <c r="I17" s="10" t="str">
        <f>INDEX(tbCadastroProcedimento[],MATCH(C17,tbCadastroProcedimento[PROCEDIMENTO],0),3) &amp; "-" &amp;INDEX(tbCadastroProfissional[],MATCH(B17,tbCadastroProfissional[PROFISSIONAL],0),3)</f>
        <v>201020033-223565</v>
      </c>
      <c r="J17" s="10" t="str">
        <f t="shared" si="4"/>
        <v>PAPANICOLAU-ENFERMEIRO (A) PACS</v>
      </c>
    </row>
    <row r="18" spans="1:12">
      <c r="A18" s="7">
        <f t="shared" si="5"/>
        <v>17</v>
      </c>
      <c r="B18" s="8" t="s">
        <v>43</v>
      </c>
      <c r="C18" s="8" t="s">
        <v>48</v>
      </c>
      <c r="D18" s="9">
        <v>2</v>
      </c>
      <c r="E18" s="13">
        <v>21052018</v>
      </c>
      <c r="F18" s="14">
        <f t="shared" si="1"/>
        <v>43271</v>
      </c>
      <c r="G18" s="10">
        <f t="shared" si="2"/>
        <v>2018</v>
      </c>
      <c r="H18" s="10" t="str">
        <f t="shared" si="3"/>
        <v>Junho</v>
      </c>
      <c r="I18" s="10" t="str">
        <f>INDEX(tbCadastroProcedimento[],MATCH(C18,tbCadastroProcedimento[PROCEDIMENTO],0),3) &amp; "-" &amp;INDEX(tbCadastroProfissional[],MATCH(B18,tbCadastroProfissional[PROFISSIONAL],0),3)</f>
        <v>301100152-322245</v>
      </c>
      <c r="J18" s="10" t="str">
        <f t="shared" si="4"/>
        <v>RETIRADA DE PONTO-TÉC. DE ENFERMAGEM</v>
      </c>
    </row>
    <row r="19" spans="1:12">
      <c r="A19" s="7">
        <f t="shared" si="5"/>
        <v>18</v>
      </c>
      <c r="B19" s="8" t="s">
        <v>23</v>
      </c>
      <c r="C19" s="8" t="s">
        <v>48</v>
      </c>
      <c r="D19" s="9">
        <v>4</v>
      </c>
      <c r="E19" s="13">
        <v>21052018</v>
      </c>
      <c r="F19" s="14">
        <f t="shared" si="1"/>
        <v>43271</v>
      </c>
      <c r="G19" s="10">
        <f t="shared" si="2"/>
        <v>2018</v>
      </c>
      <c r="H19" s="10" t="str">
        <f t="shared" si="3"/>
        <v>Junho</v>
      </c>
      <c r="I19" s="10" t="str">
        <f>INDEX(tbCadastroProcedimento[],MATCH(C19,tbCadastroProcedimento[PROCEDIMENTO],0),3) &amp; "-" &amp;INDEX(tbCadastroProfissional[],MATCH(B19,tbCadastroProfissional[PROFISSIONAL],0),3)</f>
        <v>301100152-223505</v>
      </c>
      <c r="J19" s="10" t="str">
        <f t="shared" si="4"/>
        <v>RETIRADA DE PONTO-ENFERMEIRO (A)</v>
      </c>
    </row>
    <row r="20" spans="1:12">
      <c r="A20" s="7">
        <f t="shared" si="5"/>
        <v>19</v>
      </c>
      <c r="B20" s="8" t="s">
        <v>12</v>
      </c>
      <c r="C20" s="8" t="s">
        <v>22</v>
      </c>
      <c r="D20" s="9">
        <v>1</v>
      </c>
      <c r="E20" s="13">
        <v>21052018</v>
      </c>
      <c r="F20" s="14">
        <f t="shared" si="1"/>
        <v>43271</v>
      </c>
      <c r="G20" s="10">
        <f t="shared" si="2"/>
        <v>2018</v>
      </c>
      <c r="H20" s="10" t="str">
        <f t="shared" si="3"/>
        <v>Junho</v>
      </c>
      <c r="I20" s="10" t="str">
        <f>INDEX(tbCadastroProcedimento[],MATCH(C20,tbCadastroProcedimento[PROCEDIMENTO],0),3) &amp; "-" &amp;INDEX(tbCadastroProfissional[],MATCH(B20,tbCadastroProfissional[PROFISSIONAL],0),3)</f>
        <v>101010010-223710</v>
      </c>
      <c r="J20" s="10" t="str">
        <f t="shared" si="4"/>
        <v>GRUPO NUTRIÇÃO-NUTRIÇÃO</v>
      </c>
    </row>
    <row r="21" spans="1:12">
      <c r="A21" s="7">
        <f t="shared" si="5"/>
        <v>20</v>
      </c>
      <c r="B21" s="8" t="s">
        <v>23</v>
      </c>
      <c r="C21" s="8" t="s">
        <v>28</v>
      </c>
      <c r="D21" s="9">
        <v>1</v>
      </c>
      <c r="E21" s="13">
        <v>21052018</v>
      </c>
      <c r="F21" s="14">
        <f t="shared" si="1"/>
        <v>43271</v>
      </c>
      <c r="G21" s="10">
        <f t="shared" si="2"/>
        <v>2018</v>
      </c>
      <c r="H21" s="10" t="str">
        <f t="shared" si="3"/>
        <v>Junho</v>
      </c>
      <c r="I21" s="10" t="str">
        <f>INDEX(tbCadastroProcedimento[],MATCH(C21,tbCadastroProcedimento[PROCEDIMENTO],0),3) &amp; "-" &amp;INDEX(tbCadastroProfissional[],MATCH(B21,tbCadastroProfissional[PROFISSIONAL],0),3)</f>
        <v>101010010-223505</v>
      </c>
      <c r="J21" s="10" t="str">
        <f t="shared" si="4"/>
        <v>GRUPO ENFERMAGEM-ENFERMEIRO (A)</v>
      </c>
    </row>
    <row r="22" spans="1:12">
      <c r="A22" s="7">
        <f t="shared" si="5"/>
        <v>21</v>
      </c>
      <c r="B22" s="8" t="s">
        <v>25</v>
      </c>
      <c r="C22" s="8" t="s">
        <v>54</v>
      </c>
      <c r="D22" s="9">
        <v>2</v>
      </c>
      <c r="E22" s="13">
        <v>21052018</v>
      </c>
      <c r="F22" s="14">
        <f t="shared" si="1"/>
        <v>43271</v>
      </c>
      <c r="G22" s="10">
        <f t="shared" si="2"/>
        <v>2018</v>
      </c>
      <c r="H22" s="10" t="str">
        <f t="shared" si="3"/>
        <v>Junho</v>
      </c>
      <c r="I22" s="10" t="str">
        <f>INDEX(tbCadastroProcedimento[],MATCH(C22,tbCadastroProcedimento[PROCEDIMENTO],0),3) &amp; "-" &amp;INDEX(tbCadastroProfissional[],MATCH(B22,tbCadastroProfissional[PROFISSIONAL],0),3)</f>
        <v>401010023-223565</v>
      </c>
      <c r="J22" s="10" t="str">
        <f t="shared" si="4"/>
        <v>CURATIVO-ENFERMEIRO (A) PACS</v>
      </c>
    </row>
    <row r="23" spans="1:12">
      <c r="A23" s="7">
        <f t="shared" si="5"/>
        <v>22</v>
      </c>
      <c r="B23" s="8" t="s">
        <v>25</v>
      </c>
      <c r="C23" s="8" t="s">
        <v>48</v>
      </c>
      <c r="D23" s="9">
        <v>1</v>
      </c>
      <c r="E23" s="13">
        <v>21052018</v>
      </c>
      <c r="F23" s="14">
        <f t="shared" si="1"/>
        <v>43271</v>
      </c>
      <c r="G23" s="10">
        <f t="shared" si="2"/>
        <v>2018</v>
      </c>
      <c r="H23" s="10" t="str">
        <f t="shared" si="3"/>
        <v>Junho</v>
      </c>
      <c r="I23" s="10" t="str">
        <f>INDEX(tbCadastroProcedimento[],MATCH(C23,tbCadastroProcedimento[PROCEDIMENTO],0),3) &amp; "-" &amp;INDEX(tbCadastroProfissional[],MATCH(B23,tbCadastroProfissional[PROFISSIONAL],0),3)</f>
        <v>301100152-223565</v>
      </c>
      <c r="J23" s="10" t="str">
        <f t="shared" si="4"/>
        <v>RETIRADA DE PONTO-ENFERMEIRO (A) PACS</v>
      </c>
    </row>
    <row r="24" spans="1:12">
      <c r="A24" s="7">
        <f t="shared" si="5"/>
        <v>23</v>
      </c>
      <c r="B24" s="8" t="s">
        <v>23</v>
      </c>
      <c r="C24" s="8" t="s">
        <v>84</v>
      </c>
      <c r="D24" s="9">
        <v>9</v>
      </c>
      <c r="E24" s="13">
        <v>21052018</v>
      </c>
      <c r="F24" s="14">
        <f t="shared" si="1"/>
        <v>43271</v>
      </c>
      <c r="G24" s="10">
        <f t="shared" si="2"/>
        <v>2018</v>
      </c>
      <c r="H24" s="10" t="str">
        <f t="shared" si="3"/>
        <v>Junho</v>
      </c>
      <c r="I24" s="10" t="str">
        <f>INDEX(tbCadastroProcedimento[],MATCH(C24,tbCadastroProcedimento[PROCEDIMENTO],0),3) &amp; "-" &amp;INDEX(tbCadastroProfissional[],MATCH(B24,tbCadastroProfissional[PROFISSIONAL],0),3)</f>
        <v>301100020-223505</v>
      </c>
      <c r="J24" s="10" t="str">
        <f t="shared" si="4"/>
        <v>MEDICAÇÃO-ENFERMEIRO (A)</v>
      </c>
    </row>
    <row r="25" spans="1:12">
      <c r="A25" s="7">
        <f t="shared" si="5"/>
        <v>24</v>
      </c>
      <c r="B25" s="8" t="s">
        <v>40</v>
      </c>
      <c r="C25" s="8" t="s">
        <v>65</v>
      </c>
      <c r="D25" s="9">
        <v>1</v>
      </c>
      <c r="E25" s="13">
        <v>21052018</v>
      </c>
      <c r="F25" s="14">
        <f t="shared" si="1"/>
        <v>43271</v>
      </c>
      <c r="G25" s="10">
        <f t="shared" si="2"/>
        <v>2018</v>
      </c>
      <c r="H25" s="10" t="str">
        <f t="shared" si="3"/>
        <v>Junho</v>
      </c>
      <c r="I25" s="10" t="str">
        <f>INDEX(tbCadastroProcedimento[],MATCH(C25,tbCadastroProcedimento[PROCEDIMENTO],0),3) &amp; "-" &amp;INDEX(tbCadastroProfissional[],MATCH(B25,tbCadastroProfissional[PROFISSIONAL],0),3)</f>
        <v>101010010-225142</v>
      </c>
      <c r="J25" s="10" t="str">
        <f t="shared" si="4"/>
        <v>GRUPO M.E.S.F.-M.E.S.F.</v>
      </c>
    </row>
    <row r="26" spans="1:12">
      <c r="A26" s="7">
        <f t="shared" si="5"/>
        <v>25</v>
      </c>
      <c r="B26" s="8" t="s">
        <v>25</v>
      </c>
      <c r="C26" s="8" t="s">
        <v>45</v>
      </c>
      <c r="D26" s="9">
        <v>4</v>
      </c>
      <c r="E26" s="13">
        <v>21052018</v>
      </c>
      <c r="F26" s="14">
        <f t="shared" si="1"/>
        <v>43271</v>
      </c>
      <c r="G26" s="10">
        <f t="shared" si="2"/>
        <v>2018</v>
      </c>
      <c r="H26" s="10" t="str">
        <f t="shared" si="3"/>
        <v>Junho</v>
      </c>
      <c r="I26" s="10" t="str">
        <f>INDEX(tbCadastroProcedimento[],MATCH(C26,tbCadastroProcedimento[PROCEDIMENTO],0),3) &amp; "-" &amp;INDEX(tbCadastroProfissional[],MATCH(B26,tbCadastroProfissional[PROFISSIONAL],0),3)</f>
        <v>201020041-223565</v>
      </c>
      <c r="J26" s="10" t="str">
        <f t="shared" si="4"/>
        <v>EX. LAB-ENFERMEIRO (A) PACS</v>
      </c>
    </row>
    <row r="27" spans="1:12">
      <c r="A27" s="7">
        <f t="shared" si="5"/>
        <v>26</v>
      </c>
      <c r="B27" s="8" t="s">
        <v>23</v>
      </c>
      <c r="C27" s="8" t="s">
        <v>53</v>
      </c>
      <c r="D27" s="9">
        <v>5</v>
      </c>
      <c r="E27" s="13">
        <v>21052018</v>
      </c>
      <c r="F27" s="14">
        <f t="shared" si="1"/>
        <v>43271</v>
      </c>
      <c r="G27" s="10">
        <f t="shared" si="2"/>
        <v>2018</v>
      </c>
      <c r="H27" s="10" t="str">
        <f t="shared" si="3"/>
        <v>Junho</v>
      </c>
      <c r="I27" s="10" t="str">
        <f>INDEX(tbCadastroProcedimento[],MATCH(C27,tbCadastroProcedimento[PROCEDIMENTO],0),3) &amp; "-" &amp;INDEX(tbCadastroProfissional[],MATCH(B27,tbCadastroProfissional[PROFISSIONAL],0),3)</f>
        <v>201020033-223505</v>
      </c>
      <c r="J27" s="10" t="str">
        <f t="shared" si="4"/>
        <v>PAPANICOLAU-ENFERMEIRO (A)</v>
      </c>
    </row>
    <row r="28" spans="1:12">
      <c r="A28" s="7">
        <f t="shared" ref="A28:A39" si="6">ROW() -1</f>
        <v>27</v>
      </c>
      <c r="B28" s="8" t="s">
        <v>43</v>
      </c>
      <c r="C28" s="8" t="s">
        <v>47</v>
      </c>
      <c r="D28" s="9">
        <v>1</v>
      </c>
      <c r="E28" s="13">
        <v>21052018</v>
      </c>
      <c r="F28" s="14">
        <f t="shared" si="1"/>
        <v>43271</v>
      </c>
      <c r="G28" s="10">
        <f t="shared" si="2"/>
        <v>2018</v>
      </c>
      <c r="H28" s="10" t="str">
        <f t="shared" si="3"/>
        <v>Junho</v>
      </c>
      <c r="I28" s="10" t="str">
        <f>INDEX(tbCadastroProcedimento[],MATCH(C28,tbCadastroProcedimento[PROCEDIMENTO],0),3) &amp; "-" &amp;INDEX(tbCadastroProfissional[],MATCH(B28,tbCadastroProfissional[PROFISSIONAL],0),3)</f>
        <v>214010066-322245</v>
      </c>
      <c r="J28" s="10" t="str">
        <f t="shared" si="4"/>
        <v>TESTE DE GRAVIDEZ-TÉC. DE ENFERMAGEM</v>
      </c>
    </row>
    <row r="29" spans="1:12">
      <c r="A29" s="7">
        <f t="shared" si="6"/>
        <v>28</v>
      </c>
      <c r="B29" s="8" t="s">
        <v>43</v>
      </c>
      <c r="C29" s="8" t="s">
        <v>84</v>
      </c>
      <c r="D29" s="9">
        <v>124</v>
      </c>
      <c r="E29" s="13">
        <v>21052018</v>
      </c>
      <c r="F29" s="14">
        <f t="shared" si="1"/>
        <v>43271</v>
      </c>
      <c r="G29" s="10">
        <f t="shared" si="2"/>
        <v>2018</v>
      </c>
      <c r="H29" s="10" t="str">
        <f t="shared" si="3"/>
        <v>Junho</v>
      </c>
      <c r="I29" s="10" t="str">
        <f>INDEX(tbCadastroProcedimento[],MATCH(C29,tbCadastroProcedimento[PROCEDIMENTO],0),3) &amp; "-" &amp;INDEX(tbCadastroProfissional[],MATCH(B29,tbCadastroProfissional[PROFISSIONAL],0),3)</f>
        <v>301100020-322245</v>
      </c>
      <c r="J29" s="10" t="str">
        <f t="shared" si="4"/>
        <v>MEDICAÇÃO-TÉC. DE ENFERMAGEM</v>
      </c>
      <c r="L29" s="1">
        <f>IF(tbProcedimentos[[#This Row],[DATA INICIAL]]="","",DATE(YEAR(TEXT(tbProcedimentos[[#This Row],[DATA INICIAL]],"00\/00\/0000")),MONTH(TEXT(tbProcedimentos[[#This Row],[DATA INICIAL]],"00\/00\/0000"))+1,20))</f>
        <v>43271</v>
      </c>
    </row>
    <row r="30" spans="1:12">
      <c r="A30" s="7">
        <f t="shared" si="6"/>
        <v>29</v>
      </c>
      <c r="B30" s="8" t="s">
        <v>44</v>
      </c>
      <c r="C30" s="8" t="s">
        <v>54</v>
      </c>
      <c r="D30" s="9">
        <v>16</v>
      </c>
      <c r="E30" s="13">
        <v>21052018</v>
      </c>
      <c r="F30" s="14">
        <f t="shared" si="1"/>
        <v>43271</v>
      </c>
      <c r="G30" s="10">
        <f t="shared" si="2"/>
        <v>2018</v>
      </c>
      <c r="H30" s="10" t="str">
        <f t="shared" si="3"/>
        <v>Junho</v>
      </c>
      <c r="I30" s="10" t="str">
        <f>INDEX(tbCadastroProcedimento[],MATCH(C30,tbCadastroProcedimento[PROCEDIMENTO],0),3) &amp; "-" &amp;INDEX(tbCadastroProfissional[],MATCH(B30,tbCadastroProfissional[PROFISSIONAL],0),3)</f>
        <v>401010023-322230</v>
      </c>
      <c r="J30" s="10" t="str">
        <f t="shared" si="4"/>
        <v>CURATIVO-AUX. ENFERMAGEM</v>
      </c>
    </row>
    <row r="31" spans="1:12">
      <c r="A31" s="7">
        <f t="shared" si="6"/>
        <v>30</v>
      </c>
      <c r="B31" s="8" t="s">
        <v>44</v>
      </c>
      <c r="C31" s="8" t="s">
        <v>48</v>
      </c>
      <c r="D31" s="9">
        <v>12</v>
      </c>
      <c r="E31" s="13">
        <v>21052018</v>
      </c>
      <c r="F31" s="14">
        <f t="shared" si="1"/>
        <v>43271</v>
      </c>
      <c r="G31" s="10">
        <f t="shared" si="2"/>
        <v>2018</v>
      </c>
      <c r="H31" s="10" t="str">
        <f t="shared" si="3"/>
        <v>Junho</v>
      </c>
      <c r="I31" s="10" t="str">
        <f>INDEX(tbCadastroProcedimento[],MATCH(C31,tbCadastroProcedimento[PROCEDIMENTO],0),3) &amp; "-" &amp;INDEX(tbCadastroProfissional[],MATCH(B31,tbCadastroProfissional[PROFISSIONAL],0),3)</f>
        <v>301100152-322230</v>
      </c>
      <c r="J31" s="10" t="str">
        <f t="shared" si="4"/>
        <v>RETIRADA DE PONTO-AUX. ENFERMAGEM</v>
      </c>
    </row>
    <row r="32" spans="1:12">
      <c r="A32" s="7">
        <f t="shared" si="6"/>
        <v>31</v>
      </c>
      <c r="B32" s="8" t="s">
        <v>44</v>
      </c>
      <c r="C32" s="8" t="s">
        <v>47</v>
      </c>
      <c r="D32" s="9">
        <v>4</v>
      </c>
      <c r="E32" s="13">
        <v>21052018</v>
      </c>
      <c r="F32" s="14">
        <f t="shared" si="1"/>
        <v>43271</v>
      </c>
      <c r="G32" s="10">
        <f t="shared" si="2"/>
        <v>2018</v>
      </c>
      <c r="H32" s="10" t="str">
        <f t="shared" si="3"/>
        <v>Junho</v>
      </c>
      <c r="I32" s="10" t="str">
        <f>INDEX(tbCadastroProcedimento[],MATCH(C32,tbCadastroProcedimento[PROCEDIMENTO],0),3) &amp; "-" &amp;INDEX(tbCadastroProfissional[],MATCH(B32,tbCadastroProfissional[PROFISSIONAL],0),3)</f>
        <v>214010066-322230</v>
      </c>
      <c r="J32" s="10" t="str">
        <f t="shared" si="4"/>
        <v>TESTE DE GRAVIDEZ-AUX. ENFERMAGEM</v>
      </c>
    </row>
    <row r="33" spans="1:10">
      <c r="A33" s="7">
        <f t="shared" si="6"/>
        <v>32</v>
      </c>
      <c r="B33" s="8" t="s">
        <v>44</v>
      </c>
      <c r="C33" s="8" t="s">
        <v>84</v>
      </c>
      <c r="D33" s="9">
        <v>27</v>
      </c>
      <c r="E33" s="13">
        <v>21052018</v>
      </c>
      <c r="F33" s="14">
        <f t="shared" si="1"/>
        <v>43271</v>
      </c>
      <c r="G33" s="10">
        <f t="shared" si="2"/>
        <v>2018</v>
      </c>
      <c r="H33" s="10" t="str">
        <f t="shared" si="3"/>
        <v>Junho</v>
      </c>
      <c r="I33" s="10" t="str">
        <f>INDEX(tbCadastroProcedimento[],MATCH(C33,tbCadastroProcedimento[PROCEDIMENTO],0),3) &amp; "-" &amp;INDEX(tbCadastroProfissional[],MATCH(B33,tbCadastroProfissional[PROFISSIONAL],0),3)</f>
        <v>301100020-322230</v>
      </c>
      <c r="J33" s="10" t="str">
        <f t="shared" si="4"/>
        <v>MEDICAÇÃO-AUX. ENFERMAGEM</v>
      </c>
    </row>
    <row r="34" spans="1:10">
      <c r="A34" s="7">
        <f t="shared" si="6"/>
        <v>33</v>
      </c>
      <c r="B34" s="8" t="s">
        <v>44</v>
      </c>
      <c r="C34" s="8" t="s">
        <v>55</v>
      </c>
      <c r="D34" s="9">
        <v>3</v>
      </c>
      <c r="E34" s="13">
        <v>21052018</v>
      </c>
      <c r="F34" s="14">
        <f t="shared" ref="F34:F51" si="7">IF(E34="","",DATE(YEAR(TEXT(E34,"00\/00\/0000")),MONTH(TEXT(E34,"00\/00\/0000"))+1,20))</f>
        <v>43271</v>
      </c>
      <c r="G34" s="10">
        <f t="shared" ref="G34:G51" si="8">YEAR(F34)</f>
        <v>2018</v>
      </c>
      <c r="H34" s="10" t="str">
        <f t="shared" ref="H34:H51" si="9">PROPER(TEXT(F34,"mmmm"))</f>
        <v>Junho</v>
      </c>
      <c r="I34" s="10" t="str">
        <f>INDEX(tbCadastroProcedimento[],MATCH(C34,tbCadastroProcedimento[PROCEDIMENTO],0),3) &amp; "-" &amp;INDEX(tbCadastroProfissional[],MATCH(B34,tbCadastroProfissional[PROFISSIONAL],0),3)</f>
        <v>301100101-322230</v>
      </c>
      <c r="J34" s="10" t="str">
        <f t="shared" ref="J34:J51" si="10">C34&amp; "-" &amp;B34</f>
        <v>INALAÇÃO-AUX. ENFERMAGEM</v>
      </c>
    </row>
    <row r="35" spans="1:10">
      <c r="A35" s="7">
        <f t="shared" si="6"/>
        <v>34</v>
      </c>
      <c r="B35" s="8" t="s">
        <v>44</v>
      </c>
      <c r="C35" s="8" t="s">
        <v>50</v>
      </c>
      <c r="D35" s="9">
        <v>45</v>
      </c>
      <c r="E35" s="13">
        <v>21052018</v>
      </c>
      <c r="F35" s="14">
        <f t="shared" si="7"/>
        <v>43271</v>
      </c>
      <c r="G35" s="10">
        <f t="shared" si="8"/>
        <v>2018</v>
      </c>
      <c r="H35" s="10" t="str">
        <f t="shared" si="9"/>
        <v>Junho</v>
      </c>
      <c r="I35" s="10" t="str">
        <f>INDEX(tbCadastroProcedimento[],MATCH(C35,tbCadastroProcedimento[PROCEDIMENTO],0),3) &amp; "-" &amp;INDEX(tbCadastroProfissional[],MATCH(B35,tbCadastroProfissional[PROFISSIONAL],0),3)</f>
        <v>301100039-322230</v>
      </c>
      <c r="J35" s="10" t="str">
        <f t="shared" si="10"/>
        <v>PRESSÃO ARTERIAL-AUX. ENFERMAGEM</v>
      </c>
    </row>
    <row r="36" spans="1:10">
      <c r="A36" s="7">
        <f t="shared" si="6"/>
        <v>35</v>
      </c>
      <c r="B36" s="8" t="s">
        <v>43</v>
      </c>
      <c r="C36" s="8" t="s">
        <v>47</v>
      </c>
      <c r="D36" s="9">
        <v>1</v>
      </c>
      <c r="E36" s="13">
        <v>21052018</v>
      </c>
      <c r="F36" s="14">
        <f t="shared" si="7"/>
        <v>43271</v>
      </c>
      <c r="G36" s="10">
        <f t="shared" si="8"/>
        <v>2018</v>
      </c>
      <c r="H36" s="10" t="str">
        <f t="shared" si="9"/>
        <v>Junho</v>
      </c>
      <c r="I36" s="10" t="str">
        <f>INDEX(tbCadastroProcedimento[],MATCH(C36,tbCadastroProcedimento[PROCEDIMENTO],0),3) &amp; "-" &amp;INDEX(tbCadastroProfissional[],MATCH(B36,tbCadastroProfissional[PROFISSIONAL],0),3)</f>
        <v>214010066-322245</v>
      </c>
      <c r="J36" s="10" t="str">
        <f t="shared" si="10"/>
        <v>TESTE DE GRAVIDEZ-TÉC. DE ENFERMAGEM</v>
      </c>
    </row>
    <row r="37" spans="1:10">
      <c r="A37" s="7">
        <f t="shared" si="6"/>
        <v>36</v>
      </c>
      <c r="B37" s="8" t="s">
        <v>43</v>
      </c>
      <c r="C37" s="8" t="s">
        <v>50</v>
      </c>
      <c r="D37" s="9">
        <v>9</v>
      </c>
      <c r="E37" s="13">
        <v>21052018</v>
      </c>
      <c r="F37" s="14">
        <f t="shared" si="7"/>
        <v>43271</v>
      </c>
      <c r="G37" s="10">
        <f t="shared" si="8"/>
        <v>2018</v>
      </c>
      <c r="H37" s="10" t="str">
        <f t="shared" si="9"/>
        <v>Junho</v>
      </c>
      <c r="I37" s="10" t="str">
        <f>INDEX(tbCadastroProcedimento[],MATCH(C37,tbCadastroProcedimento[PROCEDIMENTO],0),3) &amp; "-" &amp;INDEX(tbCadastroProfissional[],MATCH(B37,tbCadastroProfissional[PROFISSIONAL],0),3)</f>
        <v>301100039-322245</v>
      </c>
      <c r="J37" s="10" t="str">
        <f t="shared" si="10"/>
        <v>PRESSÃO ARTERIAL-TÉC. DE ENFERMAGEM</v>
      </c>
    </row>
    <row r="38" spans="1:10">
      <c r="A38" s="7">
        <f t="shared" si="6"/>
        <v>37</v>
      </c>
      <c r="B38" s="8" t="s">
        <v>25</v>
      </c>
      <c r="C38" s="8" t="s">
        <v>28</v>
      </c>
      <c r="D38" s="9">
        <v>2</v>
      </c>
      <c r="E38" s="13">
        <v>21052018</v>
      </c>
      <c r="F38" s="14">
        <f t="shared" si="7"/>
        <v>43271</v>
      </c>
      <c r="G38" s="10">
        <f t="shared" si="8"/>
        <v>2018</v>
      </c>
      <c r="H38" s="10" t="str">
        <f t="shared" si="9"/>
        <v>Junho</v>
      </c>
      <c r="I38" s="10" t="str">
        <f>INDEX(tbCadastroProcedimento[],MATCH(C38,tbCadastroProcedimento[PROCEDIMENTO],0),3) &amp; "-" &amp;INDEX(tbCadastroProfissional[],MATCH(B38,tbCadastroProfissional[PROFISSIONAL],0),3)</f>
        <v>101010010-223565</v>
      </c>
      <c r="J38" s="10" t="str">
        <f t="shared" si="10"/>
        <v>GRUPO ENFERMAGEM-ENFERMEIRO (A) PACS</v>
      </c>
    </row>
    <row r="39" spans="1:10">
      <c r="A39" s="7">
        <f t="shared" si="6"/>
        <v>38</v>
      </c>
      <c r="B39" s="8" t="s">
        <v>44</v>
      </c>
      <c r="C39" s="8" t="s">
        <v>41</v>
      </c>
      <c r="D39" s="9">
        <v>10</v>
      </c>
      <c r="E39" s="13">
        <v>21052018</v>
      </c>
      <c r="F39" s="14">
        <f t="shared" si="7"/>
        <v>43271</v>
      </c>
      <c r="G39" s="10">
        <f t="shared" si="8"/>
        <v>2018</v>
      </c>
      <c r="H39" s="10" t="str">
        <f t="shared" si="9"/>
        <v>Junho</v>
      </c>
      <c r="I39" s="10" t="str">
        <f>INDEX(tbCadastroProcedimento[],MATCH(C39,tbCadastroProcedimento[PROCEDIMENTO],0),3) &amp; "-" &amp;INDEX(tbCadastroProfissional[],MATCH(B39,tbCadastroProfissional[PROFISSIONAL],0),3)</f>
        <v>101030010-322230</v>
      </c>
      <c r="J39" s="10" t="str">
        <f t="shared" si="10"/>
        <v>VISITA DOMICILIAR-AUX. ENFERMAGEM</v>
      </c>
    </row>
    <row r="40" spans="1:10">
      <c r="A40" s="7">
        <f t="shared" ref="A40:A47" si="11">ROW() -1</f>
        <v>39</v>
      </c>
      <c r="B40" s="8" t="s">
        <v>44</v>
      </c>
      <c r="C40" s="8" t="s">
        <v>50</v>
      </c>
      <c r="D40" s="9">
        <v>10</v>
      </c>
      <c r="E40" s="13">
        <v>21052018</v>
      </c>
      <c r="F40" s="14">
        <f t="shared" si="7"/>
        <v>43271</v>
      </c>
      <c r="G40" s="10">
        <f t="shared" si="8"/>
        <v>2018</v>
      </c>
      <c r="H40" s="10" t="str">
        <f t="shared" si="9"/>
        <v>Junho</v>
      </c>
      <c r="I40" s="10" t="str">
        <f>INDEX(tbCadastroProcedimento[],MATCH(C40,tbCadastroProcedimento[PROCEDIMENTO],0),3) &amp; "-" &amp;INDEX(tbCadastroProfissional[],MATCH(B40,tbCadastroProfissional[PROFISSIONAL],0),3)</f>
        <v>301100039-322230</v>
      </c>
      <c r="J40" s="10" t="str">
        <f t="shared" si="10"/>
        <v>PRESSÃO ARTERIAL-AUX. ENFERMAGEM</v>
      </c>
    </row>
    <row r="41" spans="1:10">
      <c r="A41" s="7">
        <f t="shared" si="11"/>
        <v>40</v>
      </c>
      <c r="B41" s="8" t="s">
        <v>44</v>
      </c>
      <c r="C41" s="8" t="s">
        <v>49</v>
      </c>
      <c r="D41" s="9">
        <v>4</v>
      </c>
      <c r="E41" s="13">
        <v>21052018</v>
      </c>
      <c r="F41" s="14">
        <f t="shared" si="7"/>
        <v>43271</v>
      </c>
      <c r="G41" s="10">
        <f t="shared" si="8"/>
        <v>2018</v>
      </c>
      <c r="H41" s="10" t="str">
        <f t="shared" si="9"/>
        <v>Junho</v>
      </c>
      <c r="I41" s="10" t="str">
        <f>INDEX(tbCadastroProcedimento[],MATCH(C41,tbCadastroProcedimento[PROCEDIMENTO],0),3) &amp; "-" &amp;INDEX(tbCadastroProfissional[],MATCH(B41,tbCadastroProfissional[PROFISSIONAL],0),3)</f>
        <v>214010015-322230</v>
      </c>
      <c r="J41" s="10" t="str">
        <f t="shared" si="10"/>
        <v>GLICEMIA -AUX. ENFERMAGEM</v>
      </c>
    </row>
    <row r="42" spans="1:10">
      <c r="A42" s="7">
        <f t="shared" si="11"/>
        <v>41</v>
      </c>
      <c r="B42" s="8" t="s">
        <v>42</v>
      </c>
      <c r="C42" s="8" t="s">
        <v>41</v>
      </c>
      <c r="D42" s="9">
        <v>137</v>
      </c>
      <c r="E42" s="13">
        <v>21052018</v>
      </c>
      <c r="F42" s="14">
        <f t="shared" si="7"/>
        <v>43271</v>
      </c>
      <c r="G42" s="10">
        <f t="shared" si="8"/>
        <v>2018</v>
      </c>
      <c r="H42" s="10" t="str">
        <f t="shared" si="9"/>
        <v>Junho</v>
      </c>
      <c r="I42" s="10" t="str">
        <f>INDEX(tbCadastroProcedimento[],MATCH(C42,tbCadastroProcedimento[PROCEDIMENTO],0),3) &amp; "-" &amp;INDEX(tbCadastroProfissional[],MATCH(B42,tbCadastroProfissional[PROFISSIONAL],0),3)</f>
        <v>101030010-515105</v>
      </c>
      <c r="J42" s="10" t="str">
        <f t="shared" si="10"/>
        <v>VISITA DOMICILIAR-AGENTE C. SAÚDE</v>
      </c>
    </row>
    <row r="43" spans="1:10">
      <c r="A43" s="7">
        <f t="shared" si="11"/>
        <v>42</v>
      </c>
      <c r="B43" s="8" t="s">
        <v>43</v>
      </c>
      <c r="C43" s="8" t="s">
        <v>55</v>
      </c>
      <c r="D43" s="9">
        <v>1</v>
      </c>
      <c r="E43" s="13">
        <v>21052018</v>
      </c>
      <c r="F43" s="14">
        <f t="shared" si="7"/>
        <v>43271</v>
      </c>
      <c r="G43" s="10">
        <f t="shared" si="8"/>
        <v>2018</v>
      </c>
      <c r="H43" s="10" t="str">
        <f t="shared" si="9"/>
        <v>Junho</v>
      </c>
      <c r="I43" s="10" t="str">
        <f>INDEX(tbCadastroProcedimento[],MATCH(C43,tbCadastroProcedimento[PROCEDIMENTO],0),3) &amp; "-" &amp;INDEX(tbCadastroProfissional[],MATCH(B43,tbCadastroProfissional[PROFISSIONAL],0),3)</f>
        <v>301100101-322245</v>
      </c>
      <c r="J43" s="10" t="str">
        <f t="shared" si="10"/>
        <v>INALAÇÃO-TÉC. DE ENFERMAGEM</v>
      </c>
    </row>
    <row r="44" spans="1:10">
      <c r="A44" s="7">
        <f t="shared" si="11"/>
        <v>43</v>
      </c>
      <c r="B44" s="8" t="s">
        <v>25</v>
      </c>
      <c r="C44" s="8" t="s">
        <v>53</v>
      </c>
      <c r="D44" s="9">
        <v>11</v>
      </c>
      <c r="E44" s="13">
        <v>21052018</v>
      </c>
      <c r="F44" s="14">
        <f t="shared" si="7"/>
        <v>43271</v>
      </c>
      <c r="G44" s="10">
        <f t="shared" si="8"/>
        <v>2018</v>
      </c>
      <c r="H44" s="10" t="str">
        <f t="shared" si="9"/>
        <v>Junho</v>
      </c>
      <c r="I44" s="10" t="str">
        <f>INDEX(tbCadastroProcedimento[],MATCH(C44,tbCadastroProcedimento[PROCEDIMENTO],0),3) &amp; "-" &amp;INDEX(tbCadastroProfissional[],MATCH(B44,tbCadastroProfissional[PROFISSIONAL],0),3)</f>
        <v>201020033-223565</v>
      </c>
      <c r="J44" s="10" t="str">
        <f t="shared" si="10"/>
        <v>PAPANICOLAU-ENFERMEIRO (A) PACS</v>
      </c>
    </row>
    <row r="45" spans="1:10">
      <c r="A45" s="7">
        <f t="shared" si="11"/>
        <v>44</v>
      </c>
      <c r="B45" s="8" t="s">
        <v>23</v>
      </c>
      <c r="C45" s="8" t="s">
        <v>27</v>
      </c>
      <c r="D45" s="9">
        <v>2</v>
      </c>
      <c r="E45" s="13">
        <v>21052018</v>
      </c>
      <c r="F45" s="14">
        <f t="shared" si="7"/>
        <v>43271</v>
      </c>
      <c r="G45" s="10">
        <f t="shared" si="8"/>
        <v>2018</v>
      </c>
      <c r="H45" s="10" t="str">
        <f t="shared" si="9"/>
        <v>Junho</v>
      </c>
      <c r="I45" s="10" t="str">
        <f>INDEX(tbCadastroProcedimento[],MATCH(C45,tbCadastroProcedimento[PROCEDIMENTO],0),3) &amp; "-" &amp;INDEX(tbCadastroProfissional[],MATCH(B45,tbCadastroProfissional[PROFISSIONAL],0),3)</f>
        <v>214010058-223505</v>
      </c>
      <c r="J45" s="10" t="str">
        <f t="shared" si="10"/>
        <v>TESTE RAPIDO PARA HIV-ENFERMEIRO (A)</v>
      </c>
    </row>
    <row r="46" spans="1:10">
      <c r="A46" s="7">
        <f t="shared" si="11"/>
        <v>45</v>
      </c>
      <c r="B46" s="8" t="s">
        <v>23</v>
      </c>
      <c r="C46" s="8" t="s">
        <v>26</v>
      </c>
      <c r="D46" s="9">
        <v>2</v>
      </c>
      <c r="E46" s="13">
        <v>21052018</v>
      </c>
      <c r="F46" s="14">
        <f t="shared" si="7"/>
        <v>43271</v>
      </c>
      <c r="G46" s="10">
        <f t="shared" si="8"/>
        <v>2018</v>
      </c>
      <c r="H46" s="10" t="str">
        <f t="shared" si="9"/>
        <v>Junho</v>
      </c>
      <c r="I46" s="10" t="str">
        <f>INDEX(tbCadastroProcedimento[],MATCH(C46,tbCadastroProcedimento[PROCEDIMENTO],0),3) &amp; "-" &amp;INDEX(tbCadastroProfissional[],MATCH(B46,tbCadastroProfissional[PROFISSIONAL],0),3)</f>
        <v>214010074-223505</v>
      </c>
      <c r="J46" s="10" t="str">
        <f t="shared" si="10"/>
        <v>TESTE RAPIDO PARA SIFILIS-ENFERMEIRO (A)</v>
      </c>
    </row>
    <row r="47" spans="1:10">
      <c r="A47" s="7">
        <f t="shared" si="11"/>
        <v>46</v>
      </c>
      <c r="B47" s="8" t="s">
        <v>43</v>
      </c>
      <c r="C47" s="8" t="s">
        <v>45</v>
      </c>
      <c r="D47" s="9">
        <v>1</v>
      </c>
      <c r="E47" s="13">
        <v>21052018</v>
      </c>
      <c r="F47" s="14">
        <f t="shared" si="7"/>
        <v>43271</v>
      </c>
      <c r="G47" s="10">
        <f t="shared" si="8"/>
        <v>2018</v>
      </c>
      <c r="H47" s="10" t="str">
        <f t="shared" si="9"/>
        <v>Junho</v>
      </c>
      <c r="I47" s="10" t="str">
        <f>INDEX(tbCadastroProcedimento[],MATCH(C47,tbCadastroProcedimento[PROCEDIMENTO],0),3) &amp; "-" &amp;INDEX(tbCadastroProfissional[],MATCH(B47,tbCadastroProfissional[PROFISSIONAL],0),3)</f>
        <v>201020041-322245</v>
      </c>
      <c r="J47" s="10" t="str">
        <f t="shared" si="10"/>
        <v>EX. LAB-TÉC. DE ENFERMAGEM</v>
      </c>
    </row>
    <row r="48" spans="1:10">
      <c r="A48" s="7">
        <f t="shared" ref="A48:A55" si="12">ROW() -1</f>
        <v>47</v>
      </c>
      <c r="B48" s="8" t="s">
        <v>29</v>
      </c>
      <c r="C48" s="8" t="s">
        <v>30</v>
      </c>
      <c r="D48" s="9">
        <v>1</v>
      </c>
      <c r="E48" s="13">
        <v>21052018</v>
      </c>
      <c r="F48" s="14">
        <f t="shared" si="7"/>
        <v>43271</v>
      </c>
      <c r="G48" s="10">
        <f t="shared" si="8"/>
        <v>2018</v>
      </c>
      <c r="H48" s="10" t="str">
        <f t="shared" si="9"/>
        <v>Junho</v>
      </c>
      <c r="I48" s="10" t="str">
        <f>INDEX(tbCadastroProcedimento[],MATCH(C48,tbCadastroProcedimento[PROCEDIMENTO],0),3) &amp; "-" &amp;INDEX(tbCadastroProfissional[],MATCH(B48,tbCadastroProfissional[PROFISSIONAL],0),3)</f>
        <v>301040044-251510</v>
      </c>
      <c r="J48" s="10" t="str">
        <f t="shared" si="10"/>
        <v>GRUPO PSICOLOGIA-PSICÓLOGO (A)</v>
      </c>
    </row>
    <row r="49" spans="1:10">
      <c r="A49" s="7">
        <f t="shared" si="12"/>
        <v>48</v>
      </c>
      <c r="B49" s="8" t="s">
        <v>43</v>
      </c>
      <c r="C49" s="8" t="s">
        <v>52</v>
      </c>
      <c r="D49" s="9">
        <v>6</v>
      </c>
      <c r="E49" s="13">
        <v>21052018</v>
      </c>
      <c r="F49" s="14">
        <f t="shared" si="7"/>
        <v>43271</v>
      </c>
      <c r="G49" s="10">
        <f t="shared" si="8"/>
        <v>2018</v>
      </c>
      <c r="H49" s="10" t="str">
        <f t="shared" si="9"/>
        <v>Junho</v>
      </c>
      <c r="I49" s="10" t="str">
        <f>INDEX(tbCadastroProcedimento[],MATCH(C49,tbCadastroProcedimento[PROCEDIMENTO],0),3) &amp; "-" &amp;INDEX(tbCadastroProfissional[],MATCH(B49,tbCadastroProfissional[PROFISSIONAL],0),3)</f>
        <v>211020036-322245</v>
      </c>
      <c r="J49" s="10" t="str">
        <f t="shared" si="10"/>
        <v>ECG-TÉC. DE ENFERMAGEM</v>
      </c>
    </row>
    <row r="50" spans="1:10">
      <c r="A50" s="7">
        <f t="shared" si="12"/>
        <v>49</v>
      </c>
      <c r="B50" s="8" t="s">
        <v>23</v>
      </c>
      <c r="C50" s="8" t="s">
        <v>84</v>
      </c>
      <c r="D50" s="9">
        <v>1</v>
      </c>
      <c r="E50" s="13">
        <v>21052018</v>
      </c>
      <c r="F50" s="14">
        <f t="shared" si="7"/>
        <v>43271</v>
      </c>
      <c r="G50" s="10">
        <f t="shared" si="8"/>
        <v>2018</v>
      </c>
      <c r="H50" s="10" t="str">
        <f t="shared" si="9"/>
        <v>Junho</v>
      </c>
      <c r="I50" s="10" t="str">
        <f>INDEX(tbCadastroProcedimento[],MATCH(C50,tbCadastroProcedimento[PROCEDIMENTO],0),3) &amp; "-" &amp;INDEX(tbCadastroProfissional[],MATCH(B50,tbCadastroProfissional[PROFISSIONAL],0),3)</f>
        <v>301100020-223505</v>
      </c>
      <c r="J50" s="10" t="str">
        <f t="shared" si="10"/>
        <v>MEDICAÇÃO-ENFERMEIRO (A)</v>
      </c>
    </row>
    <row r="51" spans="1:10">
      <c r="A51" s="7">
        <f t="shared" si="12"/>
        <v>50</v>
      </c>
      <c r="B51" s="8" t="s">
        <v>23</v>
      </c>
      <c r="C51" s="8" t="s">
        <v>45</v>
      </c>
      <c r="D51" s="9">
        <v>11</v>
      </c>
      <c r="E51" s="13">
        <v>21052018</v>
      </c>
      <c r="F51" s="14">
        <f t="shared" si="7"/>
        <v>43271</v>
      </c>
      <c r="G51" s="10">
        <f t="shared" si="8"/>
        <v>2018</v>
      </c>
      <c r="H51" s="10" t="str">
        <f t="shared" si="9"/>
        <v>Junho</v>
      </c>
      <c r="I51" s="10" t="str">
        <f>INDEX(tbCadastroProcedimento[],MATCH(C51,tbCadastroProcedimento[PROCEDIMENTO],0),3) &amp; "-" &amp;INDEX(tbCadastroProfissional[],MATCH(B51,tbCadastroProfissional[PROFISSIONAL],0),3)</f>
        <v>201020041-223505</v>
      </c>
      <c r="J51" s="10" t="str">
        <f t="shared" si="10"/>
        <v>EX. LAB-ENFERMEIRO (A)</v>
      </c>
    </row>
    <row r="52" spans="1:10">
      <c r="A52" s="7">
        <f t="shared" si="12"/>
        <v>51</v>
      </c>
      <c r="B52" s="8" t="s">
        <v>44</v>
      </c>
      <c r="C52" s="8" t="s">
        <v>54</v>
      </c>
      <c r="D52" s="9">
        <v>1</v>
      </c>
      <c r="E52" s="13">
        <v>21052018</v>
      </c>
      <c r="F52" s="14">
        <f>IF(E52="","",DATE(YEAR(TEXT(E52,"00\/00\/0000")),MONTH(TEXT(E52,"00\/00\/0000"))+1,20))</f>
        <v>43271</v>
      </c>
      <c r="G52" s="10">
        <f>YEAR(F52)</f>
        <v>2018</v>
      </c>
      <c r="H52" s="10" t="str">
        <f>PROPER(TEXT(F52,"mmmm"))</f>
        <v>Junho</v>
      </c>
      <c r="I52" s="10" t="str">
        <f>INDEX(tbCadastroProcedimento[],MATCH(C52,tbCadastroProcedimento[PROCEDIMENTO],0),3) &amp; "-" &amp;INDEX(tbCadastroProfissional[],MATCH(B52,tbCadastroProfissional[PROFISSIONAL],0),3)</f>
        <v>401010023-322230</v>
      </c>
      <c r="J52" s="10" t="str">
        <f>C52&amp; "-" &amp;B52</f>
        <v>CURATIVO-AUX. ENFERMAGEM</v>
      </c>
    </row>
    <row r="53" spans="1:10">
      <c r="A53" s="7">
        <f t="shared" si="12"/>
        <v>52</v>
      </c>
      <c r="B53" s="8" t="s">
        <v>42</v>
      </c>
      <c r="C53" s="8" t="s">
        <v>41</v>
      </c>
      <c r="D53" s="9">
        <v>55</v>
      </c>
      <c r="E53" s="13">
        <v>21052018</v>
      </c>
      <c r="F53" s="14">
        <f>IF(E53="","",DATE(YEAR(TEXT(E53,"00\/00\/0000")),MONTH(TEXT(E53,"00\/00\/0000"))+1,20))</f>
        <v>43271</v>
      </c>
      <c r="G53" s="10">
        <f>YEAR(F53)</f>
        <v>2018</v>
      </c>
      <c r="H53" s="10" t="str">
        <f>PROPER(TEXT(F53,"mmmm"))</f>
        <v>Junho</v>
      </c>
      <c r="I53" s="10" t="str">
        <f>INDEX(tbCadastroProcedimento[],MATCH(C53,tbCadastroProcedimento[PROCEDIMENTO],0),3) &amp; "-" &amp;INDEX(tbCadastroProfissional[],MATCH(B53,tbCadastroProfissional[PROFISSIONAL],0),3)</f>
        <v>101030010-515105</v>
      </c>
      <c r="J53" s="10" t="str">
        <f>C53&amp; "-" &amp;B53</f>
        <v>VISITA DOMICILIAR-AGENTE C. SAÚDE</v>
      </c>
    </row>
    <row r="54" spans="1:10">
      <c r="A54" s="7">
        <f t="shared" si="12"/>
        <v>53</v>
      </c>
      <c r="B54" s="8" t="s">
        <v>42</v>
      </c>
      <c r="C54" s="8" t="s">
        <v>41</v>
      </c>
      <c r="D54" s="9">
        <v>32</v>
      </c>
      <c r="E54" s="13">
        <v>21052018</v>
      </c>
      <c r="F54" s="14">
        <f>IF(E54="","",DATE(YEAR(TEXT(E54,"00\/00\/0000")),MONTH(TEXT(E54,"00\/00\/0000"))+1,20))</f>
        <v>43271</v>
      </c>
      <c r="G54" s="10">
        <f>YEAR(F54)</f>
        <v>2018</v>
      </c>
      <c r="H54" s="10" t="str">
        <f>PROPER(TEXT(F54,"mmmm"))</f>
        <v>Junho</v>
      </c>
      <c r="I54" s="10" t="str">
        <f>INDEX(tbCadastroProcedimento[],MATCH(C54,tbCadastroProcedimento[PROCEDIMENTO],0),3) &amp; "-" &amp;INDEX(tbCadastroProfissional[],MATCH(B54,tbCadastroProfissional[PROFISSIONAL],0),3)</f>
        <v>101030010-515105</v>
      </c>
      <c r="J54" s="10" t="str">
        <f>C54&amp; "-" &amp;B54</f>
        <v>VISITA DOMICILIAR-AGENTE C. SAÚDE</v>
      </c>
    </row>
    <row r="55" spans="1:10">
      <c r="A55" s="7">
        <f t="shared" si="12"/>
        <v>54</v>
      </c>
      <c r="B55" s="8" t="s">
        <v>43</v>
      </c>
      <c r="C55" s="8" t="s">
        <v>84</v>
      </c>
      <c r="D55" s="9">
        <v>2</v>
      </c>
      <c r="E55" s="13">
        <v>21052018</v>
      </c>
      <c r="F55" s="14">
        <f>IF(E55="","",DATE(YEAR(TEXT(E55,"00\/00\/0000")),MONTH(TEXT(E55,"00\/00\/0000"))+1,20))</f>
        <v>43271</v>
      </c>
      <c r="G55" s="10">
        <f>YEAR(F55)</f>
        <v>2018</v>
      </c>
      <c r="H55" s="10" t="str">
        <f>PROPER(TEXT(F55,"mmmm"))</f>
        <v>Junho</v>
      </c>
      <c r="I55" s="10" t="str">
        <f>INDEX(tbCadastroProcedimento[],MATCH(C55,tbCadastroProcedimento[PROCEDIMENTO],0),3) &amp; "-" &amp;INDEX(tbCadastroProfissional[],MATCH(B55,tbCadastroProfissional[PROFISSIONAL],0),3)</f>
        <v>301100020-322245</v>
      </c>
      <c r="J55" s="10" t="str">
        <f>C55&amp; "-" &amp;B55</f>
        <v>MEDICAÇÃO-TÉC. DE ENFERMAGEM</v>
      </c>
    </row>
  </sheetData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79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wsReportProcedimentos">
    <tabColor rgb="FF004846"/>
  </sheetPr>
  <dimension ref="A1:C37"/>
  <sheetViews>
    <sheetView showGridLines="0" workbookViewId="0">
      <selection activeCell="A4" sqref="A4"/>
    </sheetView>
  </sheetViews>
  <sheetFormatPr defaultRowHeight="15"/>
  <cols>
    <col min="1" max="1" width="44.42578125" bestFit="1" customWidth="1"/>
    <col min="2" max="2" width="23.140625" bestFit="1" customWidth="1"/>
    <col min="3" max="3" width="25.7109375" bestFit="1" customWidth="1"/>
  </cols>
  <sheetData>
    <row r="1" spans="1:3">
      <c r="A1" s="25" t="s">
        <v>63</v>
      </c>
      <c r="B1" s="2" t="s">
        <v>89</v>
      </c>
    </row>
    <row r="2" spans="1:3">
      <c r="A2" s="25" t="s">
        <v>62</v>
      </c>
      <c r="B2" s="2" t="s">
        <v>89</v>
      </c>
    </row>
    <row r="4" spans="1:3">
      <c r="A4" s="26" t="s">
        <v>87</v>
      </c>
      <c r="B4" s="26" t="s">
        <v>88</v>
      </c>
      <c r="C4" s="20" t="s">
        <v>85</v>
      </c>
    </row>
    <row r="5" spans="1:3">
      <c r="A5" s="2" t="s">
        <v>92</v>
      </c>
      <c r="B5" s="2" t="s">
        <v>93</v>
      </c>
      <c r="C5" s="3">
        <v>30</v>
      </c>
    </row>
    <row r="6" spans="1:3">
      <c r="A6" s="2" t="s">
        <v>94</v>
      </c>
      <c r="B6" s="2" t="s">
        <v>95</v>
      </c>
      <c r="C6" s="3">
        <v>2</v>
      </c>
    </row>
    <row r="7" spans="1:3">
      <c r="A7" s="2" t="s">
        <v>90</v>
      </c>
      <c r="B7" s="2" t="s">
        <v>91</v>
      </c>
      <c r="C7" s="3">
        <v>399</v>
      </c>
    </row>
    <row r="8" spans="1:3">
      <c r="A8" s="2" t="s">
        <v>96</v>
      </c>
      <c r="B8" s="2" t="s">
        <v>97</v>
      </c>
      <c r="C8" s="3">
        <v>25</v>
      </c>
    </row>
    <row r="9" spans="1:3">
      <c r="A9" s="2" t="s">
        <v>98</v>
      </c>
      <c r="B9" s="2" t="s">
        <v>99</v>
      </c>
      <c r="C9" s="3">
        <v>4</v>
      </c>
    </row>
    <row r="10" spans="1:3">
      <c r="A10" s="2" t="s">
        <v>100</v>
      </c>
      <c r="B10" s="2" t="s">
        <v>101</v>
      </c>
      <c r="C10" s="3">
        <v>42</v>
      </c>
    </row>
    <row r="11" spans="1:3">
      <c r="A11" s="2" t="s">
        <v>102</v>
      </c>
      <c r="B11" s="2" t="s">
        <v>103</v>
      </c>
      <c r="C11" s="3">
        <v>121</v>
      </c>
    </row>
    <row r="12" spans="1:3">
      <c r="A12" s="2" t="s">
        <v>104</v>
      </c>
      <c r="B12" s="2" t="s">
        <v>105</v>
      </c>
      <c r="C12" s="3">
        <v>16</v>
      </c>
    </row>
    <row r="13" spans="1:3">
      <c r="A13" s="2" t="s">
        <v>106</v>
      </c>
      <c r="B13" s="2" t="s">
        <v>107</v>
      </c>
      <c r="C13" s="3">
        <v>421</v>
      </c>
    </row>
    <row r="14" spans="1:3">
      <c r="A14" s="2" t="s">
        <v>108</v>
      </c>
      <c r="B14" s="2" t="s">
        <v>109</v>
      </c>
      <c r="C14" s="3">
        <v>6</v>
      </c>
    </row>
    <row r="15" spans="1:3">
      <c r="A15" s="2" t="s">
        <v>110</v>
      </c>
      <c r="B15" s="2" t="s">
        <v>111</v>
      </c>
      <c r="C15" s="3">
        <v>32</v>
      </c>
    </row>
    <row r="16" spans="1:3">
      <c r="A16" s="2" t="s">
        <v>112</v>
      </c>
      <c r="B16" s="2" t="s">
        <v>113</v>
      </c>
      <c r="C16" s="3">
        <v>12</v>
      </c>
    </row>
    <row r="17" spans="1:3">
      <c r="A17" s="2" t="s">
        <v>114</v>
      </c>
      <c r="B17" s="2" t="s">
        <v>115</v>
      </c>
      <c r="C17" s="3">
        <v>25</v>
      </c>
    </row>
    <row r="18" spans="1:3">
      <c r="A18" s="2" t="s">
        <v>116</v>
      </c>
      <c r="B18" s="2" t="s">
        <v>117</v>
      </c>
      <c r="C18" s="3">
        <v>2</v>
      </c>
    </row>
    <row r="19" spans="1:3">
      <c r="A19" s="2" t="s">
        <v>118</v>
      </c>
      <c r="B19" s="2" t="s">
        <v>119</v>
      </c>
      <c r="C19" s="3">
        <v>3</v>
      </c>
    </row>
    <row r="20" spans="1:3">
      <c r="A20" s="2" t="s">
        <v>120</v>
      </c>
      <c r="B20" s="2" t="s">
        <v>121</v>
      </c>
      <c r="C20" s="3">
        <v>18</v>
      </c>
    </row>
    <row r="21" spans="1:3">
      <c r="A21" s="2" t="s">
        <v>122</v>
      </c>
      <c r="B21" s="2" t="s">
        <v>123</v>
      </c>
      <c r="C21" s="3">
        <v>33</v>
      </c>
    </row>
    <row r="22" spans="1:3">
      <c r="A22" s="2" t="s">
        <v>124</v>
      </c>
      <c r="B22" s="2" t="s">
        <v>125</v>
      </c>
      <c r="C22" s="3">
        <v>2</v>
      </c>
    </row>
    <row r="23" spans="1:3">
      <c r="A23" s="2" t="s">
        <v>126</v>
      </c>
      <c r="B23" s="2" t="s">
        <v>127</v>
      </c>
      <c r="C23" s="3">
        <v>4</v>
      </c>
    </row>
    <row r="24" spans="1:3">
      <c r="A24" s="2" t="s">
        <v>128</v>
      </c>
      <c r="B24" s="2" t="s">
        <v>129</v>
      </c>
      <c r="C24" s="3">
        <v>1</v>
      </c>
    </row>
    <row r="25" spans="1:3">
      <c r="A25" s="2" t="s">
        <v>130</v>
      </c>
      <c r="B25" s="2" t="s">
        <v>131</v>
      </c>
      <c r="C25" s="3">
        <v>1</v>
      </c>
    </row>
    <row r="26" spans="1:3">
      <c r="A26" s="2" t="s">
        <v>132</v>
      </c>
      <c r="B26" s="2" t="s">
        <v>133</v>
      </c>
      <c r="C26" s="3">
        <v>1</v>
      </c>
    </row>
    <row r="27" spans="1:3">
      <c r="A27" s="2" t="s">
        <v>134</v>
      </c>
      <c r="B27" s="2" t="s">
        <v>135</v>
      </c>
      <c r="C27" s="3">
        <v>10</v>
      </c>
    </row>
    <row r="28" spans="1:3">
      <c r="A28" s="2" t="s">
        <v>136</v>
      </c>
      <c r="B28" s="2" t="s">
        <v>137</v>
      </c>
      <c r="C28" s="3">
        <v>1</v>
      </c>
    </row>
    <row r="29" spans="1:3">
      <c r="A29" s="2" t="s">
        <v>138</v>
      </c>
      <c r="B29" s="2" t="s">
        <v>139</v>
      </c>
      <c r="C29" s="3">
        <v>4</v>
      </c>
    </row>
    <row r="30" spans="1:3">
      <c r="A30" s="2" t="s">
        <v>140</v>
      </c>
      <c r="B30" s="2" t="s">
        <v>141</v>
      </c>
      <c r="C30" s="3">
        <v>5</v>
      </c>
    </row>
    <row r="31" spans="1:3">
      <c r="A31" s="2" t="s">
        <v>142</v>
      </c>
      <c r="B31" s="2" t="s">
        <v>143</v>
      </c>
      <c r="C31" s="3">
        <v>2</v>
      </c>
    </row>
    <row r="32" spans="1:3">
      <c r="A32" s="2" t="s">
        <v>145</v>
      </c>
      <c r="B32" s="2" t="s">
        <v>146</v>
      </c>
      <c r="C32" s="3">
        <v>3</v>
      </c>
    </row>
    <row r="33" spans="1:3">
      <c r="A33" s="2" t="s">
        <v>147</v>
      </c>
      <c r="B33" s="2" t="s">
        <v>148</v>
      </c>
      <c r="C33" s="3">
        <v>10</v>
      </c>
    </row>
    <row r="34" spans="1:3">
      <c r="A34" s="2" t="s">
        <v>149</v>
      </c>
      <c r="B34" s="2" t="s">
        <v>150</v>
      </c>
      <c r="C34" s="3">
        <v>2</v>
      </c>
    </row>
    <row r="35" spans="1:3">
      <c r="A35" s="2" t="s">
        <v>151</v>
      </c>
      <c r="B35" s="2" t="s">
        <v>152</v>
      </c>
      <c r="C35" s="3">
        <v>2</v>
      </c>
    </row>
    <row r="36" spans="1:3">
      <c r="A36" s="2" t="s">
        <v>153</v>
      </c>
      <c r="B36" s="2" t="s">
        <v>154</v>
      </c>
      <c r="C36" s="3">
        <v>1</v>
      </c>
    </row>
    <row r="37" spans="1:3">
      <c r="A37" s="2" t="s">
        <v>155</v>
      </c>
      <c r="B37" s="2" t="s">
        <v>156</v>
      </c>
      <c r="C37" s="3">
        <v>6</v>
      </c>
    </row>
  </sheetData>
  <printOptions horizontalCentered="1"/>
  <pageMargins left="0.51181102362204722" right="0.51181102362204722" top="0.78740157480314965" bottom="0.78740157480314965" header="0.31496062992125984" footer="0.31496062992125984"/>
  <pageSetup paperSize="9" orientation="portrait" r:id="rId2"/>
  <headerFooter>
    <oddHeader>&amp;LPágina &amp;P de &amp;N&amp;CConsolidado BPA Procedimentos&amp;R&amp;D - &amp;T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wsCadastros">
    <tabColor rgb="FF004846"/>
  </sheetPr>
  <dimension ref="A1:L28"/>
  <sheetViews>
    <sheetView showGridLines="0" workbookViewId="0">
      <pane ySplit="1" topLeftCell="A2" activePane="bottomLeft" state="frozen"/>
      <selection activeCell="I8" sqref="I8"/>
      <selection pane="bottomLeft"/>
    </sheetView>
  </sheetViews>
  <sheetFormatPr defaultColWidth="9.140625" defaultRowHeight="15"/>
  <cols>
    <col min="1" max="1" width="5.28515625" style="2" customWidth="1"/>
    <col min="2" max="2" width="25.140625" style="2" bestFit="1" customWidth="1"/>
    <col min="3" max="3" width="13.7109375" style="2" bestFit="1" customWidth="1"/>
    <col min="4" max="4" width="3" style="2" customWidth="1"/>
    <col min="5" max="5" width="5.28515625" style="2" customWidth="1"/>
    <col min="6" max="6" width="20.85546875" style="2" bestFit="1" customWidth="1"/>
    <col min="7" max="7" width="8.140625" style="2" bestFit="1" customWidth="1"/>
    <col min="8" max="8" width="3" style="2" customWidth="1"/>
    <col min="9" max="9" width="5.28515625" style="2" customWidth="1"/>
    <col min="10" max="10" width="32.85546875" style="2" bestFit="1" customWidth="1"/>
    <col min="11" max="11" width="16.85546875" style="2" bestFit="1" customWidth="1"/>
    <col min="12" max="12" width="10.28515625" style="2" bestFit="1" customWidth="1"/>
    <col min="13" max="13" width="14.85546875" style="2" bestFit="1" customWidth="1"/>
    <col min="14" max="14" width="14" style="2" customWidth="1"/>
    <col min="15" max="16384" width="9.140625" style="2"/>
  </cols>
  <sheetData>
    <row r="1" spans="1:12">
      <c r="A1" s="20" t="s">
        <v>83</v>
      </c>
      <c r="B1" s="20" t="s">
        <v>66</v>
      </c>
      <c r="C1" s="20" t="s">
        <v>71</v>
      </c>
      <c r="E1" s="20" t="s">
        <v>83</v>
      </c>
      <c r="F1" s="20" t="s">
        <v>21</v>
      </c>
      <c r="G1" s="20" t="s">
        <v>57</v>
      </c>
      <c r="I1" s="20" t="s">
        <v>83</v>
      </c>
      <c r="J1" s="20" t="s">
        <v>21</v>
      </c>
      <c r="K1" s="20" t="s">
        <v>72</v>
      </c>
      <c r="L1" s="20" t="s">
        <v>73</v>
      </c>
    </row>
    <row r="2" spans="1:12">
      <c r="A2" s="2">
        <f t="shared" ref="A2:A28" si="0">ROW() - 1</f>
        <v>1</v>
      </c>
      <c r="B2" s="2" t="s">
        <v>38</v>
      </c>
      <c r="C2" s="2">
        <v>309030048</v>
      </c>
      <c r="E2" s="2">
        <f t="shared" ref="E2:E16" si="1">ROW() - 1</f>
        <v>1</v>
      </c>
      <c r="F2" s="2" t="s">
        <v>42</v>
      </c>
      <c r="G2" s="2">
        <v>515105</v>
      </c>
      <c r="I2" s="2">
        <f t="shared" ref="I2:I26" si="2">ROW() - 1</f>
        <v>1</v>
      </c>
      <c r="J2" s="2" t="s">
        <v>6</v>
      </c>
      <c r="K2" s="2">
        <v>301010064</v>
      </c>
      <c r="L2" s="2">
        <v>225125</v>
      </c>
    </row>
    <row r="3" spans="1:12">
      <c r="A3" s="2">
        <f t="shared" si="0"/>
        <v>2</v>
      </c>
      <c r="B3" s="2" t="s">
        <v>54</v>
      </c>
      <c r="C3" s="2">
        <v>401010023</v>
      </c>
      <c r="E3" s="2">
        <f t="shared" si="1"/>
        <v>2</v>
      </c>
      <c r="F3" s="2" t="s">
        <v>44</v>
      </c>
      <c r="G3" s="2">
        <v>322230</v>
      </c>
      <c r="I3" s="2">
        <f t="shared" si="2"/>
        <v>2</v>
      </c>
      <c r="J3" s="2" t="s">
        <v>2</v>
      </c>
      <c r="K3" s="2">
        <v>301010030</v>
      </c>
      <c r="L3" s="2">
        <v>223505</v>
      </c>
    </row>
    <row r="4" spans="1:12">
      <c r="A4" s="2">
        <f t="shared" si="0"/>
        <v>3</v>
      </c>
      <c r="B4" s="2" t="s">
        <v>64</v>
      </c>
      <c r="C4" s="2">
        <v>201020033</v>
      </c>
      <c r="E4" s="2">
        <f t="shared" si="1"/>
        <v>3</v>
      </c>
      <c r="F4" s="2" t="s">
        <v>51</v>
      </c>
      <c r="G4" s="2">
        <v>225125</v>
      </c>
      <c r="I4" s="2">
        <f t="shared" si="2"/>
        <v>3</v>
      </c>
      <c r="J4" s="2" t="s">
        <v>5</v>
      </c>
      <c r="K4" s="2">
        <v>301010030</v>
      </c>
      <c r="L4" s="2">
        <v>223565</v>
      </c>
    </row>
    <row r="5" spans="1:12">
      <c r="A5" s="2">
        <f t="shared" si="0"/>
        <v>4</v>
      </c>
      <c r="B5" s="2" t="s">
        <v>39</v>
      </c>
      <c r="C5" s="2">
        <v>301040028</v>
      </c>
      <c r="E5" s="2">
        <f t="shared" si="1"/>
        <v>4</v>
      </c>
      <c r="F5" s="2" t="s">
        <v>23</v>
      </c>
      <c r="G5" s="2">
        <v>223505</v>
      </c>
      <c r="I5" s="2">
        <f t="shared" si="2"/>
        <v>4</v>
      </c>
      <c r="J5" s="2" t="s">
        <v>74</v>
      </c>
      <c r="K5" s="2">
        <v>301010048</v>
      </c>
      <c r="L5" s="2">
        <v>223810</v>
      </c>
    </row>
    <row r="6" spans="1:12">
      <c r="A6" s="2">
        <f t="shared" si="0"/>
        <v>5</v>
      </c>
      <c r="B6" s="2" t="s">
        <v>52</v>
      </c>
      <c r="C6" s="2">
        <v>211020036</v>
      </c>
      <c r="E6" s="2">
        <f t="shared" si="1"/>
        <v>5</v>
      </c>
      <c r="F6" s="2" t="s">
        <v>25</v>
      </c>
      <c r="G6" s="2">
        <v>223565</v>
      </c>
      <c r="I6" s="2">
        <f t="shared" si="2"/>
        <v>5</v>
      </c>
      <c r="J6" s="2" t="s">
        <v>4</v>
      </c>
      <c r="K6" s="2">
        <v>301010064</v>
      </c>
      <c r="L6" s="2">
        <v>225250</v>
      </c>
    </row>
    <row r="7" spans="1:12">
      <c r="A7" s="2">
        <f t="shared" si="0"/>
        <v>6</v>
      </c>
      <c r="B7" s="2" t="s">
        <v>45</v>
      </c>
      <c r="C7" s="2">
        <v>201020041</v>
      </c>
      <c r="E7" s="2">
        <f t="shared" si="1"/>
        <v>6</v>
      </c>
      <c r="F7" s="2" t="s">
        <v>31</v>
      </c>
      <c r="G7" s="2">
        <v>223810</v>
      </c>
      <c r="I7" s="2">
        <f t="shared" si="2"/>
        <v>6</v>
      </c>
      <c r="J7" s="2" t="s">
        <v>10</v>
      </c>
      <c r="K7" s="2">
        <v>301010064</v>
      </c>
      <c r="L7" s="2">
        <v>225142</v>
      </c>
    </row>
    <row r="8" spans="1:12">
      <c r="A8" s="2">
        <f t="shared" si="0"/>
        <v>7</v>
      </c>
      <c r="B8" s="2" t="s">
        <v>36</v>
      </c>
      <c r="C8" s="2">
        <v>301040044</v>
      </c>
      <c r="E8" s="2">
        <f t="shared" si="1"/>
        <v>7</v>
      </c>
      <c r="F8" s="2" t="s">
        <v>37</v>
      </c>
      <c r="G8" s="2">
        <v>225250</v>
      </c>
      <c r="I8" s="2">
        <f t="shared" si="2"/>
        <v>7</v>
      </c>
      <c r="J8" s="2" t="s">
        <v>14</v>
      </c>
      <c r="K8" s="2">
        <v>301010110</v>
      </c>
      <c r="L8" s="2">
        <v>225142</v>
      </c>
    </row>
    <row r="9" spans="1:12">
      <c r="A9" s="2">
        <f t="shared" si="0"/>
        <v>8</v>
      </c>
      <c r="B9" s="2" t="s">
        <v>35</v>
      </c>
      <c r="C9" s="2">
        <v>301040036</v>
      </c>
      <c r="E9" s="2">
        <f t="shared" si="1"/>
        <v>8</v>
      </c>
      <c r="F9" s="2" t="s">
        <v>40</v>
      </c>
      <c r="G9" s="2">
        <v>225142</v>
      </c>
      <c r="I9" s="2">
        <f t="shared" si="2"/>
        <v>8</v>
      </c>
      <c r="J9" s="2" t="s">
        <v>13</v>
      </c>
      <c r="K9" s="2">
        <v>301010080</v>
      </c>
      <c r="L9" s="2">
        <v>225142</v>
      </c>
    </row>
    <row r="10" spans="1:12">
      <c r="A10" s="2">
        <f t="shared" si="0"/>
        <v>9</v>
      </c>
      <c r="B10" s="2" t="s">
        <v>34</v>
      </c>
      <c r="C10" s="2">
        <v>211070076</v>
      </c>
      <c r="E10" s="2">
        <f t="shared" si="1"/>
        <v>9</v>
      </c>
      <c r="F10" s="2" t="s">
        <v>12</v>
      </c>
      <c r="G10" s="2">
        <v>223710</v>
      </c>
      <c r="I10" s="2">
        <f t="shared" si="2"/>
        <v>9</v>
      </c>
      <c r="J10" s="2" t="s">
        <v>16</v>
      </c>
      <c r="K10" s="2">
        <v>301010129</v>
      </c>
      <c r="L10" s="2">
        <v>225142</v>
      </c>
    </row>
    <row r="11" spans="1:12">
      <c r="A11" s="2">
        <f t="shared" si="0"/>
        <v>10</v>
      </c>
      <c r="B11" s="2" t="s">
        <v>33</v>
      </c>
      <c r="C11" s="2">
        <v>211070114</v>
      </c>
      <c r="E11" s="2">
        <f t="shared" si="1"/>
        <v>10</v>
      </c>
      <c r="F11" s="2" t="s">
        <v>70</v>
      </c>
      <c r="G11" s="2">
        <v>223208</v>
      </c>
      <c r="I11" s="2">
        <f t="shared" si="2"/>
        <v>10</v>
      </c>
      <c r="J11" s="2" t="s">
        <v>75</v>
      </c>
      <c r="K11" s="2">
        <v>301010072</v>
      </c>
      <c r="L11" s="2">
        <v>225112</v>
      </c>
    </row>
    <row r="12" spans="1:12">
      <c r="A12" s="2">
        <f t="shared" si="0"/>
        <v>11</v>
      </c>
      <c r="B12" s="2" t="s">
        <v>32</v>
      </c>
      <c r="C12" s="2">
        <v>211070068</v>
      </c>
      <c r="E12" s="2">
        <f t="shared" si="1"/>
        <v>11</v>
      </c>
      <c r="F12" s="2" t="s">
        <v>69</v>
      </c>
      <c r="G12" s="2">
        <v>225124</v>
      </c>
      <c r="I12" s="2">
        <f t="shared" si="2"/>
        <v>11</v>
      </c>
      <c r="J12" s="2" t="s">
        <v>12</v>
      </c>
      <c r="K12" s="2">
        <v>301010030</v>
      </c>
      <c r="L12" s="2">
        <v>223710</v>
      </c>
    </row>
    <row r="13" spans="1:12">
      <c r="A13" s="2">
        <f t="shared" si="0"/>
        <v>12</v>
      </c>
      <c r="B13" s="2" t="s">
        <v>49</v>
      </c>
      <c r="C13" s="2">
        <v>214010015</v>
      </c>
      <c r="E13" s="2">
        <f t="shared" si="1"/>
        <v>12</v>
      </c>
      <c r="F13" s="2" t="s">
        <v>68</v>
      </c>
      <c r="G13" s="2">
        <v>123456</v>
      </c>
      <c r="I13" s="2">
        <f t="shared" si="2"/>
        <v>12</v>
      </c>
      <c r="J13" s="2" t="s">
        <v>76</v>
      </c>
      <c r="K13" s="2">
        <v>301020500</v>
      </c>
      <c r="L13" s="2">
        <v>223208</v>
      </c>
    </row>
    <row r="14" spans="1:12">
      <c r="A14" s="2">
        <f t="shared" si="0"/>
        <v>13</v>
      </c>
      <c r="B14" s="2" t="s">
        <v>28</v>
      </c>
      <c r="C14" s="2">
        <v>101010010</v>
      </c>
      <c r="E14" s="2">
        <f t="shared" si="1"/>
        <v>13</v>
      </c>
      <c r="F14" s="2" t="s">
        <v>29</v>
      </c>
      <c r="G14" s="2">
        <v>251510</v>
      </c>
      <c r="I14" s="2">
        <f t="shared" si="2"/>
        <v>13</v>
      </c>
      <c r="J14" s="2" t="s">
        <v>7</v>
      </c>
      <c r="K14" s="2">
        <v>301010064</v>
      </c>
      <c r="L14" s="2">
        <v>225124</v>
      </c>
    </row>
    <row r="15" spans="1:12">
      <c r="A15" s="2">
        <f t="shared" si="0"/>
        <v>14</v>
      </c>
      <c r="B15" s="2" t="s">
        <v>65</v>
      </c>
      <c r="C15" s="2">
        <v>101010010</v>
      </c>
      <c r="E15" s="2">
        <f t="shared" si="1"/>
        <v>14</v>
      </c>
      <c r="F15" s="2" t="s">
        <v>67</v>
      </c>
      <c r="G15" s="2">
        <v>225133</v>
      </c>
      <c r="I15" s="2">
        <f t="shared" si="2"/>
        <v>14</v>
      </c>
      <c r="J15" s="2" t="s">
        <v>3</v>
      </c>
      <c r="K15" s="2">
        <v>301010110</v>
      </c>
      <c r="L15" s="2">
        <v>225250</v>
      </c>
    </row>
    <row r="16" spans="1:12">
      <c r="A16" s="2">
        <f t="shared" si="0"/>
        <v>15</v>
      </c>
      <c r="B16" s="2" t="s">
        <v>22</v>
      </c>
      <c r="C16" s="2">
        <v>101010010</v>
      </c>
      <c r="E16" s="2">
        <f t="shared" si="1"/>
        <v>15</v>
      </c>
      <c r="F16" s="2" t="s">
        <v>43</v>
      </c>
      <c r="G16" s="2">
        <v>322245</v>
      </c>
      <c r="I16" s="2">
        <f t="shared" si="2"/>
        <v>15</v>
      </c>
      <c r="J16" s="2" t="s">
        <v>11</v>
      </c>
      <c r="K16" s="2">
        <v>301010110</v>
      </c>
      <c r="L16" s="2">
        <v>223505</v>
      </c>
    </row>
    <row r="17" spans="1:12">
      <c r="A17" s="2">
        <f t="shared" si="0"/>
        <v>16</v>
      </c>
      <c r="B17" s="2" t="s">
        <v>30</v>
      </c>
      <c r="C17" s="2">
        <v>301040044</v>
      </c>
      <c r="I17" s="2">
        <f t="shared" si="2"/>
        <v>16</v>
      </c>
      <c r="J17" s="2" t="s">
        <v>77</v>
      </c>
      <c r="K17" s="2">
        <v>301010110</v>
      </c>
      <c r="L17" s="2">
        <v>223565</v>
      </c>
    </row>
    <row r="18" spans="1:12">
      <c r="A18" s="2">
        <f t="shared" si="0"/>
        <v>17</v>
      </c>
      <c r="B18" s="2" t="s">
        <v>55</v>
      </c>
      <c r="C18" s="2">
        <v>301100101</v>
      </c>
      <c r="I18" s="2">
        <f t="shared" si="2"/>
        <v>17</v>
      </c>
      <c r="J18" s="2" t="s">
        <v>1</v>
      </c>
      <c r="K18" s="2">
        <v>301010030</v>
      </c>
      <c r="L18" s="2">
        <v>251510</v>
      </c>
    </row>
    <row r="19" spans="1:12">
      <c r="A19" s="2">
        <f t="shared" si="0"/>
        <v>18</v>
      </c>
      <c r="B19" s="2" t="s">
        <v>46</v>
      </c>
      <c r="C19" s="2">
        <v>301100020</v>
      </c>
      <c r="I19" s="2">
        <f t="shared" si="2"/>
        <v>18</v>
      </c>
      <c r="J19" s="2" t="s">
        <v>15</v>
      </c>
      <c r="K19" s="2">
        <v>301010072</v>
      </c>
      <c r="L19" s="2">
        <v>225133</v>
      </c>
    </row>
    <row r="20" spans="1:12">
      <c r="A20" s="2">
        <f t="shared" si="0"/>
        <v>19</v>
      </c>
      <c r="B20" s="2" t="s">
        <v>84</v>
      </c>
      <c r="C20" s="2">
        <v>301100020</v>
      </c>
      <c r="I20" s="2">
        <f t="shared" si="2"/>
        <v>19</v>
      </c>
      <c r="J20" s="2" t="s">
        <v>78</v>
      </c>
      <c r="K20" s="2">
        <v>301010080</v>
      </c>
      <c r="L20" s="2">
        <v>223505</v>
      </c>
    </row>
    <row r="21" spans="1:12">
      <c r="A21" s="2">
        <f t="shared" si="0"/>
        <v>20</v>
      </c>
      <c r="B21" s="2" t="s">
        <v>53</v>
      </c>
      <c r="C21" s="2">
        <v>201020033</v>
      </c>
      <c r="I21" s="2">
        <f t="shared" si="2"/>
        <v>20</v>
      </c>
      <c r="J21" s="2" t="s">
        <v>79</v>
      </c>
      <c r="K21" s="2">
        <v>301010080</v>
      </c>
      <c r="L21" s="2">
        <v>223565</v>
      </c>
    </row>
    <row r="22" spans="1:12">
      <c r="A22" s="2">
        <f t="shared" si="0"/>
        <v>21</v>
      </c>
      <c r="B22" s="2" t="s">
        <v>50</v>
      </c>
      <c r="C22" s="2">
        <v>301100039</v>
      </c>
      <c r="I22" s="2">
        <f t="shared" si="2"/>
        <v>21</v>
      </c>
      <c r="J22" s="2" t="s">
        <v>0</v>
      </c>
      <c r="K22" s="2">
        <v>301010080</v>
      </c>
      <c r="L22" s="2">
        <v>225124</v>
      </c>
    </row>
    <row r="23" spans="1:12">
      <c r="A23" s="2">
        <f t="shared" si="0"/>
        <v>22</v>
      </c>
      <c r="B23" s="2" t="s">
        <v>48</v>
      </c>
      <c r="C23" s="2">
        <v>301100152</v>
      </c>
      <c r="I23" s="3">
        <f t="shared" si="2"/>
        <v>22</v>
      </c>
      <c r="J23" s="2" t="s">
        <v>144</v>
      </c>
      <c r="K23" s="2">
        <v>301010129</v>
      </c>
      <c r="L23" s="2">
        <v>225250</v>
      </c>
    </row>
    <row r="24" spans="1:12">
      <c r="A24" s="2">
        <f t="shared" si="0"/>
        <v>23</v>
      </c>
      <c r="B24" s="2" t="s">
        <v>47</v>
      </c>
      <c r="C24" s="2">
        <v>214010066</v>
      </c>
      <c r="I24" s="2">
        <f t="shared" si="2"/>
        <v>23</v>
      </c>
      <c r="J24" s="2" t="s">
        <v>9</v>
      </c>
      <c r="K24" s="2">
        <v>301010129</v>
      </c>
      <c r="L24" s="2">
        <v>223505</v>
      </c>
    </row>
    <row r="25" spans="1:12">
      <c r="A25" s="2">
        <f t="shared" si="0"/>
        <v>24</v>
      </c>
      <c r="B25" s="2" t="s">
        <v>24</v>
      </c>
      <c r="C25" s="2">
        <v>301050052</v>
      </c>
      <c r="I25" s="2">
        <f t="shared" si="2"/>
        <v>24</v>
      </c>
      <c r="J25" s="2" t="s">
        <v>17</v>
      </c>
      <c r="K25" s="2">
        <v>301010129</v>
      </c>
      <c r="L25" s="2">
        <v>223565</v>
      </c>
    </row>
    <row r="26" spans="1:12">
      <c r="A26" s="2">
        <f t="shared" si="0"/>
        <v>25</v>
      </c>
      <c r="B26" s="2" t="s">
        <v>27</v>
      </c>
      <c r="C26" s="2">
        <v>214010058</v>
      </c>
      <c r="I26" s="2">
        <f t="shared" si="2"/>
        <v>25</v>
      </c>
      <c r="J26" s="2" t="s">
        <v>8</v>
      </c>
      <c r="K26" s="2">
        <v>301010129</v>
      </c>
      <c r="L26" s="2">
        <v>225250</v>
      </c>
    </row>
    <row r="27" spans="1:12">
      <c r="A27" s="2">
        <f t="shared" si="0"/>
        <v>26</v>
      </c>
      <c r="B27" s="2" t="s">
        <v>26</v>
      </c>
      <c r="C27" s="2">
        <v>214010074</v>
      </c>
    </row>
    <row r="28" spans="1:12">
      <c r="A28" s="2">
        <f t="shared" si="0"/>
        <v>27</v>
      </c>
      <c r="B28" s="2" t="s">
        <v>41</v>
      </c>
      <c r="C28" s="2">
        <v>101030010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customUI/_rels/customUI.xml.rels><?xml version="1.0" encoding="UTF-8" standalone="yes"?>
<Relationships xmlns="http://schemas.openxmlformats.org/package/2006/relationships"><Relationship Id="btnConsultas" Type="http://schemas.openxmlformats.org/officeDocument/2006/relationships/image" Target="images/btnConsultas.png"/><Relationship Id="btnExportPDF" Type="http://schemas.openxmlformats.org/officeDocument/2006/relationships/image" Target="images/btnExportPDF.png"/><Relationship Id="btnProfissional" Type="http://schemas.openxmlformats.org/officeDocument/2006/relationships/image" Target="images/btnProfissional.png"/><Relationship Id="btProcedimentos" Type="http://schemas.openxmlformats.org/officeDocument/2006/relationships/image" Target="images/btProcedimentos.png"/><Relationship Id="btnReportView" Type="http://schemas.openxmlformats.org/officeDocument/2006/relationships/image" Target="images/btnReportView.png"/><Relationship Id="btnCadastroView" Type="http://schemas.openxmlformats.org/officeDocument/2006/relationships/image" Target="images/btnCadastroView.png"/><Relationship Id="btnConsultasNew" Type="http://schemas.openxmlformats.org/officeDocument/2006/relationships/image" Target="images/btnConsultasNew.png"/><Relationship Id="btnProcedimento" Type="http://schemas.openxmlformats.org/officeDocument/2006/relationships/image" Target="images/btnProcedimento.png"/></Relationships>
</file>

<file path=customUI/customUI.xml><?xml version="1.0" encoding="utf-8"?>
<customUI xmlns="http://schemas.microsoft.com/office/2006/01/customui">
  <ribbon>
    <tabs>
      <tab id="BPATab" label="BPA Manager 5.0-0518*" insertBeforeMso="TabHome">
        <group id="gConsultas" label="Grupo de Consultas">
          <button id="btLancamentos" label="Gerenciar Consultas" size="large" onAction="RibbonsCallBacks" image="btnConsultas"/>
          <button id="btreportfichas" label="Visualizar Relatório" size="large" onAction="RibbonsCallBacks" image="btnReportView"/>
        </group>
        <group id="gProcedimentos" label="Grupo de Procedimentos">
          <button id="btProcedimentos" label="Gerenciar Procedimentos" size="large" onAction="RibbonsCallBacks" image="btProcedimentos"/>
          <button id="btRelatorio" label="Visualizar Relatório" size="large" onAction="RibbonsCallBacks" image="btnReportView"/>
        </group>
        <group id="gReports" label="General Reports">
          <button id="btprint" label="Gerar Relatórios " size="large" onAction="RibbonsCallBacks" image="btnExportPDF"/>
        </group>
        <group id="gCadastros" label="Grupo de Cadastros">
          <button id="btProfissional" label="Cadastro Profissionais" size="large" onAction="RibbonsCallBacks" image="btnProfissional"/>
          <button id="btProcedimento" label="Cadastro Procedimento" size="large" onAction="RibbonsCallBacks" image="btnProcedimento"/>
          <button id="btConsulta" label="Cadastro Consultas" size="large" onAction="RibbonsCallBacks" image="btnConsultasNew"/>
          <button id="btCadastroView" label="Visualizar Tabelas (Cadastros)" size="large" onAction="RibbonsCallBacks" image="btnCadastro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</vt:i4>
      </vt:variant>
    </vt:vector>
  </HeadingPairs>
  <TitlesOfParts>
    <vt:vector size="8" baseType="lpstr">
      <vt:lpstr>sViewAux</vt:lpstr>
      <vt:lpstr>LançamentosConsultas</vt:lpstr>
      <vt:lpstr>ReportConsultas</vt:lpstr>
      <vt:lpstr>LançamentosProcedimentos</vt:lpstr>
      <vt:lpstr>ReportProcedimentos</vt:lpstr>
      <vt:lpstr>Cadastros</vt:lpstr>
      <vt:lpstr>ReportConsultas!Titulos_de_impressao</vt:lpstr>
      <vt:lpstr>ReportProcedimentos!Titulos_de_impressao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Ivanildo Junior</cp:lastModifiedBy>
  <cp:lastPrinted>2018-06-05T15:17:41Z</cp:lastPrinted>
  <dcterms:created xsi:type="dcterms:W3CDTF">2018-03-25T01:41:51Z</dcterms:created>
  <dcterms:modified xsi:type="dcterms:W3CDTF">2018-06-27T02:53:36Z</dcterms:modified>
</cp:coreProperties>
</file>