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wbk" hidePivotFieldList="1"/>
  <mc:AlternateContent xmlns:mc="http://schemas.openxmlformats.org/markup-compatibility/2006">
    <mc:Choice Requires="x15">
      <x15ac:absPath xmlns:x15ac="http://schemas.microsoft.com/office/spreadsheetml/2010/11/ac" url="https://d.docs.live.net/309c97073307406c/BackupNoteDell3542/Documents/BPA_2017/BPA_2017/"/>
    </mc:Choice>
  </mc:AlternateContent>
  <xr:revisionPtr revIDLastSave="2" documentId="11_AF1D020ED3269966DA4986E432AB7611A9C9B4F8" xr6:coauthVersionLast="47" xr6:coauthVersionMax="47" xr10:uidLastSave="{5D74F186-2167-4D8A-84C5-3B28F20E5091}"/>
  <bookViews>
    <workbookView xWindow="-110" yWindow="-110" windowWidth="19420" windowHeight="10560" firstSheet="1" activeTab="1" xr2:uid="{00000000-000D-0000-FFFF-FFFF00000000}"/>
  </bookViews>
  <sheets>
    <sheet name="RELATÓRIO" sheetId="6" state="hidden" r:id="rId1"/>
    <sheet name="DIGITAÇÃO" sheetId="1" r:id="rId2"/>
    <sheet name="LISTA_PROCED" sheetId="2" r:id="rId3"/>
  </sheets>
  <definedNames>
    <definedName name="_xlnm._FilterDatabase" localSheetId="1" hidden="1">DIGITAÇÃO!#REF!</definedName>
    <definedName name="NOME_DO_PROCEDIMENTO">LISTA_PROCED!#REF!</definedName>
    <definedName name="PROFISSIONAL">LISTA_PROCED!$A$2:$A$25</definedName>
    <definedName name="TIPO_CONSULTA">LISTA_PROCED[PROFISSIONAL]</definedName>
    <definedName name="_xlnm.Print_Titles" localSheetId="1">DIGITAÇÃO!#REF!,DIGITAÇÃO!$6:$6</definedName>
    <definedName name="_xlnm.Print_Titles" localSheetId="0">RELATÓRIO!$A:$C,RELATÓRIO!$1:$2</definedName>
  </definedName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5" i="1" l="1"/>
  <c r="D65" i="1"/>
  <c r="E65" i="1"/>
  <c r="C64" i="1"/>
  <c r="D64" i="1"/>
  <c r="E64" i="1"/>
  <c r="C63" i="1"/>
  <c r="D63" i="1"/>
  <c r="E63" i="1"/>
  <c r="C62" i="1"/>
  <c r="D62" i="1"/>
  <c r="E62" i="1"/>
  <c r="C61" i="1"/>
  <c r="D61" i="1"/>
  <c r="E61" i="1"/>
  <c r="C60" i="1"/>
  <c r="D60" i="1"/>
  <c r="E60" i="1"/>
  <c r="C59" i="1"/>
  <c r="D59" i="1"/>
  <c r="E59" i="1"/>
  <c r="C58" i="1"/>
  <c r="D58" i="1"/>
  <c r="E58" i="1"/>
  <c r="C57" i="1"/>
  <c r="D57" i="1"/>
  <c r="E57" i="1"/>
  <c r="C56" i="1"/>
  <c r="D56" i="1"/>
  <c r="E56" i="1"/>
  <c r="C55" i="1"/>
  <c r="D55" i="1"/>
  <c r="E55" i="1"/>
  <c r="C54" i="1"/>
  <c r="D54" i="1"/>
  <c r="E54" i="1"/>
  <c r="C53" i="1"/>
  <c r="D53" i="1"/>
  <c r="E53" i="1"/>
  <c r="C52" i="1"/>
  <c r="D52" i="1"/>
  <c r="E52" i="1"/>
  <c r="C51" i="1"/>
  <c r="D51" i="1"/>
  <c r="E51" i="1"/>
  <c r="C50" i="1"/>
  <c r="D50" i="1"/>
  <c r="E50" i="1"/>
  <c r="C49" i="1"/>
  <c r="D49" i="1"/>
  <c r="E49" i="1"/>
  <c r="C48" i="1"/>
  <c r="D48" i="1"/>
  <c r="E48" i="1"/>
  <c r="C47" i="1"/>
  <c r="D47" i="1"/>
  <c r="E47" i="1"/>
  <c r="C46" i="1"/>
  <c r="D46" i="1"/>
  <c r="E46" i="1"/>
  <c r="C45" i="1"/>
  <c r="D45" i="1"/>
  <c r="E45" i="1"/>
  <c r="C44" i="1"/>
  <c r="D44" i="1"/>
  <c r="E44" i="1"/>
  <c r="C43" i="1"/>
  <c r="D43" i="1"/>
  <c r="E43" i="1"/>
  <c r="C42" i="1"/>
  <c r="D42" i="1"/>
  <c r="E42" i="1"/>
  <c r="C41" i="1"/>
  <c r="D41" i="1"/>
  <c r="E41" i="1"/>
  <c r="C40" i="1"/>
  <c r="D40" i="1"/>
  <c r="E40" i="1"/>
  <c r="C39" i="1"/>
  <c r="D39" i="1"/>
  <c r="E39" i="1"/>
  <c r="C38" i="1"/>
  <c r="D38" i="1"/>
  <c r="E38" i="1"/>
  <c r="C37" i="1"/>
  <c r="D37" i="1"/>
  <c r="E37" i="1"/>
  <c r="C36" i="1"/>
  <c r="D36" i="1"/>
  <c r="E36" i="1"/>
  <c r="C35" i="1"/>
  <c r="D35" i="1"/>
  <c r="E35" i="1"/>
  <c r="C34" i="1"/>
  <c r="D34" i="1"/>
  <c r="E34" i="1"/>
  <c r="C33" i="1"/>
  <c r="D33" i="1"/>
  <c r="E33" i="1"/>
  <c r="C32" i="1"/>
  <c r="D32" i="1"/>
  <c r="E32" i="1"/>
  <c r="C31" i="1"/>
  <c r="D31" i="1"/>
  <c r="E31" i="1"/>
  <c r="C30" i="1"/>
  <c r="D30" i="1"/>
  <c r="E30" i="1"/>
  <c r="C29" i="1"/>
  <c r="D29" i="1"/>
  <c r="E29" i="1"/>
  <c r="C28" i="1"/>
  <c r="D28" i="1"/>
  <c r="E28" i="1"/>
  <c r="C27" i="1"/>
  <c r="D27" i="1"/>
  <c r="E27" i="1"/>
  <c r="C26" i="1"/>
  <c r="D26" i="1"/>
  <c r="E26" i="1"/>
  <c r="C25" i="1"/>
  <c r="D25" i="1"/>
  <c r="E25" i="1"/>
  <c r="C24" i="1"/>
  <c r="D24" i="1"/>
  <c r="E24" i="1"/>
  <c r="C23" i="1"/>
  <c r="D23" i="1"/>
  <c r="E23" i="1"/>
  <c r="C22" i="1"/>
  <c r="D22" i="1"/>
  <c r="E22" i="1"/>
  <c r="C21" i="1"/>
  <c r="D21" i="1"/>
  <c r="E21" i="1"/>
  <c r="C20" i="1"/>
  <c r="D20" i="1"/>
  <c r="E20" i="1"/>
  <c r="C19" i="1"/>
  <c r="D19" i="1"/>
  <c r="E19" i="1"/>
  <c r="C18" i="1"/>
  <c r="D18" i="1"/>
  <c r="E18" i="1"/>
  <c r="C17" i="1"/>
  <c r="D17" i="1"/>
  <c r="E17" i="1"/>
  <c r="C16" i="1"/>
  <c r="D16" i="1"/>
  <c r="E16" i="1"/>
  <c r="C15" i="1"/>
  <c r="D15" i="1"/>
  <c r="E15" i="1"/>
  <c r="C14" i="1"/>
  <c r="D14" i="1"/>
  <c r="E14" i="1"/>
  <c r="C13" i="1"/>
  <c r="D13" i="1"/>
  <c r="E13" i="1"/>
  <c r="C12" i="1"/>
  <c r="D12" i="1"/>
  <c r="E12" i="1"/>
  <c r="C11" i="1"/>
  <c r="D11" i="1"/>
  <c r="E11" i="1"/>
  <c r="C10" i="1"/>
  <c r="D10" i="1"/>
  <c r="E10" i="1"/>
  <c r="C9" i="1"/>
  <c r="D9" i="1"/>
  <c r="E9" i="1"/>
  <c r="C8" i="1"/>
  <c r="D8" i="1"/>
  <c r="E8" i="1"/>
  <c r="C7" i="1"/>
  <c r="D7" i="1"/>
  <c r="E7" i="1"/>
  <c r="E6" i="1"/>
  <c r="D2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 l="1"/>
  <c r="D6" i="1"/>
  <c r="C6" i="1"/>
</calcChain>
</file>

<file path=xl/sharedStrings.xml><?xml version="1.0" encoding="utf-8"?>
<sst xmlns="http://schemas.openxmlformats.org/spreadsheetml/2006/main" count="104" uniqueCount="34">
  <si>
    <t>CÓD. DO PROCED.</t>
  </si>
  <si>
    <t>Nº DE CBO</t>
  </si>
  <si>
    <t>IDADE</t>
  </si>
  <si>
    <t>ENFERMAGEM</t>
  </si>
  <si>
    <t>ENFERMAGEM PACS</t>
  </si>
  <si>
    <t>PRÉ NATAL ENFERMAGEM</t>
  </si>
  <si>
    <t>PRÉ NATAL ENFERMAGEM PACS</t>
  </si>
  <si>
    <t>PUERPÉRIO ENFERMAGEM</t>
  </si>
  <si>
    <t>PUERPÉRIO ENFERMAGEM PACS</t>
  </si>
  <si>
    <t>PUERICULTURA ENFERMAGEM</t>
  </si>
  <si>
    <t>PUERICULTURA ENFERMAGEM PACS</t>
  </si>
  <si>
    <t xml:space="preserve">PSIQUIATRIA </t>
  </si>
  <si>
    <t>FONO</t>
  </si>
  <si>
    <t>PSICOLOGIA</t>
  </si>
  <si>
    <t>PEDIATRIA</t>
  </si>
  <si>
    <t>PUERICULTURA PEDIATRIA</t>
  </si>
  <si>
    <t>GINECOLOGIA</t>
  </si>
  <si>
    <t>PUERPÉRIO GO</t>
  </si>
  <si>
    <t>PRÉ NATAL</t>
  </si>
  <si>
    <t>CLÍNICO</t>
  </si>
  <si>
    <t>NUTRIÇÃO</t>
  </si>
  <si>
    <t>NEURO</t>
  </si>
  <si>
    <t>ODONTOLOGIA</t>
  </si>
  <si>
    <t>TOTAL DE ATENDIMENTOS</t>
  </si>
  <si>
    <t>PROFISSIONAL</t>
  </si>
  <si>
    <t>DATA DE NASC.</t>
  </si>
  <si>
    <t>CBO</t>
  </si>
  <si>
    <t>PROCED.</t>
  </si>
  <si>
    <t>RELATÓRIO GERENCIAL - BPA UPLOAD</t>
  </si>
  <si>
    <t>IDADES</t>
  </si>
  <si>
    <t>M.E.S.F. GO, CL, PED</t>
  </si>
  <si>
    <t>M.E.S.F. PRÉ NATAL</t>
  </si>
  <si>
    <t>M.E.S.F. PUERICULTURA</t>
  </si>
  <si>
    <t>M.E.S.F. PUERPÉRIO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</si>
</sst>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0\/00\/0000"/>
    <numFmt numFmtId="165" formatCode="0000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</cellXfs>
  <cellStyles count="1">
    <cellStyle name="Normal" xfId="0" builtinId="0"/>
  </cellStyles>
  <dxfs count="106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general"/>
    </dxf>
    <dxf>
      <font>
        <b/>
      </font>
    </dxf>
    <dxf>
      <font>
        <b/>
      </font>
    </dxf>
    <dxf>
      <font>
        <b/>
      </font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000000000"/>
      <alignment horizontal="center" vertical="center" textRotation="0" wrapText="0" indent="0" justifyLastLine="0" shrinkToFit="0" readingOrder="0"/>
    </dxf>
    <dxf>
      <numFmt numFmtId="165" formatCode="0000000000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000000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0\/00\/0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</dxf>
    <dxf>
      <font>
        <b/>
      </font>
    </dxf>
    <dxf>
      <font>
        <b/>
      </font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0"/>
      </font>
      <fill>
        <patternFill patternType="solid">
          <fgColor theme="8" tint="-0.499984740745262"/>
          <bgColor theme="8" tint="-0.499984740745262"/>
        </patternFill>
      </fill>
      <border>
        <horizontal style="thin">
          <color theme="8" tint="-0.499984740745262"/>
        </horizontal>
      </border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horizontal style="thin">
          <color theme="8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8" tint="0.79998168889431442"/>
          <bgColor theme="8" tint="0.79998168889431442"/>
        </patternFill>
      </fill>
      <border>
        <top style="thin">
          <color theme="8" tint="0.39997558519241921"/>
        </top>
        <bottom style="thin">
          <color theme="8" tint="0.39997558519241921"/>
        </bottom>
      </border>
    </dxf>
    <dxf>
      <font>
        <b/>
        <color theme="1"/>
      </font>
      <border>
        <bottom style="thin">
          <color theme="8" tint="0.79998168889431442"/>
        </bottom>
      </border>
    </dxf>
    <dxf>
      <border>
        <left style="thin">
          <color theme="8" tint="0.79998168889431442"/>
        </left>
        <right style="thin">
          <color theme="8" tint="0.79998168889431442"/>
        </right>
      </border>
    </dxf>
    <dxf>
      <fill>
        <patternFill patternType="solid">
          <fgColor theme="8" tint="0.39997558519241921"/>
          <bgColor theme="8" tint="0.39997558519241921"/>
        </patternFill>
      </fill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bottom style="thin">
          <color theme="8"/>
        </bottom>
        <horizontal style="thin">
          <color theme="8" tint="-0.499984740745262"/>
        </horizontal>
      </border>
    </dxf>
    <dxf>
      <font>
        <color theme="1"/>
      </font>
      <fill>
        <patternFill patternType="solid">
          <fgColor theme="8" tint="0.59999389629810485"/>
          <bgColor theme="8" tint="0.59999389629810485"/>
        </patternFill>
      </fill>
      <border>
        <horizontal style="thin">
          <color theme="8" tint="0.79998168889431442"/>
        </horizontal>
      </border>
    </dxf>
    <dxf>
      <fill>
        <patternFill patternType="solid">
          <fgColor theme="8" tint="0.59999389629810485"/>
          <bgColor theme="8" tint="0.59999389629810485"/>
        </patternFill>
      </fill>
    </dxf>
    <dxf>
      <fill>
        <patternFill patternType="solid">
          <fgColor theme="8" tint="0.59999389629810485"/>
          <bgColor theme="8" tint="0.59999389629810485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8"/>
          <bgColor rgb="FF002060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8" tint="0.79998168889431442"/>
          <bgColor theme="8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2" defaultTableStyle="TableStyleMedium2" defaultPivotStyle="PivotStyleLight16">
    <tableStyle name="MINHA_TABELA" pivot="0" count="7" xr9:uid="{00000000-0011-0000-FFFF-FFFF00000000}">
      <tableStyleElement type="wholeTable" dxfId="105"/>
      <tableStyleElement type="headerRow" dxfId="104"/>
      <tableStyleElement type="totalRow" dxfId="103"/>
      <tableStyleElement type="firstColumn" dxfId="102"/>
      <tableStyleElement type="lastColumn" dxfId="101"/>
      <tableStyleElement type="firstRowStripe" dxfId="100"/>
      <tableStyleElement type="firstColumnStripe" dxfId="99"/>
    </tableStyle>
    <tableStyle name="TBL_DIN_CUSTOM" table="0" count="10" xr9:uid="{00000000-0011-0000-FFFF-FFFF01000000}">
      <tableStyleElement type="wholeTable" dxfId="98"/>
      <tableStyleElement type="headerRow" dxfId="97"/>
      <tableStyleElement type="totalRow" dxfId="96"/>
      <tableStyleElement type="secondRowStripe" dxfId="95"/>
      <tableStyleElement type="secondColumnStripe" dxfId="94"/>
      <tableStyleElement type="firstSubtotalRow" dxfId="93"/>
      <tableStyleElement type="firstRowSubheading" dxfId="92"/>
      <tableStyleElement type="secondRowSubheading" dxfId="91"/>
      <tableStyleElement type="pageFieldLabels" dxfId="90"/>
      <tableStyleElement type="pageFieldValues" dxfId="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201756</xdr:colOff>
      <xdr:row>0</xdr:row>
      <xdr:rowOff>161925</xdr:rowOff>
    </xdr:from>
    <xdr:to>
      <xdr:col>0</xdr:col>
      <xdr:colOff>1724025</xdr:colOff>
      <xdr:row>3</xdr:row>
      <xdr:rowOff>57151</xdr:rowOff>
    </xdr:to>
    <xdr:sp macro="[0]!ERASE_DATA" textlink="">
      <xdr:nvSpPr>
        <xdr:cNvPr id="2" name="Retângulo Arredondado 1" descr="EXTRAIR CASO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1756" y="161925"/>
          <a:ext cx="1522269" cy="466726"/>
        </a:xfrm>
        <a:prstGeom prst="roundRect">
          <a:avLst/>
        </a:prstGeom>
        <a:gradFill flip="none" rotWithShape="1">
          <a:gsLst>
            <a:gs pos="100000">
              <a:schemeClr val="accent5">
                <a:lumMod val="50000"/>
              </a:schemeClr>
            </a:gs>
            <a:gs pos="100000">
              <a:schemeClr val="bg1"/>
            </a:gs>
          </a:gsLst>
          <a:path path="rect">
            <a:fillToRect l="100000" t="100000"/>
          </a:path>
          <a:tileRect r="-100000" b="-100000"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Trebuchet MS" panose="020B0603020202020204" pitchFamily="34" charset="0"/>
            </a:rPr>
            <a:t>APAGAR RELATÓRIO</a:t>
          </a:r>
        </a:p>
      </xdr:txBody>
    </xdr:sp>
    <xdr:clientData/>
  </xdr:twoCellAnchor>
  <xdr:twoCellAnchor editAs="absolute">
    <xdr:from>
      <xdr:col>0</xdr:col>
      <xdr:colOff>1878156</xdr:colOff>
      <xdr:row>0</xdr:row>
      <xdr:rowOff>161925</xdr:rowOff>
    </xdr:from>
    <xdr:to>
      <xdr:col>1</xdr:col>
      <xdr:colOff>514350</xdr:colOff>
      <xdr:row>3</xdr:row>
      <xdr:rowOff>57151</xdr:rowOff>
    </xdr:to>
    <xdr:sp macro="[0]!PrintSheet" textlink="">
      <xdr:nvSpPr>
        <xdr:cNvPr id="5" name="Retângulo Arredondado 1" descr="EXTRAIR CASOS">
          <a:extLst>
            <a:ext uri="{FF2B5EF4-FFF2-40B4-BE49-F238E27FC236}">
              <a16:creationId xmlns:a16="http://schemas.microsoft.com/office/drawing/2014/main" id="{19DA8A70-0588-4E92-8AA3-72E26657CD3E}"/>
            </a:ext>
          </a:extLst>
        </xdr:cNvPr>
        <xdr:cNvSpPr/>
      </xdr:nvSpPr>
      <xdr:spPr>
        <a:xfrm>
          <a:off x="1878156" y="161925"/>
          <a:ext cx="1522269" cy="466726"/>
        </a:xfrm>
        <a:prstGeom prst="roundRect">
          <a:avLst/>
        </a:prstGeom>
        <a:gradFill flip="none" rotWithShape="1">
          <a:gsLst>
            <a:gs pos="100000">
              <a:schemeClr val="accent5">
                <a:lumMod val="50000"/>
              </a:schemeClr>
            </a:gs>
            <a:gs pos="100000">
              <a:schemeClr val="bg1"/>
            </a:gs>
          </a:gsLst>
          <a:path path="rect">
            <a:fillToRect l="100000" t="100000"/>
          </a:path>
          <a:tileRect r="-100000" b="-100000"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Trebuchet MS" panose="020B0603020202020204" pitchFamily="34" charset="0"/>
            </a:rPr>
            <a:t>IMPRIMIR</a:t>
          </a:r>
          <a:r>
            <a:rPr lang="pt-BR" sz="900" b="1" baseline="0">
              <a:latin typeface="Trebuchet MS" panose="020B0603020202020204" pitchFamily="34" charset="0"/>
            </a:rPr>
            <a:t> RELATÓRIO</a:t>
          </a:r>
          <a:endParaRPr lang="pt-BR" sz="900" b="1">
            <a:latin typeface="Trebuchet MS" panose="020B0603020202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AN_USER" refreshedDate="44461.957277430556" createdVersion="6" refreshedVersion="7" minRefreshableVersion="3" recordCount="60" xr:uid="{00000000-000A-0000-FFFF-FFFF0E000000}">
  <cacheSource type="worksheet">
    <worksheetSource name="DIGITAÇÃO"/>
  </cacheSource>
  <cacheFields count="5">
    <cacheField name="PROFISSIONAL" numFmtId="0">
      <sharedItems containsBlank="1" count="24">
        <s v="M.E.S.F. PUERICULTURA"/>
        <s v="M.E.S.F. PRÉ NATAL"/>
        <s v="CLÍNICO"/>
        <s v="NEURO"/>
        <s v="PRÉ NATAL"/>
        <s v="GINECOLOGIA"/>
        <m u="1"/>
        <s v="ODONTOLOGIA" u="1"/>
        <s v="PUERPÉRIO ENFERMAGEM PACS" u="1"/>
        <s v="M.E.S.F. GO, CL, PED" u="1"/>
        <s v="PRÉ NATAL ENFERMAGEM PACS" u="1"/>
        <s v="NUTRIÇÃO" u="1"/>
        <s v="PEDIATRIA" u="1"/>
        <s v="FONO" u="1"/>
        <s v="M.E.S.F. PUERPÉRIO" u="1"/>
        <s v="ENFERMAGEM PACS" u="1"/>
        <s v="PUERICULTURA ENFERMAGEM PACS" u="1"/>
        <s v="ENFERMAGEM" u="1"/>
        <s v="PUERICULTURA PEDIATRIA" u="1"/>
        <s v="PUERPÉRIO ENFERMAGEM" u="1"/>
        <s v="MÉDICO DA ESTRATÉGIA DA SAÚDE DA FAMÍLIA" u="1"/>
        <s v="PSIQUIATRIA " u="1"/>
        <s v="PUERICULTURA ENFERMAGEM" u="1"/>
        <s v="PSICOLOGIA" u="1"/>
      </sharedItems>
    </cacheField>
    <cacheField name="DATA DE NASC." numFmtId="164">
      <sharedItems containsSemiMixedTypes="0" containsString="0" containsNumber="1" containsInteger="1" minValue="1041988" maxValue="30101947"/>
    </cacheField>
    <cacheField name="IDADE" numFmtId="0">
      <sharedItems containsSemiMixedTypes="0" containsString="0" containsNumber="1" containsInteger="1" minValue="-207" maxValue="117" count="208">
        <n v="40"/>
        <n v="33"/>
        <n v="37"/>
        <n v="31"/>
        <n v="73"/>
        <n v="28"/>
        <n v="32"/>
        <n v="20"/>
        <n v="38"/>
        <n v="21"/>
        <n v="50"/>
        <n v="59"/>
        <n v="47"/>
        <n v="76"/>
        <n v="74"/>
        <n v="45"/>
        <n v="55"/>
        <n v="54"/>
        <n v="41"/>
        <n v="48"/>
        <n v="43"/>
        <n v="86"/>
        <n v="22"/>
        <n v="66"/>
        <n v="82"/>
        <n v="69"/>
        <n v="83"/>
        <n v="64"/>
        <n v="61"/>
        <n v="11"/>
        <n v="58"/>
        <n v="30"/>
        <n v="34"/>
        <n v="27"/>
        <n v="14"/>
        <n v="23"/>
        <n v="71"/>
        <n v="39"/>
        <n v="60"/>
        <n v="7" u="1"/>
        <n v="3" u="1"/>
        <n v="-165" u="1"/>
        <n v="109" u="1"/>
        <n v="-9" u="1"/>
        <n v="-93" u="1"/>
        <n v="-1" u="1"/>
        <n v="-191" u="1"/>
        <n v="53" u="1"/>
        <n v="-45" u="1"/>
        <n v="-137" u="1"/>
        <n v="95" u="1"/>
        <n v="-119" u="1"/>
        <n v="-79" u="1"/>
        <n v="-163" u="1"/>
        <n v="108" u="1"/>
        <n v="68" u="1"/>
        <n v="29" u="1"/>
        <n v="19" u="1"/>
        <n v="-189" u="1"/>
        <n v="-25" u="1"/>
        <n v="81" u="1"/>
        <n v="-105" u="1"/>
        <n v="-65" u="1"/>
        <n v="-135" u="1"/>
        <n v="94" u="1"/>
        <n v="-51" u="1"/>
        <n v="-161" u="1"/>
        <n v="107" u="1"/>
        <n v="67" u="1"/>
        <n v="-91" u="1"/>
        <n v="-187" u="1"/>
        <n v="80" u="1"/>
        <n v="9" u="1"/>
        <n v="-133" u="1"/>
        <n v="93" u="1"/>
        <n v="1" u="1"/>
        <n v="-5" u="1"/>
        <n v="-117" u="1"/>
        <n v="-77" u="1"/>
        <n v="-159" u="1"/>
        <n v="106" u="1"/>
        <n v="-57" u="1"/>
        <n v="-37" u="1"/>
        <n v="-185" u="1"/>
        <n v="79" u="1"/>
        <n v="-103" u="1"/>
        <n v="-131" u="1"/>
        <n v="92" u="1"/>
        <n v="25" u="1"/>
        <n v="-31" u="1"/>
        <n v="-157" u="1"/>
        <n v="-21" u="1"/>
        <n v="105" u="1"/>
        <n v="65" u="1"/>
        <n v="-89" u="1"/>
        <n v="-183" u="1"/>
        <n v="78" u="1"/>
        <n v="51" u="1"/>
        <n v="-63" u="1"/>
        <n v="-43" u="1"/>
        <n v="-129" u="1"/>
        <n v="91" u="1"/>
        <n v="-115" u="1"/>
        <n v="-75" u="1"/>
        <n v="-155" u="1"/>
        <n v="104" u="1"/>
        <n v="18" u="1"/>
        <n v="5" u="1"/>
        <n v="-181" u="1"/>
        <n v="117" u="1"/>
        <n v="-15" u="1"/>
        <n v="77" u="1"/>
        <n v="-101" u="1"/>
        <n v="-207" u="1"/>
        <n v="90" u="1"/>
        <n v="57" u="1"/>
        <n v="-49" u="1"/>
        <n v="-153" u="1"/>
        <n v="103" u="1"/>
        <n v="-127" u="1"/>
        <n v="-87" u="1"/>
        <n v="-179" u="1"/>
        <n v="116" u="1"/>
        <n v="-205" u="1"/>
        <n v="-27" u="1"/>
        <n v="-17" u="1"/>
        <n v="89" u="1"/>
        <n v="-113" u="1"/>
        <n v="-73" u="1"/>
        <n v="-151" u="1"/>
        <n v="102" u="1"/>
        <n v="63" u="1"/>
        <n v="-55" u="1"/>
        <n v="-35" u="1"/>
        <n v="-177" u="1"/>
        <n v="115" u="1"/>
        <n v="75" u="1"/>
        <n v="-99" u="1"/>
        <n v="-203" u="1"/>
        <n v="88" u="1"/>
        <n v="36" u="1"/>
        <n v="15" u="1"/>
        <n v="-149" u="1"/>
        <n v="101" u="1"/>
        <n v="-13" u="1"/>
        <n v="-125" u="1"/>
        <n v="-85" u="1"/>
        <n v="-175" u="1"/>
        <n v="114" u="1"/>
        <n v="49" u="1"/>
        <n v="-61" u="1"/>
        <n v="-41" u="1"/>
        <n v="-201" u="1"/>
        <n v="87" u="1"/>
        <n v="-111" u="1"/>
        <n v="-71" u="1"/>
        <n v="-147" u="1"/>
        <n v="100" u="1"/>
        <n v="62" u="1"/>
        <n v="17" u="1"/>
        <n v="-173" u="1"/>
        <n v="-23" u="1"/>
        <n v="113" u="1"/>
        <n v="-97" u="1"/>
        <n v="-199" u="1"/>
        <n v="35" u="1"/>
        <n v="-47" u="1"/>
        <n v="-145" u="1"/>
        <n v="99" u="1"/>
        <n v="-123" u="1"/>
        <n v="-83" u="1"/>
        <n v="-171" u="1"/>
        <n v="112" u="1"/>
        <n v="72" u="1"/>
        <n v="13" u="1"/>
        <n v="-197" u="1"/>
        <n v="85" u="1"/>
        <n v="-11" u="1"/>
        <n v="-7" u="1"/>
        <n v="-3" u="1"/>
        <n v="-109" u="1"/>
        <n v="-69" u="1"/>
        <n v="-143" u="1"/>
        <n v="98" u="1"/>
        <n v="-53" u="1"/>
        <n v="-33" u="1"/>
        <n v="-169" u="1"/>
        <n v="111" u="1"/>
        <n v="-95" u="1"/>
        <n v="-195" u="1"/>
        <n v="84" u="1"/>
        <n v="-29" u="1"/>
        <n v="-141" u="1"/>
        <n v="-19" u="1"/>
        <n v="97" u="1"/>
        <n v="-121" u="1"/>
        <n v="-81" u="1"/>
        <n v="-167" u="1"/>
        <n v="110" u="1"/>
        <n v="70" u="1"/>
        <n v="-59" u="1"/>
        <n v="-39" u="1"/>
        <n v="-193" u="1"/>
        <n v="-107" u="1"/>
        <n v="-67" u="1"/>
        <n v="-139" u="1"/>
        <n v="96" u="1"/>
        <n v="16" u="1"/>
      </sharedItems>
    </cacheField>
    <cacheField name="CÓD. DO PROCED." numFmtId="165">
      <sharedItems containsSemiMixedTypes="0" containsString="0" containsNumber="1" containsInteger="1" minValue="301010030" maxValue="301020500" count="8">
        <n v="301010080"/>
        <n v="301010110"/>
        <n v="301010064"/>
        <n v="301010072"/>
        <n v="301010129" u="1"/>
        <n v="301020500" u="1"/>
        <n v="301010030" u="1"/>
        <n v="301010048" u="1"/>
      </sharedItems>
    </cacheField>
    <cacheField name="Nº DE CBO" numFmtId="0">
      <sharedItems containsSemiMixedTypes="0" containsString="0" containsNumber="1" containsInteger="1" minValue="223208" maxValue="251510" count="12">
        <n v="225142"/>
        <n v="225125"/>
        <n v="225112"/>
        <n v="225250"/>
        <n v="223710" u="1"/>
        <n v="223810" u="1"/>
        <n v="251510" u="1"/>
        <n v="225124" u="1"/>
        <n v="223505" u="1"/>
        <n v="225133" u="1"/>
        <n v="223208" u="1"/>
        <n v="223565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n v="26121980"/>
    <x v="0"/>
    <x v="0"/>
    <x v="0"/>
  </r>
  <r>
    <x v="0"/>
    <n v="1041988"/>
    <x v="1"/>
    <x v="0"/>
    <x v="0"/>
  </r>
  <r>
    <x v="0"/>
    <n v="18101983"/>
    <x v="2"/>
    <x v="0"/>
    <x v="0"/>
  </r>
  <r>
    <x v="0"/>
    <n v="12091990"/>
    <x v="3"/>
    <x v="0"/>
    <x v="0"/>
  </r>
  <r>
    <x v="0"/>
    <n v="30101947"/>
    <x v="4"/>
    <x v="0"/>
    <x v="0"/>
  </r>
  <r>
    <x v="0"/>
    <n v="9031993"/>
    <x v="5"/>
    <x v="0"/>
    <x v="0"/>
  </r>
  <r>
    <x v="0"/>
    <n v="21111988"/>
    <x v="6"/>
    <x v="0"/>
    <x v="0"/>
  </r>
  <r>
    <x v="0"/>
    <n v="25062001"/>
    <x v="7"/>
    <x v="0"/>
    <x v="0"/>
  </r>
  <r>
    <x v="0"/>
    <n v="30071984"/>
    <x v="2"/>
    <x v="0"/>
    <x v="0"/>
  </r>
  <r>
    <x v="0"/>
    <n v="4012001"/>
    <x v="7"/>
    <x v="0"/>
    <x v="0"/>
  </r>
  <r>
    <x v="0"/>
    <n v="5111982"/>
    <x v="8"/>
    <x v="0"/>
    <x v="0"/>
  </r>
  <r>
    <x v="0"/>
    <n v="17032000"/>
    <x v="9"/>
    <x v="0"/>
    <x v="0"/>
  </r>
  <r>
    <x v="0"/>
    <n v="26021971"/>
    <x v="10"/>
    <x v="0"/>
    <x v="0"/>
  </r>
  <r>
    <x v="0"/>
    <n v="16011988"/>
    <x v="1"/>
    <x v="0"/>
    <x v="0"/>
  </r>
  <r>
    <x v="0"/>
    <n v="21121961"/>
    <x v="11"/>
    <x v="0"/>
    <x v="0"/>
  </r>
  <r>
    <x v="0"/>
    <n v="23041971"/>
    <x v="10"/>
    <x v="0"/>
    <x v="0"/>
  </r>
  <r>
    <x v="0"/>
    <n v="29011974"/>
    <x v="12"/>
    <x v="0"/>
    <x v="0"/>
  </r>
  <r>
    <x v="0"/>
    <n v="3071945"/>
    <x v="13"/>
    <x v="0"/>
    <x v="0"/>
  </r>
  <r>
    <x v="0"/>
    <n v="10091947"/>
    <x v="14"/>
    <x v="0"/>
    <x v="0"/>
  </r>
  <r>
    <x v="0"/>
    <n v="12031976"/>
    <x v="15"/>
    <x v="0"/>
    <x v="0"/>
  </r>
  <r>
    <x v="0"/>
    <n v="30071966"/>
    <x v="16"/>
    <x v="0"/>
    <x v="0"/>
  </r>
  <r>
    <x v="0"/>
    <n v="15111966"/>
    <x v="17"/>
    <x v="0"/>
    <x v="0"/>
  </r>
  <r>
    <x v="0"/>
    <n v="17111979"/>
    <x v="18"/>
    <x v="0"/>
    <x v="0"/>
  </r>
  <r>
    <x v="0"/>
    <n v="24031973"/>
    <x v="19"/>
    <x v="0"/>
    <x v="0"/>
  </r>
  <r>
    <x v="1"/>
    <n v="8041945"/>
    <x v="13"/>
    <x v="1"/>
    <x v="0"/>
  </r>
  <r>
    <x v="1"/>
    <n v="25121977"/>
    <x v="20"/>
    <x v="1"/>
    <x v="0"/>
  </r>
  <r>
    <x v="1"/>
    <n v="5091935"/>
    <x v="21"/>
    <x v="1"/>
    <x v="0"/>
  </r>
  <r>
    <x v="1"/>
    <n v="13051999"/>
    <x v="22"/>
    <x v="1"/>
    <x v="0"/>
  </r>
  <r>
    <x v="1"/>
    <n v="5091935"/>
    <x v="21"/>
    <x v="1"/>
    <x v="0"/>
  </r>
  <r>
    <x v="2"/>
    <n v="13051955"/>
    <x v="23"/>
    <x v="2"/>
    <x v="1"/>
  </r>
  <r>
    <x v="2"/>
    <n v="27031973"/>
    <x v="19"/>
    <x v="2"/>
    <x v="1"/>
  </r>
  <r>
    <x v="2"/>
    <n v="10031939"/>
    <x v="24"/>
    <x v="2"/>
    <x v="1"/>
  </r>
  <r>
    <x v="2"/>
    <n v="19091952"/>
    <x v="25"/>
    <x v="2"/>
    <x v="1"/>
  </r>
  <r>
    <x v="2"/>
    <n v="25091947"/>
    <x v="4"/>
    <x v="2"/>
    <x v="1"/>
  </r>
  <r>
    <x v="2"/>
    <n v="24111961"/>
    <x v="11"/>
    <x v="2"/>
    <x v="1"/>
  </r>
  <r>
    <x v="2"/>
    <n v="16101937"/>
    <x v="26"/>
    <x v="2"/>
    <x v="1"/>
  </r>
  <r>
    <x v="2"/>
    <n v="27031976"/>
    <x v="15"/>
    <x v="2"/>
    <x v="1"/>
  </r>
  <r>
    <x v="2"/>
    <n v="5111961"/>
    <x v="11"/>
    <x v="2"/>
    <x v="1"/>
  </r>
  <r>
    <x v="2"/>
    <n v="27031976"/>
    <x v="15"/>
    <x v="2"/>
    <x v="1"/>
  </r>
  <r>
    <x v="3"/>
    <n v="24061962"/>
    <x v="11"/>
    <x v="3"/>
    <x v="2"/>
  </r>
  <r>
    <x v="3"/>
    <n v="7011957"/>
    <x v="27"/>
    <x v="3"/>
    <x v="2"/>
  </r>
  <r>
    <x v="3"/>
    <n v="12121959"/>
    <x v="28"/>
    <x v="3"/>
    <x v="2"/>
  </r>
  <r>
    <x v="3"/>
    <n v="23092009"/>
    <x v="29"/>
    <x v="3"/>
    <x v="2"/>
  </r>
  <r>
    <x v="3"/>
    <n v="23081980"/>
    <x v="18"/>
    <x v="3"/>
    <x v="2"/>
  </r>
  <r>
    <x v="3"/>
    <n v="10121962"/>
    <x v="30"/>
    <x v="3"/>
    <x v="2"/>
  </r>
  <r>
    <x v="3"/>
    <n v="23031991"/>
    <x v="31"/>
    <x v="3"/>
    <x v="2"/>
  </r>
  <r>
    <x v="3"/>
    <n v="21031987"/>
    <x v="32"/>
    <x v="3"/>
    <x v="2"/>
  </r>
  <r>
    <x v="3"/>
    <n v="9041988"/>
    <x v="1"/>
    <x v="3"/>
    <x v="2"/>
  </r>
  <r>
    <x v="3"/>
    <n v="3121999"/>
    <x v="9"/>
    <x v="3"/>
    <x v="2"/>
  </r>
  <r>
    <x v="3"/>
    <n v="21031987"/>
    <x v="32"/>
    <x v="3"/>
    <x v="2"/>
  </r>
  <r>
    <x v="4"/>
    <n v="1041994"/>
    <x v="33"/>
    <x v="1"/>
    <x v="3"/>
  </r>
  <r>
    <x v="4"/>
    <n v="3122009"/>
    <x v="29"/>
    <x v="1"/>
    <x v="3"/>
  </r>
  <r>
    <x v="5"/>
    <n v="8021973"/>
    <x v="19"/>
    <x v="2"/>
    <x v="3"/>
  </r>
  <r>
    <x v="5"/>
    <n v="22102006"/>
    <x v="34"/>
    <x v="2"/>
    <x v="3"/>
  </r>
  <r>
    <x v="5"/>
    <n v="17041973"/>
    <x v="19"/>
    <x v="2"/>
    <x v="3"/>
  </r>
  <r>
    <x v="5"/>
    <n v="23061998"/>
    <x v="35"/>
    <x v="2"/>
    <x v="3"/>
  </r>
  <r>
    <x v="5"/>
    <n v="19111949"/>
    <x v="36"/>
    <x v="2"/>
    <x v="3"/>
  </r>
  <r>
    <x v="5"/>
    <n v="18031999"/>
    <x v="22"/>
    <x v="2"/>
    <x v="3"/>
  </r>
  <r>
    <x v="5"/>
    <n v="16061982"/>
    <x v="37"/>
    <x v="2"/>
    <x v="3"/>
  </r>
  <r>
    <x v="5"/>
    <n v="24051961"/>
    <x v="38"/>
    <x v="2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UPLOAD_BPA" cacheId="6" applyNumberFormats="0" applyBorderFormats="0" applyFontFormats="0" applyPatternFormats="0" applyAlignmentFormats="0" applyWidthHeightFormats="1" dataCaption="Valores" missingCaption="0" updatedVersion="7" minRefreshableVersion="3" showDrill="0" enableDrill="0" rowGrandTotals="0" colGrandTotals="0" fieldPrintTitles="1" itemPrintTitles="1" createdVersion="6" indent="0" compact="0" compactData="0" multipleFieldFilters="0" rowHeaderCaption="PROFISSIONAL">
  <location ref="A1:AP8" firstHeaderRow="1" firstDataRow="2" firstDataCol="3"/>
  <pivotFields count="5">
    <pivotField axis="axisRow" compact="0" outline="0" showAll="0" defaultSubtotal="0">
      <items count="24">
        <item m="1" x="6"/>
        <item x="2"/>
        <item m="1" x="20"/>
        <item x="5"/>
        <item x="3"/>
        <item m="1" x="17"/>
        <item m="1" x="7"/>
        <item x="4"/>
        <item m="1" x="12"/>
        <item m="1" x="23"/>
        <item m="1" x="11"/>
        <item m="1" x="13"/>
        <item m="1" x="8"/>
        <item m="1" x="10"/>
        <item m="1" x="18"/>
        <item m="1" x="19"/>
        <item m="1" x="21"/>
        <item m="1" x="16"/>
        <item m="1" x="22"/>
        <item m="1" x="15"/>
        <item m="1" x="9"/>
        <item x="1"/>
        <item x="0"/>
        <item m="1" x="14"/>
      </items>
    </pivotField>
    <pivotField compact="0" outline="0" showAll="0" defaultSubtotal="0"/>
    <pivotField name="IDADES" axis="axisCol" dataField="1" compact="0" outline="0" showAll="0" sortType="ascending" defaultSubtotal="0">
      <items count="208">
        <item m="1" x="113"/>
        <item m="1" x="123"/>
        <item m="1" x="138"/>
        <item m="1" x="152"/>
        <item m="1" x="164"/>
        <item m="1" x="175"/>
        <item m="1" x="189"/>
        <item m="1" x="202"/>
        <item m="1" x="46"/>
        <item m="1" x="58"/>
        <item m="1" x="70"/>
        <item m="1" x="83"/>
        <item m="1" x="95"/>
        <item m="1" x="108"/>
        <item m="1" x="121"/>
        <item m="1" x="134"/>
        <item m="1" x="147"/>
        <item m="1" x="160"/>
        <item m="1" x="171"/>
        <item m="1" x="186"/>
        <item m="1" x="197"/>
        <item m="1" x="41"/>
        <item m="1" x="53"/>
        <item m="1" x="66"/>
        <item m="1" x="79"/>
        <item m="1" x="90"/>
        <item m="1" x="104"/>
        <item m="1" x="117"/>
        <item m="1" x="129"/>
        <item m="1" x="142"/>
        <item m="1" x="156"/>
        <item m="1" x="167"/>
        <item m="1" x="182"/>
        <item m="1" x="192"/>
        <item m="1" x="205"/>
        <item m="1" x="49"/>
        <item m="1" x="63"/>
        <item m="1" x="73"/>
        <item m="1" x="86"/>
        <item m="1" x="100"/>
        <item m="1" x="119"/>
        <item m="1" x="145"/>
        <item m="1" x="169"/>
        <item m="1" x="195"/>
        <item m="1" x="51"/>
        <item m="1" x="77"/>
        <item m="1" x="102"/>
        <item m="1" x="127"/>
        <item m="1" x="154"/>
        <item m="1" x="180"/>
        <item m="1" x="203"/>
        <item m="1" x="61"/>
        <item m="1" x="85"/>
        <item m="1" x="112"/>
        <item m="1" x="137"/>
        <item m="1" x="163"/>
        <item m="1" x="188"/>
        <item m="1" x="44"/>
        <item m="1" x="69"/>
        <item m="1" x="94"/>
        <item m="1" x="120"/>
        <item m="1" x="146"/>
        <item m="1" x="170"/>
        <item m="1" x="196"/>
        <item m="1" x="52"/>
        <item m="1" x="78"/>
        <item m="1" x="103"/>
        <item m="1" x="128"/>
        <item m="1" x="155"/>
        <item m="1" x="181"/>
        <item m="1" x="204"/>
        <item m="1" x="62"/>
        <item m="1" x="98"/>
        <item m="1" x="150"/>
        <item m="1" x="200"/>
        <item m="1" x="81"/>
        <item m="1" x="132"/>
        <item m="1" x="184"/>
        <item m="1" x="65"/>
        <item m="1" x="116"/>
        <item m="1" x="166"/>
        <item m="1" x="48"/>
        <item m="1" x="99"/>
        <item m="1" x="151"/>
        <item m="1" x="201"/>
        <item m="1" x="82"/>
        <item m="1" x="133"/>
        <item m="1" x="185"/>
        <item m="1" x="89"/>
        <item m="1" x="191"/>
        <item m="1" x="124"/>
        <item m="1" x="59"/>
        <item m="1" x="161"/>
        <item m="1" x="91"/>
        <item m="1" x="193"/>
        <item m="1" x="125"/>
        <item m="1" x="110"/>
        <item m="1" x="144"/>
        <item m="1" x="177"/>
        <item m="1" x="43"/>
        <item m="1" x="178"/>
        <item m="1" x="76"/>
        <item m="1" x="179"/>
        <item m="1" x="45"/>
        <item m="1" x="75"/>
        <item m="1" x="40"/>
        <item m="1" x="107"/>
        <item m="1" x="39"/>
        <item m="1" x="72"/>
        <item x="29"/>
        <item m="1" x="174"/>
        <item x="34"/>
        <item m="1" x="141"/>
        <item m="1" x="207"/>
        <item m="1" x="159"/>
        <item m="1" x="106"/>
        <item m="1" x="57"/>
        <item x="7"/>
        <item x="9"/>
        <item x="22"/>
        <item x="35"/>
        <item m="1" x="88"/>
        <item x="33"/>
        <item x="5"/>
        <item m="1" x="56"/>
        <item x="31"/>
        <item x="3"/>
        <item x="6"/>
        <item x="1"/>
        <item x="32"/>
        <item m="1" x="165"/>
        <item m="1" x="140"/>
        <item x="2"/>
        <item x="8"/>
        <item x="37"/>
        <item x="0"/>
        <item x="18"/>
        <item x="20"/>
        <item x="15"/>
        <item x="12"/>
        <item x="19"/>
        <item m="1" x="149"/>
        <item x="10"/>
        <item m="1" x="97"/>
        <item m="1" x="47"/>
        <item x="17"/>
        <item x="16"/>
        <item m="1" x="115"/>
        <item x="30"/>
        <item x="11"/>
        <item x="38"/>
        <item x="28"/>
        <item m="1" x="158"/>
        <item m="1" x="131"/>
        <item x="27"/>
        <item m="1" x="93"/>
        <item x="23"/>
        <item m="1" x="68"/>
        <item m="1" x="55"/>
        <item x="25"/>
        <item m="1" x="199"/>
        <item x="36"/>
        <item m="1" x="173"/>
        <item x="4"/>
        <item x="14"/>
        <item m="1" x="136"/>
        <item x="13"/>
        <item m="1" x="111"/>
        <item m="1" x="96"/>
        <item m="1" x="84"/>
        <item m="1" x="71"/>
        <item m="1" x="60"/>
        <item x="24"/>
        <item x="26"/>
        <item m="1" x="190"/>
        <item m="1" x="176"/>
        <item x="21"/>
        <item m="1" x="153"/>
        <item m="1" x="139"/>
        <item m="1" x="126"/>
        <item m="1" x="114"/>
        <item m="1" x="101"/>
        <item m="1" x="87"/>
        <item m="1" x="74"/>
        <item m="1" x="64"/>
        <item m="1" x="50"/>
        <item m="1" x="206"/>
        <item m="1" x="194"/>
        <item m="1" x="183"/>
        <item m="1" x="168"/>
        <item m="1" x="157"/>
        <item m="1" x="143"/>
        <item m="1" x="130"/>
        <item m="1" x="118"/>
        <item m="1" x="105"/>
        <item m="1" x="92"/>
        <item m="1" x="80"/>
        <item m="1" x="67"/>
        <item m="1" x="54"/>
        <item m="1" x="42"/>
        <item m="1" x="198"/>
        <item m="1" x="187"/>
        <item m="1" x="172"/>
        <item m="1" x="162"/>
        <item m="1" x="148"/>
        <item m="1" x="135"/>
        <item m="1" x="122"/>
        <item m="1" x="109"/>
      </items>
    </pivotField>
    <pivotField name="PROCED." axis="axisRow" compact="0" numFmtId="165" outline="0" showAll="0" defaultSubtotal="0">
      <items count="8">
        <item x="2"/>
        <item x="3"/>
        <item m="1" x="6"/>
        <item m="1" x="5"/>
        <item x="1"/>
        <item m="1" x="7"/>
        <item m="1" x="4"/>
        <item x="0"/>
      </items>
    </pivotField>
    <pivotField name="CBO" axis="axisRow" compact="0" outline="0" showAll="0" defaultSubtotal="0">
      <items count="12">
        <item x="1"/>
        <item x="0"/>
        <item x="3"/>
        <item x="2"/>
        <item m="1" x="8"/>
        <item m="1" x="10"/>
        <item m="1" x="7"/>
        <item m="1" x="6"/>
        <item m="1" x="4"/>
        <item m="1" x="5"/>
        <item m="1" x="11"/>
        <item m="1" x="9"/>
      </items>
    </pivotField>
  </pivotFields>
  <rowFields count="3">
    <field x="0"/>
    <field x="3"/>
    <field x="4"/>
  </rowFields>
  <rowItems count="6">
    <i>
      <x v="1"/>
      <x/>
      <x/>
    </i>
    <i>
      <x v="3"/>
      <x/>
      <x v="2"/>
    </i>
    <i>
      <x v="4"/>
      <x v="1"/>
      <x v="3"/>
    </i>
    <i>
      <x v="7"/>
      <x v="4"/>
      <x v="2"/>
    </i>
    <i>
      <x v="21"/>
      <x v="4"/>
      <x v="1"/>
    </i>
    <i>
      <x v="22"/>
      <x v="7"/>
      <x v="1"/>
    </i>
  </rowItems>
  <colFields count="1">
    <field x="2"/>
  </colFields>
  <colItems count="39">
    <i>
      <x v="109"/>
    </i>
    <i>
      <x v="111"/>
    </i>
    <i>
      <x v="117"/>
    </i>
    <i>
      <x v="118"/>
    </i>
    <i>
      <x v="119"/>
    </i>
    <i>
      <x v="120"/>
    </i>
    <i>
      <x v="122"/>
    </i>
    <i>
      <x v="123"/>
    </i>
    <i>
      <x v="125"/>
    </i>
    <i>
      <x v="126"/>
    </i>
    <i>
      <x v="127"/>
    </i>
    <i>
      <x v="128"/>
    </i>
    <i>
      <x v="129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2"/>
    </i>
    <i>
      <x v="145"/>
    </i>
    <i>
      <x v="146"/>
    </i>
    <i>
      <x v="148"/>
    </i>
    <i>
      <x v="149"/>
    </i>
    <i>
      <x v="150"/>
    </i>
    <i>
      <x v="151"/>
    </i>
    <i>
      <x v="154"/>
    </i>
    <i>
      <x v="156"/>
    </i>
    <i>
      <x v="159"/>
    </i>
    <i>
      <x v="161"/>
    </i>
    <i>
      <x v="163"/>
    </i>
    <i>
      <x v="164"/>
    </i>
    <i>
      <x v="166"/>
    </i>
    <i>
      <x v="172"/>
    </i>
    <i>
      <x v="173"/>
    </i>
    <i>
      <x v="176"/>
    </i>
  </colItems>
  <dataFields count="1">
    <dataField name="RELATÓRIO GERENCIAL - BPA UPLOAD" fld="2" subtotal="count" baseField="0" baseItem="0"/>
  </dataFields>
  <formats count="36"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0" type="button" dataOnly="0" labelOnly="1" outline="0" axis="axisRow" fieldPosition="0"/>
    </format>
    <format dxfId="85">
      <pivotArea field="4" type="button" dataOnly="0" labelOnly="1" outline="0" axis="axisRow" fieldPosition="2"/>
    </format>
    <format dxfId="84">
      <pivotArea field="3" type="button" dataOnly="0" labelOnly="1" outline="0" axis="axisRow" fieldPosition="1"/>
    </format>
    <format dxfId="83">
      <pivotArea dataOnly="0" labelOnly="1" outline="0" axis="axisValues" fieldPosition="0"/>
    </format>
    <format dxfId="82">
      <pivotArea dataOnly="0" labelOnly="1" outline="0" fieldPosition="0">
        <references count="1">
          <reference field="0" count="0"/>
        </references>
      </pivotArea>
    </format>
    <format dxfId="81">
      <pivotArea dataOnly="0" labelOnly="1" outline="0" fieldPosition="0">
        <references count="2">
          <reference field="0" count="1" selected="0">
            <x v="1"/>
          </reference>
          <reference field="4" count="1">
            <x v="0"/>
          </reference>
        </references>
      </pivotArea>
    </format>
    <format dxfId="80">
      <pivotArea dataOnly="0" labelOnly="1" outline="0" fieldPosition="0">
        <references count="2">
          <reference field="0" count="1" selected="0">
            <x v="2"/>
          </reference>
          <reference field="4" count="1">
            <x v="1"/>
          </reference>
        </references>
      </pivotArea>
    </format>
    <format dxfId="79">
      <pivotArea dataOnly="0" labelOnly="1" outline="0" fieldPosition="0">
        <references count="2">
          <reference field="0" count="1" selected="0">
            <x v="3"/>
          </reference>
          <reference field="4" count="1">
            <x v="2"/>
          </reference>
        </references>
      </pivotArea>
    </format>
    <format dxfId="78">
      <pivotArea dataOnly="0" labelOnly="1" outline="0" fieldPosition="0">
        <references count="2">
          <reference field="0" count="1" selected="0">
            <x v="4"/>
          </reference>
          <reference field="4" count="1">
            <x v="3"/>
          </reference>
        </references>
      </pivotArea>
    </format>
    <format dxfId="77">
      <pivotArea dataOnly="0" labelOnly="1" outline="0" fieldPosition="0">
        <references count="3">
          <reference field="0" count="1" selected="0">
            <x v="1"/>
          </reference>
          <reference field="3" count="1">
            <x v="0"/>
          </reference>
          <reference field="4" count="1" selected="0">
            <x v="0"/>
          </reference>
        </references>
      </pivotArea>
    </format>
    <format dxfId="76">
      <pivotArea dataOnly="0" labelOnly="1" outline="0" fieldPosition="0">
        <references count="3">
          <reference field="0" count="1" selected="0">
            <x v="2"/>
          </reference>
          <reference field="3" count="1">
            <x v="0"/>
          </reference>
          <reference field="4" count="1" selected="0">
            <x v="1"/>
          </reference>
        </references>
      </pivotArea>
    </format>
    <format dxfId="75">
      <pivotArea dataOnly="0" labelOnly="1" outline="0" fieldPosition="0">
        <references count="3">
          <reference field="0" count="1" selected="0">
            <x v="3"/>
          </reference>
          <reference field="3" count="1">
            <x v="0"/>
          </reference>
          <reference field="4" count="1" selected="0">
            <x v="2"/>
          </reference>
        </references>
      </pivotArea>
    </format>
    <format dxfId="74">
      <pivotArea dataOnly="0" labelOnly="1" outline="0" fieldPosition="0">
        <references count="3">
          <reference field="0" count="1" selected="0">
            <x v="4"/>
          </reference>
          <reference field="3" count="1">
            <x v="1"/>
          </reference>
          <reference field="4" count="1" selected="0">
            <x v="3"/>
          </reference>
        </references>
      </pivotArea>
    </format>
    <format dxfId="73">
      <pivotArea dataOnly="0" labelOnly="1" outline="0" axis="axisValues" fieldPosition="0"/>
    </format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0" type="button" dataOnly="0" labelOnly="1" outline="0" axis="axisRow" fieldPosition="0"/>
    </format>
    <format dxfId="69">
      <pivotArea field="4" type="button" dataOnly="0" labelOnly="1" outline="0" axis="axisRow" fieldPosition="2"/>
    </format>
    <format dxfId="68">
      <pivotArea field="3" type="button" dataOnly="0" labelOnly="1" outline="0" axis="axisRow" fieldPosition="1"/>
    </format>
    <format dxfId="67">
      <pivotArea dataOnly="0" labelOnly="1" outline="0" axis="axisValues" fieldPosition="0"/>
    </format>
    <format dxfId="66">
      <pivotArea dataOnly="0" labelOnly="1" outline="0" fieldPosition="0">
        <references count="1">
          <reference field="0" count="0"/>
        </references>
      </pivotArea>
    </format>
    <format dxfId="65">
      <pivotArea dataOnly="0" labelOnly="1" outline="0" fieldPosition="0">
        <references count="2">
          <reference field="0" count="1" selected="0">
            <x v="1"/>
          </reference>
          <reference field="4" count="1">
            <x v="0"/>
          </reference>
        </references>
      </pivotArea>
    </format>
    <format dxfId="64">
      <pivotArea dataOnly="0" labelOnly="1" outline="0" fieldPosition="0">
        <references count="2">
          <reference field="0" count="1" selected="0">
            <x v="2"/>
          </reference>
          <reference field="4" count="1">
            <x v="1"/>
          </reference>
        </references>
      </pivotArea>
    </format>
    <format dxfId="63">
      <pivotArea dataOnly="0" labelOnly="1" outline="0" fieldPosition="0">
        <references count="2">
          <reference field="0" count="1" selected="0">
            <x v="3"/>
          </reference>
          <reference field="4" count="1">
            <x v="2"/>
          </reference>
        </references>
      </pivotArea>
    </format>
    <format dxfId="62">
      <pivotArea dataOnly="0" labelOnly="1" outline="0" fieldPosition="0">
        <references count="2">
          <reference field="0" count="1" selected="0">
            <x v="4"/>
          </reference>
          <reference field="4" count="1">
            <x v="3"/>
          </reference>
        </references>
      </pivotArea>
    </format>
    <format dxfId="61">
      <pivotArea dataOnly="0" labelOnly="1" outline="0" fieldPosition="0">
        <references count="3">
          <reference field="0" count="1" selected="0">
            <x v="1"/>
          </reference>
          <reference field="3" count="1">
            <x v="0"/>
          </reference>
          <reference field="4" count="1" selected="0">
            <x v="0"/>
          </reference>
        </references>
      </pivotArea>
    </format>
    <format dxfId="60">
      <pivotArea dataOnly="0" labelOnly="1" outline="0" fieldPosition="0">
        <references count="3">
          <reference field="0" count="1" selected="0">
            <x v="2"/>
          </reference>
          <reference field="3" count="1">
            <x v="0"/>
          </reference>
          <reference field="4" count="1" selected="0">
            <x v="1"/>
          </reference>
        </references>
      </pivotArea>
    </format>
    <format dxfId="59">
      <pivotArea dataOnly="0" labelOnly="1" outline="0" fieldPosition="0">
        <references count="3">
          <reference field="0" count="1" selected="0">
            <x v="3"/>
          </reference>
          <reference field="3" count="1">
            <x v="0"/>
          </reference>
          <reference field="4" count="1" selected="0">
            <x v="2"/>
          </reference>
        </references>
      </pivotArea>
    </format>
    <format dxfId="58">
      <pivotArea dataOnly="0" labelOnly="1" outline="0" fieldPosition="0">
        <references count="3">
          <reference field="0" count="1" selected="0">
            <x v="4"/>
          </reference>
          <reference field="3" count="1">
            <x v="1"/>
          </reference>
          <reference field="4" count="1" selected="0">
            <x v="3"/>
          </reference>
        </references>
      </pivotArea>
    </format>
    <format dxfId="57">
      <pivotArea dataOnly="0" labelOnly="1" outline="0" axis="axisValues" fieldPosition="0"/>
    </format>
    <format dxfId="56">
      <pivotArea dataOnly="0" labelOnly="1" outline="0" fieldPosition="0">
        <references count="1">
          <reference field="0" count="0"/>
        </references>
      </pivotArea>
    </format>
    <format dxfId="55">
      <pivotArea dataOnly="0" labelOnly="1" outline="0" fieldPosition="0">
        <references count="2">
          <reference field="0" count="1" selected="0">
            <x v="5"/>
          </reference>
          <reference field="4" count="1">
            <x v="4"/>
          </reference>
        </references>
      </pivotArea>
    </format>
    <format dxfId="54">
      <pivotArea dataOnly="0" labelOnly="1" outline="0" fieldPosition="0">
        <references count="2">
          <reference field="0" count="1" selected="0">
            <x v="6"/>
          </reference>
          <reference field="4" count="1">
            <x v="5"/>
          </reference>
        </references>
      </pivotArea>
    </format>
    <format dxfId="53">
      <pivotArea dataOnly="0" labelOnly="1" outline="0" fieldPosition="0">
        <references count="2">
          <reference field="0" count="1" selected="0">
            <x v="7"/>
          </reference>
          <reference field="4" count="1">
            <x v="2"/>
          </reference>
        </references>
      </pivotArea>
    </format>
  </formats>
  <pivotTableStyleInfo name="PivotStyleLight2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IGITAÇÃO" displayName="DIGITAÇÃO" ref="A5:E65" totalsRowShown="0" headerRowDxfId="52" dataDxfId="51">
  <tableColumns count="5">
    <tableColumn id="11" xr3:uid="{00000000-0010-0000-0000-00000B000000}" name="PROFISSIONAL" dataDxfId="50"/>
    <tableColumn id="10" xr3:uid="{00000000-0010-0000-0000-00000A000000}" name="DATA DE NASC." dataDxfId="49"/>
    <tableColumn id="9" xr3:uid="{00000000-0010-0000-0000-000009000000}" name="IDADE" dataDxfId="48">
      <calculatedColumnFormula>IF(DIGITAÇÃO[[#This Row],[DATA DE NASC.]]="","",INT(( TODAY() - TEXT(DIGITAÇÃO[[#This Row],[DATA DE NASC.]],"00\/00\/0000")) /365.25))</calculatedColumnFormula>
    </tableColumn>
    <tableColumn id="4" xr3:uid="{00000000-0010-0000-0000-000004000000}" name="CÓD. DO PROCED." dataDxfId="47">
      <calculatedColumnFormula>IF(DIGITAÇÃO[[#This Row],[PROFISSIONAL]]="","",VLOOKUP(DIGITAÇÃO[[#This Row],[PROFISSIONAL]],LISTA_PROCED[],2,0))</calculatedColumnFormula>
    </tableColumn>
    <tableColumn id="5" xr3:uid="{00000000-0010-0000-0000-000005000000}" name="Nº DE CBO" dataDxfId="46">
      <calculatedColumnFormula>IF(DIGITAÇÃO[[#This Row],[PROFISSIONAL]]="","", VLOOKUP(DIGITAÇÃO[[#This Row],[PROFISSIONAL]],LISTA_PROCED[],3,0))</calculatedColumnFormula>
    </tableColumn>
  </tableColumns>
  <tableStyleInfo name="MINHA_TABELA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LISTA_PROCED" displayName="LISTA_PROCED" ref="A1:D26" totalsRowCount="1" headerRowDxfId="45" dataDxfId="44">
  <sortState xmlns:xlrd2="http://schemas.microsoft.com/office/spreadsheetml/2017/richdata2" ref="A2:D25">
    <sortCondition ref="A1:A25"/>
  </sortState>
  <tableColumns count="4">
    <tableColumn id="1" xr3:uid="{00000000-0010-0000-0100-000001000000}" name="PROFISSIONAL" dataDxfId="43" totalsRowDxfId="42"/>
    <tableColumn id="2" xr3:uid="{00000000-0010-0000-0100-000002000000}" name="CÓD. DO PROCED." dataDxfId="41" totalsRowDxfId="40"/>
    <tableColumn id="3" xr3:uid="{00000000-0010-0000-0100-000003000000}" name="Nº DE CBO" dataDxfId="39" totalsRowDxfId="38"/>
    <tableColumn id="4" xr3:uid="{00000000-0010-0000-0100-000004000000}" name="TOTAL DE ATENDIMENTOS" totalsRowFunction="sum" dataDxfId="37" totalsRowDxfId="36">
      <calculatedColumnFormula>COUNTIF(DIGITAÇÃO[PROFISSIONAL],LISTA_PROCED[[#This Row],[PROFISSIONAL]])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yn"/>
  <dimension ref="A1:AP8"/>
  <sheetViews>
    <sheetView showGridLines="0" topLeftCell="A2" workbookViewId="0">
      <selection activeCell="A5" sqref="A5"/>
    </sheetView>
  </sheetViews>
  <sheetFormatPr defaultRowHeight="14.5" x14ac:dyDescent="0.35"/>
  <cols>
    <col min="1" max="1" width="43.81640625" bestFit="1" customWidth="1"/>
    <col min="2" max="2" width="13.26953125" bestFit="1" customWidth="1"/>
    <col min="3" max="3" width="9.26953125" bestFit="1" customWidth="1"/>
    <col min="4" max="59" width="4" customWidth="1"/>
    <col min="60" max="102" width="3.7265625" bestFit="1" customWidth="1"/>
    <col min="103" max="107" width="2.7265625" bestFit="1" customWidth="1"/>
    <col min="108" max="112" width="2" bestFit="1" customWidth="1"/>
    <col min="113" max="157" width="3" bestFit="1" customWidth="1"/>
    <col min="158" max="163" width="4" bestFit="1" customWidth="1"/>
  </cols>
  <sheetData>
    <row r="1" spans="1:42" hidden="1" x14ac:dyDescent="0.35">
      <c r="A1" s="9" t="s">
        <v>28</v>
      </c>
      <c r="B1" s="1"/>
      <c r="C1" s="1"/>
      <c r="D1" s="9" t="s">
        <v>29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42" x14ac:dyDescent="0.35">
      <c r="A2" s="9" t="s">
        <v>24</v>
      </c>
      <c r="B2" s="9" t="s">
        <v>27</v>
      </c>
      <c r="C2" s="9" t="s">
        <v>26</v>
      </c>
      <c r="D2" s="1">
        <v>11</v>
      </c>
      <c r="E2" s="1">
        <v>14</v>
      </c>
      <c r="F2" s="1">
        <v>20</v>
      </c>
      <c r="G2" s="1">
        <v>21</v>
      </c>
      <c r="H2" s="1">
        <v>22</v>
      </c>
      <c r="I2" s="1">
        <v>23</v>
      </c>
      <c r="J2" s="1">
        <v>27</v>
      </c>
      <c r="K2" s="1">
        <v>28</v>
      </c>
      <c r="L2" s="1">
        <v>30</v>
      </c>
      <c r="M2" s="1">
        <v>31</v>
      </c>
      <c r="N2" s="1">
        <v>32</v>
      </c>
      <c r="O2" s="1">
        <v>33</v>
      </c>
      <c r="P2" s="1">
        <v>34</v>
      </c>
      <c r="Q2" s="1">
        <v>37</v>
      </c>
      <c r="R2" s="1">
        <v>38</v>
      </c>
      <c r="S2" s="1">
        <v>39</v>
      </c>
      <c r="T2" s="1">
        <v>40</v>
      </c>
      <c r="U2" s="1">
        <v>41</v>
      </c>
      <c r="V2" s="1">
        <v>43</v>
      </c>
      <c r="W2" s="1">
        <v>45</v>
      </c>
      <c r="X2" s="1">
        <v>47</v>
      </c>
      <c r="Y2" s="1">
        <v>48</v>
      </c>
      <c r="Z2" s="1">
        <v>50</v>
      </c>
      <c r="AA2" s="1">
        <v>54</v>
      </c>
      <c r="AB2" s="1">
        <v>55</v>
      </c>
      <c r="AC2" s="1">
        <v>58</v>
      </c>
      <c r="AD2" s="1">
        <v>59</v>
      </c>
      <c r="AE2" s="1">
        <v>60</v>
      </c>
      <c r="AF2" s="1">
        <v>61</v>
      </c>
      <c r="AG2" s="1">
        <v>64</v>
      </c>
      <c r="AH2" s="1">
        <v>66</v>
      </c>
      <c r="AI2" s="1">
        <v>69</v>
      </c>
      <c r="AJ2" s="1">
        <v>71</v>
      </c>
      <c r="AK2" s="1">
        <v>73</v>
      </c>
      <c r="AL2" s="1">
        <v>74</v>
      </c>
      <c r="AM2" s="1">
        <v>76</v>
      </c>
      <c r="AN2" s="1">
        <v>82</v>
      </c>
      <c r="AO2" s="1">
        <v>83</v>
      </c>
      <c r="AP2" s="1">
        <v>86</v>
      </c>
    </row>
    <row r="3" spans="1:42" x14ac:dyDescent="0.35">
      <c r="A3" s="7" t="s">
        <v>19</v>
      </c>
      <c r="B3" s="12">
        <v>301010064</v>
      </c>
      <c r="C3" s="1">
        <v>225125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2</v>
      </c>
      <c r="X3" s="10">
        <v>0</v>
      </c>
      <c r="Y3" s="10">
        <v>1</v>
      </c>
      <c r="Z3" s="10">
        <v>0</v>
      </c>
      <c r="AA3" s="10">
        <v>0</v>
      </c>
      <c r="AB3" s="10">
        <v>0</v>
      </c>
      <c r="AC3" s="10">
        <v>0</v>
      </c>
      <c r="AD3" s="10">
        <v>2</v>
      </c>
      <c r="AE3" s="10">
        <v>0</v>
      </c>
      <c r="AF3" s="10">
        <v>0</v>
      </c>
      <c r="AG3" s="10">
        <v>0</v>
      </c>
      <c r="AH3" s="10">
        <v>1</v>
      </c>
      <c r="AI3" s="10">
        <v>1</v>
      </c>
      <c r="AJ3" s="10">
        <v>0</v>
      </c>
      <c r="AK3" s="10">
        <v>1</v>
      </c>
      <c r="AL3" s="10">
        <v>0</v>
      </c>
      <c r="AM3" s="10">
        <v>0</v>
      </c>
      <c r="AN3" s="10">
        <v>1</v>
      </c>
      <c r="AO3" s="10">
        <v>1</v>
      </c>
      <c r="AP3" s="10">
        <v>0</v>
      </c>
    </row>
    <row r="4" spans="1:42" x14ac:dyDescent="0.35">
      <c r="A4" s="7" t="s">
        <v>16</v>
      </c>
      <c r="B4" s="12">
        <v>301010064</v>
      </c>
      <c r="C4" s="1">
        <v>225250</v>
      </c>
      <c r="D4" s="10">
        <v>0</v>
      </c>
      <c r="E4" s="10">
        <v>1</v>
      </c>
      <c r="F4" s="10">
        <v>0</v>
      </c>
      <c r="G4" s="10">
        <v>0</v>
      </c>
      <c r="H4" s="10">
        <v>1</v>
      </c>
      <c r="I4" s="10">
        <v>1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1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2</v>
      </c>
      <c r="Z4" s="10">
        <v>0</v>
      </c>
      <c r="AA4" s="10">
        <v>0</v>
      </c>
      <c r="AB4" s="10">
        <v>0</v>
      </c>
      <c r="AC4" s="10">
        <v>0</v>
      </c>
      <c r="AD4" s="10">
        <v>0</v>
      </c>
      <c r="AE4" s="10">
        <v>1</v>
      </c>
      <c r="AF4" s="10">
        <v>0</v>
      </c>
      <c r="AG4" s="10">
        <v>0</v>
      </c>
      <c r="AH4" s="10">
        <v>0</v>
      </c>
      <c r="AI4" s="10">
        <v>0</v>
      </c>
      <c r="AJ4" s="10">
        <v>1</v>
      </c>
      <c r="AK4" s="10">
        <v>0</v>
      </c>
      <c r="AL4" s="10">
        <v>0</v>
      </c>
      <c r="AM4" s="10">
        <v>0</v>
      </c>
      <c r="AN4" s="10">
        <v>0</v>
      </c>
      <c r="AO4" s="10">
        <v>0</v>
      </c>
      <c r="AP4" s="10">
        <v>0</v>
      </c>
    </row>
    <row r="5" spans="1:42" x14ac:dyDescent="0.35">
      <c r="A5" s="7" t="s">
        <v>21</v>
      </c>
      <c r="B5" s="12">
        <v>301010072</v>
      </c>
      <c r="C5" s="1">
        <v>225112</v>
      </c>
      <c r="D5" s="10">
        <v>1</v>
      </c>
      <c r="E5" s="10">
        <v>0</v>
      </c>
      <c r="F5" s="10">
        <v>0</v>
      </c>
      <c r="G5" s="10">
        <v>1</v>
      </c>
      <c r="H5" s="10">
        <v>0</v>
      </c>
      <c r="I5" s="10">
        <v>0</v>
      </c>
      <c r="J5" s="10">
        <v>0</v>
      </c>
      <c r="K5" s="10">
        <v>0</v>
      </c>
      <c r="L5" s="10">
        <v>1</v>
      </c>
      <c r="M5" s="10">
        <v>0</v>
      </c>
      <c r="N5" s="10">
        <v>0</v>
      </c>
      <c r="O5" s="10">
        <v>1</v>
      </c>
      <c r="P5" s="10">
        <v>2</v>
      </c>
      <c r="Q5" s="10">
        <v>0</v>
      </c>
      <c r="R5" s="10">
        <v>0</v>
      </c>
      <c r="S5" s="10">
        <v>0</v>
      </c>
      <c r="T5" s="10">
        <v>0</v>
      </c>
      <c r="U5" s="10">
        <v>1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C5" s="10">
        <v>1</v>
      </c>
      <c r="AD5" s="10">
        <v>1</v>
      </c>
      <c r="AE5" s="10">
        <v>0</v>
      </c>
      <c r="AF5" s="10">
        <v>1</v>
      </c>
      <c r="AG5" s="10">
        <v>1</v>
      </c>
      <c r="AH5" s="10">
        <v>0</v>
      </c>
      <c r="AI5" s="10">
        <v>0</v>
      </c>
      <c r="AJ5" s="10">
        <v>0</v>
      </c>
      <c r="AK5" s="10">
        <v>0</v>
      </c>
      <c r="AL5" s="10">
        <v>0</v>
      </c>
      <c r="AM5" s="10">
        <v>0</v>
      </c>
      <c r="AN5" s="10">
        <v>0</v>
      </c>
      <c r="AO5" s="10">
        <v>0</v>
      </c>
      <c r="AP5" s="10">
        <v>0</v>
      </c>
    </row>
    <row r="6" spans="1:42" x14ac:dyDescent="0.35">
      <c r="A6" s="7" t="s">
        <v>18</v>
      </c>
      <c r="B6" s="12">
        <v>301010110</v>
      </c>
      <c r="C6" s="2">
        <v>225250</v>
      </c>
      <c r="D6" s="10">
        <v>1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1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C6" s="10">
        <v>0</v>
      </c>
      <c r="AD6" s="10">
        <v>0</v>
      </c>
      <c r="AE6" s="10">
        <v>0</v>
      </c>
      <c r="AF6" s="10">
        <v>0</v>
      </c>
      <c r="AG6" s="10">
        <v>0</v>
      </c>
      <c r="AH6" s="10">
        <v>0</v>
      </c>
      <c r="AI6" s="10">
        <v>0</v>
      </c>
      <c r="AJ6" s="10">
        <v>0</v>
      </c>
      <c r="AK6" s="10">
        <v>0</v>
      </c>
      <c r="AL6" s="10">
        <v>0</v>
      </c>
      <c r="AM6" s="10">
        <v>0</v>
      </c>
      <c r="AN6" s="10">
        <v>0</v>
      </c>
      <c r="AO6" s="10">
        <v>0</v>
      </c>
      <c r="AP6" s="10">
        <v>0</v>
      </c>
    </row>
    <row r="7" spans="1:42" x14ac:dyDescent="0.35">
      <c r="A7" s="7" t="s">
        <v>31</v>
      </c>
      <c r="B7" s="12">
        <v>301010110</v>
      </c>
      <c r="C7" s="1">
        <v>225142</v>
      </c>
      <c r="D7" s="10">
        <v>0</v>
      </c>
      <c r="E7" s="10">
        <v>0</v>
      </c>
      <c r="F7" s="10">
        <v>0</v>
      </c>
      <c r="G7" s="10">
        <v>0</v>
      </c>
      <c r="H7" s="10">
        <v>1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1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C7" s="10">
        <v>0</v>
      </c>
      <c r="AD7" s="10">
        <v>0</v>
      </c>
      <c r="AE7" s="10">
        <v>0</v>
      </c>
      <c r="AF7" s="10">
        <v>0</v>
      </c>
      <c r="AG7" s="10">
        <v>0</v>
      </c>
      <c r="AH7" s="10">
        <v>0</v>
      </c>
      <c r="AI7" s="10">
        <v>0</v>
      </c>
      <c r="AJ7" s="10">
        <v>0</v>
      </c>
      <c r="AK7" s="10">
        <v>0</v>
      </c>
      <c r="AL7" s="10">
        <v>0</v>
      </c>
      <c r="AM7" s="10">
        <v>1</v>
      </c>
      <c r="AN7" s="10">
        <v>0</v>
      </c>
      <c r="AO7" s="10">
        <v>0</v>
      </c>
      <c r="AP7" s="10">
        <v>2</v>
      </c>
    </row>
    <row r="8" spans="1:42" x14ac:dyDescent="0.35">
      <c r="A8" s="7" t="s">
        <v>32</v>
      </c>
      <c r="B8" s="12">
        <v>301010080</v>
      </c>
      <c r="C8" s="1">
        <v>225142</v>
      </c>
      <c r="D8" s="10">
        <v>0</v>
      </c>
      <c r="E8" s="10">
        <v>0</v>
      </c>
      <c r="F8" s="10">
        <v>2</v>
      </c>
      <c r="G8" s="10">
        <v>1</v>
      </c>
      <c r="H8" s="10">
        <v>0</v>
      </c>
      <c r="I8" s="10">
        <v>0</v>
      </c>
      <c r="J8" s="10">
        <v>0</v>
      </c>
      <c r="K8" s="10">
        <v>1</v>
      </c>
      <c r="L8" s="10">
        <v>0</v>
      </c>
      <c r="M8" s="10">
        <v>1</v>
      </c>
      <c r="N8" s="10">
        <v>1</v>
      </c>
      <c r="O8" s="10">
        <v>2</v>
      </c>
      <c r="P8" s="10">
        <v>0</v>
      </c>
      <c r="Q8" s="10">
        <v>2</v>
      </c>
      <c r="R8" s="10">
        <v>1</v>
      </c>
      <c r="S8" s="10">
        <v>0</v>
      </c>
      <c r="T8" s="10">
        <v>1</v>
      </c>
      <c r="U8" s="10">
        <v>1</v>
      </c>
      <c r="V8" s="10">
        <v>0</v>
      </c>
      <c r="W8" s="10">
        <v>1</v>
      </c>
      <c r="X8" s="10">
        <v>1</v>
      </c>
      <c r="Y8" s="10">
        <v>1</v>
      </c>
      <c r="Z8" s="10">
        <v>2</v>
      </c>
      <c r="AA8" s="10">
        <v>1</v>
      </c>
      <c r="AB8" s="10">
        <v>1</v>
      </c>
      <c r="AC8" s="10">
        <v>0</v>
      </c>
      <c r="AD8" s="10">
        <v>1</v>
      </c>
      <c r="AE8" s="10">
        <v>0</v>
      </c>
      <c r="AF8" s="10">
        <v>0</v>
      </c>
      <c r="AG8" s="10">
        <v>0</v>
      </c>
      <c r="AH8" s="10">
        <v>0</v>
      </c>
      <c r="AI8" s="10">
        <v>0</v>
      </c>
      <c r="AJ8" s="10">
        <v>0</v>
      </c>
      <c r="AK8" s="10">
        <v>1</v>
      </c>
      <c r="AL8" s="10">
        <v>1</v>
      </c>
      <c r="AM8" s="10">
        <v>1</v>
      </c>
      <c r="AN8" s="10">
        <v>0</v>
      </c>
      <c r="AO8" s="10">
        <v>0</v>
      </c>
      <c r="AP8" s="10">
        <v>0</v>
      </c>
    </row>
  </sheetData>
  <printOptions horizontalCentered="1"/>
  <pageMargins left="0.51181102362204722" right="0.51181102362204722" top="0.78740157480314965" bottom="0.78740157480314965" header="0.31496062992125984" footer="0.31496062992125984"/>
  <pageSetup paperSize="9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dos">
    <tabColor theme="8" tint="-0.499984740745262"/>
    <pageSetUpPr fitToPage="1"/>
  </sheetPr>
  <dimension ref="A5:I65"/>
  <sheetViews>
    <sheetView showGridLines="0" tabSelected="1" zoomScaleSheetLayoutView="100" workbookViewId="0">
      <pane ySplit="5" topLeftCell="A6" activePane="bottomLeft" state="frozen"/>
      <selection pane="bottomLeft" activeCell="C67" sqref="C67"/>
    </sheetView>
  </sheetViews>
  <sheetFormatPr defaultColWidth="9.1796875" defaultRowHeight="14.5" x14ac:dyDescent="0.35"/>
  <cols>
    <col min="1" max="1" width="43.26953125" style="3" bestFit="1" customWidth="1"/>
    <col min="2" max="2" width="21.453125" style="3" customWidth="1"/>
    <col min="3" max="3" width="14.81640625" style="3" customWidth="1"/>
    <col min="4" max="4" width="21.54296875" style="3" bestFit="1" customWidth="1"/>
    <col min="5" max="5" width="21.453125" style="3" customWidth="1"/>
    <col min="6" max="6" width="3.1796875" style="3" customWidth="1"/>
    <col min="7" max="8" width="9.1796875" style="3"/>
    <col min="9" max="9" width="11" style="3" bestFit="1" customWidth="1"/>
    <col min="10" max="16384" width="9.1796875" style="3"/>
  </cols>
  <sheetData>
    <row r="5" spans="1:9" x14ac:dyDescent="0.35">
      <c r="A5" s="4" t="s">
        <v>24</v>
      </c>
      <c r="B5" s="4" t="s">
        <v>25</v>
      </c>
      <c r="C5" s="4" t="s">
        <v>2</v>
      </c>
      <c r="D5" s="4" t="s">
        <v>0</v>
      </c>
      <c r="E5" s="4" t="s">
        <v>1</v>
      </c>
    </row>
    <row r="6" spans="1:9" x14ac:dyDescent="0.35">
      <c r="A6" s="6" t="s">
        <v>32</v>
      </c>
      <c r="B6" s="5">
        <v>26121980</v>
      </c>
      <c r="C6" s="6">
        <f ca="1">IF(DIGITAÇÃO[[#This Row],[DATA DE NASC.]]="","",INT(( TODAY() - TEXT(DIGITAÇÃO[[#This Row],[DATA DE NASC.]],"00\/00\/0000")) /365.25))</f>
        <v>40</v>
      </c>
      <c r="D6" s="11">
        <f>IF(DIGITAÇÃO[[#This Row],[PROFISSIONAL]]="","",VLOOKUP(DIGITAÇÃO[[#This Row],[PROFISSIONAL]],LISTA_PROCED[],2,0))</f>
        <v>301010080</v>
      </c>
      <c r="E6" s="6">
        <f>IF(DIGITAÇÃO[[#This Row],[PROFISSIONAL]]="","", VLOOKUP(DIGITAÇÃO[[#This Row],[PROFISSIONAL]],LISTA_PROCED[],3,0))</f>
        <v>225142</v>
      </c>
    </row>
    <row r="7" spans="1:9" x14ac:dyDescent="0.35">
      <c r="A7" s="6" t="s">
        <v>32</v>
      </c>
      <c r="B7" s="5">
        <v>1041988</v>
      </c>
      <c r="C7" s="6">
        <f ca="1">IF(DIGITAÇÃO[[#This Row],[DATA DE NASC.]]="","",INT(( TODAY() - TEXT(DIGITAÇÃO[[#This Row],[DATA DE NASC.]],"00\/00\/0000")) /365.25))</f>
        <v>33</v>
      </c>
      <c r="D7" s="11">
        <f>IF(DIGITAÇÃO[[#This Row],[PROFISSIONAL]]="","",VLOOKUP(DIGITAÇÃO[[#This Row],[PROFISSIONAL]],LISTA_PROCED[],2,0))</f>
        <v>301010080</v>
      </c>
      <c r="E7" s="6">
        <f>IF(DIGITAÇÃO[[#This Row],[PROFISSIONAL]]="","", VLOOKUP(DIGITAÇÃO[[#This Row],[PROFISSIONAL]],LISTA_PROCED[],3,0))</f>
        <v>225142</v>
      </c>
    </row>
    <row r="8" spans="1:9" x14ac:dyDescent="0.35">
      <c r="A8" s="6" t="s">
        <v>32</v>
      </c>
      <c r="B8" s="5">
        <v>18101983</v>
      </c>
      <c r="C8" s="6">
        <f ca="1">IF(DIGITAÇÃO[[#This Row],[DATA DE NASC.]]="","",INT(( TODAY() - TEXT(DIGITAÇÃO[[#This Row],[DATA DE NASC.]],"00\/00\/0000")) /365.25))</f>
        <v>37</v>
      </c>
      <c r="D8" s="11">
        <f>IF(DIGITAÇÃO[[#This Row],[PROFISSIONAL]]="","",VLOOKUP(DIGITAÇÃO[[#This Row],[PROFISSIONAL]],LISTA_PROCED[],2,0))</f>
        <v>301010080</v>
      </c>
      <c r="E8" s="6">
        <f>IF(DIGITAÇÃO[[#This Row],[PROFISSIONAL]]="","", VLOOKUP(DIGITAÇÃO[[#This Row],[PROFISSIONAL]],LISTA_PROCED[],3,0))</f>
        <v>225142</v>
      </c>
      <c r="I8" s="11"/>
    </row>
    <row r="9" spans="1:9" x14ac:dyDescent="0.35">
      <c r="A9" s="6" t="s">
        <v>32</v>
      </c>
      <c r="B9" s="5">
        <v>12091990</v>
      </c>
      <c r="C9" s="6">
        <f ca="1">IF(DIGITAÇÃO[[#This Row],[DATA DE NASC.]]="","",INT(( TODAY() - TEXT(DIGITAÇÃO[[#This Row],[DATA DE NASC.]],"00\/00\/0000")) /365.25))</f>
        <v>31</v>
      </c>
      <c r="D9" s="11">
        <f>IF(DIGITAÇÃO[[#This Row],[PROFISSIONAL]]="","",VLOOKUP(DIGITAÇÃO[[#This Row],[PROFISSIONAL]],LISTA_PROCED[],2,0))</f>
        <v>301010080</v>
      </c>
      <c r="E9" s="6">
        <f>IF(DIGITAÇÃO[[#This Row],[PROFISSIONAL]]="","", VLOOKUP(DIGITAÇÃO[[#This Row],[PROFISSIONAL]],LISTA_PROCED[],3,0))</f>
        <v>225142</v>
      </c>
      <c r="I9" s="11"/>
    </row>
    <row r="10" spans="1:9" x14ac:dyDescent="0.35">
      <c r="A10" s="6" t="s">
        <v>32</v>
      </c>
      <c r="B10" s="5">
        <v>30101947</v>
      </c>
      <c r="C10" s="6">
        <f ca="1">IF(DIGITAÇÃO[[#This Row],[DATA DE NASC.]]="","",INT(( TODAY() - TEXT(DIGITAÇÃO[[#This Row],[DATA DE NASC.]],"00\/00\/0000")) /365.25))</f>
        <v>73</v>
      </c>
      <c r="D10" s="11">
        <f>IF(DIGITAÇÃO[[#This Row],[PROFISSIONAL]]="","",VLOOKUP(DIGITAÇÃO[[#This Row],[PROFISSIONAL]],LISTA_PROCED[],2,0))</f>
        <v>301010080</v>
      </c>
      <c r="E10" s="6">
        <f>IF(DIGITAÇÃO[[#This Row],[PROFISSIONAL]]="","", VLOOKUP(DIGITAÇÃO[[#This Row],[PROFISSIONAL]],LISTA_PROCED[],3,0))</f>
        <v>225142</v>
      </c>
      <c r="I10" s="11"/>
    </row>
    <row r="11" spans="1:9" x14ac:dyDescent="0.35">
      <c r="A11" s="6" t="s">
        <v>32</v>
      </c>
      <c r="B11" s="5">
        <v>9031993</v>
      </c>
      <c r="C11" s="6">
        <f ca="1">IF(DIGITAÇÃO[[#This Row],[DATA DE NASC.]]="","",INT(( TODAY() - TEXT(DIGITAÇÃO[[#This Row],[DATA DE NASC.]],"00\/00\/0000")) /365.25))</f>
        <v>28</v>
      </c>
      <c r="D11" s="11">
        <f>IF(DIGITAÇÃO[[#This Row],[PROFISSIONAL]]="","",VLOOKUP(DIGITAÇÃO[[#This Row],[PROFISSIONAL]],LISTA_PROCED[],2,0))</f>
        <v>301010080</v>
      </c>
      <c r="E11" s="6">
        <f>IF(DIGITAÇÃO[[#This Row],[PROFISSIONAL]]="","", VLOOKUP(DIGITAÇÃO[[#This Row],[PROFISSIONAL]],LISTA_PROCED[],3,0))</f>
        <v>225142</v>
      </c>
      <c r="I11" s="11"/>
    </row>
    <row r="12" spans="1:9" x14ac:dyDescent="0.35">
      <c r="A12" s="6" t="s">
        <v>32</v>
      </c>
      <c r="B12" s="5">
        <v>21111988</v>
      </c>
      <c r="C12" s="6">
        <f ca="1">IF(DIGITAÇÃO[[#This Row],[DATA DE NASC.]]="","",INT(( TODAY() - TEXT(DIGITAÇÃO[[#This Row],[DATA DE NASC.]],"00\/00\/0000")) /365.25))</f>
        <v>32</v>
      </c>
      <c r="D12" s="11">
        <f>IF(DIGITAÇÃO[[#This Row],[PROFISSIONAL]]="","",VLOOKUP(DIGITAÇÃO[[#This Row],[PROFISSIONAL]],LISTA_PROCED[],2,0))</f>
        <v>301010080</v>
      </c>
      <c r="E12" s="6">
        <f>IF(DIGITAÇÃO[[#This Row],[PROFISSIONAL]]="","", VLOOKUP(DIGITAÇÃO[[#This Row],[PROFISSIONAL]],LISTA_PROCED[],3,0))</f>
        <v>225142</v>
      </c>
      <c r="I12" s="11"/>
    </row>
    <row r="13" spans="1:9" x14ac:dyDescent="0.35">
      <c r="A13" s="6" t="s">
        <v>32</v>
      </c>
      <c r="B13" s="5">
        <v>25062001</v>
      </c>
      <c r="C13" s="6">
        <f ca="1">IF(DIGITAÇÃO[[#This Row],[DATA DE NASC.]]="","",INT(( TODAY() - TEXT(DIGITAÇÃO[[#This Row],[DATA DE NASC.]],"00\/00\/0000")) /365.25))</f>
        <v>20</v>
      </c>
      <c r="D13" s="11">
        <f>IF(DIGITAÇÃO[[#This Row],[PROFISSIONAL]]="","",VLOOKUP(DIGITAÇÃO[[#This Row],[PROFISSIONAL]],LISTA_PROCED[],2,0))</f>
        <v>301010080</v>
      </c>
      <c r="E13" s="6">
        <f>IF(DIGITAÇÃO[[#This Row],[PROFISSIONAL]]="","", VLOOKUP(DIGITAÇÃO[[#This Row],[PROFISSIONAL]],LISTA_PROCED[],3,0))</f>
        <v>225142</v>
      </c>
      <c r="I13" s="11"/>
    </row>
    <row r="14" spans="1:9" x14ac:dyDescent="0.35">
      <c r="A14" s="6" t="s">
        <v>32</v>
      </c>
      <c r="B14" s="5">
        <v>30071984</v>
      </c>
      <c r="C14" s="6">
        <f ca="1">IF(DIGITAÇÃO[[#This Row],[DATA DE NASC.]]="","",INT(( TODAY() - TEXT(DIGITAÇÃO[[#This Row],[DATA DE NASC.]],"00\/00\/0000")) /365.25))</f>
        <v>37</v>
      </c>
      <c r="D14" s="11">
        <f>IF(DIGITAÇÃO[[#This Row],[PROFISSIONAL]]="","",VLOOKUP(DIGITAÇÃO[[#This Row],[PROFISSIONAL]],LISTA_PROCED[],2,0))</f>
        <v>301010080</v>
      </c>
      <c r="E14" s="6">
        <f>IF(DIGITAÇÃO[[#This Row],[PROFISSIONAL]]="","", VLOOKUP(DIGITAÇÃO[[#This Row],[PROFISSIONAL]],LISTA_PROCED[],3,0))</f>
        <v>225142</v>
      </c>
      <c r="I14" s="11"/>
    </row>
    <row r="15" spans="1:9" x14ac:dyDescent="0.35">
      <c r="A15" s="6" t="s">
        <v>32</v>
      </c>
      <c r="B15" s="5">
        <v>4012001</v>
      </c>
      <c r="C15" s="6">
        <f ca="1">IF(DIGITAÇÃO[[#This Row],[DATA DE NASC.]]="","",INT(( TODAY() - TEXT(DIGITAÇÃO[[#This Row],[DATA DE NASC.]],"00\/00\/0000")) /365.25))</f>
        <v>20</v>
      </c>
      <c r="D15" s="11">
        <f>IF(DIGITAÇÃO[[#This Row],[PROFISSIONAL]]="","",VLOOKUP(DIGITAÇÃO[[#This Row],[PROFISSIONAL]],LISTA_PROCED[],2,0))</f>
        <v>301010080</v>
      </c>
      <c r="E15" s="6">
        <f>IF(DIGITAÇÃO[[#This Row],[PROFISSIONAL]]="","", VLOOKUP(DIGITAÇÃO[[#This Row],[PROFISSIONAL]],LISTA_PROCED[],3,0))</f>
        <v>225142</v>
      </c>
    </row>
    <row r="16" spans="1:9" x14ac:dyDescent="0.35">
      <c r="A16" s="6" t="s">
        <v>32</v>
      </c>
      <c r="B16" s="5">
        <v>5111982</v>
      </c>
      <c r="C16" s="6">
        <f ca="1">IF(DIGITAÇÃO[[#This Row],[DATA DE NASC.]]="","",INT(( TODAY() - TEXT(DIGITAÇÃO[[#This Row],[DATA DE NASC.]],"00\/00\/0000")) /365.25))</f>
        <v>38</v>
      </c>
      <c r="D16" s="11">
        <f>IF(DIGITAÇÃO[[#This Row],[PROFISSIONAL]]="","",VLOOKUP(DIGITAÇÃO[[#This Row],[PROFISSIONAL]],LISTA_PROCED[],2,0))</f>
        <v>301010080</v>
      </c>
      <c r="E16" s="6">
        <f>IF(DIGITAÇÃO[[#This Row],[PROFISSIONAL]]="","", VLOOKUP(DIGITAÇÃO[[#This Row],[PROFISSIONAL]],LISTA_PROCED[],3,0))</f>
        <v>225142</v>
      </c>
    </row>
    <row r="17" spans="1:6" x14ac:dyDescent="0.35">
      <c r="A17" s="6" t="s">
        <v>32</v>
      </c>
      <c r="B17" s="5">
        <v>17032000</v>
      </c>
      <c r="C17" s="6">
        <f ca="1">IF(DIGITAÇÃO[[#This Row],[DATA DE NASC.]]="","",INT(( TODAY() - TEXT(DIGITAÇÃO[[#This Row],[DATA DE NASC.]],"00\/00\/0000")) /365.25))</f>
        <v>21</v>
      </c>
      <c r="D17" s="11">
        <f>IF(DIGITAÇÃO[[#This Row],[PROFISSIONAL]]="","",VLOOKUP(DIGITAÇÃO[[#This Row],[PROFISSIONAL]],LISTA_PROCED[],2,0))</f>
        <v>301010080</v>
      </c>
      <c r="E17" s="6">
        <f>IF(DIGITAÇÃO[[#This Row],[PROFISSIONAL]]="","", VLOOKUP(DIGITAÇÃO[[#This Row],[PROFISSIONAL]],LISTA_PROCED[],3,0))</f>
        <v>225142</v>
      </c>
      <c r="F17"/>
    </row>
    <row r="18" spans="1:6" x14ac:dyDescent="0.35">
      <c r="A18" s="6" t="s">
        <v>32</v>
      </c>
      <c r="B18" s="5">
        <v>26021971</v>
      </c>
      <c r="C18" s="6">
        <f ca="1">IF(DIGITAÇÃO[[#This Row],[DATA DE NASC.]]="","",INT(( TODAY() - TEXT(DIGITAÇÃO[[#This Row],[DATA DE NASC.]],"00\/00\/0000")) /365.25))</f>
        <v>50</v>
      </c>
      <c r="D18" s="11">
        <f>IF(DIGITAÇÃO[[#This Row],[PROFISSIONAL]]="","",VLOOKUP(DIGITAÇÃO[[#This Row],[PROFISSIONAL]],LISTA_PROCED[],2,0))</f>
        <v>301010080</v>
      </c>
      <c r="E18" s="6">
        <f>IF(DIGITAÇÃO[[#This Row],[PROFISSIONAL]]="","", VLOOKUP(DIGITAÇÃO[[#This Row],[PROFISSIONAL]],LISTA_PROCED[],3,0))</f>
        <v>225142</v>
      </c>
      <c r="F18"/>
    </row>
    <row r="19" spans="1:6" x14ac:dyDescent="0.35">
      <c r="A19" s="6" t="s">
        <v>32</v>
      </c>
      <c r="B19" s="5">
        <v>16011988</v>
      </c>
      <c r="C19" s="6">
        <f ca="1">IF(DIGITAÇÃO[[#This Row],[DATA DE NASC.]]="","",INT(( TODAY() - TEXT(DIGITAÇÃO[[#This Row],[DATA DE NASC.]],"00\/00\/0000")) /365.25))</f>
        <v>33</v>
      </c>
      <c r="D19" s="11">
        <f>IF(DIGITAÇÃO[[#This Row],[PROFISSIONAL]]="","",VLOOKUP(DIGITAÇÃO[[#This Row],[PROFISSIONAL]],LISTA_PROCED[],2,0))</f>
        <v>301010080</v>
      </c>
      <c r="E19" s="6">
        <f>IF(DIGITAÇÃO[[#This Row],[PROFISSIONAL]]="","", VLOOKUP(DIGITAÇÃO[[#This Row],[PROFISSIONAL]],LISTA_PROCED[],3,0))</f>
        <v>225142</v>
      </c>
      <c r="F19"/>
    </row>
    <row r="20" spans="1:6" x14ac:dyDescent="0.35">
      <c r="A20" s="6" t="s">
        <v>32</v>
      </c>
      <c r="B20" s="5">
        <v>21121961</v>
      </c>
      <c r="C20" s="6">
        <f ca="1">IF(DIGITAÇÃO[[#This Row],[DATA DE NASC.]]="","",INT(( TODAY() - TEXT(DIGITAÇÃO[[#This Row],[DATA DE NASC.]],"00\/00\/0000")) /365.25))</f>
        <v>59</v>
      </c>
      <c r="D20" s="11">
        <f>IF(DIGITAÇÃO[[#This Row],[PROFISSIONAL]]="","",VLOOKUP(DIGITAÇÃO[[#This Row],[PROFISSIONAL]],LISTA_PROCED[],2,0))</f>
        <v>301010080</v>
      </c>
      <c r="E20" s="6">
        <f>IF(DIGITAÇÃO[[#This Row],[PROFISSIONAL]]="","", VLOOKUP(DIGITAÇÃO[[#This Row],[PROFISSIONAL]],LISTA_PROCED[],3,0))</f>
        <v>225142</v>
      </c>
      <c r="F20"/>
    </row>
    <row r="21" spans="1:6" x14ac:dyDescent="0.35">
      <c r="A21" s="6" t="s">
        <v>32</v>
      </c>
      <c r="B21" s="5">
        <v>23041971</v>
      </c>
      <c r="C21" s="6">
        <f ca="1">IF(DIGITAÇÃO[[#This Row],[DATA DE NASC.]]="","",INT(( TODAY() - TEXT(DIGITAÇÃO[[#This Row],[DATA DE NASC.]],"00\/00\/0000")) /365.25))</f>
        <v>50</v>
      </c>
      <c r="D21" s="11">
        <f>IF(DIGITAÇÃO[[#This Row],[PROFISSIONAL]]="","",VLOOKUP(DIGITAÇÃO[[#This Row],[PROFISSIONAL]],LISTA_PROCED[],2,0))</f>
        <v>301010080</v>
      </c>
      <c r="E21" s="6">
        <f>IF(DIGITAÇÃO[[#This Row],[PROFISSIONAL]]="","", VLOOKUP(DIGITAÇÃO[[#This Row],[PROFISSIONAL]],LISTA_PROCED[],3,0))</f>
        <v>225142</v>
      </c>
      <c r="F21"/>
    </row>
    <row r="22" spans="1:6" x14ac:dyDescent="0.35">
      <c r="A22" s="6" t="s">
        <v>32</v>
      </c>
      <c r="B22" s="5">
        <v>29011974</v>
      </c>
      <c r="C22" s="6">
        <f ca="1">IF(DIGITAÇÃO[[#This Row],[DATA DE NASC.]]="","",INT(( TODAY() - TEXT(DIGITAÇÃO[[#This Row],[DATA DE NASC.]],"00\/00\/0000")) /365.25))</f>
        <v>47</v>
      </c>
      <c r="D22" s="11">
        <f>IF(DIGITAÇÃO[[#This Row],[PROFISSIONAL]]="","",VLOOKUP(DIGITAÇÃO[[#This Row],[PROFISSIONAL]],LISTA_PROCED[],2,0))</f>
        <v>301010080</v>
      </c>
      <c r="E22" s="6">
        <f>IF(DIGITAÇÃO[[#This Row],[PROFISSIONAL]]="","", VLOOKUP(DIGITAÇÃO[[#This Row],[PROFISSIONAL]],LISTA_PROCED[],3,0))</f>
        <v>225142</v>
      </c>
      <c r="F22"/>
    </row>
    <row r="23" spans="1:6" x14ac:dyDescent="0.35">
      <c r="A23" s="6" t="s">
        <v>32</v>
      </c>
      <c r="B23" s="5">
        <v>3071945</v>
      </c>
      <c r="C23" s="6">
        <f ca="1">IF(DIGITAÇÃO[[#This Row],[DATA DE NASC.]]="","",INT(( TODAY() - TEXT(DIGITAÇÃO[[#This Row],[DATA DE NASC.]],"00\/00\/0000")) /365.25))</f>
        <v>76</v>
      </c>
      <c r="D23" s="11">
        <f>IF(DIGITAÇÃO[[#This Row],[PROFISSIONAL]]="","",VLOOKUP(DIGITAÇÃO[[#This Row],[PROFISSIONAL]],LISTA_PROCED[],2,0))</f>
        <v>301010080</v>
      </c>
      <c r="E23" s="6">
        <f>IF(DIGITAÇÃO[[#This Row],[PROFISSIONAL]]="","", VLOOKUP(DIGITAÇÃO[[#This Row],[PROFISSIONAL]],LISTA_PROCED[],3,0))</f>
        <v>225142</v>
      </c>
    </row>
    <row r="24" spans="1:6" x14ac:dyDescent="0.35">
      <c r="A24" s="6" t="s">
        <v>32</v>
      </c>
      <c r="B24" s="5">
        <v>10091947</v>
      </c>
      <c r="C24" s="6">
        <f ca="1">IF(DIGITAÇÃO[[#This Row],[DATA DE NASC.]]="","",INT(( TODAY() - TEXT(DIGITAÇÃO[[#This Row],[DATA DE NASC.]],"00\/00\/0000")) /365.25))</f>
        <v>74</v>
      </c>
      <c r="D24" s="11">
        <f>IF(DIGITAÇÃO[[#This Row],[PROFISSIONAL]]="","",VLOOKUP(DIGITAÇÃO[[#This Row],[PROFISSIONAL]],LISTA_PROCED[],2,0))</f>
        <v>301010080</v>
      </c>
      <c r="E24" s="6">
        <f>IF(DIGITAÇÃO[[#This Row],[PROFISSIONAL]]="","", VLOOKUP(DIGITAÇÃO[[#This Row],[PROFISSIONAL]],LISTA_PROCED[],3,0))</f>
        <v>225142</v>
      </c>
    </row>
    <row r="25" spans="1:6" x14ac:dyDescent="0.35">
      <c r="A25" s="6" t="s">
        <v>32</v>
      </c>
      <c r="B25" s="5">
        <v>12031976</v>
      </c>
      <c r="C25" s="6">
        <f ca="1">IF(DIGITAÇÃO[[#This Row],[DATA DE NASC.]]="","",INT(( TODAY() - TEXT(DIGITAÇÃO[[#This Row],[DATA DE NASC.]],"00\/00\/0000")) /365.25))</f>
        <v>45</v>
      </c>
      <c r="D25" s="11">
        <f>IF(DIGITAÇÃO[[#This Row],[PROFISSIONAL]]="","",VLOOKUP(DIGITAÇÃO[[#This Row],[PROFISSIONAL]],LISTA_PROCED[],2,0))</f>
        <v>301010080</v>
      </c>
      <c r="E25" s="6">
        <f>IF(DIGITAÇÃO[[#This Row],[PROFISSIONAL]]="","", VLOOKUP(DIGITAÇÃO[[#This Row],[PROFISSIONAL]],LISTA_PROCED[],3,0))</f>
        <v>225142</v>
      </c>
    </row>
    <row r="26" spans="1:6" x14ac:dyDescent="0.35">
      <c r="A26" s="6" t="s">
        <v>32</v>
      </c>
      <c r="B26" s="5">
        <v>30071966</v>
      </c>
      <c r="C26" s="6">
        <f ca="1">IF(DIGITAÇÃO[[#This Row],[DATA DE NASC.]]="","",INT(( TODAY() - TEXT(DIGITAÇÃO[[#This Row],[DATA DE NASC.]],"00\/00\/0000")) /365.25))</f>
        <v>55</v>
      </c>
      <c r="D26" s="11">
        <f>IF(DIGITAÇÃO[[#This Row],[PROFISSIONAL]]="","",VLOOKUP(DIGITAÇÃO[[#This Row],[PROFISSIONAL]],LISTA_PROCED[],2,0))</f>
        <v>301010080</v>
      </c>
      <c r="E26" s="6">
        <f>IF(DIGITAÇÃO[[#This Row],[PROFISSIONAL]]="","", VLOOKUP(DIGITAÇÃO[[#This Row],[PROFISSIONAL]],LISTA_PROCED[],3,0))</f>
        <v>225142</v>
      </c>
    </row>
    <row r="27" spans="1:6" x14ac:dyDescent="0.35">
      <c r="A27" s="6" t="s">
        <v>32</v>
      </c>
      <c r="B27" s="5">
        <v>15111966</v>
      </c>
      <c r="C27" s="6">
        <f ca="1">IF(DIGITAÇÃO[[#This Row],[DATA DE NASC.]]="","",INT(( TODAY() - TEXT(DIGITAÇÃO[[#This Row],[DATA DE NASC.]],"00\/00\/0000")) /365.25))</f>
        <v>54</v>
      </c>
      <c r="D27" s="11">
        <f>IF(DIGITAÇÃO[[#This Row],[PROFISSIONAL]]="","",VLOOKUP(DIGITAÇÃO[[#This Row],[PROFISSIONAL]],LISTA_PROCED[],2,0))</f>
        <v>301010080</v>
      </c>
      <c r="E27" s="6">
        <f>IF(DIGITAÇÃO[[#This Row],[PROFISSIONAL]]="","", VLOOKUP(DIGITAÇÃO[[#This Row],[PROFISSIONAL]],LISTA_PROCED[],3,0))</f>
        <v>225142</v>
      </c>
    </row>
    <row r="28" spans="1:6" x14ac:dyDescent="0.35">
      <c r="A28" s="6" t="s">
        <v>32</v>
      </c>
      <c r="B28" s="5">
        <v>17111979</v>
      </c>
      <c r="C28" s="6">
        <f ca="1">IF(DIGITAÇÃO[[#This Row],[DATA DE NASC.]]="","",INT(( TODAY() - TEXT(DIGITAÇÃO[[#This Row],[DATA DE NASC.]],"00\/00\/0000")) /365.25))</f>
        <v>41</v>
      </c>
      <c r="D28" s="11">
        <f>IF(DIGITAÇÃO[[#This Row],[PROFISSIONAL]]="","",VLOOKUP(DIGITAÇÃO[[#This Row],[PROFISSIONAL]],LISTA_PROCED[],2,0))</f>
        <v>301010080</v>
      </c>
      <c r="E28" s="6">
        <f>IF(DIGITAÇÃO[[#This Row],[PROFISSIONAL]]="","", VLOOKUP(DIGITAÇÃO[[#This Row],[PROFISSIONAL]],LISTA_PROCED[],3,0))</f>
        <v>225142</v>
      </c>
    </row>
    <row r="29" spans="1:6" x14ac:dyDescent="0.35">
      <c r="A29" s="6" t="s">
        <v>32</v>
      </c>
      <c r="B29" s="5">
        <v>24031973</v>
      </c>
      <c r="C29" s="6">
        <f ca="1">IF(DIGITAÇÃO[[#This Row],[DATA DE NASC.]]="","",INT(( TODAY() - TEXT(DIGITAÇÃO[[#This Row],[DATA DE NASC.]],"00\/00\/0000")) /365.25))</f>
        <v>48</v>
      </c>
      <c r="D29" s="11">
        <f>IF(DIGITAÇÃO[[#This Row],[PROFISSIONAL]]="","",VLOOKUP(DIGITAÇÃO[[#This Row],[PROFISSIONAL]],LISTA_PROCED[],2,0))</f>
        <v>301010080</v>
      </c>
      <c r="E29" s="6">
        <f>IF(DIGITAÇÃO[[#This Row],[PROFISSIONAL]]="","", VLOOKUP(DIGITAÇÃO[[#This Row],[PROFISSIONAL]],LISTA_PROCED[],3,0))</f>
        <v>225142</v>
      </c>
    </row>
    <row r="30" spans="1:6" x14ac:dyDescent="0.35">
      <c r="A30" s="6" t="s">
        <v>31</v>
      </c>
      <c r="B30" s="5">
        <v>8041945</v>
      </c>
      <c r="C30" s="6">
        <f ca="1">IF(DIGITAÇÃO[[#This Row],[DATA DE NASC.]]="","",INT(( TODAY() - TEXT(DIGITAÇÃO[[#This Row],[DATA DE NASC.]],"00\/00\/0000")) /365.25))</f>
        <v>76</v>
      </c>
      <c r="D30" s="11">
        <f>IF(DIGITAÇÃO[[#This Row],[PROFISSIONAL]]="","",VLOOKUP(DIGITAÇÃO[[#This Row],[PROFISSIONAL]],LISTA_PROCED[],2,0))</f>
        <v>301010110</v>
      </c>
      <c r="E30" s="6">
        <f>IF(DIGITAÇÃO[[#This Row],[PROFISSIONAL]]="","", VLOOKUP(DIGITAÇÃO[[#This Row],[PROFISSIONAL]],LISTA_PROCED[],3,0))</f>
        <v>225142</v>
      </c>
    </row>
    <row r="31" spans="1:6" x14ac:dyDescent="0.35">
      <c r="A31" s="6" t="s">
        <v>31</v>
      </c>
      <c r="B31" s="5">
        <v>25121977</v>
      </c>
      <c r="C31" s="6">
        <f ca="1">IF(DIGITAÇÃO[[#This Row],[DATA DE NASC.]]="","",INT(( TODAY() - TEXT(DIGITAÇÃO[[#This Row],[DATA DE NASC.]],"00\/00\/0000")) /365.25))</f>
        <v>43</v>
      </c>
      <c r="D31" s="11">
        <f>IF(DIGITAÇÃO[[#This Row],[PROFISSIONAL]]="","",VLOOKUP(DIGITAÇÃO[[#This Row],[PROFISSIONAL]],LISTA_PROCED[],2,0))</f>
        <v>301010110</v>
      </c>
      <c r="E31" s="6">
        <f>IF(DIGITAÇÃO[[#This Row],[PROFISSIONAL]]="","", VLOOKUP(DIGITAÇÃO[[#This Row],[PROFISSIONAL]],LISTA_PROCED[],3,0))</f>
        <v>225142</v>
      </c>
    </row>
    <row r="32" spans="1:6" x14ac:dyDescent="0.35">
      <c r="A32" s="6" t="s">
        <v>31</v>
      </c>
      <c r="B32" s="5">
        <v>5091935</v>
      </c>
      <c r="C32" s="6">
        <f ca="1">IF(DIGITAÇÃO[[#This Row],[DATA DE NASC.]]="","",INT(( TODAY() - TEXT(DIGITAÇÃO[[#This Row],[DATA DE NASC.]],"00\/00\/0000")) /365.25))</f>
        <v>86</v>
      </c>
      <c r="D32" s="11">
        <f>IF(DIGITAÇÃO[[#This Row],[PROFISSIONAL]]="","",VLOOKUP(DIGITAÇÃO[[#This Row],[PROFISSIONAL]],LISTA_PROCED[],2,0))</f>
        <v>301010110</v>
      </c>
      <c r="E32" s="6">
        <f>IF(DIGITAÇÃO[[#This Row],[PROFISSIONAL]]="","", VLOOKUP(DIGITAÇÃO[[#This Row],[PROFISSIONAL]],LISTA_PROCED[],3,0))</f>
        <v>225142</v>
      </c>
    </row>
    <row r="33" spans="1:5" x14ac:dyDescent="0.35">
      <c r="A33" s="6" t="s">
        <v>31</v>
      </c>
      <c r="B33" s="5">
        <v>13051999</v>
      </c>
      <c r="C33" s="6">
        <f ca="1">IF(DIGITAÇÃO[[#This Row],[DATA DE NASC.]]="","",INT(( TODAY() - TEXT(DIGITAÇÃO[[#This Row],[DATA DE NASC.]],"00\/00\/0000")) /365.25))</f>
        <v>22</v>
      </c>
      <c r="D33" s="11">
        <f>IF(DIGITAÇÃO[[#This Row],[PROFISSIONAL]]="","",VLOOKUP(DIGITAÇÃO[[#This Row],[PROFISSIONAL]],LISTA_PROCED[],2,0))</f>
        <v>301010110</v>
      </c>
      <c r="E33" s="6">
        <f>IF(DIGITAÇÃO[[#This Row],[PROFISSIONAL]]="","", VLOOKUP(DIGITAÇÃO[[#This Row],[PROFISSIONAL]],LISTA_PROCED[],3,0))</f>
        <v>225142</v>
      </c>
    </row>
    <row r="34" spans="1:5" x14ac:dyDescent="0.35">
      <c r="A34" s="6" t="s">
        <v>31</v>
      </c>
      <c r="B34" s="5">
        <v>5091935</v>
      </c>
      <c r="C34" s="6">
        <f ca="1">IF(DIGITAÇÃO[[#This Row],[DATA DE NASC.]]="","",INT(( TODAY() - TEXT(DIGITAÇÃO[[#This Row],[DATA DE NASC.]],"00\/00\/0000")) /365.25))</f>
        <v>86</v>
      </c>
      <c r="D34" s="11">
        <f>IF(DIGITAÇÃO[[#This Row],[PROFISSIONAL]]="","",VLOOKUP(DIGITAÇÃO[[#This Row],[PROFISSIONAL]],LISTA_PROCED[],2,0))</f>
        <v>301010110</v>
      </c>
      <c r="E34" s="6">
        <f>IF(DIGITAÇÃO[[#This Row],[PROFISSIONAL]]="","", VLOOKUP(DIGITAÇÃO[[#This Row],[PROFISSIONAL]],LISTA_PROCED[],3,0))</f>
        <v>225142</v>
      </c>
    </row>
    <row r="35" spans="1:5" x14ac:dyDescent="0.35">
      <c r="A35" s="6" t="s">
        <v>19</v>
      </c>
      <c r="B35" s="5">
        <v>13051955</v>
      </c>
      <c r="C35" s="6">
        <f ca="1">IF(DIGITAÇÃO[[#This Row],[DATA DE NASC.]]="","",INT(( TODAY() - TEXT(DIGITAÇÃO[[#This Row],[DATA DE NASC.]],"00\/00\/0000")) /365.25))</f>
        <v>66</v>
      </c>
      <c r="D35" s="11">
        <f>IF(DIGITAÇÃO[[#This Row],[PROFISSIONAL]]="","",VLOOKUP(DIGITAÇÃO[[#This Row],[PROFISSIONAL]],LISTA_PROCED[],2,0))</f>
        <v>301010064</v>
      </c>
      <c r="E35" s="6">
        <f>IF(DIGITAÇÃO[[#This Row],[PROFISSIONAL]]="","", VLOOKUP(DIGITAÇÃO[[#This Row],[PROFISSIONAL]],LISTA_PROCED[],3,0))</f>
        <v>225125</v>
      </c>
    </row>
    <row r="36" spans="1:5" x14ac:dyDescent="0.35">
      <c r="A36" s="6" t="s">
        <v>19</v>
      </c>
      <c r="B36" s="5">
        <v>27031973</v>
      </c>
      <c r="C36" s="6">
        <f ca="1">IF(DIGITAÇÃO[[#This Row],[DATA DE NASC.]]="","",INT(( TODAY() - TEXT(DIGITAÇÃO[[#This Row],[DATA DE NASC.]],"00\/00\/0000")) /365.25))</f>
        <v>48</v>
      </c>
      <c r="D36" s="11">
        <f>IF(DIGITAÇÃO[[#This Row],[PROFISSIONAL]]="","",VLOOKUP(DIGITAÇÃO[[#This Row],[PROFISSIONAL]],LISTA_PROCED[],2,0))</f>
        <v>301010064</v>
      </c>
      <c r="E36" s="6">
        <f>IF(DIGITAÇÃO[[#This Row],[PROFISSIONAL]]="","", VLOOKUP(DIGITAÇÃO[[#This Row],[PROFISSIONAL]],LISTA_PROCED[],3,0))</f>
        <v>225125</v>
      </c>
    </row>
    <row r="37" spans="1:5" x14ac:dyDescent="0.35">
      <c r="A37" s="6" t="s">
        <v>19</v>
      </c>
      <c r="B37" s="5">
        <v>10031939</v>
      </c>
      <c r="C37" s="6">
        <f ca="1">IF(DIGITAÇÃO[[#This Row],[DATA DE NASC.]]="","",INT(( TODAY() - TEXT(DIGITAÇÃO[[#This Row],[DATA DE NASC.]],"00\/00\/0000")) /365.25))</f>
        <v>82</v>
      </c>
      <c r="D37" s="11">
        <f>IF(DIGITAÇÃO[[#This Row],[PROFISSIONAL]]="","",VLOOKUP(DIGITAÇÃO[[#This Row],[PROFISSIONAL]],LISTA_PROCED[],2,0))</f>
        <v>301010064</v>
      </c>
      <c r="E37" s="6">
        <f>IF(DIGITAÇÃO[[#This Row],[PROFISSIONAL]]="","", VLOOKUP(DIGITAÇÃO[[#This Row],[PROFISSIONAL]],LISTA_PROCED[],3,0))</f>
        <v>225125</v>
      </c>
    </row>
    <row r="38" spans="1:5" x14ac:dyDescent="0.35">
      <c r="A38" s="6" t="s">
        <v>19</v>
      </c>
      <c r="B38" s="5">
        <v>19091952</v>
      </c>
      <c r="C38" s="6">
        <f ca="1">IF(DIGITAÇÃO[[#This Row],[DATA DE NASC.]]="","",INT(( TODAY() - TEXT(DIGITAÇÃO[[#This Row],[DATA DE NASC.]],"00\/00\/0000")) /365.25))</f>
        <v>69</v>
      </c>
      <c r="D38" s="11">
        <f>IF(DIGITAÇÃO[[#This Row],[PROFISSIONAL]]="","",VLOOKUP(DIGITAÇÃO[[#This Row],[PROFISSIONAL]],LISTA_PROCED[],2,0))</f>
        <v>301010064</v>
      </c>
      <c r="E38" s="6">
        <f>IF(DIGITAÇÃO[[#This Row],[PROFISSIONAL]]="","", VLOOKUP(DIGITAÇÃO[[#This Row],[PROFISSIONAL]],LISTA_PROCED[],3,0))</f>
        <v>225125</v>
      </c>
    </row>
    <row r="39" spans="1:5" x14ac:dyDescent="0.35">
      <c r="A39" s="6" t="s">
        <v>19</v>
      </c>
      <c r="B39" s="5">
        <v>25091947</v>
      </c>
      <c r="C39" s="6">
        <f ca="1">IF(DIGITAÇÃO[[#This Row],[DATA DE NASC.]]="","",INT(( TODAY() - TEXT(DIGITAÇÃO[[#This Row],[DATA DE NASC.]],"00\/00\/0000")) /365.25))</f>
        <v>73</v>
      </c>
      <c r="D39" s="11">
        <f>IF(DIGITAÇÃO[[#This Row],[PROFISSIONAL]]="","",VLOOKUP(DIGITAÇÃO[[#This Row],[PROFISSIONAL]],LISTA_PROCED[],2,0))</f>
        <v>301010064</v>
      </c>
      <c r="E39" s="6">
        <f>IF(DIGITAÇÃO[[#This Row],[PROFISSIONAL]]="","", VLOOKUP(DIGITAÇÃO[[#This Row],[PROFISSIONAL]],LISTA_PROCED[],3,0))</f>
        <v>225125</v>
      </c>
    </row>
    <row r="40" spans="1:5" x14ac:dyDescent="0.35">
      <c r="A40" s="6" t="s">
        <v>19</v>
      </c>
      <c r="B40" s="5">
        <v>24111961</v>
      </c>
      <c r="C40" s="6">
        <f ca="1">IF(DIGITAÇÃO[[#This Row],[DATA DE NASC.]]="","",INT(( TODAY() - TEXT(DIGITAÇÃO[[#This Row],[DATA DE NASC.]],"00\/00\/0000")) /365.25))</f>
        <v>59</v>
      </c>
      <c r="D40" s="11">
        <f>IF(DIGITAÇÃO[[#This Row],[PROFISSIONAL]]="","",VLOOKUP(DIGITAÇÃO[[#This Row],[PROFISSIONAL]],LISTA_PROCED[],2,0))</f>
        <v>301010064</v>
      </c>
      <c r="E40" s="6">
        <f>IF(DIGITAÇÃO[[#This Row],[PROFISSIONAL]]="","", VLOOKUP(DIGITAÇÃO[[#This Row],[PROFISSIONAL]],LISTA_PROCED[],3,0))</f>
        <v>225125</v>
      </c>
    </row>
    <row r="41" spans="1:5" x14ac:dyDescent="0.35">
      <c r="A41" s="6" t="s">
        <v>19</v>
      </c>
      <c r="B41" s="5">
        <v>16101937</v>
      </c>
      <c r="C41" s="6">
        <f ca="1">IF(DIGITAÇÃO[[#This Row],[DATA DE NASC.]]="","",INT(( TODAY() - TEXT(DIGITAÇÃO[[#This Row],[DATA DE NASC.]],"00\/00\/0000")) /365.25))</f>
        <v>83</v>
      </c>
      <c r="D41" s="11">
        <f>IF(DIGITAÇÃO[[#This Row],[PROFISSIONAL]]="","",VLOOKUP(DIGITAÇÃO[[#This Row],[PROFISSIONAL]],LISTA_PROCED[],2,0))</f>
        <v>301010064</v>
      </c>
      <c r="E41" s="6">
        <f>IF(DIGITAÇÃO[[#This Row],[PROFISSIONAL]]="","", VLOOKUP(DIGITAÇÃO[[#This Row],[PROFISSIONAL]],LISTA_PROCED[],3,0))</f>
        <v>225125</v>
      </c>
    </row>
    <row r="42" spans="1:5" x14ac:dyDescent="0.35">
      <c r="A42" s="6" t="s">
        <v>19</v>
      </c>
      <c r="B42" s="5">
        <v>27031976</v>
      </c>
      <c r="C42" s="6">
        <f ca="1">IF(DIGITAÇÃO[[#This Row],[DATA DE NASC.]]="","",INT(( TODAY() - TEXT(DIGITAÇÃO[[#This Row],[DATA DE NASC.]],"00\/00\/0000")) /365.25))</f>
        <v>45</v>
      </c>
      <c r="D42" s="11">
        <f>IF(DIGITAÇÃO[[#This Row],[PROFISSIONAL]]="","",VLOOKUP(DIGITAÇÃO[[#This Row],[PROFISSIONAL]],LISTA_PROCED[],2,0))</f>
        <v>301010064</v>
      </c>
      <c r="E42" s="6">
        <f>IF(DIGITAÇÃO[[#This Row],[PROFISSIONAL]]="","", VLOOKUP(DIGITAÇÃO[[#This Row],[PROFISSIONAL]],LISTA_PROCED[],3,0))</f>
        <v>225125</v>
      </c>
    </row>
    <row r="43" spans="1:5" x14ac:dyDescent="0.35">
      <c r="A43" s="6" t="s">
        <v>19</v>
      </c>
      <c r="B43" s="5">
        <v>5111961</v>
      </c>
      <c r="C43" s="6">
        <f ca="1">IF(DIGITAÇÃO[[#This Row],[DATA DE NASC.]]="","",INT(( TODAY() - TEXT(DIGITAÇÃO[[#This Row],[DATA DE NASC.]],"00\/00\/0000")) /365.25))</f>
        <v>59</v>
      </c>
      <c r="D43" s="11">
        <f>IF(DIGITAÇÃO[[#This Row],[PROFISSIONAL]]="","",VLOOKUP(DIGITAÇÃO[[#This Row],[PROFISSIONAL]],LISTA_PROCED[],2,0))</f>
        <v>301010064</v>
      </c>
      <c r="E43" s="6">
        <f>IF(DIGITAÇÃO[[#This Row],[PROFISSIONAL]]="","", VLOOKUP(DIGITAÇÃO[[#This Row],[PROFISSIONAL]],LISTA_PROCED[],3,0))</f>
        <v>225125</v>
      </c>
    </row>
    <row r="44" spans="1:5" x14ac:dyDescent="0.35">
      <c r="A44" s="6" t="s">
        <v>19</v>
      </c>
      <c r="B44" s="5">
        <v>27031976</v>
      </c>
      <c r="C44" s="6">
        <f ca="1">IF(DIGITAÇÃO[[#This Row],[DATA DE NASC.]]="","",INT(( TODAY() - TEXT(DIGITAÇÃO[[#This Row],[DATA DE NASC.]],"00\/00\/0000")) /365.25))</f>
        <v>45</v>
      </c>
      <c r="D44" s="11">
        <f>IF(DIGITAÇÃO[[#This Row],[PROFISSIONAL]]="","",VLOOKUP(DIGITAÇÃO[[#This Row],[PROFISSIONAL]],LISTA_PROCED[],2,0))</f>
        <v>301010064</v>
      </c>
      <c r="E44" s="6">
        <f>IF(DIGITAÇÃO[[#This Row],[PROFISSIONAL]]="","", VLOOKUP(DIGITAÇÃO[[#This Row],[PROFISSIONAL]],LISTA_PROCED[],3,0))</f>
        <v>225125</v>
      </c>
    </row>
    <row r="45" spans="1:5" x14ac:dyDescent="0.35">
      <c r="A45" s="6" t="s">
        <v>21</v>
      </c>
      <c r="B45" s="5">
        <v>24061962</v>
      </c>
      <c r="C45" s="6">
        <f ca="1">IF(DIGITAÇÃO[[#This Row],[DATA DE NASC.]]="","",INT(( TODAY() - TEXT(DIGITAÇÃO[[#This Row],[DATA DE NASC.]],"00\/00\/0000")) /365.25))</f>
        <v>59</v>
      </c>
      <c r="D45" s="11">
        <f>IF(DIGITAÇÃO[[#This Row],[PROFISSIONAL]]="","",VLOOKUP(DIGITAÇÃO[[#This Row],[PROFISSIONAL]],LISTA_PROCED[],2,0))</f>
        <v>301010072</v>
      </c>
      <c r="E45" s="6">
        <f>IF(DIGITAÇÃO[[#This Row],[PROFISSIONAL]]="","", VLOOKUP(DIGITAÇÃO[[#This Row],[PROFISSIONAL]],LISTA_PROCED[],3,0))</f>
        <v>225112</v>
      </c>
    </row>
    <row r="46" spans="1:5" x14ac:dyDescent="0.35">
      <c r="A46" s="6" t="s">
        <v>21</v>
      </c>
      <c r="B46" s="5">
        <v>7011957</v>
      </c>
      <c r="C46" s="6">
        <f ca="1">IF(DIGITAÇÃO[[#This Row],[DATA DE NASC.]]="","",INT(( TODAY() - TEXT(DIGITAÇÃO[[#This Row],[DATA DE NASC.]],"00\/00\/0000")) /365.25))</f>
        <v>64</v>
      </c>
      <c r="D46" s="11">
        <f>IF(DIGITAÇÃO[[#This Row],[PROFISSIONAL]]="","",VLOOKUP(DIGITAÇÃO[[#This Row],[PROFISSIONAL]],LISTA_PROCED[],2,0))</f>
        <v>301010072</v>
      </c>
      <c r="E46" s="6">
        <f>IF(DIGITAÇÃO[[#This Row],[PROFISSIONAL]]="","", VLOOKUP(DIGITAÇÃO[[#This Row],[PROFISSIONAL]],LISTA_PROCED[],3,0))</f>
        <v>225112</v>
      </c>
    </row>
    <row r="47" spans="1:5" x14ac:dyDescent="0.35">
      <c r="A47" s="6" t="s">
        <v>21</v>
      </c>
      <c r="B47" s="5">
        <v>12121959</v>
      </c>
      <c r="C47" s="6">
        <f ca="1">IF(DIGITAÇÃO[[#This Row],[DATA DE NASC.]]="","",INT(( TODAY() - TEXT(DIGITAÇÃO[[#This Row],[DATA DE NASC.]],"00\/00\/0000")) /365.25))</f>
        <v>61</v>
      </c>
      <c r="D47" s="11">
        <f>IF(DIGITAÇÃO[[#This Row],[PROFISSIONAL]]="","",VLOOKUP(DIGITAÇÃO[[#This Row],[PROFISSIONAL]],LISTA_PROCED[],2,0))</f>
        <v>301010072</v>
      </c>
      <c r="E47" s="6">
        <f>IF(DIGITAÇÃO[[#This Row],[PROFISSIONAL]]="","", VLOOKUP(DIGITAÇÃO[[#This Row],[PROFISSIONAL]],LISTA_PROCED[],3,0))</f>
        <v>225112</v>
      </c>
    </row>
    <row r="48" spans="1:5" x14ac:dyDescent="0.35">
      <c r="A48" s="6" t="s">
        <v>21</v>
      </c>
      <c r="B48" s="5">
        <v>23092009</v>
      </c>
      <c r="C48" s="6">
        <f ca="1">IF(DIGITAÇÃO[[#This Row],[DATA DE NASC.]]="","",INT(( TODAY() - TEXT(DIGITAÇÃO[[#This Row],[DATA DE NASC.]],"00\/00\/0000")) /365.25))</f>
        <v>11</v>
      </c>
      <c r="D48" s="11">
        <f>IF(DIGITAÇÃO[[#This Row],[PROFISSIONAL]]="","",VLOOKUP(DIGITAÇÃO[[#This Row],[PROFISSIONAL]],LISTA_PROCED[],2,0))</f>
        <v>301010072</v>
      </c>
      <c r="E48" s="6">
        <f>IF(DIGITAÇÃO[[#This Row],[PROFISSIONAL]]="","", VLOOKUP(DIGITAÇÃO[[#This Row],[PROFISSIONAL]],LISTA_PROCED[],3,0))</f>
        <v>225112</v>
      </c>
    </row>
    <row r="49" spans="1:5" x14ac:dyDescent="0.35">
      <c r="A49" s="6" t="s">
        <v>21</v>
      </c>
      <c r="B49" s="5">
        <v>23081980</v>
      </c>
      <c r="C49" s="6">
        <f ca="1">IF(DIGITAÇÃO[[#This Row],[DATA DE NASC.]]="","",INT(( TODAY() - TEXT(DIGITAÇÃO[[#This Row],[DATA DE NASC.]],"00\/00\/0000")) /365.25))</f>
        <v>41</v>
      </c>
      <c r="D49" s="11">
        <f>IF(DIGITAÇÃO[[#This Row],[PROFISSIONAL]]="","",VLOOKUP(DIGITAÇÃO[[#This Row],[PROFISSIONAL]],LISTA_PROCED[],2,0))</f>
        <v>301010072</v>
      </c>
      <c r="E49" s="6">
        <f>IF(DIGITAÇÃO[[#This Row],[PROFISSIONAL]]="","", VLOOKUP(DIGITAÇÃO[[#This Row],[PROFISSIONAL]],LISTA_PROCED[],3,0))</f>
        <v>225112</v>
      </c>
    </row>
    <row r="50" spans="1:5" x14ac:dyDescent="0.35">
      <c r="A50" s="6" t="s">
        <v>21</v>
      </c>
      <c r="B50" s="5">
        <v>10121962</v>
      </c>
      <c r="C50" s="6">
        <f ca="1">IF(DIGITAÇÃO[[#This Row],[DATA DE NASC.]]="","",INT(( TODAY() - TEXT(DIGITAÇÃO[[#This Row],[DATA DE NASC.]],"00\/00\/0000")) /365.25))</f>
        <v>58</v>
      </c>
      <c r="D50" s="11">
        <f>IF(DIGITAÇÃO[[#This Row],[PROFISSIONAL]]="","",VLOOKUP(DIGITAÇÃO[[#This Row],[PROFISSIONAL]],LISTA_PROCED[],2,0))</f>
        <v>301010072</v>
      </c>
      <c r="E50" s="6">
        <f>IF(DIGITAÇÃO[[#This Row],[PROFISSIONAL]]="","", VLOOKUP(DIGITAÇÃO[[#This Row],[PROFISSIONAL]],LISTA_PROCED[],3,0))</f>
        <v>225112</v>
      </c>
    </row>
    <row r="51" spans="1:5" x14ac:dyDescent="0.35">
      <c r="A51" s="6" t="s">
        <v>21</v>
      </c>
      <c r="B51" s="5">
        <v>23031991</v>
      </c>
      <c r="C51" s="6">
        <f ca="1">IF(DIGITAÇÃO[[#This Row],[DATA DE NASC.]]="","",INT(( TODAY() - TEXT(DIGITAÇÃO[[#This Row],[DATA DE NASC.]],"00\/00\/0000")) /365.25))</f>
        <v>30</v>
      </c>
      <c r="D51" s="11">
        <f>IF(DIGITAÇÃO[[#This Row],[PROFISSIONAL]]="","",VLOOKUP(DIGITAÇÃO[[#This Row],[PROFISSIONAL]],LISTA_PROCED[],2,0))</f>
        <v>301010072</v>
      </c>
      <c r="E51" s="6">
        <f>IF(DIGITAÇÃO[[#This Row],[PROFISSIONAL]]="","", VLOOKUP(DIGITAÇÃO[[#This Row],[PROFISSIONAL]],LISTA_PROCED[],3,0))</f>
        <v>225112</v>
      </c>
    </row>
    <row r="52" spans="1:5" x14ac:dyDescent="0.35">
      <c r="A52" s="6" t="s">
        <v>21</v>
      </c>
      <c r="B52" s="5">
        <v>21031987</v>
      </c>
      <c r="C52" s="6">
        <f ca="1">IF(DIGITAÇÃO[[#This Row],[DATA DE NASC.]]="","",INT(( TODAY() - TEXT(DIGITAÇÃO[[#This Row],[DATA DE NASC.]],"00\/00\/0000")) /365.25))</f>
        <v>34</v>
      </c>
      <c r="D52" s="11">
        <f>IF(DIGITAÇÃO[[#This Row],[PROFISSIONAL]]="","",VLOOKUP(DIGITAÇÃO[[#This Row],[PROFISSIONAL]],LISTA_PROCED[],2,0))</f>
        <v>301010072</v>
      </c>
      <c r="E52" s="6">
        <f>IF(DIGITAÇÃO[[#This Row],[PROFISSIONAL]]="","", VLOOKUP(DIGITAÇÃO[[#This Row],[PROFISSIONAL]],LISTA_PROCED[],3,0))</f>
        <v>225112</v>
      </c>
    </row>
    <row r="53" spans="1:5" x14ac:dyDescent="0.35">
      <c r="A53" s="6" t="s">
        <v>21</v>
      </c>
      <c r="B53" s="5">
        <v>9041988</v>
      </c>
      <c r="C53" s="6">
        <f ca="1">IF(DIGITAÇÃO[[#This Row],[DATA DE NASC.]]="","",INT(( TODAY() - TEXT(DIGITAÇÃO[[#This Row],[DATA DE NASC.]],"00\/00\/0000")) /365.25))</f>
        <v>33</v>
      </c>
      <c r="D53" s="11">
        <f>IF(DIGITAÇÃO[[#This Row],[PROFISSIONAL]]="","",VLOOKUP(DIGITAÇÃO[[#This Row],[PROFISSIONAL]],LISTA_PROCED[],2,0))</f>
        <v>301010072</v>
      </c>
      <c r="E53" s="6">
        <f>IF(DIGITAÇÃO[[#This Row],[PROFISSIONAL]]="","", VLOOKUP(DIGITAÇÃO[[#This Row],[PROFISSIONAL]],LISTA_PROCED[],3,0))</f>
        <v>225112</v>
      </c>
    </row>
    <row r="54" spans="1:5" x14ac:dyDescent="0.35">
      <c r="A54" s="6" t="s">
        <v>21</v>
      </c>
      <c r="B54" s="5">
        <v>3121999</v>
      </c>
      <c r="C54" s="6">
        <f ca="1">IF(DIGITAÇÃO[[#This Row],[DATA DE NASC.]]="","",INT(( TODAY() - TEXT(DIGITAÇÃO[[#This Row],[DATA DE NASC.]],"00\/00\/0000")) /365.25))</f>
        <v>21</v>
      </c>
      <c r="D54" s="11">
        <f>IF(DIGITAÇÃO[[#This Row],[PROFISSIONAL]]="","",VLOOKUP(DIGITAÇÃO[[#This Row],[PROFISSIONAL]],LISTA_PROCED[],2,0))</f>
        <v>301010072</v>
      </c>
      <c r="E54" s="6">
        <f>IF(DIGITAÇÃO[[#This Row],[PROFISSIONAL]]="","", VLOOKUP(DIGITAÇÃO[[#This Row],[PROFISSIONAL]],LISTA_PROCED[],3,0))</f>
        <v>225112</v>
      </c>
    </row>
    <row r="55" spans="1:5" x14ac:dyDescent="0.35">
      <c r="A55" s="6" t="s">
        <v>21</v>
      </c>
      <c r="B55" s="5">
        <v>21031987</v>
      </c>
      <c r="C55" s="6">
        <f ca="1">IF(DIGITAÇÃO[[#This Row],[DATA DE NASC.]]="","",INT(( TODAY() - TEXT(DIGITAÇÃO[[#This Row],[DATA DE NASC.]],"00\/00\/0000")) /365.25))</f>
        <v>34</v>
      </c>
      <c r="D55" s="11">
        <f>IF(DIGITAÇÃO[[#This Row],[PROFISSIONAL]]="","",VLOOKUP(DIGITAÇÃO[[#This Row],[PROFISSIONAL]],LISTA_PROCED[],2,0))</f>
        <v>301010072</v>
      </c>
      <c r="E55" s="6">
        <f>IF(DIGITAÇÃO[[#This Row],[PROFISSIONAL]]="","", VLOOKUP(DIGITAÇÃO[[#This Row],[PROFISSIONAL]],LISTA_PROCED[],3,0))</f>
        <v>225112</v>
      </c>
    </row>
    <row r="56" spans="1:5" x14ac:dyDescent="0.35">
      <c r="A56" s="6" t="s">
        <v>18</v>
      </c>
      <c r="B56" s="5">
        <v>1041994</v>
      </c>
      <c r="C56" s="6">
        <f ca="1">IF(DIGITAÇÃO[[#This Row],[DATA DE NASC.]]="","",INT(( TODAY() - TEXT(DIGITAÇÃO[[#This Row],[DATA DE NASC.]],"00\/00\/0000")) /365.25))</f>
        <v>27</v>
      </c>
      <c r="D56" s="11">
        <f>IF(DIGITAÇÃO[[#This Row],[PROFISSIONAL]]="","",VLOOKUP(DIGITAÇÃO[[#This Row],[PROFISSIONAL]],LISTA_PROCED[],2,0))</f>
        <v>301010110</v>
      </c>
      <c r="E56" s="6">
        <f>IF(DIGITAÇÃO[[#This Row],[PROFISSIONAL]]="","", VLOOKUP(DIGITAÇÃO[[#This Row],[PROFISSIONAL]],LISTA_PROCED[],3,0))</f>
        <v>225250</v>
      </c>
    </row>
    <row r="57" spans="1:5" x14ac:dyDescent="0.35">
      <c r="A57" s="6" t="s">
        <v>18</v>
      </c>
      <c r="B57" s="5">
        <v>3122009</v>
      </c>
      <c r="C57" s="6">
        <f ca="1">IF(DIGITAÇÃO[[#This Row],[DATA DE NASC.]]="","",INT(( TODAY() - TEXT(DIGITAÇÃO[[#This Row],[DATA DE NASC.]],"00\/00\/0000")) /365.25))</f>
        <v>11</v>
      </c>
      <c r="D57" s="11">
        <f>IF(DIGITAÇÃO[[#This Row],[PROFISSIONAL]]="","",VLOOKUP(DIGITAÇÃO[[#This Row],[PROFISSIONAL]],LISTA_PROCED[],2,0))</f>
        <v>301010110</v>
      </c>
      <c r="E57" s="6">
        <f>IF(DIGITAÇÃO[[#This Row],[PROFISSIONAL]]="","", VLOOKUP(DIGITAÇÃO[[#This Row],[PROFISSIONAL]],LISTA_PROCED[],3,0))</f>
        <v>225250</v>
      </c>
    </row>
    <row r="58" spans="1:5" x14ac:dyDescent="0.35">
      <c r="A58" s="6" t="s">
        <v>16</v>
      </c>
      <c r="B58" s="5">
        <v>8021973</v>
      </c>
      <c r="C58" s="6">
        <f ca="1">IF(DIGITAÇÃO[[#This Row],[DATA DE NASC.]]="","",INT(( TODAY() - TEXT(DIGITAÇÃO[[#This Row],[DATA DE NASC.]],"00\/00\/0000")) /365.25))</f>
        <v>48</v>
      </c>
      <c r="D58" s="11">
        <f>IF(DIGITAÇÃO[[#This Row],[PROFISSIONAL]]="","",VLOOKUP(DIGITAÇÃO[[#This Row],[PROFISSIONAL]],LISTA_PROCED[],2,0))</f>
        <v>301010064</v>
      </c>
      <c r="E58" s="6">
        <f>IF(DIGITAÇÃO[[#This Row],[PROFISSIONAL]]="","", VLOOKUP(DIGITAÇÃO[[#This Row],[PROFISSIONAL]],LISTA_PROCED[],3,0))</f>
        <v>225250</v>
      </c>
    </row>
    <row r="59" spans="1:5" x14ac:dyDescent="0.35">
      <c r="A59" s="6" t="s">
        <v>16</v>
      </c>
      <c r="B59" s="5">
        <v>22102006</v>
      </c>
      <c r="C59" s="6">
        <f ca="1">IF(DIGITAÇÃO[[#This Row],[DATA DE NASC.]]="","",INT(( TODAY() - TEXT(DIGITAÇÃO[[#This Row],[DATA DE NASC.]],"00\/00\/0000")) /365.25))</f>
        <v>14</v>
      </c>
      <c r="D59" s="11">
        <f>IF(DIGITAÇÃO[[#This Row],[PROFISSIONAL]]="","",VLOOKUP(DIGITAÇÃO[[#This Row],[PROFISSIONAL]],LISTA_PROCED[],2,0))</f>
        <v>301010064</v>
      </c>
      <c r="E59" s="6">
        <f>IF(DIGITAÇÃO[[#This Row],[PROFISSIONAL]]="","", VLOOKUP(DIGITAÇÃO[[#This Row],[PROFISSIONAL]],LISTA_PROCED[],3,0))</f>
        <v>225250</v>
      </c>
    </row>
    <row r="60" spans="1:5" x14ac:dyDescent="0.35">
      <c r="A60" s="6" t="s">
        <v>16</v>
      </c>
      <c r="B60" s="5">
        <v>17041973</v>
      </c>
      <c r="C60" s="6">
        <f ca="1">IF(DIGITAÇÃO[[#This Row],[DATA DE NASC.]]="","",INT(( TODAY() - TEXT(DIGITAÇÃO[[#This Row],[DATA DE NASC.]],"00\/00\/0000")) /365.25))</f>
        <v>48</v>
      </c>
      <c r="D60" s="11">
        <f>IF(DIGITAÇÃO[[#This Row],[PROFISSIONAL]]="","",VLOOKUP(DIGITAÇÃO[[#This Row],[PROFISSIONAL]],LISTA_PROCED[],2,0))</f>
        <v>301010064</v>
      </c>
      <c r="E60" s="6">
        <f>IF(DIGITAÇÃO[[#This Row],[PROFISSIONAL]]="","", VLOOKUP(DIGITAÇÃO[[#This Row],[PROFISSIONAL]],LISTA_PROCED[],3,0))</f>
        <v>225250</v>
      </c>
    </row>
    <row r="61" spans="1:5" x14ac:dyDescent="0.35">
      <c r="A61" s="6" t="s">
        <v>16</v>
      </c>
      <c r="B61" s="5">
        <v>23061998</v>
      </c>
      <c r="C61" s="6">
        <f ca="1">IF(DIGITAÇÃO[[#This Row],[DATA DE NASC.]]="","",INT(( TODAY() - TEXT(DIGITAÇÃO[[#This Row],[DATA DE NASC.]],"00\/00\/0000")) /365.25))</f>
        <v>23</v>
      </c>
      <c r="D61" s="11">
        <f>IF(DIGITAÇÃO[[#This Row],[PROFISSIONAL]]="","",VLOOKUP(DIGITAÇÃO[[#This Row],[PROFISSIONAL]],LISTA_PROCED[],2,0))</f>
        <v>301010064</v>
      </c>
      <c r="E61" s="6">
        <f>IF(DIGITAÇÃO[[#This Row],[PROFISSIONAL]]="","", VLOOKUP(DIGITAÇÃO[[#This Row],[PROFISSIONAL]],LISTA_PROCED[],3,0))</f>
        <v>225250</v>
      </c>
    </row>
    <row r="62" spans="1:5" x14ac:dyDescent="0.35">
      <c r="A62" s="6" t="s">
        <v>16</v>
      </c>
      <c r="B62" s="5">
        <v>19111949</v>
      </c>
      <c r="C62" s="6">
        <f ca="1">IF(DIGITAÇÃO[[#This Row],[DATA DE NASC.]]="","",INT(( TODAY() - TEXT(DIGITAÇÃO[[#This Row],[DATA DE NASC.]],"00\/00\/0000")) /365.25))</f>
        <v>71</v>
      </c>
      <c r="D62" s="11">
        <f>IF(DIGITAÇÃO[[#This Row],[PROFISSIONAL]]="","",VLOOKUP(DIGITAÇÃO[[#This Row],[PROFISSIONAL]],LISTA_PROCED[],2,0))</f>
        <v>301010064</v>
      </c>
      <c r="E62" s="6">
        <f>IF(DIGITAÇÃO[[#This Row],[PROFISSIONAL]]="","", VLOOKUP(DIGITAÇÃO[[#This Row],[PROFISSIONAL]],LISTA_PROCED[],3,0))</f>
        <v>225250</v>
      </c>
    </row>
    <row r="63" spans="1:5" x14ac:dyDescent="0.35">
      <c r="A63" s="6" t="s">
        <v>16</v>
      </c>
      <c r="B63" s="5">
        <v>18031999</v>
      </c>
      <c r="C63" s="6">
        <f ca="1">IF(DIGITAÇÃO[[#This Row],[DATA DE NASC.]]="","",INT(( TODAY() - TEXT(DIGITAÇÃO[[#This Row],[DATA DE NASC.]],"00\/00\/0000")) /365.25))</f>
        <v>22</v>
      </c>
      <c r="D63" s="11">
        <f>IF(DIGITAÇÃO[[#This Row],[PROFISSIONAL]]="","",VLOOKUP(DIGITAÇÃO[[#This Row],[PROFISSIONAL]],LISTA_PROCED[],2,0))</f>
        <v>301010064</v>
      </c>
      <c r="E63" s="6">
        <f>IF(DIGITAÇÃO[[#This Row],[PROFISSIONAL]]="","", VLOOKUP(DIGITAÇÃO[[#This Row],[PROFISSIONAL]],LISTA_PROCED[],3,0))</f>
        <v>225250</v>
      </c>
    </row>
    <row r="64" spans="1:5" x14ac:dyDescent="0.35">
      <c r="A64" s="6" t="s">
        <v>16</v>
      </c>
      <c r="B64" s="5">
        <v>16061982</v>
      </c>
      <c r="C64" s="6">
        <f ca="1">IF(DIGITAÇÃO[[#This Row],[DATA DE NASC.]]="","",INT(( TODAY() - TEXT(DIGITAÇÃO[[#This Row],[DATA DE NASC.]],"00\/00\/0000")) /365.25))</f>
        <v>39</v>
      </c>
      <c r="D64" s="11">
        <f>IF(DIGITAÇÃO[[#This Row],[PROFISSIONAL]]="","",VLOOKUP(DIGITAÇÃO[[#This Row],[PROFISSIONAL]],LISTA_PROCED[],2,0))</f>
        <v>301010064</v>
      </c>
      <c r="E64" s="6">
        <f>IF(DIGITAÇÃO[[#This Row],[PROFISSIONAL]]="","", VLOOKUP(DIGITAÇÃO[[#This Row],[PROFISSIONAL]],LISTA_PROCED[],3,0))</f>
        <v>225250</v>
      </c>
    </row>
    <row r="65" spans="1:5" x14ac:dyDescent="0.35">
      <c r="A65" s="6" t="s">
        <v>16</v>
      </c>
      <c r="B65" s="5">
        <v>24051961</v>
      </c>
      <c r="C65" s="6">
        <f ca="1">IF(DIGITAÇÃO[[#This Row],[DATA DE NASC.]]="","",INT(( TODAY() - TEXT(DIGITAÇÃO[[#This Row],[DATA DE NASC.]],"00\/00\/0000")) /365.25))</f>
        <v>60</v>
      </c>
      <c r="D65" s="11">
        <f>IF(DIGITAÇÃO[[#This Row],[PROFISSIONAL]]="","",VLOOKUP(DIGITAÇÃO[[#This Row],[PROFISSIONAL]],LISTA_PROCED[],2,0))</f>
        <v>301010064</v>
      </c>
      <c r="E65" s="6">
        <f>IF(DIGITAÇÃO[[#This Row],[PROFISSIONAL]]="","", VLOOKUP(DIGITAÇÃO[[#This Row],[PROFISSIONAL]],LISTA_PROCED[],3,0))</f>
        <v>225250</v>
      </c>
    </row>
  </sheetData>
  <dataValidations count="1">
    <dataValidation type="list" allowBlank="1" showInputMessage="1" showErrorMessage="1" sqref="A6:A65" xr:uid="{00000000-0002-0000-0100-000000000000}">
      <formula1>PROFISSIONAL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Listas">
    <tabColor theme="4" tint="-0.499984740745262"/>
  </sheetPr>
  <dimension ref="A1:D26"/>
  <sheetViews>
    <sheetView showGridLines="0" workbookViewId="0"/>
  </sheetViews>
  <sheetFormatPr defaultColWidth="9.1796875" defaultRowHeight="14.5" x14ac:dyDescent="0.35"/>
  <cols>
    <col min="1" max="1" width="43.26953125" style="1" bestFit="1" customWidth="1"/>
    <col min="2" max="2" width="16.81640625" style="1" bestFit="1" customWidth="1"/>
    <col min="3" max="3" width="32.81640625" style="1" bestFit="1" customWidth="1"/>
    <col min="4" max="4" width="29" style="1" bestFit="1" customWidth="1"/>
    <col min="5" max="5" width="24.453125" style="1" bestFit="1" customWidth="1"/>
    <col min="6" max="16384" width="9.1796875" style="1"/>
  </cols>
  <sheetData>
    <row r="1" spans="1:4" x14ac:dyDescent="0.35">
      <c r="A1" s="8" t="s">
        <v>24</v>
      </c>
      <c r="B1" s="2" t="s">
        <v>0</v>
      </c>
      <c r="C1" s="2" t="s">
        <v>1</v>
      </c>
      <c r="D1" s="2" t="s">
        <v>23</v>
      </c>
    </row>
    <row r="2" spans="1:4" x14ac:dyDescent="0.35">
      <c r="A2" s="7" t="s">
        <v>19</v>
      </c>
      <c r="B2" s="12">
        <v>301010064</v>
      </c>
      <c r="C2" s="1">
        <v>225125</v>
      </c>
      <c r="D2" s="1">
        <f>COUNTIF(DIGITAÇÃO[PROFISSIONAL],LISTA_PROCED[[#This Row],[PROFISSIONAL]])</f>
        <v>10</v>
      </c>
    </row>
    <row r="3" spans="1:4" x14ac:dyDescent="0.35">
      <c r="A3" s="7" t="s">
        <v>3</v>
      </c>
      <c r="B3" s="12">
        <v>301010030</v>
      </c>
      <c r="C3" s="1">
        <v>223505</v>
      </c>
      <c r="D3" s="1">
        <f>COUNTIF(DIGITAÇÃO[PROFISSIONAL],LISTA_PROCED[[#This Row],[PROFISSIONAL]])</f>
        <v>0</v>
      </c>
    </row>
    <row r="4" spans="1:4" x14ac:dyDescent="0.35">
      <c r="A4" s="7" t="s">
        <v>4</v>
      </c>
      <c r="B4" s="12">
        <v>301010030</v>
      </c>
      <c r="C4" s="1">
        <v>223565</v>
      </c>
      <c r="D4" s="1">
        <f>COUNTIF(DIGITAÇÃO[PROFISSIONAL],LISTA_PROCED[[#This Row],[PROFISSIONAL]])</f>
        <v>0</v>
      </c>
    </row>
    <row r="5" spans="1:4" x14ac:dyDescent="0.35">
      <c r="A5" s="7" t="s">
        <v>12</v>
      </c>
      <c r="B5" s="12">
        <v>301010048</v>
      </c>
      <c r="C5" s="1">
        <v>223810</v>
      </c>
      <c r="D5" s="1">
        <f>COUNTIF(DIGITAÇÃO[PROFISSIONAL],LISTA_PROCED[[#This Row],[PROFISSIONAL]])</f>
        <v>0</v>
      </c>
    </row>
    <row r="6" spans="1:4" x14ac:dyDescent="0.35">
      <c r="A6" s="7" t="s">
        <v>16</v>
      </c>
      <c r="B6" s="12">
        <v>301010064</v>
      </c>
      <c r="C6" s="1">
        <v>225250</v>
      </c>
      <c r="D6" s="1">
        <f>COUNTIF(DIGITAÇÃO[PROFISSIONAL],LISTA_PROCED[[#This Row],[PROFISSIONAL]])</f>
        <v>8</v>
      </c>
    </row>
    <row r="7" spans="1:4" x14ac:dyDescent="0.35">
      <c r="A7" s="7" t="s">
        <v>30</v>
      </c>
      <c r="B7" s="12">
        <v>301010064</v>
      </c>
      <c r="C7" s="1">
        <v>225142</v>
      </c>
      <c r="D7" s="1">
        <f>COUNTIF(DIGITAÇÃO[PROFISSIONAL],LISTA_PROCED[[#This Row],[PROFISSIONAL]])</f>
        <v>0</v>
      </c>
    </row>
    <row r="8" spans="1:4" x14ac:dyDescent="0.35">
      <c r="A8" s="7" t="s">
        <v>31</v>
      </c>
      <c r="B8" s="12">
        <v>301010110</v>
      </c>
      <c r="C8" s="1">
        <v>225142</v>
      </c>
      <c r="D8" s="1">
        <f>COUNTIF(DIGITAÇÃO[PROFISSIONAL],LISTA_PROCED[[#This Row],[PROFISSIONAL]])</f>
        <v>5</v>
      </c>
    </row>
    <row r="9" spans="1:4" x14ac:dyDescent="0.35">
      <c r="A9" s="7" t="s">
        <v>32</v>
      </c>
      <c r="B9" s="12">
        <v>301010080</v>
      </c>
      <c r="C9" s="1">
        <v>225142</v>
      </c>
      <c r="D9" s="1">
        <f>COUNTIF(DIGITAÇÃO[PROFISSIONAL],LISTA_PROCED[[#This Row],[PROFISSIONAL]])</f>
        <v>24</v>
      </c>
    </row>
    <row r="10" spans="1:4" x14ac:dyDescent="0.35">
      <c r="A10" s="7" t="s">
        <v>33</v>
      </c>
      <c r="B10" s="12">
        <v>301010129</v>
      </c>
      <c r="C10" s="1">
        <v>225142</v>
      </c>
      <c r="D10" s="1">
        <f>COUNTIF(DIGITAÇÃO[PROFISSIONAL],LISTA_PROCED[[#This Row],[PROFISSIONAL]])</f>
        <v>0</v>
      </c>
    </row>
    <row r="11" spans="1:4" x14ac:dyDescent="0.35">
      <c r="A11" s="7" t="s">
        <v>21</v>
      </c>
      <c r="B11" s="12">
        <v>301010072</v>
      </c>
      <c r="C11" s="1">
        <v>225112</v>
      </c>
      <c r="D11" s="1">
        <f>COUNTIF(DIGITAÇÃO[PROFISSIONAL],LISTA_PROCED[[#This Row],[PROFISSIONAL]])</f>
        <v>11</v>
      </c>
    </row>
    <row r="12" spans="1:4" x14ac:dyDescent="0.35">
      <c r="A12" s="7" t="s">
        <v>20</v>
      </c>
      <c r="B12" s="12">
        <v>301010030</v>
      </c>
      <c r="C12" s="1">
        <v>223710</v>
      </c>
      <c r="D12" s="1">
        <f>COUNTIF(DIGITAÇÃO[PROFISSIONAL],LISTA_PROCED[[#This Row],[PROFISSIONAL]])</f>
        <v>0</v>
      </c>
    </row>
    <row r="13" spans="1:4" x14ac:dyDescent="0.35">
      <c r="A13" s="7" t="s">
        <v>22</v>
      </c>
      <c r="B13" s="12">
        <v>301020500</v>
      </c>
      <c r="C13" s="1">
        <v>223208</v>
      </c>
      <c r="D13" s="1">
        <f>COUNTIF(DIGITAÇÃO[PROFISSIONAL],LISTA_PROCED[[#This Row],[PROFISSIONAL]])</f>
        <v>0</v>
      </c>
    </row>
    <row r="14" spans="1:4" x14ac:dyDescent="0.35">
      <c r="A14" s="7" t="s">
        <v>14</v>
      </c>
      <c r="B14" s="12">
        <v>301010064</v>
      </c>
      <c r="C14" s="1">
        <v>225124</v>
      </c>
      <c r="D14" s="1">
        <f>COUNTIF(DIGITAÇÃO[PROFISSIONAL],LISTA_PROCED[[#This Row],[PROFISSIONAL]])</f>
        <v>0</v>
      </c>
    </row>
    <row r="15" spans="1:4" x14ac:dyDescent="0.35">
      <c r="A15" s="7" t="s">
        <v>18</v>
      </c>
      <c r="B15" s="12">
        <v>301010110</v>
      </c>
      <c r="C15" s="1">
        <v>225250</v>
      </c>
      <c r="D15" s="1">
        <f>COUNTIF(DIGITAÇÃO[PROFISSIONAL],LISTA_PROCED[[#This Row],[PROFISSIONAL]])</f>
        <v>2</v>
      </c>
    </row>
    <row r="16" spans="1:4" x14ac:dyDescent="0.35">
      <c r="A16" s="7" t="s">
        <v>5</v>
      </c>
      <c r="B16" s="12">
        <v>301010110</v>
      </c>
      <c r="C16" s="1">
        <v>223505</v>
      </c>
      <c r="D16" s="1">
        <f>COUNTIF(DIGITAÇÃO[PROFISSIONAL],LISTA_PROCED[[#This Row],[PROFISSIONAL]])</f>
        <v>0</v>
      </c>
    </row>
    <row r="17" spans="1:4" x14ac:dyDescent="0.35">
      <c r="A17" s="7" t="s">
        <v>6</v>
      </c>
      <c r="B17" s="12">
        <v>301010110</v>
      </c>
      <c r="C17" s="1">
        <v>223565</v>
      </c>
      <c r="D17" s="1">
        <f>COUNTIF(DIGITAÇÃO[PROFISSIONAL],LISTA_PROCED[[#This Row],[PROFISSIONAL]])</f>
        <v>0</v>
      </c>
    </row>
    <row r="18" spans="1:4" x14ac:dyDescent="0.35">
      <c r="A18" s="7" t="s">
        <v>13</v>
      </c>
      <c r="B18" s="12">
        <v>301010048</v>
      </c>
      <c r="C18" s="1">
        <v>251510</v>
      </c>
      <c r="D18" s="1">
        <f>COUNTIF(DIGITAÇÃO[PROFISSIONAL],LISTA_PROCED[[#This Row],[PROFISSIONAL]])</f>
        <v>0</v>
      </c>
    </row>
    <row r="19" spans="1:4" x14ac:dyDescent="0.35">
      <c r="A19" s="7" t="s">
        <v>11</v>
      </c>
      <c r="B19" s="12">
        <v>301010072</v>
      </c>
      <c r="C19" s="1">
        <v>225133</v>
      </c>
      <c r="D19" s="1">
        <f>COUNTIF(DIGITAÇÃO[PROFISSIONAL],LISTA_PROCED[[#This Row],[PROFISSIONAL]])</f>
        <v>0</v>
      </c>
    </row>
    <row r="20" spans="1:4" x14ac:dyDescent="0.35">
      <c r="A20" s="7" t="s">
        <v>9</v>
      </c>
      <c r="B20" s="12">
        <v>301010080</v>
      </c>
      <c r="C20" s="1">
        <v>223505</v>
      </c>
      <c r="D20" s="1">
        <f>COUNTIF(DIGITAÇÃO[PROFISSIONAL],LISTA_PROCED[[#This Row],[PROFISSIONAL]])</f>
        <v>0</v>
      </c>
    </row>
    <row r="21" spans="1:4" x14ac:dyDescent="0.35">
      <c r="A21" s="7" t="s">
        <v>10</v>
      </c>
      <c r="B21" s="12">
        <v>301010080</v>
      </c>
      <c r="C21" s="1">
        <v>223565</v>
      </c>
      <c r="D21" s="1">
        <f>COUNTIF(DIGITAÇÃO[PROFISSIONAL],LISTA_PROCED[[#This Row],[PROFISSIONAL]])</f>
        <v>0</v>
      </c>
    </row>
    <row r="22" spans="1:4" x14ac:dyDescent="0.35">
      <c r="A22" s="7" t="s">
        <v>15</v>
      </c>
      <c r="B22" s="12">
        <v>301010080</v>
      </c>
      <c r="C22" s="1">
        <v>225124</v>
      </c>
      <c r="D22" s="1">
        <f>COUNTIF(DIGITAÇÃO[PROFISSIONAL],LISTA_PROCED[[#This Row],[PROFISSIONAL]])</f>
        <v>0</v>
      </c>
    </row>
    <row r="23" spans="1:4" x14ac:dyDescent="0.35">
      <c r="A23" s="7" t="s">
        <v>7</v>
      </c>
      <c r="B23" s="12">
        <v>301010129</v>
      </c>
      <c r="C23" s="1">
        <v>223505</v>
      </c>
      <c r="D23" s="1">
        <f>COUNTIF(DIGITAÇÃO[PROFISSIONAL],LISTA_PROCED[[#This Row],[PROFISSIONAL]])</f>
        <v>0</v>
      </c>
    </row>
    <row r="24" spans="1:4" x14ac:dyDescent="0.35">
      <c r="A24" s="7" t="s">
        <v>8</v>
      </c>
      <c r="B24" s="12">
        <v>301010129</v>
      </c>
      <c r="C24" s="1">
        <v>223565</v>
      </c>
      <c r="D24" s="1">
        <f>COUNTIF(DIGITAÇÃO[PROFISSIONAL],LISTA_PROCED[[#This Row],[PROFISSIONAL]])</f>
        <v>0</v>
      </c>
    </row>
    <row r="25" spans="1:4" x14ac:dyDescent="0.35">
      <c r="A25" s="7" t="s">
        <v>17</v>
      </c>
      <c r="B25" s="12">
        <v>301010129</v>
      </c>
      <c r="C25" s="1">
        <v>225250</v>
      </c>
      <c r="D25" s="1">
        <f>COUNTIF(DIGITAÇÃO[PROFISSIONAL],LISTA_PROCED[[#This Row],[PROFISSIONAL]])</f>
        <v>0</v>
      </c>
    </row>
    <row r="26" spans="1:4" x14ac:dyDescent="0.35">
      <c r="A26" s="7"/>
      <c r="B26" s="12"/>
      <c r="D26" s="10">
        <f>SUBTOTAL(109,LISTA_PROCED[TOTAL DE ATENDIMENTOS])</f>
        <v>60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RELATÓRIO</vt:lpstr>
      <vt:lpstr>DIGITAÇÃO</vt:lpstr>
      <vt:lpstr>LISTA_PROCED</vt:lpstr>
      <vt:lpstr>PROFISSIONAL</vt:lpstr>
      <vt:lpstr>TIPO_CONSULTA</vt:lpstr>
      <vt:lpstr>RELATÓRIO!Titulos_de_impressao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Junior&amp;Cris</dc:creator>
  <cp:lastModifiedBy>Ivanildo Barauna</cp:lastModifiedBy>
  <cp:lastPrinted>2017-09-14T02:53:36Z</cp:lastPrinted>
  <dcterms:created xsi:type="dcterms:W3CDTF">2016-11-20T21:24:54Z</dcterms:created>
  <dcterms:modified xsi:type="dcterms:W3CDTF">2021-09-23T01:58:40Z</dcterms:modified>
</cp:coreProperties>
</file>