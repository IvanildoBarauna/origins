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9031" codeName="{320AAD7A-AEEB-3B57-35EE-6C7AAB037B02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Junior&amp;Cris\Desktop\FórumFiles\"/>
    </mc:Choice>
  </mc:AlternateContent>
  <bookViews>
    <workbookView xWindow="0" yWindow="0" windowWidth="20490" windowHeight="6960" activeTab="2" xr2:uid="{00000000-000D-0000-FFFF-FFFF00000000}"/>
  </bookViews>
  <sheets>
    <sheet name="MaputoBundle7" sheetId="9" r:id="rId1"/>
    <sheet name="Maputo Bundle6" sheetId="8" r:id="rId2"/>
    <sheet name="Beira" sheetId="3" r:id="rId3"/>
  </sheets>
  <externalReferences>
    <externalReference r:id="rId4"/>
  </externalReferences>
  <definedNames>
    <definedName name="_xlnm._FilterDatabase" localSheetId="1" hidden="1">'Maputo Bundle6'!#REF!</definedName>
    <definedName name="_xlnm._FilterDatabase" localSheetId="0" hidden="1">MaputoBundle7!$C$3:$K$3</definedName>
    <definedName name="CONTROLE">Beira!$C$4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1" i="3" l="1"/>
  <c r="C156" i="3" l="1"/>
  <c r="C163" i="3" s="1"/>
  <c r="C170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Ichade Veterano</author>
  </authors>
  <commentList>
    <comment ref="D86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Ichade Veterano
Finance</t>
        </r>
      </text>
    </comment>
  </commentList>
</comments>
</file>

<file path=xl/sharedStrings.xml><?xml version="1.0" encoding="utf-8"?>
<sst xmlns="http://schemas.openxmlformats.org/spreadsheetml/2006/main" count="333" uniqueCount="143">
  <si>
    <t>ITEM</t>
  </si>
  <si>
    <t>Asset</t>
  </si>
  <si>
    <t>Make</t>
  </si>
  <si>
    <t>Model</t>
  </si>
  <si>
    <t>QTY</t>
  </si>
  <si>
    <t>S/N:</t>
  </si>
  <si>
    <t>Status</t>
  </si>
  <si>
    <t>Proposal Value</t>
  </si>
  <si>
    <t>Additional Itens</t>
  </si>
  <si>
    <t>DELL</t>
  </si>
  <si>
    <t>Operacional</t>
  </si>
  <si>
    <t>Bundle 2</t>
  </si>
  <si>
    <t>Bundle 3</t>
  </si>
  <si>
    <t>PC</t>
  </si>
  <si>
    <t>N/A</t>
  </si>
  <si>
    <t>Bundle 4</t>
  </si>
  <si>
    <t>Printer</t>
  </si>
  <si>
    <t>HP</t>
  </si>
  <si>
    <t>Deskjet 6943</t>
  </si>
  <si>
    <t xml:space="preserve">HP </t>
  </si>
  <si>
    <t>PBX</t>
  </si>
  <si>
    <t>Siemens</t>
  </si>
  <si>
    <t>Bundle 6</t>
  </si>
  <si>
    <t>Scanner</t>
  </si>
  <si>
    <t>Scanjet</t>
  </si>
  <si>
    <t>CN12RA611H</t>
  </si>
  <si>
    <t>1 UPS + 2 Colunas + 1 Modem</t>
  </si>
  <si>
    <t>CN9CU151C7</t>
  </si>
  <si>
    <t>1 Maquina de Contar Dinheiro + 2 Cameras</t>
  </si>
  <si>
    <t>Optiplex 780</t>
  </si>
  <si>
    <t>3YW325J</t>
  </si>
  <si>
    <t>Não Operacional</t>
  </si>
  <si>
    <t>3 Pcs + 1 Teclado</t>
  </si>
  <si>
    <t>F2X325J</t>
  </si>
  <si>
    <t>5DLTW4J</t>
  </si>
  <si>
    <t>BYW325J</t>
  </si>
  <si>
    <t>6ZW325J</t>
  </si>
  <si>
    <t>H1X325J</t>
  </si>
  <si>
    <t>2 Laptops + 2 Teclados</t>
  </si>
  <si>
    <t>DYW325J</t>
  </si>
  <si>
    <t>1 Laptop + 1 Monitor + 1 Teclado</t>
  </si>
  <si>
    <t>JXW325J</t>
  </si>
  <si>
    <t>1 Monitor + 1 Laptop + 1 Teclado</t>
  </si>
  <si>
    <t>3XW325J</t>
  </si>
  <si>
    <t>1.1.1</t>
  </si>
  <si>
    <t>1.1.2</t>
  </si>
  <si>
    <t>1.1.3</t>
  </si>
  <si>
    <t>1.1.4</t>
  </si>
  <si>
    <t>1.1.5</t>
  </si>
  <si>
    <t>1.1.6</t>
  </si>
  <si>
    <t>1.1.7</t>
  </si>
  <si>
    <t>1.1.8</t>
  </si>
  <si>
    <t>1.1.9</t>
  </si>
  <si>
    <t>1.1.10</t>
  </si>
  <si>
    <t>1.1.11</t>
  </si>
  <si>
    <t>1.1.12</t>
  </si>
  <si>
    <t>1.1.13</t>
  </si>
  <si>
    <t>1.1.14</t>
  </si>
  <si>
    <t>1.1.15</t>
  </si>
  <si>
    <t>1.1.16</t>
  </si>
  <si>
    <t>1.1.17</t>
  </si>
  <si>
    <t>1.1.18</t>
  </si>
  <si>
    <t>1.1.19</t>
  </si>
  <si>
    <t>1.1.20</t>
  </si>
  <si>
    <t>1.1.21</t>
  </si>
  <si>
    <t>1.1.22</t>
  </si>
  <si>
    <t>1.1.23</t>
  </si>
  <si>
    <t>1.1.24</t>
  </si>
  <si>
    <t>1.1.25</t>
  </si>
  <si>
    <t>1.1.26</t>
  </si>
  <si>
    <t>Description</t>
  </si>
  <si>
    <t>Serial number</t>
  </si>
  <si>
    <t>Asset status</t>
  </si>
  <si>
    <t>Laserjet P2055dn</t>
  </si>
  <si>
    <t>CNCK831013</t>
  </si>
  <si>
    <t>ACTIVE</t>
  </si>
  <si>
    <t>HP Laserjet 400 Color M451dn</t>
  </si>
  <si>
    <t>CNFF217741</t>
  </si>
  <si>
    <t>Enterprise M725</t>
  </si>
  <si>
    <t>CNCVGB616H</t>
  </si>
  <si>
    <t>CNCKJ26618</t>
  </si>
  <si>
    <t>MY7B7BSB8</t>
  </si>
  <si>
    <t>Officejet 6500</t>
  </si>
  <si>
    <t>MY995360DM</t>
  </si>
  <si>
    <t>Officejet 7000</t>
  </si>
  <si>
    <t>MY985110R9</t>
  </si>
  <si>
    <t>CNCKH92443</t>
  </si>
  <si>
    <t>CNCKK19236</t>
  </si>
  <si>
    <t>Officejet Pro X576dw</t>
  </si>
  <si>
    <t>CN512JK0JP</t>
  </si>
  <si>
    <t>Laserjet P3015</t>
  </si>
  <si>
    <t>VNBVBBLGTV</t>
  </si>
  <si>
    <t>Laserjet P2015n</t>
  </si>
  <si>
    <t>CNBW85N5KX</t>
  </si>
  <si>
    <t>Laserjet P2055n</t>
  </si>
  <si>
    <t>CNCKJ26535</t>
  </si>
  <si>
    <t>CNCK831002</t>
  </si>
  <si>
    <t>Laserjet PRO 400</t>
  </si>
  <si>
    <t>PHKGD11771</t>
  </si>
  <si>
    <t>CNC1793553</t>
  </si>
  <si>
    <t>CNC1793238</t>
  </si>
  <si>
    <t>CNC1790845</t>
  </si>
  <si>
    <t>Laserjet MFP M225</t>
  </si>
  <si>
    <t>CNB9GD7KCS</t>
  </si>
  <si>
    <t>CNCVGDX105</t>
  </si>
  <si>
    <t>Enterprise 500</t>
  </si>
  <si>
    <t>CNCXF1F18R</t>
  </si>
  <si>
    <t>Laserjet P1606dn</t>
  </si>
  <si>
    <t>VNC4L12513</t>
  </si>
  <si>
    <t>VNC3401684</t>
  </si>
  <si>
    <t>Laserjet P2015</t>
  </si>
  <si>
    <t>CNBW74C01B</t>
  </si>
  <si>
    <t>PHOTOCOPIER</t>
  </si>
  <si>
    <t>CANON</t>
  </si>
  <si>
    <t>IR3245N</t>
  </si>
  <si>
    <t>NOT ACTIVE</t>
  </si>
  <si>
    <t>Monitor</t>
  </si>
  <si>
    <t>LCD - E198WFPV</t>
  </si>
  <si>
    <t>DE-0RW323-73734-82K-0HKU</t>
  </si>
  <si>
    <t>DE-0RW323-73734-85H-5HS2</t>
  </si>
  <si>
    <t>DE-0RW323-73734-854-1459</t>
  </si>
  <si>
    <t>DE-0RW323-73734-82K-0H0U</t>
  </si>
  <si>
    <t>PBX Central</t>
  </si>
  <si>
    <t>DIMENSION 2400</t>
  </si>
  <si>
    <t>CN-0C3153-70821-448-10T6</t>
  </si>
  <si>
    <t>OPTIPLEX 170L</t>
  </si>
  <si>
    <t>CN-0TC670-70821-54L-D10I</t>
  </si>
  <si>
    <t>OPTIPLEX GX280</t>
  </si>
  <si>
    <t>30YQP1J</t>
  </si>
  <si>
    <t>CN-0C3153-70821-448-10TI</t>
  </si>
  <si>
    <t xml:space="preserve">Irenio Raimundo </t>
  </si>
  <si>
    <t>Betuel Buce</t>
  </si>
  <si>
    <t xml:space="preserve">Alcidio Manave </t>
  </si>
  <si>
    <t xml:space="preserve">Izidro Firmino </t>
  </si>
  <si>
    <t xml:space="preserve">Pedro Ubisse </t>
  </si>
  <si>
    <t>Elio Emilio</t>
  </si>
  <si>
    <t>Francisco Fernando</t>
  </si>
  <si>
    <t>Joao Francisco Vilanculos</t>
  </si>
  <si>
    <t>A08E021022351</t>
  </si>
  <si>
    <t>KONICA MINOLTA</t>
  </si>
  <si>
    <t>COMMENT</t>
  </si>
  <si>
    <t>Ñao Concorrido</t>
  </si>
  <si>
    <t>DOC Nº00001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</si>
</sst>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1"/>
      <name val="Calibri"/>
      <family val="2"/>
      <scheme val="minor"/>
    </font>
    <font>
      <b/>
      <sz val="18"/>
      <name val="Calibri"/>
      <family val="2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9"/>
      <color indexed="81"/>
      <name val="Tahoma"/>
      <family val="2"/>
    </font>
    <font>
      <sz val="16"/>
      <color theme="1"/>
      <name val="Calibri"/>
      <family val="2"/>
      <scheme val="minor"/>
    </font>
    <font>
      <b/>
      <sz val="12"/>
      <name val="Calibri"/>
      <family val="2"/>
    </font>
    <font>
      <b/>
      <sz val="22"/>
      <color theme="1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164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4" fillId="0" borderId="0" applyNumberFormat="0" applyFill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4" applyNumberFormat="0" applyAlignment="0" applyProtection="0"/>
    <xf numFmtId="0" fontId="9" fillId="6" borderId="5" applyNumberFormat="0" applyAlignment="0" applyProtection="0"/>
    <xf numFmtId="0" fontId="10" fillId="6" borderId="4" applyNumberFormat="0" applyAlignment="0" applyProtection="0"/>
    <xf numFmtId="0" fontId="11" fillId="0" borderId="6" applyNumberFormat="0" applyFill="0" applyAlignment="0" applyProtection="0"/>
    <xf numFmtId="0" fontId="12" fillId="7" borderId="7" applyNumberFormat="0" applyAlignment="0" applyProtection="0"/>
    <xf numFmtId="0" fontId="13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6" fillId="12" borderId="0" applyNumberFormat="0" applyBorder="0" applyAlignment="0" applyProtection="0"/>
    <xf numFmtId="0" fontId="16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6" fillId="16" borderId="0" applyNumberFormat="0" applyBorder="0" applyAlignment="0" applyProtection="0"/>
    <xf numFmtId="0" fontId="16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6" fillId="20" borderId="0" applyNumberFormat="0" applyBorder="0" applyAlignment="0" applyProtection="0"/>
    <xf numFmtId="0" fontId="16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6" fillId="24" borderId="0" applyNumberFormat="0" applyBorder="0" applyAlignment="0" applyProtection="0"/>
    <xf numFmtId="0" fontId="16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6" fillId="28" borderId="0" applyNumberFormat="0" applyBorder="0" applyAlignment="0" applyProtection="0"/>
    <xf numFmtId="0" fontId="16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6" fillId="32" borderId="0" applyNumberFormat="0" applyBorder="0" applyAlignment="0" applyProtection="0"/>
    <xf numFmtId="0" fontId="17" fillId="0" borderId="0" applyNumberFormat="0" applyFill="0" applyBorder="0" applyAlignment="0" applyProtection="0"/>
  </cellStyleXfs>
  <cellXfs count="39">
    <xf numFmtId="0" fontId="0" fillId="0" borderId="0" xfId="0"/>
    <xf numFmtId="164" fontId="0" fillId="0" borderId="0" xfId="1" applyFont="1"/>
    <xf numFmtId="164" fontId="19" fillId="33" borderId="10" xfId="1" applyFont="1" applyFill="1" applyBorder="1" applyAlignment="1">
      <alignment horizontal="center" vertical="center"/>
    </xf>
    <xf numFmtId="0" fontId="0" fillId="0" borderId="0" xfId="0"/>
    <xf numFmtId="0" fontId="0" fillId="0" borderId="10" xfId="0" applyFill="1" applyBorder="1"/>
    <xf numFmtId="0" fontId="0" fillId="0" borderId="10" xfId="0" applyFill="1" applyBorder="1" applyAlignment="1">
      <alignment horizontal="left"/>
    </xf>
    <xf numFmtId="0" fontId="18" fillId="0" borderId="10" xfId="0" applyFont="1" applyFill="1" applyBorder="1" applyAlignment="1">
      <alignment horizontal="left"/>
    </xf>
    <xf numFmtId="0" fontId="19" fillId="33" borderId="10" xfId="0" applyFont="1" applyFill="1" applyBorder="1" applyAlignment="1">
      <alignment horizontal="center" vertical="center"/>
    </xf>
    <xf numFmtId="0" fontId="15" fillId="0" borderId="0" xfId="0" applyFont="1"/>
    <xf numFmtId="0" fontId="0" fillId="0" borderId="10" xfId="0" applyBorder="1"/>
    <xf numFmtId="0" fontId="0" fillId="0" borderId="0" xfId="0" applyFill="1" applyBorder="1"/>
    <xf numFmtId="0" fontId="18" fillId="0" borderId="0" xfId="0" applyFont="1" applyFill="1" applyBorder="1" applyAlignment="1">
      <alignment horizontal="left"/>
    </xf>
    <xf numFmtId="164" fontId="0" fillId="0" borderId="10" xfId="1" applyFont="1" applyBorder="1"/>
    <xf numFmtId="1" fontId="22" fillId="0" borderId="10" xfId="0" applyNumberFormat="1" applyFont="1" applyFill="1" applyBorder="1" applyAlignment="1">
      <alignment horizontal="left" vertical="center" wrapText="1"/>
    </xf>
    <xf numFmtId="0" fontId="13" fillId="0" borderId="10" xfId="0" applyFont="1" applyFill="1" applyBorder="1"/>
    <xf numFmtId="0" fontId="0" fillId="34" borderId="10" xfId="0" applyFill="1" applyBorder="1"/>
    <xf numFmtId="0" fontId="18" fillId="34" borderId="10" xfId="0" applyFont="1" applyFill="1" applyBorder="1" applyAlignment="1">
      <alignment horizontal="left"/>
    </xf>
    <xf numFmtId="164" fontId="0" fillId="34" borderId="10" xfId="1" applyFont="1" applyFill="1" applyBorder="1"/>
    <xf numFmtId="0" fontId="0" fillId="34" borderId="0" xfId="0" applyFill="1"/>
    <xf numFmtId="0" fontId="0" fillId="0" borderId="0" xfId="0" applyFill="1"/>
    <xf numFmtId="0" fontId="0" fillId="35" borderId="10" xfId="0" applyFill="1" applyBorder="1"/>
    <xf numFmtId="164" fontId="0" fillId="35" borderId="10" xfId="1" applyFont="1" applyFill="1" applyBorder="1"/>
    <xf numFmtId="0" fontId="26" fillId="0" borderId="0" xfId="0" applyFont="1" applyFill="1"/>
    <xf numFmtId="164" fontId="0" fillId="0" borderId="0" xfId="1" applyFont="1" applyFill="1"/>
    <xf numFmtId="0" fontId="15" fillId="0" borderId="0" xfId="0" applyFont="1" applyFill="1"/>
    <xf numFmtId="0" fontId="19" fillId="0" borderId="10" xfId="0" applyFont="1" applyFill="1" applyBorder="1" applyAlignment="1">
      <alignment horizontal="center" vertical="center"/>
    </xf>
    <xf numFmtId="164" fontId="19" fillId="0" borderId="10" xfId="1" applyFont="1" applyFill="1" applyBorder="1" applyAlignment="1">
      <alignment horizontal="center" vertical="center"/>
    </xf>
    <xf numFmtId="164" fontId="25" fillId="0" borderId="10" xfId="1" applyFont="1" applyFill="1" applyBorder="1" applyAlignment="1">
      <alignment horizontal="center" vertical="center"/>
    </xf>
    <xf numFmtId="164" fontId="0" fillId="0" borderId="12" xfId="1" applyFont="1" applyFill="1" applyBorder="1"/>
    <xf numFmtId="0" fontId="21" fillId="0" borderId="10" xfId="0" applyFont="1" applyFill="1" applyBorder="1"/>
    <xf numFmtId="0" fontId="0" fillId="0" borderId="10" xfId="0" applyFont="1" applyFill="1" applyBorder="1"/>
    <xf numFmtId="164" fontId="1" fillId="0" borderId="12" xfId="1" applyFont="1" applyFill="1" applyBorder="1"/>
    <xf numFmtId="164" fontId="24" fillId="0" borderId="12" xfId="1" applyFont="1" applyFill="1" applyBorder="1"/>
    <xf numFmtId="164" fontId="0" fillId="0" borderId="10" xfId="1" applyFont="1" applyFill="1" applyBorder="1"/>
    <xf numFmtId="1" fontId="0" fillId="0" borderId="10" xfId="0" applyNumberFormat="1" applyFill="1" applyBorder="1" applyAlignment="1">
      <alignment horizontal="left"/>
    </xf>
    <xf numFmtId="0" fontId="20" fillId="0" borderId="0" xfId="0" applyFont="1" applyFill="1"/>
    <xf numFmtId="0" fontId="0" fillId="0" borderId="11" xfId="0" applyFill="1" applyBorder="1"/>
    <xf numFmtId="164" fontId="0" fillId="0" borderId="11" xfId="1" applyFont="1" applyFill="1" applyBorder="1"/>
    <xf numFmtId="0" fontId="26" fillId="34" borderId="0" xfId="0" applyFont="1" applyFill="1"/>
  </cellXfs>
  <cellStyles count="43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itle 2" xfId="42" xr:uid="{00000000-0005-0000-0000-000028000000}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  <cellStyle name="Vírgula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830035</xdr:colOff>
      <xdr:row>0</xdr:row>
      <xdr:rowOff>13606</xdr:rowOff>
    </xdr:from>
    <xdr:to>
      <xdr:col>6</xdr:col>
      <xdr:colOff>1700892</xdr:colOff>
      <xdr:row>4</xdr:row>
      <xdr:rowOff>231321</xdr:rowOff>
    </xdr:to>
    <xdr:sp macro="" textlink="">
      <xdr:nvSpPr>
        <xdr:cNvPr id="2" name="Rounded Rectangular Callou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218214" y="13606"/>
          <a:ext cx="3660321" cy="1156608"/>
        </a:xfrm>
        <a:prstGeom prst="wedgeRoundRectCallout">
          <a:avLst>
            <a:gd name="adj1" fmla="val -72660"/>
            <a:gd name="adj2" fmla="val 14250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ysClr val="windowText" lastClr="000000"/>
              </a:solidFill>
            </a:rPr>
            <a:t>O NUMERO DEVE MUDAR CADA VEZ QUE SE FAZ UMA IMPRESSÃO DESTE DOCUMENTO</a:t>
          </a:r>
          <a:r>
            <a:rPr lang="en-US" sz="1400" b="1" baseline="0">
              <a:solidFill>
                <a:sysClr val="windowText" lastClr="000000"/>
              </a:solidFill>
            </a:rPr>
            <a:t> MESMO PROGRAMANDO DUAS OU MAIS IMPRESSÕES DE UMA SO VEZ</a:t>
          </a:r>
          <a:endParaRPr lang="en-US" sz="1400" b="1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29936</xdr:colOff>
          <xdr:row>3</xdr:row>
          <xdr:rowOff>55789</xdr:rowOff>
        </xdr:from>
        <xdr:to>
          <xdr:col>8</xdr:col>
          <xdr:colOff>1537607</xdr:colOff>
          <xdr:row>5</xdr:row>
          <xdr:rowOff>13607</xdr:rowOff>
        </xdr:to>
        <xdr:sp macro="" textlink="">
          <xdr:nvSpPr>
            <xdr:cNvPr id="2051" name="btnPrint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B378072A-3B5F-4859-8EFD-A7A4585947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qandela/AppData/Local/Microsoft/Windows/Temporary%20Internet%20Files/Content.Outlook/U1ARY2P9/Proposta%20de%20Compra%20de%20Material%20Informatico%20para%20Abate%20Beira%202017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7">
          <cell r="L7">
            <v>2530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C3:O24"/>
  <sheetViews>
    <sheetView zoomScale="70" zoomScaleNormal="70" workbookViewId="0">
      <selection activeCell="L8" sqref="L8"/>
    </sheetView>
  </sheetViews>
  <sheetFormatPr defaultRowHeight="15" x14ac:dyDescent="0.25"/>
  <cols>
    <col min="1" max="2" width="9.140625" style="3"/>
    <col min="3" max="3" width="11.7109375" style="3" bestFit="1" customWidth="1"/>
    <col min="4" max="4" width="11.42578125" style="3" bestFit="1" customWidth="1"/>
    <col min="5" max="5" width="12.7109375" style="3" bestFit="1" customWidth="1"/>
    <col min="6" max="6" width="28.28515625" style="3" bestFit="1" customWidth="1"/>
    <col min="7" max="7" width="7" style="3" bestFit="1" customWidth="1"/>
    <col min="8" max="8" width="36" style="3" customWidth="1"/>
    <col min="9" max="9" width="17.42578125" style="3" bestFit="1" customWidth="1"/>
    <col min="10" max="10" width="42" style="3" bestFit="1" customWidth="1"/>
    <col min="11" max="11" width="23.5703125" style="1" bestFit="1" customWidth="1"/>
    <col min="12" max="16384" width="9.140625" style="3"/>
  </cols>
  <sheetData>
    <row r="3" spans="3:15" ht="23.25" x14ac:dyDescent="0.25">
      <c r="C3" s="7" t="s">
        <v>0</v>
      </c>
      <c r="D3" s="7" t="s">
        <v>1</v>
      </c>
      <c r="E3" s="7" t="s">
        <v>2</v>
      </c>
      <c r="F3" s="7" t="s">
        <v>3</v>
      </c>
      <c r="G3" s="7" t="s">
        <v>4</v>
      </c>
      <c r="H3" s="7" t="s">
        <v>5</v>
      </c>
      <c r="I3" s="7" t="s">
        <v>6</v>
      </c>
      <c r="J3" s="7" t="s">
        <v>8</v>
      </c>
      <c r="K3" s="2" t="s">
        <v>7</v>
      </c>
    </row>
    <row r="4" spans="3:15" x14ac:dyDescent="0.25">
      <c r="C4" s="4">
        <v>7.1</v>
      </c>
      <c r="D4" s="6" t="s">
        <v>13</v>
      </c>
      <c r="E4" s="6" t="s">
        <v>9</v>
      </c>
      <c r="F4" s="6" t="s">
        <v>29</v>
      </c>
      <c r="G4" s="6">
        <v>1</v>
      </c>
      <c r="H4" s="6" t="s">
        <v>30</v>
      </c>
      <c r="I4" s="6" t="s">
        <v>31</v>
      </c>
      <c r="J4" s="9" t="s">
        <v>32</v>
      </c>
      <c r="K4" s="12">
        <v>2211</v>
      </c>
    </row>
    <row r="5" spans="3:15" x14ac:dyDescent="0.25">
      <c r="C5" s="15"/>
      <c r="D5" s="16"/>
      <c r="E5" s="16"/>
      <c r="F5" s="16"/>
      <c r="G5" s="16"/>
      <c r="H5" s="16"/>
      <c r="I5" s="16"/>
      <c r="J5" s="20" t="s">
        <v>137</v>
      </c>
      <c r="K5" s="21">
        <v>2600</v>
      </c>
    </row>
    <row r="6" spans="3:15" x14ac:dyDescent="0.25">
      <c r="C6" s="4">
        <v>7.2</v>
      </c>
      <c r="D6" s="6" t="s">
        <v>13</v>
      </c>
      <c r="E6" s="6" t="s">
        <v>9</v>
      </c>
      <c r="F6" s="6" t="s">
        <v>29</v>
      </c>
      <c r="G6" s="6">
        <v>1</v>
      </c>
      <c r="H6" s="6" t="s">
        <v>33</v>
      </c>
      <c r="I6" s="6" t="s">
        <v>31</v>
      </c>
      <c r="J6" s="9" t="s">
        <v>32</v>
      </c>
      <c r="K6" s="12">
        <v>2211</v>
      </c>
    </row>
    <row r="7" spans="3:15" x14ac:dyDescent="0.25">
      <c r="C7" s="15"/>
      <c r="D7" s="16"/>
      <c r="E7" s="16"/>
      <c r="F7" s="16"/>
      <c r="G7" s="16"/>
      <c r="H7" s="16"/>
      <c r="I7" s="16"/>
      <c r="J7" s="20" t="s">
        <v>135</v>
      </c>
      <c r="K7" s="21">
        <v>2400</v>
      </c>
    </row>
    <row r="8" spans="3:15" ht="19.5" customHeight="1" x14ac:dyDescent="0.25">
      <c r="C8" s="4">
        <v>7.3</v>
      </c>
      <c r="D8" s="6" t="s">
        <v>13</v>
      </c>
      <c r="E8" s="6" t="s">
        <v>9</v>
      </c>
      <c r="F8" s="6" t="s">
        <v>29</v>
      </c>
      <c r="G8" s="6">
        <v>1</v>
      </c>
      <c r="H8" s="6" t="s">
        <v>34</v>
      </c>
      <c r="I8" s="6" t="s">
        <v>31</v>
      </c>
      <c r="J8" s="9" t="s">
        <v>32</v>
      </c>
      <c r="K8" s="12">
        <v>2211</v>
      </c>
    </row>
    <row r="9" spans="3:15" x14ac:dyDescent="0.25">
      <c r="C9" s="4">
        <v>7.4</v>
      </c>
      <c r="D9" s="6" t="s">
        <v>13</v>
      </c>
      <c r="E9" s="6" t="s">
        <v>9</v>
      </c>
      <c r="F9" s="6" t="s">
        <v>29</v>
      </c>
      <c r="G9" s="6">
        <v>1</v>
      </c>
      <c r="H9" s="6" t="s">
        <v>35</v>
      </c>
      <c r="I9" s="6" t="s">
        <v>31</v>
      </c>
      <c r="J9" s="9" t="s">
        <v>32</v>
      </c>
      <c r="K9" s="12">
        <v>2211</v>
      </c>
    </row>
    <row r="10" spans="3:15" x14ac:dyDescent="0.25">
      <c r="C10" s="4">
        <v>7.5</v>
      </c>
      <c r="D10" s="6" t="s">
        <v>13</v>
      </c>
      <c r="E10" s="6" t="s">
        <v>9</v>
      </c>
      <c r="F10" s="6" t="s">
        <v>29</v>
      </c>
      <c r="G10" s="6">
        <v>1</v>
      </c>
      <c r="H10" s="6" t="s">
        <v>36</v>
      </c>
      <c r="I10" s="6" t="s">
        <v>31</v>
      </c>
      <c r="J10" s="9" t="s">
        <v>32</v>
      </c>
      <c r="K10" s="12">
        <v>2211</v>
      </c>
    </row>
    <row r="11" spans="3:15" x14ac:dyDescent="0.25">
      <c r="C11" s="4">
        <v>7.6</v>
      </c>
      <c r="D11" s="6" t="s">
        <v>13</v>
      </c>
      <c r="E11" s="6" t="s">
        <v>9</v>
      </c>
      <c r="F11" s="6" t="s">
        <v>29</v>
      </c>
      <c r="G11" s="6">
        <v>1</v>
      </c>
      <c r="H11" s="6" t="s">
        <v>37</v>
      </c>
      <c r="I11" s="6" t="s">
        <v>31</v>
      </c>
      <c r="J11" s="9" t="s">
        <v>38</v>
      </c>
      <c r="K11" s="12">
        <v>2211</v>
      </c>
    </row>
    <row r="12" spans="3:15" x14ac:dyDescent="0.25">
      <c r="C12" s="15"/>
      <c r="D12" s="16"/>
      <c r="E12" s="16"/>
      <c r="F12" s="16"/>
      <c r="G12" s="16"/>
      <c r="H12" s="16"/>
      <c r="I12" s="16"/>
      <c r="J12" s="20" t="s">
        <v>132</v>
      </c>
      <c r="K12" s="21">
        <v>5000</v>
      </c>
    </row>
    <row r="13" spans="3:15" x14ac:dyDescent="0.25">
      <c r="C13" s="15"/>
      <c r="D13" s="16"/>
      <c r="E13" s="16"/>
      <c r="F13" s="16"/>
      <c r="G13" s="16"/>
      <c r="H13" s="16"/>
      <c r="I13" s="16"/>
      <c r="J13" s="15" t="s">
        <v>136</v>
      </c>
      <c r="K13" s="17">
        <v>3620</v>
      </c>
    </row>
    <row r="14" spans="3:15" x14ac:dyDescent="0.25">
      <c r="C14" s="4">
        <v>7.7</v>
      </c>
      <c r="D14" s="6" t="s">
        <v>13</v>
      </c>
      <c r="E14" s="6" t="s">
        <v>9</v>
      </c>
      <c r="F14" s="6" t="s">
        <v>29</v>
      </c>
      <c r="G14" s="6">
        <v>1</v>
      </c>
      <c r="H14" s="6" t="s">
        <v>39</v>
      </c>
      <c r="I14" s="6" t="s">
        <v>31</v>
      </c>
      <c r="J14" s="9" t="s">
        <v>40</v>
      </c>
      <c r="K14" s="12">
        <v>2211</v>
      </c>
    </row>
    <row r="15" spans="3:15" x14ac:dyDescent="0.25">
      <c r="C15" s="15"/>
      <c r="D15" s="16"/>
      <c r="E15" s="16"/>
      <c r="F15" s="16"/>
      <c r="G15" s="16"/>
      <c r="H15" s="16"/>
      <c r="I15" s="16"/>
      <c r="J15" s="15" t="s">
        <v>130</v>
      </c>
      <c r="K15" s="17">
        <v>2500</v>
      </c>
      <c r="O15" s="15"/>
    </row>
    <row r="16" spans="3:15" x14ac:dyDescent="0.25">
      <c r="C16" s="15"/>
      <c r="D16" s="16"/>
      <c r="E16" s="16"/>
      <c r="F16" s="16"/>
      <c r="G16" s="16"/>
      <c r="H16" s="16"/>
      <c r="I16" s="16"/>
      <c r="J16" s="15" t="s">
        <v>134</v>
      </c>
      <c r="K16" s="17">
        <v>2800</v>
      </c>
    </row>
    <row r="17" spans="3:11" x14ac:dyDescent="0.25">
      <c r="C17" s="15"/>
      <c r="D17" s="16"/>
      <c r="E17" s="16"/>
      <c r="F17" s="16"/>
      <c r="G17" s="16"/>
      <c r="H17" s="16"/>
      <c r="I17" s="16"/>
      <c r="J17" s="20" t="s">
        <v>136</v>
      </c>
      <c r="K17" s="21">
        <v>3520</v>
      </c>
    </row>
    <row r="18" spans="3:11" x14ac:dyDescent="0.25">
      <c r="C18" s="4">
        <v>7.8</v>
      </c>
      <c r="D18" s="6" t="s">
        <v>13</v>
      </c>
      <c r="E18" s="6" t="s">
        <v>9</v>
      </c>
      <c r="F18" s="6" t="s">
        <v>29</v>
      </c>
      <c r="G18" s="6">
        <v>1</v>
      </c>
      <c r="H18" s="6" t="s">
        <v>41</v>
      </c>
      <c r="I18" s="6" t="s">
        <v>31</v>
      </c>
      <c r="J18" s="9" t="s">
        <v>42</v>
      </c>
      <c r="K18" s="12">
        <v>2211</v>
      </c>
    </row>
    <row r="19" spans="3:11" x14ac:dyDescent="0.25">
      <c r="C19" s="15"/>
      <c r="D19" s="16"/>
      <c r="E19" s="16"/>
      <c r="F19" s="16"/>
      <c r="G19" s="16"/>
      <c r="H19" s="16"/>
      <c r="I19" s="16"/>
      <c r="J19" s="15" t="s">
        <v>130</v>
      </c>
      <c r="K19" s="17">
        <v>2500</v>
      </c>
    </row>
    <row r="20" spans="3:11" x14ac:dyDescent="0.25">
      <c r="C20" s="15"/>
      <c r="D20" s="16"/>
      <c r="E20" s="16"/>
      <c r="F20" s="16"/>
      <c r="G20" s="16"/>
      <c r="H20" s="16"/>
      <c r="I20" s="16"/>
      <c r="J20" s="20" t="s">
        <v>131</v>
      </c>
      <c r="K20" s="21">
        <v>3000</v>
      </c>
    </row>
    <row r="21" spans="3:11" x14ac:dyDescent="0.25">
      <c r="C21" s="15"/>
      <c r="D21" s="16"/>
      <c r="E21" s="16"/>
      <c r="F21" s="16"/>
      <c r="G21" s="16"/>
      <c r="H21" s="16"/>
      <c r="I21" s="16"/>
      <c r="J21" s="15"/>
      <c r="K21" s="17"/>
    </row>
    <row r="22" spans="3:11" x14ac:dyDescent="0.25">
      <c r="C22" s="4">
        <v>7.9</v>
      </c>
      <c r="D22" s="6" t="s">
        <v>13</v>
      </c>
      <c r="E22" s="6" t="s">
        <v>9</v>
      </c>
      <c r="F22" s="6" t="s">
        <v>29</v>
      </c>
      <c r="G22" s="6">
        <v>1</v>
      </c>
      <c r="H22" s="6" t="s">
        <v>43</v>
      </c>
      <c r="I22" s="6" t="s">
        <v>31</v>
      </c>
      <c r="J22" s="9" t="s">
        <v>42</v>
      </c>
      <c r="K22" s="12">
        <v>2211</v>
      </c>
    </row>
    <row r="23" spans="3:11" x14ac:dyDescent="0.25">
      <c r="C23" s="15"/>
      <c r="D23" s="15"/>
      <c r="E23" s="15"/>
      <c r="F23" s="15"/>
      <c r="G23" s="15"/>
      <c r="H23" s="15"/>
      <c r="I23" s="15"/>
      <c r="J23" s="20" t="s">
        <v>133</v>
      </c>
      <c r="K23" s="21">
        <v>2700.5</v>
      </c>
    </row>
    <row r="24" spans="3:11" x14ac:dyDescent="0.25">
      <c r="C24" s="15"/>
      <c r="D24" s="15"/>
      <c r="E24" s="15"/>
      <c r="F24" s="15"/>
      <c r="G24" s="15"/>
      <c r="H24" s="15"/>
      <c r="I24" s="15"/>
      <c r="J24" s="15"/>
      <c r="K24" s="17"/>
    </row>
  </sheetData>
  <autoFilter ref="C3:K3" xr:uid="{00000000-0009-0000-0000-000000000000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C3:K10"/>
  <sheetViews>
    <sheetView zoomScale="70" zoomScaleNormal="70" workbookViewId="0">
      <selection activeCell="A11" sqref="A11:XFD67"/>
    </sheetView>
  </sheetViews>
  <sheetFormatPr defaultRowHeight="15" x14ac:dyDescent="0.25"/>
  <cols>
    <col min="1" max="2" width="9.140625" style="3"/>
    <col min="3" max="3" width="11.7109375" style="3" bestFit="1" customWidth="1"/>
    <col min="4" max="4" width="11.42578125" style="3" bestFit="1" customWidth="1"/>
    <col min="5" max="5" width="12.7109375" style="3" bestFit="1" customWidth="1"/>
    <col min="6" max="6" width="28.28515625" style="3" bestFit="1" customWidth="1"/>
    <col min="7" max="7" width="7" style="3" bestFit="1" customWidth="1"/>
    <col min="8" max="8" width="36" style="3" customWidth="1"/>
    <col min="9" max="9" width="17.42578125" style="3" bestFit="1" customWidth="1"/>
    <col min="10" max="10" width="42" style="3" bestFit="1" customWidth="1"/>
    <col min="11" max="11" width="23.5703125" style="1" bestFit="1" customWidth="1"/>
    <col min="12" max="16384" width="9.140625" style="3"/>
  </cols>
  <sheetData>
    <row r="3" spans="3:11" x14ac:dyDescent="0.25">
      <c r="C3" s="8" t="s">
        <v>22</v>
      </c>
    </row>
    <row r="5" spans="3:11" ht="23.25" x14ac:dyDescent="0.25">
      <c r="C5" s="7" t="s">
        <v>0</v>
      </c>
      <c r="D5" s="7" t="s">
        <v>1</v>
      </c>
      <c r="E5" s="7" t="s">
        <v>2</v>
      </c>
      <c r="F5" s="7" t="s">
        <v>3</v>
      </c>
      <c r="G5" s="7" t="s">
        <v>4</v>
      </c>
      <c r="H5" s="7" t="s">
        <v>5</v>
      </c>
      <c r="I5" s="7" t="s">
        <v>6</v>
      </c>
      <c r="J5" s="7" t="s">
        <v>8</v>
      </c>
      <c r="K5" s="2" t="s">
        <v>7</v>
      </c>
    </row>
    <row r="6" spans="3:11" x14ac:dyDescent="0.25">
      <c r="C6" s="4">
        <v>6.1</v>
      </c>
      <c r="D6" s="6" t="s">
        <v>23</v>
      </c>
      <c r="E6" s="6" t="s">
        <v>19</v>
      </c>
      <c r="F6" s="6" t="s">
        <v>24</v>
      </c>
      <c r="G6" s="6">
        <v>1</v>
      </c>
      <c r="H6" s="6" t="s">
        <v>25</v>
      </c>
      <c r="I6" s="6" t="s">
        <v>10</v>
      </c>
      <c r="J6" s="9" t="s">
        <v>26</v>
      </c>
      <c r="K6" s="12">
        <v>1183.5</v>
      </c>
    </row>
    <row r="7" spans="3:11" x14ac:dyDescent="0.25">
      <c r="C7" s="15"/>
      <c r="D7" s="16"/>
      <c r="E7" s="16"/>
      <c r="F7" s="16"/>
      <c r="G7" s="16"/>
      <c r="H7" s="16"/>
      <c r="I7" s="16"/>
      <c r="J7" s="15" t="s">
        <v>132</v>
      </c>
      <c r="K7" s="17">
        <v>2000</v>
      </c>
    </row>
    <row r="8" spans="3:11" x14ac:dyDescent="0.25">
      <c r="C8" s="15"/>
      <c r="D8" s="16"/>
      <c r="E8" s="16"/>
      <c r="F8" s="16"/>
      <c r="G8" s="16"/>
      <c r="H8" s="16"/>
      <c r="I8" s="16"/>
      <c r="J8" s="15"/>
      <c r="K8" s="17"/>
    </row>
    <row r="9" spans="3:11" x14ac:dyDescent="0.25">
      <c r="C9" s="4">
        <v>6.2</v>
      </c>
      <c r="D9" s="6" t="s">
        <v>23</v>
      </c>
      <c r="E9" s="6" t="s">
        <v>19</v>
      </c>
      <c r="F9" s="6" t="s">
        <v>24</v>
      </c>
      <c r="G9" s="6">
        <v>1</v>
      </c>
      <c r="H9" s="6" t="s">
        <v>27</v>
      </c>
      <c r="I9" s="6" t="s">
        <v>10</v>
      </c>
      <c r="J9" s="9" t="s">
        <v>28</v>
      </c>
      <c r="K9" s="12">
        <v>1183.5</v>
      </c>
    </row>
    <row r="10" spans="3:11" x14ac:dyDescent="0.25">
      <c r="C10" s="10"/>
      <c r="D10" s="11"/>
      <c r="E10" s="11"/>
      <c r="F10" s="11"/>
      <c r="G10" s="11"/>
      <c r="H10" s="11"/>
      <c r="I10" s="1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C4:L175"/>
  <sheetViews>
    <sheetView tabSelected="1" zoomScale="70" zoomScaleNormal="70" workbookViewId="0">
      <selection activeCell="C4" sqref="C4"/>
    </sheetView>
  </sheetViews>
  <sheetFormatPr defaultRowHeight="15" x14ac:dyDescent="0.25"/>
  <cols>
    <col min="1" max="2" width="9.140625" style="19"/>
    <col min="3" max="3" width="8.5703125" style="19" customWidth="1"/>
    <col min="4" max="4" width="21.140625" style="19" customWidth="1"/>
    <col min="5" max="5" width="13.5703125" style="19" customWidth="1"/>
    <col min="6" max="6" width="28.140625" style="19" customWidth="1"/>
    <col min="7" max="7" width="34.28515625" style="19" customWidth="1"/>
    <col min="8" max="8" width="18.85546875" style="19" bestFit="1" customWidth="1"/>
    <col min="9" max="9" width="23.5703125" style="23" bestFit="1" customWidth="1"/>
    <col min="10" max="10" width="18.28515625" style="19" customWidth="1"/>
    <col min="11" max="16384" width="9.140625" style="19"/>
  </cols>
  <sheetData>
    <row r="4" spans="3:10" ht="28.5" x14ac:dyDescent="0.45">
      <c r="C4" s="38" t="s">
        <v>142</v>
      </c>
      <c r="D4" s="18"/>
    </row>
    <row r="5" spans="3:10" ht="28.5" x14ac:dyDescent="0.45">
      <c r="C5" s="22"/>
    </row>
    <row r="6" spans="3:10" ht="28.5" x14ac:dyDescent="0.45">
      <c r="C6" s="22"/>
    </row>
    <row r="7" spans="3:10" x14ac:dyDescent="0.25">
      <c r="C7" s="24"/>
    </row>
    <row r="8" spans="3:10" ht="23.25" x14ac:dyDescent="0.25">
      <c r="C8" s="25" t="s">
        <v>0</v>
      </c>
      <c r="D8" s="25" t="s">
        <v>1</v>
      </c>
      <c r="E8" s="25" t="s">
        <v>2</v>
      </c>
      <c r="F8" s="25" t="s">
        <v>70</v>
      </c>
      <c r="G8" s="25" t="s">
        <v>71</v>
      </c>
      <c r="H8" s="25" t="s">
        <v>72</v>
      </c>
      <c r="I8" s="26" t="s">
        <v>7</v>
      </c>
      <c r="J8" s="27" t="s">
        <v>140</v>
      </c>
    </row>
    <row r="9" spans="3:10" x14ac:dyDescent="0.25">
      <c r="C9" s="4" t="s">
        <v>44</v>
      </c>
      <c r="D9" s="4" t="s">
        <v>16</v>
      </c>
      <c r="E9" s="5" t="s">
        <v>17</v>
      </c>
      <c r="F9" s="4" t="s">
        <v>73</v>
      </c>
      <c r="G9" s="4" t="s">
        <v>74</v>
      </c>
      <c r="H9" s="4" t="s">
        <v>75</v>
      </c>
      <c r="I9" s="28">
        <v>2430</v>
      </c>
      <c r="J9" s="4"/>
    </row>
    <row r="10" spans="3:10" x14ac:dyDescent="0.25">
      <c r="C10" s="4"/>
      <c r="D10" s="4"/>
      <c r="E10" s="5"/>
      <c r="F10" s="4"/>
      <c r="G10" s="4"/>
      <c r="H10" s="4"/>
      <c r="I10" s="28">
        <v>2430</v>
      </c>
      <c r="J10" s="4"/>
    </row>
    <row r="11" spans="3:10" x14ac:dyDescent="0.25">
      <c r="C11" s="4"/>
      <c r="D11" s="4"/>
      <c r="E11" s="5"/>
      <c r="F11" s="4"/>
      <c r="G11" s="4"/>
      <c r="H11" s="4"/>
      <c r="I11" s="28">
        <f>+[1]Sheet1!$L$7</f>
        <v>2530</v>
      </c>
      <c r="J11" s="4"/>
    </row>
    <row r="12" spans="3:10" x14ac:dyDescent="0.25">
      <c r="C12" s="4"/>
      <c r="D12" s="4"/>
      <c r="E12" s="5"/>
      <c r="F12" s="4"/>
      <c r="G12" s="4"/>
      <c r="H12" s="4"/>
      <c r="I12" s="28">
        <v>2500</v>
      </c>
      <c r="J12" s="4"/>
    </row>
    <row r="13" spans="3:10" x14ac:dyDescent="0.25">
      <c r="C13" s="4"/>
      <c r="D13" s="4"/>
      <c r="E13" s="5"/>
      <c r="F13" s="4"/>
      <c r="G13" s="4"/>
      <c r="H13" s="4"/>
      <c r="I13" s="28"/>
      <c r="J13" s="4"/>
    </row>
    <row r="14" spans="3:10" x14ac:dyDescent="0.25">
      <c r="C14" s="4" t="s">
        <v>45</v>
      </c>
      <c r="D14" s="4" t="s">
        <v>16</v>
      </c>
      <c r="E14" s="5" t="s">
        <v>17</v>
      </c>
      <c r="F14" s="4" t="s">
        <v>76</v>
      </c>
      <c r="G14" s="29" t="s">
        <v>77</v>
      </c>
      <c r="H14" s="4" t="s">
        <v>75</v>
      </c>
      <c r="I14" s="28">
        <v>11052</v>
      </c>
      <c r="J14" s="4"/>
    </row>
    <row r="15" spans="3:10" x14ac:dyDescent="0.25">
      <c r="C15" s="4"/>
      <c r="D15" s="4"/>
      <c r="E15" s="5"/>
      <c r="F15" s="4"/>
      <c r="G15" s="29"/>
      <c r="H15" s="4"/>
      <c r="I15" s="28">
        <v>13000</v>
      </c>
      <c r="J15" s="4"/>
    </row>
    <row r="16" spans="3:10" x14ac:dyDescent="0.25">
      <c r="C16" s="4"/>
      <c r="D16" s="4"/>
      <c r="E16" s="5"/>
      <c r="F16" s="4"/>
      <c r="G16" s="29"/>
      <c r="H16" s="4"/>
      <c r="I16" s="28"/>
      <c r="J16" s="4"/>
    </row>
    <row r="17" spans="3:10" x14ac:dyDescent="0.25">
      <c r="C17" s="4" t="s">
        <v>46</v>
      </c>
      <c r="D17" s="4" t="s">
        <v>16</v>
      </c>
      <c r="E17" s="5" t="s">
        <v>17</v>
      </c>
      <c r="F17" s="4" t="s">
        <v>78</v>
      </c>
      <c r="G17" s="30" t="s">
        <v>79</v>
      </c>
      <c r="H17" s="4" t="s">
        <v>75</v>
      </c>
      <c r="I17" s="28">
        <v>21241.95</v>
      </c>
      <c r="J17" s="4"/>
    </row>
    <row r="18" spans="3:10" x14ac:dyDescent="0.25">
      <c r="C18" s="4"/>
      <c r="D18" s="4"/>
      <c r="E18" s="5"/>
      <c r="F18" s="4"/>
      <c r="G18" s="30"/>
      <c r="H18" s="4"/>
      <c r="I18" s="28">
        <v>25250.5</v>
      </c>
      <c r="J18" s="4"/>
    </row>
    <row r="19" spans="3:10" x14ac:dyDescent="0.25">
      <c r="C19" s="4" t="s">
        <v>47</v>
      </c>
      <c r="D19" s="4" t="s">
        <v>16</v>
      </c>
      <c r="E19" s="5" t="s">
        <v>17</v>
      </c>
      <c r="F19" s="4" t="s">
        <v>73</v>
      </c>
      <c r="G19" s="30" t="s">
        <v>80</v>
      </c>
      <c r="H19" s="4" t="s">
        <v>75</v>
      </c>
      <c r="I19" s="31">
        <v>2430</v>
      </c>
      <c r="J19" s="4"/>
    </row>
    <row r="20" spans="3:10" x14ac:dyDescent="0.25">
      <c r="C20" s="4"/>
      <c r="D20" s="4"/>
      <c r="E20" s="5"/>
      <c r="F20" s="4"/>
      <c r="G20" s="30"/>
      <c r="H20" s="4"/>
      <c r="I20" s="31">
        <v>3100</v>
      </c>
      <c r="J20" s="4"/>
    </row>
    <row r="21" spans="3:10" ht="21" x14ac:dyDescent="0.35">
      <c r="C21" s="4"/>
      <c r="D21" s="4"/>
      <c r="E21" s="5"/>
      <c r="F21" s="4"/>
      <c r="G21" s="30"/>
      <c r="H21" s="4"/>
      <c r="I21" s="32">
        <v>2530</v>
      </c>
      <c r="J21" s="4"/>
    </row>
    <row r="22" spans="3:10" x14ac:dyDescent="0.25">
      <c r="C22" s="4"/>
      <c r="D22" s="4"/>
      <c r="E22" s="5"/>
      <c r="F22" s="4"/>
      <c r="G22" s="30"/>
      <c r="H22" s="4"/>
      <c r="I22" s="31">
        <v>2530</v>
      </c>
      <c r="J22" s="4"/>
    </row>
    <row r="23" spans="3:10" x14ac:dyDescent="0.25">
      <c r="C23" s="4" t="s">
        <v>48</v>
      </c>
      <c r="D23" s="4" t="s">
        <v>16</v>
      </c>
      <c r="E23" s="5" t="s">
        <v>17</v>
      </c>
      <c r="F23" s="4" t="s">
        <v>18</v>
      </c>
      <c r="G23" s="30" t="s">
        <v>81</v>
      </c>
      <c r="H23" s="4" t="s">
        <v>75</v>
      </c>
      <c r="I23" s="28">
        <v>682.5</v>
      </c>
      <c r="J23" s="4"/>
    </row>
    <row r="24" spans="3:10" x14ac:dyDescent="0.25">
      <c r="C24" s="4"/>
      <c r="D24" s="4"/>
      <c r="E24" s="5"/>
      <c r="F24" s="4"/>
      <c r="G24" s="30"/>
      <c r="H24" s="4"/>
      <c r="I24" s="31">
        <v>999</v>
      </c>
      <c r="J24" s="4"/>
    </row>
    <row r="25" spans="3:10" x14ac:dyDescent="0.25">
      <c r="C25" s="4"/>
      <c r="D25" s="4"/>
      <c r="E25" s="5"/>
      <c r="F25" s="4"/>
      <c r="G25" s="30"/>
      <c r="H25" s="4"/>
      <c r="I25" s="28">
        <v>1000</v>
      </c>
      <c r="J25" s="4"/>
    </row>
    <row r="26" spans="3:10" x14ac:dyDescent="0.25">
      <c r="C26" s="4"/>
      <c r="D26" s="4"/>
      <c r="E26" s="5"/>
      <c r="F26" s="4"/>
      <c r="G26" s="30"/>
      <c r="H26" s="4"/>
      <c r="I26" s="28">
        <v>1100</v>
      </c>
      <c r="J26" s="4"/>
    </row>
    <row r="27" spans="3:10" x14ac:dyDescent="0.25">
      <c r="C27" s="4" t="s">
        <v>49</v>
      </c>
      <c r="D27" s="4" t="s">
        <v>16</v>
      </c>
      <c r="E27" s="5" t="s">
        <v>17</v>
      </c>
      <c r="F27" s="4" t="s">
        <v>82</v>
      </c>
      <c r="G27" s="30" t="s">
        <v>83</v>
      </c>
      <c r="H27" s="4" t="s">
        <v>75</v>
      </c>
      <c r="I27" s="28">
        <v>1958.4</v>
      </c>
      <c r="J27" s="4"/>
    </row>
    <row r="28" spans="3:10" x14ac:dyDescent="0.25">
      <c r="C28" s="4"/>
      <c r="D28" s="4"/>
      <c r="E28" s="5"/>
      <c r="F28" s="4"/>
      <c r="G28" s="30"/>
      <c r="H28" s="4"/>
      <c r="I28" s="31">
        <v>3399</v>
      </c>
      <c r="J28" s="4"/>
    </row>
    <row r="29" spans="3:10" x14ac:dyDescent="0.25">
      <c r="C29" s="4"/>
      <c r="D29" s="4"/>
      <c r="E29" s="5"/>
      <c r="F29" s="4"/>
      <c r="G29" s="30"/>
      <c r="H29" s="4"/>
      <c r="I29" s="31">
        <v>2000</v>
      </c>
      <c r="J29" s="4"/>
    </row>
    <row r="30" spans="3:10" x14ac:dyDescent="0.25">
      <c r="C30" s="4"/>
      <c r="D30" s="4"/>
      <c r="E30" s="5"/>
      <c r="F30" s="4"/>
      <c r="G30" s="30"/>
      <c r="H30" s="4"/>
      <c r="I30" s="31">
        <v>3500</v>
      </c>
      <c r="J30" s="4"/>
    </row>
    <row r="31" spans="3:10" x14ac:dyDescent="0.25">
      <c r="C31" s="4"/>
      <c r="D31" s="4"/>
      <c r="E31" s="5"/>
      <c r="F31" s="4"/>
      <c r="G31" s="30"/>
      <c r="H31" s="4"/>
      <c r="I31" s="31">
        <v>2100</v>
      </c>
      <c r="J31" s="4"/>
    </row>
    <row r="32" spans="3:10" x14ac:dyDescent="0.25">
      <c r="C32" s="4" t="s">
        <v>50</v>
      </c>
      <c r="D32" s="4" t="s">
        <v>16</v>
      </c>
      <c r="E32" s="5" t="s">
        <v>17</v>
      </c>
      <c r="F32" s="4" t="s">
        <v>84</v>
      </c>
      <c r="G32" s="30" t="s">
        <v>85</v>
      </c>
      <c r="H32" s="4" t="s">
        <v>75</v>
      </c>
      <c r="I32" s="28">
        <v>1536</v>
      </c>
      <c r="J32" s="4"/>
    </row>
    <row r="33" spans="3:10" x14ac:dyDescent="0.25">
      <c r="C33" s="4"/>
      <c r="D33" s="4"/>
      <c r="E33" s="5"/>
      <c r="F33" s="4"/>
      <c r="G33" s="30"/>
      <c r="H33" s="4"/>
      <c r="I33" s="28">
        <v>1600</v>
      </c>
      <c r="J33" s="4"/>
    </row>
    <row r="34" spans="3:10" x14ac:dyDescent="0.25">
      <c r="C34" s="4"/>
      <c r="D34" s="4"/>
      <c r="E34" s="5"/>
      <c r="F34" s="4"/>
      <c r="G34" s="30"/>
      <c r="H34" s="4"/>
      <c r="I34" s="28">
        <v>1800</v>
      </c>
      <c r="J34" s="4"/>
    </row>
    <row r="35" spans="3:10" x14ac:dyDescent="0.25">
      <c r="C35" s="4"/>
      <c r="D35" s="4"/>
      <c r="E35" s="5"/>
      <c r="F35" s="4"/>
      <c r="G35" s="30"/>
      <c r="H35" s="4"/>
      <c r="I35" s="28">
        <v>1650.5</v>
      </c>
      <c r="J35" s="4"/>
    </row>
    <row r="36" spans="3:10" x14ac:dyDescent="0.25">
      <c r="C36" s="4" t="s">
        <v>51</v>
      </c>
      <c r="D36" s="4" t="s">
        <v>16</v>
      </c>
      <c r="E36" s="5" t="s">
        <v>17</v>
      </c>
      <c r="F36" s="4" t="s">
        <v>73</v>
      </c>
      <c r="G36" s="30" t="s">
        <v>86</v>
      </c>
      <c r="H36" s="4" t="s">
        <v>75</v>
      </c>
      <c r="I36" s="28">
        <v>2430</v>
      </c>
      <c r="J36" s="4"/>
    </row>
    <row r="37" spans="3:10" x14ac:dyDescent="0.25">
      <c r="C37" s="4"/>
      <c r="D37" s="4"/>
      <c r="E37" s="5"/>
      <c r="F37" s="4"/>
      <c r="G37" s="30"/>
      <c r="H37" s="4"/>
      <c r="I37" s="28">
        <v>2530</v>
      </c>
      <c r="J37" s="4"/>
    </row>
    <row r="38" spans="3:10" x14ac:dyDescent="0.25">
      <c r="C38" s="4"/>
      <c r="D38" s="4"/>
      <c r="E38" s="5"/>
      <c r="F38" s="4"/>
      <c r="G38" s="30"/>
      <c r="H38" s="4"/>
      <c r="I38" s="19"/>
      <c r="J38" s="4"/>
    </row>
    <row r="39" spans="3:10" x14ac:dyDescent="0.25">
      <c r="C39" s="4" t="s">
        <v>52</v>
      </c>
      <c r="D39" s="4" t="s">
        <v>16</v>
      </c>
      <c r="E39" s="5" t="s">
        <v>17</v>
      </c>
      <c r="F39" s="4" t="s">
        <v>73</v>
      </c>
      <c r="G39" s="30" t="s">
        <v>87</v>
      </c>
      <c r="H39" s="4" t="s">
        <v>75</v>
      </c>
      <c r="I39" s="28">
        <v>3240</v>
      </c>
      <c r="J39" s="6" t="s">
        <v>141</v>
      </c>
    </row>
    <row r="40" spans="3:10" x14ac:dyDescent="0.25">
      <c r="C40" s="4" t="s">
        <v>53</v>
      </c>
      <c r="D40" s="4" t="s">
        <v>16</v>
      </c>
      <c r="E40" s="5" t="s">
        <v>17</v>
      </c>
      <c r="F40" s="4" t="s">
        <v>88</v>
      </c>
      <c r="G40" s="30" t="s">
        <v>89</v>
      </c>
      <c r="H40" s="4" t="s">
        <v>75</v>
      </c>
      <c r="I40" s="28">
        <v>32168</v>
      </c>
      <c r="J40" s="4"/>
    </row>
    <row r="41" spans="3:10" x14ac:dyDescent="0.25">
      <c r="C41" s="4"/>
      <c r="D41" s="4"/>
      <c r="E41" s="5"/>
      <c r="F41" s="4"/>
      <c r="G41" s="30"/>
      <c r="H41" s="4"/>
      <c r="I41" s="28">
        <v>32168</v>
      </c>
      <c r="J41" s="33"/>
    </row>
    <row r="42" spans="3:10" x14ac:dyDescent="0.25">
      <c r="C42" s="4" t="s">
        <v>54</v>
      </c>
      <c r="D42" s="4" t="s">
        <v>16</v>
      </c>
      <c r="E42" s="5" t="s">
        <v>17</v>
      </c>
      <c r="F42" s="4" t="s">
        <v>90</v>
      </c>
      <c r="G42" s="4" t="s">
        <v>91</v>
      </c>
      <c r="H42" s="4" t="s">
        <v>75</v>
      </c>
      <c r="I42" s="28">
        <v>11827</v>
      </c>
      <c r="J42" s="6" t="s">
        <v>141</v>
      </c>
    </row>
    <row r="43" spans="3:10" x14ac:dyDescent="0.25">
      <c r="C43" s="4" t="s">
        <v>55</v>
      </c>
      <c r="D43" s="4" t="s">
        <v>16</v>
      </c>
      <c r="E43" s="5" t="s">
        <v>17</v>
      </c>
      <c r="F43" s="4" t="s">
        <v>92</v>
      </c>
      <c r="G43" s="4" t="s">
        <v>93</v>
      </c>
      <c r="H43" s="4" t="s">
        <v>75</v>
      </c>
      <c r="I43" s="28">
        <v>2726</v>
      </c>
      <c r="J43" s="4"/>
    </row>
    <row r="44" spans="3:10" x14ac:dyDescent="0.25">
      <c r="C44" s="4"/>
      <c r="D44" s="4"/>
      <c r="E44" s="5"/>
      <c r="F44" s="4"/>
      <c r="G44" s="4"/>
      <c r="H44" s="4"/>
      <c r="I44" s="28">
        <v>2850</v>
      </c>
      <c r="J44" s="4"/>
    </row>
    <row r="45" spans="3:10" x14ac:dyDescent="0.25">
      <c r="C45" s="4"/>
      <c r="D45" s="4"/>
      <c r="E45" s="5"/>
      <c r="F45" s="4"/>
      <c r="G45" s="4"/>
      <c r="H45" s="4"/>
      <c r="I45" s="28">
        <v>2726</v>
      </c>
      <c r="J45" s="4"/>
    </row>
    <row r="46" spans="3:10" x14ac:dyDescent="0.25">
      <c r="C46" s="4"/>
      <c r="D46" s="4"/>
      <c r="E46" s="5"/>
      <c r="F46" s="4"/>
      <c r="G46" s="4"/>
      <c r="H46" s="4"/>
      <c r="I46" s="28">
        <v>2966</v>
      </c>
      <c r="J46" s="4"/>
    </row>
    <row r="47" spans="3:10" x14ac:dyDescent="0.25">
      <c r="C47" s="4" t="s">
        <v>56</v>
      </c>
      <c r="D47" s="4" t="s">
        <v>16</v>
      </c>
      <c r="E47" s="5" t="s">
        <v>17</v>
      </c>
      <c r="F47" s="4" t="s">
        <v>94</v>
      </c>
      <c r="G47" s="4" t="s">
        <v>95</v>
      </c>
      <c r="H47" s="4" t="s">
        <v>75</v>
      </c>
      <c r="I47" s="28">
        <v>1620</v>
      </c>
      <c r="J47" s="4"/>
    </row>
    <row r="48" spans="3:10" x14ac:dyDescent="0.25">
      <c r="C48" s="4"/>
      <c r="D48" s="4"/>
      <c r="E48" s="5"/>
      <c r="F48" s="4"/>
      <c r="G48" s="4"/>
      <c r="H48" s="4"/>
      <c r="I48" s="28">
        <v>1850</v>
      </c>
      <c r="J48" s="4"/>
    </row>
    <row r="49" spans="3:10" x14ac:dyDescent="0.25">
      <c r="C49" s="4"/>
      <c r="D49" s="4"/>
      <c r="E49" s="5"/>
      <c r="F49" s="4"/>
      <c r="G49" s="4"/>
      <c r="H49" s="4"/>
      <c r="I49" s="28"/>
      <c r="J49" s="4"/>
    </row>
    <row r="50" spans="3:10" x14ac:dyDescent="0.25">
      <c r="C50" s="4" t="s">
        <v>57</v>
      </c>
      <c r="D50" s="4" t="s">
        <v>16</v>
      </c>
      <c r="E50" s="5" t="s">
        <v>17</v>
      </c>
      <c r="F50" s="4" t="s">
        <v>73</v>
      </c>
      <c r="G50" s="4" t="s">
        <v>96</v>
      </c>
      <c r="H50" s="4" t="s">
        <v>75</v>
      </c>
      <c r="I50" s="28">
        <v>2430</v>
      </c>
      <c r="J50" s="4"/>
    </row>
    <row r="51" spans="3:10" x14ac:dyDescent="0.25">
      <c r="C51" s="4"/>
      <c r="D51" s="4"/>
      <c r="E51" s="5"/>
      <c r="F51" s="4"/>
      <c r="G51" s="4"/>
      <c r="H51" s="4"/>
      <c r="I51" s="28">
        <v>2530</v>
      </c>
      <c r="J51" s="4"/>
    </row>
    <row r="52" spans="3:10" x14ac:dyDescent="0.25">
      <c r="C52" s="4"/>
      <c r="D52" s="4"/>
      <c r="E52" s="5"/>
      <c r="F52" s="4"/>
      <c r="G52" s="4"/>
      <c r="H52" s="4"/>
      <c r="I52" s="28"/>
      <c r="J52" s="4"/>
    </row>
    <row r="53" spans="3:10" x14ac:dyDescent="0.25">
      <c r="C53" s="4" t="s">
        <v>58</v>
      </c>
      <c r="D53" s="4" t="s">
        <v>16</v>
      </c>
      <c r="E53" s="5" t="s">
        <v>17</v>
      </c>
      <c r="F53" s="4" t="s">
        <v>97</v>
      </c>
      <c r="G53" s="4" t="s">
        <v>98</v>
      </c>
      <c r="H53" s="4" t="s">
        <v>75</v>
      </c>
      <c r="I53" s="28">
        <v>3103.65</v>
      </c>
      <c r="J53" s="6" t="s">
        <v>141</v>
      </c>
    </row>
    <row r="54" spans="3:10" x14ac:dyDescent="0.25">
      <c r="C54" s="4" t="s">
        <v>59</v>
      </c>
      <c r="D54" s="4" t="s">
        <v>16</v>
      </c>
      <c r="E54" s="5" t="s">
        <v>17</v>
      </c>
      <c r="F54" s="4" t="s">
        <v>73</v>
      </c>
      <c r="G54" s="4" t="s">
        <v>99</v>
      </c>
      <c r="H54" s="4" t="s">
        <v>75</v>
      </c>
      <c r="I54" s="28">
        <v>2430</v>
      </c>
      <c r="J54" s="4"/>
    </row>
    <row r="55" spans="3:10" x14ac:dyDescent="0.25">
      <c r="C55" s="4"/>
      <c r="D55" s="4"/>
      <c r="E55" s="5"/>
      <c r="F55" s="4"/>
      <c r="G55" s="4"/>
      <c r="H55" s="4"/>
      <c r="I55" s="28">
        <v>2530</v>
      </c>
      <c r="J55" s="4"/>
    </row>
    <row r="56" spans="3:10" x14ac:dyDescent="0.25">
      <c r="C56" s="4"/>
      <c r="D56" s="4"/>
      <c r="E56" s="5"/>
      <c r="F56" s="4"/>
      <c r="G56" s="4"/>
      <c r="H56" s="4"/>
      <c r="I56" s="28">
        <v>2599</v>
      </c>
      <c r="J56" s="4"/>
    </row>
    <row r="57" spans="3:10" x14ac:dyDescent="0.25">
      <c r="C57" s="4"/>
      <c r="D57" s="4"/>
      <c r="E57" s="5"/>
      <c r="F57" s="4"/>
      <c r="G57" s="4"/>
      <c r="H57" s="4"/>
      <c r="I57" s="28"/>
      <c r="J57" s="4"/>
    </row>
    <row r="58" spans="3:10" x14ac:dyDescent="0.25">
      <c r="C58" s="4" t="s">
        <v>60</v>
      </c>
      <c r="D58" s="4" t="s">
        <v>16</v>
      </c>
      <c r="E58" s="5" t="s">
        <v>17</v>
      </c>
      <c r="F58" s="4" t="s">
        <v>73</v>
      </c>
      <c r="G58" s="4" t="s">
        <v>100</v>
      </c>
      <c r="H58" s="4" t="s">
        <v>75</v>
      </c>
      <c r="I58" s="28">
        <v>2430</v>
      </c>
      <c r="J58" s="4"/>
    </row>
    <row r="59" spans="3:10" x14ac:dyDescent="0.25">
      <c r="C59" s="4"/>
      <c r="D59" s="4"/>
      <c r="E59" s="5"/>
      <c r="F59" s="4"/>
      <c r="G59" s="4"/>
      <c r="H59" s="4"/>
      <c r="I59" s="28">
        <v>2430</v>
      </c>
      <c r="J59" s="4"/>
    </row>
    <row r="60" spans="3:10" x14ac:dyDescent="0.25">
      <c r="C60" s="4"/>
      <c r="D60" s="4"/>
      <c r="E60" s="5"/>
      <c r="F60" s="4"/>
      <c r="G60" s="4"/>
      <c r="H60" s="4"/>
      <c r="I60" s="28">
        <v>2530</v>
      </c>
      <c r="J60" s="4"/>
    </row>
    <row r="61" spans="3:10" x14ac:dyDescent="0.25">
      <c r="C61" s="4"/>
      <c r="D61" s="4"/>
      <c r="E61" s="5"/>
      <c r="F61" s="4"/>
      <c r="G61" s="4"/>
      <c r="H61" s="4"/>
      <c r="I61" s="28"/>
      <c r="J61" s="4"/>
    </row>
    <row r="62" spans="3:10" x14ac:dyDescent="0.25">
      <c r="C62" s="4"/>
      <c r="D62" s="4"/>
      <c r="E62" s="5"/>
      <c r="F62" s="4"/>
      <c r="G62" s="4"/>
      <c r="H62" s="4"/>
      <c r="I62" s="28"/>
      <c r="J62" s="4"/>
    </row>
    <row r="63" spans="3:10" x14ac:dyDescent="0.25">
      <c r="C63" s="4" t="s">
        <v>61</v>
      </c>
      <c r="D63" s="4" t="s">
        <v>16</v>
      </c>
      <c r="E63" s="5" t="s">
        <v>17</v>
      </c>
      <c r="F63" s="4" t="s">
        <v>92</v>
      </c>
      <c r="G63" s="4" t="s">
        <v>101</v>
      </c>
      <c r="H63" s="4" t="s">
        <v>75</v>
      </c>
      <c r="I63" s="28">
        <v>2726</v>
      </c>
      <c r="J63" s="4"/>
    </row>
    <row r="64" spans="3:10" x14ac:dyDescent="0.25">
      <c r="C64" s="4"/>
      <c r="D64" s="4"/>
      <c r="E64" s="5"/>
      <c r="F64" s="4"/>
      <c r="G64" s="4"/>
      <c r="H64" s="4"/>
      <c r="I64" s="28">
        <v>2901</v>
      </c>
      <c r="J64" s="4"/>
    </row>
    <row r="65" spans="3:10" x14ac:dyDescent="0.25">
      <c r="C65" s="4"/>
      <c r="D65" s="4"/>
      <c r="E65" s="5"/>
      <c r="F65" s="4"/>
      <c r="G65" s="4"/>
      <c r="H65" s="4"/>
      <c r="I65" s="28"/>
      <c r="J65" s="4"/>
    </row>
    <row r="66" spans="3:10" x14ac:dyDescent="0.25">
      <c r="C66" s="4" t="s">
        <v>62</v>
      </c>
      <c r="D66" s="4" t="s">
        <v>16</v>
      </c>
      <c r="E66" s="5" t="s">
        <v>17</v>
      </c>
      <c r="F66" s="4" t="s">
        <v>102</v>
      </c>
      <c r="G66" s="4" t="s">
        <v>103</v>
      </c>
      <c r="H66" s="4" t="s">
        <v>75</v>
      </c>
      <c r="I66" s="28">
        <v>9437.56</v>
      </c>
      <c r="J66" s="4"/>
    </row>
    <row r="67" spans="3:10" x14ac:dyDescent="0.25">
      <c r="C67" s="4"/>
      <c r="D67" s="4"/>
      <c r="E67" s="5"/>
      <c r="F67" s="4"/>
      <c r="G67" s="4"/>
      <c r="H67" s="4"/>
      <c r="I67" s="28">
        <v>9501</v>
      </c>
      <c r="J67" s="4"/>
    </row>
    <row r="68" spans="3:10" x14ac:dyDescent="0.25">
      <c r="C68" s="4"/>
      <c r="D68" s="4"/>
      <c r="E68" s="5"/>
      <c r="F68" s="4"/>
      <c r="G68" s="4"/>
      <c r="H68" s="4"/>
      <c r="I68" s="28"/>
      <c r="J68" s="4"/>
    </row>
    <row r="69" spans="3:10" x14ac:dyDescent="0.25">
      <c r="C69" s="4" t="s">
        <v>63</v>
      </c>
      <c r="D69" s="4" t="s">
        <v>16</v>
      </c>
      <c r="E69" s="5" t="s">
        <v>17</v>
      </c>
      <c r="F69" s="4" t="s">
        <v>78</v>
      </c>
      <c r="G69" s="30" t="s">
        <v>104</v>
      </c>
      <c r="H69" s="4" t="s">
        <v>75</v>
      </c>
      <c r="I69" s="28">
        <v>21241.95</v>
      </c>
      <c r="J69" s="4"/>
    </row>
    <row r="70" spans="3:10" x14ac:dyDescent="0.25">
      <c r="C70" s="4"/>
      <c r="D70" s="4"/>
      <c r="E70" s="5"/>
      <c r="F70" s="4"/>
      <c r="G70" s="30"/>
      <c r="H70" s="4"/>
      <c r="I70" s="28">
        <v>23241.95</v>
      </c>
      <c r="J70" s="4"/>
    </row>
    <row r="71" spans="3:10" x14ac:dyDescent="0.25">
      <c r="C71" s="4"/>
      <c r="D71" s="4"/>
      <c r="E71" s="5"/>
      <c r="F71" s="4"/>
      <c r="G71" s="30"/>
      <c r="H71" s="4"/>
      <c r="I71" s="28"/>
      <c r="J71" s="4"/>
    </row>
    <row r="72" spans="3:10" x14ac:dyDescent="0.25">
      <c r="C72" s="4" t="s">
        <v>64</v>
      </c>
      <c r="D72" s="4" t="s">
        <v>16</v>
      </c>
      <c r="E72" s="13" t="s">
        <v>17</v>
      </c>
      <c r="F72" s="4" t="s">
        <v>105</v>
      </c>
      <c r="G72" s="4" t="s">
        <v>106</v>
      </c>
      <c r="H72" s="4" t="s">
        <v>75</v>
      </c>
      <c r="I72" s="28">
        <v>14164.300000000001</v>
      </c>
      <c r="J72" s="6" t="s">
        <v>141</v>
      </c>
    </row>
    <row r="73" spans="3:10" x14ac:dyDescent="0.25">
      <c r="C73" s="4" t="s">
        <v>65</v>
      </c>
      <c r="D73" s="4" t="s">
        <v>16</v>
      </c>
      <c r="E73" s="13" t="s">
        <v>17</v>
      </c>
      <c r="F73" s="4" t="s">
        <v>107</v>
      </c>
      <c r="G73" s="4" t="s">
        <v>108</v>
      </c>
      <c r="H73" s="4" t="s">
        <v>75</v>
      </c>
      <c r="I73" s="28">
        <v>1842</v>
      </c>
      <c r="J73" s="4"/>
    </row>
    <row r="74" spans="3:10" x14ac:dyDescent="0.25">
      <c r="C74" s="4"/>
      <c r="D74" s="4"/>
      <c r="E74" s="13"/>
      <c r="F74" s="4"/>
      <c r="G74" s="4"/>
      <c r="H74" s="4"/>
      <c r="I74" s="28">
        <v>1900</v>
      </c>
      <c r="J74" s="4"/>
    </row>
    <row r="75" spans="3:10" x14ac:dyDescent="0.25">
      <c r="C75" s="4"/>
      <c r="D75" s="4"/>
      <c r="E75" s="13"/>
      <c r="F75" s="4"/>
      <c r="G75" s="4"/>
      <c r="H75" s="4"/>
      <c r="I75" s="28">
        <v>2000</v>
      </c>
      <c r="J75" s="4"/>
    </row>
    <row r="76" spans="3:10" x14ac:dyDescent="0.25">
      <c r="C76" s="4"/>
      <c r="D76" s="4"/>
      <c r="E76" s="13"/>
      <c r="F76" s="4"/>
      <c r="G76" s="4"/>
      <c r="H76" s="4"/>
      <c r="I76" s="28"/>
      <c r="J76" s="4"/>
    </row>
    <row r="77" spans="3:10" x14ac:dyDescent="0.25">
      <c r="C77" s="4" t="s">
        <v>66</v>
      </c>
      <c r="D77" s="4" t="s">
        <v>16</v>
      </c>
      <c r="E77" s="13" t="s">
        <v>17</v>
      </c>
      <c r="F77" s="4" t="s">
        <v>97</v>
      </c>
      <c r="G77" s="4" t="s">
        <v>109</v>
      </c>
      <c r="H77" s="4" t="s">
        <v>75</v>
      </c>
      <c r="I77" s="28">
        <v>3103.65</v>
      </c>
      <c r="J77" s="4"/>
    </row>
    <row r="78" spans="3:10" x14ac:dyDescent="0.25">
      <c r="C78" s="4"/>
      <c r="D78" s="4"/>
      <c r="E78" s="13"/>
      <c r="F78" s="4"/>
      <c r="G78" s="4"/>
      <c r="H78" s="4"/>
      <c r="I78" s="28">
        <v>4257</v>
      </c>
      <c r="J78" s="4"/>
    </row>
    <row r="79" spans="3:10" x14ac:dyDescent="0.25">
      <c r="C79" s="4"/>
      <c r="D79" s="4"/>
      <c r="E79" s="13"/>
      <c r="F79" s="4"/>
      <c r="G79" s="4"/>
      <c r="H79" s="4"/>
      <c r="I79" s="28"/>
      <c r="J79" s="4"/>
    </row>
    <row r="80" spans="3:10" x14ac:dyDescent="0.25">
      <c r="C80" s="4" t="s">
        <v>67</v>
      </c>
      <c r="D80" s="4" t="s">
        <v>16</v>
      </c>
      <c r="E80" s="4" t="s">
        <v>17</v>
      </c>
      <c r="F80" s="4" t="s">
        <v>110</v>
      </c>
      <c r="G80" s="4" t="s">
        <v>111</v>
      </c>
      <c r="H80" s="4" t="s">
        <v>75</v>
      </c>
      <c r="I80" s="28">
        <v>2726</v>
      </c>
      <c r="J80" s="4"/>
    </row>
    <row r="81" spans="3:12" x14ac:dyDescent="0.25">
      <c r="C81" s="4"/>
      <c r="D81" s="4"/>
      <c r="E81" s="4"/>
      <c r="F81" s="4"/>
      <c r="G81" s="4"/>
      <c r="H81" s="4"/>
      <c r="I81" s="31">
        <v>3500</v>
      </c>
      <c r="J81" s="4"/>
    </row>
    <row r="82" spans="3:12" x14ac:dyDescent="0.25">
      <c r="C82" s="4"/>
      <c r="D82" s="4"/>
      <c r="E82" s="4"/>
      <c r="F82" s="4"/>
      <c r="G82" s="4"/>
      <c r="H82" s="4"/>
      <c r="I82" s="31">
        <v>2850</v>
      </c>
      <c r="J82" s="4"/>
    </row>
    <row r="83" spans="3:12" x14ac:dyDescent="0.25">
      <c r="C83" s="4"/>
      <c r="D83" s="4"/>
      <c r="E83" s="4"/>
      <c r="F83" s="4"/>
      <c r="G83" s="4"/>
      <c r="H83" s="4"/>
      <c r="I83" s="31">
        <v>2726</v>
      </c>
      <c r="J83" s="4"/>
    </row>
    <row r="84" spans="3:12" x14ac:dyDescent="0.25">
      <c r="C84" s="4"/>
      <c r="D84" s="4"/>
      <c r="E84" s="4"/>
      <c r="F84" s="4"/>
      <c r="G84" s="4"/>
      <c r="H84" s="4"/>
      <c r="I84" s="31">
        <v>3000</v>
      </c>
      <c r="J84" s="4"/>
    </row>
    <row r="85" spans="3:12" x14ac:dyDescent="0.25">
      <c r="C85" s="4"/>
      <c r="D85" s="4"/>
      <c r="E85" s="4"/>
      <c r="F85" s="4"/>
      <c r="G85" s="4"/>
      <c r="H85" s="4"/>
      <c r="I85" s="28"/>
      <c r="J85" s="4"/>
    </row>
    <row r="86" spans="3:12" x14ac:dyDescent="0.25">
      <c r="C86" s="4" t="s">
        <v>68</v>
      </c>
      <c r="D86" s="4" t="s">
        <v>112</v>
      </c>
      <c r="E86" s="4" t="s">
        <v>113</v>
      </c>
      <c r="F86" s="4" t="s">
        <v>114</v>
      </c>
      <c r="G86" s="34">
        <v>217000020680</v>
      </c>
      <c r="H86" s="4" t="s">
        <v>115</v>
      </c>
      <c r="I86" s="28">
        <v>14143.85</v>
      </c>
      <c r="J86" s="4"/>
      <c r="L86" s="10"/>
    </row>
    <row r="87" spans="3:12" x14ac:dyDescent="0.25">
      <c r="C87" s="4"/>
      <c r="D87" s="4"/>
      <c r="E87" s="4"/>
      <c r="F87" s="4"/>
      <c r="G87" s="34"/>
      <c r="H87" s="4"/>
      <c r="I87" s="28"/>
      <c r="J87" s="4"/>
    </row>
    <row r="88" spans="3:12" x14ac:dyDescent="0.25">
      <c r="C88" s="4"/>
      <c r="D88" s="4"/>
      <c r="E88" s="4"/>
      <c r="F88" s="4"/>
      <c r="G88" s="34"/>
      <c r="H88" s="4"/>
      <c r="I88" s="28"/>
      <c r="J88" s="4"/>
    </row>
    <row r="89" spans="3:12" x14ac:dyDescent="0.25">
      <c r="C89" s="4" t="s">
        <v>69</v>
      </c>
      <c r="D89" s="4" t="s">
        <v>112</v>
      </c>
      <c r="E89" s="4" t="s">
        <v>113</v>
      </c>
      <c r="F89" s="4" t="s">
        <v>139</v>
      </c>
      <c r="G89" s="4" t="s">
        <v>138</v>
      </c>
      <c r="H89" s="4" t="s">
        <v>75</v>
      </c>
      <c r="I89" s="28">
        <v>10200</v>
      </c>
      <c r="J89" s="4"/>
    </row>
    <row r="90" spans="3:12" x14ac:dyDescent="0.25">
      <c r="C90" s="4"/>
      <c r="D90" s="4"/>
      <c r="E90" s="4"/>
      <c r="F90" s="4"/>
      <c r="G90" s="4"/>
      <c r="H90" s="4"/>
      <c r="I90" s="28">
        <v>12000</v>
      </c>
      <c r="J90" s="4"/>
    </row>
    <row r="91" spans="3:12" x14ac:dyDescent="0.25">
      <c r="C91" s="4"/>
      <c r="D91" s="4"/>
      <c r="E91" s="4"/>
      <c r="F91" s="4"/>
      <c r="G91" s="4"/>
      <c r="H91" s="4"/>
      <c r="I91" s="28">
        <v>11575</v>
      </c>
      <c r="J91" s="4"/>
    </row>
    <row r="92" spans="3:12" x14ac:dyDescent="0.25">
      <c r="C92" s="4"/>
      <c r="D92" s="4"/>
      <c r="E92" s="4"/>
      <c r="F92" s="4"/>
      <c r="G92" s="34"/>
      <c r="H92" s="4"/>
      <c r="I92" s="28">
        <v>14250.5</v>
      </c>
      <c r="J92" s="4"/>
    </row>
    <row r="93" spans="3:12" x14ac:dyDescent="0.25">
      <c r="C93" s="4"/>
      <c r="D93" s="4"/>
      <c r="E93" s="4"/>
      <c r="F93" s="4"/>
      <c r="G93" s="34"/>
      <c r="H93" s="4"/>
      <c r="I93" s="28">
        <v>15200.5</v>
      </c>
      <c r="J93" s="4"/>
    </row>
    <row r="94" spans="3:12" x14ac:dyDescent="0.25">
      <c r="C94" s="4"/>
      <c r="D94" s="4"/>
      <c r="E94" s="4"/>
      <c r="F94" s="4"/>
      <c r="G94" s="34"/>
      <c r="H94" s="4"/>
      <c r="I94" s="28">
        <v>12990</v>
      </c>
      <c r="J94" s="4"/>
    </row>
    <row r="95" spans="3:12" x14ac:dyDescent="0.25">
      <c r="C95" s="4"/>
      <c r="D95" s="4"/>
      <c r="E95" s="4"/>
      <c r="F95" s="4"/>
      <c r="G95" s="34"/>
      <c r="H95" s="4"/>
      <c r="I95" s="28"/>
      <c r="J95" s="4"/>
    </row>
    <row r="96" spans="3:12" ht="18.75" x14ac:dyDescent="0.3">
      <c r="C96" s="35" t="s">
        <v>11</v>
      </c>
    </row>
    <row r="98" spans="3:10" ht="23.25" x14ac:dyDescent="0.25">
      <c r="C98" s="25" t="s">
        <v>0</v>
      </c>
      <c r="D98" s="25" t="s">
        <v>1</v>
      </c>
      <c r="E98" s="25" t="s">
        <v>2</v>
      </c>
      <c r="F98" s="25" t="s">
        <v>70</v>
      </c>
      <c r="G98" s="25" t="s">
        <v>71</v>
      </c>
      <c r="H98" s="25" t="s">
        <v>72</v>
      </c>
      <c r="I98" s="26" t="s">
        <v>7</v>
      </c>
    </row>
    <row r="99" spans="3:10" x14ac:dyDescent="0.25">
      <c r="C99" s="4">
        <v>2.1</v>
      </c>
      <c r="D99" s="4" t="s">
        <v>116</v>
      </c>
      <c r="E99" s="4" t="s">
        <v>9</v>
      </c>
      <c r="F99" s="4" t="s">
        <v>117</v>
      </c>
      <c r="G99" s="4" t="s">
        <v>118</v>
      </c>
      <c r="H99" s="4" t="s">
        <v>75</v>
      </c>
      <c r="I99" s="33">
        <v>689</v>
      </c>
    </row>
    <row r="100" spans="3:10" x14ac:dyDescent="0.25">
      <c r="C100" s="4"/>
      <c r="D100" s="4"/>
      <c r="E100" s="4"/>
      <c r="F100" s="4"/>
      <c r="G100" s="4"/>
      <c r="H100" s="4"/>
      <c r="I100" s="33">
        <v>950</v>
      </c>
    </row>
    <row r="101" spans="3:10" x14ac:dyDescent="0.25">
      <c r="C101" s="4"/>
      <c r="D101" s="4"/>
      <c r="E101" s="4"/>
      <c r="F101" s="4"/>
      <c r="G101" s="4"/>
      <c r="H101" s="4"/>
      <c r="I101" s="33">
        <v>900</v>
      </c>
    </row>
    <row r="102" spans="3:10" x14ac:dyDescent="0.25">
      <c r="C102" s="4"/>
      <c r="D102" s="4"/>
      <c r="E102" s="4"/>
      <c r="F102" s="4"/>
      <c r="G102" s="4"/>
      <c r="H102" s="4"/>
      <c r="I102" s="33">
        <v>1000</v>
      </c>
    </row>
    <row r="103" spans="3:10" x14ac:dyDescent="0.25">
      <c r="C103" s="4"/>
      <c r="D103" s="4"/>
      <c r="E103" s="4"/>
      <c r="F103" s="4"/>
      <c r="G103" s="4"/>
      <c r="H103" s="4"/>
      <c r="I103" s="33">
        <v>1200</v>
      </c>
      <c r="J103" s="10"/>
    </row>
    <row r="104" spans="3:10" x14ac:dyDescent="0.25">
      <c r="C104" s="4"/>
      <c r="D104" s="4"/>
      <c r="E104" s="4"/>
      <c r="F104" s="4"/>
      <c r="G104" s="4"/>
      <c r="H104" s="4"/>
      <c r="I104" s="33">
        <v>2000</v>
      </c>
      <c r="J104" s="10"/>
    </row>
    <row r="105" spans="3:10" x14ac:dyDescent="0.25">
      <c r="C105" s="4"/>
      <c r="D105" s="4"/>
      <c r="E105" s="4"/>
      <c r="F105" s="4"/>
      <c r="G105" s="4"/>
      <c r="H105" s="4"/>
      <c r="I105" s="33">
        <v>759</v>
      </c>
      <c r="J105" s="10"/>
    </row>
    <row r="106" spans="3:10" x14ac:dyDescent="0.25">
      <c r="C106" s="4"/>
      <c r="D106" s="4"/>
      <c r="E106" s="4"/>
      <c r="F106" s="4"/>
      <c r="G106" s="4"/>
      <c r="H106" s="4"/>
      <c r="I106" s="33">
        <v>850</v>
      </c>
      <c r="J106" s="10"/>
    </row>
    <row r="107" spans="3:10" x14ac:dyDescent="0.25">
      <c r="C107" s="4"/>
      <c r="D107" s="4"/>
      <c r="E107" s="4"/>
      <c r="F107" s="4"/>
      <c r="G107" s="4"/>
      <c r="H107" s="4"/>
      <c r="I107" s="33">
        <v>850</v>
      </c>
      <c r="J107" s="10"/>
    </row>
    <row r="108" spans="3:10" x14ac:dyDescent="0.25">
      <c r="C108" s="4"/>
      <c r="D108" s="4"/>
      <c r="E108" s="4"/>
      <c r="F108" s="4"/>
      <c r="G108" s="4"/>
      <c r="H108" s="4"/>
      <c r="I108" s="33">
        <v>1000</v>
      </c>
      <c r="J108" s="10"/>
    </row>
    <row r="109" spans="3:10" x14ac:dyDescent="0.25">
      <c r="C109" s="4"/>
      <c r="D109" s="4"/>
      <c r="E109" s="4"/>
      <c r="F109" s="4"/>
      <c r="G109" s="4"/>
      <c r="H109" s="4"/>
      <c r="I109" s="33">
        <v>995</v>
      </c>
      <c r="J109" s="10"/>
    </row>
    <row r="110" spans="3:10" x14ac:dyDescent="0.25">
      <c r="C110" s="4"/>
      <c r="D110" s="4"/>
      <c r="E110" s="4"/>
      <c r="F110" s="4"/>
      <c r="G110" s="4"/>
      <c r="H110" s="4"/>
      <c r="I110" s="33">
        <v>800</v>
      </c>
      <c r="J110" s="10"/>
    </row>
    <row r="111" spans="3:10" x14ac:dyDescent="0.25">
      <c r="C111" s="4"/>
      <c r="D111" s="4"/>
      <c r="E111" s="4"/>
      <c r="F111" s="4"/>
      <c r="G111" s="4"/>
      <c r="H111" s="4"/>
      <c r="I111" s="33"/>
      <c r="J111" s="10"/>
    </row>
    <row r="112" spans="3:10" x14ac:dyDescent="0.25">
      <c r="C112" s="4">
        <v>2.2000000000000002</v>
      </c>
      <c r="D112" s="4" t="s">
        <v>116</v>
      </c>
      <c r="E112" s="4" t="s">
        <v>9</v>
      </c>
      <c r="F112" s="4" t="s">
        <v>117</v>
      </c>
      <c r="G112" s="4" t="s">
        <v>119</v>
      </c>
      <c r="H112" s="4" t="s">
        <v>75</v>
      </c>
      <c r="I112" s="33">
        <v>689</v>
      </c>
    </row>
    <row r="113" spans="3:9" x14ac:dyDescent="0.25">
      <c r="C113" s="4"/>
      <c r="D113" s="4"/>
      <c r="E113" s="4"/>
      <c r="F113" s="4"/>
      <c r="G113" s="4"/>
      <c r="H113" s="4"/>
      <c r="I113" s="33">
        <v>900</v>
      </c>
    </row>
    <row r="114" spans="3:9" x14ac:dyDescent="0.25">
      <c r="C114" s="4"/>
      <c r="D114" s="4"/>
      <c r="E114" s="4"/>
      <c r="F114" s="4"/>
      <c r="G114" s="4"/>
      <c r="H114" s="4"/>
      <c r="I114" s="33">
        <v>1000</v>
      </c>
    </row>
    <row r="115" spans="3:9" x14ac:dyDescent="0.25">
      <c r="C115" s="4"/>
      <c r="D115" s="4"/>
      <c r="E115" s="4"/>
      <c r="F115" s="4"/>
      <c r="G115" s="4"/>
      <c r="H115" s="4"/>
      <c r="I115" s="33">
        <v>1200</v>
      </c>
    </row>
    <row r="116" spans="3:9" x14ac:dyDescent="0.25">
      <c r="C116" s="4"/>
      <c r="D116" s="4"/>
      <c r="E116" s="4"/>
      <c r="F116" s="4"/>
      <c r="G116" s="4"/>
      <c r="H116" s="4"/>
      <c r="I116" s="33">
        <v>759</v>
      </c>
    </row>
    <row r="117" spans="3:9" x14ac:dyDescent="0.25">
      <c r="C117" s="4"/>
      <c r="D117" s="4"/>
      <c r="E117" s="4"/>
      <c r="F117" s="4"/>
      <c r="G117" s="4"/>
      <c r="H117" s="4"/>
      <c r="I117" s="33">
        <v>1500</v>
      </c>
    </row>
    <row r="118" spans="3:9" x14ac:dyDescent="0.25">
      <c r="C118" s="4"/>
      <c r="D118" s="4"/>
      <c r="E118" s="4"/>
      <c r="F118" s="4"/>
      <c r="G118" s="4"/>
      <c r="H118" s="4"/>
      <c r="I118" s="33">
        <v>1200.5</v>
      </c>
    </row>
    <row r="119" spans="3:9" x14ac:dyDescent="0.25">
      <c r="C119" s="4"/>
      <c r="D119" s="4"/>
      <c r="E119" s="4"/>
      <c r="F119" s="4"/>
      <c r="G119" s="4"/>
      <c r="H119" s="4"/>
      <c r="I119" s="33">
        <v>1700</v>
      </c>
    </row>
    <row r="120" spans="3:9" x14ac:dyDescent="0.25">
      <c r="C120" s="4"/>
      <c r="D120" s="4"/>
      <c r="E120" s="4"/>
      <c r="F120" s="4"/>
      <c r="G120" s="4"/>
      <c r="H120" s="4"/>
      <c r="I120" s="33">
        <v>900</v>
      </c>
    </row>
    <row r="121" spans="3:9" x14ac:dyDescent="0.25">
      <c r="C121" s="4"/>
      <c r="D121" s="4"/>
      <c r="E121" s="4"/>
      <c r="F121" s="4"/>
      <c r="G121" s="4"/>
      <c r="H121" s="4"/>
      <c r="I121" s="33">
        <v>2599</v>
      </c>
    </row>
    <row r="122" spans="3:9" x14ac:dyDescent="0.25">
      <c r="C122" s="4"/>
      <c r="D122" s="4"/>
      <c r="E122" s="4"/>
      <c r="F122" s="4"/>
      <c r="G122" s="4"/>
      <c r="H122" s="4"/>
      <c r="I122" s="33">
        <v>1500</v>
      </c>
    </row>
    <row r="123" spans="3:9" x14ac:dyDescent="0.25">
      <c r="C123" s="4"/>
      <c r="D123" s="4"/>
      <c r="E123" s="4"/>
      <c r="F123" s="4"/>
      <c r="G123" s="4"/>
      <c r="H123" s="4"/>
      <c r="I123" s="33">
        <v>799</v>
      </c>
    </row>
    <row r="124" spans="3:9" x14ac:dyDescent="0.25">
      <c r="C124" s="4"/>
      <c r="D124" s="4"/>
      <c r="E124" s="4"/>
      <c r="F124" s="4"/>
      <c r="G124" s="4"/>
      <c r="H124" s="4"/>
      <c r="I124" s="33">
        <v>800</v>
      </c>
    </row>
    <row r="125" spans="3:9" x14ac:dyDescent="0.25">
      <c r="C125" s="4"/>
      <c r="D125" s="4"/>
      <c r="E125" s="4"/>
      <c r="F125" s="4"/>
      <c r="G125" s="4"/>
      <c r="H125" s="4"/>
      <c r="I125" s="33"/>
    </row>
    <row r="126" spans="3:9" x14ac:dyDescent="0.25">
      <c r="C126" s="4">
        <v>2.2999999999999998</v>
      </c>
      <c r="D126" s="4" t="s">
        <v>116</v>
      </c>
      <c r="E126" s="4" t="s">
        <v>9</v>
      </c>
      <c r="F126" s="4" t="s">
        <v>117</v>
      </c>
      <c r="G126" s="4" t="s">
        <v>120</v>
      </c>
      <c r="H126" s="4" t="s">
        <v>75</v>
      </c>
      <c r="I126" s="33">
        <v>689</v>
      </c>
    </row>
    <row r="127" spans="3:9" x14ac:dyDescent="0.25">
      <c r="C127" s="4"/>
      <c r="D127" s="4"/>
      <c r="E127" s="4"/>
      <c r="F127" s="4"/>
      <c r="G127" s="4"/>
      <c r="H127" s="4"/>
      <c r="I127" s="33">
        <v>900</v>
      </c>
    </row>
    <row r="128" spans="3:9" x14ac:dyDescent="0.25">
      <c r="C128" s="4"/>
      <c r="D128" s="4"/>
      <c r="E128" s="4"/>
      <c r="F128" s="4"/>
      <c r="G128" s="4"/>
      <c r="H128" s="4"/>
      <c r="I128" s="33">
        <v>950</v>
      </c>
    </row>
    <row r="129" spans="3:9" x14ac:dyDescent="0.25">
      <c r="C129" s="4"/>
      <c r="D129" s="4"/>
      <c r="E129" s="4"/>
      <c r="F129" s="4"/>
      <c r="G129" s="4"/>
      <c r="H129" s="4"/>
      <c r="I129" s="33">
        <v>1500</v>
      </c>
    </row>
    <row r="130" spans="3:9" x14ac:dyDescent="0.25">
      <c r="C130" s="4"/>
      <c r="D130" s="4"/>
      <c r="E130" s="4"/>
      <c r="F130" s="4"/>
      <c r="G130" s="4"/>
      <c r="H130" s="4"/>
      <c r="I130" s="33">
        <v>950</v>
      </c>
    </row>
    <row r="131" spans="3:9" x14ac:dyDescent="0.25">
      <c r="C131" s="4"/>
      <c r="D131" s="4"/>
      <c r="E131" s="4"/>
      <c r="F131" s="4"/>
      <c r="G131" s="4"/>
      <c r="H131" s="4"/>
      <c r="I131" s="33">
        <v>925</v>
      </c>
    </row>
    <row r="132" spans="3:9" x14ac:dyDescent="0.25">
      <c r="C132" s="4"/>
      <c r="D132" s="4"/>
      <c r="E132" s="4"/>
      <c r="F132" s="4"/>
      <c r="G132" s="4"/>
      <c r="H132" s="4"/>
      <c r="I132" s="33"/>
    </row>
    <row r="133" spans="3:9" x14ac:dyDescent="0.25">
      <c r="C133" s="4">
        <v>2.4</v>
      </c>
      <c r="D133" s="4" t="s">
        <v>116</v>
      </c>
      <c r="E133" s="4" t="s">
        <v>9</v>
      </c>
      <c r="F133" s="4" t="s">
        <v>117</v>
      </c>
      <c r="G133" s="4" t="s">
        <v>121</v>
      </c>
      <c r="H133" s="4" t="s">
        <v>75</v>
      </c>
      <c r="I133" s="33">
        <v>689</v>
      </c>
    </row>
    <row r="134" spans="3:9" x14ac:dyDescent="0.25">
      <c r="C134" s="4"/>
      <c r="D134" s="4"/>
      <c r="E134" s="4"/>
      <c r="F134" s="4"/>
      <c r="G134" s="4"/>
      <c r="H134" s="4"/>
      <c r="I134" s="33">
        <v>900</v>
      </c>
    </row>
    <row r="135" spans="3:9" x14ac:dyDescent="0.25">
      <c r="C135" s="36"/>
      <c r="D135" s="36"/>
      <c r="E135" s="36"/>
      <c r="F135" s="36"/>
      <c r="G135" s="36"/>
      <c r="H135" s="36"/>
      <c r="I135" s="37">
        <v>1100</v>
      </c>
    </row>
    <row r="136" spans="3:9" x14ac:dyDescent="0.25">
      <c r="C136" s="4"/>
      <c r="D136" s="4"/>
      <c r="E136" s="4"/>
      <c r="F136" s="4"/>
      <c r="G136" s="4"/>
      <c r="H136" s="4"/>
      <c r="I136" s="33">
        <v>701.5</v>
      </c>
    </row>
    <row r="137" spans="3:9" x14ac:dyDescent="0.25">
      <c r="C137" s="4"/>
      <c r="D137" s="4"/>
      <c r="E137" s="4"/>
      <c r="F137" s="4"/>
      <c r="G137" s="4"/>
      <c r="H137" s="4"/>
      <c r="I137" s="33">
        <v>925</v>
      </c>
    </row>
    <row r="138" spans="3:9" x14ac:dyDescent="0.25">
      <c r="C138" s="4"/>
      <c r="D138" s="4"/>
      <c r="E138" s="4"/>
      <c r="F138" s="4"/>
      <c r="G138" s="4"/>
      <c r="H138" s="4"/>
      <c r="I138" s="33">
        <v>1500</v>
      </c>
    </row>
    <row r="139" spans="3:9" x14ac:dyDescent="0.25">
      <c r="C139" s="4"/>
      <c r="D139" s="4"/>
      <c r="E139" s="4"/>
      <c r="F139" s="4"/>
      <c r="G139" s="4"/>
      <c r="H139" s="4"/>
      <c r="I139" s="33">
        <v>1050</v>
      </c>
    </row>
    <row r="140" spans="3:9" x14ac:dyDescent="0.25">
      <c r="C140" s="4"/>
      <c r="D140" s="4"/>
      <c r="E140" s="4"/>
      <c r="F140" s="4"/>
      <c r="G140" s="4"/>
      <c r="H140" s="4"/>
      <c r="I140" s="33">
        <v>2199</v>
      </c>
    </row>
    <row r="141" spans="3:9" x14ac:dyDescent="0.25">
      <c r="C141" s="4"/>
      <c r="D141" s="4"/>
      <c r="E141" s="4"/>
      <c r="F141" s="4"/>
      <c r="G141" s="4"/>
      <c r="H141" s="4"/>
      <c r="I141" s="33">
        <v>2001</v>
      </c>
    </row>
    <row r="142" spans="3:9" x14ac:dyDescent="0.25">
      <c r="C142" s="4"/>
      <c r="D142" s="4"/>
      <c r="E142" s="4"/>
      <c r="F142" s="4"/>
      <c r="G142" s="4"/>
      <c r="H142" s="4"/>
      <c r="I142" s="33">
        <v>1050</v>
      </c>
    </row>
    <row r="143" spans="3:9" x14ac:dyDescent="0.25">
      <c r="C143" s="4"/>
      <c r="D143" s="4"/>
      <c r="E143" s="4"/>
      <c r="F143" s="4"/>
      <c r="G143" s="4"/>
      <c r="H143" s="4"/>
      <c r="I143" s="33">
        <v>937</v>
      </c>
    </row>
    <row r="144" spans="3:9" ht="18.75" x14ac:dyDescent="0.3">
      <c r="C144" s="35" t="s">
        <v>12</v>
      </c>
    </row>
    <row r="146" spans="3:9" ht="23.25" x14ac:dyDescent="0.25">
      <c r="C146" s="25" t="s">
        <v>0</v>
      </c>
      <c r="D146" s="25" t="s">
        <v>1</v>
      </c>
      <c r="E146" s="25" t="s">
        <v>2</v>
      </c>
      <c r="F146" s="25" t="s">
        <v>70</v>
      </c>
      <c r="G146" s="25" t="s">
        <v>71</v>
      </c>
      <c r="H146" s="25" t="s">
        <v>72</v>
      </c>
      <c r="I146" s="26" t="s">
        <v>7</v>
      </c>
    </row>
    <row r="147" spans="3:9" x14ac:dyDescent="0.25">
      <c r="C147" s="4">
        <v>3.1</v>
      </c>
      <c r="D147" s="4" t="s">
        <v>20</v>
      </c>
      <c r="E147" s="4" t="s">
        <v>21</v>
      </c>
      <c r="F147" s="5" t="s">
        <v>122</v>
      </c>
      <c r="G147" s="34" t="s">
        <v>14</v>
      </c>
      <c r="H147" s="4" t="s">
        <v>75</v>
      </c>
      <c r="I147" s="33">
        <v>50000</v>
      </c>
    </row>
    <row r="149" spans="3:9" ht="18.75" x14ac:dyDescent="0.3">
      <c r="C149" s="35" t="s">
        <v>15</v>
      </c>
    </row>
    <row r="151" spans="3:9" ht="23.25" x14ac:dyDescent="0.25">
      <c r="C151" s="25" t="s">
        <v>0</v>
      </c>
      <c r="D151" s="25" t="s">
        <v>1</v>
      </c>
      <c r="E151" s="25" t="s">
        <v>2</v>
      </c>
      <c r="F151" s="25" t="s">
        <v>70</v>
      </c>
      <c r="G151" s="25" t="s">
        <v>71</v>
      </c>
      <c r="H151" s="25" t="s">
        <v>72</v>
      </c>
      <c r="I151" s="26" t="s">
        <v>7</v>
      </c>
    </row>
    <row r="152" spans="3:9" x14ac:dyDescent="0.25">
      <c r="C152" s="4">
        <v>1</v>
      </c>
      <c r="D152" s="4" t="s">
        <v>13</v>
      </c>
      <c r="E152" s="4" t="s">
        <v>9</v>
      </c>
      <c r="F152" s="4" t="s">
        <v>123</v>
      </c>
      <c r="G152" s="4" t="s">
        <v>124</v>
      </c>
      <c r="H152" s="14" t="s">
        <v>115</v>
      </c>
      <c r="I152" s="33">
        <v>1280.5</v>
      </c>
    </row>
    <row r="153" spans="3:9" x14ac:dyDescent="0.25">
      <c r="C153" s="4"/>
      <c r="D153" s="4"/>
      <c r="E153" s="4"/>
      <c r="F153" s="4"/>
      <c r="G153" s="4"/>
      <c r="H153" s="14"/>
      <c r="I153" s="33">
        <v>1500</v>
      </c>
    </row>
    <row r="154" spans="3:9" x14ac:dyDescent="0.25">
      <c r="C154" s="4"/>
      <c r="D154" s="4"/>
      <c r="E154" s="4"/>
      <c r="F154" s="4"/>
      <c r="G154" s="4"/>
      <c r="H154" s="14"/>
      <c r="I154" s="33">
        <v>1500</v>
      </c>
    </row>
    <row r="155" spans="3:9" x14ac:dyDescent="0.25">
      <c r="C155" s="4"/>
      <c r="D155" s="4"/>
      <c r="E155" s="4"/>
      <c r="F155" s="4"/>
      <c r="G155" s="4"/>
      <c r="H155" s="14"/>
      <c r="I155" s="33">
        <v>1460</v>
      </c>
    </row>
    <row r="156" spans="3:9" x14ac:dyDescent="0.25">
      <c r="C156" s="4">
        <f>C152+1</f>
        <v>2</v>
      </c>
      <c r="D156" s="4" t="s">
        <v>13</v>
      </c>
      <c r="E156" s="4" t="s">
        <v>9</v>
      </c>
      <c r="F156" s="4" t="s">
        <v>125</v>
      </c>
      <c r="G156" s="4" t="s">
        <v>126</v>
      </c>
      <c r="H156" s="14" t="s">
        <v>115</v>
      </c>
      <c r="I156" s="33">
        <v>1387.25</v>
      </c>
    </row>
    <row r="157" spans="3:9" x14ac:dyDescent="0.25">
      <c r="C157" s="4"/>
      <c r="D157" s="4"/>
      <c r="E157" s="4"/>
      <c r="F157" s="4"/>
      <c r="G157" s="4"/>
      <c r="H157" s="14"/>
      <c r="I157" s="33">
        <v>1500</v>
      </c>
    </row>
    <row r="158" spans="3:9" x14ac:dyDescent="0.25">
      <c r="C158" s="4"/>
      <c r="D158" s="4"/>
      <c r="E158" s="4"/>
      <c r="F158" s="4"/>
      <c r="G158" s="4"/>
      <c r="H158" s="14"/>
      <c r="I158" s="33">
        <v>5000</v>
      </c>
    </row>
    <row r="159" spans="3:9" x14ac:dyDescent="0.25">
      <c r="C159" s="4"/>
      <c r="D159" s="4"/>
      <c r="E159" s="4"/>
      <c r="F159" s="4"/>
      <c r="G159" s="4"/>
      <c r="H159" s="14"/>
      <c r="I159" s="33">
        <v>2287.5</v>
      </c>
    </row>
    <row r="160" spans="3:9" x14ac:dyDescent="0.25">
      <c r="C160" s="4"/>
      <c r="D160" s="4"/>
      <c r="E160" s="4"/>
      <c r="F160" s="4"/>
      <c r="G160" s="4"/>
      <c r="H160" s="14"/>
      <c r="I160" s="33">
        <v>3500</v>
      </c>
    </row>
    <row r="161" spans="3:9" x14ac:dyDescent="0.25">
      <c r="C161" s="4"/>
      <c r="D161" s="4"/>
      <c r="E161" s="4"/>
      <c r="F161" s="4"/>
      <c r="G161" s="4"/>
      <c r="H161" s="14"/>
      <c r="I161" s="33">
        <v>1527</v>
      </c>
    </row>
    <row r="162" spans="3:9" x14ac:dyDescent="0.25">
      <c r="C162" s="4"/>
      <c r="D162" s="4"/>
      <c r="E162" s="4"/>
      <c r="F162" s="4"/>
      <c r="G162" s="4"/>
      <c r="H162" s="14"/>
      <c r="I162" s="33">
        <v>1600</v>
      </c>
    </row>
    <row r="163" spans="3:9" ht="14.25" customHeight="1" x14ac:dyDescent="0.25">
      <c r="C163" s="4">
        <f>C156+1</f>
        <v>3</v>
      </c>
      <c r="D163" s="4" t="s">
        <v>13</v>
      </c>
      <c r="E163" s="4" t="s">
        <v>9</v>
      </c>
      <c r="F163" s="4" t="s">
        <v>127</v>
      </c>
      <c r="G163" s="4" t="s">
        <v>128</v>
      </c>
      <c r="H163" s="14" t="s">
        <v>115</v>
      </c>
      <c r="I163" s="33">
        <v>1252.3500000000001</v>
      </c>
    </row>
    <row r="164" spans="3:9" x14ac:dyDescent="0.25">
      <c r="C164" s="4"/>
      <c r="D164" s="4"/>
      <c r="E164" s="4"/>
      <c r="F164" s="4"/>
      <c r="G164" s="4"/>
      <c r="H164" s="14"/>
      <c r="I164" s="33">
        <v>1500</v>
      </c>
    </row>
    <row r="165" spans="3:9" x14ac:dyDescent="0.25">
      <c r="C165" s="4"/>
      <c r="D165" s="4"/>
      <c r="E165" s="4"/>
      <c r="F165" s="4"/>
      <c r="G165" s="4"/>
      <c r="H165" s="14"/>
      <c r="I165" s="33">
        <v>1755</v>
      </c>
    </row>
    <row r="166" spans="3:9" x14ac:dyDescent="0.25">
      <c r="C166" s="4"/>
      <c r="D166" s="4"/>
      <c r="E166" s="4"/>
      <c r="F166" s="4"/>
      <c r="G166" s="4"/>
      <c r="H166" s="14"/>
      <c r="I166" s="33">
        <v>2000</v>
      </c>
    </row>
    <row r="167" spans="3:9" x14ac:dyDescent="0.25">
      <c r="C167" s="4"/>
      <c r="D167" s="4"/>
      <c r="E167" s="4"/>
      <c r="F167" s="4"/>
      <c r="G167" s="4"/>
      <c r="H167" s="14"/>
      <c r="I167" s="33">
        <v>1392</v>
      </c>
    </row>
    <row r="168" spans="3:9" x14ac:dyDescent="0.25">
      <c r="C168" s="4"/>
      <c r="D168" s="4"/>
      <c r="E168" s="4"/>
      <c r="F168" s="4"/>
      <c r="G168" s="4"/>
      <c r="H168" s="14"/>
      <c r="I168" s="33">
        <v>1600</v>
      </c>
    </row>
    <row r="169" spans="3:9" x14ac:dyDescent="0.25">
      <c r="C169" s="4"/>
      <c r="D169" s="4"/>
      <c r="E169" s="4"/>
      <c r="F169" s="4"/>
      <c r="G169" s="4"/>
      <c r="H169" s="14"/>
      <c r="I169" s="33"/>
    </row>
    <row r="170" spans="3:9" x14ac:dyDescent="0.25">
      <c r="C170" s="4">
        <f t="shared" ref="C170" si="0">C163+1</f>
        <v>4</v>
      </c>
      <c r="D170" s="4" t="s">
        <v>13</v>
      </c>
      <c r="E170" s="4" t="s">
        <v>9</v>
      </c>
      <c r="F170" s="4" t="s">
        <v>123</v>
      </c>
      <c r="G170" s="4" t="s">
        <v>129</v>
      </c>
      <c r="H170" s="14" t="s">
        <v>115</v>
      </c>
      <c r="I170" s="33">
        <v>1280.5</v>
      </c>
    </row>
    <row r="171" spans="3:9" x14ac:dyDescent="0.25">
      <c r="C171" s="4"/>
      <c r="D171" s="4"/>
      <c r="E171" s="4"/>
      <c r="F171" s="4"/>
      <c r="G171" s="4"/>
      <c r="H171" s="4"/>
      <c r="I171" s="33">
        <v>1500</v>
      </c>
    </row>
    <row r="172" spans="3:9" x14ac:dyDescent="0.25">
      <c r="C172" s="4"/>
      <c r="D172" s="4"/>
      <c r="E172" s="4"/>
      <c r="F172" s="4"/>
      <c r="G172" s="4"/>
      <c r="H172" s="4"/>
      <c r="I172" s="33">
        <v>1500</v>
      </c>
    </row>
    <row r="173" spans="3:9" x14ac:dyDescent="0.25">
      <c r="C173" s="4"/>
      <c r="D173" s="4"/>
      <c r="E173" s="4"/>
      <c r="F173" s="4"/>
      <c r="G173" s="4"/>
      <c r="H173" s="4"/>
      <c r="I173" s="33">
        <v>1755</v>
      </c>
    </row>
    <row r="174" spans="3:9" x14ac:dyDescent="0.25">
      <c r="C174" s="4"/>
      <c r="D174" s="4"/>
      <c r="E174" s="4"/>
      <c r="F174" s="4"/>
      <c r="G174" s="4"/>
      <c r="H174" s="4"/>
      <c r="I174" s="33">
        <v>3000</v>
      </c>
    </row>
    <row r="175" spans="3:9" x14ac:dyDescent="0.25">
      <c r="C175" s="4"/>
      <c r="D175" s="4"/>
      <c r="E175" s="4"/>
      <c r="F175" s="4"/>
      <c r="G175" s="4"/>
      <c r="H175" s="4"/>
      <c r="I175" s="33">
        <v>1480.5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btnPrint">
          <controlPr defaultSize="0" autoLine="0" r:id="rId5">
            <anchor moveWithCells="1">
              <from>
                <xdr:col>7</xdr:col>
                <xdr:colOff>28575</xdr:colOff>
                <xdr:row>3</xdr:row>
                <xdr:rowOff>57150</xdr:rowOff>
              </from>
              <to>
                <xdr:col>8</xdr:col>
                <xdr:colOff>1533525</xdr:colOff>
                <xdr:row>5</xdr:row>
                <xdr:rowOff>9525</xdr:rowOff>
              </to>
            </anchor>
          </controlPr>
        </control>
      </mc:Choice>
      <mc:Fallback>
        <control shapeId="2051" r:id="rId4" name="btnPrin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MaputoBundle7</vt:lpstr>
      <vt:lpstr>Maputo Bundle6</vt:lpstr>
      <vt:lpstr>Beira</vt:lpstr>
      <vt:lpstr>CONTROLE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Nelson Mascarenhas</dc:creator>
  <cp:lastModifiedBy>Ivanildo Junior</cp:lastModifiedBy>
  <cp:lastPrinted>2018-02-14T18:34:08Z</cp:lastPrinted>
  <dcterms:created xsi:type="dcterms:W3CDTF">2017-05-18T14:46:05Z</dcterms:created>
  <dcterms:modified xsi:type="dcterms:W3CDTF">2018-02-14T18:35:47Z</dcterms:modified>
</cp:coreProperties>
</file>