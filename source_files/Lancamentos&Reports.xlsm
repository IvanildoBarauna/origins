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eb7de8363f840a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wbBPAManager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esktop\NovoBPA\DIRETÓRIO\"/>
    </mc:Choice>
  </mc:AlternateContent>
  <xr:revisionPtr revIDLastSave="0" documentId="13_ncr:1_{AB293490-4172-403D-942A-35AE91C50F2A}" xr6:coauthVersionLast="34" xr6:coauthVersionMax="34" xr10:uidLastSave="{00000000-0000-0000-0000-000000000000}"/>
  <bookViews>
    <workbookView xWindow="0" yWindow="0" windowWidth="20490" windowHeight="6930" tabRatio="865" activeTab="3" xr2:uid="{00000000-000D-0000-FFFF-FFFF00000000}"/>
  </bookViews>
  <sheets>
    <sheet name="Cover" sheetId="13" r:id="rId1"/>
    <sheet name="LançamentosProcedimentos" sheetId="10" state="hidden" r:id="rId2"/>
    <sheet name="Cadastros" sheetId="7" r:id="rId3"/>
    <sheet name="RelatórioConsultas" sheetId="14" r:id="rId4"/>
    <sheet name="RelatórioProcedimentos" sheetId="15" r:id="rId5"/>
  </sheets>
  <functionGroups builtInGroupCount="19"/>
  <definedNames>
    <definedName name="_xlnm._FilterDatabase" localSheetId="1" hidden="1">LançamentosProcedimentos!#REF!</definedName>
    <definedName name="_xlcn.WorksheetConnection_wbBPAManager.xlsmtbCadastroProfissional" hidden="1">tbCadastroProfissional[]</definedName>
    <definedName name="_xlcn.WorksheetConnection_wbBPAManager.xlsmtbProcedimentos" hidden="1">tbProcedimentos[]</definedName>
  </definedNames>
  <calcPr calcId="179017"/>
  <pivotCaches>
    <pivotCache cacheId="119" r:id="rId6"/>
    <pivotCache cacheId="118" r:id="rId7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8" i="7" l="1"/>
  <c r="A27" i="7"/>
  <c r="I26" i="7"/>
  <c r="A26" i="7"/>
  <c r="I25" i="7"/>
  <c r="A25" i="7"/>
  <c r="I24" i="7"/>
  <c r="A24" i="7"/>
  <c r="I23" i="7"/>
  <c r="A23" i="7"/>
  <c r="I22" i="7"/>
  <c r="A22" i="7"/>
  <c r="I21" i="7"/>
  <c r="A21" i="7"/>
  <c r="I20" i="7"/>
  <c r="A20" i="7"/>
  <c r="I19" i="7"/>
  <c r="A19" i="7"/>
  <c r="I18" i="7"/>
  <c r="A18" i="7"/>
  <c r="I17" i="7"/>
  <c r="A17" i="7"/>
  <c r="I16" i="7"/>
  <c r="E16" i="7"/>
  <c r="A16" i="7"/>
  <c r="I15" i="7"/>
  <c r="E15" i="7"/>
  <c r="A15" i="7"/>
  <c r="I14" i="7"/>
  <c r="E14" i="7"/>
  <c r="A14" i="7"/>
  <c r="I13" i="7"/>
  <c r="E13" i="7"/>
  <c r="A13" i="7"/>
  <c r="I12" i="7"/>
  <c r="E12" i="7"/>
  <c r="A12" i="7"/>
  <c r="I11" i="7"/>
  <c r="E11" i="7"/>
  <c r="A11" i="7"/>
  <c r="I10" i="7"/>
  <c r="E10" i="7"/>
  <c r="A10" i="7"/>
  <c r="I9" i="7"/>
  <c r="E9" i="7"/>
  <c r="A9" i="7"/>
  <c r="I8" i="7"/>
  <c r="E8" i="7"/>
  <c r="A8" i="7"/>
  <c r="I7" i="7"/>
  <c r="E7" i="7"/>
  <c r="A7" i="7"/>
  <c r="I6" i="7"/>
  <c r="E6" i="7"/>
  <c r="A6" i="7"/>
  <c r="I5" i="7"/>
  <c r="E5" i="7"/>
  <c r="A5" i="7"/>
  <c r="I4" i="7"/>
  <c r="E4" i="7"/>
  <c r="A4" i="7"/>
  <c r="I3" i="7"/>
  <c r="E3" i="7"/>
  <c r="A3" i="7"/>
  <c r="I2" i="7"/>
  <c r="E2" i="7"/>
  <c r="A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1EFB73-9831-4F95-B461-91DB1A4C6DD9}" sourceFile="D:\Junior &amp; Cris\Desktop\NovoBPA\DIRETÓRIO\dbBPA.mdb" keepAlive="1" name="tbConsultas.Connection" description="Conexão realizada para trazer os dados de tbConsultas do Banco de Dados." type="5" refreshedVersion="6" background="1" refreshOnLoad="1" saveData="1">
    <dbPr connection="Provider=Microsoft.ACE.OLEDB.12.0;User ID=Admin;Data Source=D:\Junior &amp; Cris\Desktop\NovoBPA\DIRETÓRIO\dbBPA.mdb;Mode=Read;Extended Properties=&quot;;Jet OLEDB:System database=&quot;;Jet OLEDB:Registry Path=&quot;;Jet OLEDB:Engine Type=5;Jet OLEDB:Database Locking Mode=0;Jet OLEDB:Global Partial Bulk Ops=2;Jet OLEDB:Global Bulk Transactions=1;Jet OLEDB:New Database Password=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Consultas" commandType="3"/>
  </connection>
  <connection id="2" xr16:uid="{22D5FAFD-C0B4-4F60-8FE4-12E230290AAF}" sourceFile="D:\Junior &amp; Cris\Desktop\NovoBPA\DIRETÓRIO\dbBPA.mdb" keepAlive="1" name="tbProcedimentos.Connection" description="Conexão com a tabela tbProcedimentos do DB." type="5" refreshedVersion="6" background="1" refreshOnLoad="1" saveData="1">
    <dbPr connection="Provider=Microsoft.ACE.OLEDB.12.0;User ID=Admin;Data Source=D:\Junior &amp; Cris\Desktop\NovoBPA\DIRETÓRIO\dbBPA.mdb;Mode=Read;Extended Properties=&quot;;Jet OLEDB:System database=&quot;;Jet OLEDB:Registry Path=&quot;;Jet OLEDB:Engine Type=5;Jet OLEDB:Database Locking Mode=0;Jet OLEDB:Global Partial Bulk Ops=2;Jet OLEDB:Global Bulk Transactions=1;Jet OLEDB:New Database Password=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Procedimentos" commandType="3"/>
  </connection>
</connections>
</file>

<file path=xl/sharedStrings.xml><?xml version="1.0" encoding="utf-8"?>
<sst xmlns="http://schemas.openxmlformats.org/spreadsheetml/2006/main" count="424" uniqueCount="157">
  <si>
    <t>PUERICULTURA PEDIATRIA</t>
  </si>
  <si>
    <t>PSICOLOGIA</t>
  </si>
  <si>
    <t>ENFERMAGEM</t>
  </si>
  <si>
    <t>PRÉ NATAL</t>
  </si>
  <si>
    <t>GINECOLOGIA</t>
  </si>
  <si>
    <t>ENFERMAGEM PACS</t>
  </si>
  <si>
    <t>CLÍNICO</t>
  </si>
  <si>
    <t>PEDIATRIA</t>
  </si>
  <si>
    <t>PUERPÉRIO GO</t>
  </si>
  <si>
    <t>PUERPÉRIO ENFERMAGEM</t>
  </si>
  <si>
    <t>M.E.S.F. GO, CL, PED</t>
  </si>
  <si>
    <t>PRÉ NATAL ENFERMAGEM</t>
  </si>
  <si>
    <t>NUTRIÇÃO</t>
  </si>
  <si>
    <t>M.E.S.F. PUERICULTURA</t>
  </si>
  <si>
    <t>M.E.S.F. PRÉ NATAL</t>
  </si>
  <si>
    <t xml:space="preserve">PSIQUIATRIA </t>
  </si>
  <si>
    <t>M.E.S.F. PUERPÉRIO</t>
  </si>
  <si>
    <t>PUERPÉRIO ENFERMAGEM PACS</t>
  </si>
  <si>
    <t>DATA INICIAL</t>
  </si>
  <si>
    <t>PROFISSIONAL</t>
  </si>
  <si>
    <t>GRUPO NUTRIÇÃO</t>
  </si>
  <si>
    <t>ENFERMEIRO (A)</t>
  </si>
  <si>
    <t>TESTE RAPIDO DE HEPATITE</t>
  </si>
  <si>
    <t>ENFERMEIRO (A) PACS</t>
  </si>
  <si>
    <t>TESTE RAPIDO PARA SIFILIS</t>
  </si>
  <si>
    <t>TESTE RAPIDO PARA HIV</t>
  </si>
  <si>
    <t>GRUPO ENFERMAGEM</t>
  </si>
  <si>
    <t>PSICÓLOGO (A)</t>
  </si>
  <si>
    <t>GRUPO PSICOLOGIA</t>
  </si>
  <si>
    <t>FONOAUDIÓLOGO (A)</t>
  </si>
  <si>
    <t>FONO_5</t>
  </si>
  <si>
    <t>FONO_4</t>
  </si>
  <si>
    <t>FONO_3</t>
  </si>
  <si>
    <t>FONO_2</t>
  </si>
  <si>
    <t>FONO_1</t>
  </si>
  <si>
    <t>GINECOLOGISTA</t>
  </si>
  <si>
    <t>CAUTERIZAÇAO</t>
  </si>
  <si>
    <t>DIU</t>
  </si>
  <si>
    <t>M.E.S.F.</t>
  </si>
  <si>
    <t>VISITA DOMICILIAR</t>
  </si>
  <si>
    <t>AGENTE C. SAÚDE</t>
  </si>
  <si>
    <t>TÉC. DE ENFERMAGEM</t>
  </si>
  <si>
    <t>AUX. ENFERMAGEM</t>
  </si>
  <si>
    <t>EX. LAB</t>
  </si>
  <si>
    <t>INSULINA</t>
  </si>
  <si>
    <t>TESTE DE GRAVIDEZ</t>
  </si>
  <si>
    <t>RETIRADA DE PONTO</t>
  </si>
  <si>
    <t xml:space="preserve">GLICEMIA </t>
  </si>
  <si>
    <t>PRESSÃO ARTERIAL</t>
  </si>
  <si>
    <t>CLÍNICO (A) GERAL</t>
  </si>
  <si>
    <t>ECG</t>
  </si>
  <si>
    <t>PAPANICOLAU</t>
  </si>
  <si>
    <t>CURATIVO</t>
  </si>
  <si>
    <t>INALAÇÃO</t>
  </si>
  <si>
    <t>QUANTIDADE</t>
  </si>
  <si>
    <t>Nº: CBO</t>
  </si>
  <si>
    <t>D.I.U</t>
  </si>
  <si>
    <t>GRUPO M.E.S.F.</t>
  </si>
  <si>
    <t>PROCEDIMENTO</t>
  </si>
  <si>
    <t>PSIQUIATRA</t>
  </si>
  <si>
    <t>PROFISSIONALTST</t>
  </si>
  <si>
    <t>PEDIATRA</t>
  </si>
  <si>
    <t>ODONTÓLOGO (A)</t>
  </si>
  <si>
    <t>CÓD. PROCED.</t>
  </si>
  <si>
    <t>CÓD. DO PROCED.</t>
  </si>
  <si>
    <t>Nº DE CBO</t>
  </si>
  <si>
    <t>FONO</t>
  </si>
  <si>
    <t>NEURO</t>
  </si>
  <si>
    <t>ODONTOLOGIA</t>
  </si>
  <si>
    <t>PRÉ NATAL ENFERMAGEM PACS</t>
  </si>
  <si>
    <t>PUERICULTURA ENFERMAGEM</t>
  </si>
  <si>
    <t>PUERICULTURA ENFERMAGEM PACS</t>
  </si>
  <si>
    <t>DATA FINAL</t>
  </si>
  <si>
    <t>ANO</t>
  </si>
  <si>
    <t>MÊS</t>
  </si>
  <si>
    <t>ID</t>
  </si>
  <si>
    <t>MEDICAÇÃO</t>
  </si>
  <si>
    <t>NOME PROCED-PROFISSIONAL</t>
  </si>
  <si>
    <t>CÓD. PROCED - CBO</t>
  </si>
  <si>
    <t>MEDICAÇÃO-TÉC. DE ENFERMAGEM</t>
  </si>
  <si>
    <t>301100020-322245</t>
  </si>
  <si>
    <t>CURATIVO-AUX. ENFERMAGEM</t>
  </si>
  <si>
    <t>401010023-322230</t>
  </si>
  <si>
    <t>CURATIVO-ENFERMEIRO (A) PACS</t>
  </si>
  <si>
    <t>401010023-223565</t>
  </si>
  <si>
    <t>PRESSÃO ARTERIAL-TÉC. DE ENFERMAGEM</t>
  </si>
  <si>
    <t>301100039-322245</t>
  </si>
  <si>
    <t>CURATIVO-TÉC. DE ENFERMAGEM</t>
  </si>
  <si>
    <t>401010023-322245</t>
  </si>
  <si>
    <t>MEDICAÇÃO-AUX. ENFERMAGEM</t>
  </si>
  <si>
    <t>301100020-322230</t>
  </si>
  <si>
    <t>PRESSÃO ARTERIAL-AUX. ENFERMAGEM</t>
  </si>
  <si>
    <t>301100039-322230</t>
  </si>
  <si>
    <t>EX. LAB-AUX. ENFERMAGEM</t>
  </si>
  <si>
    <t>201020041-322230</t>
  </si>
  <si>
    <t>VISITA DOMICILIAR-AGENTE C. SAÚDE</t>
  </si>
  <si>
    <t>101030010-515105</t>
  </si>
  <si>
    <t>GRUPO ENFERMAGEM-ENFERMEIRO (A) PACS</t>
  </si>
  <si>
    <t>101010010-223565</t>
  </si>
  <si>
    <t>EX. LAB-ENFERMEIRO (A)</t>
  </si>
  <si>
    <t>201020041-223505</t>
  </si>
  <si>
    <t>TESTE DE GRAVIDEZ-AUX. ENFERMAGEM</t>
  </si>
  <si>
    <t>214010066-322230</t>
  </si>
  <si>
    <t>GLICEMIA -AUX. ENFERMAGEM</t>
  </si>
  <si>
    <t>214010015-322230</t>
  </si>
  <si>
    <t>INALAÇÃO-TÉC. DE ENFERMAGEM</t>
  </si>
  <si>
    <t>301100101-322245</t>
  </si>
  <si>
    <t>GRUPO PSICOLOGIA-PSICÓLOGO (A)</t>
  </si>
  <si>
    <t>301040044-251510</t>
  </si>
  <si>
    <t>RETIRADA DE PONTO-AUX. ENFERMAGEM</t>
  </si>
  <si>
    <t>301100152-322230</t>
  </si>
  <si>
    <t>PAPANICOLAU-ENFERMEIRO (A) PACS</t>
  </si>
  <si>
    <t>201020033-223565</t>
  </si>
  <si>
    <t>RETIRADA DE PONTO-TÉC. DE ENFERMAGEM</t>
  </si>
  <si>
    <t>301100152-322245</t>
  </si>
  <si>
    <t>RETIRADA DE PONTO-ENFERMEIRO (A)</t>
  </si>
  <si>
    <t>301100152-223505</t>
  </si>
  <si>
    <t>GRUPO NUTRIÇÃO-NUTRIÇÃO</t>
  </si>
  <si>
    <t>101010010-223710</t>
  </si>
  <si>
    <t>GRUPO ENFERMAGEM-ENFERMEIRO (A)</t>
  </si>
  <si>
    <t>101010010-223505</t>
  </si>
  <si>
    <t>RETIRADA DE PONTO-ENFERMEIRO (A) PACS</t>
  </si>
  <si>
    <t>301100152-223565</t>
  </si>
  <si>
    <t>MEDICAÇÃO-ENFERMEIRO (A)</t>
  </si>
  <si>
    <t>301100020-223505</t>
  </si>
  <si>
    <t>GRUPO M.E.S.F.-M.E.S.F.</t>
  </si>
  <si>
    <t>101010010-225142</t>
  </si>
  <si>
    <t>EX. LAB-ENFERMEIRO (A) PACS</t>
  </si>
  <si>
    <t>201020041-223565</t>
  </si>
  <si>
    <t>PAPANICOLAU-ENFERMEIRO (A)</t>
  </si>
  <si>
    <t>201020033-223505</t>
  </si>
  <si>
    <t>TESTE DE GRAVIDEZ-TÉC. DE ENFERMAGEM</t>
  </si>
  <si>
    <t>214010066-322245</t>
  </si>
  <si>
    <t>PUERPÉRIO</t>
  </si>
  <si>
    <t>INALAÇÃO-AUX. ENFERMAGEM</t>
  </si>
  <si>
    <t>301100101-322230</t>
  </si>
  <si>
    <t>VISITA DOMICILIAR-AUX. ENFERMAGEM</t>
  </si>
  <si>
    <t>101030010-322230</t>
  </si>
  <si>
    <t>TESTE RAPIDO PARA HIV-ENFERMEIRO (A)</t>
  </si>
  <si>
    <t>214010058-223505</t>
  </si>
  <si>
    <t>TESTE RAPIDO PARA SIFILIS-ENFERMEIRO (A)</t>
  </si>
  <si>
    <t>214010074-223505</t>
  </si>
  <si>
    <t>EX. LAB-TÉC. DE ENFERMAGEM</t>
  </si>
  <si>
    <t>201020041-322245</t>
  </si>
  <si>
    <t>ECG-TÉC. DE ENFERMAGEM</t>
  </si>
  <si>
    <t>211020036-322245</t>
  </si>
  <si>
    <t>Junho</t>
  </si>
  <si>
    <t>21/05/2018</t>
  </si>
  <si>
    <t>YEAR_NUM</t>
  </si>
  <si>
    <t>(Tudo)</t>
  </si>
  <si>
    <t>MONTH_NAME</t>
  </si>
  <si>
    <t>PROFESSIONAL</t>
  </si>
  <si>
    <t>CBO_CODE</t>
  </si>
  <si>
    <t>Contagem de IDADE</t>
  </si>
  <si>
    <t>NOMEPROCED_PROFISSIONAL</t>
  </si>
  <si>
    <t>CODPROC_CODCBO</t>
  </si>
  <si>
    <t>Soma de 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</si>
</sst>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484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Fill="1"/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14" fontId="3" fillId="0" borderId="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0" fillId="0" borderId="0" xfId="0" pivotButton="1"/>
  </cellXfs>
  <cellStyles count="2">
    <cellStyle name="Normal" xfId="0" builtinId="0"/>
    <cellStyle name="Normal 2" xfId="1" xr:uid="{00000000-0005-0000-0000-000001000000}"/>
  </cellStyles>
  <dxfs count="3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textRotation="0" wrapText="0" indent="0" justifyLastLine="0" shrinkToFit="0" readingOrder="0"/>
    </dxf>
    <dxf>
      <font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top style="thin">
          <color theme="8" tint="0.39997558519241921"/>
        </top>
        <bottom style="thin">
          <color theme="8" tint="0.39997558519241921"/>
        </bottom>
      </border>
    </dxf>
    <dxf>
      <font>
        <b/>
        <color theme="1"/>
      </font>
      <border>
        <bottom style="thin">
          <color theme="8" tint="0.79998168889431442"/>
        </bottom>
      </border>
    </dxf>
    <dxf>
      <border>
        <left style="thin">
          <color theme="8" tint="0.79998168889431442"/>
        </left>
        <right style="thin">
          <color theme="8" tint="0.79998168889431442"/>
        </right>
      </border>
    </dxf>
    <dxf>
      <fill>
        <patternFill patternType="solid">
          <fgColor theme="8" tint="0.39997558519241921"/>
          <bgColor theme="8" tint="0.39997558519241921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bottom style="thin">
          <color theme="8"/>
        </bottom>
        <horizontal style="thin">
          <color theme="8" tint="-0.499984740745262"/>
        </horizontal>
      </border>
    </dxf>
    <dxf>
      <font>
        <color theme="1"/>
      </font>
      <fill>
        <patternFill patternType="solid">
          <fgColor theme="8" tint="0.59999389629810485"/>
          <bgColor theme="8" tint="0.59999389629810485"/>
        </patternFill>
      </fill>
      <border>
        <horizontal style="thin">
          <color theme="8" tint="0.79998168889431442"/>
        </horizontal>
      </border>
    </dxf>
  </dxfs>
  <tableStyles count="1" defaultTableStyle="TableStyleMedium2" defaultPivotStyle="PivotStyleLight16">
    <tableStyle name="TBL_DIN_CUSTOM" table="0" count="10" xr9:uid="{00000000-0011-0000-FFFF-FFFF00000000}">
      <tableStyleElement type="wholeTable" dxfId="36"/>
      <tableStyleElement type="headerRow" dxfId="35"/>
      <tableStyleElement type="totalRow" dxfId="34"/>
      <tableStyleElement type="secondRowStripe" dxfId="33"/>
      <tableStyleElement type="secondColumnStripe" dxfId="32"/>
      <tableStyleElement type="first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</tableStyles>
  <colors>
    <mruColors>
      <color rgb="FF004846"/>
      <color rgb="FF006666"/>
      <color rgb="FF00808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Ivanildo Junior" refreshedDate="43289.688053587961" backgroundQuery="1" createdVersion="6" refreshedVersion="6" minRefreshableVersion="3" recordCount="0" xr:uid="{3258340E-2BC8-4B82-88AD-C13151881BF9}">
  <cacheSource type="external" connectionId="2"/>
  <cacheFields count="10">
    <cacheField name="ID" numFmtId="0">
      <sharedItems containsSemiMixedTypes="0" containsString="0"/>
    </cacheField>
    <cacheField name="PROFESSIONAL" numFmtId="0">
      <sharedItems containsSemiMixedTypes="0" containsString="0"/>
    </cacheField>
    <cacheField name="PROCEDIMENTO" numFmtId="0">
      <sharedItems containsSemiMixedTypes="0" containsString="0"/>
    </cacheField>
    <cacheField name="QUANTIDADE" numFmtId="0">
      <sharedItems containsSemiMixedTypes="0" containsString="0"/>
    </cacheField>
    <cacheField name="INITIAL_DATE" numFmtId="0">
      <sharedItems containsSemiMixedTypes="0" containsNonDate="0" containsString="0"/>
    </cacheField>
    <cacheField name="FINAL_DATE" numFmtId="0">
      <sharedItems containsSemiMixedTypes="0" containsNonDate="0" containsString="0"/>
    </cacheField>
    <cacheField name="YEAR_NUM" numFmtId="0">
      <sharedItems containsSemiMixedTypes="0" containsString="0"/>
    </cacheField>
    <cacheField name="MONTH_NAME" numFmtId="0">
      <sharedItems containsSemiMixedTypes="0" containsString="0"/>
    </cacheField>
    <cacheField name="CODPROC_CODCBO" numFmtId="0">
      <sharedItems containsSemiMixedTypes="0" containsString="0"/>
    </cacheField>
    <cacheField name="NOMEPROCED_PROFISSIONAL" numFmtId="0">
      <sharedItems containsSemiMixedTypes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Ivanildo Junior" refreshedDate="43289.688146759261" backgroundQuery="1" createdVersion="6" refreshedVersion="6" minRefreshableVersion="3" recordCount="0" xr:uid="{09B6675C-0A7F-41AD-88E9-68D9436EE8EB}">
  <cacheSource type="external" connectionId="1"/>
  <cacheFields count="11">
    <cacheField name="ID" numFmtId="0">
      <sharedItems containsSemiMixedTypes="0" containsString="0"/>
    </cacheField>
    <cacheField name="REG_TIME" numFmtId="0">
      <sharedItems containsSemiMixedTypes="0" containsNonDate="0" containsString="0"/>
    </cacheField>
    <cacheField name="PROFESSIONAL" numFmtId="0">
      <sharedItems containsSemiMixedTypes="0" containsString="0"/>
    </cacheField>
    <cacheField name="BORN_DATE" numFmtId="0">
      <sharedItems containsSemiMixedTypes="0" containsNonDate="0" containsString="0"/>
    </cacheField>
    <cacheField name="IDADE" numFmtId="0">
      <sharedItems containsSemiMixedTypes="0" containsString="0"/>
    </cacheField>
    <cacheField name="INITIAL_DATE" numFmtId="0">
      <sharedItems containsSemiMixedTypes="0" containsNonDate="0" containsString="0"/>
    </cacheField>
    <cacheField name="FINAL_DATE" numFmtId="0">
      <sharedItems containsSemiMixedTypes="0" containsNonDate="0" containsString="0"/>
    </cacheField>
    <cacheField name="YEAR_NUM" numFmtId="0">
      <sharedItems containsSemiMixedTypes="0" containsString="0"/>
    </cacheField>
    <cacheField name="MONTH_NAME" numFmtId="0">
      <sharedItems containsSemiMixedTypes="0" containsString="0"/>
    </cacheField>
    <cacheField name="PROC_CODE" numFmtId="0">
      <sharedItems containsSemiMixedTypes="0" containsString="0"/>
    </cacheField>
    <cacheField name="CBO_CODE" numFmtId="0">
      <sharedItems containsSemiMixedTypes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0"/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0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062A09-BED0-45CF-A457-F0AD5A6041D6}" name="Tabela dinâmica2" cacheId="1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fieldListSortAscending="1">
  <location ref="A4:C4" firstHeaderRow="1" firstDataRow="1" firstDataCol="2" rowPageCount="2" colPageCount="1"/>
  <pivotFields count="11">
    <pivotField compact="0" outline="0" showAll="0"/>
    <pivotField compact="0" outline="0" showAll="0"/>
    <pivotField axis="axisRow" compact="0" outline="0" showAll="0">
      <items count="1"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axis="axisPage" compact="0" outline="0" showAll="0">
      <items count="1">
        <item t="default"/>
      </items>
    </pivotField>
    <pivotField axis="axisPage" compact="0" outline="0" showAll="0">
      <items count="1">
        <item t="default"/>
      </items>
    </pivotField>
    <pivotField compact="0" outline="0" showAll="0"/>
    <pivotField axis="axisRow" compact="0" outline="0" showAll="0">
      <items count="1">
        <item t="default"/>
      </items>
    </pivotField>
  </pivotFields>
  <rowFields count="2">
    <field x="2"/>
    <field x="10"/>
  </rowFields>
  <pageFields count="2">
    <pageField fld="7" hier="-1"/>
    <pageField fld="8" hier="-1"/>
  </pageFields>
  <dataFields count="1">
    <dataField name="Contagem de IDADE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1D48BF-C4D3-4988-9740-44057F76D9C2}" name="Tabela dinâmica3" cacheId="11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fieldListSortAscending="1">
  <location ref="A4:C4" firstHeaderRow="1" firstDataRow="1" firstDataCol="2" rowPageCount="2" colPageCount="1"/>
  <pivotFields count="10"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Page" compact="0" outline="0" showAll="0">
      <items count="1">
        <item t="default"/>
      </items>
    </pivotField>
    <pivotField axis="axisPage" compact="0" outline="0" showAll="0">
      <items count="1">
        <item t="default"/>
      </items>
    </pivotField>
    <pivotField axis="axisRow" compact="0" outline="0" showAll="0">
      <items count="1">
        <item t="default"/>
      </items>
    </pivotField>
    <pivotField axis="axisRow" compact="0" outline="0" showAll="0">
      <items count="1">
        <item t="default"/>
      </items>
    </pivotField>
  </pivotFields>
  <rowFields count="2">
    <field x="9"/>
    <field x="8"/>
  </rowFields>
  <pageFields count="2">
    <pageField fld="6" hier="-1"/>
    <pageField fld="7" hier="-1"/>
  </pageFields>
  <dataFields count="1">
    <dataField name="Soma de QUANTIDADE" fld="3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bProcedimentos" displayName="tbProcedimentos" ref="A1:I55" totalsRowShown="0" headerRowDxfId="26" dataDxfId="25">
  <tableColumns count="9">
    <tableColumn id="1" xr3:uid="{00000000-0010-0000-0000-000001000000}" name="PROFISSIONAL" dataDxfId="24"/>
    <tableColumn id="2" xr3:uid="{00000000-0010-0000-0000-000002000000}" name="PROCEDIMENTO" dataDxfId="23"/>
    <tableColumn id="3" xr3:uid="{00000000-0010-0000-0000-000003000000}" name="QUANTIDADE" dataDxfId="22"/>
    <tableColumn id="4" xr3:uid="{00000000-0010-0000-0000-000004000000}" name="DATA INICIAL" dataDxfId="21"/>
    <tableColumn id="11" xr3:uid="{00000000-0010-0000-0000-00000B000000}" name="DATA FINAL" dataDxfId="20"/>
    <tableColumn id="12" xr3:uid="{00000000-0010-0000-0000-00000C000000}" name="ANO" dataDxfId="19"/>
    <tableColumn id="13" xr3:uid="{00000000-0010-0000-0000-00000D000000}" name="MÊS" dataDxfId="18"/>
    <tableColumn id="5" xr3:uid="{00000000-0010-0000-0000-000005000000}" name="CÓD. PROCED - CBO" dataDxfId="17"/>
    <tableColumn id="7" xr3:uid="{00000000-0010-0000-0000-000007000000}" name="NOME PROCED-PROFISSIONAL" dataDxfId="1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CadastroProfissional" displayName="tbCadastroProfissional" ref="E1:G16" totalsRowShown="0" headerRowDxfId="15" dataDxfId="14">
  <sortState ref="E2:G16">
    <sortCondition ref="F1:F16"/>
  </sortState>
  <tableColumns count="3">
    <tableColumn id="3" xr3:uid="{00000000-0010-0000-0100-000003000000}" name="ID" dataDxfId="13">
      <calculatedColumnFormula>ROW() - 1</calculatedColumnFormula>
    </tableColumn>
    <tableColumn id="1" xr3:uid="{00000000-0010-0000-0100-000001000000}" name="PROFISSIONAL" dataDxfId="12"/>
    <tableColumn id="2" xr3:uid="{00000000-0010-0000-0100-000002000000}" name="Nº: CBO" dataDxfId="1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bCadastroProcedimento" displayName="tbCadastroProcedimento" ref="A1:C28" totalsRowShown="0" headerRowDxfId="10" dataDxfId="9">
  <sortState ref="A2:C28">
    <sortCondition ref="B1:B28"/>
  </sortState>
  <tableColumns count="3">
    <tableColumn id="4" xr3:uid="{00000000-0010-0000-0200-000004000000}" name="ID" dataDxfId="8">
      <calculatedColumnFormula>ROW() - 1</calculatedColumnFormula>
    </tableColumn>
    <tableColumn id="1" xr3:uid="{00000000-0010-0000-0200-000001000000}" name="PROCEDIMENTO" dataDxfId="7"/>
    <tableColumn id="2" xr3:uid="{00000000-0010-0000-0200-000002000000}" name="CÓD. PROCED." dataDxfId="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CadastroConsultas" displayName="tbCadastroConsultas" ref="I1:L26" totalsRowShown="0" headerRowDxfId="5" dataDxfId="4">
  <sortState ref="I2:L26">
    <sortCondition ref="J1:J26"/>
  </sortState>
  <tableColumns count="4">
    <tableColumn id="4" xr3:uid="{00000000-0010-0000-0300-000004000000}" name="ID" dataDxfId="3">
      <calculatedColumnFormula>ROW() - 1</calculatedColumnFormula>
    </tableColumn>
    <tableColumn id="1" xr3:uid="{00000000-0010-0000-0300-000001000000}" name="PROFISSIONAL" dataDxfId="2"/>
    <tableColumn id="2" xr3:uid="{00000000-0010-0000-0300-000002000000}" name="CÓD. DO PROCED." dataDxfId="1"/>
    <tableColumn id="3" xr3:uid="{00000000-0010-0000-0300-000003000000}" name="Nº DE CB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View">
    <tabColor theme="4" tint="-0.499984740745262"/>
    <pageSetUpPr autoPageBreaks="0"/>
  </sheetPr>
  <dimension ref="A1"/>
  <sheetViews>
    <sheetView showGridLines="0" showRowColHeaders="0" workbookViewId="0"/>
  </sheetViews>
  <sheetFormatPr defaultRowHeight="15" x14ac:dyDescent="0.25"/>
  <cols>
    <col min="1" max="16384" width="9.140625" style="4"/>
  </cols>
  <sheetData/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Procedimentos">
    <tabColor rgb="FF004846"/>
    <pageSetUpPr fitToPage="1"/>
  </sheetPr>
  <dimension ref="A1:I55"/>
  <sheetViews>
    <sheetView showGridLines="0" zoomScaleSheetLayoutView="100" workbookViewId="0">
      <selection activeCell="A4" sqref="A4"/>
    </sheetView>
  </sheetViews>
  <sheetFormatPr defaultRowHeight="15" x14ac:dyDescent="0.25"/>
  <cols>
    <col min="1" max="1" width="20.85546875" style="1" bestFit="1" customWidth="1"/>
    <col min="2" max="2" width="25" style="1" bestFit="1" customWidth="1"/>
    <col min="3" max="3" width="17.7109375" style="1" bestFit="1" customWidth="1"/>
    <col min="4" max="4" width="17.28515625" style="1" bestFit="1" customWidth="1"/>
    <col min="5" max="5" width="16" style="1" bestFit="1" customWidth="1"/>
    <col min="6" max="6" width="9.7109375" style="1" bestFit="1" customWidth="1"/>
    <col min="7" max="7" width="9.42578125" style="1" bestFit="1" customWidth="1"/>
    <col min="8" max="8" width="23.140625" style="1" bestFit="1" customWidth="1"/>
    <col min="9" max="9" width="41.5703125" style="1" bestFit="1" customWidth="1"/>
    <col min="10" max="10" width="51" style="1" bestFit="1" customWidth="1"/>
    <col min="11" max="11" width="35.42578125" style="1" bestFit="1" customWidth="1"/>
    <col min="12" max="12" width="12.42578125" style="1" bestFit="1" customWidth="1"/>
    <col min="13" max="16384" width="9.140625" style="1"/>
  </cols>
  <sheetData>
    <row r="1" spans="1:9" x14ac:dyDescent="0.25">
      <c r="A1" s="9" t="s">
        <v>19</v>
      </c>
      <c r="B1" s="9" t="s">
        <v>58</v>
      </c>
      <c r="C1" s="10" t="s">
        <v>54</v>
      </c>
      <c r="D1" s="9" t="s">
        <v>18</v>
      </c>
      <c r="E1" s="10" t="s">
        <v>72</v>
      </c>
      <c r="F1" s="10" t="s">
        <v>73</v>
      </c>
      <c r="G1" s="10" t="s">
        <v>74</v>
      </c>
      <c r="H1" s="10" t="s">
        <v>78</v>
      </c>
      <c r="I1" s="10" t="s">
        <v>77</v>
      </c>
    </row>
    <row r="2" spans="1:9" x14ac:dyDescent="0.25">
      <c r="A2" s="5" t="s">
        <v>41</v>
      </c>
      <c r="B2" s="5" t="s">
        <v>76</v>
      </c>
      <c r="C2" s="6">
        <v>275</v>
      </c>
      <c r="D2" s="12" t="s">
        <v>147</v>
      </c>
      <c r="E2" s="8">
        <v>43271</v>
      </c>
      <c r="F2" s="7">
        <v>2018</v>
      </c>
      <c r="G2" s="7" t="s">
        <v>146</v>
      </c>
      <c r="H2" s="7" t="s">
        <v>80</v>
      </c>
      <c r="I2" s="7" t="s">
        <v>79</v>
      </c>
    </row>
    <row r="3" spans="1:9" x14ac:dyDescent="0.25">
      <c r="A3" s="5" t="s">
        <v>41</v>
      </c>
      <c r="B3" s="5" t="s">
        <v>48</v>
      </c>
      <c r="C3" s="6">
        <v>16</v>
      </c>
      <c r="D3" s="12" t="s">
        <v>147</v>
      </c>
      <c r="E3" s="8">
        <v>43271</v>
      </c>
      <c r="F3" s="7">
        <v>2018</v>
      </c>
      <c r="G3" s="7" t="s">
        <v>146</v>
      </c>
      <c r="H3" s="7" t="s">
        <v>86</v>
      </c>
      <c r="I3" s="7" t="s">
        <v>85</v>
      </c>
    </row>
    <row r="4" spans="1:9" x14ac:dyDescent="0.25">
      <c r="A4" s="5" t="s">
        <v>41</v>
      </c>
      <c r="B4" s="5" t="s">
        <v>52</v>
      </c>
      <c r="C4" s="6">
        <v>4</v>
      </c>
      <c r="D4" s="12" t="s">
        <v>147</v>
      </c>
      <c r="E4" s="8">
        <v>43271</v>
      </c>
      <c r="F4" s="7">
        <v>2018</v>
      </c>
      <c r="G4" s="7" t="s">
        <v>146</v>
      </c>
      <c r="H4" s="7" t="s">
        <v>88</v>
      </c>
      <c r="I4" s="7" t="s">
        <v>87</v>
      </c>
    </row>
    <row r="5" spans="1:9" x14ac:dyDescent="0.25">
      <c r="A5" s="5" t="s">
        <v>42</v>
      </c>
      <c r="B5" s="5" t="s">
        <v>76</v>
      </c>
      <c r="C5" s="6">
        <v>15</v>
      </c>
      <c r="D5" s="12" t="s">
        <v>147</v>
      </c>
      <c r="E5" s="8">
        <v>43271</v>
      </c>
      <c r="F5" s="7">
        <v>2018</v>
      </c>
      <c r="G5" s="7" t="s">
        <v>146</v>
      </c>
      <c r="H5" s="7" t="s">
        <v>90</v>
      </c>
      <c r="I5" s="7" t="s">
        <v>89</v>
      </c>
    </row>
    <row r="6" spans="1:9" x14ac:dyDescent="0.25">
      <c r="A6" s="5" t="s">
        <v>42</v>
      </c>
      <c r="B6" s="5" t="s">
        <v>48</v>
      </c>
      <c r="C6" s="6">
        <v>66</v>
      </c>
      <c r="D6" s="12" t="s">
        <v>147</v>
      </c>
      <c r="E6" s="8">
        <v>43271</v>
      </c>
      <c r="F6" s="7">
        <v>2018</v>
      </c>
      <c r="G6" s="7" t="s">
        <v>146</v>
      </c>
      <c r="H6" s="7" t="s">
        <v>92</v>
      </c>
      <c r="I6" s="7" t="s">
        <v>91</v>
      </c>
    </row>
    <row r="7" spans="1:9" x14ac:dyDescent="0.25">
      <c r="A7" s="5" t="s">
        <v>42</v>
      </c>
      <c r="B7" s="5" t="s">
        <v>43</v>
      </c>
      <c r="C7" s="6">
        <v>16</v>
      </c>
      <c r="D7" s="12" t="s">
        <v>147</v>
      </c>
      <c r="E7" s="8">
        <v>43271</v>
      </c>
      <c r="F7" s="7">
        <v>2018</v>
      </c>
      <c r="G7" s="7" t="s">
        <v>146</v>
      </c>
      <c r="H7" s="7" t="s">
        <v>94</v>
      </c>
      <c r="I7" s="7" t="s">
        <v>93</v>
      </c>
    </row>
    <row r="8" spans="1:9" x14ac:dyDescent="0.25">
      <c r="A8" s="5" t="s">
        <v>40</v>
      </c>
      <c r="B8" s="5" t="s">
        <v>39</v>
      </c>
      <c r="C8" s="6">
        <v>284</v>
      </c>
      <c r="D8" s="12" t="s">
        <v>147</v>
      </c>
      <c r="E8" s="8">
        <v>43271</v>
      </c>
      <c r="F8" s="7">
        <v>2018</v>
      </c>
      <c r="G8" s="7" t="s">
        <v>146</v>
      </c>
      <c r="H8" s="7" t="s">
        <v>96</v>
      </c>
      <c r="I8" s="7" t="s">
        <v>95</v>
      </c>
    </row>
    <row r="9" spans="1:9" x14ac:dyDescent="0.25">
      <c r="A9" s="5" t="s">
        <v>23</v>
      </c>
      <c r="B9" s="5" t="s">
        <v>26</v>
      </c>
      <c r="C9" s="6">
        <v>4</v>
      </c>
      <c r="D9" s="12" t="s">
        <v>147</v>
      </c>
      <c r="E9" s="8">
        <v>43271</v>
      </c>
      <c r="F9" s="7">
        <v>2018</v>
      </c>
      <c r="G9" s="7" t="s">
        <v>146</v>
      </c>
      <c r="H9" s="7" t="s">
        <v>98</v>
      </c>
      <c r="I9" s="7" t="s">
        <v>97</v>
      </c>
    </row>
    <row r="10" spans="1:9" x14ac:dyDescent="0.25">
      <c r="A10" s="5" t="s">
        <v>21</v>
      </c>
      <c r="B10" s="5" t="s">
        <v>43</v>
      </c>
      <c r="C10" s="6">
        <v>21</v>
      </c>
      <c r="D10" s="12" t="s">
        <v>147</v>
      </c>
      <c r="E10" s="8">
        <v>43271</v>
      </c>
      <c r="F10" s="7">
        <v>2018</v>
      </c>
      <c r="G10" s="7" t="s">
        <v>146</v>
      </c>
      <c r="H10" s="7" t="s">
        <v>100</v>
      </c>
      <c r="I10" s="7" t="s">
        <v>99</v>
      </c>
    </row>
    <row r="11" spans="1:9" x14ac:dyDescent="0.25">
      <c r="A11" s="5" t="s">
        <v>42</v>
      </c>
      <c r="B11" s="5" t="s">
        <v>45</v>
      </c>
      <c r="C11" s="6">
        <v>8</v>
      </c>
      <c r="D11" s="12" t="s">
        <v>147</v>
      </c>
      <c r="E11" s="8">
        <v>43271</v>
      </c>
      <c r="F11" s="7">
        <v>2018</v>
      </c>
      <c r="G11" s="7" t="s">
        <v>146</v>
      </c>
      <c r="H11" s="7" t="s">
        <v>102</v>
      </c>
      <c r="I11" s="7" t="s">
        <v>101</v>
      </c>
    </row>
    <row r="12" spans="1:9" x14ac:dyDescent="0.25">
      <c r="A12" s="5" t="s">
        <v>42</v>
      </c>
      <c r="B12" s="5" t="s">
        <v>52</v>
      </c>
      <c r="C12" s="6">
        <v>14</v>
      </c>
      <c r="D12" s="12" t="s">
        <v>147</v>
      </c>
      <c r="E12" s="8">
        <v>43271</v>
      </c>
      <c r="F12" s="7">
        <v>2018</v>
      </c>
      <c r="G12" s="7" t="s">
        <v>146</v>
      </c>
      <c r="H12" s="7" t="s">
        <v>82</v>
      </c>
      <c r="I12" s="7" t="s">
        <v>81</v>
      </c>
    </row>
    <row r="13" spans="1:9" x14ac:dyDescent="0.25">
      <c r="A13" s="5" t="s">
        <v>42</v>
      </c>
      <c r="B13" s="5" t="s">
        <v>47</v>
      </c>
      <c r="C13" s="6">
        <v>21</v>
      </c>
      <c r="D13" s="12" t="s">
        <v>147</v>
      </c>
      <c r="E13" s="8">
        <v>43271</v>
      </c>
      <c r="F13" s="7">
        <v>2018</v>
      </c>
      <c r="G13" s="7" t="s">
        <v>146</v>
      </c>
      <c r="H13" s="7" t="s">
        <v>104</v>
      </c>
      <c r="I13" s="7" t="s">
        <v>103</v>
      </c>
    </row>
    <row r="14" spans="1:9" x14ac:dyDescent="0.25">
      <c r="A14" s="5" t="s">
        <v>41</v>
      </c>
      <c r="B14" s="5" t="s">
        <v>53</v>
      </c>
      <c r="C14" s="6">
        <v>1</v>
      </c>
      <c r="D14" s="12" t="s">
        <v>147</v>
      </c>
      <c r="E14" s="8">
        <v>43271</v>
      </c>
      <c r="F14" s="7">
        <v>2018</v>
      </c>
      <c r="G14" s="7" t="s">
        <v>146</v>
      </c>
      <c r="H14" s="7" t="s">
        <v>106</v>
      </c>
      <c r="I14" s="7" t="s">
        <v>105</v>
      </c>
    </row>
    <row r="15" spans="1:9" x14ac:dyDescent="0.25">
      <c r="A15" s="5" t="s">
        <v>27</v>
      </c>
      <c r="B15" s="5" t="s">
        <v>28</v>
      </c>
      <c r="C15" s="6">
        <v>2</v>
      </c>
      <c r="D15" s="12" t="s">
        <v>147</v>
      </c>
      <c r="E15" s="8">
        <v>43271</v>
      </c>
      <c r="F15" s="7">
        <v>2018</v>
      </c>
      <c r="G15" s="7" t="s">
        <v>146</v>
      </c>
      <c r="H15" s="7" t="s">
        <v>108</v>
      </c>
      <c r="I15" s="7" t="s">
        <v>107</v>
      </c>
    </row>
    <row r="16" spans="1:9" x14ac:dyDescent="0.25">
      <c r="A16" s="5" t="s">
        <v>42</v>
      </c>
      <c r="B16" s="5" t="s">
        <v>46</v>
      </c>
      <c r="C16" s="6">
        <v>6</v>
      </c>
      <c r="D16" s="12" t="s">
        <v>147</v>
      </c>
      <c r="E16" s="8">
        <v>43271</v>
      </c>
      <c r="F16" s="7">
        <v>2018</v>
      </c>
      <c r="G16" s="7" t="s">
        <v>146</v>
      </c>
      <c r="H16" s="7" t="s">
        <v>110</v>
      </c>
      <c r="I16" s="7" t="s">
        <v>109</v>
      </c>
    </row>
    <row r="17" spans="1:9" x14ac:dyDescent="0.25">
      <c r="A17" s="5" t="s">
        <v>23</v>
      </c>
      <c r="B17" s="5" t="s">
        <v>51</v>
      </c>
      <c r="C17" s="6">
        <v>22</v>
      </c>
      <c r="D17" s="12" t="s">
        <v>147</v>
      </c>
      <c r="E17" s="8">
        <v>43271</v>
      </c>
      <c r="F17" s="7">
        <v>2018</v>
      </c>
      <c r="G17" s="7" t="s">
        <v>146</v>
      </c>
      <c r="H17" s="7" t="s">
        <v>112</v>
      </c>
      <c r="I17" s="7" t="s">
        <v>111</v>
      </c>
    </row>
    <row r="18" spans="1:9" x14ac:dyDescent="0.25">
      <c r="A18" s="5" t="s">
        <v>41</v>
      </c>
      <c r="B18" s="5" t="s">
        <v>46</v>
      </c>
      <c r="C18" s="6">
        <v>2</v>
      </c>
      <c r="D18" s="12" t="s">
        <v>147</v>
      </c>
      <c r="E18" s="8">
        <v>43271</v>
      </c>
      <c r="F18" s="7">
        <v>2018</v>
      </c>
      <c r="G18" s="7" t="s">
        <v>146</v>
      </c>
      <c r="H18" s="7" t="s">
        <v>114</v>
      </c>
      <c r="I18" s="7" t="s">
        <v>113</v>
      </c>
    </row>
    <row r="19" spans="1:9" x14ac:dyDescent="0.25">
      <c r="A19" s="5" t="s">
        <v>21</v>
      </c>
      <c r="B19" s="5" t="s">
        <v>46</v>
      </c>
      <c r="C19" s="6">
        <v>4</v>
      </c>
      <c r="D19" s="12" t="s">
        <v>147</v>
      </c>
      <c r="E19" s="8">
        <v>43271</v>
      </c>
      <c r="F19" s="7">
        <v>2018</v>
      </c>
      <c r="G19" s="7" t="s">
        <v>146</v>
      </c>
      <c r="H19" s="7" t="s">
        <v>116</v>
      </c>
      <c r="I19" s="7" t="s">
        <v>115</v>
      </c>
    </row>
    <row r="20" spans="1:9" x14ac:dyDescent="0.25">
      <c r="A20" s="5" t="s">
        <v>12</v>
      </c>
      <c r="B20" s="5" t="s">
        <v>20</v>
      </c>
      <c r="C20" s="6">
        <v>1</v>
      </c>
      <c r="D20" s="12" t="s">
        <v>147</v>
      </c>
      <c r="E20" s="8">
        <v>43271</v>
      </c>
      <c r="F20" s="7">
        <v>2018</v>
      </c>
      <c r="G20" s="7" t="s">
        <v>146</v>
      </c>
      <c r="H20" s="7" t="s">
        <v>118</v>
      </c>
      <c r="I20" s="7" t="s">
        <v>117</v>
      </c>
    </row>
    <row r="21" spans="1:9" x14ac:dyDescent="0.25">
      <c r="A21" s="5" t="s">
        <v>21</v>
      </c>
      <c r="B21" s="5" t="s">
        <v>26</v>
      </c>
      <c r="C21" s="6">
        <v>1</v>
      </c>
      <c r="D21" s="12" t="s">
        <v>147</v>
      </c>
      <c r="E21" s="8">
        <v>43271</v>
      </c>
      <c r="F21" s="7">
        <v>2018</v>
      </c>
      <c r="G21" s="7" t="s">
        <v>146</v>
      </c>
      <c r="H21" s="7" t="s">
        <v>120</v>
      </c>
      <c r="I21" s="7" t="s">
        <v>119</v>
      </c>
    </row>
    <row r="22" spans="1:9" x14ac:dyDescent="0.25">
      <c r="A22" s="5" t="s">
        <v>23</v>
      </c>
      <c r="B22" s="5" t="s">
        <v>52</v>
      </c>
      <c r="C22" s="6">
        <v>2</v>
      </c>
      <c r="D22" s="12" t="s">
        <v>147</v>
      </c>
      <c r="E22" s="8">
        <v>43271</v>
      </c>
      <c r="F22" s="7">
        <v>2018</v>
      </c>
      <c r="G22" s="7" t="s">
        <v>146</v>
      </c>
      <c r="H22" s="7" t="s">
        <v>84</v>
      </c>
      <c r="I22" s="7" t="s">
        <v>83</v>
      </c>
    </row>
    <row r="23" spans="1:9" x14ac:dyDescent="0.25">
      <c r="A23" s="5" t="s">
        <v>23</v>
      </c>
      <c r="B23" s="5" t="s">
        <v>46</v>
      </c>
      <c r="C23" s="6">
        <v>1</v>
      </c>
      <c r="D23" s="12" t="s">
        <v>147</v>
      </c>
      <c r="E23" s="8">
        <v>43271</v>
      </c>
      <c r="F23" s="7">
        <v>2018</v>
      </c>
      <c r="G23" s="7" t="s">
        <v>146</v>
      </c>
      <c r="H23" s="7" t="s">
        <v>122</v>
      </c>
      <c r="I23" s="7" t="s">
        <v>121</v>
      </c>
    </row>
    <row r="24" spans="1:9" x14ac:dyDescent="0.25">
      <c r="A24" s="5" t="s">
        <v>21</v>
      </c>
      <c r="B24" s="5" t="s">
        <v>76</v>
      </c>
      <c r="C24" s="6">
        <v>9</v>
      </c>
      <c r="D24" s="12" t="s">
        <v>147</v>
      </c>
      <c r="E24" s="8">
        <v>43271</v>
      </c>
      <c r="F24" s="7">
        <v>2018</v>
      </c>
      <c r="G24" s="7" t="s">
        <v>146</v>
      </c>
      <c r="H24" s="7" t="s">
        <v>124</v>
      </c>
      <c r="I24" s="7" t="s">
        <v>123</v>
      </c>
    </row>
    <row r="25" spans="1:9" x14ac:dyDescent="0.25">
      <c r="A25" s="5" t="s">
        <v>38</v>
      </c>
      <c r="B25" s="5" t="s">
        <v>57</v>
      </c>
      <c r="C25" s="6">
        <v>1</v>
      </c>
      <c r="D25" s="12" t="s">
        <v>147</v>
      </c>
      <c r="E25" s="8">
        <v>43271</v>
      </c>
      <c r="F25" s="7">
        <v>2018</v>
      </c>
      <c r="G25" s="7" t="s">
        <v>146</v>
      </c>
      <c r="H25" s="7" t="s">
        <v>126</v>
      </c>
      <c r="I25" s="7" t="s">
        <v>125</v>
      </c>
    </row>
    <row r="26" spans="1:9" x14ac:dyDescent="0.25">
      <c r="A26" s="5" t="s">
        <v>23</v>
      </c>
      <c r="B26" s="5" t="s">
        <v>43</v>
      </c>
      <c r="C26" s="6">
        <v>4</v>
      </c>
      <c r="D26" s="12" t="s">
        <v>147</v>
      </c>
      <c r="E26" s="8">
        <v>43271</v>
      </c>
      <c r="F26" s="7">
        <v>2018</v>
      </c>
      <c r="G26" s="7" t="s">
        <v>146</v>
      </c>
      <c r="H26" s="7" t="s">
        <v>128</v>
      </c>
      <c r="I26" s="7" t="s">
        <v>127</v>
      </c>
    </row>
    <row r="27" spans="1:9" x14ac:dyDescent="0.25">
      <c r="A27" s="5" t="s">
        <v>21</v>
      </c>
      <c r="B27" s="5" t="s">
        <v>51</v>
      </c>
      <c r="C27" s="6">
        <v>5</v>
      </c>
      <c r="D27" s="12" t="s">
        <v>147</v>
      </c>
      <c r="E27" s="8">
        <v>43271</v>
      </c>
      <c r="F27" s="7">
        <v>2018</v>
      </c>
      <c r="G27" s="7" t="s">
        <v>146</v>
      </c>
      <c r="H27" s="7" t="s">
        <v>130</v>
      </c>
      <c r="I27" s="7" t="s">
        <v>129</v>
      </c>
    </row>
    <row r="28" spans="1:9" x14ac:dyDescent="0.25">
      <c r="A28" s="5" t="s">
        <v>41</v>
      </c>
      <c r="B28" s="5" t="s">
        <v>45</v>
      </c>
      <c r="C28" s="6">
        <v>1</v>
      </c>
      <c r="D28" s="12" t="s">
        <v>147</v>
      </c>
      <c r="E28" s="8">
        <v>43271</v>
      </c>
      <c r="F28" s="7">
        <v>2018</v>
      </c>
      <c r="G28" s="7" t="s">
        <v>146</v>
      </c>
      <c r="H28" s="7" t="s">
        <v>132</v>
      </c>
      <c r="I28" s="7" t="s">
        <v>131</v>
      </c>
    </row>
    <row r="29" spans="1:9" x14ac:dyDescent="0.25">
      <c r="A29" s="5" t="s">
        <v>41</v>
      </c>
      <c r="B29" s="5" t="s">
        <v>76</v>
      </c>
      <c r="C29" s="6">
        <v>124</v>
      </c>
      <c r="D29" s="12" t="s">
        <v>147</v>
      </c>
      <c r="E29" s="8">
        <v>43271</v>
      </c>
      <c r="F29" s="7">
        <v>2018</v>
      </c>
      <c r="G29" s="7" t="s">
        <v>146</v>
      </c>
      <c r="H29" s="7" t="s">
        <v>80</v>
      </c>
      <c r="I29" s="7" t="s">
        <v>79</v>
      </c>
    </row>
    <row r="30" spans="1:9" x14ac:dyDescent="0.25">
      <c r="A30" s="5" t="s">
        <v>42</v>
      </c>
      <c r="B30" s="5" t="s">
        <v>52</v>
      </c>
      <c r="C30" s="6">
        <v>16</v>
      </c>
      <c r="D30" s="12" t="s">
        <v>147</v>
      </c>
      <c r="E30" s="8">
        <v>43271</v>
      </c>
      <c r="F30" s="7">
        <v>2018</v>
      </c>
      <c r="G30" s="7" t="s">
        <v>146</v>
      </c>
      <c r="H30" s="7" t="s">
        <v>82</v>
      </c>
      <c r="I30" s="7" t="s">
        <v>81</v>
      </c>
    </row>
    <row r="31" spans="1:9" x14ac:dyDescent="0.25">
      <c r="A31" s="5" t="s">
        <v>42</v>
      </c>
      <c r="B31" s="5" t="s">
        <v>46</v>
      </c>
      <c r="C31" s="6">
        <v>12</v>
      </c>
      <c r="D31" s="12" t="s">
        <v>147</v>
      </c>
      <c r="E31" s="8">
        <v>43271</v>
      </c>
      <c r="F31" s="7">
        <v>2018</v>
      </c>
      <c r="G31" s="7" t="s">
        <v>146</v>
      </c>
      <c r="H31" s="7" t="s">
        <v>110</v>
      </c>
      <c r="I31" s="7" t="s">
        <v>109</v>
      </c>
    </row>
    <row r="32" spans="1:9" x14ac:dyDescent="0.25">
      <c r="A32" s="5" t="s">
        <v>42</v>
      </c>
      <c r="B32" s="5" t="s">
        <v>45</v>
      </c>
      <c r="C32" s="6">
        <v>4</v>
      </c>
      <c r="D32" s="12" t="s">
        <v>147</v>
      </c>
      <c r="E32" s="8">
        <v>43271</v>
      </c>
      <c r="F32" s="7">
        <v>2018</v>
      </c>
      <c r="G32" s="7" t="s">
        <v>146</v>
      </c>
      <c r="H32" s="7" t="s">
        <v>102</v>
      </c>
      <c r="I32" s="7" t="s">
        <v>101</v>
      </c>
    </row>
    <row r="33" spans="1:9" x14ac:dyDescent="0.25">
      <c r="A33" s="5" t="s">
        <v>42</v>
      </c>
      <c r="B33" s="5" t="s">
        <v>76</v>
      </c>
      <c r="C33" s="6">
        <v>27</v>
      </c>
      <c r="D33" s="12" t="s">
        <v>147</v>
      </c>
      <c r="E33" s="8">
        <v>43271</v>
      </c>
      <c r="F33" s="7">
        <v>2018</v>
      </c>
      <c r="G33" s="7" t="s">
        <v>146</v>
      </c>
      <c r="H33" s="7" t="s">
        <v>90</v>
      </c>
      <c r="I33" s="7" t="s">
        <v>89</v>
      </c>
    </row>
    <row r="34" spans="1:9" x14ac:dyDescent="0.25">
      <c r="A34" s="5" t="s">
        <v>42</v>
      </c>
      <c r="B34" s="5" t="s">
        <v>53</v>
      </c>
      <c r="C34" s="6">
        <v>3</v>
      </c>
      <c r="D34" s="12" t="s">
        <v>147</v>
      </c>
      <c r="E34" s="8">
        <v>43271</v>
      </c>
      <c r="F34" s="7">
        <v>2018</v>
      </c>
      <c r="G34" s="7" t="s">
        <v>146</v>
      </c>
      <c r="H34" s="7" t="s">
        <v>135</v>
      </c>
      <c r="I34" s="7" t="s">
        <v>134</v>
      </c>
    </row>
    <row r="35" spans="1:9" x14ac:dyDescent="0.25">
      <c r="A35" s="5" t="s">
        <v>42</v>
      </c>
      <c r="B35" s="5" t="s">
        <v>48</v>
      </c>
      <c r="C35" s="6">
        <v>45</v>
      </c>
      <c r="D35" s="12" t="s">
        <v>147</v>
      </c>
      <c r="E35" s="8">
        <v>43271</v>
      </c>
      <c r="F35" s="7">
        <v>2018</v>
      </c>
      <c r="G35" s="7" t="s">
        <v>146</v>
      </c>
      <c r="H35" s="7" t="s">
        <v>92</v>
      </c>
      <c r="I35" s="7" t="s">
        <v>91</v>
      </c>
    </row>
    <row r="36" spans="1:9" x14ac:dyDescent="0.25">
      <c r="A36" s="5" t="s">
        <v>41</v>
      </c>
      <c r="B36" s="5" t="s">
        <v>45</v>
      </c>
      <c r="C36" s="6">
        <v>1</v>
      </c>
      <c r="D36" s="12" t="s">
        <v>147</v>
      </c>
      <c r="E36" s="8">
        <v>43271</v>
      </c>
      <c r="F36" s="7">
        <v>2018</v>
      </c>
      <c r="G36" s="7" t="s">
        <v>146</v>
      </c>
      <c r="H36" s="7" t="s">
        <v>132</v>
      </c>
      <c r="I36" s="7" t="s">
        <v>131</v>
      </c>
    </row>
    <row r="37" spans="1:9" x14ac:dyDescent="0.25">
      <c r="A37" s="5" t="s">
        <v>41</v>
      </c>
      <c r="B37" s="5" t="s">
        <v>48</v>
      </c>
      <c r="C37" s="6">
        <v>9</v>
      </c>
      <c r="D37" s="12" t="s">
        <v>147</v>
      </c>
      <c r="E37" s="8">
        <v>43271</v>
      </c>
      <c r="F37" s="7">
        <v>2018</v>
      </c>
      <c r="G37" s="7" t="s">
        <v>146</v>
      </c>
      <c r="H37" s="7" t="s">
        <v>86</v>
      </c>
      <c r="I37" s="7" t="s">
        <v>85</v>
      </c>
    </row>
    <row r="38" spans="1:9" x14ac:dyDescent="0.25">
      <c r="A38" s="5" t="s">
        <v>23</v>
      </c>
      <c r="B38" s="5" t="s">
        <v>26</v>
      </c>
      <c r="C38" s="6">
        <v>2</v>
      </c>
      <c r="D38" s="12" t="s">
        <v>147</v>
      </c>
      <c r="E38" s="8">
        <v>43271</v>
      </c>
      <c r="F38" s="7">
        <v>2018</v>
      </c>
      <c r="G38" s="7" t="s">
        <v>146</v>
      </c>
      <c r="H38" s="7" t="s">
        <v>98</v>
      </c>
      <c r="I38" s="7" t="s">
        <v>97</v>
      </c>
    </row>
    <row r="39" spans="1:9" x14ac:dyDescent="0.25">
      <c r="A39" s="5" t="s">
        <v>42</v>
      </c>
      <c r="B39" s="5" t="s">
        <v>39</v>
      </c>
      <c r="C39" s="6">
        <v>10</v>
      </c>
      <c r="D39" s="12" t="s">
        <v>147</v>
      </c>
      <c r="E39" s="8">
        <v>43271</v>
      </c>
      <c r="F39" s="7">
        <v>2018</v>
      </c>
      <c r="G39" s="7" t="s">
        <v>146</v>
      </c>
      <c r="H39" s="7" t="s">
        <v>137</v>
      </c>
      <c r="I39" s="7" t="s">
        <v>136</v>
      </c>
    </row>
    <row r="40" spans="1:9" x14ac:dyDescent="0.25">
      <c r="A40" s="5" t="s">
        <v>42</v>
      </c>
      <c r="B40" s="5" t="s">
        <v>48</v>
      </c>
      <c r="C40" s="6">
        <v>10</v>
      </c>
      <c r="D40" s="12" t="s">
        <v>147</v>
      </c>
      <c r="E40" s="8">
        <v>43271</v>
      </c>
      <c r="F40" s="7">
        <v>2018</v>
      </c>
      <c r="G40" s="7" t="s">
        <v>146</v>
      </c>
      <c r="H40" s="7" t="s">
        <v>92</v>
      </c>
      <c r="I40" s="7" t="s">
        <v>91</v>
      </c>
    </row>
    <row r="41" spans="1:9" x14ac:dyDescent="0.25">
      <c r="A41" s="5" t="s">
        <v>42</v>
      </c>
      <c r="B41" s="5" t="s">
        <v>47</v>
      </c>
      <c r="C41" s="6">
        <v>4</v>
      </c>
      <c r="D41" s="12" t="s">
        <v>147</v>
      </c>
      <c r="E41" s="8">
        <v>43271</v>
      </c>
      <c r="F41" s="7">
        <v>2018</v>
      </c>
      <c r="G41" s="7" t="s">
        <v>146</v>
      </c>
      <c r="H41" s="7" t="s">
        <v>104</v>
      </c>
      <c r="I41" s="7" t="s">
        <v>103</v>
      </c>
    </row>
    <row r="42" spans="1:9" x14ac:dyDescent="0.25">
      <c r="A42" s="5" t="s">
        <v>40</v>
      </c>
      <c r="B42" s="5" t="s">
        <v>39</v>
      </c>
      <c r="C42" s="6">
        <v>137</v>
      </c>
      <c r="D42" s="12" t="s">
        <v>147</v>
      </c>
      <c r="E42" s="8">
        <v>43271</v>
      </c>
      <c r="F42" s="7">
        <v>2018</v>
      </c>
      <c r="G42" s="7" t="s">
        <v>146</v>
      </c>
      <c r="H42" s="7" t="s">
        <v>96</v>
      </c>
      <c r="I42" s="7" t="s">
        <v>95</v>
      </c>
    </row>
    <row r="43" spans="1:9" x14ac:dyDescent="0.25">
      <c r="A43" s="5" t="s">
        <v>41</v>
      </c>
      <c r="B43" s="5" t="s">
        <v>53</v>
      </c>
      <c r="C43" s="6">
        <v>1</v>
      </c>
      <c r="D43" s="12" t="s">
        <v>147</v>
      </c>
      <c r="E43" s="8">
        <v>43271</v>
      </c>
      <c r="F43" s="7">
        <v>2018</v>
      </c>
      <c r="G43" s="7" t="s">
        <v>146</v>
      </c>
      <c r="H43" s="7" t="s">
        <v>106</v>
      </c>
      <c r="I43" s="7" t="s">
        <v>105</v>
      </c>
    </row>
    <row r="44" spans="1:9" x14ac:dyDescent="0.25">
      <c r="A44" s="5" t="s">
        <v>23</v>
      </c>
      <c r="B44" s="5" t="s">
        <v>51</v>
      </c>
      <c r="C44" s="6">
        <v>11</v>
      </c>
      <c r="D44" s="12" t="s">
        <v>147</v>
      </c>
      <c r="E44" s="8">
        <v>43271</v>
      </c>
      <c r="F44" s="7">
        <v>2018</v>
      </c>
      <c r="G44" s="7" t="s">
        <v>146</v>
      </c>
      <c r="H44" s="7" t="s">
        <v>112</v>
      </c>
      <c r="I44" s="7" t="s">
        <v>111</v>
      </c>
    </row>
    <row r="45" spans="1:9" x14ac:dyDescent="0.25">
      <c r="A45" s="5" t="s">
        <v>21</v>
      </c>
      <c r="B45" s="5" t="s">
        <v>25</v>
      </c>
      <c r="C45" s="6">
        <v>2</v>
      </c>
      <c r="D45" s="12" t="s">
        <v>147</v>
      </c>
      <c r="E45" s="8">
        <v>43271</v>
      </c>
      <c r="F45" s="7">
        <v>2018</v>
      </c>
      <c r="G45" s="7" t="s">
        <v>146</v>
      </c>
      <c r="H45" s="7" t="s">
        <v>139</v>
      </c>
      <c r="I45" s="7" t="s">
        <v>138</v>
      </c>
    </row>
    <row r="46" spans="1:9" x14ac:dyDescent="0.25">
      <c r="A46" s="5" t="s">
        <v>21</v>
      </c>
      <c r="B46" s="5" t="s">
        <v>24</v>
      </c>
      <c r="C46" s="6">
        <v>2</v>
      </c>
      <c r="D46" s="12" t="s">
        <v>147</v>
      </c>
      <c r="E46" s="8">
        <v>43271</v>
      </c>
      <c r="F46" s="7">
        <v>2018</v>
      </c>
      <c r="G46" s="7" t="s">
        <v>146</v>
      </c>
      <c r="H46" s="7" t="s">
        <v>141</v>
      </c>
      <c r="I46" s="7" t="s">
        <v>140</v>
      </c>
    </row>
    <row r="47" spans="1:9" x14ac:dyDescent="0.25">
      <c r="A47" s="5" t="s">
        <v>41</v>
      </c>
      <c r="B47" s="5" t="s">
        <v>43</v>
      </c>
      <c r="C47" s="6">
        <v>1</v>
      </c>
      <c r="D47" s="12" t="s">
        <v>147</v>
      </c>
      <c r="E47" s="8">
        <v>43271</v>
      </c>
      <c r="F47" s="7">
        <v>2018</v>
      </c>
      <c r="G47" s="7" t="s">
        <v>146</v>
      </c>
      <c r="H47" s="7" t="s">
        <v>143</v>
      </c>
      <c r="I47" s="7" t="s">
        <v>142</v>
      </c>
    </row>
    <row r="48" spans="1:9" x14ac:dyDescent="0.25">
      <c r="A48" s="5" t="s">
        <v>27</v>
      </c>
      <c r="B48" s="5" t="s">
        <v>28</v>
      </c>
      <c r="C48" s="6">
        <v>1</v>
      </c>
      <c r="D48" s="12" t="s">
        <v>147</v>
      </c>
      <c r="E48" s="8">
        <v>43271</v>
      </c>
      <c r="F48" s="7">
        <v>2018</v>
      </c>
      <c r="G48" s="7" t="s">
        <v>146</v>
      </c>
      <c r="H48" s="7" t="s">
        <v>108</v>
      </c>
      <c r="I48" s="7" t="s">
        <v>107</v>
      </c>
    </row>
    <row r="49" spans="1:9" x14ac:dyDescent="0.25">
      <c r="A49" s="5" t="s">
        <v>41</v>
      </c>
      <c r="B49" s="5" t="s">
        <v>50</v>
      </c>
      <c r="C49" s="6">
        <v>6</v>
      </c>
      <c r="D49" s="12" t="s">
        <v>147</v>
      </c>
      <c r="E49" s="8">
        <v>43271</v>
      </c>
      <c r="F49" s="7">
        <v>2018</v>
      </c>
      <c r="G49" s="7" t="s">
        <v>146</v>
      </c>
      <c r="H49" s="7" t="s">
        <v>145</v>
      </c>
      <c r="I49" s="7" t="s">
        <v>144</v>
      </c>
    </row>
    <row r="50" spans="1:9" x14ac:dyDescent="0.25">
      <c r="A50" s="5" t="s">
        <v>21</v>
      </c>
      <c r="B50" s="5" t="s">
        <v>76</v>
      </c>
      <c r="C50" s="6">
        <v>1</v>
      </c>
      <c r="D50" s="12" t="s">
        <v>147</v>
      </c>
      <c r="E50" s="8">
        <v>43271</v>
      </c>
      <c r="F50" s="7">
        <v>2018</v>
      </c>
      <c r="G50" s="7" t="s">
        <v>146</v>
      </c>
      <c r="H50" s="7" t="s">
        <v>124</v>
      </c>
      <c r="I50" s="7" t="s">
        <v>123</v>
      </c>
    </row>
    <row r="51" spans="1:9" x14ac:dyDescent="0.25">
      <c r="A51" s="5" t="s">
        <v>21</v>
      </c>
      <c r="B51" s="5" t="s">
        <v>43</v>
      </c>
      <c r="C51" s="6">
        <v>11</v>
      </c>
      <c r="D51" s="12" t="s">
        <v>147</v>
      </c>
      <c r="E51" s="8">
        <v>43271</v>
      </c>
      <c r="F51" s="7">
        <v>2018</v>
      </c>
      <c r="G51" s="7" t="s">
        <v>146</v>
      </c>
      <c r="H51" s="7" t="s">
        <v>100</v>
      </c>
      <c r="I51" s="7" t="s">
        <v>99</v>
      </c>
    </row>
    <row r="52" spans="1:9" x14ac:dyDescent="0.25">
      <c r="A52" s="5" t="s">
        <v>42</v>
      </c>
      <c r="B52" s="5" t="s">
        <v>52</v>
      </c>
      <c r="C52" s="6">
        <v>1</v>
      </c>
      <c r="D52" s="12" t="s">
        <v>147</v>
      </c>
      <c r="E52" s="8">
        <v>43271</v>
      </c>
      <c r="F52" s="7">
        <v>2018</v>
      </c>
      <c r="G52" s="7" t="s">
        <v>146</v>
      </c>
      <c r="H52" s="7" t="s">
        <v>82</v>
      </c>
      <c r="I52" s="7" t="s">
        <v>81</v>
      </c>
    </row>
    <row r="53" spans="1:9" x14ac:dyDescent="0.25">
      <c r="A53" s="5" t="s">
        <v>40</v>
      </c>
      <c r="B53" s="5" t="s">
        <v>39</v>
      </c>
      <c r="C53" s="6">
        <v>55</v>
      </c>
      <c r="D53" s="12" t="s">
        <v>147</v>
      </c>
      <c r="E53" s="8">
        <v>43271</v>
      </c>
      <c r="F53" s="7">
        <v>2018</v>
      </c>
      <c r="G53" s="7" t="s">
        <v>146</v>
      </c>
      <c r="H53" s="7" t="s">
        <v>96</v>
      </c>
      <c r="I53" s="7" t="s">
        <v>95</v>
      </c>
    </row>
    <row r="54" spans="1:9" x14ac:dyDescent="0.25">
      <c r="A54" s="5" t="s">
        <v>40</v>
      </c>
      <c r="B54" s="5" t="s">
        <v>39</v>
      </c>
      <c r="C54" s="6">
        <v>32</v>
      </c>
      <c r="D54" s="12" t="s">
        <v>147</v>
      </c>
      <c r="E54" s="8">
        <v>43271</v>
      </c>
      <c r="F54" s="7">
        <v>2018</v>
      </c>
      <c r="G54" s="7" t="s">
        <v>146</v>
      </c>
      <c r="H54" s="7" t="s">
        <v>96</v>
      </c>
      <c r="I54" s="7" t="s">
        <v>95</v>
      </c>
    </row>
    <row r="55" spans="1:9" x14ac:dyDescent="0.25">
      <c r="A55" s="5" t="s">
        <v>41</v>
      </c>
      <c r="B55" s="5" t="s">
        <v>76</v>
      </c>
      <c r="C55" s="6">
        <v>2</v>
      </c>
      <c r="D55" s="12" t="s">
        <v>147</v>
      </c>
      <c r="E55" s="8">
        <v>43271</v>
      </c>
      <c r="F55" s="7">
        <v>2018</v>
      </c>
      <c r="G55" s="7" t="s">
        <v>146</v>
      </c>
      <c r="H55" s="7" t="s">
        <v>80</v>
      </c>
      <c r="I55" s="7" t="s">
        <v>79</v>
      </c>
    </row>
  </sheetData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Cadastros">
    <tabColor theme="4" tint="-0.499984740745262"/>
  </sheetPr>
  <dimension ref="A1:L28"/>
  <sheetViews>
    <sheetView showGridLines="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5.28515625" style="2" customWidth="1"/>
    <col min="2" max="2" width="25.140625" style="2" bestFit="1" customWidth="1"/>
    <col min="3" max="3" width="13.7109375" style="2" bestFit="1" customWidth="1"/>
    <col min="4" max="4" width="9.28515625" style="2" customWidth="1"/>
    <col min="5" max="5" width="5.28515625" style="2" customWidth="1"/>
    <col min="6" max="6" width="20.85546875" style="2" bestFit="1" customWidth="1"/>
    <col min="7" max="7" width="8.140625" style="2" bestFit="1" customWidth="1"/>
    <col min="8" max="8" width="9.28515625" style="2" customWidth="1"/>
    <col min="9" max="9" width="5.28515625" style="2" customWidth="1"/>
    <col min="10" max="10" width="32.85546875" style="2" bestFit="1" customWidth="1"/>
    <col min="11" max="11" width="16.85546875" style="2" bestFit="1" customWidth="1"/>
    <col min="12" max="12" width="10.28515625" style="2" bestFit="1" customWidth="1"/>
    <col min="13" max="13" width="14.85546875" style="2" bestFit="1" customWidth="1"/>
    <col min="14" max="14" width="14" style="2" customWidth="1"/>
    <col min="15" max="16384" width="9.140625" style="2"/>
  </cols>
  <sheetData>
    <row r="1" spans="1:12" x14ac:dyDescent="0.25">
      <c r="A1" s="11" t="s">
        <v>75</v>
      </c>
      <c r="B1" s="11" t="s">
        <v>58</v>
      </c>
      <c r="C1" s="11" t="s">
        <v>63</v>
      </c>
      <c r="E1" s="11" t="s">
        <v>75</v>
      </c>
      <c r="F1" s="11" t="s">
        <v>19</v>
      </c>
      <c r="G1" s="11" t="s">
        <v>55</v>
      </c>
      <c r="I1" s="11" t="s">
        <v>75</v>
      </c>
      <c r="J1" s="11" t="s">
        <v>19</v>
      </c>
      <c r="K1" s="11" t="s">
        <v>64</v>
      </c>
      <c r="L1" s="11" t="s">
        <v>65</v>
      </c>
    </row>
    <row r="2" spans="1:12" x14ac:dyDescent="0.25">
      <c r="A2" s="2">
        <f t="shared" ref="A2:A28" si="0">ROW() - 1</f>
        <v>1</v>
      </c>
      <c r="B2" s="2" t="s">
        <v>36</v>
      </c>
      <c r="C2" s="2">
        <v>309030048</v>
      </c>
      <c r="E2" s="2">
        <f t="shared" ref="E2:E16" si="1">ROW() - 1</f>
        <v>1</v>
      </c>
      <c r="F2" s="2" t="s">
        <v>40</v>
      </c>
      <c r="G2" s="2">
        <v>515105</v>
      </c>
      <c r="I2" s="2">
        <f t="shared" ref="I2:I26" si="2">ROW() - 1</f>
        <v>1</v>
      </c>
      <c r="J2" s="2" t="s">
        <v>6</v>
      </c>
      <c r="K2" s="2">
        <v>301010064</v>
      </c>
      <c r="L2" s="2">
        <v>225125</v>
      </c>
    </row>
    <row r="3" spans="1:12" x14ac:dyDescent="0.25">
      <c r="A3" s="2">
        <f t="shared" si="0"/>
        <v>2</v>
      </c>
      <c r="B3" s="2" t="s">
        <v>52</v>
      </c>
      <c r="C3" s="2">
        <v>401010023</v>
      </c>
      <c r="E3" s="2">
        <f t="shared" si="1"/>
        <v>2</v>
      </c>
      <c r="F3" s="2" t="s">
        <v>42</v>
      </c>
      <c r="G3" s="2">
        <v>322230</v>
      </c>
      <c r="I3" s="2">
        <f t="shared" si="2"/>
        <v>2</v>
      </c>
      <c r="J3" s="2" t="s">
        <v>2</v>
      </c>
      <c r="K3" s="2">
        <v>301010030</v>
      </c>
      <c r="L3" s="2">
        <v>223505</v>
      </c>
    </row>
    <row r="4" spans="1:12" x14ac:dyDescent="0.25">
      <c r="A4" s="2">
        <f t="shared" si="0"/>
        <v>3</v>
      </c>
      <c r="B4" s="2" t="s">
        <v>56</v>
      </c>
      <c r="C4" s="2">
        <v>201020033</v>
      </c>
      <c r="E4" s="2">
        <f t="shared" si="1"/>
        <v>3</v>
      </c>
      <c r="F4" s="2" t="s">
        <v>49</v>
      </c>
      <c r="G4" s="2">
        <v>225125</v>
      </c>
      <c r="I4" s="2">
        <f t="shared" si="2"/>
        <v>3</v>
      </c>
      <c r="J4" s="2" t="s">
        <v>5</v>
      </c>
      <c r="K4" s="2">
        <v>301010030</v>
      </c>
      <c r="L4" s="2">
        <v>223565</v>
      </c>
    </row>
    <row r="5" spans="1:12" x14ac:dyDescent="0.25">
      <c r="A5" s="2">
        <f t="shared" si="0"/>
        <v>4</v>
      </c>
      <c r="B5" s="2" t="s">
        <v>37</v>
      </c>
      <c r="C5" s="2">
        <v>301040028</v>
      </c>
      <c r="E5" s="2">
        <f t="shared" si="1"/>
        <v>4</v>
      </c>
      <c r="F5" s="2" t="s">
        <v>21</v>
      </c>
      <c r="G5" s="2">
        <v>223505</v>
      </c>
      <c r="I5" s="2">
        <f t="shared" si="2"/>
        <v>4</v>
      </c>
      <c r="J5" s="2" t="s">
        <v>66</v>
      </c>
      <c r="K5" s="2">
        <v>301010048</v>
      </c>
      <c r="L5" s="2">
        <v>223810</v>
      </c>
    </row>
    <row r="6" spans="1:12" x14ac:dyDescent="0.25">
      <c r="A6" s="2">
        <f t="shared" si="0"/>
        <v>5</v>
      </c>
      <c r="B6" s="2" t="s">
        <v>50</v>
      </c>
      <c r="C6" s="2">
        <v>211020036</v>
      </c>
      <c r="E6" s="2">
        <f t="shared" si="1"/>
        <v>5</v>
      </c>
      <c r="F6" s="2" t="s">
        <v>23</v>
      </c>
      <c r="G6" s="2">
        <v>223565</v>
      </c>
      <c r="I6" s="2">
        <f t="shared" si="2"/>
        <v>5</v>
      </c>
      <c r="J6" s="2" t="s">
        <v>4</v>
      </c>
      <c r="K6" s="2">
        <v>301010064</v>
      </c>
      <c r="L6" s="2">
        <v>225250</v>
      </c>
    </row>
    <row r="7" spans="1:12" x14ac:dyDescent="0.25">
      <c r="A7" s="2">
        <f t="shared" si="0"/>
        <v>6</v>
      </c>
      <c r="B7" s="2" t="s">
        <v>43</v>
      </c>
      <c r="C7" s="2">
        <v>201020041</v>
      </c>
      <c r="E7" s="2">
        <f t="shared" si="1"/>
        <v>6</v>
      </c>
      <c r="F7" s="2" t="s">
        <v>29</v>
      </c>
      <c r="G7" s="2">
        <v>223810</v>
      </c>
      <c r="I7" s="2">
        <f t="shared" si="2"/>
        <v>6</v>
      </c>
      <c r="J7" s="2" t="s">
        <v>10</v>
      </c>
      <c r="K7" s="2">
        <v>301010064</v>
      </c>
      <c r="L7" s="2">
        <v>225142</v>
      </c>
    </row>
    <row r="8" spans="1:12" x14ac:dyDescent="0.25">
      <c r="A8" s="2">
        <f t="shared" si="0"/>
        <v>7</v>
      </c>
      <c r="B8" s="2" t="s">
        <v>34</v>
      </c>
      <c r="C8" s="2">
        <v>301040044</v>
      </c>
      <c r="E8" s="2">
        <f t="shared" si="1"/>
        <v>7</v>
      </c>
      <c r="F8" s="2" t="s">
        <v>35</v>
      </c>
      <c r="G8" s="2">
        <v>225250</v>
      </c>
      <c r="I8" s="2">
        <f t="shared" si="2"/>
        <v>7</v>
      </c>
      <c r="J8" s="2" t="s">
        <v>14</v>
      </c>
      <c r="K8" s="2">
        <v>301010110</v>
      </c>
      <c r="L8" s="2">
        <v>225142</v>
      </c>
    </row>
    <row r="9" spans="1:12" x14ac:dyDescent="0.25">
      <c r="A9" s="2">
        <f t="shared" si="0"/>
        <v>8</v>
      </c>
      <c r="B9" s="2" t="s">
        <v>33</v>
      </c>
      <c r="C9" s="2">
        <v>301040036</v>
      </c>
      <c r="E9" s="2">
        <f t="shared" si="1"/>
        <v>8</v>
      </c>
      <c r="F9" s="2" t="s">
        <v>38</v>
      </c>
      <c r="G9" s="2">
        <v>225142</v>
      </c>
      <c r="I9" s="2">
        <f t="shared" si="2"/>
        <v>8</v>
      </c>
      <c r="J9" s="2" t="s">
        <v>13</v>
      </c>
      <c r="K9" s="2">
        <v>301010080</v>
      </c>
      <c r="L9" s="2">
        <v>225142</v>
      </c>
    </row>
    <row r="10" spans="1:12" x14ac:dyDescent="0.25">
      <c r="A10" s="2">
        <f t="shared" si="0"/>
        <v>9</v>
      </c>
      <c r="B10" s="2" t="s">
        <v>32</v>
      </c>
      <c r="C10" s="2">
        <v>211070076</v>
      </c>
      <c r="E10" s="2">
        <f t="shared" si="1"/>
        <v>9</v>
      </c>
      <c r="F10" s="2" t="s">
        <v>12</v>
      </c>
      <c r="G10" s="2">
        <v>223710</v>
      </c>
      <c r="I10" s="2">
        <f t="shared" si="2"/>
        <v>9</v>
      </c>
      <c r="J10" s="2" t="s">
        <v>16</v>
      </c>
      <c r="K10" s="2">
        <v>301010129</v>
      </c>
      <c r="L10" s="2">
        <v>225142</v>
      </c>
    </row>
    <row r="11" spans="1:12" x14ac:dyDescent="0.25">
      <c r="A11" s="2">
        <f t="shared" si="0"/>
        <v>10</v>
      </c>
      <c r="B11" s="2" t="s">
        <v>31</v>
      </c>
      <c r="C11" s="2">
        <v>211070114</v>
      </c>
      <c r="E11" s="2">
        <f t="shared" si="1"/>
        <v>10</v>
      </c>
      <c r="F11" s="2" t="s">
        <v>62</v>
      </c>
      <c r="G11" s="2">
        <v>223208</v>
      </c>
      <c r="I11" s="2">
        <f t="shared" si="2"/>
        <v>10</v>
      </c>
      <c r="J11" s="2" t="s">
        <v>67</v>
      </c>
      <c r="K11" s="2">
        <v>301010072</v>
      </c>
      <c r="L11" s="2">
        <v>225112</v>
      </c>
    </row>
    <row r="12" spans="1:12" x14ac:dyDescent="0.25">
      <c r="A12" s="2">
        <f t="shared" si="0"/>
        <v>11</v>
      </c>
      <c r="B12" s="2" t="s">
        <v>30</v>
      </c>
      <c r="C12" s="2">
        <v>211070068</v>
      </c>
      <c r="E12" s="2">
        <f t="shared" si="1"/>
        <v>11</v>
      </c>
      <c r="F12" s="2" t="s">
        <v>61</v>
      </c>
      <c r="G12" s="2">
        <v>225124</v>
      </c>
      <c r="I12" s="2">
        <f t="shared" si="2"/>
        <v>11</v>
      </c>
      <c r="J12" s="2" t="s">
        <v>12</v>
      </c>
      <c r="K12" s="2">
        <v>301010030</v>
      </c>
      <c r="L12" s="2">
        <v>223710</v>
      </c>
    </row>
    <row r="13" spans="1:12" x14ac:dyDescent="0.25">
      <c r="A13" s="2">
        <f t="shared" si="0"/>
        <v>12</v>
      </c>
      <c r="B13" s="2" t="s">
        <v>47</v>
      </c>
      <c r="C13" s="2">
        <v>214010015</v>
      </c>
      <c r="E13" s="2">
        <f t="shared" si="1"/>
        <v>12</v>
      </c>
      <c r="F13" s="2" t="s">
        <v>60</v>
      </c>
      <c r="G13" s="2">
        <v>123456</v>
      </c>
      <c r="I13" s="2">
        <f t="shared" si="2"/>
        <v>12</v>
      </c>
      <c r="J13" s="2" t="s">
        <v>68</v>
      </c>
      <c r="K13" s="2">
        <v>301020500</v>
      </c>
      <c r="L13" s="2">
        <v>223208</v>
      </c>
    </row>
    <row r="14" spans="1:12" x14ac:dyDescent="0.25">
      <c r="A14" s="2">
        <f t="shared" si="0"/>
        <v>13</v>
      </c>
      <c r="B14" s="2" t="s">
        <v>26</v>
      </c>
      <c r="C14" s="2">
        <v>101010010</v>
      </c>
      <c r="E14" s="2">
        <f t="shared" si="1"/>
        <v>13</v>
      </c>
      <c r="F14" s="2" t="s">
        <v>27</v>
      </c>
      <c r="G14" s="2">
        <v>251510</v>
      </c>
      <c r="I14" s="2">
        <f t="shared" si="2"/>
        <v>13</v>
      </c>
      <c r="J14" s="2" t="s">
        <v>7</v>
      </c>
      <c r="K14" s="2">
        <v>301010064</v>
      </c>
      <c r="L14" s="2">
        <v>225124</v>
      </c>
    </row>
    <row r="15" spans="1:12" x14ac:dyDescent="0.25">
      <c r="A15" s="2">
        <f t="shared" si="0"/>
        <v>14</v>
      </c>
      <c r="B15" s="2" t="s">
        <v>57</v>
      </c>
      <c r="C15" s="2">
        <v>101010010</v>
      </c>
      <c r="E15" s="2">
        <f t="shared" si="1"/>
        <v>14</v>
      </c>
      <c r="F15" s="2" t="s">
        <v>59</v>
      </c>
      <c r="G15" s="2">
        <v>225133</v>
      </c>
      <c r="I15" s="2">
        <f t="shared" si="2"/>
        <v>14</v>
      </c>
      <c r="J15" s="2" t="s">
        <v>3</v>
      </c>
      <c r="K15" s="2">
        <v>301010110</v>
      </c>
      <c r="L15" s="2">
        <v>225250</v>
      </c>
    </row>
    <row r="16" spans="1:12" x14ac:dyDescent="0.25">
      <c r="A16" s="2">
        <f t="shared" si="0"/>
        <v>15</v>
      </c>
      <c r="B16" s="2" t="s">
        <v>20</v>
      </c>
      <c r="C16" s="2">
        <v>101010010</v>
      </c>
      <c r="E16" s="2">
        <f t="shared" si="1"/>
        <v>15</v>
      </c>
      <c r="F16" s="2" t="s">
        <v>41</v>
      </c>
      <c r="G16" s="2">
        <v>322245</v>
      </c>
      <c r="I16" s="2">
        <f t="shared" si="2"/>
        <v>15</v>
      </c>
      <c r="J16" s="2" t="s">
        <v>11</v>
      </c>
      <c r="K16" s="2">
        <v>301010110</v>
      </c>
      <c r="L16" s="2">
        <v>223505</v>
      </c>
    </row>
    <row r="17" spans="1:12" x14ac:dyDescent="0.25">
      <c r="A17" s="2">
        <f t="shared" si="0"/>
        <v>16</v>
      </c>
      <c r="B17" s="2" t="s">
        <v>28</v>
      </c>
      <c r="C17" s="2">
        <v>301040044</v>
      </c>
      <c r="I17" s="2">
        <f t="shared" si="2"/>
        <v>16</v>
      </c>
      <c r="J17" s="2" t="s">
        <v>69</v>
      </c>
      <c r="K17" s="2">
        <v>301010110</v>
      </c>
      <c r="L17" s="2">
        <v>223565</v>
      </c>
    </row>
    <row r="18" spans="1:12" x14ac:dyDescent="0.25">
      <c r="A18" s="2">
        <f t="shared" si="0"/>
        <v>17</v>
      </c>
      <c r="B18" s="2" t="s">
        <v>53</v>
      </c>
      <c r="C18" s="2">
        <v>301100101</v>
      </c>
      <c r="I18" s="2">
        <f t="shared" si="2"/>
        <v>17</v>
      </c>
      <c r="J18" s="2" t="s">
        <v>1</v>
      </c>
      <c r="K18" s="2">
        <v>301010030</v>
      </c>
      <c r="L18" s="2">
        <v>251510</v>
      </c>
    </row>
    <row r="19" spans="1:12" x14ac:dyDescent="0.25">
      <c r="A19" s="2">
        <f t="shared" si="0"/>
        <v>18</v>
      </c>
      <c r="B19" s="2" t="s">
        <v>44</v>
      </c>
      <c r="C19" s="2">
        <v>301100020</v>
      </c>
      <c r="I19" s="2">
        <f t="shared" si="2"/>
        <v>18</v>
      </c>
      <c r="J19" s="2" t="s">
        <v>15</v>
      </c>
      <c r="K19" s="2">
        <v>301010072</v>
      </c>
      <c r="L19" s="2">
        <v>225133</v>
      </c>
    </row>
    <row r="20" spans="1:12" x14ac:dyDescent="0.25">
      <c r="A20" s="2">
        <f t="shared" si="0"/>
        <v>19</v>
      </c>
      <c r="B20" s="2" t="s">
        <v>76</v>
      </c>
      <c r="C20" s="2">
        <v>301100020</v>
      </c>
      <c r="I20" s="2">
        <f t="shared" si="2"/>
        <v>19</v>
      </c>
      <c r="J20" s="2" t="s">
        <v>70</v>
      </c>
      <c r="K20" s="2">
        <v>301010080</v>
      </c>
      <c r="L20" s="2">
        <v>223505</v>
      </c>
    </row>
    <row r="21" spans="1:12" x14ac:dyDescent="0.25">
      <c r="A21" s="2">
        <f t="shared" si="0"/>
        <v>20</v>
      </c>
      <c r="B21" s="2" t="s">
        <v>51</v>
      </c>
      <c r="C21" s="2">
        <v>201020033</v>
      </c>
      <c r="I21" s="2">
        <f t="shared" si="2"/>
        <v>20</v>
      </c>
      <c r="J21" s="2" t="s">
        <v>71</v>
      </c>
      <c r="K21" s="2">
        <v>301010080</v>
      </c>
      <c r="L21" s="2">
        <v>223565</v>
      </c>
    </row>
    <row r="22" spans="1:12" x14ac:dyDescent="0.25">
      <c r="A22" s="2">
        <f t="shared" si="0"/>
        <v>21</v>
      </c>
      <c r="B22" s="2" t="s">
        <v>48</v>
      </c>
      <c r="C22" s="2">
        <v>301100039</v>
      </c>
      <c r="I22" s="2">
        <f t="shared" si="2"/>
        <v>21</v>
      </c>
      <c r="J22" s="2" t="s">
        <v>0</v>
      </c>
      <c r="K22" s="2">
        <v>301010080</v>
      </c>
      <c r="L22" s="2">
        <v>225124</v>
      </c>
    </row>
    <row r="23" spans="1:12" x14ac:dyDescent="0.25">
      <c r="A23" s="2">
        <f t="shared" si="0"/>
        <v>22</v>
      </c>
      <c r="B23" s="2" t="s">
        <v>46</v>
      </c>
      <c r="C23" s="2">
        <v>301100152</v>
      </c>
      <c r="I23" s="3">
        <f t="shared" si="2"/>
        <v>22</v>
      </c>
      <c r="J23" s="2" t="s">
        <v>133</v>
      </c>
      <c r="K23" s="2">
        <v>301010129</v>
      </c>
      <c r="L23" s="2">
        <v>225250</v>
      </c>
    </row>
    <row r="24" spans="1:12" x14ac:dyDescent="0.25">
      <c r="A24" s="2">
        <f t="shared" si="0"/>
        <v>23</v>
      </c>
      <c r="B24" s="2" t="s">
        <v>45</v>
      </c>
      <c r="C24" s="2">
        <v>214010066</v>
      </c>
      <c r="I24" s="2">
        <f t="shared" si="2"/>
        <v>23</v>
      </c>
      <c r="J24" s="2" t="s">
        <v>9</v>
      </c>
      <c r="K24" s="2">
        <v>301010129</v>
      </c>
      <c r="L24" s="2">
        <v>223505</v>
      </c>
    </row>
    <row r="25" spans="1:12" x14ac:dyDescent="0.25">
      <c r="A25" s="2">
        <f t="shared" si="0"/>
        <v>24</v>
      </c>
      <c r="B25" s="2" t="s">
        <v>22</v>
      </c>
      <c r="C25" s="2">
        <v>301050052</v>
      </c>
      <c r="I25" s="2">
        <f t="shared" si="2"/>
        <v>24</v>
      </c>
      <c r="J25" s="2" t="s">
        <v>17</v>
      </c>
      <c r="K25" s="2">
        <v>301010129</v>
      </c>
      <c r="L25" s="2">
        <v>223565</v>
      </c>
    </row>
    <row r="26" spans="1:12" x14ac:dyDescent="0.25">
      <c r="A26" s="2">
        <f t="shared" si="0"/>
        <v>25</v>
      </c>
      <c r="B26" s="2" t="s">
        <v>25</v>
      </c>
      <c r="C26" s="2">
        <v>214010058</v>
      </c>
      <c r="I26" s="2">
        <f t="shared" si="2"/>
        <v>25</v>
      </c>
      <c r="J26" s="2" t="s">
        <v>8</v>
      </c>
      <c r="K26" s="2">
        <v>301010129</v>
      </c>
      <c r="L26" s="2">
        <v>225250</v>
      </c>
    </row>
    <row r="27" spans="1:12" x14ac:dyDescent="0.25">
      <c r="A27" s="2">
        <f t="shared" si="0"/>
        <v>26</v>
      </c>
      <c r="B27" s="2" t="s">
        <v>24</v>
      </c>
      <c r="C27" s="2">
        <v>214010074</v>
      </c>
    </row>
    <row r="28" spans="1:12" x14ac:dyDescent="0.25">
      <c r="A28" s="2">
        <f t="shared" si="0"/>
        <v>27</v>
      </c>
      <c r="B28" s="2" t="s">
        <v>39</v>
      </c>
      <c r="C28" s="2">
        <v>101030010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>
    <tabColor theme="4" tint="-0.499984740745262"/>
  </sheetPr>
  <dimension ref="A1:C4"/>
  <sheetViews>
    <sheetView tabSelected="1" workbookViewId="0">
      <selection activeCell="A4" sqref="A4"/>
    </sheetView>
  </sheetViews>
  <sheetFormatPr defaultRowHeight="15" x14ac:dyDescent="0.25"/>
  <cols>
    <col min="1" max="1" width="16.7109375" bestFit="1" customWidth="1"/>
    <col min="2" max="2" width="12.85546875" bestFit="1" customWidth="1"/>
    <col min="3" max="4" width="18.85546875" bestFit="1" customWidth="1"/>
  </cols>
  <sheetData>
    <row r="1" spans="1:3" x14ac:dyDescent="0.25">
      <c r="A1" s="13" t="s">
        <v>148</v>
      </c>
      <c r="B1" t="s">
        <v>149</v>
      </c>
    </row>
    <row r="2" spans="1:3" x14ac:dyDescent="0.25">
      <c r="A2" s="13" t="s">
        <v>150</v>
      </c>
      <c r="B2" t="s">
        <v>149</v>
      </c>
    </row>
    <row r="4" spans="1:3" x14ac:dyDescent="0.25">
      <c r="A4" s="13" t="s">
        <v>151</v>
      </c>
      <c r="B4" s="13" t="s">
        <v>152</v>
      </c>
      <c r="C4" t="s">
        <v>153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>
    <tabColor theme="4" tint="-0.499984740745262"/>
  </sheetPr>
  <dimension ref="A1:C4"/>
  <sheetViews>
    <sheetView workbookViewId="0">
      <selection activeCell="A8" sqref="A8"/>
    </sheetView>
  </sheetViews>
  <sheetFormatPr defaultRowHeight="15" x14ac:dyDescent="0.25"/>
  <cols>
    <col min="1" max="1" width="30.5703125" bestFit="1" customWidth="1"/>
    <col min="2" max="2" width="20.85546875" bestFit="1" customWidth="1"/>
    <col min="3" max="3" width="21.42578125" bestFit="1" customWidth="1"/>
  </cols>
  <sheetData>
    <row r="1" spans="1:3" x14ac:dyDescent="0.25">
      <c r="A1" s="13" t="s">
        <v>148</v>
      </c>
      <c r="B1" t="s">
        <v>149</v>
      </c>
    </row>
    <row r="2" spans="1:3" x14ac:dyDescent="0.25">
      <c r="A2" s="13" t="s">
        <v>150</v>
      </c>
      <c r="B2" t="s">
        <v>149</v>
      </c>
    </row>
    <row r="4" spans="1:3" x14ac:dyDescent="0.25">
      <c r="A4" s="13" t="s">
        <v>154</v>
      </c>
      <c r="B4" s="13" t="s">
        <v>155</v>
      </c>
      <c r="C4" t="s">
        <v>156</v>
      </c>
    </row>
  </sheetData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btnConsultas" Type="http://schemas.openxmlformats.org/officeDocument/2006/relationships/image" Target="images/btnConsultas.png"/><Relationship Id="btnExportPDF" Type="http://schemas.openxmlformats.org/officeDocument/2006/relationships/image" Target="images/btnExportPDF.png"/><Relationship Id="btnProfissional" Type="http://schemas.openxmlformats.org/officeDocument/2006/relationships/image" Target="images/btnProfissional.png"/><Relationship Id="btProcedimentos" Type="http://schemas.openxmlformats.org/officeDocument/2006/relationships/image" Target="images/btProcedimentos.png"/><Relationship Id="btnReportView" Type="http://schemas.openxmlformats.org/officeDocument/2006/relationships/image" Target="images/btnReportView.png"/><Relationship Id="btnCadastroView" Type="http://schemas.openxmlformats.org/officeDocument/2006/relationships/image" Target="images/btnCadastroView.png"/><Relationship Id="btnConsultasNew" Type="http://schemas.openxmlformats.org/officeDocument/2006/relationships/image" Target="images/btnConsultasNew.png"/><Relationship Id="btnProcedimento" Type="http://schemas.openxmlformats.org/officeDocument/2006/relationships/image" Target="images/btnProcedimento.png"/></Relationships>
</file>

<file path=customUI/customUI.xml><?xml version="1.0" encoding="utf-8"?>
<customUI xmlns="http://schemas.microsoft.com/office/2006/01/customui">
  <ribbon>
    <tabs>
      <tab id="BPATab" label="BPA Manager 5.0-0518*" insertBeforeMso="TabHome">
        <group id="gConsultas" label="Grupo de Consultas">
          <button id="btLancamentos" label="Gerenciar Consultas" size="large" onAction="RibbonsCallBacks" image="btnConsultas"/>
          <button id="btreportfichas" label="Visualizar Relatório" size="large" onAction="RibbonsCallBacks" image="btnReportView"/>
        </group>
        <group id="gProcedimentos" label="Grupo de Procedimentos">
          <button id="btProcedimentos" label="Gerenciar Procedimentos" size="large" onAction="RibbonsCallBacks" image="btProcedimentos"/>
          <button id="btRelatorio" label="Visualizar Relatório" size="large" onAction="RibbonsCallBacks" image="btnReportView"/>
        </group>
        <group id="gReports" label="General Reports">
          <button id="btprint" label="Gerar Relatórios " size="large" onAction="RibbonsCallBacks" image="btnExportPDF"/>
        </group>
        <group id="gCadastros" label="Grupo de Cadastros">
          <button id="btProfissional" label="Cadastro Profissionais" size="large" onAction="RibbonsCallBacks" image="btnProfissional"/>
          <button id="btProcedimento" label="Cadastro Procedimento" size="large" onAction="RibbonsCallBacks" image="btnProcedimento"/>
          <button id="btConsulta" label="Cadastro Consultas" size="large" onAction="RibbonsCallBacks" image="btnConsultasNew"/>
          <button id="btCadastroView" label="Visualizar Tabelas (Cadastros)" size="large" onAction="RibbonsCallBacks" image="btnCadastroVi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C647E6-EED2-4547-BA59-A40517297E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Cover</vt:lpstr>
      <vt:lpstr>LançamentosProcedimentos</vt:lpstr>
      <vt:lpstr>Cadastros</vt:lpstr>
      <vt:lpstr>RelatórioConsultas</vt:lpstr>
      <vt:lpstr>RelatórioProcedimentos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Ivanildo Junior</cp:lastModifiedBy>
  <cp:lastPrinted>2018-06-05T15:17:41Z</cp:lastPrinted>
  <dcterms:created xsi:type="dcterms:W3CDTF">2018-03-25T01:41:51Z</dcterms:created>
  <dcterms:modified xsi:type="dcterms:W3CDTF">2018-07-08T19:31:36Z</dcterms:modified>
</cp:coreProperties>
</file>