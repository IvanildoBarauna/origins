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OneDrive\"/>
    </mc:Choice>
  </mc:AlternateContent>
  <bookViews>
    <workbookView xWindow="0" yWindow="0" windowWidth="20490" windowHeight="8955" tabRatio="930" activeTab="5"/>
  </bookViews>
  <sheets>
    <sheet name="RECEITAS" sheetId="7" r:id="rId1"/>
    <sheet name="DESPESAS" sheetId="8" r:id="rId2"/>
    <sheet name="BOM" sheetId="13" r:id="rId3"/>
    <sheet name="VENDAS" sheetId="1" r:id="rId4"/>
    <sheet name="DESPESAS EMP" sheetId="2" r:id="rId5"/>
    <sheet name="CONTAGEM" sheetId="6" r:id="rId6"/>
    <sheet name="PEDIDOS" sheetId="3" r:id="rId7"/>
    <sheet name="PARCELAMENTOS" sheetId="9" r:id="rId8"/>
    <sheet name="BELARA" sheetId="10" r:id="rId9"/>
    <sheet name="MONTADORES" sheetId="11" r:id="rId10"/>
    <sheet name="ORÇAMENTOS MOBÍLIA" sheetId="12" r:id="rId11"/>
  </sheets>
  <definedNames>
    <definedName name="_xlnm._FilterDatabase" localSheetId="8" hidden="1">BELARA!$A$1:$C$12</definedName>
    <definedName name="_xlnm._FilterDatabase" localSheetId="1" hidden="1">DESPESAS!#REF!</definedName>
    <definedName name="_xlnm._FilterDatabase" localSheetId="10" hidden="1">'ORÇAMENTOS MOBÍLIA'!$A$19:$B$19</definedName>
    <definedName name="_xlnm._FilterDatabase" localSheetId="7" hidden="1">PARCELAMENTOS!$A$1:$I$11</definedName>
    <definedName name="DIÁRIO_LÍQUIDO" localSheetId="8">#REF!</definedName>
    <definedName name="DIÁRIO_LÍQUIDO" localSheetId="9">#REF!</definedName>
    <definedName name="DIÁRIO_LÍQUIDO" localSheetId="10">#REF!</definedName>
    <definedName name="DIÁRIO_LÍQUIDO">#REF!</definedName>
    <definedName name="GRAF_DESPESAS" localSheetId="8">#REF!</definedName>
    <definedName name="GRAF_DESPESAS" localSheetId="9">#REF!</definedName>
    <definedName name="GRAF_DESPESAS" localSheetId="10">#REF!</definedName>
    <definedName name="GRAF_DESPESAS">#REF!</definedName>
    <definedName name="GRAF_SALDO" localSheetId="8">#REF!</definedName>
    <definedName name="GRAF_SALDO" localSheetId="9">#REF!</definedName>
    <definedName name="GRAF_SALDO" localSheetId="10">#REF!</definedName>
    <definedName name="GRAF_SALDO">#REF!</definedName>
    <definedName name="ImagemGraf" localSheetId="8">CHOOSE(#REF!,BELARA!GRAF_SALDO,BELARA!GRAF_DESPESAS)</definedName>
    <definedName name="ImagemGraf" localSheetId="1">CHOOSE(#REF!,GRAF_SALDO,GRAF_DESPESAS)</definedName>
    <definedName name="ImagemGraf" localSheetId="9">CHOOSE(#REF!,MONTADORES!GRAF_SALDO,MONTADORES!GRAF_DESPESAS)</definedName>
    <definedName name="ImagemGraf" localSheetId="10">CHOOSE(#REF!,'ORÇAMENTOS MOBÍLIA'!GRAF_SALDO,'ORÇAMENTOS MOBÍLIA'!GRAF_DESPESAS)</definedName>
    <definedName name="ImagemGraf" localSheetId="7">CHOOSE(#REF!,GRAF_SALDO,GRAF_DESPESAS)</definedName>
    <definedName name="ImagemGraf">CHOOSE(#REF!,GRAF_SALDO,GRAF_DESPESAS)</definedName>
    <definedName name="LISTACÉDULASMOEDAS">CONTAGEM!#REF!</definedName>
    <definedName name="TOTAL">SUM(#REF!,#REF!)</definedName>
    <definedName name="TOTAL_POUP" localSheetId="8">#REF!</definedName>
    <definedName name="TOTAL_POUP" localSheetId="9">#REF!</definedName>
    <definedName name="TOTAL_POUP" localSheetId="10">#REF!</definedName>
    <definedName name="TOTAL_POUP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6" l="1"/>
  <c r="D11" i="6"/>
  <c r="C10" i="6"/>
  <c r="D10" i="6"/>
  <c r="C9" i="6"/>
  <c r="D9" i="6"/>
  <c r="C8" i="6"/>
  <c r="D8" i="6"/>
  <c r="C7" i="6"/>
  <c r="D7" i="6"/>
  <c r="C6" i="6"/>
  <c r="D6" i="6"/>
  <c r="C5" i="6"/>
  <c r="D5" i="6"/>
  <c r="C4" i="6"/>
  <c r="D4" i="6"/>
  <c r="C3" i="6"/>
  <c r="D3" i="6"/>
  <c r="A23" i="1" a="1"/>
  <c r="A23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E3" i="1"/>
  <c r="F3" i="1"/>
  <c r="J3" i="1"/>
  <c r="K3" i="1"/>
  <c r="L3" i="1" s="1"/>
  <c r="M3" i="1" s="1"/>
  <c r="N3" i="1" s="1"/>
  <c r="O3" i="1" s="1"/>
  <c r="E4" i="1"/>
  <c r="F4" i="1"/>
  <c r="J4" i="1"/>
  <c r="K4" i="1"/>
  <c r="L4" i="1" s="1"/>
  <c r="M4" i="1" s="1"/>
  <c r="N4" i="1" s="1"/>
  <c r="O4" i="1" s="1"/>
  <c r="E5" i="1"/>
  <c r="F5" i="1"/>
  <c r="J5" i="1"/>
  <c r="K5" i="1"/>
  <c r="L5" i="1" s="1"/>
  <c r="M5" i="1" s="1"/>
  <c r="N5" i="1" s="1"/>
  <c r="O5" i="1" s="1"/>
  <c r="E6" i="1"/>
  <c r="F6" i="1"/>
  <c r="J6" i="1"/>
  <c r="K6" i="1"/>
  <c r="L6" i="1" s="1"/>
  <c r="M6" i="1" s="1"/>
  <c r="N6" i="1" s="1"/>
  <c r="O6" i="1" s="1"/>
  <c r="E7" i="1"/>
  <c r="F7" i="1"/>
  <c r="J7" i="1"/>
  <c r="K7" i="1"/>
  <c r="L7" i="1" s="1"/>
  <c r="M7" i="1" s="1"/>
  <c r="N7" i="1" s="1"/>
  <c r="O7" i="1" s="1"/>
  <c r="E8" i="1"/>
  <c r="F8" i="1"/>
  <c r="J8" i="1"/>
  <c r="K8" i="1"/>
  <c r="L8" i="1" s="1"/>
  <c r="M8" i="1" s="1"/>
  <c r="N8" i="1" s="1"/>
  <c r="O8" i="1" s="1"/>
  <c r="E9" i="1"/>
  <c r="F9" i="1"/>
  <c r="J9" i="1"/>
  <c r="K9" i="1"/>
  <c r="L9" i="1" s="1"/>
  <c r="M9" i="1" s="1"/>
  <c r="N9" i="1" s="1"/>
  <c r="O9" i="1" s="1"/>
  <c r="E10" i="1"/>
  <c r="F10" i="1"/>
  <c r="J10" i="1"/>
  <c r="K10" i="1"/>
  <c r="L10" i="1" s="1"/>
  <c r="M10" i="1" s="1"/>
  <c r="N10" i="1" s="1"/>
  <c r="O10" i="1" s="1"/>
  <c r="E11" i="1"/>
  <c r="F11" i="1"/>
  <c r="J11" i="1"/>
  <c r="K11" i="1"/>
  <c r="L11" i="1" s="1"/>
  <c r="M11" i="1" s="1"/>
  <c r="N11" i="1" s="1"/>
  <c r="O11" i="1" s="1"/>
  <c r="E12" i="1"/>
  <c r="F12" i="1"/>
  <c r="J12" i="1"/>
  <c r="K12" i="1"/>
  <c r="L12" i="1" s="1"/>
  <c r="M12" i="1" s="1"/>
  <c r="N12" i="1" s="1"/>
  <c r="O12" i="1" s="1"/>
  <c r="E13" i="1"/>
  <c r="F13" i="1"/>
  <c r="J13" i="1"/>
  <c r="K13" i="1"/>
  <c r="L13" i="1" s="1"/>
  <c r="M13" i="1" s="1"/>
  <c r="N13" i="1" s="1"/>
  <c r="O13" i="1" s="1"/>
  <c r="E14" i="1"/>
  <c r="F14" i="1"/>
  <c r="J14" i="1"/>
  <c r="K14" i="1"/>
  <c r="L14" i="1" s="1"/>
  <c r="M14" i="1" s="1"/>
  <c r="N14" i="1" s="1"/>
  <c r="O14" i="1" s="1"/>
  <c r="E15" i="1"/>
  <c r="F15" i="1"/>
  <c r="J15" i="1"/>
  <c r="K15" i="1"/>
  <c r="L15" i="1" s="1"/>
  <c r="M15" i="1" s="1"/>
  <c r="N15" i="1" s="1"/>
  <c r="O15" i="1" s="1"/>
  <c r="E16" i="1"/>
  <c r="F16" i="1"/>
  <c r="J16" i="1"/>
  <c r="K16" i="1"/>
  <c r="L16" i="1" s="1"/>
  <c r="M16" i="1" s="1"/>
  <c r="N16" i="1" s="1"/>
  <c r="O16" i="1" s="1"/>
  <c r="E17" i="1"/>
  <c r="F17" i="1"/>
  <c r="J17" i="1"/>
  <c r="K17" i="1"/>
  <c r="L17" i="1" s="1"/>
  <c r="M17" i="1" s="1"/>
  <c r="N17" i="1" s="1"/>
  <c r="O17" i="1" s="1"/>
  <c r="E18" i="1"/>
  <c r="F18" i="1"/>
  <c r="J18" i="1"/>
  <c r="K18" i="1"/>
  <c r="L18" i="1" s="1"/>
  <c r="M18" i="1" s="1"/>
  <c r="N18" i="1" s="1"/>
  <c r="O18" i="1" s="1"/>
  <c r="E19" i="1"/>
  <c r="F19" i="1"/>
  <c r="J19" i="1"/>
  <c r="K19" i="1"/>
  <c r="L19" i="1" s="1"/>
  <c r="M19" i="1" s="1"/>
  <c r="N19" i="1" s="1"/>
  <c r="O19" i="1" s="1"/>
  <c r="E20" i="1"/>
  <c r="F20" i="1"/>
  <c r="J20" i="1"/>
  <c r="K20" i="1"/>
  <c r="L20" i="1" s="1"/>
  <c r="M20" i="1" s="1"/>
  <c r="N20" i="1" s="1"/>
  <c r="O20" i="1" s="1"/>
  <c r="E21" i="1"/>
  <c r="F21" i="1"/>
  <c r="J21" i="1"/>
  <c r="K21" i="1"/>
  <c r="L21" i="1" s="1"/>
  <c r="M21" i="1" s="1"/>
  <c r="N21" i="1" s="1"/>
  <c r="O21" i="1" s="1"/>
  <c r="E22" i="1"/>
  <c r="F22" i="1"/>
  <c r="J22" i="1"/>
  <c r="K22" i="1"/>
  <c r="L22" i="1" s="1"/>
  <c r="M22" i="1" s="1"/>
  <c r="N22" i="1" s="1"/>
  <c r="O22" i="1" s="1"/>
  <c r="E2" i="1"/>
  <c r="F2" i="1"/>
  <c r="J2" i="1"/>
  <c r="K2" i="1"/>
  <c r="L2" i="1" s="1"/>
  <c r="M2" i="1" s="1"/>
  <c r="N2" i="1" s="1"/>
  <c r="O2" i="1" s="1"/>
  <c r="B15" i="2" l="1"/>
  <c r="C15" i="2"/>
  <c r="F15" i="2"/>
  <c r="C2" i="6"/>
  <c r="D2" i="6"/>
  <c r="C5" i="3"/>
  <c r="D5" i="3"/>
  <c r="E5" i="3"/>
  <c r="F5" i="3"/>
  <c r="H5" i="3"/>
  <c r="F13" i="2" l="1"/>
  <c r="B14" i="2"/>
  <c r="C14" i="2"/>
  <c r="F14" i="2"/>
  <c r="C23" i="1"/>
  <c r="C12" i="6" l="1"/>
  <c r="C4" i="3"/>
  <c r="D4" i="3"/>
  <c r="E4" i="3"/>
  <c r="F4" i="3"/>
  <c r="H4" i="3"/>
  <c r="B14" i="6" l="1"/>
  <c r="B13" i="6"/>
  <c r="B39" i="8"/>
  <c r="G2" i="13" l="1"/>
  <c r="F2" i="13"/>
  <c r="C2" i="13"/>
  <c r="B13" i="2" l="1"/>
  <c r="C13" i="2"/>
  <c r="B12" i="2" l="1"/>
  <c r="C12" i="2"/>
  <c r="F12" i="2"/>
  <c r="H2" i="12" l="1"/>
  <c r="H3" i="12"/>
  <c r="H4" i="12"/>
  <c r="B19" i="12" s="1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C2" i="10"/>
  <c r="D2" i="10" s="1"/>
  <c r="B3" i="10"/>
  <c r="D3" i="10" s="1"/>
  <c r="C3" i="10"/>
  <c r="B4" i="10"/>
  <c r="C4" i="10" s="1"/>
  <c r="D4" i="10" s="1"/>
  <c r="B5" i="10"/>
  <c r="C5" i="10" s="1"/>
  <c r="D5" i="10" s="1"/>
  <c r="B6" i="10"/>
  <c r="C6" i="10" s="1"/>
  <c r="B7" i="10" l="1"/>
  <c r="D6" i="10"/>
  <c r="B8" i="10" l="1"/>
  <c r="C7" i="10"/>
  <c r="D7" i="10" s="1"/>
  <c r="B9" i="10" l="1"/>
  <c r="C8" i="10"/>
  <c r="D8" i="10" s="1"/>
  <c r="C9" i="10" l="1"/>
  <c r="D9" i="10" s="1"/>
  <c r="B10" i="10"/>
  <c r="C10" i="10" l="1"/>
  <c r="D10" i="10"/>
  <c r="B11" i="10"/>
  <c r="C11" i="10" l="1"/>
  <c r="D11" i="10" s="1"/>
  <c r="B12" i="10"/>
  <c r="C12" i="10" l="1"/>
  <c r="D12" i="10"/>
  <c r="C2" i="9" l="1"/>
  <c r="I2" i="9" s="1"/>
  <c r="C3" i="9"/>
  <c r="I3" i="9" s="1"/>
  <c r="J3" i="9" s="1"/>
  <c r="C4" i="9"/>
  <c r="I4" i="9" s="1"/>
  <c r="J4" i="9" s="1"/>
  <c r="C5" i="9"/>
  <c r="I5" i="9" s="1"/>
  <c r="J5" i="9" s="1"/>
  <c r="C6" i="9"/>
  <c r="I6" i="9" s="1"/>
  <c r="J6" i="9" s="1"/>
  <c r="C7" i="9"/>
  <c r="I7" i="9" s="1"/>
  <c r="J7" i="9" s="1"/>
  <c r="C8" i="9"/>
  <c r="I8" i="9" s="1"/>
  <c r="J8" i="9" s="1"/>
  <c r="C9" i="9"/>
  <c r="I9" i="9" s="1"/>
  <c r="J9" i="9" s="1"/>
  <c r="C10" i="9"/>
  <c r="I10" i="9" s="1"/>
  <c r="J10" i="9" s="1"/>
  <c r="C11" i="9"/>
  <c r="I11" i="9" s="1"/>
  <c r="J11" i="9" s="1"/>
  <c r="B43" i="8"/>
  <c r="B44" i="8"/>
  <c r="B52" i="8"/>
  <c r="B60" i="8"/>
  <c r="B68" i="8"/>
  <c r="B76" i="8"/>
  <c r="B83" i="8"/>
  <c r="B89" i="8"/>
  <c r="B95" i="8"/>
  <c r="B100" i="8"/>
  <c r="B113" i="8"/>
  <c r="B2" i="2"/>
  <c r="B3" i="2"/>
  <c r="B4" i="2"/>
  <c r="B5" i="2"/>
  <c r="B6" i="2"/>
  <c r="B7" i="2"/>
  <c r="B8" i="2"/>
  <c r="B9" i="2"/>
  <c r="B10" i="2"/>
  <c r="B11" i="2"/>
  <c r="C2" i="2"/>
  <c r="C3" i="2"/>
  <c r="C4" i="2"/>
  <c r="C5" i="2"/>
  <c r="C6" i="2"/>
  <c r="C7" i="2"/>
  <c r="C8" i="2"/>
  <c r="C9" i="2"/>
  <c r="C10" i="2"/>
  <c r="C11" i="2"/>
  <c r="B6" i="7" l="1"/>
  <c r="B10" i="7"/>
  <c r="B14" i="7"/>
  <c r="B3" i="7"/>
  <c r="B11" i="7"/>
  <c r="B15" i="7"/>
  <c r="B2" i="7"/>
  <c r="B12" i="7"/>
  <c r="B7" i="7"/>
  <c r="B8" i="7"/>
  <c r="B9" i="7"/>
  <c r="B13" i="7"/>
  <c r="B4" i="7"/>
  <c r="J2" i="9"/>
  <c r="K2" i="9"/>
  <c r="K11" i="9"/>
  <c r="K10" i="9"/>
  <c r="K9" i="9"/>
  <c r="K8" i="9"/>
  <c r="K7" i="9"/>
  <c r="K6" i="9"/>
  <c r="K5" i="9"/>
  <c r="K4" i="9"/>
  <c r="K3" i="9"/>
  <c r="F11" i="2" l="1"/>
  <c r="F10" i="2" l="1"/>
  <c r="F9" i="2"/>
  <c r="F8" i="2"/>
  <c r="F7" i="2"/>
  <c r="F6" i="2"/>
  <c r="F5" i="2"/>
  <c r="F4" i="2"/>
  <c r="F3" i="2"/>
  <c r="I23" i="1" l="1"/>
  <c r="H23" i="1"/>
  <c r="K23" i="1" l="1"/>
  <c r="M23" i="1" l="1"/>
  <c r="L23" i="1"/>
  <c r="C3" i="3" l="1"/>
  <c r="D3" i="3"/>
  <c r="E3" i="3"/>
  <c r="F3" i="3"/>
  <c r="H3" i="3"/>
  <c r="B6" i="3" l="1"/>
  <c r="F2" i="2"/>
  <c r="E16" i="2"/>
  <c r="F2" i="3"/>
  <c r="E2" i="3"/>
  <c r="D2" i="3"/>
  <c r="C2" i="3"/>
  <c r="H2" i="3" l="1"/>
  <c r="H6" i="3" s="1"/>
  <c r="N23" i="1" l="1"/>
  <c r="B5" i="7" l="1"/>
  <c r="O23" i="1" l="1"/>
</calcChain>
</file>

<file path=xl/sharedStrings.xml><?xml version="1.0" encoding="utf-8"?>
<sst xmlns="http://schemas.openxmlformats.org/spreadsheetml/2006/main" count="556" uniqueCount="216">
  <si>
    <t>DATA</t>
  </si>
  <si>
    <t>LUCRO %</t>
  </si>
  <si>
    <t>DIA SEMANA</t>
  </si>
  <si>
    <t>ANO</t>
  </si>
  <si>
    <t>MÊS</t>
  </si>
  <si>
    <t>DIA</t>
  </si>
  <si>
    <t>CUSTO</t>
  </si>
  <si>
    <t>LUCRO</t>
  </si>
  <si>
    <t>VENDA</t>
  </si>
  <si>
    <t>TOTAL</t>
  </si>
  <si>
    <t>QTD KG</t>
  </si>
  <si>
    <t>PREÇO DO  KG</t>
  </si>
  <si>
    <t>DESCRIÇÃO</t>
  </si>
  <si>
    <t>VALOR</t>
  </si>
  <si>
    <t>SITUAÇÃO</t>
  </si>
  <si>
    <t>EM DÉBITO</t>
  </si>
  <si>
    <t>DIA DA SEMANA</t>
  </si>
  <si>
    <t>QUANTIDADE</t>
  </si>
  <si>
    <t>IMPORT.</t>
  </si>
  <si>
    <t>LOCAL</t>
  </si>
  <si>
    <t>VAZAME</t>
  </si>
  <si>
    <t>TEREZA</t>
  </si>
  <si>
    <t>FESTA JULINA</t>
  </si>
  <si>
    <t>WHISKAS</t>
  </si>
  <si>
    <t>RAÇÃO DO GATO</t>
  </si>
  <si>
    <t>GRELHA</t>
  </si>
  <si>
    <t>CHURROS</t>
  </si>
  <si>
    <t>PÃO VAZAME</t>
  </si>
  <si>
    <t>ENERGIA VAZAME</t>
  </si>
  <si>
    <t>DESPESAS DIVERSAS</t>
  </si>
  <si>
    <t>BELARA</t>
  </si>
  <si>
    <t>PREÇO/KG</t>
  </si>
  <si>
    <t>PREÇO/UN.</t>
  </si>
  <si>
    <t>QTD/PÃES</t>
  </si>
  <si>
    <t>QTD/KG</t>
  </si>
  <si>
    <t>Receita</t>
  </si>
  <si>
    <t>Data</t>
  </si>
  <si>
    <t>NÃO PAGO</t>
  </si>
  <si>
    <t>LUZ</t>
  </si>
  <si>
    <t>ÁGUA</t>
  </si>
  <si>
    <t>ALUGUEL</t>
  </si>
  <si>
    <t xml:space="preserve">NET </t>
  </si>
  <si>
    <t>COLOMBO</t>
  </si>
  <si>
    <t>CASAS BAHIA</t>
  </si>
  <si>
    <t>KOMFORT</t>
  </si>
  <si>
    <t>ÁVISTA</t>
  </si>
  <si>
    <t>C&amp;A</t>
  </si>
  <si>
    <t>CARTÃO LOPES</t>
  </si>
  <si>
    <t>PAGO</t>
  </si>
  <si>
    <t>ENTRADA SALÃO</t>
  </si>
  <si>
    <t>VAL</t>
  </si>
  <si>
    <t>AnoVenc</t>
  </si>
  <si>
    <t>MêsVenc</t>
  </si>
  <si>
    <t>DiaVenc</t>
  </si>
  <si>
    <t>Fogão Consul</t>
  </si>
  <si>
    <t>CasasBahia</t>
  </si>
  <si>
    <t>Bradescard</t>
  </si>
  <si>
    <t>Losango</t>
  </si>
  <si>
    <t>Sofá NewJersey</t>
  </si>
  <si>
    <t>Komfort House</t>
  </si>
  <si>
    <t>-</t>
  </si>
  <si>
    <t>Rack para Sala</t>
  </si>
  <si>
    <t>CCP Móveis</t>
  </si>
  <si>
    <t>Ávista</t>
  </si>
  <si>
    <t>KIT Dell</t>
  </si>
  <si>
    <t>Dell Computadores</t>
  </si>
  <si>
    <t>Computador Dell</t>
  </si>
  <si>
    <t>Peças de Roupa</t>
  </si>
  <si>
    <t>Riachuelo</t>
  </si>
  <si>
    <t>Ano End</t>
  </si>
  <si>
    <t>Mês End</t>
  </si>
  <si>
    <t>DataE</t>
  </si>
  <si>
    <t>Parcelas</t>
  </si>
  <si>
    <t>Total</t>
  </si>
  <si>
    <t>Data da Compra</t>
  </si>
  <si>
    <t>Produto</t>
  </si>
  <si>
    <t>Loja</t>
  </si>
  <si>
    <t>DiaFechamento</t>
  </si>
  <si>
    <t>Administradora</t>
  </si>
  <si>
    <t>11º</t>
  </si>
  <si>
    <t>10º</t>
  </si>
  <si>
    <t>9º</t>
  </si>
  <si>
    <t>8º</t>
  </si>
  <si>
    <t>7º</t>
  </si>
  <si>
    <t>6º</t>
  </si>
  <si>
    <t>5º</t>
  </si>
  <si>
    <t>4º</t>
  </si>
  <si>
    <t>3º</t>
  </si>
  <si>
    <t>2º</t>
  </si>
  <si>
    <t>1º</t>
  </si>
  <si>
    <t>VALIDA CICLO</t>
  </si>
  <si>
    <t>FIM</t>
  </si>
  <si>
    <t>INÍCIO</t>
  </si>
  <si>
    <t>CAIXA</t>
  </si>
  <si>
    <t>98284-3940</t>
  </si>
  <si>
    <t>ZÉ MONTADOR</t>
  </si>
  <si>
    <t>98639-8055</t>
  </si>
  <si>
    <t>LEANDRO</t>
  </si>
  <si>
    <t>CLARO</t>
  </si>
  <si>
    <t>94521-6555</t>
  </si>
  <si>
    <t>OI</t>
  </si>
  <si>
    <t>96671-4176 (WZAP)</t>
  </si>
  <si>
    <t>VIVO</t>
  </si>
  <si>
    <t>99905-3428</t>
  </si>
  <si>
    <t>TIM</t>
  </si>
  <si>
    <t>98683-1605 (WZAP)</t>
  </si>
  <si>
    <t>ADEMILSON ARAÚJO</t>
  </si>
  <si>
    <t>96809-1016 (WZAP)</t>
  </si>
  <si>
    <t>95104-7629</t>
  </si>
  <si>
    <t>ADAILTON</t>
  </si>
  <si>
    <t>94394-1917</t>
  </si>
  <si>
    <t>99669-3338 (WZAP)</t>
  </si>
  <si>
    <t>95890-5199</t>
  </si>
  <si>
    <t>94619-7585</t>
  </si>
  <si>
    <t>RUA FLÁVIO DOHOCZKI, 305 JARDIM MARIZ LUIZA - TABOÃO</t>
  </si>
  <si>
    <t>CRISTIANO</t>
  </si>
  <si>
    <t>94563-9647</t>
  </si>
  <si>
    <t>98421-8846</t>
  </si>
  <si>
    <t>94386-2055</t>
  </si>
  <si>
    <t>96795-2615</t>
  </si>
  <si>
    <t>A.N NEGÃO</t>
  </si>
  <si>
    <t>96166-7781</t>
  </si>
  <si>
    <t>98863-7303</t>
  </si>
  <si>
    <t xml:space="preserve">98666-3401 (WZAP) </t>
  </si>
  <si>
    <t>94137-9256</t>
  </si>
  <si>
    <t>RUA ITAQUERA, 129 JARDIM SANTA TEREZA EMBU - SP</t>
  </si>
  <si>
    <t>AILTON</t>
  </si>
  <si>
    <t>NEXTEL</t>
  </si>
  <si>
    <t>94732-6644 (WZAP)</t>
  </si>
  <si>
    <t>98691-4787</t>
  </si>
  <si>
    <t>97107-5009</t>
  </si>
  <si>
    <t>JULIO CESAR</t>
  </si>
  <si>
    <t>99334-4433</t>
  </si>
  <si>
    <t>98750-8616 (WZAP)</t>
  </si>
  <si>
    <t>94630-8008</t>
  </si>
  <si>
    <t>FIXO</t>
  </si>
  <si>
    <t>4778-3395</t>
  </si>
  <si>
    <t>ALEXANDRE</t>
  </si>
  <si>
    <t>PREÇO</t>
  </si>
  <si>
    <t>SERVIÇO</t>
  </si>
  <si>
    <t>OPERADORA 4</t>
  </si>
  <si>
    <t>CONTATO 4</t>
  </si>
  <si>
    <t>OPERADORA 3</t>
  </si>
  <si>
    <t>CONTATO 3</t>
  </si>
  <si>
    <t>OPERADORA 2</t>
  </si>
  <si>
    <t>CONTATO 2</t>
  </si>
  <si>
    <t>OPERADORA 1</t>
  </si>
  <si>
    <t xml:space="preserve">CONTATO 1 </t>
  </si>
  <si>
    <t>ENDEREÇO</t>
  </si>
  <si>
    <t>MONTADOR</t>
  </si>
  <si>
    <t>SIM</t>
  </si>
  <si>
    <t>KOMFORT HOUSE</t>
  </si>
  <si>
    <t>Sofá NewJey</t>
  </si>
  <si>
    <t>SALA</t>
  </si>
  <si>
    <t>SOFÁ RETRÁTIL E ARTICULADO</t>
  </si>
  <si>
    <t>OUTROS</t>
  </si>
  <si>
    <t>MÁQUINA DE LAVAR ROUPAS BRASTEMP</t>
  </si>
  <si>
    <t>LAVA ROUPAS</t>
  </si>
  <si>
    <t>EDMIL</t>
  </si>
  <si>
    <t xml:space="preserve">MESA DE VIDRO </t>
  </si>
  <si>
    <t>MESA MULTIUSO</t>
  </si>
  <si>
    <t>CCP MÓVEIS</t>
  </si>
  <si>
    <t>RACK SEM PAINEL</t>
  </si>
  <si>
    <t>RACK PARA SALA</t>
  </si>
  <si>
    <t>MARABRAZ</t>
  </si>
  <si>
    <t>Mesa com 4 Cadeiras</t>
  </si>
  <si>
    <t>COZINHA</t>
  </si>
  <si>
    <t xml:space="preserve">MESA </t>
  </si>
  <si>
    <t>LEANDRO MONTADOR</t>
  </si>
  <si>
    <t>DESMONTAGEM / MONTAGEM DE GUARDA ROUPA, MESA E COZINHA</t>
  </si>
  <si>
    <t>QUARTO</t>
  </si>
  <si>
    <t>MONTAGEM DE MÓVEIS</t>
  </si>
  <si>
    <t>KING STAR</t>
  </si>
  <si>
    <t>Conjunto Cama Box Com Colchão England</t>
  </si>
  <si>
    <t>CONJUNTO CAMA &amp; BOX</t>
  </si>
  <si>
    <t>Cozinha Completa</t>
  </si>
  <si>
    <t>COZINHA COMPLETA</t>
  </si>
  <si>
    <t>WALMART</t>
  </si>
  <si>
    <t>Cafeteira Elétrica 12 Xícaras New Perfectta Cafn</t>
  </si>
  <si>
    <t>CAFETEIRA / ARNO</t>
  </si>
  <si>
    <t>SHOPTIME</t>
  </si>
  <si>
    <t>Microondas Cm020 20L Cinza Espelhado</t>
  </si>
  <si>
    <t>MICROONDAS / CONSUL</t>
  </si>
  <si>
    <t>Refrigerador Electrolux Df36X 310 Litros Inox</t>
  </si>
  <si>
    <t>GELADEIRA / ELECTROLUX</t>
  </si>
  <si>
    <t>Ferro De Passar Roupas À Vapor Base Cerâmica Prime Comfort Fe8015Az</t>
  </si>
  <si>
    <t>FERRO Á VAPOR / SEMP TOSHIBA</t>
  </si>
  <si>
    <t>AMERICANAS</t>
  </si>
  <si>
    <t>Secador Taiff Red Íon Vermelho 1900W</t>
  </si>
  <si>
    <t>SECADOR / TAIFF</t>
  </si>
  <si>
    <t>Liquidificador Philco Ph900 Com 12 Velocidades E 900W</t>
  </si>
  <si>
    <t>LIQUIDIFICADOR / PHILCO</t>
  </si>
  <si>
    <t>Fogão Piso Consul Cf350 4 Bocas Botões Removíveis Inox</t>
  </si>
  <si>
    <t>FOGÃO / CONSUL</t>
  </si>
  <si>
    <t>Smart Tv Samsung Série 4 Un32J4300Ag 32 Polegadas Led Plana</t>
  </si>
  <si>
    <t>TV / SAMSUNG</t>
  </si>
  <si>
    <t>VALOR FINAL</t>
  </si>
  <si>
    <t>MONTAGEM</t>
  </si>
  <si>
    <t>VALOR MÉDIO</t>
  </si>
  <si>
    <t xml:space="preserve">COMPRA FINALIZADA? </t>
  </si>
  <si>
    <t>SHOP</t>
  </si>
  <si>
    <t>CÔMODO</t>
  </si>
  <si>
    <t>PRODUTO</t>
  </si>
  <si>
    <t>SEMANA</t>
  </si>
  <si>
    <t>DATAi</t>
  </si>
  <si>
    <t>DATAf</t>
  </si>
  <si>
    <t>DIAS</t>
  </si>
  <si>
    <t>SALDOi</t>
  </si>
  <si>
    <t>SALDOf</t>
  </si>
  <si>
    <t>UTILIZADO</t>
  </si>
  <si>
    <t>MÉDIA/DIA</t>
  </si>
  <si>
    <t>TIPO</t>
  </si>
  <si>
    <t>MOEDA</t>
  </si>
  <si>
    <t>CÉDULA</t>
  </si>
  <si>
    <t>TOTAL IMPORT.</t>
  </si>
  <si>
    <t>VENDA/35G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</si>
</sst>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\ * #,##0.00_-;\-&quot;R$&quot;\ * #,##0.00_-;_-&quot;R$&quot;\ * &quot;-&quot;??_-;_-@_-"/>
    <numFmt numFmtId="164" formatCode="0.000"/>
    <numFmt numFmtId="165" formatCode="_(&quot;R$&quot;* #,##0.00_);_(&quot;R$&quot;* \(#,##0.00\);_(&quot;R$&quot;* &quot;-&quot;??_);_(@_)"/>
    <numFmt numFmtId="166" formatCode="_-[$R$-416]* #,##0.00_-;\-[$R$-416]* #,##0.00_-;_-[$R$-416]* &quot;-&quot;??_-;_-@_-"/>
    <numFmt numFmtId="167" formatCode="_-[$R$-416]\ * #,##0.00_-;\-[$R$-416]\ * #,##0.00_-;_-[$R$-416]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4" fontId="0" fillId="0" borderId="0" xfId="0" applyNumberFormat="1"/>
    <xf numFmtId="0" fontId="3" fillId="0" borderId="0" xfId="0" applyFont="1"/>
    <xf numFmtId="44" fontId="2" fillId="0" borderId="0" xfId="0" applyNumberFormat="1" applyFont="1" applyAlignment="1">
      <alignment horizontal="center"/>
    </xf>
    <xf numFmtId="0" fontId="0" fillId="0" borderId="0" xfId="0" applyAlignment="1"/>
    <xf numFmtId="14" fontId="0" fillId="0" borderId="0" xfId="0" applyNumberFormat="1" applyAlignment="1"/>
    <xf numFmtId="44" fontId="0" fillId="0" borderId="0" xfId="2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6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vertical="center"/>
    </xf>
    <xf numFmtId="4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8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9" fillId="0" borderId="4" xfId="0" applyFont="1" applyBorder="1"/>
    <xf numFmtId="14" fontId="9" fillId="0" borderId="5" xfId="0" applyNumberFormat="1" applyFont="1" applyBorder="1" applyAlignment="1">
      <alignment horizontal="center"/>
    </xf>
    <xf numFmtId="0" fontId="9" fillId="0" borderId="6" xfId="0" applyNumberFormat="1" applyFont="1" applyBorder="1" applyAlignment="1">
      <alignment horizontal="center"/>
    </xf>
    <xf numFmtId="0" fontId="9" fillId="0" borderId="7" xfId="0" applyFont="1" applyBorder="1"/>
    <xf numFmtId="14" fontId="9" fillId="0" borderId="0" xfId="0" applyNumberFormat="1" applyFont="1" applyBorder="1" applyAlignment="1">
      <alignment horizontal="center"/>
    </xf>
    <xf numFmtId="0" fontId="9" fillId="0" borderId="8" xfId="0" applyNumberFormat="1" applyFont="1" applyBorder="1" applyAlignment="1">
      <alignment horizontal="center"/>
    </xf>
    <xf numFmtId="0" fontId="0" fillId="0" borderId="0" xfId="0" applyFont="1"/>
    <xf numFmtId="0" fontId="10" fillId="3" borderId="9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1" applyNumberFormat="1" applyFont="1"/>
    <xf numFmtId="9" fontId="0" fillId="0" borderId="0" xfId="1" applyFont="1"/>
    <xf numFmtId="165" fontId="11" fillId="0" borderId="0" xfId="0" applyNumberFormat="1" applyFont="1"/>
    <xf numFmtId="0" fontId="12" fillId="0" borderId="0" xfId="0" applyFont="1"/>
    <xf numFmtId="165" fontId="0" fillId="4" borderId="0" xfId="0" applyNumberFormat="1" applyFont="1" applyFill="1" applyAlignment="1">
      <alignment horizontal="center"/>
    </xf>
    <xf numFmtId="165" fontId="0" fillId="4" borderId="0" xfId="2" applyFont="1" applyFill="1" applyAlignment="1">
      <alignment horizontal="center"/>
    </xf>
    <xf numFmtId="0" fontId="0" fillId="4" borderId="0" xfId="0" applyFont="1" applyFill="1" applyAlignment="1">
      <alignment horizontal="center"/>
    </xf>
    <xf numFmtId="14" fontId="0" fillId="0" borderId="0" xfId="0" applyNumberFormat="1"/>
    <xf numFmtId="0" fontId="3" fillId="0" borderId="0" xfId="0" applyFont="1" applyAlignment="1">
      <alignment horizontal="center"/>
    </xf>
    <xf numFmtId="14" fontId="0" fillId="0" borderId="0" xfId="0" quotePrefix="1" applyNumberFormat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4" fillId="0" borderId="0" xfId="0" applyFont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44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" fontId="4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/>
    </xf>
    <xf numFmtId="10" fontId="4" fillId="0" borderId="0" xfId="1" applyNumberFormat="1" applyFont="1" applyFill="1" applyBorder="1" applyAlignment="1">
      <alignment horizontal="center" vertical="center"/>
    </xf>
    <xf numFmtId="44" fontId="4" fillId="0" borderId="0" xfId="0" applyNumberFormat="1" applyFont="1" applyFill="1" applyAlignment="1">
      <alignment horizontal="center" vertical="center"/>
    </xf>
    <xf numFmtId="0" fontId="4" fillId="0" borderId="0" xfId="0" applyNumberFormat="1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44" fontId="4" fillId="0" borderId="0" xfId="1" applyNumberFormat="1" applyFont="1" applyFill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vertical="center"/>
    </xf>
    <xf numFmtId="14" fontId="13" fillId="0" borderId="0" xfId="0" applyNumberFormat="1" applyFont="1" applyFill="1" applyBorder="1" applyAlignment="1">
      <alignment horizontal="center" vertical="center"/>
    </xf>
    <xf numFmtId="44" fontId="13" fillId="0" borderId="0" xfId="0" applyNumberFormat="1" applyFont="1" applyFill="1" applyBorder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44" fontId="4" fillId="0" borderId="0" xfId="0" applyNumberFormat="1" applyFont="1"/>
    <xf numFmtId="164" fontId="4" fillId="0" borderId="0" xfId="0" applyNumberFormat="1" applyFont="1"/>
    <xf numFmtId="0" fontId="13" fillId="0" borderId="0" xfId="0" applyFont="1" applyFill="1" applyBorder="1" applyAlignment="1">
      <alignment horizontal="left" vertical="center"/>
    </xf>
  </cellXfs>
  <cellStyles count="3">
    <cellStyle name="Moeda 2" xfId="2"/>
    <cellStyle name="Normal" xfId="0" builtinId="0"/>
    <cellStyle name="Porcentagem" xfId="1" builtinId="5"/>
  </cellStyles>
  <dxfs count="140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font>
        <color theme="0" tint="-0.499984740745262"/>
      </font>
    </dxf>
    <dxf>
      <font>
        <b/>
        <i val="0"/>
      </font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4" formatCode="0.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7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7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168" formatCode="mmmm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969"/>
      <color rgb="FFFF3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4" name="tbRECEITAS" displayName="tbRECEITAS" ref="A1:B15" headerRowDxfId="139" dataDxfId="138">
  <tableColumns count="2">
    <tableColumn id="1" name="Data" dataDxfId="137" totalsRowDxfId="136"/>
    <tableColumn id="3" name="Receita" dataDxfId="135" totalsRowDxfId="1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DESPESAS" displayName="tbDESPESAS" ref="A1:F113" totalsRowCount="1" headerRowDxfId="133" dataDxfId="132">
  <autoFilter ref="A1:F112">
    <filterColumn colId="0">
      <filters>
        <filter val="C&amp;A"/>
      </filters>
    </filterColumn>
    <filterColumn colId="3">
      <filters>
        <filter val="8"/>
      </filters>
    </filterColumn>
    <filterColumn colId="4">
      <filters>
        <filter val="2017"/>
      </filters>
    </filterColumn>
  </autoFilter>
  <sortState ref="A2:F112">
    <sortCondition ref="E2:E112"/>
    <sortCondition ref="D2:D112"/>
    <sortCondition ref="C2:C112"/>
  </sortState>
  <tableColumns count="6">
    <tableColumn id="1" name="DESCRIÇÃO" dataDxfId="131" totalsRowDxfId="130"/>
    <tableColumn id="2" name="VALOR" totalsRowFunction="sum" dataDxfId="129" totalsRowDxfId="128"/>
    <tableColumn id="3" name="DiaVenc" dataDxfId="127" totalsRowDxfId="126"/>
    <tableColumn id="4" name="MêsVenc" dataDxfId="125" totalsRowDxfId="124"/>
    <tableColumn id="5" name="AnoVenc" dataDxfId="123" totalsRowDxfId="122"/>
    <tableColumn id="6" name="VAL" dataDxfId="121" totalsRowDxfId="1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Vendas" displayName="TabelaVendas" ref="A1:O23" totalsRowCount="1" headerRowDxfId="119" dataDxfId="118" totalsRowDxfId="117">
  <tableColumns count="15">
    <tableColumn id="21" name="DATA" totalsRowFunction="custom" dataDxfId="39" totalsRowDxfId="24">
      <totalsRowFormula array="1">"TOTAL DE: "&amp; SUM(IF(A2&lt;&gt;A2:A22,1,0)) - COUNTBLANK(TabelaVendas[DATA]) &amp; " DIAS "</totalsRowFormula>
    </tableColumn>
    <tableColumn id="9" name="PRODUTO" dataDxfId="38" totalsRowDxfId="23"/>
    <tableColumn id="1" name="VENDA" totalsRowFunction="sum" dataDxfId="37" totalsRowDxfId="22"/>
    <tableColumn id="8" name="SEMANA" dataDxfId="36" totalsRowDxfId="21"/>
    <tableColumn id="13" name="MÊS" dataDxfId="35" totalsRowDxfId="20">
      <calculatedColumnFormula>MONTH(TabelaVendas[[#This Row],[DATA]])</calculatedColumnFormula>
    </tableColumn>
    <tableColumn id="14" name="ANO" dataDxfId="34" totalsRowDxfId="19">
      <calculatedColumnFormula>YEAR(TabelaVendas[[#This Row],[DATA]])</calculatedColumnFormula>
    </tableColumn>
    <tableColumn id="7" name="LOCAL" dataDxfId="33" totalsRowDxfId="18"/>
    <tableColumn id="11" name="PREÇO/UN." totalsRowFunction="average" dataDxfId="32" totalsRowDxfId="17"/>
    <tableColumn id="12" name="PREÇO/KG" totalsRowFunction="average" dataDxfId="31" totalsRowDxfId="16"/>
    <tableColumn id="6" name="DIA DA SEMANA" dataDxfId="30" totalsRowDxfId="15">
      <calculatedColumnFormula>IF(TabelaVendas[[#This Row],[DATA]]="","-",PROPER(TEXT(TabelaVendas[[#This Row],[DATA]],"dddd")))</calculatedColumnFormula>
    </tableColumn>
    <tableColumn id="2" name="QTD/PÃES" totalsRowFunction="sum" dataDxfId="29" totalsRowDxfId="14">
      <calculatedColumnFormula>IF(TabelaVendas[[#This Row],[PRODUTO]]&lt;&gt;"VENDA/35G", (1000/SUBSTITUTE(RIGHT(TabelaVendas[[#This Row],[PRODUTO]],3),"G","")*1),ROUNDUP(TabelaVendas[[#This Row],[VENDA]]/TabelaVendas[[#This Row],[PREÇO/UN.]],0))</calculatedColumnFormula>
    </tableColumn>
    <tableColumn id="3" name="QTD/KG" totalsRowFunction="sum" dataDxfId="28" totalsRowDxfId="13">
      <calculatedColumnFormula>(TabelaVendas[[#This Row],[QTD/PÃES]]*(SUBSTITUTE(RIGHT(TabelaVendas[[#This Row],[PRODUTO]],3),"G","")*1))/1000</calculatedColumnFormula>
    </tableColumn>
    <tableColumn id="4" name="CUSTO" totalsRowFunction="sum" dataDxfId="27" totalsRowDxfId="12">
      <calculatedColumnFormula>IF(TabelaVendas[[#This Row],[PRODUTO]]&lt;&gt;"VENDA/35G",TabelaVendas[[#This Row],[PREÇO/KG]],ROUND(TabelaVendas[QTD/KG]*TabelaVendas[[#This Row],[PREÇO/KG]],0))</calculatedColumnFormula>
    </tableColumn>
    <tableColumn id="5" name="LUCRO" totalsRowFunction="sum" dataDxfId="26" totalsRowDxfId="11">
      <calculatedColumnFormula>TabelaVendas[[#This Row],[VENDA]]-TabelaVendas[[#This Row],[CUSTO]]</calculatedColumnFormula>
    </tableColumn>
    <tableColumn id="10" name="LUCRO %" totalsRowFunction="average" dataDxfId="25" totalsRowDxfId="10" dataCellStyle="Porcentagem">
      <calculatedColumnFormula>IFERROR(TabelaVendas[[#This Row],[LUCRO]]/TabelaVendas[[#This Row],[VENDA]],0)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2" name="TabelaDespesas" displayName="TabelaDespesas" ref="A1:F16" totalsRowCount="1" headerRowDxfId="116" dataDxfId="115">
  <tableColumns count="6">
    <tableColumn id="1" name="DATA" dataDxfId="114" totalsRowDxfId="113"/>
    <tableColumn id="2" name="MÊS" dataDxfId="112" totalsRowDxfId="111">
      <calculatedColumnFormula>MONTH(TabelaDespesas[[#This Row],[DATA]])</calculatedColumnFormula>
    </tableColumn>
    <tableColumn id="5" name="ANO" dataDxfId="110" totalsRowDxfId="109">
      <calculatedColumnFormula>YEAR(TabelaDespesas[[#This Row],[DATA]])</calculatedColumnFormula>
    </tableColumn>
    <tableColumn id="3" name="DESCRIÇÃO" dataDxfId="108" totalsRowDxfId="107"/>
    <tableColumn id="4" name="VALOR" totalsRowFunction="sum" dataDxfId="106" totalsRowDxfId="105"/>
    <tableColumn id="8" name="DIA SEMANA" dataDxfId="104" totalsRowDxfId="103">
      <calculatedColumnFormula>IF(TabelaDespesas[DATA]="","-",PROPER(TEXT(TabelaDespesas[DATA],"dddd")))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8" name="TBCX_GERAL" displayName="TBCX_GERAL" ref="A1:D12" totalsRowCount="1" headerRowDxfId="102">
  <tableColumns count="4">
    <tableColumn id="1" name="IMPORT." dataDxfId="101" totalsRowDxfId="2"/>
    <tableColumn id="2" name="QUANTIDADE" dataDxfId="100" totalsRowDxfId="1"/>
    <tableColumn id="4" name="TOTAL IMPORT." totalsRowFunction="sum" dataDxfId="99" totalsRowDxfId="0">
      <calculatedColumnFormula>TBCX_GERAL[[#This Row],[IMPORT.]]*TBCX_GERAL[[#This Row],[QUANTIDADE]]</calculatedColumnFormula>
    </tableColumn>
    <tableColumn id="3" name="TIPO" dataDxfId="98">
      <calculatedColumnFormula>IF(TBCX_GERAL[[#This Row],[IMPORT.]]&lt;2,"MOEDA","CÉDULA")</calculatedColumnFormula>
    </tableColumn>
  </tableColumns>
  <tableStyleInfo name="TableStyleMedium19" showFirstColumn="0" showLastColumn="0" showRowStripes="1" showColumnStripes="0"/>
</table>
</file>

<file path=xl/tables/table6.xml><?xml version="1.0" encoding="utf-8"?>
<table xmlns="http://schemas.openxmlformats.org/spreadsheetml/2006/main" id="3" name="TabelaPedidos" displayName="TabelaPedidos" ref="A1:I6" totalsRowCount="1" headerRowDxfId="97" dataDxfId="96">
  <tableColumns count="9">
    <tableColumn id="1" name="DATA" dataDxfId="95" totalsRowDxfId="94"/>
    <tableColumn id="6" name="QTD KG" totalsRowFunction="sum" dataDxfId="93" totalsRowDxfId="92"/>
    <tableColumn id="2" name="ANO" dataDxfId="91" totalsRowDxfId="90">
      <calculatedColumnFormula>IF(TabelaPedidos[DATA]="","-",YEAR(TabelaPedidos[DATA]))</calculatedColumnFormula>
    </tableColumn>
    <tableColumn id="3" name="MÊS" dataDxfId="89" totalsRowDxfId="88">
      <calculatedColumnFormula>IF(TabelaPedidos[DATA]="","-", PROPER(TEXT(TabelaPedidos[DATA],"MMMM")))</calculatedColumnFormula>
    </tableColumn>
    <tableColumn id="4" name="DIA" dataDxfId="87" totalsRowDxfId="86">
      <calculatedColumnFormula>IF(TabelaPedidos[DATA]="","-",DAY(TabelaPedidos[DATA]))</calculatedColumnFormula>
    </tableColumn>
    <tableColumn id="5" name="DIA SEMANA" dataDxfId="85" totalsRowDxfId="84">
      <calculatedColumnFormula>IF(TabelaPedidos[DATA]="","-",PROPER(TEXT(TabelaPedidos[DATA],"DDDD")))</calculatedColumnFormula>
    </tableColumn>
    <tableColumn id="8" name="PREÇO DO  KG" dataDxfId="83" totalsRowDxfId="82"/>
    <tableColumn id="7" name="TOTAL" totalsRowFunction="sum" dataDxfId="81" totalsRowDxfId="80">
      <calculatedColumnFormula>TabelaPedidos[PREÇO DO  KG]*TabelaPedidos[QTD KG]</calculatedColumnFormula>
    </tableColumn>
    <tableColumn id="9" name="SITUAÇÃO" dataDxfId="79" totalsRowDxfId="7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11" name="tbPARCELAS" displayName="tbPARCELAS" ref="A1:K11" totalsRowShown="0" headerRowDxfId="77" dataDxfId="76">
  <sortState ref="A2:K11">
    <sortCondition ref="K2:K11"/>
    <sortCondition ref="J2:J11"/>
  </sortState>
  <tableColumns count="11">
    <tableColumn id="1" name="Administradora" dataDxfId="75"/>
    <tableColumn id="11" name="DiaVenc" dataDxfId="74"/>
    <tableColumn id="2" name="DiaFechamento" dataDxfId="73">
      <calculatedColumnFormula>IFERROR(IF(tbPARCELAS[[#This Row],[Administradora]]="LOSANGO",tbPARCELAS[[#This Row],[DiaVenc]]-15,tbPARCELAS[[#This Row],[DiaVenc]]-11),"-")</calculatedColumnFormula>
    </tableColumn>
    <tableColumn id="3" name="Loja" dataDxfId="72"/>
    <tableColumn id="4" name="Produto" dataDxfId="71"/>
    <tableColumn id="5" name="Data da Compra" dataDxfId="70"/>
    <tableColumn id="6" name="Total" dataDxfId="69"/>
    <tableColumn id="7" name="Parcelas" dataDxfId="68"/>
    <tableColumn id="8" name="DataE" dataDxfId="67">
      <calculatedColumnFormula>IF(DAY(tbPARCELAS[[#This Row],[Data da Compra]])&gt;=tbPARCELAS[[#This Row],[DiaFechamento]],EDATE(tbPARCELAS[[#This Row],[Data da Compra]],tbPARCELAS[[#This Row],[Parcelas]]+1),EDATE(tbPARCELAS[[#This Row],[Data da Compra]],tbPARCELAS[[#This Row],[Parcelas]]))</calculatedColumnFormula>
    </tableColumn>
    <tableColumn id="9" name="Mês End" dataDxfId="66">
      <calculatedColumnFormula>TEXT(tbPARCELAS[[#This Row],[DataE]],"m") * 1</calculatedColumnFormula>
    </tableColumn>
    <tableColumn id="10" name="Ano End" dataDxfId="65">
      <calculatedColumnFormula>YEAR(tbPARCELAS[[#This Row],[DataE]]) * 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bMONTADORES" displayName="tbMONTADORES" ref="A1:L10" totalsRowShown="0" headerRowDxfId="64" dataDxfId="63">
  <tableColumns count="12">
    <tableColumn id="1" name="MONTADOR" dataDxfId="62"/>
    <tableColumn id="12" name="ENDEREÇO" dataDxfId="61"/>
    <tableColumn id="2" name="CONTATO 1 " dataDxfId="60"/>
    <tableColumn id="3" name="OPERADORA 1" dataDxfId="59"/>
    <tableColumn id="4" name="CONTATO 2" dataDxfId="58"/>
    <tableColumn id="5" name="OPERADORA 2" dataDxfId="57"/>
    <tableColumn id="6" name="CONTATO 3" dataDxfId="56"/>
    <tableColumn id="7" name="OPERADORA 3" dataDxfId="55"/>
    <tableColumn id="8" name="CONTATO 4" dataDxfId="54"/>
    <tableColumn id="9" name="OPERADORA 4" dataDxfId="53"/>
    <tableColumn id="10" name="SERVIÇO" dataDxfId="52"/>
    <tableColumn id="11" name="PREÇO" dataDxfId="5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tbMÓVEIS" displayName="tbMÓVEIS" ref="A1:H17" totalsRowShown="0" headerRowDxfId="50" dataDxfId="49">
  <tableColumns count="8">
    <tableColumn id="1" name="PRODUTO" dataDxfId="48"/>
    <tableColumn id="2" name="CÔMODO" dataDxfId="47"/>
    <tableColumn id="3" name="DESCRIÇÃO" dataDxfId="46"/>
    <tableColumn id="4" name="SHOP" dataDxfId="45"/>
    <tableColumn id="5" name="COMPRA FINALIZADA? " dataDxfId="44"/>
    <tableColumn id="7" name="VALOR MÉDIO" dataDxfId="43"/>
    <tableColumn id="6" name="MONTAGEM" dataDxfId="42"/>
    <tableColumn id="8" name="VALOR FINAL" dataDxfId="41">
      <calculatedColumnFormula>SUM(F2:G2)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B15"/>
  <sheetViews>
    <sheetView showGridLines="0" zoomScaleNormal="100" workbookViewId="0">
      <selection activeCell="B5" sqref="B5"/>
    </sheetView>
  </sheetViews>
  <sheetFormatPr defaultRowHeight="15" x14ac:dyDescent="0.25"/>
  <cols>
    <col min="1" max="1" width="19.140625" customWidth="1"/>
    <col min="2" max="2" width="19.42578125" customWidth="1"/>
    <col min="3" max="3" width="50.140625" customWidth="1"/>
  </cols>
  <sheetData>
    <row r="1" spans="1:2" x14ac:dyDescent="0.25">
      <c r="A1" s="1" t="s">
        <v>36</v>
      </c>
      <c r="B1" s="1" t="s">
        <v>35</v>
      </c>
    </row>
    <row r="2" spans="1:2" x14ac:dyDescent="0.25">
      <c r="A2" s="3">
        <v>42856</v>
      </c>
      <c r="B2" s="10">
        <f>1941.87+SUM(SUMIFS(TabelaVendas[LUCRO],TabelaVendas[MÊS],MONTH(tbRECEITAS[[#This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1941.87</v>
      </c>
    </row>
    <row r="3" spans="1:2" x14ac:dyDescent="0.25">
      <c r="A3" s="3">
        <v>42887</v>
      </c>
      <c r="B3" s="10">
        <f>2263.36+SUM(SUMIFS(TabelaVendas[LUCRO],TabelaVendas[MÊS],MONTH(tbRECEITAS[[#This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2263.36</v>
      </c>
    </row>
    <row r="4" spans="1:2" x14ac:dyDescent="0.25">
      <c r="A4" s="3">
        <v>42917</v>
      </c>
      <c r="B4" s="10">
        <f>2438.35+SUM(SUMIFS(TabelaVendas[LUCRO],TabelaVendas[MÊS],MONTH(tbRECEITAS[[#This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2438.35</v>
      </c>
    </row>
    <row r="5" spans="1:2" x14ac:dyDescent="0.25">
      <c r="A5" s="3">
        <v>42948</v>
      </c>
      <c r="B5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773.71</v>
      </c>
    </row>
    <row r="6" spans="1:2" x14ac:dyDescent="0.25">
      <c r="A6" s="3">
        <v>42979</v>
      </c>
      <c r="B6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1131.4099999999999</v>
      </c>
    </row>
    <row r="7" spans="1:2" x14ac:dyDescent="0.25">
      <c r="A7" s="3">
        <v>43009</v>
      </c>
      <c r="B7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8" spans="1:2" x14ac:dyDescent="0.25">
      <c r="A8" s="3">
        <v>43040</v>
      </c>
      <c r="B8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9" spans="1:2" x14ac:dyDescent="0.25">
      <c r="A9" s="3">
        <v>43070</v>
      </c>
      <c r="B9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10" spans="1:2" x14ac:dyDescent="0.25">
      <c r="A10" s="3">
        <v>43101</v>
      </c>
      <c r="B10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11" spans="1:2" x14ac:dyDescent="0.25">
      <c r="A11" s="3">
        <v>43132</v>
      </c>
      <c r="B11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12" spans="1:2" x14ac:dyDescent="0.25">
      <c r="A12" s="3">
        <v>43160</v>
      </c>
      <c r="B12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13" spans="1:2" x14ac:dyDescent="0.25">
      <c r="A13" s="3">
        <v>43191</v>
      </c>
      <c r="B13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14" spans="1:2" x14ac:dyDescent="0.25">
      <c r="A14" s="3">
        <v>43221</v>
      </c>
      <c r="B14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  <row r="15" spans="1:2" x14ac:dyDescent="0.25">
      <c r="A15" s="3">
        <v>43252</v>
      </c>
      <c r="B15" s="10">
        <f>1063.36+SUM(SUMIFS(TabelaVendas[LUCRO],TabelaVendas[MÊS],MONTH(tbRECEITAS[[#This Row],[Data]])-1,TabelaVendas[ANO],YEAR(tbRECEITAS[[#This Row],[Data]])),)-SUMIFS(TabelaDespesas[VALOR],TabelaDespesas[MÊS],MONTH(tbRECEITAS[[#This Row],[Data]])-1,TabelaDespesas[ANO],YEAR(tbRECEITAS[[#This Row],[Data]]))</f>
        <v>1063.3599999999999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F117"/>
  <sheetViews>
    <sheetView showGridLines="0" zoomScaleNormal="100" workbookViewId="0"/>
  </sheetViews>
  <sheetFormatPr defaultRowHeight="15" x14ac:dyDescent="0.25"/>
  <cols>
    <col min="1" max="1" width="20.5703125" style="12" bestFit="1" customWidth="1"/>
    <col min="2" max="2" width="13.42578125" style="11" bestFit="1" customWidth="1"/>
    <col min="3" max="3" width="11.85546875" style="11" bestFit="1" customWidth="1"/>
    <col min="4" max="4" width="12.7109375" style="11" bestFit="1" customWidth="1"/>
    <col min="5" max="5" width="12.5703125" style="11" bestFit="1" customWidth="1"/>
    <col min="6" max="6" width="9.28515625" style="11" bestFit="1" customWidth="1"/>
    <col min="7" max="16384" width="9.140625" style="11"/>
  </cols>
  <sheetData>
    <row r="1" spans="1:6" x14ac:dyDescent="0.25">
      <c r="A1" s="25" t="s">
        <v>12</v>
      </c>
      <c r="B1" s="24" t="s">
        <v>13</v>
      </c>
      <c r="C1" s="24" t="s">
        <v>53</v>
      </c>
      <c r="D1" s="24" t="s">
        <v>52</v>
      </c>
      <c r="E1" s="24" t="s">
        <v>51</v>
      </c>
      <c r="F1" s="23" t="s">
        <v>50</v>
      </c>
    </row>
    <row r="2" spans="1:6" hidden="1" x14ac:dyDescent="0.25">
      <c r="A2" s="21" t="s">
        <v>43</v>
      </c>
      <c r="B2" s="20">
        <v>307.45999999999998</v>
      </c>
      <c r="C2" s="19">
        <v>1</v>
      </c>
      <c r="D2" s="19">
        <v>5</v>
      </c>
      <c r="E2" s="19">
        <v>2017</v>
      </c>
      <c r="F2" s="16" t="s">
        <v>48</v>
      </c>
    </row>
    <row r="3" spans="1:6" hidden="1" x14ac:dyDescent="0.25">
      <c r="A3" s="21" t="s">
        <v>46</v>
      </c>
      <c r="B3" s="20">
        <v>113.07</v>
      </c>
      <c r="C3" s="19">
        <v>1</v>
      </c>
      <c r="D3" s="19">
        <v>5</v>
      </c>
      <c r="E3" s="19">
        <v>2017</v>
      </c>
      <c r="F3" s="16" t="s">
        <v>48</v>
      </c>
    </row>
    <row r="4" spans="1:6" hidden="1" x14ac:dyDescent="0.25">
      <c r="A4" s="21" t="s">
        <v>42</v>
      </c>
      <c r="B4" s="20">
        <v>150.53</v>
      </c>
      <c r="C4" s="19">
        <v>1</v>
      </c>
      <c r="D4" s="19">
        <v>5</v>
      </c>
      <c r="E4" s="19">
        <v>2017</v>
      </c>
      <c r="F4" s="16" t="s">
        <v>48</v>
      </c>
    </row>
    <row r="5" spans="1:6" hidden="1" x14ac:dyDescent="0.25">
      <c r="A5" s="21" t="s">
        <v>45</v>
      </c>
      <c r="B5" s="20">
        <v>67.83</v>
      </c>
      <c r="C5" s="19">
        <v>5</v>
      </c>
      <c r="D5" s="19">
        <v>5</v>
      </c>
      <c r="E5" s="19">
        <v>2017</v>
      </c>
      <c r="F5" s="16" t="s">
        <v>48</v>
      </c>
    </row>
    <row r="6" spans="1:6" hidden="1" x14ac:dyDescent="0.25">
      <c r="A6" s="21" t="s">
        <v>44</v>
      </c>
      <c r="B6" s="20">
        <v>262</v>
      </c>
      <c r="C6" s="19">
        <v>7</v>
      </c>
      <c r="D6" s="19">
        <v>5</v>
      </c>
      <c r="E6" s="19">
        <v>2017</v>
      </c>
      <c r="F6" s="16" t="s">
        <v>48</v>
      </c>
    </row>
    <row r="7" spans="1:6" hidden="1" x14ac:dyDescent="0.25">
      <c r="A7" s="21" t="s">
        <v>41</v>
      </c>
      <c r="B7" s="20">
        <v>129.33000000000001</v>
      </c>
      <c r="C7" s="19">
        <v>10</v>
      </c>
      <c r="D7" s="19">
        <v>5</v>
      </c>
      <c r="E7" s="19">
        <v>2017</v>
      </c>
      <c r="F7" s="16" t="s">
        <v>48</v>
      </c>
    </row>
    <row r="8" spans="1:6" hidden="1" x14ac:dyDescent="0.25">
      <c r="A8" s="21" t="s">
        <v>40</v>
      </c>
      <c r="B8" s="20">
        <v>750</v>
      </c>
      <c r="C8" s="19">
        <v>10</v>
      </c>
      <c r="D8" s="19">
        <v>5</v>
      </c>
      <c r="E8" s="19">
        <v>2017</v>
      </c>
      <c r="F8" s="16" t="s">
        <v>48</v>
      </c>
    </row>
    <row r="9" spans="1:6" hidden="1" x14ac:dyDescent="0.25">
      <c r="A9" s="21" t="s">
        <v>39</v>
      </c>
      <c r="B9" s="20">
        <v>44.76</v>
      </c>
      <c r="C9" s="19">
        <v>12</v>
      </c>
      <c r="D9" s="19">
        <v>5</v>
      </c>
      <c r="E9" s="19">
        <v>2017</v>
      </c>
      <c r="F9" s="16" t="s">
        <v>48</v>
      </c>
    </row>
    <row r="10" spans="1:6" hidden="1" x14ac:dyDescent="0.25">
      <c r="A10" s="21" t="s">
        <v>38</v>
      </c>
      <c r="B10" s="20">
        <v>18.64</v>
      </c>
      <c r="C10" s="19">
        <v>12</v>
      </c>
      <c r="D10" s="19">
        <v>5</v>
      </c>
      <c r="E10" s="19">
        <v>2017</v>
      </c>
      <c r="F10" s="16" t="s">
        <v>48</v>
      </c>
    </row>
    <row r="11" spans="1:6" hidden="1" x14ac:dyDescent="0.25">
      <c r="A11" s="21" t="s">
        <v>43</v>
      </c>
      <c r="B11" s="20">
        <v>344.42</v>
      </c>
      <c r="C11" s="19">
        <v>1</v>
      </c>
      <c r="D11" s="19">
        <v>6</v>
      </c>
      <c r="E11" s="19">
        <v>2017</v>
      </c>
      <c r="F11" s="16" t="s">
        <v>48</v>
      </c>
    </row>
    <row r="12" spans="1:6" hidden="1" x14ac:dyDescent="0.25">
      <c r="A12" s="21" t="s">
        <v>46</v>
      </c>
      <c r="B12" s="20">
        <v>108.18</v>
      </c>
      <c r="C12" s="19">
        <v>1</v>
      </c>
      <c r="D12" s="19">
        <v>6</v>
      </c>
      <c r="E12" s="19">
        <v>2017</v>
      </c>
      <c r="F12" s="16" t="s">
        <v>48</v>
      </c>
    </row>
    <row r="13" spans="1:6" hidden="1" x14ac:dyDescent="0.25">
      <c r="A13" s="21" t="s">
        <v>42</v>
      </c>
      <c r="B13" s="20">
        <v>172.47</v>
      </c>
      <c r="C13" s="19">
        <v>1</v>
      </c>
      <c r="D13" s="19">
        <v>6</v>
      </c>
      <c r="E13" s="19">
        <v>2017</v>
      </c>
      <c r="F13" s="16" t="s">
        <v>48</v>
      </c>
    </row>
    <row r="14" spans="1:6" hidden="1" x14ac:dyDescent="0.25">
      <c r="A14" s="18" t="s">
        <v>49</v>
      </c>
      <c r="B14" s="17">
        <v>100</v>
      </c>
      <c r="C14" s="16">
        <v>1</v>
      </c>
      <c r="D14" s="16">
        <v>6</v>
      </c>
      <c r="E14" s="16">
        <v>2017</v>
      </c>
      <c r="F14" s="16" t="s">
        <v>48</v>
      </c>
    </row>
    <row r="15" spans="1:6" hidden="1" x14ac:dyDescent="0.25">
      <c r="A15" s="18" t="s">
        <v>30</v>
      </c>
      <c r="B15" s="17">
        <v>34.6</v>
      </c>
      <c r="C15" s="16">
        <v>1</v>
      </c>
      <c r="D15" s="16">
        <v>6</v>
      </c>
      <c r="E15" s="16">
        <v>2017</v>
      </c>
      <c r="F15" s="16" t="s">
        <v>48</v>
      </c>
    </row>
    <row r="16" spans="1:6" hidden="1" x14ac:dyDescent="0.25">
      <c r="A16" s="21" t="s">
        <v>45</v>
      </c>
      <c r="B16" s="20">
        <v>47.86</v>
      </c>
      <c r="C16" s="19">
        <v>5</v>
      </c>
      <c r="D16" s="19">
        <v>6</v>
      </c>
      <c r="E16" s="19">
        <v>2017</v>
      </c>
      <c r="F16" s="16" t="s">
        <v>48</v>
      </c>
    </row>
    <row r="17" spans="1:6" hidden="1" x14ac:dyDescent="0.25">
      <c r="A17" s="21" t="s">
        <v>44</v>
      </c>
      <c r="B17" s="20">
        <v>262</v>
      </c>
      <c r="C17" s="19">
        <v>7</v>
      </c>
      <c r="D17" s="19">
        <v>6</v>
      </c>
      <c r="E17" s="19">
        <v>2017</v>
      </c>
      <c r="F17" s="16" t="s">
        <v>48</v>
      </c>
    </row>
    <row r="18" spans="1:6" hidden="1" x14ac:dyDescent="0.25">
      <c r="A18" s="21" t="s">
        <v>41</v>
      </c>
      <c r="B18" s="20">
        <v>129.33000000000001</v>
      </c>
      <c r="C18" s="19">
        <v>10</v>
      </c>
      <c r="D18" s="19">
        <v>6</v>
      </c>
      <c r="E18" s="19">
        <v>2017</v>
      </c>
      <c r="F18" s="16" t="s">
        <v>48</v>
      </c>
    </row>
    <row r="19" spans="1:6" hidden="1" x14ac:dyDescent="0.25">
      <c r="A19" s="21" t="s">
        <v>40</v>
      </c>
      <c r="B19" s="20">
        <v>750</v>
      </c>
      <c r="C19" s="19">
        <v>10</v>
      </c>
      <c r="D19" s="19">
        <v>6</v>
      </c>
      <c r="E19" s="19">
        <v>2017</v>
      </c>
      <c r="F19" s="16" t="s">
        <v>48</v>
      </c>
    </row>
    <row r="20" spans="1:6" hidden="1" x14ac:dyDescent="0.25">
      <c r="A20" s="21" t="s">
        <v>39</v>
      </c>
      <c r="B20" s="20">
        <v>72.760000000000005</v>
      </c>
      <c r="C20" s="19">
        <v>12</v>
      </c>
      <c r="D20" s="19">
        <v>6</v>
      </c>
      <c r="E20" s="19">
        <v>2017</v>
      </c>
      <c r="F20" s="16" t="s">
        <v>48</v>
      </c>
    </row>
    <row r="21" spans="1:6" hidden="1" x14ac:dyDescent="0.25">
      <c r="A21" s="21" t="s">
        <v>38</v>
      </c>
      <c r="B21" s="20">
        <v>87.32</v>
      </c>
      <c r="C21" s="19">
        <v>12</v>
      </c>
      <c r="D21" s="19">
        <v>6</v>
      </c>
      <c r="E21" s="19">
        <v>2017</v>
      </c>
      <c r="F21" s="16" t="s">
        <v>48</v>
      </c>
    </row>
    <row r="22" spans="1:6" hidden="1" x14ac:dyDescent="0.25">
      <c r="A22" s="21" t="s">
        <v>43</v>
      </c>
      <c r="B22" s="20">
        <v>597.23</v>
      </c>
      <c r="C22" s="19">
        <v>1</v>
      </c>
      <c r="D22" s="19">
        <v>7</v>
      </c>
      <c r="E22" s="19">
        <v>2017</v>
      </c>
      <c r="F22" s="16" t="s">
        <v>48</v>
      </c>
    </row>
    <row r="23" spans="1:6" hidden="1" x14ac:dyDescent="0.25">
      <c r="A23" s="21" t="s">
        <v>46</v>
      </c>
      <c r="B23" s="20">
        <v>126.81</v>
      </c>
      <c r="C23" s="19">
        <v>1</v>
      </c>
      <c r="D23" s="19">
        <v>7</v>
      </c>
      <c r="E23" s="19">
        <v>2017</v>
      </c>
      <c r="F23" s="16" t="s">
        <v>48</v>
      </c>
    </row>
    <row r="24" spans="1:6" hidden="1" x14ac:dyDescent="0.25">
      <c r="A24" s="21" t="s">
        <v>42</v>
      </c>
      <c r="B24" s="20">
        <v>111.4</v>
      </c>
      <c r="C24" s="19">
        <v>1</v>
      </c>
      <c r="D24" s="19">
        <v>7</v>
      </c>
      <c r="E24" s="19">
        <v>2017</v>
      </c>
      <c r="F24" s="16" t="s">
        <v>48</v>
      </c>
    </row>
    <row r="25" spans="1:6" hidden="1" x14ac:dyDescent="0.25">
      <c r="A25" s="21" t="s">
        <v>45</v>
      </c>
      <c r="B25" s="20">
        <v>49.18</v>
      </c>
      <c r="C25" s="19">
        <v>5</v>
      </c>
      <c r="D25" s="19">
        <v>7</v>
      </c>
      <c r="E25" s="19">
        <v>2017</v>
      </c>
      <c r="F25" s="16" t="s">
        <v>48</v>
      </c>
    </row>
    <row r="26" spans="1:6" hidden="1" x14ac:dyDescent="0.25">
      <c r="A26" s="21" t="s">
        <v>44</v>
      </c>
      <c r="B26" s="20">
        <v>262</v>
      </c>
      <c r="C26" s="19">
        <v>7</v>
      </c>
      <c r="D26" s="19">
        <v>7</v>
      </c>
      <c r="E26" s="19">
        <v>2017</v>
      </c>
      <c r="F26" s="16" t="s">
        <v>48</v>
      </c>
    </row>
    <row r="27" spans="1:6" hidden="1" x14ac:dyDescent="0.25">
      <c r="A27" s="21" t="s">
        <v>41</v>
      </c>
      <c r="B27" s="20">
        <v>235.03</v>
      </c>
      <c r="C27" s="19">
        <v>10</v>
      </c>
      <c r="D27" s="19">
        <v>7</v>
      </c>
      <c r="E27" s="19">
        <v>2017</v>
      </c>
      <c r="F27" s="16" t="s">
        <v>48</v>
      </c>
    </row>
    <row r="28" spans="1:6" hidden="1" x14ac:dyDescent="0.25">
      <c r="A28" s="21" t="s">
        <v>40</v>
      </c>
      <c r="B28" s="20">
        <v>750</v>
      </c>
      <c r="C28" s="19">
        <v>10</v>
      </c>
      <c r="D28" s="19">
        <v>7</v>
      </c>
      <c r="E28" s="19">
        <v>2017</v>
      </c>
      <c r="F28" s="16" t="s">
        <v>48</v>
      </c>
    </row>
    <row r="29" spans="1:6" hidden="1" x14ac:dyDescent="0.25">
      <c r="A29" s="21" t="s">
        <v>47</v>
      </c>
      <c r="B29" s="20">
        <v>89.43</v>
      </c>
      <c r="C29" s="19">
        <v>11</v>
      </c>
      <c r="D29" s="19">
        <v>7</v>
      </c>
      <c r="E29" s="19">
        <v>2017</v>
      </c>
      <c r="F29" s="16" t="s">
        <v>48</v>
      </c>
    </row>
    <row r="30" spans="1:6" hidden="1" x14ac:dyDescent="0.25">
      <c r="A30" s="21" t="s">
        <v>39</v>
      </c>
      <c r="B30" s="20">
        <v>44.76</v>
      </c>
      <c r="C30" s="19">
        <v>12</v>
      </c>
      <c r="D30" s="19">
        <v>7</v>
      </c>
      <c r="E30" s="19">
        <v>2017</v>
      </c>
      <c r="F30" s="16" t="s">
        <v>48</v>
      </c>
    </row>
    <row r="31" spans="1:6" hidden="1" x14ac:dyDescent="0.25">
      <c r="A31" s="21" t="s">
        <v>38</v>
      </c>
      <c r="B31" s="20">
        <v>75.52</v>
      </c>
      <c r="C31" s="19">
        <v>12</v>
      </c>
      <c r="D31" s="19">
        <v>7</v>
      </c>
      <c r="E31" s="19">
        <v>2017</v>
      </c>
      <c r="F31" s="16" t="s">
        <v>48</v>
      </c>
    </row>
    <row r="32" spans="1:6" hidden="1" x14ac:dyDescent="0.25">
      <c r="A32" s="21" t="s">
        <v>43</v>
      </c>
      <c r="B32" s="20">
        <v>566.47</v>
      </c>
      <c r="C32" s="19">
        <v>1</v>
      </c>
      <c r="D32" s="19">
        <v>8</v>
      </c>
      <c r="E32" s="19">
        <v>2017</v>
      </c>
      <c r="F32" s="16" t="s">
        <v>37</v>
      </c>
    </row>
    <row r="33" spans="1:6" hidden="1" x14ac:dyDescent="0.25">
      <c r="A33" s="21" t="s">
        <v>42</v>
      </c>
      <c r="B33" s="20">
        <v>128.77000000000001</v>
      </c>
      <c r="C33" s="19">
        <v>1</v>
      </c>
      <c r="D33" s="19">
        <v>8</v>
      </c>
      <c r="E33" s="19">
        <v>2017</v>
      </c>
      <c r="F33" s="16" t="s">
        <v>37</v>
      </c>
    </row>
    <row r="34" spans="1:6" x14ac:dyDescent="0.25">
      <c r="A34" s="21" t="s">
        <v>46</v>
      </c>
      <c r="B34" s="20">
        <v>157.93</v>
      </c>
      <c r="C34" s="19">
        <v>1</v>
      </c>
      <c r="D34" s="19">
        <v>8</v>
      </c>
      <c r="E34" s="19">
        <v>2017</v>
      </c>
      <c r="F34" s="16" t="s">
        <v>37</v>
      </c>
    </row>
    <row r="35" spans="1:6" hidden="1" x14ac:dyDescent="0.25">
      <c r="A35" s="21" t="s">
        <v>45</v>
      </c>
      <c r="B35" s="20">
        <v>47.86</v>
      </c>
      <c r="C35" s="19">
        <v>5</v>
      </c>
      <c r="D35" s="19">
        <v>8</v>
      </c>
      <c r="E35" s="19">
        <v>2017</v>
      </c>
      <c r="F35" s="16" t="s">
        <v>37</v>
      </c>
    </row>
    <row r="36" spans="1:6" hidden="1" x14ac:dyDescent="0.25">
      <c r="A36" s="21" t="s">
        <v>44</v>
      </c>
      <c r="B36" s="20">
        <v>262</v>
      </c>
      <c r="C36" s="19">
        <v>7</v>
      </c>
      <c r="D36" s="19">
        <v>8</v>
      </c>
      <c r="E36" s="19">
        <v>2017</v>
      </c>
      <c r="F36" s="16" t="s">
        <v>37</v>
      </c>
    </row>
    <row r="37" spans="1:6" hidden="1" x14ac:dyDescent="0.25">
      <c r="A37" s="21" t="s">
        <v>41</v>
      </c>
      <c r="B37" s="20">
        <v>220.89</v>
      </c>
      <c r="C37" s="19">
        <v>10</v>
      </c>
      <c r="D37" s="19">
        <v>8</v>
      </c>
      <c r="E37" s="19">
        <v>2017</v>
      </c>
      <c r="F37" s="16" t="s">
        <v>37</v>
      </c>
    </row>
    <row r="38" spans="1:6" hidden="1" x14ac:dyDescent="0.25">
      <c r="A38" s="21" t="s">
        <v>40</v>
      </c>
      <c r="B38" s="20">
        <v>750</v>
      </c>
      <c r="C38" s="19">
        <v>10</v>
      </c>
      <c r="D38" s="19">
        <v>8</v>
      </c>
      <c r="E38" s="19">
        <v>2017</v>
      </c>
      <c r="F38" s="16" t="s">
        <v>37</v>
      </c>
    </row>
    <row r="39" spans="1:6" hidden="1" x14ac:dyDescent="0.25">
      <c r="A39" s="21" t="s">
        <v>47</v>
      </c>
      <c r="B39" s="20">
        <f>108.75+40.96</f>
        <v>149.71</v>
      </c>
      <c r="C39" s="19">
        <v>11</v>
      </c>
      <c r="D39" s="19">
        <v>8</v>
      </c>
      <c r="E39" s="19">
        <v>2017</v>
      </c>
      <c r="F39" s="16" t="s">
        <v>37</v>
      </c>
    </row>
    <row r="40" spans="1:6" hidden="1" x14ac:dyDescent="0.25">
      <c r="A40" s="21" t="s">
        <v>39</v>
      </c>
      <c r="B40" s="20">
        <v>44.76</v>
      </c>
      <c r="C40" s="19">
        <v>12</v>
      </c>
      <c r="D40" s="19">
        <v>8</v>
      </c>
      <c r="E40" s="19">
        <v>2017</v>
      </c>
      <c r="F40" s="16" t="s">
        <v>37</v>
      </c>
    </row>
    <row r="41" spans="1:6" hidden="1" x14ac:dyDescent="0.25">
      <c r="A41" s="21" t="s">
        <v>38</v>
      </c>
      <c r="B41" s="20">
        <v>99.8</v>
      </c>
      <c r="C41" s="19">
        <v>12</v>
      </c>
      <c r="D41" s="19">
        <v>8</v>
      </c>
      <c r="E41" s="19">
        <v>2017</v>
      </c>
      <c r="F41" s="16" t="s">
        <v>37</v>
      </c>
    </row>
    <row r="42" spans="1:6" hidden="1" x14ac:dyDescent="0.25">
      <c r="A42" s="21" t="s">
        <v>43</v>
      </c>
      <c r="B42" s="20">
        <v>565.09</v>
      </c>
      <c r="C42" s="19">
        <v>1</v>
      </c>
      <c r="D42" s="19">
        <v>9</v>
      </c>
      <c r="E42" s="19">
        <v>2017</v>
      </c>
      <c r="F42" s="16" t="s">
        <v>37</v>
      </c>
    </row>
    <row r="43" spans="1:6" hidden="1" x14ac:dyDescent="0.25">
      <c r="A43" s="21" t="s">
        <v>42</v>
      </c>
      <c r="B43" s="20">
        <f>141.14+61.67</f>
        <v>202.81</v>
      </c>
      <c r="C43" s="19">
        <v>1</v>
      </c>
      <c r="D43" s="19">
        <v>9</v>
      </c>
      <c r="E43" s="19">
        <v>2017</v>
      </c>
      <c r="F43" s="16" t="s">
        <v>37</v>
      </c>
    </row>
    <row r="44" spans="1:6" hidden="1" x14ac:dyDescent="0.25">
      <c r="A44" s="21" t="s">
        <v>46</v>
      </c>
      <c r="B44" s="20">
        <f>104.19+66.5</f>
        <v>170.69</v>
      </c>
      <c r="C44" s="19">
        <v>1</v>
      </c>
      <c r="D44" s="19">
        <v>9</v>
      </c>
      <c r="E44" s="19">
        <v>2017</v>
      </c>
      <c r="F44" s="16" t="s">
        <v>37</v>
      </c>
    </row>
    <row r="45" spans="1:6" hidden="1" x14ac:dyDescent="0.25">
      <c r="A45" s="21" t="s">
        <v>45</v>
      </c>
      <c r="B45" s="20">
        <v>47.86</v>
      </c>
      <c r="C45" s="19">
        <v>5</v>
      </c>
      <c r="D45" s="19">
        <v>9</v>
      </c>
      <c r="E45" s="19">
        <v>2017</v>
      </c>
      <c r="F45" s="16" t="s">
        <v>37</v>
      </c>
    </row>
    <row r="46" spans="1:6" hidden="1" x14ac:dyDescent="0.25">
      <c r="A46" s="21" t="s">
        <v>44</v>
      </c>
      <c r="B46" s="20">
        <v>262</v>
      </c>
      <c r="C46" s="19">
        <v>7</v>
      </c>
      <c r="D46" s="19">
        <v>9</v>
      </c>
      <c r="E46" s="19">
        <v>2017</v>
      </c>
      <c r="F46" s="16" t="s">
        <v>37</v>
      </c>
    </row>
    <row r="47" spans="1:6" hidden="1" x14ac:dyDescent="0.25">
      <c r="A47" s="21" t="s">
        <v>41</v>
      </c>
      <c r="B47" s="20">
        <v>209.7</v>
      </c>
      <c r="C47" s="19">
        <v>10</v>
      </c>
      <c r="D47" s="19">
        <v>9</v>
      </c>
      <c r="E47" s="19">
        <v>2017</v>
      </c>
      <c r="F47" s="16" t="s">
        <v>37</v>
      </c>
    </row>
    <row r="48" spans="1:6" hidden="1" x14ac:dyDescent="0.25">
      <c r="A48" s="21" t="s">
        <v>40</v>
      </c>
      <c r="B48" s="20">
        <v>750</v>
      </c>
      <c r="C48" s="19">
        <v>10</v>
      </c>
      <c r="D48" s="19">
        <v>9</v>
      </c>
      <c r="E48" s="19">
        <v>2017</v>
      </c>
      <c r="F48" s="16" t="s">
        <v>37</v>
      </c>
    </row>
    <row r="49" spans="1:6" hidden="1" x14ac:dyDescent="0.25">
      <c r="A49" s="21" t="s">
        <v>39</v>
      </c>
      <c r="B49" s="20">
        <v>44.76</v>
      </c>
      <c r="C49" s="19">
        <v>12</v>
      </c>
      <c r="D49" s="19">
        <v>9</v>
      </c>
      <c r="E49" s="19">
        <v>2017</v>
      </c>
      <c r="F49" s="16" t="s">
        <v>37</v>
      </c>
    </row>
    <row r="50" spans="1:6" hidden="1" x14ac:dyDescent="0.25">
      <c r="A50" s="21" t="s">
        <v>38</v>
      </c>
      <c r="B50" s="20">
        <v>180</v>
      </c>
      <c r="C50" s="19">
        <v>12</v>
      </c>
      <c r="D50" s="19">
        <v>9</v>
      </c>
      <c r="E50" s="19">
        <v>2017</v>
      </c>
      <c r="F50" s="16" t="s">
        <v>37</v>
      </c>
    </row>
    <row r="51" spans="1:6" hidden="1" x14ac:dyDescent="0.25">
      <c r="A51" s="21" t="s">
        <v>43</v>
      </c>
      <c r="B51" s="20">
        <v>565.09</v>
      </c>
      <c r="C51" s="19">
        <v>1</v>
      </c>
      <c r="D51" s="19">
        <v>10</v>
      </c>
      <c r="E51" s="19">
        <v>2017</v>
      </c>
      <c r="F51" s="16" t="s">
        <v>37</v>
      </c>
    </row>
    <row r="52" spans="1:6" hidden="1" x14ac:dyDescent="0.25">
      <c r="A52" s="21" t="s">
        <v>42</v>
      </c>
      <c r="B52" s="20">
        <f>141.14+61.67</f>
        <v>202.81</v>
      </c>
      <c r="C52" s="19">
        <v>1</v>
      </c>
      <c r="D52" s="19">
        <v>10</v>
      </c>
      <c r="E52" s="19">
        <v>2017</v>
      </c>
      <c r="F52" s="16" t="s">
        <v>37</v>
      </c>
    </row>
    <row r="53" spans="1:6" hidden="1" x14ac:dyDescent="0.25">
      <c r="A53" s="21" t="s">
        <v>45</v>
      </c>
      <c r="B53" s="20">
        <v>47.86</v>
      </c>
      <c r="C53" s="19">
        <v>5</v>
      </c>
      <c r="D53" s="19">
        <v>10</v>
      </c>
      <c r="E53" s="19">
        <v>2017</v>
      </c>
      <c r="F53" s="16" t="s">
        <v>37</v>
      </c>
    </row>
    <row r="54" spans="1:6" hidden="1" x14ac:dyDescent="0.25">
      <c r="A54" s="21" t="s">
        <v>44</v>
      </c>
      <c r="B54" s="20">
        <v>262</v>
      </c>
      <c r="C54" s="19">
        <v>7</v>
      </c>
      <c r="D54" s="19">
        <v>10</v>
      </c>
      <c r="E54" s="19">
        <v>2017</v>
      </c>
      <c r="F54" s="16" t="s">
        <v>37</v>
      </c>
    </row>
    <row r="55" spans="1:6" hidden="1" x14ac:dyDescent="0.25">
      <c r="A55" s="21" t="s">
        <v>41</v>
      </c>
      <c r="B55" s="20">
        <v>209.7</v>
      </c>
      <c r="C55" s="19">
        <v>10</v>
      </c>
      <c r="D55" s="19">
        <v>10</v>
      </c>
      <c r="E55" s="19">
        <v>2017</v>
      </c>
      <c r="F55" s="16" t="s">
        <v>37</v>
      </c>
    </row>
    <row r="56" spans="1:6" hidden="1" x14ac:dyDescent="0.25">
      <c r="A56" s="21" t="s">
        <v>40</v>
      </c>
      <c r="B56" s="20">
        <v>750</v>
      </c>
      <c r="C56" s="19">
        <v>10</v>
      </c>
      <c r="D56" s="19">
        <v>10</v>
      </c>
      <c r="E56" s="19">
        <v>2017</v>
      </c>
      <c r="F56" s="16" t="s">
        <v>37</v>
      </c>
    </row>
    <row r="57" spans="1:6" hidden="1" x14ac:dyDescent="0.25">
      <c r="A57" s="21" t="s">
        <v>39</v>
      </c>
      <c r="B57" s="20">
        <v>44.76</v>
      </c>
      <c r="C57" s="19">
        <v>12</v>
      </c>
      <c r="D57" s="19">
        <v>10</v>
      </c>
      <c r="E57" s="19">
        <v>2017</v>
      </c>
      <c r="F57" s="16" t="s">
        <v>37</v>
      </c>
    </row>
    <row r="58" spans="1:6" hidden="1" x14ac:dyDescent="0.25">
      <c r="A58" s="21" t="s">
        <v>38</v>
      </c>
      <c r="B58" s="20">
        <v>180</v>
      </c>
      <c r="C58" s="19">
        <v>12</v>
      </c>
      <c r="D58" s="19">
        <v>10</v>
      </c>
      <c r="E58" s="19">
        <v>2017</v>
      </c>
      <c r="F58" s="16" t="s">
        <v>37</v>
      </c>
    </row>
    <row r="59" spans="1:6" hidden="1" x14ac:dyDescent="0.25">
      <c r="A59" s="21" t="s">
        <v>43</v>
      </c>
      <c r="B59" s="20">
        <v>339.95</v>
      </c>
      <c r="C59" s="19">
        <v>1</v>
      </c>
      <c r="D59" s="19">
        <v>11</v>
      </c>
      <c r="E59" s="19">
        <v>2017</v>
      </c>
      <c r="F59" s="16" t="s">
        <v>37</v>
      </c>
    </row>
    <row r="60" spans="1:6" hidden="1" x14ac:dyDescent="0.25">
      <c r="A60" s="21" t="s">
        <v>42</v>
      </c>
      <c r="B60" s="20">
        <f>141.14+61.67</f>
        <v>202.81</v>
      </c>
      <c r="C60" s="19">
        <v>1</v>
      </c>
      <c r="D60" s="19">
        <v>11</v>
      </c>
      <c r="E60" s="19">
        <v>2017</v>
      </c>
      <c r="F60" s="16" t="s">
        <v>37</v>
      </c>
    </row>
    <row r="61" spans="1:6" hidden="1" x14ac:dyDescent="0.25">
      <c r="A61" s="21" t="s">
        <v>45</v>
      </c>
      <c r="B61" s="20">
        <v>47.86</v>
      </c>
      <c r="C61" s="19">
        <v>5</v>
      </c>
      <c r="D61" s="19">
        <v>11</v>
      </c>
      <c r="E61" s="19">
        <v>2017</v>
      </c>
      <c r="F61" s="16" t="s">
        <v>37</v>
      </c>
    </row>
    <row r="62" spans="1:6" hidden="1" x14ac:dyDescent="0.25">
      <c r="A62" s="21" t="s">
        <v>44</v>
      </c>
      <c r="B62" s="20">
        <v>262</v>
      </c>
      <c r="C62" s="19">
        <v>7</v>
      </c>
      <c r="D62" s="19">
        <v>11</v>
      </c>
      <c r="E62" s="19">
        <v>2017</v>
      </c>
      <c r="F62" s="16" t="s">
        <v>37</v>
      </c>
    </row>
    <row r="63" spans="1:6" hidden="1" x14ac:dyDescent="0.25">
      <c r="A63" s="21" t="s">
        <v>41</v>
      </c>
      <c r="B63" s="20">
        <v>209.7</v>
      </c>
      <c r="C63" s="19">
        <v>10</v>
      </c>
      <c r="D63" s="19">
        <v>11</v>
      </c>
      <c r="E63" s="19">
        <v>2017</v>
      </c>
      <c r="F63" s="16" t="s">
        <v>37</v>
      </c>
    </row>
    <row r="64" spans="1:6" hidden="1" x14ac:dyDescent="0.25">
      <c r="A64" s="21" t="s">
        <v>40</v>
      </c>
      <c r="B64" s="20">
        <v>750</v>
      </c>
      <c r="C64" s="19">
        <v>10</v>
      </c>
      <c r="D64" s="19">
        <v>11</v>
      </c>
      <c r="E64" s="19">
        <v>2017</v>
      </c>
      <c r="F64" s="16" t="s">
        <v>37</v>
      </c>
    </row>
    <row r="65" spans="1:6" hidden="1" x14ac:dyDescent="0.25">
      <c r="A65" s="21" t="s">
        <v>39</v>
      </c>
      <c r="B65" s="20">
        <v>44.76</v>
      </c>
      <c r="C65" s="19">
        <v>12</v>
      </c>
      <c r="D65" s="19">
        <v>11</v>
      </c>
      <c r="E65" s="19">
        <v>2017</v>
      </c>
      <c r="F65" s="16" t="s">
        <v>37</v>
      </c>
    </row>
    <row r="66" spans="1:6" hidden="1" x14ac:dyDescent="0.25">
      <c r="A66" s="21" t="s">
        <v>38</v>
      </c>
      <c r="B66" s="20">
        <v>180</v>
      </c>
      <c r="C66" s="19">
        <v>12</v>
      </c>
      <c r="D66" s="19">
        <v>11</v>
      </c>
      <c r="E66" s="19">
        <v>2017</v>
      </c>
      <c r="F66" s="16" t="s">
        <v>37</v>
      </c>
    </row>
    <row r="67" spans="1:6" hidden="1" x14ac:dyDescent="0.25">
      <c r="A67" s="21" t="s">
        <v>43</v>
      </c>
      <c r="B67" s="20">
        <v>300.99</v>
      </c>
      <c r="C67" s="19">
        <v>1</v>
      </c>
      <c r="D67" s="19">
        <v>12</v>
      </c>
      <c r="E67" s="19">
        <v>2017</v>
      </c>
      <c r="F67" s="16" t="s">
        <v>37</v>
      </c>
    </row>
    <row r="68" spans="1:6" hidden="1" x14ac:dyDescent="0.25">
      <c r="A68" s="21" t="s">
        <v>42</v>
      </c>
      <c r="B68" s="20">
        <f>110.38+61.67</f>
        <v>172.05</v>
      </c>
      <c r="C68" s="19">
        <v>1</v>
      </c>
      <c r="D68" s="19">
        <v>12</v>
      </c>
      <c r="E68" s="19">
        <v>2017</v>
      </c>
      <c r="F68" s="16" t="s">
        <v>37</v>
      </c>
    </row>
    <row r="69" spans="1:6" hidden="1" x14ac:dyDescent="0.25">
      <c r="A69" s="21" t="s">
        <v>45</v>
      </c>
      <c r="B69" s="20">
        <v>47.86</v>
      </c>
      <c r="C69" s="19">
        <v>5</v>
      </c>
      <c r="D69" s="22">
        <v>12</v>
      </c>
      <c r="E69" s="19">
        <v>2017</v>
      </c>
      <c r="F69" s="16" t="s">
        <v>37</v>
      </c>
    </row>
    <row r="70" spans="1:6" hidden="1" x14ac:dyDescent="0.25">
      <c r="A70" s="21" t="s">
        <v>44</v>
      </c>
      <c r="B70" s="20">
        <v>262</v>
      </c>
      <c r="C70" s="19">
        <v>7</v>
      </c>
      <c r="D70" s="19">
        <v>12</v>
      </c>
      <c r="E70" s="19">
        <v>2017</v>
      </c>
      <c r="F70" s="16" t="s">
        <v>37</v>
      </c>
    </row>
    <row r="71" spans="1:6" hidden="1" x14ac:dyDescent="0.25">
      <c r="A71" s="21" t="s">
        <v>41</v>
      </c>
      <c r="B71" s="20">
        <v>209.7</v>
      </c>
      <c r="C71" s="19">
        <v>10</v>
      </c>
      <c r="D71" s="19">
        <v>12</v>
      </c>
      <c r="E71" s="19">
        <v>2017</v>
      </c>
      <c r="F71" s="16" t="s">
        <v>37</v>
      </c>
    </row>
    <row r="72" spans="1:6" hidden="1" x14ac:dyDescent="0.25">
      <c r="A72" s="21" t="s">
        <v>40</v>
      </c>
      <c r="B72" s="20">
        <v>750</v>
      </c>
      <c r="C72" s="19">
        <v>10</v>
      </c>
      <c r="D72" s="19">
        <v>12</v>
      </c>
      <c r="E72" s="19">
        <v>2017</v>
      </c>
      <c r="F72" s="16" t="s">
        <v>37</v>
      </c>
    </row>
    <row r="73" spans="1:6" hidden="1" x14ac:dyDescent="0.25">
      <c r="A73" s="21" t="s">
        <v>39</v>
      </c>
      <c r="B73" s="20">
        <v>44.76</v>
      </c>
      <c r="C73" s="19">
        <v>12</v>
      </c>
      <c r="D73" s="19">
        <v>12</v>
      </c>
      <c r="E73" s="19">
        <v>2017</v>
      </c>
      <c r="F73" s="16" t="s">
        <v>37</v>
      </c>
    </row>
    <row r="74" spans="1:6" hidden="1" x14ac:dyDescent="0.25">
      <c r="A74" s="21" t="s">
        <v>38</v>
      </c>
      <c r="B74" s="20">
        <v>180</v>
      </c>
      <c r="C74" s="19">
        <v>12</v>
      </c>
      <c r="D74" s="19">
        <v>12</v>
      </c>
      <c r="E74" s="19">
        <v>2017</v>
      </c>
      <c r="F74" s="16" t="s">
        <v>37</v>
      </c>
    </row>
    <row r="75" spans="1:6" hidden="1" x14ac:dyDescent="0.25">
      <c r="A75" s="21" t="s">
        <v>43</v>
      </c>
      <c r="B75" s="20">
        <v>300.99</v>
      </c>
      <c r="C75" s="19">
        <v>1</v>
      </c>
      <c r="D75" s="19">
        <v>1</v>
      </c>
      <c r="E75" s="19">
        <v>2018</v>
      </c>
      <c r="F75" s="16" t="s">
        <v>37</v>
      </c>
    </row>
    <row r="76" spans="1:6" hidden="1" x14ac:dyDescent="0.25">
      <c r="A76" s="21" t="s">
        <v>42</v>
      </c>
      <c r="B76" s="20">
        <f>110.38+61.67</f>
        <v>172.05</v>
      </c>
      <c r="C76" s="19">
        <v>1</v>
      </c>
      <c r="D76" s="19">
        <v>1</v>
      </c>
      <c r="E76" s="19">
        <v>2018</v>
      </c>
      <c r="F76" s="16" t="s">
        <v>37</v>
      </c>
    </row>
    <row r="77" spans="1:6" hidden="1" x14ac:dyDescent="0.25">
      <c r="A77" s="21" t="s">
        <v>44</v>
      </c>
      <c r="B77" s="20">
        <v>262</v>
      </c>
      <c r="C77" s="19">
        <v>7</v>
      </c>
      <c r="D77" s="19">
        <v>1</v>
      </c>
      <c r="E77" s="19">
        <v>2018</v>
      </c>
      <c r="F77" s="16" t="s">
        <v>37</v>
      </c>
    </row>
    <row r="78" spans="1:6" hidden="1" x14ac:dyDescent="0.25">
      <c r="A78" s="21" t="s">
        <v>41</v>
      </c>
      <c r="B78" s="20">
        <v>209.7</v>
      </c>
      <c r="C78" s="19">
        <v>10</v>
      </c>
      <c r="D78" s="19">
        <v>1</v>
      </c>
      <c r="E78" s="19">
        <v>2018</v>
      </c>
      <c r="F78" s="16" t="s">
        <v>37</v>
      </c>
    </row>
    <row r="79" spans="1:6" hidden="1" x14ac:dyDescent="0.25">
      <c r="A79" s="21" t="s">
        <v>40</v>
      </c>
      <c r="B79" s="20">
        <v>750</v>
      </c>
      <c r="C79" s="19">
        <v>10</v>
      </c>
      <c r="D79" s="19">
        <v>1</v>
      </c>
      <c r="E79" s="19">
        <v>2018</v>
      </c>
      <c r="F79" s="16" t="s">
        <v>37</v>
      </c>
    </row>
    <row r="80" spans="1:6" hidden="1" x14ac:dyDescent="0.25">
      <c r="A80" s="21" t="s">
        <v>39</v>
      </c>
      <c r="B80" s="20">
        <v>44.76</v>
      </c>
      <c r="C80" s="19">
        <v>12</v>
      </c>
      <c r="D80" s="19">
        <v>1</v>
      </c>
      <c r="E80" s="19">
        <v>2018</v>
      </c>
      <c r="F80" s="16" t="s">
        <v>37</v>
      </c>
    </row>
    <row r="81" spans="1:6" hidden="1" x14ac:dyDescent="0.25">
      <c r="A81" s="21" t="s">
        <v>38</v>
      </c>
      <c r="B81" s="20">
        <v>180</v>
      </c>
      <c r="C81" s="19">
        <v>12</v>
      </c>
      <c r="D81" s="19">
        <v>1</v>
      </c>
      <c r="E81" s="19">
        <v>2018</v>
      </c>
      <c r="F81" s="16" t="s">
        <v>37</v>
      </c>
    </row>
    <row r="82" spans="1:6" hidden="1" x14ac:dyDescent="0.25">
      <c r="A82" s="21" t="s">
        <v>43</v>
      </c>
      <c r="B82" s="20">
        <v>55.323333333333302</v>
      </c>
      <c r="C82" s="19">
        <v>1</v>
      </c>
      <c r="D82" s="19">
        <v>2</v>
      </c>
      <c r="E82" s="19">
        <v>2018</v>
      </c>
      <c r="F82" s="16" t="s">
        <v>37</v>
      </c>
    </row>
    <row r="83" spans="1:6" hidden="1" x14ac:dyDescent="0.25">
      <c r="A83" s="21" t="s">
        <v>42</v>
      </c>
      <c r="B83" s="20">
        <f>100.38</f>
        <v>100.38</v>
      </c>
      <c r="C83" s="19">
        <v>1</v>
      </c>
      <c r="D83" s="19">
        <v>2</v>
      </c>
      <c r="E83" s="19">
        <v>2018</v>
      </c>
      <c r="F83" s="16" t="s">
        <v>37</v>
      </c>
    </row>
    <row r="84" spans="1:6" hidden="1" x14ac:dyDescent="0.25">
      <c r="A84" s="21" t="s">
        <v>41</v>
      </c>
      <c r="B84" s="20">
        <v>209.7</v>
      </c>
      <c r="C84" s="19">
        <v>10</v>
      </c>
      <c r="D84" s="19">
        <v>2</v>
      </c>
      <c r="E84" s="19">
        <v>2018</v>
      </c>
      <c r="F84" s="16" t="s">
        <v>37</v>
      </c>
    </row>
    <row r="85" spans="1:6" hidden="1" x14ac:dyDescent="0.25">
      <c r="A85" s="21" t="s">
        <v>40</v>
      </c>
      <c r="B85" s="20">
        <v>750</v>
      </c>
      <c r="C85" s="19">
        <v>10</v>
      </c>
      <c r="D85" s="19">
        <v>2</v>
      </c>
      <c r="E85" s="19">
        <v>2018</v>
      </c>
      <c r="F85" s="16" t="s">
        <v>37</v>
      </c>
    </row>
    <row r="86" spans="1:6" hidden="1" x14ac:dyDescent="0.25">
      <c r="A86" s="21" t="s">
        <v>39</v>
      </c>
      <c r="B86" s="20">
        <v>44.76</v>
      </c>
      <c r="C86" s="19">
        <v>12</v>
      </c>
      <c r="D86" s="19">
        <v>2</v>
      </c>
      <c r="E86" s="19">
        <v>2018</v>
      </c>
      <c r="F86" s="16" t="s">
        <v>37</v>
      </c>
    </row>
    <row r="87" spans="1:6" hidden="1" x14ac:dyDescent="0.25">
      <c r="A87" s="21" t="s">
        <v>38</v>
      </c>
      <c r="B87" s="20">
        <v>180</v>
      </c>
      <c r="C87" s="19">
        <v>12</v>
      </c>
      <c r="D87" s="19">
        <v>2</v>
      </c>
      <c r="E87" s="19">
        <v>2018</v>
      </c>
      <c r="F87" s="16" t="s">
        <v>37</v>
      </c>
    </row>
    <row r="88" spans="1:6" hidden="1" x14ac:dyDescent="0.25">
      <c r="A88" s="21" t="s">
        <v>43</v>
      </c>
      <c r="B88" s="20">
        <v>55.323333333333302</v>
      </c>
      <c r="C88" s="19">
        <v>1</v>
      </c>
      <c r="D88" s="19">
        <v>3</v>
      </c>
      <c r="E88" s="19">
        <v>2018</v>
      </c>
      <c r="F88" s="16" t="s">
        <v>37</v>
      </c>
    </row>
    <row r="89" spans="1:6" hidden="1" x14ac:dyDescent="0.25">
      <c r="A89" s="21" t="s">
        <v>42</v>
      </c>
      <c r="B89" s="20">
        <f>100.38</f>
        <v>100.38</v>
      </c>
      <c r="C89" s="19">
        <v>1</v>
      </c>
      <c r="D89" s="19">
        <v>3</v>
      </c>
      <c r="E89" s="19">
        <v>2018</v>
      </c>
      <c r="F89" s="16" t="s">
        <v>37</v>
      </c>
    </row>
    <row r="90" spans="1:6" hidden="1" x14ac:dyDescent="0.25">
      <c r="A90" s="21" t="s">
        <v>41</v>
      </c>
      <c r="B90" s="20">
        <v>209.7</v>
      </c>
      <c r="C90" s="19">
        <v>10</v>
      </c>
      <c r="D90" s="19">
        <v>3</v>
      </c>
      <c r="E90" s="19">
        <v>2018</v>
      </c>
      <c r="F90" s="16" t="s">
        <v>37</v>
      </c>
    </row>
    <row r="91" spans="1:6" hidden="1" x14ac:dyDescent="0.25">
      <c r="A91" s="21" t="s">
        <v>40</v>
      </c>
      <c r="B91" s="20">
        <v>750</v>
      </c>
      <c r="C91" s="19">
        <v>10</v>
      </c>
      <c r="D91" s="19">
        <v>3</v>
      </c>
      <c r="E91" s="19">
        <v>2018</v>
      </c>
      <c r="F91" s="16" t="s">
        <v>37</v>
      </c>
    </row>
    <row r="92" spans="1:6" hidden="1" x14ac:dyDescent="0.25">
      <c r="A92" s="21" t="s">
        <v>39</v>
      </c>
      <c r="B92" s="20">
        <v>44.76</v>
      </c>
      <c r="C92" s="19">
        <v>12</v>
      </c>
      <c r="D92" s="19">
        <v>3</v>
      </c>
      <c r="E92" s="19">
        <v>2018</v>
      </c>
      <c r="F92" s="16" t="s">
        <v>37</v>
      </c>
    </row>
    <row r="93" spans="1:6" hidden="1" x14ac:dyDescent="0.25">
      <c r="A93" s="21" t="s">
        <v>38</v>
      </c>
      <c r="B93" s="20">
        <v>180</v>
      </c>
      <c r="C93" s="19">
        <v>12</v>
      </c>
      <c r="D93" s="19">
        <v>3</v>
      </c>
      <c r="E93" s="19">
        <v>2018</v>
      </c>
      <c r="F93" s="16" t="s">
        <v>37</v>
      </c>
    </row>
    <row r="94" spans="1:6" hidden="1" x14ac:dyDescent="0.25">
      <c r="A94" s="21" t="s">
        <v>43</v>
      </c>
      <c r="B94" s="20">
        <v>55.323333333333302</v>
      </c>
      <c r="C94" s="19">
        <v>1</v>
      </c>
      <c r="D94" s="19">
        <v>4</v>
      </c>
      <c r="E94" s="19">
        <v>2018</v>
      </c>
      <c r="F94" s="16" t="s">
        <v>37</v>
      </c>
    </row>
    <row r="95" spans="1:6" hidden="1" x14ac:dyDescent="0.25">
      <c r="A95" s="21" t="s">
        <v>42</v>
      </c>
      <c r="B95" s="20">
        <f>100.38</f>
        <v>100.38</v>
      </c>
      <c r="C95" s="19">
        <v>1</v>
      </c>
      <c r="D95" s="19">
        <v>4</v>
      </c>
      <c r="E95" s="19">
        <v>2018</v>
      </c>
      <c r="F95" s="16" t="s">
        <v>37</v>
      </c>
    </row>
    <row r="96" spans="1:6" hidden="1" x14ac:dyDescent="0.25">
      <c r="A96" s="21" t="s">
        <v>41</v>
      </c>
      <c r="B96" s="20">
        <v>209.7</v>
      </c>
      <c r="C96" s="19">
        <v>10</v>
      </c>
      <c r="D96" s="19">
        <v>4</v>
      </c>
      <c r="E96" s="19">
        <v>2018</v>
      </c>
      <c r="F96" s="16" t="s">
        <v>37</v>
      </c>
    </row>
    <row r="97" spans="1:6" hidden="1" x14ac:dyDescent="0.25">
      <c r="A97" s="21" t="s">
        <v>40</v>
      </c>
      <c r="B97" s="20">
        <v>750</v>
      </c>
      <c r="C97" s="19">
        <v>10</v>
      </c>
      <c r="D97" s="19">
        <v>4</v>
      </c>
      <c r="E97" s="19">
        <v>2018</v>
      </c>
      <c r="F97" s="16" t="s">
        <v>37</v>
      </c>
    </row>
    <row r="98" spans="1:6" hidden="1" x14ac:dyDescent="0.25">
      <c r="A98" s="21" t="s">
        <v>39</v>
      </c>
      <c r="B98" s="20">
        <v>44.76</v>
      </c>
      <c r="C98" s="19">
        <v>12</v>
      </c>
      <c r="D98" s="19">
        <v>4</v>
      </c>
      <c r="E98" s="19">
        <v>2018</v>
      </c>
      <c r="F98" s="16" t="s">
        <v>37</v>
      </c>
    </row>
    <row r="99" spans="1:6" hidden="1" x14ac:dyDescent="0.25">
      <c r="A99" s="21" t="s">
        <v>38</v>
      </c>
      <c r="B99" s="20">
        <v>180</v>
      </c>
      <c r="C99" s="19">
        <v>12</v>
      </c>
      <c r="D99" s="19">
        <v>4</v>
      </c>
      <c r="E99" s="19">
        <v>2018</v>
      </c>
      <c r="F99" s="16" t="s">
        <v>37</v>
      </c>
    </row>
    <row r="100" spans="1:6" hidden="1" x14ac:dyDescent="0.25">
      <c r="A100" s="21" t="s">
        <v>42</v>
      </c>
      <c r="B100" s="20">
        <f>100.38</f>
        <v>100.38</v>
      </c>
      <c r="C100" s="19">
        <v>1</v>
      </c>
      <c r="D100" s="19">
        <v>5</v>
      </c>
      <c r="E100" s="19">
        <v>2018</v>
      </c>
      <c r="F100" s="16" t="s">
        <v>37</v>
      </c>
    </row>
    <row r="101" spans="1:6" hidden="1" x14ac:dyDescent="0.25">
      <c r="A101" s="21" t="s">
        <v>41</v>
      </c>
      <c r="B101" s="20">
        <v>209.7</v>
      </c>
      <c r="C101" s="19">
        <v>10</v>
      </c>
      <c r="D101" s="19">
        <v>5</v>
      </c>
      <c r="E101" s="19">
        <v>2018</v>
      </c>
      <c r="F101" s="16" t="s">
        <v>37</v>
      </c>
    </row>
    <row r="102" spans="1:6" hidden="1" x14ac:dyDescent="0.25">
      <c r="A102" s="21" t="s">
        <v>40</v>
      </c>
      <c r="B102" s="20">
        <v>750</v>
      </c>
      <c r="C102" s="19">
        <v>10</v>
      </c>
      <c r="D102" s="19">
        <v>5</v>
      </c>
      <c r="E102" s="19">
        <v>2018</v>
      </c>
      <c r="F102" s="16" t="s">
        <v>37</v>
      </c>
    </row>
    <row r="103" spans="1:6" hidden="1" x14ac:dyDescent="0.25">
      <c r="A103" s="21" t="s">
        <v>39</v>
      </c>
      <c r="B103" s="20">
        <v>44.76</v>
      </c>
      <c r="C103" s="19">
        <v>12</v>
      </c>
      <c r="D103" s="19">
        <v>5</v>
      </c>
      <c r="E103" s="19">
        <v>2018</v>
      </c>
      <c r="F103" s="16" t="s">
        <v>37</v>
      </c>
    </row>
    <row r="104" spans="1:6" hidden="1" x14ac:dyDescent="0.25">
      <c r="A104" s="21" t="s">
        <v>38</v>
      </c>
      <c r="B104" s="20">
        <v>180</v>
      </c>
      <c r="C104" s="19">
        <v>12</v>
      </c>
      <c r="D104" s="19">
        <v>5</v>
      </c>
      <c r="E104" s="19">
        <v>2018</v>
      </c>
      <c r="F104" s="16" t="s">
        <v>37</v>
      </c>
    </row>
    <row r="105" spans="1:6" hidden="1" x14ac:dyDescent="0.25">
      <c r="A105" s="21" t="s">
        <v>41</v>
      </c>
      <c r="B105" s="20">
        <v>209.7</v>
      </c>
      <c r="C105" s="19">
        <v>10</v>
      </c>
      <c r="D105" s="19">
        <v>6</v>
      </c>
      <c r="E105" s="19">
        <v>2018</v>
      </c>
      <c r="F105" s="16" t="s">
        <v>37</v>
      </c>
    </row>
    <row r="106" spans="1:6" hidden="1" x14ac:dyDescent="0.25">
      <c r="A106" s="21" t="s">
        <v>40</v>
      </c>
      <c r="B106" s="20">
        <v>750</v>
      </c>
      <c r="C106" s="19">
        <v>10</v>
      </c>
      <c r="D106" s="19">
        <v>6</v>
      </c>
      <c r="E106" s="19">
        <v>2018</v>
      </c>
      <c r="F106" s="16" t="s">
        <v>37</v>
      </c>
    </row>
    <row r="107" spans="1:6" hidden="1" x14ac:dyDescent="0.25">
      <c r="A107" s="21" t="s">
        <v>39</v>
      </c>
      <c r="B107" s="20">
        <v>44.76</v>
      </c>
      <c r="C107" s="19">
        <v>12</v>
      </c>
      <c r="D107" s="19">
        <v>6</v>
      </c>
      <c r="E107" s="19">
        <v>2018</v>
      </c>
      <c r="F107" s="16" t="s">
        <v>37</v>
      </c>
    </row>
    <row r="108" spans="1:6" hidden="1" x14ac:dyDescent="0.25">
      <c r="A108" s="21" t="s">
        <v>38</v>
      </c>
      <c r="B108" s="20">
        <v>180</v>
      </c>
      <c r="C108" s="19">
        <v>12</v>
      </c>
      <c r="D108" s="19">
        <v>6</v>
      </c>
      <c r="E108" s="19">
        <v>2018</v>
      </c>
      <c r="F108" s="16" t="s">
        <v>37</v>
      </c>
    </row>
    <row r="109" spans="1:6" hidden="1" x14ac:dyDescent="0.25">
      <c r="A109" s="21" t="s">
        <v>41</v>
      </c>
      <c r="B109" s="20">
        <v>209.7</v>
      </c>
      <c r="C109" s="19">
        <v>10</v>
      </c>
      <c r="D109" s="19">
        <v>7</v>
      </c>
      <c r="E109" s="19">
        <v>2018</v>
      </c>
      <c r="F109" s="16" t="s">
        <v>37</v>
      </c>
    </row>
    <row r="110" spans="1:6" hidden="1" x14ac:dyDescent="0.25">
      <c r="A110" s="21" t="s">
        <v>40</v>
      </c>
      <c r="B110" s="20">
        <v>750</v>
      </c>
      <c r="C110" s="19">
        <v>10</v>
      </c>
      <c r="D110" s="19">
        <v>7</v>
      </c>
      <c r="E110" s="19">
        <v>2018</v>
      </c>
      <c r="F110" s="16" t="s">
        <v>37</v>
      </c>
    </row>
    <row r="111" spans="1:6" hidden="1" x14ac:dyDescent="0.25">
      <c r="A111" s="21" t="s">
        <v>39</v>
      </c>
      <c r="B111" s="20">
        <v>44.76</v>
      </c>
      <c r="C111" s="19">
        <v>12</v>
      </c>
      <c r="D111" s="19">
        <v>7</v>
      </c>
      <c r="E111" s="19">
        <v>2018</v>
      </c>
      <c r="F111" s="16" t="s">
        <v>37</v>
      </c>
    </row>
    <row r="112" spans="1:6" hidden="1" x14ac:dyDescent="0.25">
      <c r="A112" s="21" t="s">
        <v>38</v>
      </c>
      <c r="B112" s="20">
        <v>180</v>
      </c>
      <c r="C112" s="19">
        <v>12</v>
      </c>
      <c r="D112" s="19">
        <v>7</v>
      </c>
      <c r="E112" s="19">
        <v>2018</v>
      </c>
      <c r="F112" s="16" t="s">
        <v>37</v>
      </c>
    </row>
    <row r="113" spans="1:6" x14ac:dyDescent="0.25">
      <c r="A113" s="18"/>
      <c r="B113" s="17">
        <f>SUBTOTAL(109,tbDESPESAS[VALOR])</f>
        <v>157.93</v>
      </c>
      <c r="C113" s="16"/>
      <c r="D113" s="16"/>
      <c r="E113" s="16"/>
      <c r="F113" s="16"/>
    </row>
    <row r="115" spans="1:6" x14ac:dyDescent="0.25">
      <c r="B115" s="15"/>
    </row>
    <row r="116" spans="1:6" x14ac:dyDescent="0.25">
      <c r="B116" s="15"/>
    </row>
    <row r="117" spans="1:6" x14ac:dyDescent="0.25">
      <c r="A117" s="14"/>
      <c r="C117" s="13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M15"/>
  <sheetViews>
    <sheetView showGridLines="0" workbookViewId="0"/>
  </sheetViews>
  <sheetFormatPr defaultRowHeight="15" x14ac:dyDescent="0.25"/>
  <cols>
    <col min="1" max="1" width="10.7109375" bestFit="1" customWidth="1"/>
    <col min="2" max="5" width="10.7109375" customWidth="1"/>
    <col min="6" max="6" width="10.5703125" bestFit="1" customWidth="1"/>
    <col min="7" max="7" width="11" bestFit="1" customWidth="1"/>
    <col min="13" max="13" width="10.7109375" bestFit="1" customWidth="1"/>
  </cols>
  <sheetData>
    <row r="1" spans="1:13" x14ac:dyDescent="0.25">
      <c r="A1" s="52" t="s">
        <v>204</v>
      </c>
      <c r="B1" s="52" t="s">
        <v>205</v>
      </c>
      <c r="C1" s="52" t="s">
        <v>206</v>
      </c>
      <c r="D1" s="52" t="s">
        <v>207</v>
      </c>
      <c r="E1" s="52" t="s">
        <v>208</v>
      </c>
      <c r="F1" s="52" t="s">
        <v>209</v>
      </c>
      <c r="G1" s="52" t="s">
        <v>210</v>
      </c>
    </row>
    <row r="2" spans="1:13" x14ac:dyDescent="0.25">
      <c r="A2" s="3">
        <v>42944</v>
      </c>
      <c r="B2" s="53">
        <v>42978</v>
      </c>
      <c r="C2" s="4">
        <f>B2-A2</f>
        <v>34</v>
      </c>
      <c r="D2" s="2">
        <v>712.27</v>
      </c>
      <c r="E2" s="2">
        <v>500</v>
      </c>
      <c r="F2" s="2">
        <f>D2-E2</f>
        <v>212.26999999999998</v>
      </c>
      <c r="G2" s="2">
        <f>F2/C2</f>
        <v>6.2432352941176461</v>
      </c>
    </row>
    <row r="15" spans="1:13" x14ac:dyDescent="0.25">
      <c r="M15" s="5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as35">
    <tabColor theme="1" tint="0.34998626667073579"/>
    <pageSetUpPr autoPageBreaks="0"/>
  </sheetPr>
  <dimension ref="A1:O26"/>
  <sheetViews>
    <sheetView showGridLines="0" topLeftCell="F1" zoomScaleNormal="100" workbookViewId="0">
      <selection activeCell="N22" sqref="N22"/>
    </sheetView>
  </sheetViews>
  <sheetFormatPr defaultRowHeight="14.25" x14ac:dyDescent="0.25"/>
  <cols>
    <col min="1" max="1" width="18.85546875" style="55" bestFit="1" customWidth="1"/>
    <col min="2" max="2" width="14.85546875" style="55" bestFit="1" customWidth="1"/>
    <col min="3" max="3" width="14.140625" style="55" bestFit="1" customWidth="1"/>
    <col min="4" max="4" width="19.85546875" style="55" bestFit="1" customWidth="1"/>
    <col min="5" max="5" width="17" style="55" bestFit="1" customWidth="1"/>
    <col min="6" max="6" width="25.5703125" style="55" bestFit="1" customWidth="1"/>
    <col min="7" max="7" width="18.140625" style="55" bestFit="1" customWidth="1"/>
    <col min="8" max="9" width="20.85546875" style="55" bestFit="1" customWidth="1"/>
    <col min="10" max="10" width="16" style="55" bestFit="1" customWidth="1"/>
    <col min="11" max="11" width="17.28515625" style="55" bestFit="1" customWidth="1"/>
    <col min="12" max="12" width="14.85546875" style="55" bestFit="1" customWidth="1"/>
    <col min="13" max="13" width="16.42578125" style="55" bestFit="1" customWidth="1"/>
    <col min="14" max="14" width="20.42578125" style="55" customWidth="1"/>
    <col min="15" max="15" width="10.5703125" style="55" bestFit="1" customWidth="1"/>
    <col min="16" max="16384" width="9.140625" style="55"/>
  </cols>
  <sheetData>
    <row r="1" spans="1:15" x14ac:dyDescent="0.25">
      <c r="A1" s="80" t="s">
        <v>0</v>
      </c>
      <c r="B1" s="54" t="s">
        <v>202</v>
      </c>
      <c r="C1" s="54" t="s">
        <v>8</v>
      </c>
      <c r="D1" s="54" t="s">
        <v>203</v>
      </c>
      <c r="E1" s="54" t="s">
        <v>4</v>
      </c>
      <c r="F1" s="54" t="s">
        <v>3</v>
      </c>
      <c r="G1" s="54" t="s">
        <v>19</v>
      </c>
      <c r="H1" s="54" t="s">
        <v>32</v>
      </c>
      <c r="I1" s="54" t="s">
        <v>31</v>
      </c>
      <c r="J1" s="54" t="s">
        <v>16</v>
      </c>
      <c r="K1" s="54" t="s">
        <v>33</v>
      </c>
      <c r="L1" s="54" t="s">
        <v>34</v>
      </c>
      <c r="M1" s="54" t="s">
        <v>6</v>
      </c>
      <c r="N1" s="54" t="s">
        <v>7</v>
      </c>
      <c r="O1" s="54" t="s">
        <v>1</v>
      </c>
    </row>
    <row r="2" spans="1:15" x14ac:dyDescent="0.25">
      <c r="A2" s="56">
        <v>42926</v>
      </c>
      <c r="B2" s="56" t="s">
        <v>215</v>
      </c>
      <c r="C2" s="58">
        <v>24</v>
      </c>
      <c r="D2" s="57">
        <v>1</v>
      </c>
      <c r="E2" s="57">
        <f>MONTH(TabelaVendas[[#This Row],[DATA]])</f>
        <v>7</v>
      </c>
      <c r="F2" s="57">
        <f>YEAR(TabelaVendas[[#This Row],[DATA]])</f>
        <v>2017</v>
      </c>
      <c r="G2" s="58" t="s">
        <v>21</v>
      </c>
      <c r="H2" s="58">
        <v>0.75</v>
      </c>
      <c r="I2" s="58">
        <v>10.5</v>
      </c>
      <c r="J2" s="59" t="str">
        <f>IF(TabelaVendas[[#This Row],[DATA]]="","-",PROPER(TEXT(TabelaVendas[[#This Row],[DATA]],"dddd")))</f>
        <v>Segunda-Feira</v>
      </c>
      <c r="K2" s="60">
        <f>IF(TabelaVendas[[#This Row],[PRODUTO]]&lt;&gt;"VENDA/35G", (1000/SUBSTITUTE(RIGHT(TabelaVendas[[#This Row],[PRODUTO]],3),"G","")*1),ROUNDUP(TabelaVendas[[#This Row],[VENDA]]/TabelaVendas[[#This Row],[PREÇO/UN.]],0))</f>
        <v>32</v>
      </c>
      <c r="L2" s="61">
        <f>(TabelaVendas[[#This Row],[QTD/PÃES]]*(SUBSTITUTE(RIGHT(TabelaVendas[[#This Row],[PRODUTO]],3),"G","")*1))/1000</f>
        <v>1.1200000000000001</v>
      </c>
      <c r="M2" s="58">
        <f>IF(TabelaVendas[[#This Row],[PRODUTO]]&lt;&gt;"VENDA/35G",TabelaVendas[[#This Row],[PREÇO/KG]],ROUND(TabelaVendas[QTD/KG]*TabelaVendas[[#This Row],[PREÇO/KG]],0))</f>
        <v>12</v>
      </c>
      <c r="N2" s="58">
        <f>TabelaVendas[[#This Row],[VENDA]]-TabelaVendas[[#This Row],[CUSTO]]</f>
        <v>12</v>
      </c>
      <c r="O2" s="62">
        <f>IFERROR(TabelaVendas[[#This Row],[LUCRO]]/TabelaVendas[[#This Row],[VENDA]],0)</f>
        <v>0.5</v>
      </c>
    </row>
    <row r="3" spans="1:15" x14ac:dyDescent="0.25">
      <c r="A3" s="56">
        <v>42927</v>
      </c>
      <c r="B3" s="56" t="s">
        <v>215</v>
      </c>
      <c r="C3" s="63">
        <v>42</v>
      </c>
      <c r="D3" s="57">
        <f>IF(TEXT(TabelaVendas[[#This Row],[DATA]],"DDD")="SEG",D2+1,D2)</f>
        <v>1</v>
      </c>
      <c r="E3" s="57">
        <f>MONTH(TabelaVendas[[#This Row],[DATA]])</f>
        <v>7</v>
      </c>
      <c r="F3" s="57">
        <f>YEAR(TabelaVendas[[#This Row],[DATA]])</f>
        <v>2017</v>
      </c>
      <c r="G3" s="63" t="s">
        <v>21</v>
      </c>
      <c r="H3" s="58">
        <v>0.75</v>
      </c>
      <c r="I3" s="58">
        <v>10.5</v>
      </c>
      <c r="J3" s="64" t="str">
        <f>IF(TabelaVendas[[#This Row],[DATA]]="","-",PROPER(TEXT(TabelaVendas[[#This Row],[DATA]],"dddd")))</f>
        <v>Terça-Feira</v>
      </c>
      <c r="K3" s="60">
        <f>IF(TabelaVendas[[#This Row],[PRODUTO]]&lt;&gt;"VENDA/35G", (1000/SUBSTITUTE(RIGHT(TabelaVendas[[#This Row],[PRODUTO]],3),"G","")*1),ROUNDUP(TabelaVendas[[#This Row],[VENDA]]/TabelaVendas[[#This Row],[PREÇO/UN.]],0))</f>
        <v>56</v>
      </c>
      <c r="L3" s="65">
        <f>(TabelaVendas[[#This Row],[QTD/PÃES]]*(SUBSTITUTE(RIGHT(TabelaVendas[[#This Row],[PRODUTO]],3),"G","")*1))/1000</f>
        <v>1.96</v>
      </c>
      <c r="M3" s="66">
        <f>IF(TabelaVendas[[#This Row],[PRODUTO]]&lt;&gt;"VENDA/35G",TabelaVendas[[#This Row],[PREÇO/KG]],ROUND(TabelaVendas[QTD/KG]*TabelaVendas[[#This Row],[PREÇO/KG]],0))</f>
        <v>21</v>
      </c>
      <c r="N3" s="66">
        <f>TabelaVendas[[#This Row],[VENDA]]-TabelaVendas[[#This Row],[CUSTO]]</f>
        <v>21</v>
      </c>
      <c r="O3" s="67">
        <f>IFERROR(TabelaVendas[[#This Row],[LUCRO]]/TabelaVendas[[#This Row],[VENDA]],0)</f>
        <v>0.5</v>
      </c>
    </row>
    <row r="4" spans="1:15" x14ac:dyDescent="0.25">
      <c r="A4" s="68">
        <v>42928</v>
      </c>
      <c r="B4" s="68" t="s">
        <v>215</v>
      </c>
      <c r="C4" s="63">
        <v>54</v>
      </c>
      <c r="D4" s="57">
        <f>IF(TEXT(TabelaVendas[[#This Row],[DATA]],"DDD")="SEG",D3+1,D3)</f>
        <v>1</v>
      </c>
      <c r="E4" s="69">
        <f>MONTH(TabelaVendas[[#This Row],[DATA]])</f>
        <v>7</v>
      </c>
      <c r="F4" s="69">
        <f>YEAR(TabelaVendas[[#This Row],[DATA]])</f>
        <v>2017</v>
      </c>
      <c r="G4" s="63" t="s">
        <v>21</v>
      </c>
      <c r="H4" s="58">
        <v>0.75</v>
      </c>
      <c r="I4" s="58">
        <v>10.5</v>
      </c>
      <c r="J4" s="64" t="str">
        <f>IF(TabelaVendas[[#This Row],[DATA]]="","-",PROPER(TEXT(TabelaVendas[[#This Row],[DATA]],"dddd")))</f>
        <v>Quarta-Feira</v>
      </c>
      <c r="K4" s="60">
        <f>IF(TabelaVendas[[#This Row],[PRODUTO]]&lt;&gt;"VENDA/35G", (1000/SUBSTITUTE(RIGHT(TabelaVendas[[#This Row],[PRODUTO]],3),"G","")*1),ROUNDUP(TabelaVendas[[#This Row],[VENDA]]/TabelaVendas[[#This Row],[PREÇO/UN.]],0))</f>
        <v>72</v>
      </c>
      <c r="L4" s="65">
        <f>(TabelaVendas[[#This Row],[QTD/PÃES]]*(SUBSTITUTE(RIGHT(TabelaVendas[[#This Row],[PRODUTO]],3),"G","")*1))/1000</f>
        <v>2.52</v>
      </c>
      <c r="M4" s="66">
        <f>IF(TabelaVendas[[#This Row],[PRODUTO]]&lt;&gt;"VENDA/35G",TabelaVendas[[#This Row],[PREÇO/KG]],ROUND(TabelaVendas[QTD/KG]*TabelaVendas[[#This Row],[PREÇO/KG]],0))</f>
        <v>26</v>
      </c>
      <c r="N4" s="66">
        <f>TabelaVendas[[#This Row],[VENDA]]-TabelaVendas[[#This Row],[CUSTO]]</f>
        <v>28</v>
      </c>
      <c r="O4" s="67">
        <f>IFERROR(TabelaVendas[[#This Row],[LUCRO]]/TabelaVendas[[#This Row],[VENDA]],0)</f>
        <v>0.51851851851851849</v>
      </c>
    </row>
    <row r="5" spans="1:15" x14ac:dyDescent="0.25">
      <c r="A5" s="68">
        <v>42929</v>
      </c>
      <c r="B5" s="68" t="s">
        <v>215</v>
      </c>
      <c r="C5" s="63">
        <v>42</v>
      </c>
      <c r="D5" s="57">
        <f>IF(TEXT(TabelaVendas[[#This Row],[DATA]],"DDD")="SEG",D4+1,D4)</f>
        <v>1</v>
      </c>
      <c r="E5" s="69">
        <f>MONTH(TabelaVendas[[#This Row],[DATA]])</f>
        <v>7</v>
      </c>
      <c r="F5" s="69">
        <f>YEAR(TabelaVendas[[#This Row],[DATA]])</f>
        <v>2017</v>
      </c>
      <c r="G5" s="63" t="s">
        <v>21</v>
      </c>
      <c r="H5" s="58">
        <v>0.75</v>
      </c>
      <c r="I5" s="58">
        <v>10.5</v>
      </c>
      <c r="J5" s="64" t="str">
        <f>IF(TabelaVendas[[#This Row],[DATA]]="","-",PROPER(TEXT(TabelaVendas[[#This Row],[DATA]],"dddd")))</f>
        <v>Quinta-Feira</v>
      </c>
      <c r="K5" s="60">
        <f>IF(TabelaVendas[[#This Row],[PRODUTO]]&lt;&gt;"VENDA/35G", (1000/SUBSTITUTE(RIGHT(TabelaVendas[[#This Row],[PRODUTO]],3),"G","")*1),ROUNDUP(TabelaVendas[[#This Row],[VENDA]]/TabelaVendas[[#This Row],[PREÇO/UN.]],0))</f>
        <v>56</v>
      </c>
      <c r="L5" s="65">
        <f>(TabelaVendas[[#This Row],[QTD/PÃES]]*(SUBSTITUTE(RIGHT(TabelaVendas[[#This Row],[PRODUTO]],3),"G","")*1))/1000</f>
        <v>1.96</v>
      </c>
      <c r="M5" s="66">
        <f>IF(TabelaVendas[[#This Row],[PRODUTO]]&lt;&gt;"VENDA/35G",TabelaVendas[[#This Row],[PREÇO/KG]],ROUND(TabelaVendas[QTD/KG]*TabelaVendas[[#This Row],[PREÇO/KG]],0))</f>
        <v>21</v>
      </c>
      <c r="N5" s="66">
        <f>TabelaVendas[[#This Row],[VENDA]]-TabelaVendas[[#This Row],[CUSTO]]</f>
        <v>21</v>
      </c>
      <c r="O5" s="67">
        <f>IFERROR(TabelaVendas[[#This Row],[LUCRO]]/TabelaVendas[[#This Row],[VENDA]],0)</f>
        <v>0.5</v>
      </c>
    </row>
    <row r="6" spans="1:15" x14ac:dyDescent="0.25">
      <c r="A6" s="68">
        <v>42930</v>
      </c>
      <c r="B6" s="68" t="s">
        <v>215</v>
      </c>
      <c r="C6" s="70">
        <v>42</v>
      </c>
      <c r="D6" s="57">
        <f>IF(TEXT(TabelaVendas[[#This Row],[DATA]],"DDD")="SEG",D5+1,D5)</f>
        <v>1</v>
      </c>
      <c r="E6" s="69">
        <f>MONTH(TabelaVendas[[#This Row],[DATA]])</f>
        <v>7</v>
      </c>
      <c r="F6" s="69">
        <f>YEAR(TabelaVendas[[#This Row],[DATA]])</f>
        <v>2017</v>
      </c>
      <c r="G6" s="70" t="s">
        <v>21</v>
      </c>
      <c r="H6" s="58">
        <v>0.75</v>
      </c>
      <c r="I6" s="58">
        <v>10.5</v>
      </c>
      <c r="J6" s="64" t="str">
        <f>IF(TabelaVendas[[#This Row],[DATA]]="","-",PROPER(TEXT(TabelaVendas[[#This Row],[DATA]],"dddd")))</f>
        <v>Sexta-Feira</v>
      </c>
      <c r="K6" s="60">
        <f>IF(TabelaVendas[[#This Row],[PRODUTO]]&lt;&gt;"VENDA/35G", (1000/SUBSTITUTE(RIGHT(TabelaVendas[[#This Row],[PRODUTO]],3),"G","")*1),ROUNDUP(TabelaVendas[[#This Row],[VENDA]]/TabelaVendas[[#This Row],[PREÇO/UN.]],0))</f>
        <v>56</v>
      </c>
      <c r="L6" s="65">
        <f>(TabelaVendas[[#This Row],[QTD/PÃES]]*(SUBSTITUTE(RIGHT(TabelaVendas[[#This Row],[PRODUTO]],3),"G","")*1))/1000</f>
        <v>1.96</v>
      </c>
      <c r="M6" s="66">
        <f>IF(TabelaVendas[[#This Row],[PRODUTO]]&lt;&gt;"VENDA/35G",TabelaVendas[[#This Row],[PREÇO/KG]],ROUND(TabelaVendas[QTD/KG]*TabelaVendas[[#This Row],[PREÇO/KG]],0))</f>
        <v>21</v>
      </c>
      <c r="N6" s="66">
        <f>TabelaVendas[[#This Row],[VENDA]]-TabelaVendas[[#This Row],[CUSTO]]</f>
        <v>21</v>
      </c>
      <c r="O6" s="67">
        <f>IFERROR(TabelaVendas[[#This Row],[LUCRO]]/TabelaVendas[[#This Row],[VENDA]],0)</f>
        <v>0.5</v>
      </c>
    </row>
    <row r="7" spans="1:15" x14ac:dyDescent="0.25">
      <c r="A7" s="68">
        <v>42931</v>
      </c>
      <c r="B7" s="68" t="s">
        <v>215</v>
      </c>
      <c r="C7" s="70">
        <v>22</v>
      </c>
      <c r="D7" s="57">
        <f>IF(TEXT(TabelaVendas[[#This Row],[DATA]],"DDD")="SEG",D6+1,D6)</f>
        <v>1</v>
      </c>
      <c r="E7" s="69">
        <f>MONTH(TabelaVendas[[#This Row],[DATA]])</f>
        <v>7</v>
      </c>
      <c r="F7" s="69">
        <f>YEAR(TabelaVendas[[#This Row],[DATA]])</f>
        <v>2017</v>
      </c>
      <c r="G7" s="70" t="s">
        <v>21</v>
      </c>
      <c r="H7" s="58">
        <v>0.75</v>
      </c>
      <c r="I7" s="58">
        <v>10.5</v>
      </c>
      <c r="J7" s="64" t="str">
        <f>IF(TabelaVendas[[#This Row],[DATA]]="","-",PROPER(TEXT(TabelaVendas[[#This Row],[DATA]],"dddd")))</f>
        <v>Sábado</v>
      </c>
      <c r="K7" s="60">
        <f>IF(TabelaVendas[[#This Row],[PRODUTO]]&lt;&gt;"VENDA/35G", (1000/SUBSTITUTE(RIGHT(TabelaVendas[[#This Row],[PRODUTO]],3),"G","")*1),ROUNDUP(TabelaVendas[[#This Row],[VENDA]]/TabelaVendas[[#This Row],[PREÇO/UN.]],0))</f>
        <v>30</v>
      </c>
      <c r="L7" s="65">
        <f>(TabelaVendas[[#This Row],[QTD/PÃES]]*(SUBSTITUTE(RIGHT(TabelaVendas[[#This Row],[PRODUTO]],3),"G","")*1))/1000</f>
        <v>1.05</v>
      </c>
      <c r="M7" s="66">
        <f>IF(TabelaVendas[[#This Row],[PRODUTO]]&lt;&gt;"VENDA/35G",TabelaVendas[[#This Row],[PREÇO/KG]],ROUND(TabelaVendas[QTD/KG]*TabelaVendas[[#This Row],[PREÇO/KG]],0))</f>
        <v>11</v>
      </c>
      <c r="N7" s="66">
        <f>TabelaVendas[[#This Row],[VENDA]]-TabelaVendas[[#This Row],[CUSTO]]</f>
        <v>11</v>
      </c>
      <c r="O7" s="67">
        <f>IFERROR(TabelaVendas[[#This Row],[LUCRO]]/TabelaVendas[[#This Row],[VENDA]],0)</f>
        <v>0.5</v>
      </c>
    </row>
    <row r="8" spans="1:15" x14ac:dyDescent="0.25">
      <c r="A8" s="68">
        <v>42933</v>
      </c>
      <c r="B8" s="68" t="s">
        <v>215</v>
      </c>
      <c r="C8" s="63">
        <v>66</v>
      </c>
      <c r="D8" s="57">
        <f>IF(TEXT(TabelaVendas[[#This Row],[DATA]],"DDD")="SEG",D7+1,D7)</f>
        <v>2</v>
      </c>
      <c r="E8" s="69">
        <f>MONTH(TabelaVendas[[#This Row],[DATA]])</f>
        <v>7</v>
      </c>
      <c r="F8" s="69">
        <f>YEAR(TabelaVendas[[#This Row],[DATA]])</f>
        <v>2017</v>
      </c>
      <c r="G8" s="63" t="s">
        <v>21</v>
      </c>
      <c r="H8" s="58">
        <v>0.75</v>
      </c>
      <c r="I8" s="58">
        <v>10.5</v>
      </c>
      <c r="J8" s="64" t="str">
        <f>IF(TabelaVendas[[#This Row],[DATA]]="","-",PROPER(TEXT(TabelaVendas[[#This Row],[DATA]],"dddd")))</f>
        <v>Segunda-Feira</v>
      </c>
      <c r="K8" s="71">
        <f>IF(TabelaVendas[[#This Row],[PRODUTO]]&lt;&gt;"VENDA/35G", (1000/SUBSTITUTE(RIGHT(TabelaVendas[[#This Row],[PRODUTO]],3),"G","")*1),ROUNDUP(TabelaVendas[[#This Row],[VENDA]]/TabelaVendas[[#This Row],[PREÇO/UN.]],0))</f>
        <v>88</v>
      </c>
      <c r="L8" s="65">
        <f>(TabelaVendas[[#This Row],[QTD/PÃES]]*(SUBSTITUTE(RIGHT(TabelaVendas[[#This Row],[PRODUTO]],3),"G","")*1))/1000</f>
        <v>3.08</v>
      </c>
      <c r="M8" s="66">
        <f>IF(TabelaVendas[[#This Row],[PRODUTO]]&lt;&gt;"VENDA/35G",TabelaVendas[[#This Row],[PREÇO/KG]],ROUND(TabelaVendas[QTD/KG]*TabelaVendas[[#This Row],[PREÇO/KG]],0))</f>
        <v>32</v>
      </c>
      <c r="N8" s="66">
        <f>TabelaVendas[[#This Row],[VENDA]]-TabelaVendas[[#This Row],[CUSTO]]</f>
        <v>34</v>
      </c>
      <c r="O8" s="67">
        <f>IFERROR(TabelaVendas[[#This Row],[LUCRO]]/TabelaVendas[[#This Row],[VENDA]],0)</f>
        <v>0.51515151515151514</v>
      </c>
    </row>
    <row r="9" spans="1:15" x14ac:dyDescent="0.25">
      <c r="A9" s="68">
        <v>42934</v>
      </c>
      <c r="B9" s="68" t="s">
        <v>215</v>
      </c>
      <c r="C9" s="70">
        <v>78</v>
      </c>
      <c r="D9" s="57">
        <f>IF(TEXT(TabelaVendas[[#This Row],[DATA]],"DDD")="SEG",D8+1,D8)</f>
        <v>2</v>
      </c>
      <c r="E9" s="69">
        <f>MONTH(TabelaVendas[[#This Row],[DATA]])</f>
        <v>7</v>
      </c>
      <c r="F9" s="69">
        <f>YEAR(TabelaVendas[[#This Row],[DATA]])</f>
        <v>2017</v>
      </c>
      <c r="G9" s="70" t="s">
        <v>21</v>
      </c>
      <c r="H9" s="58">
        <v>0.75</v>
      </c>
      <c r="I9" s="58">
        <v>10.5</v>
      </c>
      <c r="J9" s="64" t="str">
        <f>IF(TabelaVendas[[#This Row],[DATA]]="","-",PROPER(TEXT(TabelaVendas[[#This Row],[DATA]],"dddd")))</f>
        <v>Terça-Feira</v>
      </c>
      <c r="K9" s="71">
        <f>IF(TabelaVendas[[#This Row],[PRODUTO]]&lt;&gt;"VENDA/35G", (1000/SUBSTITUTE(RIGHT(TabelaVendas[[#This Row],[PRODUTO]],3),"G","")*1),ROUNDUP(TabelaVendas[[#This Row],[VENDA]]/TabelaVendas[[#This Row],[PREÇO/UN.]],0))</f>
        <v>104</v>
      </c>
      <c r="L9" s="65">
        <f>(TabelaVendas[[#This Row],[QTD/PÃES]]*(SUBSTITUTE(RIGHT(TabelaVendas[[#This Row],[PRODUTO]],3),"G","")*1))/1000</f>
        <v>3.64</v>
      </c>
      <c r="M9" s="66">
        <f>IF(TabelaVendas[[#This Row],[PRODUTO]]&lt;&gt;"VENDA/35G",TabelaVendas[[#This Row],[PREÇO/KG]],ROUND(TabelaVendas[QTD/KG]*TabelaVendas[[#This Row],[PREÇO/KG]],0))</f>
        <v>38</v>
      </c>
      <c r="N9" s="66">
        <f>TabelaVendas[[#This Row],[VENDA]]-TabelaVendas[[#This Row],[CUSTO]]</f>
        <v>40</v>
      </c>
      <c r="O9" s="67">
        <f>IFERROR(TabelaVendas[[#This Row],[LUCRO]]/TabelaVendas[[#This Row],[VENDA]],0)</f>
        <v>0.51282051282051277</v>
      </c>
    </row>
    <row r="10" spans="1:15" x14ac:dyDescent="0.25">
      <c r="A10" s="68">
        <v>42935</v>
      </c>
      <c r="B10" s="68" t="s">
        <v>215</v>
      </c>
      <c r="C10" s="63">
        <v>78</v>
      </c>
      <c r="D10" s="57">
        <f>IF(TEXT(TabelaVendas[[#This Row],[DATA]],"DDD")="SEG",D9+1,D9)</f>
        <v>2</v>
      </c>
      <c r="E10" s="69">
        <f>MONTH(TabelaVendas[[#This Row],[DATA]])</f>
        <v>7</v>
      </c>
      <c r="F10" s="69">
        <f>YEAR(TabelaVendas[[#This Row],[DATA]])</f>
        <v>2017</v>
      </c>
      <c r="G10" s="63" t="s">
        <v>21</v>
      </c>
      <c r="H10" s="58">
        <v>0.75</v>
      </c>
      <c r="I10" s="58">
        <v>10.5</v>
      </c>
      <c r="J10" s="64" t="str">
        <f>IF(TabelaVendas[[#This Row],[DATA]]="","-",PROPER(TEXT(TabelaVendas[[#This Row],[DATA]],"dddd")))</f>
        <v>Quarta-Feira</v>
      </c>
      <c r="K10" s="71">
        <f>IF(TabelaVendas[[#This Row],[PRODUTO]]&lt;&gt;"VENDA/35G", (1000/SUBSTITUTE(RIGHT(TabelaVendas[[#This Row],[PRODUTO]],3),"G","")*1),ROUNDUP(TabelaVendas[[#This Row],[VENDA]]/TabelaVendas[[#This Row],[PREÇO/UN.]],0))</f>
        <v>104</v>
      </c>
      <c r="L10" s="65">
        <f>(TabelaVendas[[#This Row],[QTD/PÃES]]*(SUBSTITUTE(RIGHT(TabelaVendas[[#This Row],[PRODUTO]],3),"G","")*1))/1000</f>
        <v>3.64</v>
      </c>
      <c r="M10" s="66">
        <f>IF(TabelaVendas[[#This Row],[PRODUTO]]&lt;&gt;"VENDA/35G",TabelaVendas[[#This Row],[PREÇO/KG]],ROUND(TabelaVendas[QTD/KG]*TabelaVendas[[#This Row],[PREÇO/KG]],0))</f>
        <v>38</v>
      </c>
      <c r="N10" s="66">
        <f>TabelaVendas[[#This Row],[VENDA]]-TabelaVendas[[#This Row],[CUSTO]]</f>
        <v>40</v>
      </c>
      <c r="O10" s="67">
        <f>IFERROR(TabelaVendas[[#This Row],[LUCRO]]/TabelaVendas[[#This Row],[VENDA]],0)</f>
        <v>0.51282051282051277</v>
      </c>
    </row>
    <row r="11" spans="1:15" x14ac:dyDescent="0.25">
      <c r="A11" s="68">
        <v>42936</v>
      </c>
      <c r="B11" s="68" t="s">
        <v>215</v>
      </c>
      <c r="C11" s="63">
        <v>84</v>
      </c>
      <c r="D11" s="57">
        <f>IF(TEXT(TabelaVendas[[#This Row],[DATA]],"DDD")="SEG",D10+1,D10)</f>
        <v>2</v>
      </c>
      <c r="E11" s="69">
        <f>MONTH(TabelaVendas[[#This Row],[DATA]])</f>
        <v>7</v>
      </c>
      <c r="F11" s="69">
        <f>YEAR(TabelaVendas[[#This Row],[DATA]])</f>
        <v>2017</v>
      </c>
      <c r="G11" s="63" t="s">
        <v>21</v>
      </c>
      <c r="H11" s="63">
        <v>0.75</v>
      </c>
      <c r="I11" s="63">
        <v>10.5</v>
      </c>
      <c r="J11" s="72" t="str">
        <f>IF(TabelaVendas[[#This Row],[DATA]]="","-",PROPER(TEXT(TabelaVendas[[#This Row],[DATA]],"dddd")))</f>
        <v>Quinta-Feira</v>
      </c>
      <c r="K11" s="71">
        <f>IF(TabelaVendas[[#This Row],[PRODUTO]]&lt;&gt;"VENDA/35G", (1000/SUBSTITUTE(RIGHT(TabelaVendas[[#This Row],[PRODUTO]],3),"G","")*1),ROUNDUP(TabelaVendas[[#This Row],[VENDA]]/TabelaVendas[[#This Row],[PREÇO/UN.]],0))</f>
        <v>112</v>
      </c>
      <c r="L11" s="65">
        <f>(TabelaVendas[[#This Row],[QTD/PÃES]]*(SUBSTITUTE(RIGHT(TabelaVendas[[#This Row],[PRODUTO]],3),"G","")*1))/1000</f>
        <v>3.92</v>
      </c>
      <c r="M11" s="66">
        <f>IF(TabelaVendas[[#This Row],[PRODUTO]]&lt;&gt;"VENDA/35G",TabelaVendas[[#This Row],[PREÇO/KG]],ROUND(TabelaVendas[QTD/KG]*TabelaVendas[[#This Row],[PREÇO/KG]],0))</f>
        <v>41</v>
      </c>
      <c r="N11" s="66">
        <f>TabelaVendas[[#This Row],[VENDA]]-TabelaVendas[[#This Row],[CUSTO]]</f>
        <v>43</v>
      </c>
      <c r="O11" s="67">
        <f>IFERROR(TabelaVendas[[#This Row],[LUCRO]]/TabelaVendas[[#This Row],[VENDA]],0)</f>
        <v>0.51190476190476186</v>
      </c>
    </row>
    <row r="12" spans="1:15" x14ac:dyDescent="0.25">
      <c r="A12" s="68">
        <v>42937</v>
      </c>
      <c r="B12" s="68" t="s">
        <v>215</v>
      </c>
      <c r="C12" s="63">
        <v>68</v>
      </c>
      <c r="D12" s="57">
        <f>IF(TEXT(TabelaVendas[[#This Row],[DATA]],"DDD")="SEG",D11+1,D11)</f>
        <v>2</v>
      </c>
      <c r="E12" s="69">
        <f>MONTH(TabelaVendas[[#This Row],[DATA]])</f>
        <v>7</v>
      </c>
      <c r="F12" s="69">
        <f>YEAR(TabelaVendas[[#This Row],[DATA]])</f>
        <v>2017</v>
      </c>
      <c r="G12" s="63" t="s">
        <v>21</v>
      </c>
      <c r="H12" s="63">
        <v>0.75</v>
      </c>
      <c r="I12" s="63">
        <v>10.5</v>
      </c>
      <c r="J12" s="72" t="str">
        <f>IF(TabelaVendas[[#This Row],[DATA]]="","-",PROPER(TEXT(TabelaVendas[[#This Row],[DATA]],"dddd")))</f>
        <v>Sexta-Feira</v>
      </c>
      <c r="K12" s="71">
        <f>IF(TabelaVendas[[#This Row],[PRODUTO]]&lt;&gt;"VENDA/35G", (1000/SUBSTITUTE(RIGHT(TabelaVendas[[#This Row],[PRODUTO]],3),"G","")*1),ROUNDUP(TabelaVendas[[#This Row],[VENDA]]/TabelaVendas[[#This Row],[PREÇO/UN.]],0))</f>
        <v>91</v>
      </c>
      <c r="L12" s="65">
        <f>(TabelaVendas[[#This Row],[QTD/PÃES]]*(SUBSTITUTE(RIGHT(TabelaVendas[[#This Row],[PRODUTO]],3),"G","")*1))/1000</f>
        <v>3.1850000000000001</v>
      </c>
      <c r="M12" s="66">
        <f>IF(TabelaVendas[[#This Row],[PRODUTO]]&lt;&gt;"VENDA/35G",TabelaVendas[[#This Row],[PREÇO/KG]],ROUND(TabelaVendas[QTD/KG]*TabelaVendas[[#This Row],[PREÇO/KG]],0))</f>
        <v>33</v>
      </c>
      <c r="N12" s="66">
        <f>TabelaVendas[[#This Row],[VENDA]]-TabelaVendas[[#This Row],[CUSTO]]</f>
        <v>35</v>
      </c>
      <c r="O12" s="67">
        <f>IFERROR(TabelaVendas[[#This Row],[LUCRO]]/TabelaVendas[[#This Row],[VENDA]],0)</f>
        <v>0.51470588235294112</v>
      </c>
    </row>
    <row r="13" spans="1:15" x14ac:dyDescent="0.25">
      <c r="A13" s="68">
        <v>42938</v>
      </c>
      <c r="B13" s="68" t="s">
        <v>215</v>
      </c>
      <c r="C13" s="63">
        <v>15.75</v>
      </c>
      <c r="D13" s="57">
        <f>IF(TEXT(TabelaVendas[[#This Row],[DATA]],"DDD")="SEG",D12+1,D12)</f>
        <v>2</v>
      </c>
      <c r="E13" s="69">
        <f>MONTH(TabelaVendas[[#This Row],[DATA]])</f>
        <v>7</v>
      </c>
      <c r="F13" s="69">
        <f>YEAR(TabelaVendas[[#This Row],[DATA]])</f>
        <v>2017</v>
      </c>
      <c r="G13" s="63" t="s">
        <v>21</v>
      </c>
      <c r="H13" s="63">
        <v>0.75</v>
      </c>
      <c r="I13" s="63">
        <v>10.5</v>
      </c>
      <c r="J13" s="72" t="str">
        <f>IF(TabelaVendas[[#This Row],[DATA]]="","-",PROPER(TEXT(TabelaVendas[[#This Row],[DATA]],"dddd")))</f>
        <v>Sábado</v>
      </c>
      <c r="K13" s="71">
        <f>IF(TabelaVendas[[#This Row],[PRODUTO]]&lt;&gt;"VENDA/35G", (1000/SUBSTITUTE(RIGHT(TabelaVendas[[#This Row],[PRODUTO]],3),"G","")*1),ROUNDUP(TabelaVendas[[#This Row],[VENDA]]/TabelaVendas[[#This Row],[PREÇO/UN.]],0))</f>
        <v>21</v>
      </c>
      <c r="L13" s="65">
        <f>(TabelaVendas[[#This Row],[QTD/PÃES]]*(SUBSTITUTE(RIGHT(TabelaVendas[[#This Row],[PRODUTO]],3),"G","")*1))/1000</f>
        <v>0.73499999999999999</v>
      </c>
      <c r="M13" s="66">
        <f>IF(TabelaVendas[[#This Row],[PRODUTO]]&lt;&gt;"VENDA/35G",TabelaVendas[[#This Row],[PREÇO/KG]],ROUND(TabelaVendas[QTD/KG]*TabelaVendas[[#This Row],[PREÇO/KG]],0))</f>
        <v>8</v>
      </c>
      <c r="N13" s="66">
        <f>TabelaVendas[[#This Row],[VENDA]]-TabelaVendas[[#This Row],[CUSTO]]</f>
        <v>7.75</v>
      </c>
      <c r="O13" s="67">
        <f>IFERROR(TabelaVendas[[#This Row],[LUCRO]]/TabelaVendas[[#This Row],[VENDA]],0)</f>
        <v>0.49206349206349204</v>
      </c>
    </row>
    <row r="14" spans="1:15" x14ac:dyDescent="0.25">
      <c r="A14" s="68">
        <v>42938</v>
      </c>
      <c r="B14" s="68" t="s">
        <v>215</v>
      </c>
      <c r="C14" s="63">
        <v>165.8</v>
      </c>
      <c r="D14" s="57">
        <f>IF(TEXT(TabelaVendas[[#This Row],[DATA]],"DDD")="SEG",D13+1,D13)</f>
        <v>2</v>
      </c>
      <c r="E14" s="69">
        <f>MONTH(TabelaVendas[[#This Row],[DATA]])</f>
        <v>7</v>
      </c>
      <c r="F14" s="69">
        <f>YEAR(TabelaVendas[[#This Row],[DATA]])</f>
        <v>2017</v>
      </c>
      <c r="G14" s="63" t="s">
        <v>20</v>
      </c>
      <c r="H14" s="63">
        <v>0.5</v>
      </c>
      <c r="I14" s="63">
        <v>8</v>
      </c>
      <c r="J14" s="72" t="str">
        <f>IF(TabelaVendas[[#This Row],[DATA]]="","-",PROPER(TEXT(TabelaVendas[[#This Row],[DATA]],"dddd")))</f>
        <v>Sábado</v>
      </c>
      <c r="K14" s="71">
        <f>IF(TabelaVendas[[#This Row],[PRODUTO]]&lt;&gt;"VENDA/35G", (1000/SUBSTITUTE(RIGHT(TabelaVendas[[#This Row],[PRODUTO]],3),"G","")*1),ROUNDUP(TabelaVendas[[#This Row],[VENDA]]/TabelaVendas[[#This Row],[PREÇO/UN.]],0))</f>
        <v>332</v>
      </c>
      <c r="L14" s="65">
        <f>(TabelaVendas[[#This Row],[QTD/PÃES]]*(SUBSTITUTE(RIGHT(TabelaVendas[[#This Row],[PRODUTO]],3),"G","")*1))/1000</f>
        <v>11.62</v>
      </c>
      <c r="M14" s="66">
        <f>IF(TabelaVendas[[#This Row],[PRODUTO]]&lt;&gt;"VENDA/35G",TabelaVendas[[#This Row],[PREÇO/KG]],ROUND(TabelaVendas[QTD/KG]*TabelaVendas[[#This Row],[PREÇO/KG]],0))</f>
        <v>93</v>
      </c>
      <c r="N14" s="66">
        <f>TabelaVendas[[#This Row],[VENDA]]-TabelaVendas[[#This Row],[CUSTO]]</f>
        <v>72.800000000000011</v>
      </c>
      <c r="O14" s="67">
        <f>IFERROR(TabelaVendas[[#This Row],[LUCRO]]/TabelaVendas[[#This Row],[VENDA]],0)</f>
        <v>0.43908323281061523</v>
      </c>
    </row>
    <row r="15" spans="1:15" x14ac:dyDescent="0.25">
      <c r="A15" s="68">
        <v>42940</v>
      </c>
      <c r="B15" s="68" t="s">
        <v>215</v>
      </c>
      <c r="C15" s="63">
        <v>34.75</v>
      </c>
      <c r="D15" s="57">
        <f>IF(TEXT(TabelaVendas[[#This Row],[DATA]],"DDD")="SEG",D14+1,D14)</f>
        <v>3</v>
      </c>
      <c r="E15" s="69">
        <f>MONTH(TabelaVendas[[#This Row],[DATA]])</f>
        <v>7</v>
      </c>
      <c r="F15" s="69">
        <f>YEAR(TabelaVendas[[#This Row],[DATA]])</f>
        <v>2017</v>
      </c>
      <c r="G15" s="63" t="s">
        <v>21</v>
      </c>
      <c r="H15" s="63">
        <v>0.75</v>
      </c>
      <c r="I15" s="63">
        <v>10.5</v>
      </c>
      <c r="J15" s="72" t="str">
        <f>IF(TabelaVendas[[#This Row],[DATA]]="","-",PROPER(TEXT(TabelaVendas[[#This Row],[DATA]],"dddd")))</f>
        <v>Segunda-Feira</v>
      </c>
      <c r="K15" s="71">
        <f>IF(TabelaVendas[[#This Row],[PRODUTO]]&lt;&gt;"VENDA/35G", (1000/SUBSTITUTE(RIGHT(TabelaVendas[[#This Row],[PRODUTO]],3),"G","")*1),ROUNDUP(TabelaVendas[[#This Row],[VENDA]]/TabelaVendas[[#This Row],[PREÇO/UN.]],0))</f>
        <v>47</v>
      </c>
      <c r="L15" s="65">
        <f>(TabelaVendas[[#This Row],[QTD/PÃES]]*(SUBSTITUTE(RIGHT(TabelaVendas[[#This Row],[PRODUTO]],3),"G","")*1))/1000</f>
        <v>1.645</v>
      </c>
      <c r="M15" s="66">
        <f>IF(TabelaVendas[[#This Row],[PRODUTO]]&lt;&gt;"VENDA/35G",TabelaVendas[[#This Row],[PREÇO/KG]],ROUND(TabelaVendas[QTD/KG]*TabelaVendas[[#This Row],[PREÇO/KG]],0))</f>
        <v>17</v>
      </c>
      <c r="N15" s="66">
        <f>TabelaVendas[[#This Row],[VENDA]]-TabelaVendas[[#This Row],[CUSTO]]</f>
        <v>17.75</v>
      </c>
      <c r="O15" s="67">
        <f>IFERROR(TabelaVendas[[#This Row],[LUCRO]]/TabelaVendas[[#This Row],[VENDA]],0)</f>
        <v>0.51079136690647486</v>
      </c>
    </row>
    <row r="16" spans="1:15" x14ac:dyDescent="0.25">
      <c r="A16" s="68">
        <v>42941</v>
      </c>
      <c r="B16" s="68" t="s">
        <v>215</v>
      </c>
      <c r="C16" s="63">
        <v>86.25</v>
      </c>
      <c r="D16" s="57">
        <f>IF(TEXT(TabelaVendas[[#This Row],[DATA]],"DDD")="SEG",D15+1,D15)</f>
        <v>3</v>
      </c>
      <c r="E16" s="69">
        <f>MONTH(TabelaVendas[[#This Row],[DATA]])</f>
        <v>7</v>
      </c>
      <c r="F16" s="69">
        <f>YEAR(TabelaVendas[[#This Row],[DATA]])</f>
        <v>2017</v>
      </c>
      <c r="G16" s="63" t="s">
        <v>21</v>
      </c>
      <c r="H16" s="63">
        <v>0.75</v>
      </c>
      <c r="I16" s="63">
        <v>10.5</v>
      </c>
      <c r="J16" s="72" t="str">
        <f>IF(TabelaVendas[[#This Row],[DATA]]="","-",PROPER(TEXT(TabelaVendas[[#This Row],[DATA]],"dddd")))</f>
        <v>Terça-Feira</v>
      </c>
      <c r="K16" s="71">
        <f>IF(TabelaVendas[[#This Row],[PRODUTO]]&lt;&gt;"VENDA/35G", (1000/SUBSTITUTE(RIGHT(TabelaVendas[[#This Row],[PRODUTO]],3),"G","")*1),ROUNDUP(TabelaVendas[[#This Row],[VENDA]]/TabelaVendas[[#This Row],[PREÇO/UN.]],0))</f>
        <v>115</v>
      </c>
      <c r="L16" s="65">
        <f>(TabelaVendas[[#This Row],[QTD/PÃES]]*(SUBSTITUTE(RIGHT(TabelaVendas[[#This Row],[PRODUTO]],3),"G","")*1))/1000</f>
        <v>4.0250000000000004</v>
      </c>
      <c r="M16" s="66">
        <f>IF(TabelaVendas[[#This Row],[PRODUTO]]&lt;&gt;"VENDA/35G",TabelaVendas[[#This Row],[PREÇO/KG]],ROUND(TabelaVendas[QTD/KG]*TabelaVendas[[#This Row],[PREÇO/KG]],0))</f>
        <v>42</v>
      </c>
      <c r="N16" s="66">
        <f>TabelaVendas[[#This Row],[VENDA]]-TabelaVendas[[#This Row],[CUSTO]]</f>
        <v>44.25</v>
      </c>
      <c r="O16" s="67">
        <f>IFERROR(TabelaVendas[[#This Row],[LUCRO]]/TabelaVendas[[#This Row],[VENDA]],0)</f>
        <v>0.5130434782608696</v>
      </c>
    </row>
    <row r="17" spans="1:15" x14ac:dyDescent="0.25">
      <c r="A17" s="68">
        <v>42942</v>
      </c>
      <c r="B17" s="68" t="s">
        <v>215</v>
      </c>
      <c r="C17" s="63">
        <v>46.5</v>
      </c>
      <c r="D17" s="57">
        <f>IF(TEXT(TabelaVendas[[#This Row],[DATA]],"DDD")="SEG",D16+1,D16)</f>
        <v>3</v>
      </c>
      <c r="E17" s="69">
        <f>MONTH(TabelaVendas[[#This Row],[DATA]])</f>
        <v>7</v>
      </c>
      <c r="F17" s="69">
        <f>YEAR(TabelaVendas[[#This Row],[DATA]])</f>
        <v>2017</v>
      </c>
      <c r="G17" s="63" t="s">
        <v>21</v>
      </c>
      <c r="H17" s="63">
        <v>0.75</v>
      </c>
      <c r="I17" s="63">
        <v>10.5</v>
      </c>
      <c r="J17" s="72" t="str">
        <f>IF(TabelaVendas[[#This Row],[DATA]]="","-",PROPER(TEXT(TabelaVendas[[#This Row],[DATA]],"dddd")))</f>
        <v>Quarta-Feira</v>
      </c>
      <c r="K17" s="71">
        <f>IF(TabelaVendas[[#This Row],[PRODUTO]]&lt;&gt;"VENDA/35G", (1000/SUBSTITUTE(RIGHT(TabelaVendas[[#This Row],[PRODUTO]],3),"G","")*1),ROUNDUP(TabelaVendas[[#This Row],[VENDA]]/TabelaVendas[[#This Row],[PREÇO/UN.]],0))</f>
        <v>62</v>
      </c>
      <c r="L17" s="65">
        <f>(TabelaVendas[[#This Row],[QTD/PÃES]]*(SUBSTITUTE(RIGHT(TabelaVendas[[#This Row],[PRODUTO]],3),"G","")*1))/1000</f>
        <v>2.17</v>
      </c>
      <c r="M17" s="66">
        <f>IF(TabelaVendas[[#This Row],[PRODUTO]]&lt;&gt;"VENDA/35G",TabelaVendas[[#This Row],[PREÇO/KG]],ROUND(TabelaVendas[QTD/KG]*TabelaVendas[[#This Row],[PREÇO/KG]],0))</f>
        <v>23</v>
      </c>
      <c r="N17" s="66">
        <f>TabelaVendas[[#This Row],[VENDA]]-TabelaVendas[[#This Row],[CUSTO]]</f>
        <v>23.5</v>
      </c>
      <c r="O17" s="67">
        <f>IFERROR(TabelaVendas[[#This Row],[LUCRO]]/TabelaVendas[[#This Row],[VENDA]],0)</f>
        <v>0.5053763440860215</v>
      </c>
    </row>
    <row r="18" spans="1:15" x14ac:dyDescent="0.25">
      <c r="A18" s="68">
        <v>42943</v>
      </c>
      <c r="B18" s="68" t="s">
        <v>215</v>
      </c>
      <c r="C18" s="63">
        <v>96.55</v>
      </c>
      <c r="D18" s="57">
        <f>IF(TEXT(TabelaVendas[[#This Row],[DATA]],"DDD")="SEG",D17+1,D17)</f>
        <v>3</v>
      </c>
      <c r="E18" s="69">
        <f>MONTH(TabelaVendas[[#This Row],[DATA]])</f>
        <v>7</v>
      </c>
      <c r="F18" s="69">
        <f>YEAR(TabelaVendas[[#This Row],[DATA]])</f>
        <v>2017</v>
      </c>
      <c r="G18" s="63" t="s">
        <v>21</v>
      </c>
      <c r="H18" s="63">
        <v>0.75</v>
      </c>
      <c r="I18" s="63">
        <v>10.5</v>
      </c>
      <c r="J18" s="72" t="str">
        <f>IF(TabelaVendas[[#This Row],[DATA]]="","-",PROPER(TEXT(TabelaVendas[[#This Row],[DATA]],"dddd")))</f>
        <v>Quinta-Feira</v>
      </c>
      <c r="K18" s="71">
        <f>IF(TabelaVendas[[#This Row],[PRODUTO]]&lt;&gt;"VENDA/35G", (1000/SUBSTITUTE(RIGHT(TabelaVendas[[#This Row],[PRODUTO]],3),"G","")*1),ROUNDUP(TabelaVendas[[#This Row],[VENDA]]/TabelaVendas[[#This Row],[PREÇO/UN.]],0))</f>
        <v>129</v>
      </c>
      <c r="L18" s="65">
        <f>(TabelaVendas[[#This Row],[QTD/PÃES]]*(SUBSTITUTE(RIGHT(TabelaVendas[[#This Row],[PRODUTO]],3),"G","")*1))/1000</f>
        <v>4.5149999999999997</v>
      </c>
      <c r="M18" s="66">
        <f>IF(TabelaVendas[[#This Row],[PRODUTO]]&lt;&gt;"VENDA/35G",TabelaVendas[[#This Row],[PREÇO/KG]],ROUND(TabelaVendas[QTD/KG]*TabelaVendas[[#This Row],[PREÇO/KG]],0))</f>
        <v>47</v>
      </c>
      <c r="N18" s="66">
        <f>TabelaVendas[[#This Row],[VENDA]]-TabelaVendas[[#This Row],[CUSTO]]</f>
        <v>49.55</v>
      </c>
      <c r="O18" s="67">
        <f>IFERROR(TabelaVendas[[#This Row],[LUCRO]]/TabelaVendas[[#This Row],[VENDA]],0)</f>
        <v>0.51320559295701706</v>
      </c>
    </row>
    <row r="19" spans="1:15" x14ac:dyDescent="0.25">
      <c r="A19" s="68">
        <v>42944</v>
      </c>
      <c r="B19" s="68" t="s">
        <v>215</v>
      </c>
      <c r="C19" s="63">
        <v>96.75</v>
      </c>
      <c r="D19" s="57">
        <f>IF(TEXT(TabelaVendas[[#This Row],[DATA]],"DDD")="SEG",D18+1,D18)</f>
        <v>3</v>
      </c>
      <c r="E19" s="69">
        <f>MONTH(TabelaVendas[[#This Row],[DATA]])</f>
        <v>7</v>
      </c>
      <c r="F19" s="69">
        <f>YEAR(TabelaVendas[[#This Row],[DATA]])</f>
        <v>2017</v>
      </c>
      <c r="G19" s="63" t="s">
        <v>21</v>
      </c>
      <c r="H19" s="63">
        <v>0.75</v>
      </c>
      <c r="I19" s="63">
        <v>10.5</v>
      </c>
      <c r="J19" s="72" t="str">
        <f>IF(TabelaVendas[[#This Row],[DATA]]="","-",PROPER(TEXT(TabelaVendas[[#This Row],[DATA]],"dddd")))</f>
        <v>Sexta-Feira</v>
      </c>
      <c r="K19" s="71">
        <f>IF(TabelaVendas[[#This Row],[PRODUTO]]&lt;&gt;"VENDA/35G", (1000/SUBSTITUTE(RIGHT(TabelaVendas[[#This Row],[PRODUTO]],3),"G","")*1),ROUNDUP(TabelaVendas[[#This Row],[VENDA]]/TabelaVendas[[#This Row],[PREÇO/UN.]],0))</f>
        <v>129</v>
      </c>
      <c r="L19" s="65">
        <f>(TabelaVendas[[#This Row],[QTD/PÃES]]*(SUBSTITUTE(RIGHT(TabelaVendas[[#This Row],[PRODUTO]],3),"G","")*1))/1000</f>
        <v>4.5149999999999997</v>
      </c>
      <c r="M19" s="66">
        <f>IF(TabelaVendas[[#This Row],[PRODUTO]]&lt;&gt;"VENDA/35G",TabelaVendas[[#This Row],[PREÇO/KG]],ROUND(TabelaVendas[QTD/KG]*TabelaVendas[[#This Row],[PREÇO/KG]],0))</f>
        <v>47</v>
      </c>
      <c r="N19" s="66">
        <f>TabelaVendas[[#This Row],[VENDA]]-TabelaVendas[[#This Row],[CUSTO]]</f>
        <v>49.75</v>
      </c>
      <c r="O19" s="67">
        <f>IFERROR(TabelaVendas[[#This Row],[LUCRO]]/TabelaVendas[[#This Row],[VENDA]],0)</f>
        <v>0.51421188630490955</v>
      </c>
    </row>
    <row r="20" spans="1:15" x14ac:dyDescent="0.25">
      <c r="A20" s="68">
        <v>42945</v>
      </c>
      <c r="B20" s="68" t="s">
        <v>215</v>
      </c>
      <c r="C20" s="63">
        <v>182.8</v>
      </c>
      <c r="D20" s="57">
        <f>IF(TEXT(TabelaVendas[[#This Row],[DATA]],"DDD")="SEG",D19+1,D19)</f>
        <v>3</v>
      </c>
      <c r="E20" s="69">
        <f>MONTH(TabelaVendas[[#This Row],[DATA]])</f>
        <v>7</v>
      </c>
      <c r="F20" s="69">
        <f>YEAR(TabelaVendas[[#This Row],[DATA]])</f>
        <v>2017</v>
      </c>
      <c r="G20" s="63" t="s">
        <v>20</v>
      </c>
      <c r="H20" s="63">
        <v>0.5</v>
      </c>
      <c r="I20" s="63">
        <v>8</v>
      </c>
      <c r="J20" s="72" t="str">
        <f>IF(TabelaVendas[[#This Row],[DATA]]="","-",PROPER(TEXT(TabelaVendas[[#This Row],[DATA]],"dddd")))</f>
        <v>Sábado</v>
      </c>
      <c r="K20" s="71">
        <f>IF(TabelaVendas[[#This Row],[PRODUTO]]&lt;&gt;"VENDA/35G", (1000/SUBSTITUTE(RIGHT(TabelaVendas[[#This Row],[PRODUTO]],3),"G","")*1),ROUNDUP(TabelaVendas[[#This Row],[VENDA]]/TabelaVendas[[#This Row],[PREÇO/UN.]],0))</f>
        <v>366</v>
      </c>
      <c r="L20" s="65">
        <f>(TabelaVendas[[#This Row],[QTD/PÃES]]*(SUBSTITUTE(RIGHT(TabelaVendas[[#This Row],[PRODUTO]],3),"G","")*1))/1000</f>
        <v>12.81</v>
      </c>
      <c r="M20" s="66">
        <f>IF(TabelaVendas[[#This Row],[PRODUTO]]&lt;&gt;"VENDA/35G",TabelaVendas[[#This Row],[PREÇO/KG]],ROUND(TabelaVendas[QTD/KG]*TabelaVendas[[#This Row],[PREÇO/KG]],0))</f>
        <v>102</v>
      </c>
      <c r="N20" s="66">
        <f>TabelaVendas[[#This Row],[VENDA]]-TabelaVendas[[#This Row],[CUSTO]]</f>
        <v>80.800000000000011</v>
      </c>
      <c r="O20" s="67">
        <f>IFERROR(TabelaVendas[[#This Row],[LUCRO]]/TabelaVendas[[#This Row],[VENDA]],0)</f>
        <v>0.44201312910284468</v>
      </c>
    </row>
    <row r="21" spans="1:15" x14ac:dyDescent="0.25">
      <c r="A21" s="68">
        <v>42947</v>
      </c>
      <c r="B21" s="68" t="s">
        <v>215</v>
      </c>
      <c r="C21" s="63">
        <v>62.2</v>
      </c>
      <c r="D21" s="57">
        <f>IF(TEXT(TabelaVendas[[#This Row],[DATA]],"DDD")="SEG",D20+1,D20)</f>
        <v>4</v>
      </c>
      <c r="E21" s="69">
        <f>MONTH(TabelaVendas[[#This Row],[DATA]])</f>
        <v>7</v>
      </c>
      <c r="F21" s="69">
        <f>YEAR(TabelaVendas[[#This Row],[DATA]])</f>
        <v>2017</v>
      </c>
      <c r="G21" s="63" t="s">
        <v>21</v>
      </c>
      <c r="H21" s="63">
        <v>0.75</v>
      </c>
      <c r="I21" s="63">
        <v>10.5</v>
      </c>
      <c r="J21" s="72" t="str">
        <f>IF(TabelaVendas[[#This Row],[DATA]]="","-",PROPER(TEXT(TabelaVendas[[#This Row],[DATA]],"dddd")))</f>
        <v>Segunda-Feira</v>
      </c>
      <c r="K21" s="71">
        <f>IF(TabelaVendas[[#This Row],[PRODUTO]]&lt;&gt;"VENDA/35G", (1000/SUBSTITUTE(RIGHT(TabelaVendas[[#This Row],[PRODUTO]],3),"G","")*1),ROUNDUP(TabelaVendas[[#This Row],[VENDA]]/TabelaVendas[[#This Row],[PREÇO/UN.]],0))</f>
        <v>83</v>
      </c>
      <c r="L21" s="65">
        <f>(TabelaVendas[[#This Row],[QTD/PÃES]]*(SUBSTITUTE(RIGHT(TabelaVendas[[#This Row],[PRODUTO]],3),"G","")*1))/1000</f>
        <v>2.9049999999999998</v>
      </c>
      <c r="M21" s="66">
        <f>IF(TabelaVendas[[#This Row],[PRODUTO]]&lt;&gt;"VENDA/35G",TabelaVendas[[#This Row],[PREÇO/KG]],ROUND(TabelaVendas[QTD/KG]*TabelaVendas[[#This Row],[PREÇO/KG]],0))</f>
        <v>31</v>
      </c>
      <c r="N21" s="66">
        <f>TabelaVendas[[#This Row],[VENDA]]-TabelaVendas[[#This Row],[CUSTO]]</f>
        <v>31.200000000000003</v>
      </c>
      <c r="O21" s="67">
        <f>IFERROR(TabelaVendas[[#This Row],[LUCRO]]/TabelaVendas[[#This Row],[VENDA]],0)</f>
        <v>0.50160771704180063</v>
      </c>
    </row>
    <row r="22" spans="1:15" x14ac:dyDescent="0.25">
      <c r="A22" s="68">
        <v>42948</v>
      </c>
      <c r="B22" s="68" t="s">
        <v>215</v>
      </c>
      <c r="C22" s="63">
        <v>134.05000000000001</v>
      </c>
      <c r="D22" s="57">
        <f>IF(TEXT(TabelaVendas[[#This Row],[DATA]],"DDD")="SEG",D21+1,D21)</f>
        <v>4</v>
      </c>
      <c r="E22" s="69">
        <f>MONTH(TabelaVendas[[#This Row],[DATA]])</f>
        <v>8</v>
      </c>
      <c r="F22" s="69">
        <f>YEAR(TabelaVendas[[#This Row],[DATA]])</f>
        <v>2017</v>
      </c>
      <c r="G22" s="63" t="s">
        <v>21</v>
      </c>
      <c r="H22" s="63">
        <v>0.75</v>
      </c>
      <c r="I22" s="63">
        <v>10.5</v>
      </c>
      <c r="J22" s="72" t="str">
        <f>IF(TabelaVendas[[#This Row],[DATA]]="","-",PROPER(TEXT(TabelaVendas[[#This Row],[DATA]],"dddd")))</f>
        <v>Terça-Feira</v>
      </c>
      <c r="K22" s="71">
        <f>IF(TabelaVendas[[#This Row],[PRODUTO]]&lt;&gt;"VENDA/35G", (1000/SUBSTITUTE(RIGHT(TabelaVendas[[#This Row],[PRODUTO]],3),"G","")*1),ROUNDUP(TabelaVendas[[#This Row],[VENDA]]/TabelaVendas[[#This Row],[PREÇO/UN.]],0))</f>
        <v>179</v>
      </c>
      <c r="L22" s="65">
        <f>(TabelaVendas[[#This Row],[QTD/PÃES]]*(SUBSTITUTE(RIGHT(TabelaVendas[[#This Row],[PRODUTO]],3),"G","")*1))/1000</f>
        <v>6.2649999999999997</v>
      </c>
      <c r="M22" s="66">
        <f>IF(TabelaVendas[[#This Row],[PRODUTO]]&lt;&gt;"VENDA/35G",TabelaVendas[[#This Row],[PREÇO/KG]],ROUND(TabelaVendas[QTD/KG]*TabelaVendas[[#This Row],[PREÇO/KG]],0))</f>
        <v>66</v>
      </c>
      <c r="N22" s="66">
        <f>TabelaVendas[[#This Row],[VENDA]]-TabelaVendas[[#This Row],[CUSTO]]</f>
        <v>68.050000000000011</v>
      </c>
      <c r="O22" s="67">
        <f>IFERROR(TabelaVendas[[#This Row],[LUCRO]]/TabelaVendas[[#This Row],[VENDA]],0)</f>
        <v>0.50764640059679234</v>
      </c>
    </row>
    <row r="23" spans="1:15" x14ac:dyDescent="0.25">
      <c r="A23" s="73" t="str">
        <f t="array" ref="A23">"TOTAL DE: "&amp; SUM(IF(A2&lt;&gt;A2:A22,1,0)) - COUNTBLANK(TabelaVendas[DATA]) &amp; " DIAS "</f>
        <v xml:space="preserve">TOTAL DE: 20 DIAS </v>
      </c>
      <c r="B23" s="73"/>
      <c r="C23" s="74">
        <f>SUBTOTAL(109,TabelaVendas[VENDA])</f>
        <v>1521.3999999999999</v>
      </c>
      <c r="D23" s="73"/>
      <c r="E23" s="73"/>
      <c r="F23" s="73"/>
      <c r="G23" s="74"/>
      <c r="H23" s="74">
        <f>SUBTOTAL(101,TabelaVendas[PREÇO/UN.])</f>
        <v>0.72619047619047616</v>
      </c>
      <c r="I23" s="74">
        <f>SUBTOTAL(101,TabelaVendas[PREÇO/KG])</f>
        <v>10.261904761904763</v>
      </c>
      <c r="J23" s="74"/>
      <c r="K23" s="75">
        <f>SUBTOTAL(109,TabelaVendas[QTD/PÃES])</f>
        <v>2264</v>
      </c>
      <c r="L23" s="76">
        <f>SUBTOTAL(109,TabelaVendas[QTD/KG])</f>
        <v>79.240000000000009</v>
      </c>
      <c r="M23" s="74">
        <f>SUBTOTAL(109,TabelaVendas[CUSTO])</f>
        <v>770</v>
      </c>
      <c r="N23" s="74">
        <f>SUBTOTAL(109,TabelaVendas[LUCRO])</f>
        <v>751.40000000000009</v>
      </c>
      <c r="O23" s="77">
        <f>SUBTOTAL(101,TabelaVendas[LUCRO %])</f>
        <v>0.50118877827140962</v>
      </c>
    </row>
    <row r="24" spans="1:15" x14ac:dyDescent="0.25">
      <c r="A24" s="73"/>
      <c r="B24" s="73"/>
      <c r="C24" s="73"/>
      <c r="D24" s="74"/>
      <c r="E24" s="74"/>
      <c r="F24" s="74"/>
      <c r="G24" s="74"/>
      <c r="H24" s="74"/>
      <c r="I24" s="75"/>
      <c r="J24" s="76"/>
      <c r="K24" s="74"/>
      <c r="L24" s="74"/>
      <c r="M24" s="77"/>
    </row>
    <row r="25" spans="1:15" x14ac:dyDescent="0.25">
      <c r="E25" s="78"/>
      <c r="L25" s="79"/>
      <c r="N25" s="78"/>
    </row>
    <row r="26" spans="1:15" x14ac:dyDescent="0.25">
      <c r="C26" s="78"/>
      <c r="F26" s="78"/>
    </row>
  </sheetData>
  <conditionalFormatting sqref="M24 O23 A2:O22">
    <cfRule type="expression" dxfId="9" priority="12">
      <formula>$A2=TODAY()</formula>
    </cfRule>
  </conditionalFormatting>
  <dataValidations count="2">
    <dataValidation type="list" allowBlank="1" showInputMessage="1" showErrorMessage="1" sqref="E24 G2:G22">
      <formula1>"VAZAME,TEREZA"</formula1>
    </dataValidation>
    <dataValidation type="list" allowBlank="1" showInputMessage="1" showErrorMessage="1" sqref="B2:B22">
      <formula1>"VENDA/20G,VENDA/35G,VENDA/45G"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1" tint="0.34998626667073579"/>
  </sheetPr>
  <dimension ref="A1:F16"/>
  <sheetViews>
    <sheetView showGridLines="0" workbookViewId="0">
      <selection activeCell="G18" sqref="G18"/>
    </sheetView>
  </sheetViews>
  <sheetFormatPr defaultRowHeight="15" x14ac:dyDescent="0.25"/>
  <cols>
    <col min="1" max="1" width="10.7109375" bestFit="1" customWidth="1"/>
    <col min="2" max="2" width="4.85546875" bestFit="1" customWidth="1"/>
    <col min="3" max="3" width="5.140625" bestFit="1" customWidth="1"/>
    <col min="4" max="4" width="19" bestFit="1" customWidth="1"/>
    <col min="5" max="5" width="10.5703125" bestFit="1" customWidth="1"/>
    <col min="6" max="6" width="12.42578125" bestFit="1" customWidth="1"/>
    <col min="7" max="8" width="17" bestFit="1" customWidth="1"/>
    <col min="9" max="9" width="11.140625" bestFit="1" customWidth="1"/>
  </cols>
  <sheetData>
    <row r="1" spans="1:6" x14ac:dyDescent="0.25">
      <c r="A1" s="1" t="s">
        <v>0</v>
      </c>
      <c r="B1" s="1" t="s">
        <v>4</v>
      </c>
      <c r="C1" s="1" t="s">
        <v>3</v>
      </c>
      <c r="D1" s="8" t="s">
        <v>12</v>
      </c>
      <c r="E1" s="2" t="s">
        <v>13</v>
      </c>
      <c r="F1" s="1" t="s">
        <v>2</v>
      </c>
    </row>
    <row r="2" spans="1:6" x14ac:dyDescent="0.25">
      <c r="A2" s="3">
        <v>42939</v>
      </c>
      <c r="B2" s="4">
        <f>MONTH(TabelaDespesas[[#This Row],[DATA]])</f>
        <v>7</v>
      </c>
      <c r="C2" s="4">
        <f>YEAR(TabelaDespesas[[#This Row],[DATA]])</f>
        <v>2017</v>
      </c>
      <c r="D2" s="9" t="s">
        <v>22</v>
      </c>
      <c r="E2" s="2">
        <v>40</v>
      </c>
      <c r="F2" s="3" t="str">
        <f>IF(TabelaDespesas[DATA]="","-",PROPER(TEXT(TabelaDespesas[DATA],"dddd")))</f>
        <v>Domingo</v>
      </c>
    </row>
    <row r="3" spans="1:6" x14ac:dyDescent="0.25">
      <c r="A3" s="3">
        <v>42941</v>
      </c>
      <c r="B3" s="4">
        <f>MONTH(TabelaDespesas[[#This Row],[DATA]])</f>
        <v>7</v>
      </c>
      <c r="C3" s="4">
        <f>YEAR(TabelaDespesas[[#This Row],[DATA]])</f>
        <v>2017</v>
      </c>
      <c r="D3" s="9" t="s">
        <v>23</v>
      </c>
      <c r="E3" s="2">
        <v>2</v>
      </c>
      <c r="F3" s="3" t="str">
        <f>IF(TabelaDespesas[DATA]="","-",PROPER(TEXT(TabelaDespesas[DATA],"dddd")))</f>
        <v>Terça-Feira</v>
      </c>
    </row>
    <row r="4" spans="1:6" x14ac:dyDescent="0.25">
      <c r="A4" s="3">
        <v>42937</v>
      </c>
      <c r="B4" s="4">
        <f>MONTH(TabelaDespesas[[#This Row],[DATA]])</f>
        <v>7</v>
      </c>
      <c r="C4" s="4">
        <f>YEAR(TabelaDespesas[[#This Row],[DATA]])</f>
        <v>2017</v>
      </c>
      <c r="D4" s="9" t="s">
        <v>24</v>
      </c>
      <c r="E4" s="2">
        <v>10</v>
      </c>
      <c r="F4" s="3" t="str">
        <f>IF(TabelaDespesas[DATA]="","-",PROPER(TEXT(TabelaDespesas[DATA],"dddd")))</f>
        <v>Sexta-Feira</v>
      </c>
    </row>
    <row r="5" spans="1:6" x14ac:dyDescent="0.25">
      <c r="A5" s="3">
        <v>42942</v>
      </c>
      <c r="B5" s="4">
        <f>MONTH(TabelaDespesas[[#This Row],[DATA]])</f>
        <v>7</v>
      </c>
      <c r="C5" s="4">
        <f>YEAR(TabelaDespesas[[#This Row],[DATA]])</f>
        <v>2017</v>
      </c>
      <c r="D5" s="9" t="s">
        <v>25</v>
      </c>
      <c r="E5" s="2">
        <v>10</v>
      </c>
      <c r="F5" s="3" t="str">
        <f>IF(TabelaDespesas[DATA]="","-",PROPER(TEXT(TabelaDespesas[DATA],"dddd")))</f>
        <v>Quarta-Feira</v>
      </c>
    </row>
    <row r="6" spans="1:6" x14ac:dyDescent="0.25">
      <c r="A6" s="3">
        <v>42942</v>
      </c>
      <c r="B6" s="4">
        <f>MONTH(TabelaDespesas[[#This Row],[DATA]])</f>
        <v>7</v>
      </c>
      <c r="C6" s="4">
        <f>YEAR(TabelaDespesas[[#This Row],[DATA]])</f>
        <v>2017</v>
      </c>
      <c r="D6" s="9" t="s">
        <v>26</v>
      </c>
      <c r="E6" s="2">
        <v>2.5</v>
      </c>
      <c r="F6" s="3" t="str">
        <f>IF(TabelaDespesas[DATA]="","-",PROPER(TEXT(TabelaDespesas[DATA],"dddd")))</f>
        <v>Quarta-Feira</v>
      </c>
    </row>
    <row r="7" spans="1:6" x14ac:dyDescent="0.25">
      <c r="A7" s="3">
        <v>42938</v>
      </c>
      <c r="B7" s="4">
        <f>MONTH(TabelaDespesas[[#This Row],[DATA]])</f>
        <v>7</v>
      </c>
      <c r="C7" s="4">
        <f>YEAR(TabelaDespesas[[#This Row],[DATA]])</f>
        <v>2017</v>
      </c>
      <c r="D7" s="9" t="s">
        <v>27</v>
      </c>
      <c r="E7" s="2">
        <v>100</v>
      </c>
      <c r="F7" s="3" t="str">
        <f>IF(TabelaDespesas[DATA]="","-",PROPER(TEXT(TabelaDespesas[DATA],"dddd")))</f>
        <v>Sábado</v>
      </c>
    </row>
    <row r="8" spans="1:6" x14ac:dyDescent="0.25">
      <c r="A8" s="3">
        <v>42938</v>
      </c>
      <c r="B8" s="4">
        <f>MONTH(TabelaDespesas[[#This Row],[DATA]])</f>
        <v>7</v>
      </c>
      <c r="C8" s="4">
        <f>YEAR(TabelaDespesas[[#This Row],[DATA]])</f>
        <v>2017</v>
      </c>
      <c r="D8" s="9" t="s">
        <v>28</v>
      </c>
      <c r="E8" s="2">
        <v>5</v>
      </c>
      <c r="F8" s="3" t="str">
        <f>IF(TabelaDespesas[DATA]="","-",PROPER(TEXT(TabelaDespesas[DATA],"dddd")))</f>
        <v>Sábado</v>
      </c>
    </row>
    <row r="9" spans="1:6" x14ac:dyDescent="0.25">
      <c r="A9" s="3">
        <v>42942</v>
      </c>
      <c r="B9" s="4">
        <f>MONTH(TabelaDespesas[[#This Row],[DATA]])</f>
        <v>7</v>
      </c>
      <c r="C9" s="4">
        <f>YEAR(TabelaDespesas[[#This Row],[DATA]])</f>
        <v>2017</v>
      </c>
      <c r="D9" s="9" t="s">
        <v>29</v>
      </c>
      <c r="E9" s="2">
        <v>6</v>
      </c>
      <c r="F9" s="3" t="str">
        <f>IF(TabelaDespesas[DATA]="","-",PROPER(TEXT(TabelaDespesas[DATA],"dddd")))</f>
        <v>Quarta-Feira</v>
      </c>
    </row>
    <row r="10" spans="1:6" x14ac:dyDescent="0.25">
      <c r="A10" s="3">
        <v>42943</v>
      </c>
      <c r="B10" s="4">
        <f>MONTH(TabelaDespesas[[#This Row],[DATA]])</f>
        <v>7</v>
      </c>
      <c r="C10" s="4">
        <f>YEAR(TabelaDespesas[[#This Row],[DATA]])</f>
        <v>2017</v>
      </c>
      <c r="D10" s="9" t="s">
        <v>30</v>
      </c>
      <c r="E10" s="2">
        <v>40</v>
      </c>
      <c r="F10" s="3" t="str">
        <f>IF(TabelaDespesas[DATA]="","-",PROPER(TEXT(TabelaDespesas[DATA],"dddd")))</f>
        <v>Quinta-Feira</v>
      </c>
    </row>
    <row r="11" spans="1:6" x14ac:dyDescent="0.25">
      <c r="A11" s="3">
        <v>42944</v>
      </c>
      <c r="B11" s="4">
        <f>MONTH(TabelaDespesas[[#This Row],[DATA]])</f>
        <v>7</v>
      </c>
      <c r="C11" s="4">
        <f>YEAR(TabelaDespesas[[#This Row],[DATA]])</f>
        <v>2017</v>
      </c>
      <c r="D11" s="9" t="s">
        <v>29</v>
      </c>
      <c r="E11" s="2">
        <v>6</v>
      </c>
      <c r="F11" s="3" t="str">
        <f>IF(TabelaDespesas[DATA]="","-",PROPER(TEXT(TabelaDespesas[DATA],"dddd")))</f>
        <v>Sexta-Feira</v>
      </c>
    </row>
    <row r="12" spans="1:6" x14ac:dyDescent="0.25">
      <c r="A12" s="3">
        <v>42943</v>
      </c>
      <c r="B12" s="4">
        <f>MONTH(TabelaDespesas[[#This Row],[DATA]])</f>
        <v>7</v>
      </c>
      <c r="C12" s="4">
        <f>YEAR(TabelaDespesas[[#This Row],[DATA]])</f>
        <v>2017</v>
      </c>
      <c r="D12" s="9" t="s">
        <v>26</v>
      </c>
      <c r="E12" s="2">
        <v>2.5</v>
      </c>
      <c r="F12" s="3" t="str">
        <f>IF(TabelaDespesas[DATA]="","-",PROPER(TEXT(TabelaDespesas[DATA],"dddd")))</f>
        <v>Quinta-Feira</v>
      </c>
    </row>
    <row r="13" spans="1:6" x14ac:dyDescent="0.25">
      <c r="A13" s="3">
        <v>42943</v>
      </c>
      <c r="B13" s="4">
        <f>MONTH(TabelaDespesas[[#This Row],[DATA]])</f>
        <v>7</v>
      </c>
      <c r="C13" s="4">
        <f>YEAR(TabelaDespesas[[#This Row],[DATA]])</f>
        <v>2017</v>
      </c>
      <c r="D13" s="9" t="s">
        <v>29</v>
      </c>
      <c r="E13" s="2">
        <v>17</v>
      </c>
      <c r="F13" s="3" t="str">
        <f>IF(TabelaDespesas[DATA]="","-",PROPER(TEXT(TabelaDespesas[DATA],"dddd")))</f>
        <v>Quinta-Feira</v>
      </c>
    </row>
    <row r="14" spans="1:6" x14ac:dyDescent="0.25">
      <c r="A14" s="3">
        <v>42945</v>
      </c>
      <c r="B14" s="4">
        <f>MONTH(TabelaDespesas[[#This Row],[DATA]])</f>
        <v>7</v>
      </c>
      <c r="C14" s="4">
        <f>YEAR(TabelaDespesas[[#This Row],[DATA]])</f>
        <v>2017</v>
      </c>
      <c r="D14" s="9" t="s">
        <v>27</v>
      </c>
      <c r="E14" s="2">
        <v>102</v>
      </c>
      <c r="F14" s="3" t="str">
        <f>IF(TabelaDespesas[DATA]="","-",PROPER(TEXT(TabelaDespesas[DATA],"dddd")))</f>
        <v>Sábado</v>
      </c>
    </row>
    <row r="15" spans="1:6" x14ac:dyDescent="0.25">
      <c r="A15" s="3">
        <v>42945</v>
      </c>
      <c r="B15" s="4">
        <f>MONTH(TabelaDespesas[[#This Row],[DATA]])</f>
        <v>7</v>
      </c>
      <c r="C15" s="4">
        <f>YEAR(TabelaDespesas[[#This Row],[DATA]])</f>
        <v>2017</v>
      </c>
      <c r="D15" s="9" t="s">
        <v>202</v>
      </c>
      <c r="E15" s="2">
        <v>630</v>
      </c>
      <c r="F15" s="3" t="str">
        <f>IF(TabelaDespesas[DATA]="","-",PROPER(TEXT(TabelaDespesas[DATA],"dddd")))</f>
        <v>Sábado</v>
      </c>
    </row>
    <row r="16" spans="1:6" x14ac:dyDescent="0.25">
      <c r="A16" s="3"/>
      <c r="B16" s="3"/>
      <c r="C16" s="3"/>
      <c r="D16" s="3"/>
      <c r="E16" s="2">
        <f>SUBTOTAL(109,TabelaDespesas[VALOR])</f>
        <v>973</v>
      </c>
      <c r="F16" s="3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1" tint="0.34998626667073579"/>
  </sheetPr>
  <dimension ref="A1:D14"/>
  <sheetViews>
    <sheetView showGridLines="0" tabSelected="1" zoomScaleNormal="100" workbookViewId="0">
      <selection activeCell="C1" sqref="C1"/>
    </sheetView>
  </sheetViews>
  <sheetFormatPr defaultRowHeight="15" x14ac:dyDescent="0.25"/>
  <cols>
    <col min="1" max="1" width="9.85546875" bestFit="1" customWidth="1"/>
    <col min="2" max="2" width="14.5703125" bestFit="1" customWidth="1"/>
    <col min="3" max="3" width="14.5703125" customWidth="1"/>
    <col min="4" max="4" width="7.85546875" bestFit="1" customWidth="1"/>
  </cols>
  <sheetData>
    <row r="1" spans="1:4" x14ac:dyDescent="0.25">
      <c r="A1" s="1" t="s">
        <v>18</v>
      </c>
      <c r="B1" s="1" t="s">
        <v>17</v>
      </c>
      <c r="C1" s="1" t="s">
        <v>214</v>
      </c>
      <c r="D1" s="1" t="s">
        <v>211</v>
      </c>
    </row>
    <row r="2" spans="1:4" x14ac:dyDescent="0.25">
      <c r="A2" s="2">
        <v>2</v>
      </c>
      <c r="B2" s="1">
        <v>33</v>
      </c>
      <c r="C2" s="2">
        <f>TBCX_GERAL[[#This Row],[IMPORT.]]*TBCX_GERAL[[#This Row],[QUANTIDADE]]</f>
        <v>66</v>
      </c>
      <c r="D2" s="1" t="str">
        <f>IF(TBCX_GERAL[[#This Row],[IMPORT.]]&lt;2,"MOEDA","CÉDULA")</f>
        <v>CÉDULA</v>
      </c>
    </row>
    <row r="3" spans="1:4" x14ac:dyDescent="0.25">
      <c r="A3" s="2">
        <v>10</v>
      </c>
      <c r="B3" s="1">
        <v>4</v>
      </c>
      <c r="C3" s="2">
        <f>TBCX_GERAL[[#This Row],[IMPORT.]]*TBCX_GERAL[[#This Row],[QUANTIDADE]]</f>
        <v>40</v>
      </c>
      <c r="D3" s="4" t="str">
        <f>IF(TBCX_GERAL[[#This Row],[IMPORT.]]&lt;2,"MOEDA","CÉDULA")</f>
        <v>CÉDULA</v>
      </c>
    </row>
    <row r="4" spans="1:4" x14ac:dyDescent="0.25">
      <c r="A4" s="2">
        <v>5</v>
      </c>
      <c r="B4" s="1">
        <v>4</v>
      </c>
      <c r="C4" s="2">
        <f>TBCX_GERAL[[#This Row],[IMPORT.]]*TBCX_GERAL[[#This Row],[QUANTIDADE]]</f>
        <v>20</v>
      </c>
      <c r="D4" s="4" t="str">
        <f>IF(TBCX_GERAL[[#This Row],[IMPORT.]]&lt;2,"MOEDA","CÉDULA")</f>
        <v>CÉDULA</v>
      </c>
    </row>
    <row r="5" spans="1:4" x14ac:dyDescent="0.25">
      <c r="A5" s="2">
        <v>20</v>
      </c>
      <c r="B5" s="1">
        <v>11</v>
      </c>
      <c r="C5" s="2">
        <f>TBCX_GERAL[[#This Row],[IMPORT.]]*TBCX_GERAL[[#This Row],[QUANTIDADE]]</f>
        <v>220</v>
      </c>
      <c r="D5" s="4" t="str">
        <f>IF(TBCX_GERAL[[#This Row],[IMPORT.]]&lt;2,"MOEDA","CÉDULA")</f>
        <v>CÉDULA</v>
      </c>
    </row>
    <row r="6" spans="1:4" x14ac:dyDescent="0.25">
      <c r="A6" s="2">
        <v>50</v>
      </c>
      <c r="B6" s="1">
        <v>4</v>
      </c>
      <c r="C6" s="2">
        <f>TBCX_GERAL[[#This Row],[IMPORT.]]*TBCX_GERAL[[#This Row],[QUANTIDADE]]</f>
        <v>200</v>
      </c>
      <c r="D6" s="4" t="str">
        <f>IF(TBCX_GERAL[[#This Row],[IMPORT.]]&lt;2,"MOEDA","CÉDULA")</f>
        <v>CÉDULA</v>
      </c>
    </row>
    <row r="7" spans="1:4" x14ac:dyDescent="0.25">
      <c r="A7" s="2">
        <v>1</v>
      </c>
      <c r="B7" s="1">
        <v>46</v>
      </c>
      <c r="C7" s="2">
        <f>TBCX_GERAL[[#This Row],[IMPORT.]]*TBCX_GERAL[[#This Row],[QUANTIDADE]]</f>
        <v>46</v>
      </c>
      <c r="D7" s="4" t="str">
        <f>IF(TBCX_GERAL[[#This Row],[IMPORT.]]&lt;2,"MOEDA","CÉDULA")</f>
        <v>MOEDA</v>
      </c>
    </row>
    <row r="8" spans="1:4" x14ac:dyDescent="0.25">
      <c r="A8" s="2">
        <v>0.25</v>
      </c>
      <c r="B8" s="1">
        <v>63</v>
      </c>
      <c r="C8" s="2">
        <f>TBCX_GERAL[[#This Row],[IMPORT.]]*TBCX_GERAL[[#This Row],[QUANTIDADE]]</f>
        <v>15.75</v>
      </c>
      <c r="D8" s="4" t="str">
        <f>IF(TBCX_GERAL[[#This Row],[IMPORT.]]&lt;2,"MOEDA","CÉDULA")</f>
        <v>MOEDA</v>
      </c>
    </row>
    <row r="9" spans="1:4" x14ac:dyDescent="0.25">
      <c r="A9" s="2">
        <v>0.5</v>
      </c>
      <c r="B9" s="1">
        <v>34</v>
      </c>
      <c r="C9" s="2">
        <f>TBCX_GERAL[[#This Row],[IMPORT.]]*TBCX_GERAL[[#This Row],[QUANTIDADE]]</f>
        <v>17</v>
      </c>
      <c r="D9" s="4" t="str">
        <f>IF(TBCX_GERAL[[#This Row],[IMPORT.]]&lt;2,"MOEDA","CÉDULA")</f>
        <v>MOEDA</v>
      </c>
    </row>
    <row r="10" spans="1:4" x14ac:dyDescent="0.25">
      <c r="A10" s="2">
        <v>0.05</v>
      </c>
      <c r="B10" s="1">
        <v>42</v>
      </c>
      <c r="C10" s="2">
        <f>TBCX_GERAL[[#This Row],[IMPORT.]]*TBCX_GERAL[[#This Row],[QUANTIDADE]]</f>
        <v>2.1</v>
      </c>
      <c r="D10" s="4" t="str">
        <f>IF(TBCX_GERAL[[#This Row],[IMPORT.]]&lt;2,"MOEDA","CÉDULA")</f>
        <v>MOEDA</v>
      </c>
    </row>
    <row r="11" spans="1:4" x14ac:dyDescent="0.25">
      <c r="A11" s="2">
        <v>0.1</v>
      </c>
      <c r="B11" s="1">
        <v>58</v>
      </c>
      <c r="C11" s="2">
        <f>TBCX_GERAL[[#This Row],[IMPORT.]]*TBCX_GERAL[[#This Row],[QUANTIDADE]]</f>
        <v>5.8000000000000007</v>
      </c>
      <c r="D11" s="4" t="str">
        <f>IF(TBCX_GERAL[[#This Row],[IMPORT.]]&lt;2,"MOEDA","CÉDULA")</f>
        <v>MOEDA</v>
      </c>
    </row>
    <row r="12" spans="1:4" ht="18.75" x14ac:dyDescent="0.3">
      <c r="A12" s="5"/>
      <c r="B12" s="7"/>
      <c r="C12" s="7">
        <f>SUBTOTAL(109,TBCX_GERAL[TOTAL IMPORT.])</f>
        <v>632.65</v>
      </c>
    </row>
    <row r="13" spans="1:4" x14ac:dyDescent="0.25">
      <c r="A13" s="6" t="s">
        <v>212</v>
      </c>
      <c r="B13" s="5">
        <f>SUMIF(TBCX_GERAL[TIPO],A13,TBCX_GERAL[TOTAL IMPORT.])</f>
        <v>86.649999999999991</v>
      </c>
    </row>
    <row r="14" spans="1:4" x14ac:dyDescent="0.25">
      <c r="A14" s="6" t="s">
        <v>213</v>
      </c>
      <c r="B14" s="5">
        <f>SUMIF(TBCX_GERAL[TIPO],A14,TBCX_GERAL[TOTAL IMPORT.])</f>
        <v>546</v>
      </c>
    </row>
  </sheetData>
  <dataValidations count="1">
    <dataValidation type="list" allowBlank="1" showInputMessage="1" showErrorMessage="1" sqref="A2:A11">
      <formula1>LISTACÉDULASMOEDAS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1" tint="0.34998626667073579"/>
  </sheetPr>
  <dimension ref="A1:I7"/>
  <sheetViews>
    <sheetView showGridLines="0" zoomScaleNormal="100" workbookViewId="0">
      <selection activeCell="A4" sqref="A4"/>
    </sheetView>
  </sheetViews>
  <sheetFormatPr defaultRowHeight="15" x14ac:dyDescent="0.25"/>
  <cols>
    <col min="1" max="1" width="10.7109375" bestFit="1" customWidth="1"/>
    <col min="2" max="2" width="12.28515625" bestFit="1" customWidth="1"/>
    <col min="3" max="3" width="9.7109375" bestFit="1" customWidth="1"/>
    <col min="4" max="4" width="9.42578125" bestFit="1" customWidth="1"/>
    <col min="5" max="5" width="8.7109375" bestFit="1" customWidth="1"/>
    <col min="6" max="6" width="17" bestFit="1" customWidth="1"/>
    <col min="7" max="7" width="18.140625" bestFit="1" customWidth="1"/>
    <col min="8" max="8" width="12.140625" bestFit="1" customWidth="1"/>
    <col min="9" max="9" width="11.140625" bestFit="1" customWidth="1"/>
  </cols>
  <sheetData>
    <row r="1" spans="1:9" x14ac:dyDescent="0.25">
      <c r="A1" s="1" t="s">
        <v>0</v>
      </c>
      <c r="B1" s="1" t="s">
        <v>10</v>
      </c>
      <c r="C1" s="1" t="s">
        <v>3</v>
      </c>
      <c r="D1" s="1" t="s">
        <v>4</v>
      </c>
      <c r="E1" s="1" t="s">
        <v>5</v>
      </c>
      <c r="F1" s="1" t="s">
        <v>2</v>
      </c>
      <c r="G1" s="1" t="s">
        <v>11</v>
      </c>
      <c r="H1" s="1" t="s">
        <v>9</v>
      </c>
      <c r="I1" s="1" t="s">
        <v>14</v>
      </c>
    </row>
    <row r="2" spans="1:9" x14ac:dyDescent="0.25">
      <c r="A2" s="3">
        <v>42926</v>
      </c>
      <c r="B2" s="4">
        <v>30</v>
      </c>
      <c r="C2" s="1">
        <f>IF(TabelaPedidos[DATA]="","-",YEAR(TabelaPedidos[DATA]))</f>
        <v>2017</v>
      </c>
      <c r="D2" s="1" t="str">
        <f>IF(TabelaPedidos[DATA]="","-", PROPER(TEXT(TabelaPedidos[DATA],"MMMM")))</f>
        <v>Julho</v>
      </c>
      <c r="E2" s="1">
        <f>IF(TabelaPedidos[DATA]="","-",DAY(TabelaPedidos[DATA]))</f>
        <v>10</v>
      </c>
      <c r="F2" s="1" t="str">
        <f>IF(TabelaPedidos[DATA]="","-",PROPER(TEXT(TabelaPedidos[DATA],"DDDD")))</f>
        <v>Segunda-Feira</v>
      </c>
      <c r="G2" s="2">
        <v>10.5</v>
      </c>
      <c r="H2" s="2">
        <f>TabelaPedidos[PREÇO DO  KG]*TabelaPedidos[QTD KG]</f>
        <v>315</v>
      </c>
      <c r="I2" s="1" t="s">
        <v>48</v>
      </c>
    </row>
    <row r="3" spans="1:9" x14ac:dyDescent="0.25">
      <c r="A3" s="3">
        <v>42930</v>
      </c>
      <c r="B3" s="4">
        <v>12</v>
      </c>
      <c r="C3" s="1">
        <f>IF(TabelaPedidos[DATA]="","-",YEAR(TabelaPedidos[DATA]))</f>
        <v>2017</v>
      </c>
      <c r="D3" s="1" t="str">
        <f>IF(TabelaPedidos[DATA]="","-", PROPER(TEXT(TabelaPedidos[DATA],"MMMM")))</f>
        <v>Julho</v>
      </c>
      <c r="E3" s="1">
        <f>IF(TabelaPedidos[DATA]="","-",DAY(TabelaPedidos[DATA]))</f>
        <v>14</v>
      </c>
      <c r="F3" s="1" t="str">
        <f>IF(TabelaPedidos[DATA]="","-",PROPER(TEXT(TabelaPedidos[DATA],"DDDD")))</f>
        <v>Sexta-Feira</v>
      </c>
      <c r="G3" s="2">
        <v>9.5</v>
      </c>
      <c r="H3" s="2">
        <f>TabelaPedidos[PREÇO DO  KG]*TabelaPedidos[QTD KG]</f>
        <v>114</v>
      </c>
      <c r="I3" s="1" t="s">
        <v>15</v>
      </c>
    </row>
    <row r="4" spans="1:9" x14ac:dyDescent="0.25">
      <c r="A4" s="3">
        <v>42937</v>
      </c>
      <c r="B4" s="4">
        <v>30</v>
      </c>
      <c r="C4" s="1">
        <f>IF(TabelaPedidos[DATA]="","-",YEAR(TabelaPedidos[DATA]))</f>
        <v>2017</v>
      </c>
      <c r="D4" s="1" t="str">
        <f>IF(TabelaPedidos[DATA]="","-", PROPER(TEXT(TabelaPedidos[DATA],"MMMM")))</f>
        <v>Julho</v>
      </c>
      <c r="E4" s="1">
        <f>IF(TabelaPedidos[DATA]="","-",DAY(TabelaPedidos[DATA]))</f>
        <v>21</v>
      </c>
      <c r="F4" s="1" t="str">
        <f>IF(TabelaPedidos[DATA]="","-",PROPER(TEXT(TabelaPedidos[DATA],"DDDD")))</f>
        <v>Sexta-Feira</v>
      </c>
      <c r="G4" s="2">
        <v>10.5</v>
      </c>
      <c r="H4" s="2">
        <f>TabelaPedidos[PREÇO DO  KG]*TabelaPedidos[QTD KG]</f>
        <v>315</v>
      </c>
      <c r="I4" s="1" t="s">
        <v>48</v>
      </c>
    </row>
    <row r="5" spans="1:9" x14ac:dyDescent="0.25">
      <c r="A5" s="3">
        <v>42947</v>
      </c>
      <c r="B5" s="4">
        <v>40</v>
      </c>
      <c r="C5" s="1">
        <f>IF(TabelaPedidos[DATA]="","-",YEAR(TabelaPedidos[DATA]))</f>
        <v>2017</v>
      </c>
      <c r="D5" s="1" t="str">
        <f>IF(TabelaPedidos[DATA]="","-", PROPER(TEXT(TabelaPedidos[DATA],"MMMM")))</f>
        <v>Julho</v>
      </c>
      <c r="E5" s="1">
        <f>IF(TabelaPedidos[DATA]="","-",DAY(TabelaPedidos[DATA]))</f>
        <v>31</v>
      </c>
      <c r="F5" s="1" t="str">
        <f>IF(TabelaPedidos[DATA]="","-",PROPER(TEXT(TabelaPedidos[DATA],"DDDD")))</f>
        <v>Segunda-Feira</v>
      </c>
      <c r="G5" s="2">
        <v>10.5</v>
      </c>
      <c r="H5" s="2">
        <f>TabelaPedidos[PREÇO DO  KG]*TabelaPedidos[QTD KG]</f>
        <v>420</v>
      </c>
      <c r="I5" s="1" t="s">
        <v>15</v>
      </c>
    </row>
    <row r="6" spans="1:9" x14ac:dyDescent="0.25">
      <c r="A6" s="1"/>
      <c r="B6" s="4">
        <f>SUBTOTAL(109,TabelaPedidos[QTD KG])</f>
        <v>112</v>
      </c>
      <c r="C6" s="1"/>
      <c r="D6" s="1"/>
      <c r="E6" s="1"/>
      <c r="F6" s="1"/>
      <c r="G6" s="2"/>
      <c r="H6" s="2">
        <f>SUBTOTAL(109,TabelaPedidos[TOTAL])</f>
        <v>1164</v>
      </c>
      <c r="I6" s="1"/>
    </row>
    <row r="7" spans="1:9" x14ac:dyDescent="0.25">
      <c r="H7" s="5"/>
    </row>
  </sheetData>
  <conditionalFormatting sqref="A2:I5">
    <cfRule type="expression" dxfId="8" priority="1">
      <formula>$I2="PAGO"</formula>
    </cfRule>
    <cfRule type="expression" dxfId="7" priority="2">
      <formula>$I2="EM DÉBITO"</formula>
    </cfRule>
  </conditionalFormatting>
  <dataValidations count="1">
    <dataValidation type="list" allowBlank="1" showInputMessage="1" showErrorMessage="1" sqref="I2:I5">
      <formula1>"EM DÉBITO,PAGO"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K11"/>
  <sheetViews>
    <sheetView showGridLines="0" workbookViewId="0"/>
  </sheetViews>
  <sheetFormatPr defaultRowHeight="15" x14ac:dyDescent="0.25"/>
  <cols>
    <col min="1" max="1" width="21" bestFit="1" customWidth="1"/>
    <col min="2" max="2" width="20.85546875" hidden="1" customWidth="1"/>
    <col min="3" max="3" width="18.28515625" bestFit="1" customWidth="1"/>
    <col min="4" max="4" width="16.7109375" bestFit="1" customWidth="1"/>
    <col min="5" max="5" width="21.42578125" style="3" bestFit="1" customWidth="1"/>
    <col min="6" max="6" width="16.85546875" style="2" bestFit="1" customWidth="1"/>
    <col min="7" max="7" width="13.5703125" bestFit="1" customWidth="1"/>
    <col min="8" max="8" width="11.28515625" bestFit="1" customWidth="1"/>
    <col min="9" max="10" width="13.85546875" bestFit="1" customWidth="1"/>
    <col min="12" max="12" width="12.42578125" bestFit="1" customWidth="1"/>
  </cols>
  <sheetData>
    <row r="1" spans="1:11" ht="15.75" x14ac:dyDescent="0.25">
      <c r="A1" s="30" t="s">
        <v>78</v>
      </c>
      <c r="B1" s="30" t="s">
        <v>53</v>
      </c>
      <c r="C1" s="30" t="s">
        <v>77</v>
      </c>
      <c r="D1" s="30" t="s">
        <v>76</v>
      </c>
      <c r="E1" s="29" t="s">
        <v>75</v>
      </c>
      <c r="F1" s="29" t="s">
        <v>74</v>
      </c>
      <c r="G1" s="29" t="s">
        <v>73</v>
      </c>
      <c r="H1" s="28" t="s">
        <v>72</v>
      </c>
      <c r="I1" s="27" t="s">
        <v>71</v>
      </c>
      <c r="J1" s="26" t="s">
        <v>70</v>
      </c>
      <c r="K1" s="26" t="s">
        <v>69</v>
      </c>
    </row>
    <row r="2" spans="1:11" x14ac:dyDescent="0.25">
      <c r="A2" s="1" t="s">
        <v>57</v>
      </c>
      <c r="B2" s="3">
        <v>42887</v>
      </c>
      <c r="C2" s="3">
        <f>IFERROR(IF(tbPARCELAS[[#This Row],[Administradora]]="LOSANGO",tbPARCELAS[[#This Row],[DiaVenc]]-15,tbPARCELAS[[#This Row],[DiaVenc]]-11),"-")</f>
        <v>42872</v>
      </c>
      <c r="D2" s="1" t="s">
        <v>68</v>
      </c>
      <c r="E2" s="1" t="s">
        <v>67</v>
      </c>
      <c r="F2" s="3">
        <v>42791</v>
      </c>
      <c r="G2" s="2">
        <v>139.80000000000001</v>
      </c>
      <c r="H2" s="1">
        <v>2</v>
      </c>
      <c r="I2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42850</v>
      </c>
      <c r="J2" s="1">
        <f>TEXT(tbPARCELAS[[#This Row],[DataE]],"m") * 1</f>
        <v>4</v>
      </c>
      <c r="K2" s="1">
        <f>YEAR(tbPARCELAS[[#This Row],[DataE]]) * 1</f>
        <v>2017</v>
      </c>
    </row>
    <row r="3" spans="1:11" x14ac:dyDescent="0.25">
      <c r="A3" s="1" t="s">
        <v>56</v>
      </c>
      <c r="B3" s="3">
        <v>42887</v>
      </c>
      <c r="C3" s="3">
        <f>IFERROR(IF(tbPARCELAS[[#This Row],[Administradora]]="LOSANGO",tbPARCELAS[[#This Row],[DiaVenc]]-15,tbPARCELAS[[#This Row],[DiaVenc]]-11),"-")</f>
        <v>42876</v>
      </c>
      <c r="D3" s="1" t="s">
        <v>46</v>
      </c>
      <c r="E3" s="1" t="s">
        <v>67</v>
      </c>
      <c r="F3" s="3">
        <v>42665</v>
      </c>
      <c r="G3" s="2">
        <v>539.20000000000005</v>
      </c>
      <c r="H3" s="31">
        <v>8</v>
      </c>
      <c r="I3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42908</v>
      </c>
      <c r="J3" s="1">
        <f>TEXT(tbPARCELAS[[#This Row],[DataE]],"m") * 1</f>
        <v>6</v>
      </c>
      <c r="K3" s="1">
        <f>YEAR(tbPARCELAS[[#This Row],[DataE]]) * 1</f>
        <v>2017</v>
      </c>
    </row>
    <row r="4" spans="1:11" x14ac:dyDescent="0.25">
      <c r="A4" s="1" t="s">
        <v>56</v>
      </c>
      <c r="B4" s="3">
        <v>42887</v>
      </c>
      <c r="C4" s="3">
        <f>IFERROR(IF(tbPARCELAS[[#This Row],[Administradora]]="LOSANGO",tbPARCELAS[[#This Row],[DiaVenc]]-15,tbPARCELAS[[#This Row],[DiaVenc]]-11),"-")</f>
        <v>42876</v>
      </c>
      <c r="D4" s="1" t="s">
        <v>46</v>
      </c>
      <c r="E4" s="1" t="s">
        <v>67</v>
      </c>
      <c r="F4" s="3">
        <v>42672</v>
      </c>
      <c r="G4" s="2">
        <v>294.32</v>
      </c>
      <c r="H4" s="31">
        <v>8</v>
      </c>
      <c r="I4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42915</v>
      </c>
      <c r="J4" s="1">
        <f>TEXT(tbPARCELAS[[#This Row],[DataE]],"m") * 1</f>
        <v>6</v>
      </c>
      <c r="K4" s="1">
        <f>YEAR(tbPARCELAS[[#This Row],[DataE]]) * 1</f>
        <v>2017</v>
      </c>
    </row>
    <row r="5" spans="1:11" ht="15.75" x14ac:dyDescent="0.25">
      <c r="A5" s="1" t="s">
        <v>56</v>
      </c>
      <c r="B5" s="3">
        <v>42887</v>
      </c>
      <c r="C5" s="3">
        <f>IFERROR(IF(tbPARCELAS[[#This Row],[Administradora]]="LOSANGO",tbPARCELAS[[#This Row],[DiaVenc]]-15,tbPARCELAS[[#This Row],[DiaVenc]]-11),"-")</f>
        <v>42876</v>
      </c>
      <c r="D5" s="1" t="s">
        <v>55</v>
      </c>
      <c r="E5" s="32" t="s">
        <v>66</v>
      </c>
      <c r="F5" s="3">
        <v>42522</v>
      </c>
      <c r="G5" s="2">
        <v>1429.96</v>
      </c>
      <c r="H5" s="31">
        <v>14</v>
      </c>
      <c r="I5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42948</v>
      </c>
      <c r="J5" s="1">
        <f>TEXT(tbPARCELAS[[#This Row],[DataE]],"m") * 1</f>
        <v>8</v>
      </c>
      <c r="K5" s="1">
        <f>YEAR(tbPARCELAS[[#This Row],[DataE]]) * 1</f>
        <v>2017</v>
      </c>
    </row>
    <row r="6" spans="1:11" x14ac:dyDescent="0.25">
      <c r="A6" s="1" t="s">
        <v>57</v>
      </c>
      <c r="B6" s="3">
        <v>42887</v>
      </c>
      <c r="C6" s="3">
        <f>IFERROR(IF(tbPARCELAS[[#This Row],[Administradora]]="LOSANGO",tbPARCELAS[[#This Row],[DiaVenc]]-15,tbPARCELAS[[#This Row],[DiaVenc]]-11),"-")</f>
        <v>42872</v>
      </c>
      <c r="D6" s="1" t="s">
        <v>65</v>
      </c>
      <c r="E6" s="1" t="s">
        <v>64</v>
      </c>
      <c r="F6" s="3">
        <v>42792</v>
      </c>
      <c r="G6" s="2">
        <v>242</v>
      </c>
      <c r="H6" s="1">
        <v>8</v>
      </c>
      <c r="I6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43034</v>
      </c>
      <c r="J6" s="1">
        <f>TEXT(tbPARCELAS[[#This Row],[DataE]],"m") * 1</f>
        <v>10</v>
      </c>
      <c r="K6" s="1">
        <f>YEAR(tbPARCELAS[[#This Row],[DataE]]) * 1</f>
        <v>2017</v>
      </c>
    </row>
    <row r="7" spans="1:11" x14ac:dyDescent="0.25">
      <c r="A7" s="1" t="s">
        <v>63</v>
      </c>
      <c r="B7" s="3">
        <v>42891</v>
      </c>
      <c r="C7" s="3">
        <f>IFERROR(IF(tbPARCELAS[[#This Row],[Administradora]]="LOSANGO",tbPARCELAS[[#This Row],[DiaVenc]]-15,tbPARCELAS[[#This Row],[DiaVenc]]-11),"-")</f>
        <v>42880</v>
      </c>
      <c r="D7" s="1" t="s">
        <v>62</v>
      </c>
      <c r="E7" s="1" t="s">
        <v>61</v>
      </c>
      <c r="F7" s="3">
        <v>42820</v>
      </c>
      <c r="G7" s="2">
        <v>335.02</v>
      </c>
      <c r="H7" s="31">
        <v>7</v>
      </c>
      <c r="I7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43034</v>
      </c>
      <c r="J7" s="1">
        <f>TEXT(tbPARCELAS[[#This Row],[DataE]],"m") * 1</f>
        <v>10</v>
      </c>
      <c r="K7" s="1">
        <f>YEAR(tbPARCELAS[[#This Row],[DataE]]) * 1</f>
        <v>2017</v>
      </c>
    </row>
    <row r="8" spans="1:11" x14ac:dyDescent="0.25">
      <c r="A8" s="1" t="s">
        <v>56</v>
      </c>
      <c r="B8" s="3">
        <v>42887</v>
      </c>
      <c r="C8" s="3">
        <f>IFERROR(IF(tbPARCELAS[[#This Row],[Administradora]]="LOSANGO",tbPARCELAS[[#This Row],[DiaVenc]]-15,tbPARCELAS[[#This Row],[DiaVenc]]-11),"-")</f>
        <v>42876</v>
      </c>
      <c r="D8" s="31" t="s">
        <v>59</v>
      </c>
      <c r="E8" s="1" t="s">
        <v>58</v>
      </c>
      <c r="F8" s="3">
        <v>42794</v>
      </c>
      <c r="G8" s="2">
        <v>1500</v>
      </c>
      <c r="H8" s="31">
        <v>10</v>
      </c>
      <c r="I8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43097</v>
      </c>
      <c r="J8" s="1">
        <f>TEXT(tbPARCELAS[[#This Row],[DataE]],"m") * 1</f>
        <v>12</v>
      </c>
      <c r="K8" s="1">
        <f>YEAR(tbPARCELAS[[#This Row],[DataE]]) * 1</f>
        <v>2017</v>
      </c>
    </row>
    <row r="9" spans="1:11" x14ac:dyDescent="0.25">
      <c r="A9" s="1" t="s">
        <v>59</v>
      </c>
      <c r="B9" s="3" t="s">
        <v>60</v>
      </c>
      <c r="C9" s="1" t="str">
        <f>IFERROR(IF(tbPARCELAS[[#This Row],[Administradora]]="LOSANGO",tbPARCELAS[[#This Row],[DiaVenc]]-15,tbPARCELAS[[#This Row],[DiaVenc]]-11),"-")</f>
        <v>-</v>
      </c>
      <c r="D9" s="1" t="s">
        <v>59</v>
      </c>
      <c r="E9" s="1" t="s">
        <v>58</v>
      </c>
      <c r="F9" s="3">
        <v>42801</v>
      </c>
      <c r="G9" s="2">
        <v>2620</v>
      </c>
      <c r="H9" s="31">
        <v>10</v>
      </c>
      <c r="I9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43107</v>
      </c>
      <c r="J9" s="1">
        <f>TEXT(tbPARCELAS[[#This Row],[DataE]],"m") * 1</f>
        <v>1</v>
      </c>
      <c r="K9" s="1">
        <f>YEAR(tbPARCELAS[[#This Row],[DataE]]) * 1</f>
        <v>2018</v>
      </c>
    </row>
    <row r="10" spans="1:11" x14ac:dyDescent="0.25">
      <c r="A10" s="1" t="s">
        <v>57</v>
      </c>
      <c r="B10" s="3">
        <v>42887</v>
      </c>
      <c r="C10" s="3">
        <f>IFERROR(IF(tbPARCELAS[[#This Row],[Administradora]]="LOSANGO",tbPARCELAS[[#This Row],[DiaVenc]]-15,tbPARCELAS[[#This Row],[DiaVenc]]-11),"-")</f>
        <v>42872</v>
      </c>
      <c r="D10" s="1" t="s">
        <v>55</v>
      </c>
      <c r="E10" s="1" t="s">
        <v>54</v>
      </c>
      <c r="F10" s="3">
        <v>42831</v>
      </c>
      <c r="G10" s="2">
        <v>329.76</v>
      </c>
      <c r="H10" s="1">
        <v>12</v>
      </c>
      <c r="I10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43196</v>
      </c>
      <c r="J10" s="1">
        <f>TEXT(tbPARCELAS[[#This Row],[DataE]],"m") * 1</f>
        <v>4</v>
      </c>
      <c r="K10" s="1">
        <f>YEAR(tbPARCELAS[[#This Row],[DataE]]) * 1</f>
        <v>2018</v>
      </c>
    </row>
    <row r="11" spans="1:11" x14ac:dyDescent="0.25">
      <c r="A11" s="1" t="s">
        <v>56</v>
      </c>
      <c r="B11" s="3">
        <v>42887</v>
      </c>
      <c r="C11" s="3">
        <f>IFERROR(IF(tbPARCELAS[[#This Row],[Administradora]]="LOSANGO",tbPARCELAS[[#This Row],[DiaVenc]]-15,tbPARCELAS[[#This Row],[DiaVenc]]-11),"-")</f>
        <v>42876</v>
      </c>
      <c r="D11" s="1" t="s">
        <v>55</v>
      </c>
      <c r="E11" s="1" t="s">
        <v>54</v>
      </c>
      <c r="F11" s="3">
        <v>42831</v>
      </c>
      <c r="G11" s="2">
        <v>532.68000000000006</v>
      </c>
      <c r="H11" s="31">
        <v>12</v>
      </c>
      <c r="I11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43196</v>
      </c>
      <c r="J11" s="1">
        <f>TEXT(tbPARCELAS[[#This Row],[DataE]],"m") * 1</f>
        <v>4</v>
      </c>
      <c r="K11" s="1">
        <f>YEAR(tbPARCELAS[[#This Row],[DataE]]) * 1</f>
        <v>2018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D12"/>
  <sheetViews>
    <sheetView showGridLines="0" workbookViewId="0"/>
  </sheetViews>
  <sheetFormatPr defaultRowHeight="15" x14ac:dyDescent="0.25"/>
  <cols>
    <col min="1" max="1" width="11.140625" bestFit="1" customWidth="1"/>
    <col min="2" max="2" width="20" bestFit="1" customWidth="1"/>
    <col min="3" max="3" width="24" bestFit="1" customWidth="1"/>
    <col min="4" max="4" width="17" bestFit="1" customWidth="1"/>
  </cols>
  <sheetData>
    <row r="1" spans="1:4" s="39" customFormat="1" ht="17.25" thickBot="1" x14ac:dyDescent="0.35">
      <c r="A1" s="42" t="s">
        <v>93</v>
      </c>
      <c r="B1" s="41" t="s">
        <v>92</v>
      </c>
      <c r="C1" s="41" t="s">
        <v>91</v>
      </c>
      <c r="D1" s="40" t="s">
        <v>90</v>
      </c>
    </row>
    <row r="2" spans="1:4" ht="16.5" x14ac:dyDescent="0.3">
      <c r="A2" s="38" t="s">
        <v>89</v>
      </c>
      <c r="B2" s="37">
        <v>42816</v>
      </c>
      <c r="C2" s="37">
        <f t="shared" ref="C2:C12" si="0">B2+20</f>
        <v>42836</v>
      </c>
      <c r="D2" s="36" t="str">
        <f t="shared" ref="D2:D12" ca="1" si="1">IF(AND(SUM((B2-TODAY()),(C2-TODAY()))&gt;=(-18),SUM((B2-TODAY()),(C2-TODAY()))&lt;=20),"CICLO VIGENTE",IF(SUM((B2-TODAY()),(C2-TODAY()))&gt;20,"",""))</f>
        <v/>
      </c>
    </row>
    <row r="3" spans="1:4" ht="16.5" x14ac:dyDescent="0.3">
      <c r="A3" s="38" t="s">
        <v>88</v>
      </c>
      <c r="B3" s="37">
        <f t="shared" ref="B3:B12" si="2">B2+28</f>
        <v>42844</v>
      </c>
      <c r="C3" s="37">
        <f t="shared" si="0"/>
        <v>42864</v>
      </c>
      <c r="D3" s="36" t="str">
        <f t="shared" ca="1" si="1"/>
        <v/>
      </c>
    </row>
    <row r="4" spans="1:4" ht="16.5" x14ac:dyDescent="0.3">
      <c r="A4" s="38" t="s">
        <v>87</v>
      </c>
      <c r="B4" s="37">
        <f t="shared" si="2"/>
        <v>42872</v>
      </c>
      <c r="C4" s="37">
        <f t="shared" si="0"/>
        <v>42892</v>
      </c>
      <c r="D4" s="36" t="str">
        <f t="shared" ca="1" si="1"/>
        <v/>
      </c>
    </row>
    <row r="5" spans="1:4" ht="16.5" x14ac:dyDescent="0.3">
      <c r="A5" s="38" t="s">
        <v>86</v>
      </c>
      <c r="B5" s="37">
        <f t="shared" si="2"/>
        <v>42900</v>
      </c>
      <c r="C5" s="37">
        <f t="shared" si="0"/>
        <v>42920</v>
      </c>
      <c r="D5" s="36" t="str">
        <f t="shared" ca="1" si="1"/>
        <v/>
      </c>
    </row>
    <row r="6" spans="1:4" ht="16.5" x14ac:dyDescent="0.3">
      <c r="A6" s="38" t="s">
        <v>85</v>
      </c>
      <c r="B6" s="37">
        <f t="shared" si="2"/>
        <v>42928</v>
      </c>
      <c r="C6" s="37">
        <f t="shared" si="0"/>
        <v>42948</v>
      </c>
      <c r="D6" s="36" t="str">
        <f t="shared" ca="1" si="1"/>
        <v/>
      </c>
    </row>
    <row r="7" spans="1:4" ht="16.5" x14ac:dyDescent="0.3">
      <c r="A7" s="38" t="s">
        <v>84</v>
      </c>
      <c r="B7" s="37">
        <f t="shared" si="2"/>
        <v>42956</v>
      </c>
      <c r="C7" s="37">
        <f t="shared" si="0"/>
        <v>42976</v>
      </c>
      <c r="D7" s="36" t="str">
        <f t="shared" ca="1" si="1"/>
        <v/>
      </c>
    </row>
    <row r="8" spans="1:4" ht="16.5" x14ac:dyDescent="0.3">
      <c r="A8" s="38" t="s">
        <v>83</v>
      </c>
      <c r="B8" s="37">
        <f t="shared" si="2"/>
        <v>42984</v>
      </c>
      <c r="C8" s="37">
        <f t="shared" si="0"/>
        <v>43004</v>
      </c>
      <c r="D8" s="36" t="str">
        <f t="shared" ca="1" si="1"/>
        <v/>
      </c>
    </row>
    <row r="9" spans="1:4" ht="16.5" x14ac:dyDescent="0.3">
      <c r="A9" s="38" t="s">
        <v>82</v>
      </c>
      <c r="B9" s="37">
        <f t="shared" si="2"/>
        <v>43012</v>
      </c>
      <c r="C9" s="37">
        <f t="shared" si="0"/>
        <v>43032</v>
      </c>
      <c r="D9" s="36" t="str">
        <f t="shared" ca="1" si="1"/>
        <v/>
      </c>
    </row>
    <row r="10" spans="1:4" ht="16.5" x14ac:dyDescent="0.3">
      <c r="A10" s="38" t="s">
        <v>81</v>
      </c>
      <c r="B10" s="37">
        <f t="shared" si="2"/>
        <v>43040</v>
      </c>
      <c r="C10" s="37">
        <f t="shared" si="0"/>
        <v>43060</v>
      </c>
      <c r="D10" s="36" t="str">
        <f t="shared" ca="1" si="1"/>
        <v/>
      </c>
    </row>
    <row r="11" spans="1:4" ht="16.5" x14ac:dyDescent="0.3">
      <c r="A11" s="38" t="s">
        <v>80</v>
      </c>
      <c r="B11" s="37">
        <f t="shared" si="2"/>
        <v>43068</v>
      </c>
      <c r="C11" s="37">
        <f t="shared" si="0"/>
        <v>43088</v>
      </c>
      <c r="D11" s="36" t="str">
        <f t="shared" ca="1" si="1"/>
        <v/>
      </c>
    </row>
    <row r="12" spans="1:4" ht="16.5" x14ac:dyDescent="0.3">
      <c r="A12" s="35" t="s">
        <v>79</v>
      </c>
      <c r="B12" s="34">
        <f t="shared" si="2"/>
        <v>43096</v>
      </c>
      <c r="C12" s="34">
        <f t="shared" si="0"/>
        <v>43116</v>
      </c>
      <c r="D12" s="33" t="str">
        <f t="shared" ca="1" si="1"/>
        <v/>
      </c>
    </row>
  </sheetData>
  <conditionalFormatting sqref="A2:D12">
    <cfRule type="expression" dxfId="6" priority="1">
      <formula>MOD(ROW(),2)</formula>
    </cfRule>
    <cfRule type="expression" dxfId="5" priority="2">
      <formula>$D2:$D12="CICLO VIGENTE"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L10"/>
  <sheetViews>
    <sheetView showGridLines="0" workbookViewId="0"/>
  </sheetViews>
  <sheetFormatPr defaultRowHeight="15" x14ac:dyDescent="0.25"/>
  <cols>
    <col min="1" max="1" width="19.42578125" style="1" bestFit="1" customWidth="1"/>
    <col min="2" max="2" width="54.7109375" style="1" bestFit="1" customWidth="1"/>
    <col min="3" max="3" width="18.140625" style="1" bestFit="1" customWidth="1"/>
    <col min="4" max="4" width="18.28515625" style="1" bestFit="1" customWidth="1"/>
    <col min="5" max="5" width="18.5703125" style="1" bestFit="1" customWidth="1"/>
    <col min="6" max="6" width="18.28515625" style="1" bestFit="1" customWidth="1"/>
    <col min="7" max="7" width="18.140625" style="1" bestFit="1" customWidth="1"/>
    <col min="8" max="8" width="18.28515625" style="1" bestFit="1" customWidth="1"/>
    <col min="9" max="9" width="15.7109375" style="1" bestFit="1" customWidth="1"/>
    <col min="10" max="10" width="18.28515625" style="1" bestFit="1" customWidth="1"/>
    <col min="11" max="11" width="13.140625" style="1" bestFit="1" customWidth="1"/>
    <col min="12" max="12" width="11.42578125" style="1" bestFit="1" customWidth="1"/>
    <col min="13" max="16384" width="9.140625" style="1"/>
  </cols>
  <sheetData>
    <row r="1" spans="1:12" x14ac:dyDescent="0.25">
      <c r="A1" s="1" t="s">
        <v>149</v>
      </c>
      <c r="B1" s="1" t="s">
        <v>148</v>
      </c>
      <c r="C1" s="1" t="s">
        <v>147</v>
      </c>
      <c r="D1" s="1" t="s">
        <v>146</v>
      </c>
      <c r="E1" s="1" t="s">
        <v>145</v>
      </c>
      <c r="F1" s="1" t="s">
        <v>144</v>
      </c>
      <c r="G1" s="1" t="s">
        <v>143</v>
      </c>
      <c r="H1" s="1" t="s">
        <v>142</v>
      </c>
      <c r="I1" s="1" t="s">
        <v>141</v>
      </c>
      <c r="J1" s="1" t="s">
        <v>140</v>
      </c>
      <c r="K1" s="1" t="s">
        <v>139</v>
      </c>
      <c r="L1" s="1" t="s">
        <v>138</v>
      </c>
    </row>
    <row r="2" spans="1:12" x14ac:dyDescent="0.25">
      <c r="A2" s="1" t="s">
        <v>137</v>
      </c>
      <c r="B2" s="1" t="s">
        <v>60</v>
      </c>
      <c r="C2" s="1" t="s">
        <v>136</v>
      </c>
      <c r="D2" s="1" t="s">
        <v>135</v>
      </c>
      <c r="E2" s="1" t="s">
        <v>134</v>
      </c>
      <c r="F2" s="1" t="s">
        <v>100</v>
      </c>
      <c r="G2" s="1" t="s">
        <v>133</v>
      </c>
      <c r="H2" s="1" t="s">
        <v>104</v>
      </c>
      <c r="I2" s="1" t="s">
        <v>132</v>
      </c>
      <c r="J2" s="1" t="s">
        <v>98</v>
      </c>
    </row>
    <row r="3" spans="1:12" x14ac:dyDescent="0.25">
      <c r="A3" s="1" t="s">
        <v>131</v>
      </c>
      <c r="C3" s="1" t="s">
        <v>130</v>
      </c>
      <c r="D3" s="1" t="s">
        <v>102</v>
      </c>
      <c r="E3" s="1" t="s">
        <v>129</v>
      </c>
      <c r="F3" s="1" t="s">
        <v>104</v>
      </c>
      <c r="G3" s="1" t="s">
        <v>128</v>
      </c>
      <c r="H3" s="1" t="s">
        <v>127</v>
      </c>
      <c r="I3" s="1" t="s">
        <v>60</v>
      </c>
    </row>
    <row r="4" spans="1:12" x14ac:dyDescent="0.25">
      <c r="A4" s="1" t="s">
        <v>126</v>
      </c>
      <c r="B4" s="1" t="s">
        <v>125</v>
      </c>
      <c r="C4" s="1" t="s">
        <v>124</v>
      </c>
      <c r="D4" s="1" t="s">
        <v>102</v>
      </c>
      <c r="E4" s="1" t="s">
        <v>123</v>
      </c>
      <c r="F4" s="1" t="s">
        <v>104</v>
      </c>
      <c r="G4" s="1" t="s">
        <v>122</v>
      </c>
      <c r="H4" s="1" t="s">
        <v>98</v>
      </c>
      <c r="I4" s="1" t="s">
        <v>121</v>
      </c>
      <c r="J4" s="1" t="s">
        <v>100</v>
      </c>
    </row>
    <row r="5" spans="1:12" x14ac:dyDescent="0.25">
      <c r="A5" s="1" t="s">
        <v>120</v>
      </c>
      <c r="C5" s="1" t="s">
        <v>119</v>
      </c>
      <c r="D5" s="1" t="s">
        <v>100</v>
      </c>
      <c r="E5" s="1" t="s">
        <v>118</v>
      </c>
      <c r="F5" s="1" t="s">
        <v>102</v>
      </c>
      <c r="G5" s="1" t="s">
        <v>117</v>
      </c>
      <c r="H5" s="1" t="s">
        <v>104</v>
      </c>
      <c r="I5" s="1" t="s">
        <v>116</v>
      </c>
      <c r="J5" s="1" t="s">
        <v>100</v>
      </c>
    </row>
    <row r="6" spans="1:12" x14ac:dyDescent="0.25">
      <c r="A6" s="1" t="s">
        <v>115</v>
      </c>
      <c r="B6" s="1" t="s">
        <v>114</v>
      </c>
      <c r="C6" s="1" t="s">
        <v>113</v>
      </c>
      <c r="D6" s="1" t="s">
        <v>100</v>
      </c>
      <c r="E6" s="1" t="s">
        <v>112</v>
      </c>
      <c r="F6" s="1" t="s">
        <v>104</v>
      </c>
      <c r="G6" s="1" t="s">
        <v>111</v>
      </c>
      <c r="H6" s="1" t="s">
        <v>102</v>
      </c>
      <c r="I6" s="1" t="s">
        <v>110</v>
      </c>
      <c r="J6" s="1" t="s">
        <v>102</v>
      </c>
    </row>
    <row r="7" spans="1:12" x14ac:dyDescent="0.25">
      <c r="A7" s="1" t="s">
        <v>109</v>
      </c>
      <c r="C7" s="1" t="s">
        <v>108</v>
      </c>
      <c r="D7" s="1" t="s">
        <v>104</v>
      </c>
      <c r="E7" s="1" t="s">
        <v>107</v>
      </c>
      <c r="F7" s="1" t="s">
        <v>100</v>
      </c>
    </row>
    <row r="8" spans="1:12" x14ac:dyDescent="0.25">
      <c r="A8" s="1" t="s">
        <v>106</v>
      </c>
      <c r="C8" s="1" t="s">
        <v>105</v>
      </c>
      <c r="D8" s="1" t="s">
        <v>104</v>
      </c>
      <c r="E8" s="1" t="s">
        <v>103</v>
      </c>
      <c r="F8" s="1" t="s">
        <v>102</v>
      </c>
      <c r="G8" s="1" t="s">
        <v>101</v>
      </c>
      <c r="H8" s="1" t="s">
        <v>100</v>
      </c>
      <c r="I8" s="1" t="s">
        <v>99</v>
      </c>
      <c r="J8" s="1" t="s">
        <v>98</v>
      </c>
    </row>
    <row r="9" spans="1:12" x14ac:dyDescent="0.25">
      <c r="A9" s="1" t="s">
        <v>97</v>
      </c>
      <c r="C9" s="1" t="s">
        <v>96</v>
      </c>
      <c r="L9" s="43"/>
    </row>
    <row r="10" spans="1:12" x14ac:dyDescent="0.25">
      <c r="A10" s="1" t="s">
        <v>95</v>
      </c>
      <c r="C10" s="1" t="s">
        <v>94</v>
      </c>
    </row>
  </sheetData>
  <dataValidations count="1">
    <dataValidation type="list" allowBlank="1" showInputMessage="1" showErrorMessage="1" sqref="D2:D10 F2:F10 H2:H10 J2:J10">
      <formula1>"FIXO,TIM,VIVO,OI,CLARO,NEXTEL"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H19"/>
  <sheetViews>
    <sheetView showGridLines="0" workbookViewId="0"/>
  </sheetViews>
  <sheetFormatPr defaultRowHeight="15" x14ac:dyDescent="0.25"/>
  <cols>
    <col min="1" max="1" width="35.5703125" bestFit="1" customWidth="1"/>
    <col min="2" max="2" width="24.42578125" bestFit="1" customWidth="1"/>
    <col min="3" max="3" width="66" customWidth="1"/>
    <col min="4" max="4" width="25.85546875" customWidth="1"/>
    <col min="5" max="5" width="26.42578125" customWidth="1"/>
    <col min="6" max="6" width="18.28515625" bestFit="1" customWidth="1"/>
    <col min="7" max="7" width="16.85546875" bestFit="1" customWidth="1"/>
    <col min="8" max="8" width="17.140625" bestFit="1" customWidth="1"/>
    <col min="9" max="9" width="9.5703125" bestFit="1" customWidth="1"/>
  </cols>
  <sheetData>
    <row r="1" spans="1:8" x14ac:dyDescent="0.25">
      <c r="A1" s="1" t="s">
        <v>202</v>
      </c>
      <c r="B1" s="1" t="s">
        <v>201</v>
      </c>
      <c r="C1" s="1" t="s">
        <v>12</v>
      </c>
      <c r="D1" s="1" t="s">
        <v>200</v>
      </c>
      <c r="E1" s="1" t="s">
        <v>199</v>
      </c>
      <c r="F1" s="1" t="s">
        <v>198</v>
      </c>
      <c r="G1" s="1" t="s">
        <v>197</v>
      </c>
      <c r="H1" s="1" t="s">
        <v>196</v>
      </c>
    </row>
    <row r="2" spans="1:8" x14ac:dyDescent="0.25">
      <c r="A2" s="50" t="s">
        <v>195</v>
      </c>
      <c r="B2" s="50" t="s">
        <v>153</v>
      </c>
      <c r="C2" s="50" t="s">
        <v>194</v>
      </c>
      <c r="D2" s="50" t="s">
        <v>187</v>
      </c>
      <c r="E2" s="50" t="s">
        <v>150</v>
      </c>
      <c r="F2" s="49">
        <v>1149.9000000000001</v>
      </c>
      <c r="G2" s="48">
        <v>0</v>
      </c>
      <c r="H2" s="48">
        <f t="shared" ref="H2:H17" si="0">SUM(F2:G2)</f>
        <v>1149.9000000000001</v>
      </c>
    </row>
    <row r="3" spans="1:8" x14ac:dyDescent="0.25">
      <c r="A3" s="50" t="s">
        <v>193</v>
      </c>
      <c r="B3" s="50" t="s">
        <v>166</v>
      </c>
      <c r="C3" s="50" t="s">
        <v>192</v>
      </c>
      <c r="D3" s="50" t="s">
        <v>187</v>
      </c>
      <c r="E3" s="50" t="s">
        <v>150</v>
      </c>
      <c r="F3" s="49">
        <v>861.1</v>
      </c>
      <c r="G3" s="48">
        <v>0</v>
      </c>
      <c r="H3" s="48">
        <f t="shared" si="0"/>
        <v>861.1</v>
      </c>
    </row>
    <row r="4" spans="1:8" x14ac:dyDescent="0.25">
      <c r="A4" s="50" t="s">
        <v>191</v>
      </c>
      <c r="B4" s="50" t="s">
        <v>166</v>
      </c>
      <c r="C4" s="50" t="s">
        <v>190</v>
      </c>
      <c r="D4" s="50" t="s">
        <v>187</v>
      </c>
      <c r="E4" s="50" t="s">
        <v>150</v>
      </c>
      <c r="F4" s="49">
        <v>98.89</v>
      </c>
      <c r="G4" s="48">
        <v>0</v>
      </c>
      <c r="H4" s="48">
        <f t="shared" si="0"/>
        <v>98.89</v>
      </c>
    </row>
    <row r="5" spans="1:8" x14ac:dyDescent="0.25">
      <c r="A5" s="50" t="s">
        <v>189</v>
      </c>
      <c r="B5" s="50" t="s">
        <v>170</v>
      </c>
      <c r="C5" s="50" t="s">
        <v>188</v>
      </c>
      <c r="D5" s="50" t="s">
        <v>187</v>
      </c>
      <c r="E5" s="50" t="s">
        <v>150</v>
      </c>
      <c r="F5" s="49">
        <v>157.52000000000001</v>
      </c>
      <c r="G5" s="48">
        <v>0</v>
      </c>
      <c r="H5" s="48">
        <f t="shared" si="0"/>
        <v>157.52000000000001</v>
      </c>
    </row>
    <row r="6" spans="1:8" x14ac:dyDescent="0.25">
      <c r="A6" s="50" t="s">
        <v>186</v>
      </c>
      <c r="B6" s="50" t="s">
        <v>170</v>
      </c>
      <c r="C6" s="50" t="s">
        <v>185</v>
      </c>
      <c r="D6" s="50" t="s">
        <v>177</v>
      </c>
      <c r="E6" s="50" t="s">
        <v>150</v>
      </c>
      <c r="F6" s="49">
        <v>79.900000000000006</v>
      </c>
      <c r="G6" s="48">
        <v>0</v>
      </c>
      <c r="H6" s="48">
        <f t="shared" si="0"/>
        <v>79.900000000000006</v>
      </c>
    </row>
    <row r="7" spans="1:8" x14ac:dyDescent="0.25">
      <c r="A7" s="50" t="s">
        <v>184</v>
      </c>
      <c r="B7" s="50" t="s">
        <v>166</v>
      </c>
      <c r="C7" s="50" t="s">
        <v>183</v>
      </c>
      <c r="D7" s="50" t="s">
        <v>180</v>
      </c>
      <c r="E7" s="50" t="s">
        <v>150</v>
      </c>
      <c r="F7" s="49">
        <v>1640.9</v>
      </c>
      <c r="G7" s="48">
        <v>0</v>
      </c>
      <c r="H7" s="48">
        <f t="shared" si="0"/>
        <v>1640.9</v>
      </c>
    </row>
    <row r="8" spans="1:8" x14ac:dyDescent="0.25">
      <c r="A8" s="50" t="s">
        <v>182</v>
      </c>
      <c r="B8" s="50" t="s">
        <v>166</v>
      </c>
      <c r="C8" s="50" t="s">
        <v>181</v>
      </c>
      <c r="D8" s="50" t="s">
        <v>180</v>
      </c>
      <c r="E8" s="50" t="s">
        <v>150</v>
      </c>
      <c r="F8" s="49">
        <v>337.81</v>
      </c>
      <c r="G8" s="48">
        <v>0</v>
      </c>
      <c r="H8" s="48">
        <f t="shared" si="0"/>
        <v>337.81</v>
      </c>
    </row>
    <row r="9" spans="1:8" x14ac:dyDescent="0.25">
      <c r="A9" s="50" t="s">
        <v>179</v>
      </c>
      <c r="B9" s="50" t="s">
        <v>166</v>
      </c>
      <c r="C9" s="50" t="s">
        <v>178</v>
      </c>
      <c r="D9" s="50" t="s">
        <v>177</v>
      </c>
      <c r="E9" s="50" t="s">
        <v>150</v>
      </c>
      <c r="F9" s="49">
        <v>84.03</v>
      </c>
      <c r="G9" s="48">
        <v>0</v>
      </c>
      <c r="H9" s="48">
        <f t="shared" si="0"/>
        <v>84.03</v>
      </c>
    </row>
    <row r="10" spans="1:8" x14ac:dyDescent="0.25">
      <c r="A10" s="50" t="s">
        <v>176</v>
      </c>
      <c r="B10" s="50" t="s">
        <v>166</v>
      </c>
      <c r="C10" s="50" t="s">
        <v>175</v>
      </c>
      <c r="D10" s="50" t="s">
        <v>164</v>
      </c>
      <c r="E10" s="50" t="s">
        <v>150</v>
      </c>
      <c r="F10" s="49">
        <v>1490</v>
      </c>
      <c r="G10" s="48">
        <v>150</v>
      </c>
      <c r="H10" s="48">
        <f t="shared" si="0"/>
        <v>1640</v>
      </c>
    </row>
    <row r="11" spans="1:8" x14ac:dyDescent="0.25">
      <c r="A11" s="50" t="s">
        <v>174</v>
      </c>
      <c r="B11" s="50" t="s">
        <v>170</v>
      </c>
      <c r="C11" s="50" t="s">
        <v>173</v>
      </c>
      <c r="D11" s="50" t="s">
        <v>172</v>
      </c>
      <c r="E11" s="50" t="s">
        <v>150</v>
      </c>
      <c r="F11" s="49">
        <v>1210</v>
      </c>
      <c r="G11" s="48">
        <v>0</v>
      </c>
      <c r="H11" s="48">
        <f t="shared" si="0"/>
        <v>1210</v>
      </c>
    </row>
    <row r="12" spans="1:8" x14ac:dyDescent="0.25">
      <c r="A12" s="50" t="s">
        <v>171</v>
      </c>
      <c r="B12" s="50" t="s">
        <v>170</v>
      </c>
      <c r="C12" s="50" t="s">
        <v>169</v>
      </c>
      <c r="D12" s="50" t="s">
        <v>168</v>
      </c>
      <c r="E12" s="50" t="s">
        <v>150</v>
      </c>
      <c r="F12" s="49">
        <v>300</v>
      </c>
      <c r="G12" s="48">
        <v>0</v>
      </c>
      <c r="H12" s="48">
        <f t="shared" si="0"/>
        <v>300</v>
      </c>
    </row>
    <row r="13" spans="1:8" x14ac:dyDescent="0.25">
      <c r="A13" s="50" t="s">
        <v>167</v>
      </c>
      <c r="B13" s="50" t="s">
        <v>166</v>
      </c>
      <c r="C13" s="50" t="s">
        <v>165</v>
      </c>
      <c r="D13" s="50" t="s">
        <v>164</v>
      </c>
      <c r="E13" s="50" t="s">
        <v>150</v>
      </c>
      <c r="F13" s="49">
        <v>1146</v>
      </c>
      <c r="G13" s="48">
        <v>0</v>
      </c>
      <c r="H13" s="48">
        <f t="shared" si="0"/>
        <v>1146</v>
      </c>
    </row>
    <row r="14" spans="1:8" x14ac:dyDescent="0.25">
      <c r="A14" s="50" t="s">
        <v>163</v>
      </c>
      <c r="B14" s="50" t="s">
        <v>153</v>
      </c>
      <c r="C14" s="50" t="s">
        <v>162</v>
      </c>
      <c r="D14" s="50" t="s">
        <v>161</v>
      </c>
      <c r="E14" s="50" t="s">
        <v>150</v>
      </c>
      <c r="F14" s="49">
        <v>800</v>
      </c>
      <c r="G14" s="48">
        <v>0</v>
      </c>
      <c r="H14" s="48">
        <f t="shared" si="0"/>
        <v>800</v>
      </c>
    </row>
    <row r="15" spans="1:8" x14ac:dyDescent="0.25">
      <c r="A15" s="50" t="s">
        <v>160</v>
      </c>
      <c r="B15" s="50" t="s">
        <v>153</v>
      </c>
      <c r="C15" s="50" t="s">
        <v>159</v>
      </c>
      <c r="D15" s="50" t="s">
        <v>158</v>
      </c>
      <c r="E15" s="50" t="s">
        <v>150</v>
      </c>
      <c r="F15" s="49">
        <v>99</v>
      </c>
      <c r="G15" s="48">
        <v>0</v>
      </c>
      <c r="H15" s="48">
        <f t="shared" si="0"/>
        <v>99</v>
      </c>
    </row>
    <row r="16" spans="1:8" x14ac:dyDescent="0.25">
      <c r="A16" s="50" t="s">
        <v>157</v>
      </c>
      <c r="B16" s="50" t="s">
        <v>155</v>
      </c>
      <c r="C16" s="50" t="s">
        <v>156</v>
      </c>
      <c r="D16" s="50" t="s">
        <v>155</v>
      </c>
      <c r="E16" s="50" t="s">
        <v>150</v>
      </c>
      <c r="F16" s="49">
        <v>1300</v>
      </c>
      <c r="G16" s="48">
        <v>0</v>
      </c>
      <c r="H16" s="48">
        <f t="shared" si="0"/>
        <v>1300</v>
      </c>
    </row>
    <row r="17" spans="1:8" x14ac:dyDescent="0.25">
      <c r="A17" s="50" t="s">
        <v>154</v>
      </c>
      <c r="B17" s="50" t="s">
        <v>153</v>
      </c>
      <c r="C17" s="50" t="s">
        <v>152</v>
      </c>
      <c r="D17" s="50" t="s">
        <v>151</v>
      </c>
      <c r="E17" s="50" t="s">
        <v>150</v>
      </c>
      <c r="F17" s="49">
        <v>4120</v>
      </c>
      <c r="G17" s="48">
        <v>0</v>
      </c>
      <c r="H17" s="48">
        <f t="shared" si="0"/>
        <v>4120</v>
      </c>
    </row>
    <row r="18" spans="1:8" x14ac:dyDescent="0.25">
      <c r="G18" s="45"/>
    </row>
    <row r="19" spans="1:8" ht="26.25" x14ac:dyDescent="0.4">
      <c r="A19" s="47" t="s">
        <v>9</v>
      </c>
      <c r="B19" s="46">
        <f>SUM(tbMÓVEIS[VALOR FINAL])</f>
        <v>15025.05</v>
      </c>
      <c r="C19" s="45"/>
      <c r="D19" s="44"/>
    </row>
  </sheetData>
  <conditionalFormatting sqref="A2:H17">
    <cfRule type="expression" dxfId="4" priority="1" stopIfTrue="1">
      <formula>$E2="NÃO"</formula>
    </cfRule>
    <cfRule type="expression" dxfId="3" priority="2">
      <formula>$E2&lt;&gt;"NÃO"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RECEITAS</vt:lpstr>
      <vt:lpstr>DESPESAS</vt:lpstr>
      <vt:lpstr>BOM</vt:lpstr>
      <vt:lpstr>VENDAS</vt:lpstr>
      <vt:lpstr>DESPESAS EMP</vt:lpstr>
      <vt:lpstr>CONTAGEM</vt:lpstr>
      <vt:lpstr>PEDIDOS</vt:lpstr>
      <vt:lpstr>PARCELAMENTOS</vt:lpstr>
      <vt:lpstr>BELARA</vt:lpstr>
      <vt:lpstr>MONTADORES</vt:lpstr>
      <vt:lpstr>ORÇAMENTOS MOBÍLIA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2017-06-25T21:23:55Z</dcterms:created>
  <dcterms:modified xsi:type="dcterms:W3CDTF">2017-08-02T00:31:49Z</dcterms:modified>
</cp:coreProperties>
</file>