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codeName="wbk"/>
  <mc:AlternateContent xmlns:mc="http://schemas.openxmlformats.org/markup-compatibility/2006">
    <mc:Choice Requires="x15">
      <x15ac:absPath xmlns:x15ac="http://schemas.microsoft.com/office/spreadsheetml/2010/11/ac" url="D:\Junior &amp; Cris\Documents\"/>
    </mc:Choice>
  </mc:AlternateContent>
  <bookViews>
    <workbookView xWindow="0" yWindow="0" windowWidth="15600" windowHeight="7620" tabRatio="820" xr2:uid="{00000000-000D-0000-FFFF-FFFF00000000}"/>
  </bookViews>
  <sheets>
    <sheet name="DIGITAÇÃO" sheetId="2" r:id="rId1"/>
    <sheet name="CONSOLIDADO" sheetId="4" r:id="rId2"/>
    <sheet name="PROCEDIMENTOS" sheetId="1" state="hidden" r:id="rId3"/>
    <sheet name="PROFISSIONAIS" sheetId="5" state="hidden" r:id="rId4"/>
  </sheets>
  <definedNames>
    <definedName name="_xlnm._FilterDatabase" localSheetId="1" hidden="1">CONSOLIDADO!$A$1:$E$57</definedName>
    <definedName name="PROCEDIMENTOS">tbPROCEDIMENTOS[PROCEDIMENTO]</definedName>
    <definedName name="PROFISSIONAIS">tbPROFISSIONAIS[PROFISSIONAL]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3" i="4" l="1"/>
  <c r="B63" i="4"/>
  <c r="B48" i="4"/>
  <c r="B49" i="4"/>
  <c r="D48" i="4"/>
  <c r="B47" i="4"/>
  <c r="B50" i="4"/>
  <c r="D47" i="4"/>
  <c r="C6" i="2"/>
  <c r="D6" i="2"/>
  <c r="C7" i="2"/>
  <c r="D7" i="2"/>
  <c r="C8" i="2"/>
  <c r="D8" i="2"/>
  <c r="C9" i="2"/>
  <c r="D9" i="2"/>
  <c r="C10" i="2"/>
  <c r="D10" i="2"/>
  <c r="C11" i="2"/>
  <c r="D11" i="2"/>
  <c r="C12" i="2"/>
  <c r="D12" i="2"/>
  <c r="C13" i="2"/>
  <c r="D13" i="2"/>
  <c r="C14" i="2"/>
  <c r="D14" i="2"/>
  <c r="C15" i="2"/>
  <c r="D15" i="2"/>
  <c r="C16" i="2"/>
  <c r="D16" i="2"/>
  <c r="C17" i="2"/>
  <c r="D17" i="2"/>
  <c r="C18" i="2"/>
  <c r="D18" i="2"/>
  <c r="C19" i="2"/>
  <c r="D19" i="2"/>
  <c r="C20" i="2"/>
  <c r="D20" i="2"/>
  <c r="C21" i="2"/>
  <c r="D21" i="2"/>
  <c r="C22" i="2"/>
  <c r="D22" i="2"/>
  <c r="C23" i="2"/>
  <c r="D23" i="2"/>
  <c r="C24" i="2"/>
  <c r="D24" i="2"/>
  <c r="C25" i="2"/>
  <c r="D25" i="2"/>
  <c r="D64" i="4"/>
  <c r="B64" i="4"/>
  <c r="D62" i="4"/>
  <c r="B62" i="4"/>
  <c r="D61" i="4"/>
  <c r="B61" i="4"/>
  <c r="D60" i="4"/>
  <c r="B60" i="4"/>
  <c r="D59" i="4"/>
  <c r="B59" i="4"/>
  <c r="D58" i="4"/>
  <c r="B58" i="4"/>
  <c r="B57" i="4"/>
  <c r="B56" i="4"/>
  <c r="B55" i="4"/>
  <c r="B54" i="4"/>
  <c r="B53" i="4"/>
  <c r="B52" i="4"/>
  <c r="B51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5" i="4"/>
  <c r="B4" i="4"/>
  <c r="B3" i="4"/>
  <c r="C5" i="2"/>
  <c r="D5" i="2"/>
  <c r="E63" i="4" l="1"/>
  <c r="E48" i="4"/>
  <c r="E47" i="4"/>
  <c r="E64" i="4"/>
  <c r="E61" i="4"/>
  <c r="E62" i="4"/>
  <c r="E60" i="4"/>
  <c r="E59" i="4"/>
  <c r="E58" i="4"/>
  <c r="B2" i="4"/>
  <c r="B6" i="4"/>
  <c r="D57" i="4" l="1"/>
  <c r="D56" i="4"/>
  <c r="D55" i="4"/>
  <c r="D54" i="4"/>
  <c r="D53" i="4"/>
  <c r="D52" i="4"/>
  <c r="D51" i="4"/>
  <c r="D50" i="4"/>
  <c r="D49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E13" i="4" s="1"/>
  <c r="D12" i="4"/>
  <c r="D11" i="4"/>
  <c r="D10" i="4"/>
  <c r="D9" i="4"/>
  <c r="D8" i="4"/>
  <c r="D7" i="4"/>
  <c r="D6" i="4"/>
  <c r="D5" i="4"/>
  <c r="D4" i="4"/>
  <c r="D3" i="4"/>
  <c r="D2" i="4"/>
  <c r="E57" i="4" l="1"/>
  <c r="E56" i="4"/>
  <c r="E55" i="4"/>
  <c r="E54" i="4"/>
  <c r="E53" i="4"/>
  <c r="E52" i="4"/>
  <c r="E51" i="4"/>
  <c r="E50" i="4"/>
  <c r="E49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2" i="4"/>
  <c r="E11" i="4"/>
  <c r="E10" i="4"/>
  <c r="E9" i="4"/>
  <c r="E8" i="4"/>
  <c r="E7" i="4"/>
  <c r="E6" i="4"/>
  <c r="E5" i="4"/>
  <c r="E4" i="4"/>
  <c r="E3" i="4"/>
  <c r="E2" i="4"/>
</calcChain>
</file>

<file path=xl/sharedStrings.xml><?xml version="1.0" encoding="utf-8"?>
<sst xmlns="http://schemas.openxmlformats.org/spreadsheetml/2006/main" count="223" uniqueCount="48">
  <si>
    <t>AUX. ENFERMAGEM</t>
  </si>
  <si>
    <t>GINECOLOGISTA</t>
  </si>
  <si>
    <t>PEDIATRA</t>
  </si>
  <si>
    <t>PSIQUIATRA</t>
  </si>
  <si>
    <t>DIU</t>
  </si>
  <si>
    <t>PROFISSIONAL</t>
  </si>
  <si>
    <t xml:space="preserve">MEDICAÇÃO </t>
  </si>
  <si>
    <t>INALAÇÃO</t>
  </si>
  <si>
    <t>CURATIVO</t>
  </si>
  <si>
    <t>PAPANICOLAU</t>
  </si>
  <si>
    <t xml:space="preserve">GLICEMIA </t>
  </si>
  <si>
    <t>RETIRADA DE PONTO</t>
  </si>
  <si>
    <t>TESTE DE GRAVIDEZ</t>
  </si>
  <si>
    <t>INSULINA</t>
  </si>
  <si>
    <t>VISITA DOMICILIAR</t>
  </si>
  <si>
    <t>CAUTERIZAÇAO</t>
  </si>
  <si>
    <t>FONO_1</t>
  </si>
  <si>
    <t>FONO_2</t>
  </si>
  <si>
    <t>FONO_3</t>
  </si>
  <si>
    <t>FONO_4</t>
  </si>
  <si>
    <t>FONO_5</t>
  </si>
  <si>
    <t>Nº: CBO</t>
  </si>
  <si>
    <t>PROCEDIMENTO</t>
  </si>
  <si>
    <t>CÓD. PROCED.</t>
  </si>
  <si>
    <t>EX. LAB</t>
  </si>
  <si>
    <t>TÉC. DE ENFERMAGEM</t>
  </si>
  <si>
    <t>AGENTE C. SAÚDE</t>
  </si>
  <si>
    <t>ENFERMEIRO (A) PACS</t>
  </si>
  <si>
    <t>ENFERMEIRO (A)</t>
  </si>
  <si>
    <t>PSICÓLOGO (A)</t>
  </si>
  <si>
    <t>FONOAUDIÓLOGO (A)</t>
  </si>
  <si>
    <t>ODONTÓLOGO (A)</t>
  </si>
  <si>
    <t>CLÍNICO (A) GERAL</t>
  </si>
  <si>
    <t>PRESSÃO ARTERIAL</t>
  </si>
  <si>
    <t>QUANTIDADE</t>
  </si>
  <si>
    <t>NOME DO PROCEDIMENTO</t>
  </si>
  <si>
    <t>CÓD. PROCED</t>
  </si>
  <si>
    <t>GRUPO PSICOLOGIA</t>
  </si>
  <si>
    <t>GRUPO ENFERMAGEM</t>
  </si>
  <si>
    <t>NUTRIÇÃO</t>
  </si>
  <si>
    <t>GRUPO NUTRIÇÃO</t>
  </si>
  <si>
    <t>ECG</t>
  </si>
  <si>
    <t>TESTE RAPIDO DE HEPATITE</t>
  </si>
  <si>
    <t>TESTE DE PROCEDIMENTO</t>
  </si>
  <si>
    <t>CLINICO GERAL</t>
  </si>
  <si>
    <t>TESTE RAPIDO PARA HIV</t>
  </si>
  <si>
    <t>TESTE RAPIDO PARA SIFILIS</t>
  </si>
  <si>
    <t>THIAGO BRAGA S. BACELLAR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</si>
</sst>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  <alignment horizontal="center" vertical="center" textRotation="0" wrapText="0" indent="0" justifyLastLine="0" shrinkToFit="0" readingOrder="0"/>
    </dxf>
    <dxf>
      <numFmt numFmtId="164" formatCode="0000000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164" formatCode="000000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126776</xdr:colOff>
      <xdr:row>0</xdr:row>
      <xdr:rowOff>39395</xdr:rowOff>
    </xdr:from>
    <xdr:to>
      <xdr:col>0</xdr:col>
      <xdr:colOff>1594442</xdr:colOff>
      <xdr:row>2</xdr:row>
      <xdr:rowOff>75579</xdr:rowOff>
    </xdr:to>
    <xdr:sp macro="[0]!ACRESCENTAR_QTD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00F274-3F71-4C77-82BF-7B898FD866D7}"/>
            </a:ext>
          </a:extLst>
        </xdr:cNvPr>
        <xdr:cNvSpPr/>
      </xdr:nvSpPr>
      <xdr:spPr>
        <a:xfrm>
          <a:off x="126776" y="39395"/>
          <a:ext cx="1467666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ACRÉSCIMO |</a:t>
          </a:r>
          <a:r>
            <a:rPr lang="pt-BR" sz="10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QTD</a:t>
          </a:r>
          <a:r>
            <a:rPr lang="pt-BR" sz="1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</a:t>
          </a:r>
        </a:p>
      </xdr:txBody>
    </xdr:sp>
    <xdr:clientData/>
  </xdr:twoCellAnchor>
  <xdr:twoCellAnchor editAs="absolute">
    <xdr:from>
      <xdr:col>0</xdr:col>
      <xdr:colOff>1731349</xdr:colOff>
      <xdr:row>0</xdr:row>
      <xdr:rowOff>39395</xdr:rowOff>
    </xdr:from>
    <xdr:to>
      <xdr:col>1</xdr:col>
      <xdr:colOff>946018</xdr:colOff>
      <xdr:row>2</xdr:row>
      <xdr:rowOff>75579</xdr:rowOff>
    </xdr:to>
    <xdr:sp macro="[0]!LIMPEZA_DAD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52B9479-D0D4-4904-B29E-E091FDA813FF}"/>
            </a:ext>
          </a:extLst>
        </xdr:cNvPr>
        <xdr:cNvSpPr/>
      </xdr:nvSpPr>
      <xdr:spPr>
        <a:xfrm>
          <a:off x="1731349" y="39395"/>
          <a:ext cx="1460982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NOVA</a:t>
          </a:r>
          <a:r>
            <a:rPr lang="pt-BR" sz="10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DIGITAÇÃO</a:t>
          </a:r>
          <a:endParaRPr lang="pt-BR" sz="1050" b="1" cap="none" spc="0">
            <a:ln w="9525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1082925</xdr:colOff>
      <xdr:row>0</xdr:row>
      <xdr:rowOff>39395</xdr:rowOff>
    </xdr:from>
    <xdr:to>
      <xdr:col>2</xdr:col>
      <xdr:colOff>292763</xdr:colOff>
      <xdr:row>2</xdr:row>
      <xdr:rowOff>75579</xdr:rowOff>
    </xdr:to>
    <xdr:sp macro="[0]!ABRIR_PROCEDIMENTO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C0A63DBB-4725-47B2-B5AC-F1B093EF4D09}"/>
            </a:ext>
          </a:extLst>
        </xdr:cNvPr>
        <xdr:cNvSpPr/>
      </xdr:nvSpPr>
      <xdr:spPr>
        <a:xfrm>
          <a:off x="3329238" y="39395"/>
          <a:ext cx="1456150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PROCEDIMENTOS</a:t>
          </a:r>
        </a:p>
      </xdr:txBody>
    </xdr:sp>
    <xdr:clientData/>
  </xdr:twoCellAnchor>
  <xdr:twoCellAnchor editAs="absolute">
    <xdr:from>
      <xdr:col>4</xdr:col>
      <xdr:colOff>224745</xdr:colOff>
      <xdr:row>0</xdr:row>
      <xdr:rowOff>39395</xdr:rowOff>
    </xdr:from>
    <xdr:to>
      <xdr:col>4</xdr:col>
      <xdr:colOff>1681930</xdr:colOff>
      <xdr:row>2</xdr:row>
      <xdr:rowOff>75579</xdr:rowOff>
    </xdr:to>
    <xdr:sp macro="[0]!INSERÇÃO_PROFISSIONA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9402764-A383-4BC9-A50C-379C67C60412}"/>
            </a:ext>
          </a:extLst>
        </xdr:cNvPr>
        <xdr:cNvSpPr/>
      </xdr:nvSpPr>
      <xdr:spPr>
        <a:xfrm>
          <a:off x="8114620" y="39395"/>
          <a:ext cx="1457185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INSERIR </a:t>
          </a:r>
          <a:r>
            <a:rPr lang="pt-BR" sz="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PROFISSIONAL</a:t>
          </a:r>
          <a:endParaRPr lang="pt-BR" sz="1000" b="1" cap="none" spc="0">
            <a:ln w="9525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429670</xdr:colOff>
      <xdr:row>0</xdr:row>
      <xdr:rowOff>39395</xdr:rowOff>
    </xdr:from>
    <xdr:to>
      <xdr:col>3</xdr:col>
      <xdr:colOff>186504</xdr:colOff>
      <xdr:row>2</xdr:row>
      <xdr:rowOff>75579</xdr:rowOff>
    </xdr:to>
    <xdr:sp macro="[0]!ABRIR_PROFISSIONAI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BB3F83EF-7748-4ED8-A4A3-1AE824032FD6}"/>
            </a:ext>
          </a:extLst>
        </xdr:cNvPr>
        <xdr:cNvSpPr/>
      </xdr:nvSpPr>
      <xdr:spPr>
        <a:xfrm>
          <a:off x="4922295" y="39395"/>
          <a:ext cx="1455459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PROFISSIONAIS</a:t>
          </a:r>
        </a:p>
      </xdr:txBody>
    </xdr:sp>
    <xdr:clientData/>
  </xdr:twoCellAnchor>
  <xdr:twoCellAnchor editAs="absolute">
    <xdr:from>
      <xdr:col>3</xdr:col>
      <xdr:colOff>323411</xdr:colOff>
      <xdr:row>0</xdr:row>
      <xdr:rowOff>39395</xdr:rowOff>
    </xdr:from>
    <xdr:to>
      <xdr:col>4</xdr:col>
      <xdr:colOff>87837</xdr:colOff>
      <xdr:row>2</xdr:row>
      <xdr:rowOff>75579</xdr:rowOff>
    </xdr:to>
    <xdr:sp macro="[0]!INSERÇÃO_PROCEDIMENT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0C91683-1663-4853-B378-38408918850E}"/>
            </a:ext>
          </a:extLst>
        </xdr:cNvPr>
        <xdr:cNvSpPr/>
      </xdr:nvSpPr>
      <xdr:spPr>
        <a:xfrm>
          <a:off x="6514661" y="39395"/>
          <a:ext cx="1463051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INSERIR</a:t>
          </a:r>
          <a:r>
            <a:rPr lang="pt-BR" sz="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PROCEDIMENTO</a:t>
          </a:r>
          <a:endParaRPr lang="pt-BR" sz="900" b="1" cap="none" spc="0">
            <a:ln w="9525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695325</xdr:colOff>
      <xdr:row>11</xdr:row>
      <xdr:rowOff>0</xdr:rowOff>
    </xdr:from>
    <xdr:ext cx="18473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448425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bDIGITAÇÃO" displayName="tbDIGITAÇÃO" ref="A4:E25" totalsRowShown="0" headerRowDxfId="6" dataDxfId="5">
  <autoFilter ref="A4:E25" xr:uid="{00000000-0009-0000-0100-000005000000}"/>
  <tableColumns count="5">
    <tableColumn id="1" xr3:uid="{00000000-0010-0000-0000-000001000000}" name="PROFISSIONAL" dataDxfId="4"/>
    <tableColumn id="2" xr3:uid="{00000000-0010-0000-0000-000002000000}" name="PROCEDIMENTO" dataDxfId="3"/>
    <tableColumn id="6" xr3:uid="{00000000-0010-0000-0000-000006000000}" name="Nº: CBO" dataDxfId="2">
      <calculatedColumnFormula>IFERROR(VLOOKUP(tbDIGITAÇÃO[PROFISSIONAL],tbPROFISSIONAIS[],2,0),"")</calculatedColumnFormula>
    </tableColumn>
    <tableColumn id="3" xr3:uid="{00000000-0010-0000-0000-000003000000}" name="CÓD. PROCED." dataDxfId="1">
      <calculatedColumnFormula>IFERROR(VLOOKUP(tbDIGITAÇÃO[PROCEDIMENTO],tbPROCEDIMENTOS[],2,0),"")</calculatedColumnFormula>
    </tableColumn>
    <tableColumn id="5" xr3:uid="{00000000-0010-0000-0000-000005000000}" name="QUANTIDADE" dataDxfId="0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bPROCEDIMENTOS" displayName="tbPROCEDIMENTOS" ref="A1:B28" totalsRowShown="0" headerRowDxfId="14" dataDxfId="13">
  <autoFilter ref="A1:B28" xr:uid="{00000000-0009-0000-0100-000007000000}"/>
  <sortState ref="A2:B15">
    <sortCondition ref="A1:A15"/>
  </sortState>
  <tableColumns count="2">
    <tableColumn id="1" xr3:uid="{00000000-0010-0000-0100-000001000000}" name="PROCEDIMENTO" dataDxfId="12"/>
    <tableColumn id="2" xr3:uid="{00000000-0010-0000-0100-000002000000}" name="CÓD. PROCED." dataDxfId="11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bPROFISSIONAIS" displayName="tbPROFISSIONAIS" ref="A1:B16" totalsRowShown="0" headerRowDxfId="10" dataDxfId="9">
  <sortState ref="A2:B10">
    <sortCondition ref="A1:A10"/>
  </sortState>
  <tableColumns count="2">
    <tableColumn id="1" xr3:uid="{00000000-0010-0000-0200-000001000000}" name="PROFISSIONAL" dataDxfId="8"/>
    <tableColumn id="2" xr3:uid="{00000000-0010-0000-0200-000002000000}" name="Nº: CBO" dataDxfId="7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DIGITAÇÃO">
    <tabColor theme="9"/>
  </sheetPr>
  <dimension ref="A4:E25"/>
  <sheetViews>
    <sheetView showGridLines="0" tabSelected="1" workbookViewId="0">
      <pane ySplit="4" topLeftCell="A5" activePane="bottomLeft" state="frozen"/>
      <selection pane="bottomLeft" activeCell="A4" sqref="A4"/>
    </sheetView>
  </sheetViews>
  <sheetFormatPr defaultColWidth="9.140625" defaultRowHeight="15" x14ac:dyDescent="0.25"/>
  <cols>
    <col min="1" max="2" width="33.7109375" style="1" customWidth="1"/>
    <col min="3" max="5" width="25.42578125" style="1" customWidth="1"/>
    <col min="6" max="16384" width="9.140625" style="1"/>
  </cols>
  <sheetData>
    <row r="4" spans="1:5" x14ac:dyDescent="0.25">
      <c r="A4" s="5" t="s">
        <v>5</v>
      </c>
      <c r="B4" s="5" t="s">
        <v>22</v>
      </c>
      <c r="C4" s="9" t="s">
        <v>21</v>
      </c>
      <c r="D4" s="5" t="s">
        <v>23</v>
      </c>
      <c r="E4" s="5" t="s">
        <v>34</v>
      </c>
    </row>
    <row r="5" spans="1:5" x14ac:dyDescent="0.25">
      <c r="A5" s="1" t="s">
        <v>0</v>
      </c>
      <c r="B5" s="1" t="s">
        <v>33</v>
      </c>
      <c r="C5" s="8">
        <f>IFERROR(VLOOKUP(tbDIGITAÇÃO[PROFISSIONAL],tbPROFISSIONAIS[],2,0),"")</f>
        <v>322230</v>
      </c>
      <c r="D5" s="6">
        <f>IFERROR(VLOOKUP(tbDIGITAÇÃO[PROCEDIMENTO],tbPROCEDIMENTOS[],2,0),"")</f>
        <v>301100039</v>
      </c>
      <c r="E5" s="1">
        <v>68</v>
      </c>
    </row>
    <row r="6" spans="1:5" x14ac:dyDescent="0.25">
      <c r="A6" s="1" t="s">
        <v>28</v>
      </c>
      <c r="B6" s="1" t="s">
        <v>33</v>
      </c>
      <c r="C6" s="8">
        <f>IFERROR(VLOOKUP(tbDIGITAÇÃO[PROFISSIONAL],tbPROFISSIONAIS[],2,0),"")</f>
        <v>223505</v>
      </c>
      <c r="D6" s="6">
        <f>IFERROR(VLOOKUP(tbDIGITAÇÃO[PROCEDIMENTO],tbPROCEDIMENTOS[],2,0),"")</f>
        <v>301100039</v>
      </c>
      <c r="E6" s="8">
        <v>1</v>
      </c>
    </row>
    <row r="7" spans="1:5" x14ac:dyDescent="0.25">
      <c r="A7" s="1" t="s">
        <v>28</v>
      </c>
      <c r="B7" s="1" t="s">
        <v>10</v>
      </c>
      <c r="C7" s="8">
        <f>IFERROR(VLOOKUP(tbDIGITAÇÃO[PROFISSIONAL],tbPROFISSIONAIS[],2,0),"")</f>
        <v>223505</v>
      </c>
      <c r="D7" s="6">
        <f>IFERROR(VLOOKUP(tbDIGITAÇÃO[PROCEDIMENTO],tbPROCEDIMENTOS[],2,0),"")</f>
        <v>214010015</v>
      </c>
      <c r="E7" s="8">
        <v>7</v>
      </c>
    </row>
    <row r="8" spans="1:5" x14ac:dyDescent="0.25">
      <c r="A8" s="1" t="s">
        <v>0</v>
      </c>
      <c r="B8" s="1" t="s">
        <v>6</v>
      </c>
      <c r="C8" s="8">
        <f>IFERROR(VLOOKUP(tbDIGITAÇÃO[PROFISSIONAL],tbPROFISSIONAIS[],2,0),"")</f>
        <v>322230</v>
      </c>
      <c r="D8" s="6">
        <f>IFERROR(VLOOKUP(tbDIGITAÇÃO[PROCEDIMENTO],tbPROCEDIMENTOS[],2,0),"")</f>
        <v>301100012</v>
      </c>
      <c r="E8" s="8">
        <v>6</v>
      </c>
    </row>
    <row r="9" spans="1:5" x14ac:dyDescent="0.25">
      <c r="A9" s="1" t="s">
        <v>0</v>
      </c>
      <c r="B9" s="1" t="s">
        <v>24</v>
      </c>
      <c r="C9" s="8">
        <f>IFERROR(VLOOKUP(tbDIGITAÇÃO[PROFISSIONAL],tbPROFISSIONAIS[],2,0),"")</f>
        <v>322230</v>
      </c>
      <c r="D9" s="6">
        <f>IFERROR(VLOOKUP(tbDIGITAÇÃO[PROCEDIMENTO],tbPROCEDIMENTOS[],2,0),"")</f>
        <v>201020041</v>
      </c>
      <c r="E9" s="8">
        <v>123</v>
      </c>
    </row>
    <row r="10" spans="1:5" x14ac:dyDescent="0.25">
      <c r="A10" s="1" t="s">
        <v>27</v>
      </c>
      <c r="B10" s="1" t="s">
        <v>38</v>
      </c>
      <c r="C10" s="8">
        <f>IFERROR(VLOOKUP(tbDIGITAÇÃO[PROFISSIONAL],tbPROFISSIONAIS[],2,0),"")</f>
        <v>223565</v>
      </c>
      <c r="D10" s="6">
        <f>IFERROR(VLOOKUP(tbDIGITAÇÃO[PROCEDIMENTO],tbPROCEDIMENTOS[],2,0),"")</f>
        <v>101010010</v>
      </c>
      <c r="E10" s="8">
        <v>1</v>
      </c>
    </row>
    <row r="11" spans="1:5" x14ac:dyDescent="0.25">
      <c r="A11" s="1" t="s">
        <v>0</v>
      </c>
      <c r="B11" s="1" t="s">
        <v>41</v>
      </c>
      <c r="C11" s="8">
        <f>IFERROR(VLOOKUP(tbDIGITAÇÃO[PROFISSIONAL],tbPROFISSIONAIS[],2,0),"")</f>
        <v>322230</v>
      </c>
      <c r="D11" s="6">
        <f>IFERROR(VLOOKUP(tbDIGITAÇÃO[PROCEDIMENTO],tbPROCEDIMENTOS[],2,0),"")</f>
        <v>211020036</v>
      </c>
      <c r="E11" s="8">
        <v>6</v>
      </c>
    </row>
    <row r="12" spans="1:5" x14ac:dyDescent="0.25">
      <c r="A12" s="1" t="s">
        <v>0</v>
      </c>
      <c r="B12" s="1" t="s">
        <v>8</v>
      </c>
      <c r="C12" s="8">
        <f>IFERROR(VLOOKUP(tbDIGITAÇÃO[PROFISSIONAL],tbPROFISSIONAIS[],2,0),"")</f>
        <v>322230</v>
      </c>
      <c r="D12" s="6">
        <f>IFERROR(VLOOKUP(tbDIGITAÇÃO[PROCEDIMENTO],tbPROCEDIMENTOS[],2,0),"")</f>
        <v>401010023</v>
      </c>
      <c r="E12" s="8">
        <v>12</v>
      </c>
    </row>
    <row r="13" spans="1:5" x14ac:dyDescent="0.25">
      <c r="A13" s="1" t="s">
        <v>25</v>
      </c>
      <c r="B13" s="1" t="s">
        <v>6</v>
      </c>
      <c r="C13" s="8">
        <f>IFERROR(VLOOKUP(tbDIGITAÇÃO[PROFISSIONAL],tbPROFISSIONAIS[],2,0),"")</f>
        <v>322245</v>
      </c>
      <c r="D13" s="6">
        <f>IFERROR(VLOOKUP(tbDIGITAÇÃO[PROCEDIMENTO],tbPROCEDIMENTOS[],2,0),"")</f>
        <v>301100012</v>
      </c>
      <c r="E13" s="8">
        <v>62</v>
      </c>
    </row>
    <row r="14" spans="1:5" x14ac:dyDescent="0.25">
      <c r="A14" s="1" t="s">
        <v>25</v>
      </c>
      <c r="B14" s="1" t="s">
        <v>33</v>
      </c>
      <c r="C14" s="8">
        <f>IFERROR(VLOOKUP(tbDIGITAÇÃO[PROFISSIONAL],tbPROFISSIONAIS[],2,0),"")</f>
        <v>322245</v>
      </c>
      <c r="D14" s="6">
        <f>IFERROR(VLOOKUP(tbDIGITAÇÃO[PROCEDIMENTO],tbPROCEDIMENTOS[],2,0),"")</f>
        <v>301100039</v>
      </c>
      <c r="E14" s="8">
        <v>40</v>
      </c>
    </row>
    <row r="15" spans="1:5" x14ac:dyDescent="0.25">
      <c r="A15" s="1" t="s">
        <v>25</v>
      </c>
      <c r="B15" s="1" t="s">
        <v>10</v>
      </c>
      <c r="C15" s="8">
        <f>IFERROR(VLOOKUP(tbDIGITAÇÃO[PROFISSIONAL],tbPROFISSIONAIS[],2,0),"")</f>
        <v>322245</v>
      </c>
      <c r="D15" s="6">
        <f>IFERROR(VLOOKUP(tbDIGITAÇÃO[PROCEDIMENTO],tbPROCEDIMENTOS[],2,0),"")</f>
        <v>214010015</v>
      </c>
      <c r="E15" s="8">
        <v>11</v>
      </c>
    </row>
    <row r="16" spans="1:5" x14ac:dyDescent="0.25">
      <c r="A16" s="1" t="s">
        <v>0</v>
      </c>
      <c r="B16" s="1" t="s">
        <v>10</v>
      </c>
      <c r="C16" s="8">
        <f>IFERROR(VLOOKUP(tbDIGITAÇÃO[PROFISSIONAL],tbPROFISSIONAIS[],2,0),"")</f>
        <v>322230</v>
      </c>
      <c r="D16" s="6">
        <f>IFERROR(VLOOKUP(tbDIGITAÇÃO[PROCEDIMENTO],tbPROCEDIMENTOS[],2,0),"")</f>
        <v>214010015</v>
      </c>
      <c r="E16" s="8">
        <v>23</v>
      </c>
    </row>
    <row r="17" spans="1:5" x14ac:dyDescent="0.25">
      <c r="A17" s="1" t="s">
        <v>27</v>
      </c>
      <c r="B17" s="1" t="s">
        <v>9</v>
      </c>
      <c r="C17" s="8">
        <f>IFERROR(VLOOKUP(tbDIGITAÇÃO[PROFISSIONAL],tbPROFISSIONAIS[],2,0),"")</f>
        <v>223565</v>
      </c>
      <c r="D17" s="6">
        <f>IFERROR(VLOOKUP(tbDIGITAÇÃO[PROCEDIMENTO],tbPROCEDIMENTOS[],2,0),"")</f>
        <v>201020033</v>
      </c>
      <c r="E17" s="8">
        <v>13</v>
      </c>
    </row>
    <row r="18" spans="1:5" x14ac:dyDescent="0.25">
      <c r="A18" s="1" t="s">
        <v>0</v>
      </c>
      <c r="B18" s="1" t="s">
        <v>11</v>
      </c>
      <c r="C18" s="8">
        <f>IFERROR(VLOOKUP(tbDIGITAÇÃO[PROFISSIONAL],tbPROFISSIONAIS[],2,0),"")</f>
        <v>322230</v>
      </c>
      <c r="D18" s="6">
        <f>IFERROR(VLOOKUP(tbDIGITAÇÃO[PROCEDIMENTO],tbPROCEDIMENTOS[],2,0),"")</f>
        <v>301100152</v>
      </c>
      <c r="E18" s="8">
        <v>3</v>
      </c>
    </row>
    <row r="19" spans="1:5" x14ac:dyDescent="0.25">
      <c r="A19" s="1" t="s">
        <v>0</v>
      </c>
      <c r="B19" s="1" t="s">
        <v>12</v>
      </c>
      <c r="C19" s="8">
        <f>IFERROR(VLOOKUP(tbDIGITAÇÃO[PROFISSIONAL],tbPROFISSIONAIS[],2,0),"")</f>
        <v>322230</v>
      </c>
      <c r="D19" s="6">
        <f>IFERROR(VLOOKUP(tbDIGITAÇÃO[PROCEDIMENTO],tbPROCEDIMENTOS[],2,0),"")</f>
        <v>214010066</v>
      </c>
      <c r="E19" s="8">
        <v>7</v>
      </c>
    </row>
    <row r="20" spans="1:5" x14ac:dyDescent="0.25">
      <c r="A20" s="1" t="s">
        <v>28</v>
      </c>
      <c r="B20" s="1" t="s">
        <v>46</v>
      </c>
      <c r="C20" s="8">
        <f>IFERROR(VLOOKUP(tbDIGITAÇÃO[PROFISSIONAL],tbPROFISSIONAIS[],2,0),"")</f>
        <v>223505</v>
      </c>
      <c r="D20" s="6">
        <f>IFERROR(VLOOKUP(tbDIGITAÇÃO[PROCEDIMENTO],tbPROCEDIMENTOS[],2,0),"")</f>
        <v>214010074</v>
      </c>
      <c r="E20" s="8">
        <v>2</v>
      </c>
    </row>
    <row r="21" spans="1:5" x14ac:dyDescent="0.25">
      <c r="A21" s="1" t="s">
        <v>28</v>
      </c>
      <c r="B21" s="1" t="s">
        <v>45</v>
      </c>
      <c r="C21" s="8">
        <f>IFERROR(VLOOKUP(tbDIGITAÇÃO[PROFISSIONAL],tbPROFISSIONAIS[],2,0),"")</f>
        <v>223505</v>
      </c>
      <c r="D21" s="6">
        <f>IFERROR(VLOOKUP(tbDIGITAÇÃO[PROCEDIMENTO],tbPROCEDIMENTOS[],2,0),"")</f>
        <v>214010058</v>
      </c>
      <c r="E21" s="8">
        <v>2</v>
      </c>
    </row>
    <row r="22" spans="1:5" x14ac:dyDescent="0.25">
      <c r="A22" s="1" t="s">
        <v>28</v>
      </c>
      <c r="B22" s="1" t="s">
        <v>42</v>
      </c>
      <c r="C22" s="8">
        <f>IFERROR(VLOOKUP(tbDIGITAÇÃO[PROFISSIONAL],tbPROFISSIONAIS[],2,0),"")</f>
        <v>223505</v>
      </c>
      <c r="D22" s="6">
        <f>IFERROR(VLOOKUP(tbDIGITAÇÃO[PROCEDIMENTO],tbPROCEDIMENTOS[],2,0),"")</f>
        <v>301050052</v>
      </c>
      <c r="E22" s="8">
        <v>2</v>
      </c>
    </row>
    <row r="23" spans="1:5" x14ac:dyDescent="0.25">
      <c r="A23" s="1" t="s">
        <v>28</v>
      </c>
      <c r="B23" s="1" t="s">
        <v>38</v>
      </c>
      <c r="C23" s="8">
        <f>IFERROR(VLOOKUP(tbDIGITAÇÃO[PROFISSIONAL],tbPROFISSIONAIS[],2,0),"")</f>
        <v>223505</v>
      </c>
      <c r="D23" s="6">
        <f>IFERROR(VLOOKUP(tbDIGITAÇÃO[PROCEDIMENTO],tbPROCEDIMENTOS[],2,0),"")</f>
        <v>101010010</v>
      </c>
      <c r="E23" s="8">
        <v>1</v>
      </c>
    </row>
    <row r="24" spans="1:5" x14ac:dyDescent="0.25">
      <c r="A24" s="1" t="s">
        <v>25</v>
      </c>
      <c r="B24" s="1" t="s">
        <v>13</v>
      </c>
      <c r="C24" s="8">
        <f>IFERROR(VLOOKUP(tbDIGITAÇÃO[PROFISSIONAL],tbPROFISSIONAIS[],2,0),"")</f>
        <v>322245</v>
      </c>
      <c r="D24" s="6">
        <f>IFERROR(VLOOKUP(tbDIGITAÇÃO[PROCEDIMENTO],tbPROCEDIMENTOS[],2,0),"")</f>
        <v>301100020</v>
      </c>
      <c r="E24" s="8">
        <v>1</v>
      </c>
    </row>
    <row r="25" spans="1:5" x14ac:dyDescent="0.25">
      <c r="A25" s="1" t="s">
        <v>25</v>
      </c>
      <c r="B25" s="1" t="s">
        <v>41</v>
      </c>
      <c r="C25" s="8">
        <f>IFERROR(VLOOKUP(tbDIGITAÇÃO[PROFISSIONAL],tbPROFISSIONAIS[],2,0),"")</f>
        <v>322245</v>
      </c>
      <c r="D25" s="6">
        <f>IFERROR(VLOOKUP(tbDIGITAÇÃO[PROCEDIMENTO],tbPROCEDIMENTOS[],2,0),"")</f>
        <v>211020036</v>
      </c>
      <c r="E25" s="8">
        <v>8</v>
      </c>
    </row>
  </sheetData>
  <dataValidations count="2">
    <dataValidation type="list" allowBlank="1" showInputMessage="1" showErrorMessage="1" sqref="B5:B25" xr:uid="{00000000-0002-0000-0000-000000000000}">
      <formula1>PROCEDIMENTOS</formula1>
    </dataValidation>
    <dataValidation type="list" allowBlank="1" showInputMessage="1" showErrorMessage="1" sqref="A5:A25" xr:uid="{00000000-0002-0000-0000-000001000000}">
      <formula1>PROFISSIONAIS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CONS">
    <tabColor theme="4" tint="-0.499984740745262"/>
  </sheetPr>
  <dimension ref="A1:E69"/>
  <sheetViews>
    <sheetView workbookViewId="0">
      <pane ySplit="1" topLeftCell="A38" activePane="bottomLeft" state="frozen"/>
      <selection pane="bottomLeft" activeCell="B41" sqref="B41:B44"/>
    </sheetView>
  </sheetViews>
  <sheetFormatPr defaultRowHeight="16.5" x14ac:dyDescent="0.3"/>
  <cols>
    <col min="1" max="1" width="36.140625" style="10" bestFit="1" customWidth="1"/>
    <col min="2" max="2" width="21" style="10" bestFit="1" customWidth="1"/>
    <col min="3" max="3" width="23.140625" style="11" customWidth="1"/>
    <col min="4" max="4" width="14.42578125" style="11" bestFit="1" customWidth="1"/>
    <col min="5" max="5" width="21.140625" style="11" bestFit="1" customWidth="1"/>
    <col min="6" max="16384" width="9.140625" style="3"/>
  </cols>
  <sheetData>
    <row r="1" spans="1:5" x14ac:dyDescent="0.3">
      <c r="A1" s="14" t="s">
        <v>35</v>
      </c>
      <c r="B1" s="15" t="s">
        <v>36</v>
      </c>
      <c r="C1" s="15" t="s">
        <v>5</v>
      </c>
      <c r="D1" s="15" t="s">
        <v>21</v>
      </c>
      <c r="E1" s="16" t="s">
        <v>34</v>
      </c>
    </row>
    <row r="2" spans="1:5" x14ac:dyDescent="0.3">
      <c r="A2" s="22" t="s">
        <v>6</v>
      </c>
      <c r="B2" s="22">
        <f>IFERROR(VLOOKUP(A2,tbPROCEDIMENTOS[],2,0),"-")</f>
        <v>301100012</v>
      </c>
      <c r="C2" s="12" t="s">
        <v>28</v>
      </c>
      <c r="D2" s="12">
        <f>IFERROR(VLOOKUP(C2,tbPROFISSIONAIS[],2,0), "")</f>
        <v>223505</v>
      </c>
      <c r="E2" s="12">
        <f>SUMIFS(tbDIGITAÇÃO[[#All],[QUANTIDADE]],tbDIGITAÇÃO[[#All],[CÓD. PROCED.]],CONSOLIDADO!B2,tbDIGITAÇÃO[[#All],[Nº: CBO]],CONSOLIDADO!D2)</f>
        <v>0</v>
      </c>
    </row>
    <row r="3" spans="1:5" x14ac:dyDescent="0.3">
      <c r="A3" s="22" t="s">
        <v>6</v>
      </c>
      <c r="B3" s="22">
        <f>IFERROR(VLOOKUP(A3,tbPROCEDIMENTOS[],2,0),"-")</f>
        <v>301100012</v>
      </c>
      <c r="C3" s="12" t="s">
        <v>27</v>
      </c>
      <c r="D3" s="12">
        <f>IFERROR(VLOOKUP(C3,tbPROFISSIONAIS[],2,0), "")</f>
        <v>223565</v>
      </c>
      <c r="E3" s="12">
        <f>SUMIFS(tbDIGITAÇÃO[[#All],[QUANTIDADE]],tbDIGITAÇÃO[[#All],[CÓD. PROCED.]],CONSOLIDADO!B3,tbDIGITAÇÃO[[#All],[Nº: CBO]],CONSOLIDADO!D3)</f>
        <v>0</v>
      </c>
    </row>
    <row r="4" spans="1:5" x14ac:dyDescent="0.3">
      <c r="A4" s="22" t="s">
        <v>6</v>
      </c>
      <c r="B4" s="22">
        <f>IFERROR(VLOOKUP(A4,tbPROCEDIMENTOS[],2,0),"-")</f>
        <v>301100012</v>
      </c>
      <c r="C4" s="12" t="s">
        <v>25</v>
      </c>
      <c r="D4" s="12">
        <f>IFERROR(VLOOKUP(C4,tbPROFISSIONAIS[],2,0), "")</f>
        <v>322245</v>
      </c>
      <c r="E4" s="12">
        <f>SUMIFS(tbDIGITAÇÃO[[#All],[QUANTIDADE]],tbDIGITAÇÃO[[#All],[CÓD. PROCED.]],CONSOLIDADO!B4,tbDIGITAÇÃO[[#All],[Nº: CBO]],CONSOLIDADO!D4)</f>
        <v>62</v>
      </c>
    </row>
    <row r="5" spans="1:5" x14ac:dyDescent="0.3">
      <c r="A5" s="22" t="s">
        <v>6</v>
      </c>
      <c r="B5" s="22">
        <f>IFERROR(VLOOKUP(A5,tbPROCEDIMENTOS[],2,0),"-")</f>
        <v>301100012</v>
      </c>
      <c r="C5" s="12" t="s">
        <v>0</v>
      </c>
      <c r="D5" s="12">
        <f>IFERROR(VLOOKUP(C5,tbPROFISSIONAIS[],2,0), "")</f>
        <v>322230</v>
      </c>
      <c r="E5" s="12">
        <f>SUMIFS(tbDIGITAÇÃO[[#All],[QUANTIDADE]],tbDIGITAÇÃO[[#All],[CÓD. PROCED.]],CONSOLIDADO!B5,tbDIGITAÇÃO[[#All],[Nº: CBO]],CONSOLIDADO!D5)</f>
        <v>6</v>
      </c>
    </row>
    <row r="6" spans="1:5" x14ac:dyDescent="0.3">
      <c r="A6" s="22" t="s">
        <v>7</v>
      </c>
      <c r="B6" s="22">
        <f>IFERROR(VLOOKUP(A6,tbPROCEDIMENTOS[],2,0),"-")</f>
        <v>301100101</v>
      </c>
      <c r="C6" s="12" t="s">
        <v>28</v>
      </c>
      <c r="D6" s="12">
        <f>IFERROR(VLOOKUP(C6,tbPROFISSIONAIS[],2,0), "")</f>
        <v>223505</v>
      </c>
      <c r="E6" s="12">
        <f>SUMIFS(tbDIGITAÇÃO[[#All],[QUANTIDADE]],tbDIGITAÇÃO[[#All],[CÓD. PROCED.]],CONSOLIDADO!B6,tbDIGITAÇÃO[[#All],[Nº: CBO]],CONSOLIDADO!D6)</f>
        <v>0</v>
      </c>
    </row>
    <row r="7" spans="1:5" x14ac:dyDescent="0.3">
      <c r="A7" s="22" t="s">
        <v>7</v>
      </c>
      <c r="B7" s="22">
        <f>IFERROR(VLOOKUP(A7,tbPROCEDIMENTOS[],2,0),"-")</f>
        <v>301100101</v>
      </c>
      <c r="C7" s="12" t="s">
        <v>27</v>
      </c>
      <c r="D7" s="12">
        <f>IFERROR(VLOOKUP(C7,tbPROFISSIONAIS[],2,0), "")</f>
        <v>223565</v>
      </c>
      <c r="E7" s="12">
        <f>SUMIFS(tbDIGITAÇÃO[[#All],[QUANTIDADE]],tbDIGITAÇÃO[[#All],[CÓD. PROCED.]],CONSOLIDADO!B7,tbDIGITAÇÃO[[#All],[Nº: CBO]],CONSOLIDADO!D7)</f>
        <v>0</v>
      </c>
    </row>
    <row r="8" spans="1:5" x14ac:dyDescent="0.3">
      <c r="A8" s="22" t="s">
        <v>7</v>
      </c>
      <c r="B8" s="22">
        <f>IFERROR(VLOOKUP(A8,tbPROCEDIMENTOS[],2,0),"-")</f>
        <v>301100101</v>
      </c>
      <c r="C8" s="12" t="s">
        <v>25</v>
      </c>
      <c r="D8" s="12">
        <f>IFERROR(VLOOKUP(C8,tbPROFISSIONAIS[],2,0), "")</f>
        <v>322245</v>
      </c>
      <c r="E8" s="12">
        <f>SUMIFS(tbDIGITAÇÃO[[#All],[QUANTIDADE]],tbDIGITAÇÃO[[#All],[CÓD. PROCED.]],CONSOLIDADO!B8,tbDIGITAÇÃO[[#All],[Nº: CBO]],CONSOLIDADO!D8)</f>
        <v>0</v>
      </c>
    </row>
    <row r="9" spans="1:5" x14ac:dyDescent="0.3">
      <c r="A9" s="22" t="s">
        <v>7</v>
      </c>
      <c r="B9" s="22">
        <f>IFERROR(VLOOKUP(A9,tbPROCEDIMENTOS[],2,0),"-")</f>
        <v>301100101</v>
      </c>
      <c r="C9" s="12" t="s">
        <v>0</v>
      </c>
      <c r="D9" s="12">
        <f>IFERROR(VLOOKUP(C9,tbPROFISSIONAIS[],2,0), "")</f>
        <v>322230</v>
      </c>
      <c r="E9" s="12">
        <f>SUMIFS(tbDIGITAÇÃO[[#All],[QUANTIDADE]],tbDIGITAÇÃO[[#All],[CÓD. PROCED.]],CONSOLIDADO!B9,tbDIGITAÇÃO[[#All],[Nº: CBO]],CONSOLIDADO!D9)</f>
        <v>0</v>
      </c>
    </row>
    <row r="10" spans="1:5" x14ac:dyDescent="0.3">
      <c r="A10" s="22" t="s">
        <v>8</v>
      </c>
      <c r="B10" s="22">
        <f>IFERROR(VLOOKUP(A10,tbPROCEDIMENTOS[],2,0),"-")</f>
        <v>401010023</v>
      </c>
      <c r="C10" s="12" t="s">
        <v>28</v>
      </c>
      <c r="D10" s="12">
        <f>IFERROR(VLOOKUP(C10,tbPROFISSIONAIS[],2,0), "")</f>
        <v>223505</v>
      </c>
      <c r="E10" s="12">
        <f>SUMIFS(tbDIGITAÇÃO[[#All],[QUANTIDADE]],tbDIGITAÇÃO[[#All],[CÓD. PROCED.]],CONSOLIDADO!B10,tbDIGITAÇÃO[[#All],[Nº: CBO]],CONSOLIDADO!D10)</f>
        <v>0</v>
      </c>
    </row>
    <row r="11" spans="1:5" x14ac:dyDescent="0.3">
      <c r="A11" s="22" t="s">
        <v>8</v>
      </c>
      <c r="B11" s="22">
        <f>IFERROR(VLOOKUP(A11,tbPROCEDIMENTOS[],2,0),"-")</f>
        <v>401010023</v>
      </c>
      <c r="C11" s="12" t="s">
        <v>27</v>
      </c>
      <c r="D11" s="12">
        <f>IFERROR(VLOOKUP(C11,tbPROFISSIONAIS[],2,0), "")</f>
        <v>223565</v>
      </c>
      <c r="E11" s="12">
        <f>SUMIFS(tbDIGITAÇÃO[[#All],[QUANTIDADE]],tbDIGITAÇÃO[[#All],[CÓD. PROCED.]],CONSOLIDADO!B11,tbDIGITAÇÃO[[#All],[Nº: CBO]],CONSOLIDADO!D11)</f>
        <v>0</v>
      </c>
    </row>
    <row r="12" spans="1:5" x14ac:dyDescent="0.3">
      <c r="A12" s="22" t="s">
        <v>8</v>
      </c>
      <c r="B12" s="22">
        <f>IFERROR(VLOOKUP(A12,tbPROCEDIMENTOS[],2,0),"-")</f>
        <v>401010023</v>
      </c>
      <c r="C12" s="12" t="s">
        <v>25</v>
      </c>
      <c r="D12" s="12">
        <f>IFERROR(VLOOKUP(C12,tbPROFISSIONAIS[],2,0), "")</f>
        <v>322245</v>
      </c>
      <c r="E12" s="12">
        <f>SUMIFS(tbDIGITAÇÃO[[#All],[QUANTIDADE]],tbDIGITAÇÃO[[#All],[CÓD. PROCED.]],CONSOLIDADO!B12,tbDIGITAÇÃO[[#All],[Nº: CBO]],CONSOLIDADO!D12)</f>
        <v>0</v>
      </c>
    </row>
    <row r="13" spans="1:5" x14ac:dyDescent="0.3">
      <c r="A13" s="22" t="s">
        <v>8</v>
      </c>
      <c r="B13" s="22">
        <f>IFERROR(VLOOKUP(A13,tbPROCEDIMENTOS[],2,0),"-")</f>
        <v>401010023</v>
      </c>
      <c r="C13" s="12" t="s">
        <v>0</v>
      </c>
      <c r="D13" s="12">
        <f>IFERROR(VLOOKUP(C13,tbPROFISSIONAIS[],2,0), "")</f>
        <v>322230</v>
      </c>
      <c r="E13" s="12">
        <f>SUMIFS(tbDIGITAÇÃO[[#All],[QUANTIDADE]],tbDIGITAÇÃO[[#All],[CÓD. PROCED.]],CONSOLIDADO!B13,tbDIGITAÇÃO[[#All],[Nº: CBO]],CONSOLIDADO!D13)</f>
        <v>12</v>
      </c>
    </row>
    <row r="14" spans="1:5" x14ac:dyDescent="0.3">
      <c r="A14" s="22" t="s">
        <v>9</v>
      </c>
      <c r="B14" s="22">
        <f>IFERROR(VLOOKUP(A14,tbPROCEDIMENTOS[],2,0),"-")</f>
        <v>201020033</v>
      </c>
      <c r="C14" s="12" t="s">
        <v>28</v>
      </c>
      <c r="D14" s="12">
        <f>IFERROR(VLOOKUP(C14,tbPROFISSIONAIS[],2,0), "")</f>
        <v>223505</v>
      </c>
      <c r="E14" s="12">
        <f>SUMIFS(tbDIGITAÇÃO[[#All],[QUANTIDADE]],tbDIGITAÇÃO[[#All],[CÓD. PROCED.]],CONSOLIDADO!B14,tbDIGITAÇÃO[[#All],[Nº: CBO]],CONSOLIDADO!D14)</f>
        <v>0</v>
      </c>
    </row>
    <row r="15" spans="1:5" x14ac:dyDescent="0.3">
      <c r="A15" s="22" t="s">
        <v>9</v>
      </c>
      <c r="B15" s="22">
        <f>IFERROR(VLOOKUP(A15,tbPROCEDIMENTOS[],2,0),"-")</f>
        <v>201020033</v>
      </c>
      <c r="C15" s="12" t="s">
        <v>27</v>
      </c>
      <c r="D15" s="12">
        <f>IFERROR(VLOOKUP(C15,tbPROFISSIONAIS[],2,0), "")</f>
        <v>223565</v>
      </c>
      <c r="E15" s="12">
        <f>SUMIFS(tbDIGITAÇÃO[[#All],[QUANTIDADE]],tbDIGITAÇÃO[[#All],[CÓD. PROCED.]],CONSOLIDADO!B15,tbDIGITAÇÃO[[#All],[Nº: CBO]],CONSOLIDADO!D15)</f>
        <v>13</v>
      </c>
    </row>
    <row r="16" spans="1:5" x14ac:dyDescent="0.3">
      <c r="A16" s="22" t="s">
        <v>41</v>
      </c>
      <c r="B16" s="22">
        <f>IFERROR(VLOOKUP(A16,tbPROCEDIMENTOS[],2,0),"-")</f>
        <v>211020036</v>
      </c>
      <c r="C16" s="12" t="s">
        <v>28</v>
      </c>
      <c r="D16" s="12">
        <f>IFERROR(VLOOKUP(C16,tbPROFISSIONAIS[],2,0), "")</f>
        <v>223505</v>
      </c>
      <c r="E16" s="12">
        <f>SUMIFS(tbDIGITAÇÃO[[#All],[QUANTIDADE]],tbDIGITAÇÃO[[#All],[CÓD. PROCED.]],CONSOLIDADO!B16,tbDIGITAÇÃO[[#All],[Nº: CBO]],CONSOLIDADO!D16)</f>
        <v>0</v>
      </c>
    </row>
    <row r="17" spans="1:5" x14ac:dyDescent="0.3">
      <c r="A17" s="22" t="s">
        <v>41</v>
      </c>
      <c r="B17" s="22">
        <f>IFERROR(VLOOKUP(A17,tbPROCEDIMENTOS[],2,0),"-")</f>
        <v>211020036</v>
      </c>
      <c r="C17" s="12" t="s">
        <v>27</v>
      </c>
      <c r="D17" s="12">
        <f>IFERROR(VLOOKUP(C17,tbPROFISSIONAIS[],2,0), "")</f>
        <v>223565</v>
      </c>
      <c r="E17" s="12">
        <f>SUMIFS(tbDIGITAÇÃO[[#All],[QUANTIDADE]],tbDIGITAÇÃO[[#All],[CÓD. PROCED.]],CONSOLIDADO!B17,tbDIGITAÇÃO[[#All],[Nº: CBO]],CONSOLIDADO!D17)</f>
        <v>0</v>
      </c>
    </row>
    <row r="18" spans="1:5" x14ac:dyDescent="0.3">
      <c r="A18" s="22" t="s">
        <v>41</v>
      </c>
      <c r="B18" s="22">
        <f>IFERROR(VLOOKUP(A18,tbPROCEDIMENTOS[],2,0),"-")</f>
        <v>211020036</v>
      </c>
      <c r="C18" s="12" t="s">
        <v>25</v>
      </c>
      <c r="D18" s="12">
        <f>IFERROR(VLOOKUP(C18,tbPROFISSIONAIS[],2,0), "")</f>
        <v>322245</v>
      </c>
      <c r="E18" s="12">
        <f>SUMIFS(tbDIGITAÇÃO[[#All],[QUANTIDADE]],tbDIGITAÇÃO[[#All],[CÓD. PROCED.]],CONSOLIDADO!B18,tbDIGITAÇÃO[[#All],[Nº: CBO]],CONSOLIDADO!D18)</f>
        <v>8</v>
      </c>
    </row>
    <row r="19" spans="1:5" x14ac:dyDescent="0.3">
      <c r="A19" s="22" t="s">
        <v>41</v>
      </c>
      <c r="B19" s="22">
        <f>IFERROR(VLOOKUP(A19,tbPROCEDIMENTOS[],2,0),"-")</f>
        <v>211020036</v>
      </c>
      <c r="C19" s="12" t="s">
        <v>0</v>
      </c>
      <c r="D19" s="12">
        <f>IFERROR(VLOOKUP(C19,tbPROFISSIONAIS[],2,0), "")</f>
        <v>322230</v>
      </c>
      <c r="E19" s="12">
        <f>SUMIFS(tbDIGITAÇÃO[[#All],[QUANTIDADE]],tbDIGITAÇÃO[[#All],[CÓD. PROCED.]],CONSOLIDADO!B19,tbDIGITAÇÃO[[#All],[Nº: CBO]],CONSOLIDADO!D19)</f>
        <v>6</v>
      </c>
    </row>
    <row r="20" spans="1:5" x14ac:dyDescent="0.3">
      <c r="A20" s="22" t="s">
        <v>41</v>
      </c>
      <c r="B20" s="22">
        <f>IFERROR(VLOOKUP(A20,tbPROCEDIMENTOS[],2,0),"-")</f>
        <v>211020036</v>
      </c>
      <c r="C20" s="12" t="s">
        <v>32</v>
      </c>
      <c r="D20" s="12">
        <f>IFERROR(VLOOKUP(C20,tbPROFISSIONAIS[],2,0), "")</f>
        <v>225125</v>
      </c>
      <c r="E20" s="12">
        <f>SUMIFS(tbDIGITAÇÃO[[#All],[QUANTIDADE]],tbDIGITAÇÃO[[#All],[CÓD. PROCED.]],CONSOLIDADO!B20,tbDIGITAÇÃO[[#All],[Nº: CBO]],CONSOLIDADO!D20)</f>
        <v>0</v>
      </c>
    </row>
    <row r="21" spans="1:5" x14ac:dyDescent="0.3">
      <c r="A21" s="22" t="s">
        <v>33</v>
      </c>
      <c r="B21" s="22">
        <f>IFERROR(VLOOKUP(A21,tbPROCEDIMENTOS[],2,0),"-")</f>
        <v>301100039</v>
      </c>
      <c r="C21" s="12" t="s">
        <v>28</v>
      </c>
      <c r="D21" s="12">
        <f>IFERROR(VLOOKUP(C21,tbPROFISSIONAIS[],2,0), "")</f>
        <v>223505</v>
      </c>
      <c r="E21" s="12">
        <f>SUMIFS(tbDIGITAÇÃO[[#All],[QUANTIDADE]],tbDIGITAÇÃO[[#All],[CÓD. PROCED.]],CONSOLIDADO!B21,tbDIGITAÇÃO[[#All],[Nº: CBO]],CONSOLIDADO!D21)</f>
        <v>1</v>
      </c>
    </row>
    <row r="22" spans="1:5" x14ac:dyDescent="0.3">
      <c r="A22" s="22" t="s">
        <v>33</v>
      </c>
      <c r="B22" s="22">
        <f>IFERROR(VLOOKUP(A22,tbPROCEDIMENTOS[],2,0),"-")</f>
        <v>301100039</v>
      </c>
      <c r="C22" s="12" t="s">
        <v>27</v>
      </c>
      <c r="D22" s="12">
        <f>IFERROR(VLOOKUP(C22,tbPROFISSIONAIS[],2,0), "")</f>
        <v>223565</v>
      </c>
      <c r="E22" s="12">
        <f>SUMIFS(tbDIGITAÇÃO[[#All],[QUANTIDADE]],tbDIGITAÇÃO[[#All],[CÓD. PROCED.]],CONSOLIDADO!B22,tbDIGITAÇÃO[[#All],[Nº: CBO]],CONSOLIDADO!D22)</f>
        <v>0</v>
      </c>
    </row>
    <row r="23" spans="1:5" x14ac:dyDescent="0.3">
      <c r="A23" s="22" t="s">
        <v>33</v>
      </c>
      <c r="B23" s="22">
        <f>IFERROR(VLOOKUP(A23,tbPROCEDIMENTOS[],2,0),"-")</f>
        <v>301100039</v>
      </c>
      <c r="C23" s="12" t="s">
        <v>25</v>
      </c>
      <c r="D23" s="12">
        <f>IFERROR(VLOOKUP(C23,tbPROFISSIONAIS[],2,0), "")</f>
        <v>322245</v>
      </c>
      <c r="E23" s="12">
        <f>SUMIFS(tbDIGITAÇÃO[[#All],[QUANTIDADE]],tbDIGITAÇÃO[[#All],[CÓD. PROCED.]],CONSOLIDADO!B23,tbDIGITAÇÃO[[#All],[Nº: CBO]],CONSOLIDADO!D23)</f>
        <v>40</v>
      </c>
    </row>
    <row r="24" spans="1:5" x14ac:dyDescent="0.3">
      <c r="A24" s="22" t="s">
        <v>33</v>
      </c>
      <c r="B24" s="22">
        <f>IFERROR(VLOOKUP(A24,tbPROCEDIMENTOS[],2,0),"-")</f>
        <v>301100039</v>
      </c>
      <c r="C24" s="12" t="s">
        <v>0</v>
      </c>
      <c r="D24" s="12">
        <f>IFERROR(VLOOKUP(C24,tbPROFISSIONAIS[],2,0), "")</f>
        <v>322230</v>
      </c>
      <c r="E24" s="12">
        <f>SUMIFS(tbDIGITAÇÃO[[#All],[QUANTIDADE]],tbDIGITAÇÃO[[#All],[CÓD. PROCED.]],CONSOLIDADO!B24,tbDIGITAÇÃO[[#All],[Nº: CBO]],CONSOLIDADO!D24)</f>
        <v>68</v>
      </c>
    </row>
    <row r="25" spans="1:5" x14ac:dyDescent="0.3">
      <c r="A25" s="22" t="s">
        <v>10</v>
      </c>
      <c r="B25" s="22">
        <f>IFERROR(VLOOKUP(A25,tbPROCEDIMENTOS[],2,0),"-")</f>
        <v>214010015</v>
      </c>
      <c r="C25" s="12" t="s">
        <v>28</v>
      </c>
      <c r="D25" s="12">
        <f>IFERROR(VLOOKUP(C25,tbPROFISSIONAIS[],2,0), "")</f>
        <v>223505</v>
      </c>
      <c r="E25" s="12">
        <f>SUMIFS(tbDIGITAÇÃO[[#All],[QUANTIDADE]],tbDIGITAÇÃO[[#All],[CÓD. PROCED.]],CONSOLIDADO!B25,tbDIGITAÇÃO[[#All],[Nº: CBO]],CONSOLIDADO!D25)</f>
        <v>7</v>
      </c>
    </row>
    <row r="26" spans="1:5" x14ac:dyDescent="0.3">
      <c r="A26" s="22" t="s">
        <v>10</v>
      </c>
      <c r="B26" s="22">
        <f>IFERROR(VLOOKUP(A26,tbPROCEDIMENTOS[],2,0),"-")</f>
        <v>214010015</v>
      </c>
      <c r="C26" s="12" t="s">
        <v>27</v>
      </c>
      <c r="D26" s="12">
        <f>IFERROR(VLOOKUP(C26,tbPROFISSIONAIS[],2,0), "")</f>
        <v>223565</v>
      </c>
      <c r="E26" s="12">
        <f>SUMIFS(tbDIGITAÇÃO[[#All],[QUANTIDADE]],tbDIGITAÇÃO[[#All],[CÓD. PROCED.]],CONSOLIDADO!B26,tbDIGITAÇÃO[[#All],[Nº: CBO]],CONSOLIDADO!D26)</f>
        <v>0</v>
      </c>
    </row>
    <row r="27" spans="1:5" x14ac:dyDescent="0.3">
      <c r="A27" s="22" t="s">
        <v>10</v>
      </c>
      <c r="B27" s="22">
        <f>IFERROR(VLOOKUP(A27,tbPROCEDIMENTOS[],2,0),"-")</f>
        <v>214010015</v>
      </c>
      <c r="C27" s="12" t="s">
        <v>25</v>
      </c>
      <c r="D27" s="12">
        <f>IFERROR(VLOOKUP(C27,tbPROFISSIONAIS[],2,0), "")</f>
        <v>322245</v>
      </c>
      <c r="E27" s="12">
        <f>SUMIFS(tbDIGITAÇÃO[[#All],[QUANTIDADE]],tbDIGITAÇÃO[[#All],[CÓD. PROCED.]],CONSOLIDADO!B27,tbDIGITAÇÃO[[#All],[Nº: CBO]],CONSOLIDADO!D27)</f>
        <v>11</v>
      </c>
    </row>
    <row r="28" spans="1:5" x14ac:dyDescent="0.3">
      <c r="A28" s="22" t="s">
        <v>10</v>
      </c>
      <c r="B28" s="22">
        <f>IFERROR(VLOOKUP(A28,tbPROCEDIMENTOS[],2,0),"-")</f>
        <v>214010015</v>
      </c>
      <c r="C28" s="12" t="s">
        <v>0</v>
      </c>
      <c r="D28" s="12">
        <f>IFERROR(VLOOKUP(C28,tbPROFISSIONAIS[],2,0), "")</f>
        <v>322230</v>
      </c>
      <c r="E28" s="12">
        <f>SUMIFS(tbDIGITAÇÃO[[#All],[QUANTIDADE]],tbDIGITAÇÃO[[#All],[CÓD. PROCED.]],CONSOLIDADO!B28,tbDIGITAÇÃO[[#All],[Nº: CBO]],CONSOLIDADO!D28)</f>
        <v>23</v>
      </c>
    </row>
    <row r="29" spans="1:5" x14ac:dyDescent="0.3">
      <c r="A29" s="22" t="s">
        <v>11</v>
      </c>
      <c r="B29" s="22">
        <f>IFERROR(VLOOKUP(A29,tbPROCEDIMENTOS[],2,0),"-")</f>
        <v>301100152</v>
      </c>
      <c r="C29" s="12" t="s">
        <v>28</v>
      </c>
      <c r="D29" s="12">
        <f>IFERROR(VLOOKUP(C29,tbPROFISSIONAIS[],2,0), "")</f>
        <v>223505</v>
      </c>
      <c r="E29" s="12">
        <f>SUMIFS(tbDIGITAÇÃO[[#All],[QUANTIDADE]],tbDIGITAÇÃO[[#All],[CÓD. PROCED.]],CONSOLIDADO!B29,tbDIGITAÇÃO[[#All],[Nº: CBO]],CONSOLIDADO!D29)</f>
        <v>0</v>
      </c>
    </row>
    <row r="30" spans="1:5" x14ac:dyDescent="0.3">
      <c r="A30" s="22" t="s">
        <v>11</v>
      </c>
      <c r="B30" s="22">
        <f>IFERROR(VLOOKUP(A30,tbPROCEDIMENTOS[],2,0),"-")</f>
        <v>301100152</v>
      </c>
      <c r="C30" s="12" t="s">
        <v>27</v>
      </c>
      <c r="D30" s="12">
        <f>IFERROR(VLOOKUP(C30,tbPROFISSIONAIS[],2,0), "")</f>
        <v>223565</v>
      </c>
      <c r="E30" s="12">
        <f>SUMIFS(tbDIGITAÇÃO[[#All],[QUANTIDADE]],tbDIGITAÇÃO[[#All],[CÓD. PROCED.]],CONSOLIDADO!B30,tbDIGITAÇÃO[[#All],[Nº: CBO]],CONSOLIDADO!D30)</f>
        <v>0</v>
      </c>
    </row>
    <row r="31" spans="1:5" x14ac:dyDescent="0.3">
      <c r="A31" s="22" t="s">
        <v>11</v>
      </c>
      <c r="B31" s="22">
        <f>IFERROR(VLOOKUP(A31,tbPROCEDIMENTOS[],2,0),"-")</f>
        <v>301100152</v>
      </c>
      <c r="C31" s="12" t="s">
        <v>25</v>
      </c>
      <c r="D31" s="12">
        <f>IFERROR(VLOOKUP(C31,tbPROFISSIONAIS[],2,0), "")</f>
        <v>322245</v>
      </c>
      <c r="E31" s="12">
        <f>SUMIFS(tbDIGITAÇÃO[[#All],[QUANTIDADE]],tbDIGITAÇÃO[[#All],[CÓD. PROCED.]],CONSOLIDADO!B31,tbDIGITAÇÃO[[#All],[Nº: CBO]],CONSOLIDADO!D31)</f>
        <v>0</v>
      </c>
    </row>
    <row r="32" spans="1:5" x14ac:dyDescent="0.3">
      <c r="A32" s="22" t="s">
        <v>11</v>
      </c>
      <c r="B32" s="22">
        <f>IFERROR(VLOOKUP(A32,tbPROCEDIMENTOS[],2,0),"-")</f>
        <v>301100152</v>
      </c>
      <c r="C32" s="12" t="s">
        <v>0</v>
      </c>
      <c r="D32" s="12">
        <f>IFERROR(VLOOKUP(C32,tbPROFISSIONAIS[],2,0), "")</f>
        <v>322230</v>
      </c>
      <c r="E32" s="12">
        <f>SUMIFS(tbDIGITAÇÃO[[#All],[QUANTIDADE]],tbDIGITAÇÃO[[#All],[CÓD. PROCED.]],CONSOLIDADO!B32,tbDIGITAÇÃO[[#All],[Nº: CBO]],CONSOLIDADO!D32)</f>
        <v>3</v>
      </c>
    </row>
    <row r="33" spans="1:5" x14ac:dyDescent="0.3">
      <c r="A33" s="22" t="s">
        <v>12</v>
      </c>
      <c r="B33" s="22">
        <f>IFERROR(VLOOKUP(A33,tbPROCEDIMENTOS[],2,0),"-")</f>
        <v>214010066</v>
      </c>
      <c r="C33" s="12" t="s">
        <v>28</v>
      </c>
      <c r="D33" s="12">
        <f>IFERROR(VLOOKUP(C33,tbPROFISSIONAIS[],2,0), "")</f>
        <v>223505</v>
      </c>
      <c r="E33" s="12">
        <f>SUMIFS(tbDIGITAÇÃO[[#All],[QUANTIDADE]],tbDIGITAÇÃO[[#All],[CÓD. PROCED.]],CONSOLIDADO!B33,tbDIGITAÇÃO[[#All],[Nº: CBO]],CONSOLIDADO!D33)</f>
        <v>0</v>
      </c>
    </row>
    <row r="34" spans="1:5" x14ac:dyDescent="0.3">
      <c r="A34" s="22" t="s">
        <v>12</v>
      </c>
      <c r="B34" s="22">
        <f>IFERROR(VLOOKUP(A34,tbPROCEDIMENTOS[],2,0),"-")</f>
        <v>214010066</v>
      </c>
      <c r="C34" s="12" t="s">
        <v>27</v>
      </c>
      <c r="D34" s="12">
        <f>IFERROR(VLOOKUP(C34,tbPROFISSIONAIS[],2,0), "")</f>
        <v>223565</v>
      </c>
      <c r="E34" s="12">
        <f>SUMIFS(tbDIGITAÇÃO[[#All],[QUANTIDADE]],tbDIGITAÇÃO[[#All],[CÓD. PROCED.]],CONSOLIDADO!B34,tbDIGITAÇÃO[[#All],[Nº: CBO]],CONSOLIDADO!D34)</f>
        <v>0</v>
      </c>
    </row>
    <row r="35" spans="1:5" x14ac:dyDescent="0.3">
      <c r="A35" s="22" t="s">
        <v>12</v>
      </c>
      <c r="B35" s="22">
        <f>IFERROR(VLOOKUP(A35,tbPROCEDIMENTOS[],2,0),"-")</f>
        <v>214010066</v>
      </c>
      <c r="C35" s="12" t="s">
        <v>25</v>
      </c>
      <c r="D35" s="12">
        <f>IFERROR(VLOOKUP(C35,tbPROFISSIONAIS[],2,0), "")</f>
        <v>322245</v>
      </c>
      <c r="E35" s="12">
        <f>SUMIFS(tbDIGITAÇÃO[[#All],[QUANTIDADE]],tbDIGITAÇÃO[[#All],[CÓD. PROCED.]],CONSOLIDADO!B35,tbDIGITAÇÃO[[#All],[Nº: CBO]],CONSOLIDADO!D35)</f>
        <v>0</v>
      </c>
    </row>
    <row r="36" spans="1:5" x14ac:dyDescent="0.3">
      <c r="A36" s="22" t="s">
        <v>12</v>
      </c>
      <c r="B36" s="22">
        <f>IFERROR(VLOOKUP(A36,tbPROCEDIMENTOS[],2,0),"-")</f>
        <v>214010066</v>
      </c>
      <c r="C36" s="12" t="s">
        <v>0</v>
      </c>
      <c r="D36" s="12">
        <f>IFERROR(VLOOKUP(C36,tbPROFISSIONAIS[],2,0), "")</f>
        <v>322230</v>
      </c>
      <c r="E36" s="12">
        <f>SUMIFS(tbDIGITAÇÃO[[#All],[QUANTIDADE]],tbDIGITAÇÃO[[#All],[CÓD. PROCED.]],CONSOLIDADO!B36,tbDIGITAÇÃO[[#All],[Nº: CBO]],CONSOLIDADO!D36)</f>
        <v>7</v>
      </c>
    </row>
    <row r="37" spans="1:5" x14ac:dyDescent="0.3">
      <c r="A37" s="22" t="s">
        <v>13</v>
      </c>
      <c r="B37" s="22">
        <f>IFERROR(VLOOKUP(A37,tbPROCEDIMENTOS[],2,0),"-")</f>
        <v>301100020</v>
      </c>
      <c r="C37" s="12" t="s">
        <v>28</v>
      </c>
      <c r="D37" s="12">
        <f>IFERROR(VLOOKUP(C37,tbPROFISSIONAIS[],2,0), "")</f>
        <v>223505</v>
      </c>
      <c r="E37" s="12">
        <f>SUMIFS(tbDIGITAÇÃO[[#All],[QUANTIDADE]],tbDIGITAÇÃO[[#All],[CÓD. PROCED.]],CONSOLIDADO!B37,tbDIGITAÇÃO[[#All],[Nº: CBO]],CONSOLIDADO!D37)</f>
        <v>0</v>
      </c>
    </row>
    <row r="38" spans="1:5" x14ac:dyDescent="0.3">
      <c r="A38" s="22" t="s">
        <v>13</v>
      </c>
      <c r="B38" s="22">
        <f>IFERROR(VLOOKUP(A38,tbPROCEDIMENTOS[],2,0),"-")</f>
        <v>301100020</v>
      </c>
      <c r="C38" s="12" t="s">
        <v>27</v>
      </c>
      <c r="D38" s="12">
        <f>IFERROR(VLOOKUP(C38,tbPROFISSIONAIS[],2,0), "")</f>
        <v>223565</v>
      </c>
      <c r="E38" s="12">
        <f>SUMIFS(tbDIGITAÇÃO[[#All],[QUANTIDADE]],tbDIGITAÇÃO[[#All],[CÓD. PROCED.]],CONSOLIDADO!B38,tbDIGITAÇÃO[[#All],[Nº: CBO]],CONSOLIDADO!D38)</f>
        <v>0</v>
      </c>
    </row>
    <row r="39" spans="1:5" x14ac:dyDescent="0.3">
      <c r="A39" s="22" t="s">
        <v>13</v>
      </c>
      <c r="B39" s="22">
        <f>IFERROR(VLOOKUP(A39,tbPROCEDIMENTOS[],2,0),"-")</f>
        <v>301100020</v>
      </c>
      <c r="C39" s="12" t="s">
        <v>25</v>
      </c>
      <c r="D39" s="12">
        <f>IFERROR(VLOOKUP(C39,tbPROFISSIONAIS[],2,0), "")</f>
        <v>322245</v>
      </c>
      <c r="E39" s="12">
        <f>SUMIFS(tbDIGITAÇÃO[[#All],[QUANTIDADE]],tbDIGITAÇÃO[[#All],[CÓD. PROCED.]],CONSOLIDADO!B39,tbDIGITAÇÃO[[#All],[Nº: CBO]],CONSOLIDADO!D39)</f>
        <v>1</v>
      </c>
    </row>
    <row r="40" spans="1:5" x14ac:dyDescent="0.3">
      <c r="A40" s="22" t="s">
        <v>13</v>
      </c>
      <c r="B40" s="22">
        <f>IFERROR(VLOOKUP(A40,tbPROCEDIMENTOS[],2,0),"-")</f>
        <v>301100020</v>
      </c>
      <c r="C40" s="12" t="s">
        <v>0</v>
      </c>
      <c r="D40" s="12">
        <f>IFERROR(VLOOKUP(C40,tbPROFISSIONAIS[],2,0), "")</f>
        <v>322230</v>
      </c>
      <c r="E40" s="12">
        <f>SUMIFS(tbDIGITAÇÃO[[#All],[QUANTIDADE]],tbDIGITAÇÃO[[#All],[CÓD. PROCED.]],CONSOLIDADO!B40,tbDIGITAÇÃO[[#All],[Nº: CBO]],CONSOLIDADO!D40)</f>
        <v>0</v>
      </c>
    </row>
    <row r="41" spans="1:5" x14ac:dyDescent="0.3">
      <c r="A41" s="23" t="s">
        <v>24</v>
      </c>
      <c r="B41" s="22">
        <f>IFERROR(VLOOKUP(A41,tbPROCEDIMENTOS[],2,0),"-")</f>
        <v>201020041</v>
      </c>
      <c r="C41" s="12" t="s">
        <v>28</v>
      </c>
      <c r="D41" s="12">
        <f>IFERROR(VLOOKUP(C41,tbPROFISSIONAIS[],2,0), "")</f>
        <v>223505</v>
      </c>
      <c r="E41" s="12">
        <f>SUMIFS(tbDIGITAÇÃO[[#All],[QUANTIDADE]],tbDIGITAÇÃO[[#All],[CÓD. PROCED.]],CONSOLIDADO!B41,tbDIGITAÇÃO[[#All],[Nº: CBO]],CONSOLIDADO!D41)</f>
        <v>0</v>
      </c>
    </row>
    <row r="42" spans="1:5" x14ac:dyDescent="0.3">
      <c r="A42" s="24" t="s">
        <v>24</v>
      </c>
      <c r="B42" s="22">
        <f>IFERROR(VLOOKUP(A42,tbPROCEDIMENTOS[],2,0),"-")</f>
        <v>201020041</v>
      </c>
      <c r="C42" s="12" t="s">
        <v>27</v>
      </c>
      <c r="D42" s="12">
        <f>IFERROR(VLOOKUP(C42,tbPROFISSIONAIS[],2,0), "")</f>
        <v>223565</v>
      </c>
      <c r="E42" s="12">
        <f>SUMIFS(tbDIGITAÇÃO[[#All],[QUANTIDADE]],tbDIGITAÇÃO[[#All],[CÓD. PROCED.]],CONSOLIDADO!B42,tbDIGITAÇÃO[[#All],[Nº: CBO]],CONSOLIDADO!D42)</f>
        <v>0</v>
      </c>
    </row>
    <row r="43" spans="1:5" x14ac:dyDescent="0.3">
      <c r="A43" s="24" t="s">
        <v>24</v>
      </c>
      <c r="B43" s="22">
        <f>IFERROR(VLOOKUP(A43,tbPROCEDIMENTOS[],2,0),"-")</f>
        <v>201020041</v>
      </c>
      <c r="C43" s="12" t="s">
        <v>25</v>
      </c>
      <c r="D43" s="12">
        <f>IFERROR(VLOOKUP(C43,tbPROFISSIONAIS[],2,0), "")</f>
        <v>322245</v>
      </c>
      <c r="E43" s="12">
        <f>SUMIFS(tbDIGITAÇÃO[[#All],[QUANTIDADE]],tbDIGITAÇÃO[[#All],[CÓD. PROCED.]],CONSOLIDADO!B43,tbDIGITAÇÃO[[#All],[Nº: CBO]],CONSOLIDADO!D43)</f>
        <v>0</v>
      </c>
    </row>
    <row r="44" spans="1:5" x14ac:dyDescent="0.3">
      <c r="A44" s="25" t="s">
        <v>24</v>
      </c>
      <c r="B44" s="22">
        <f>IFERROR(VLOOKUP(A44,tbPROCEDIMENTOS[],2,0),"-")</f>
        <v>201020041</v>
      </c>
      <c r="C44" s="12" t="s">
        <v>0</v>
      </c>
      <c r="D44" s="12">
        <f>IFERROR(VLOOKUP(C44,tbPROFISSIONAIS[],2,0), "")</f>
        <v>322230</v>
      </c>
      <c r="E44" s="12">
        <f>SUMIFS(tbDIGITAÇÃO[[#All],[QUANTIDADE]],tbDIGITAÇÃO[[#All],[CÓD. PROCED.]],CONSOLIDADO!B44,tbDIGITAÇÃO[[#All],[Nº: CBO]],CONSOLIDADO!D44)</f>
        <v>123</v>
      </c>
    </row>
    <row r="45" spans="1:5" x14ac:dyDescent="0.3">
      <c r="A45" s="23" t="s">
        <v>14</v>
      </c>
      <c r="B45" s="23">
        <f>IFERROR(VLOOKUP(A45,tbPROCEDIMENTOS[],2,0),"-")</f>
        <v>101030010</v>
      </c>
      <c r="C45" s="12" t="s">
        <v>27</v>
      </c>
      <c r="D45" s="12">
        <f>IFERROR(VLOOKUP(C45,tbPROFISSIONAIS[],2,0), "")</f>
        <v>223565</v>
      </c>
      <c r="E45" s="12">
        <f>SUMIFS(tbDIGITAÇÃO[[#All],[QUANTIDADE]],tbDIGITAÇÃO[[#All],[CÓD. PROCED.]],CONSOLIDADO!B45,tbDIGITAÇÃO[[#All],[Nº: CBO]],CONSOLIDADO!D45)</f>
        <v>0</v>
      </c>
    </row>
    <row r="46" spans="1:5" x14ac:dyDescent="0.3">
      <c r="A46" s="24"/>
      <c r="B46" s="24"/>
      <c r="C46" s="12" t="s">
        <v>25</v>
      </c>
      <c r="D46" s="12">
        <f>IFERROR(VLOOKUP(C46,tbPROFISSIONAIS[],2,0), "")</f>
        <v>322245</v>
      </c>
      <c r="E46" s="12">
        <f>SUMIFS(tbDIGITAÇÃO[[#All],[QUANTIDADE]],tbDIGITAÇÃO[[#All],[CÓD. PROCED.]],CONSOLIDADO!B46,tbDIGITAÇÃO[[#All],[Nº: CBO]],CONSOLIDADO!D46)</f>
        <v>0</v>
      </c>
    </row>
    <row r="47" spans="1:5" x14ac:dyDescent="0.3">
      <c r="A47" s="17" t="s">
        <v>14</v>
      </c>
      <c r="B47" s="17">
        <f>IFERROR(VLOOKUP(A45,tbPROCEDIMENTOS[],2,0),"-")</f>
        <v>101030010</v>
      </c>
      <c r="C47" s="12" t="s">
        <v>26</v>
      </c>
      <c r="D47" s="12">
        <f>IFERROR(VLOOKUP(C47,tbPROFISSIONAIS[],2,0), "")</f>
        <v>515105</v>
      </c>
      <c r="E47" s="12">
        <f>SUMIFS(tbDIGITAÇÃO[[#All],[QUANTIDADE]],tbDIGITAÇÃO[[#All],[CÓD. PROCED.]],CONSOLIDADO!B47,tbDIGITAÇÃO[[#All],[Nº: CBO]],CONSOLIDADO!D47)</f>
        <v>0</v>
      </c>
    </row>
    <row r="48" spans="1:5" x14ac:dyDescent="0.3">
      <c r="A48" s="19" t="s">
        <v>14</v>
      </c>
      <c r="B48" s="19">
        <f>IFERROR(VLOOKUP(A45,tbPROCEDIMENTOS[],2,0),"-")</f>
        <v>101030010</v>
      </c>
      <c r="C48" s="12" t="s">
        <v>47</v>
      </c>
      <c r="D48" s="12">
        <f>IFERROR(VLOOKUP(C48,tbPROFISSIONAIS[],2,0), "")</f>
        <v>225142</v>
      </c>
      <c r="E48" s="12">
        <f>SUMIFS(tbDIGITAÇÃO[[#All],[QUANTIDADE]],tbDIGITAÇÃO[[#All],[CÓD. PROCED.]],CONSOLIDADO!B48,tbDIGITAÇÃO[[#All],[Nº: CBO]],CONSOLIDADO!D48)</f>
        <v>0</v>
      </c>
    </row>
    <row r="49" spans="1:5" x14ac:dyDescent="0.3">
      <c r="A49" s="13" t="s">
        <v>4</v>
      </c>
      <c r="B49" s="13">
        <f>IFERROR(VLOOKUP(A49,tbPROCEDIMENTOS[],2,0),"-")</f>
        <v>301040028</v>
      </c>
      <c r="C49" s="12" t="s">
        <v>1</v>
      </c>
      <c r="D49" s="12">
        <f>IFERROR(VLOOKUP(C49,tbPROFISSIONAIS[],2,0), "")</f>
        <v>225250</v>
      </c>
      <c r="E49" s="12">
        <f>SUMIFS(tbDIGITAÇÃO[[#All],[QUANTIDADE]],tbDIGITAÇÃO[[#All],[CÓD. PROCED.]],CONSOLIDADO!B49,tbDIGITAÇÃO[[#All],[Nº: CBO]],CONSOLIDADO!D49)</f>
        <v>0</v>
      </c>
    </row>
    <row r="50" spans="1:5" x14ac:dyDescent="0.3">
      <c r="A50" s="12" t="s">
        <v>15</v>
      </c>
      <c r="B50" s="12">
        <f>IFERROR(VLOOKUP(A50,tbPROCEDIMENTOS[],2,0),"-")</f>
        <v>309030048</v>
      </c>
      <c r="C50" s="12" t="s">
        <v>1</v>
      </c>
      <c r="D50" s="12">
        <f>IFERROR(VLOOKUP(C50,tbPROFISSIONAIS[],2,0), "")</f>
        <v>225250</v>
      </c>
      <c r="E50" s="12">
        <f>SUMIFS(tbDIGITAÇÃO[[#All],[QUANTIDADE]],tbDIGITAÇÃO[[#All],[CÓD. PROCED.]],CONSOLIDADO!B50,tbDIGITAÇÃO[[#All],[Nº: CBO]],CONSOLIDADO!D50)</f>
        <v>0</v>
      </c>
    </row>
    <row r="51" spans="1:5" x14ac:dyDescent="0.3">
      <c r="A51" s="13" t="s">
        <v>16</v>
      </c>
      <c r="B51" s="13">
        <f>IFERROR(VLOOKUP(A51,tbPROCEDIMENTOS[],2,0),"-")</f>
        <v>301040044</v>
      </c>
      <c r="C51" s="12" t="s">
        <v>30</v>
      </c>
      <c r="D51" s="12">
        <f>IFERROR(VLOOKUP(C51,tbPROFISSIONAIS[],2,0), "")</f>
        <v>223810</v>
      </c>
      <c r="E51" s="12">
        <f>SUMIFS(tbDIGITAÇÃO[[#All],[QUANTIDADE]],tbDIGITAÇÃO[[#All],[CÓD. PROCED.]],CONSOLIDADO!B51,tbDIGITAÇÃO[[#All],[Nº: CBO]],CONSOLIDADO!D51)</f>
        <v>0</v>
      </c>
    </row>
    <row r="52" spans="1:5" x14ac:dyDescent="0.3">
      <c r="A52" s="12" t="s">
        <v>17</v>
      </c>
      <c r="B52" s="12">
        <f>IFERROR(VLOOKUP(A52,tbPROCEDIMENTOS[],2,0),"-")</f>
        <v>301040036</v>
      </c>
      <c r="C52" s="12" t="s">
        <v>30</v>
      </c>
      <c r="D52" s="12">
        <f>IFERROR(VLOOKUP(C52,tbPROFISSIONAIS[],2,0), "")</f>
        <v>223810</v>
      </c>
      <c r="E52" s="12">
        <f>SUMIFS(tbDIGITAÇÃO[[#All],[QUANTIDADE]],tbDIGITAÇÃO[[#All],[CÓD. PROCED.]],CONSOLIDADO!B52,tbDIGITAÇÃO[[#All],[Nº: CBO]],CONSOLIDADO!D52)</f>
        <v>0</v>
      </c>
    </row>
    <row r="53" spans="1:5" x14ac:dyDescent="0.3">
      <c r="A53" s="13" t="s">
        <v>18</v>
      </c>
      <c r="B53" s="13">
        <f>IFERROR(VLOOKUP(A53,tbPROCEDIMENTOS[],2,0),"-")</f>
        <v>211070076</v>
      </c>
      <c r="C53" s="12" t="s">
        <v>30</v>
      </c>
      <c r="D53" s="12">
        <f>IFERROR(VLOOKUP(C53,tbPROFISSIONAIS[],2,0), "")</f>
        <v>223810</v>
      </c>
      <c r="E53" s="12">
        <f>SUMIFS(tbDIGITAÇÃO[[#All],[QUANTIDADE]],tbDIGITAÇÃO[[#All],[CÓD. PROCED.]],CONSOLIDADO!B53,tbDIGITAÇÃO[[#All],[Nº: CBO]],CONSOLIDADO!D53)</f>
        <v>0</v>
      </c>
    </row>
    <row r="54" spans="1:5" x14ac:dyDescent="0.3">
      <c r="A54" s="12" t="s">
        <v>19</v>
      </c>
      <c r="B54" s="12">
        <f>IFERROR(VLOOKUP(A54,tbPROCEDIMENTOS[],2,0),"-")</f>
        <v>211070114</v>
      </c>
      <c r="C54" s="12" t="s">
        <v>30</v>
      </c>
      <c r="D54" s="12">
        <f>IFERROR(VLOOKUP(C54,tbPROFISSIONAIS[],2,0), "")</f>
        <v>223810</v>
      </c>
      <c r="E54" s="12">
        <f>SUMIFS(tbDIGITAÇÃO[[#All],[QUANTIDADE]],tbDIGITAÇÃO[[#All],[CÓD. PROCED.]],CONSOLIDADO!B54,tbDIGITAÇÃO[[#All],[Nº: CBO]],CONSOLIDADO!D54)</f>
        <v>0</v>
      </c>
    </row>
    <row r="55" spans="1:5" x14ac:dyDescent="0.3">
      <c r="A55" s="13" t="s">
        <v>20</v>
      </c>
      <c r="B55" s="13">
        <f>IFERROR(VLOOKUP(A55,tbPROCEDIMENTOS[],2,0),"-")</f>
        <v>211070068</v>
      </c>
      <c r="C55" s="12" t="s">
        <v>30</v>
      </c>
      <c r="D55" s="12">
        <f>IFERROR(VLOOKUP(C55,tbPROFISSIONAIS[],2,0), "")</f>
        <v>223810</v>
      </c>
      <c r="E55" s="12">
        <f>SUMIFS(tbDIGITAÇÃO[[#All],[QUANTIDADE]],tbDIGITAÇÃO[[#All],[CÓD. PROCED.]],CONSOLIDADO!B55,tbDIGITAÇÃO[[#All],[Nº: CBO]],CONSOLIDADO!D55)</f>
        <v>0</v>
      </c>
    </row>
    <row r="56" spans="1:5" x14ac:dyDescent="0.3">
      <c r="A56" s="13" t="s">
        <v>37</v>
      </c>
      <c r="B56" s="13">
        <f>IFERROR(VLOOKUP(A56,tbPROCEDIMENTOS[],2,0),"-")</f>
        <v>301040044</v>
      </c>
      <c r="C56" s="12" t="s">
        <v>29</v>
      </c>
      <c r="D56" s="12">
        <f>IFERROR(VLOOKUP(C56,tbPROFISSIONAIS[],2,0), "")</f>
        <v>251510</v>
      </c>
      <c r="E56" s="12">
        <f>SUMIFS(tbDIGITAÇÃO[[#All],[QUANTIDADE]],tbDIGITAÇÃO[[#All],[CÓD. PROCED.]],CONSOLIDADO!B56,tbDIGITAÇÃO[[#All],[Nº: CBO]],CONSOLIDADO!D56)</f>
        <v>0</v>
      </c>
    </row>
    <row r="57" spans="1:5" x14ac:dyDescent="0.3">
      <c r="A57" s="20" t="s">
        <v>38</v>
      </c>
      <c r="B57" s="20">
        <f>IFERROR(VLOOKUP(A57,tbPROCEDIMENTOS[],2,0),"-")</f>
        <v>101010010</v>
      </c>
      <c r="C57" s="12" t="s">
        <v>28</v>
      </c>
      <c r="D57" s="12">
        <f>IFERROR(VLOOKUP(C57,tbPROFISSIONAIS[],2,0), "")</f>
        <v>223505</v>
      </c>
      <c r="E57" s="12">
        <f>SUMIFS(tbDIGITAÇÃO[[#All],[QUANTIDADE]],tbDIGITAÇÃO[[#All],[CÓD. PROCED.]],CONSOLIDADO!B57,tbDIGITAÇÃO[[#All],[Nº: CBO]],CONSOLIDADO!D57)</f>
        <v>1</v>
      </c>
    </row>
    <row r="58" spans="1:5" x14ac:dyDescent="0.3">
      <c r="A58" s="20" t="s">
        <v>38</v>
      </c>
      <c r="B58" s="20">
        <f>IFERROR(VLOOKUP(A58,tbPROCEDIMENTOS[],2,0),"-")</f>
        <v>101010010</v>
      </c>
      <c r="C58" s="12" t="s">
        <v>27</v>
      </c>
      <c r="D58" s="12">
        <f>IFERROR(VLOOKUP(C58,tbPROFISSIONAIS[],2,0), "")</f>
        <v>223565</v>
      </c>
      <c r="E58" s="12">
        <f>SUMIFS(tbDIGITAÇÃO[[#All],[QUANTIDADE]],tbDIGITAÇÃO[[#All],[CÓD. PROCED.]],CONSOLIDADO!B58,tbDIGITAÇÃO[[#All],[Nº: CBO]],CONSOLIDADO!D58)</f>
        <v>1</v>
      </c>
    </row>
    <row r="59" spans="1:5" x14ac:dyDescent="0.3">
      <c r="A59" s="20" t="s">
        <v>45</v>
      </c>
      <c r="B59" s="20">
        <f>IFERROR(VLOOKUP(A59,tbPROCEDIMENTOS[],2,0),"-")</f>
        <v>214010058</v>
      </c>
      <c r="C59" s="12" t="s">
        <v>27</v>
      </c>
      <c r="D59" s="12">
        <f>IFERROR(VLOOKUP(C59,tbPROFISSIONAIS[],2,0), "")</f>
        <v>223565</v>
      </c>
      <c r="E59" s="12">
        <f>SUMIFS(tbDIGITAÇÃO[[#All],[QUANTIDADE]],tbDIGITAÇÃO[[#All],[CÓD. PROCED.]],CONSOLIDADO!B59,tbDIGITAÇÃO[[#All],[Nº: CBO]],CONSOLIDADO!D59)</f>
        <v>0</v>
      </c>
    </row>
    <row r="60" spans="1:5" x14ac:dyDescent="0.3">
      <c r="A60" s="20" t="s">
        <v>45</v>
      </c>
      <c r="B60" s="20">
        <f>IFERROR(VLOOKUP(A60,tbPROCEDIMENTOS[],2,0),"-")</f>
        <v>214010058</v>
      </c>
      <c r="C60" s="12" t="s">
        <v>28</v>
      </c>
      <c r="D60" s="12">
        <f>IFERROR(VLOOKUP(C60,tbPROFISSIONAIS[],2,0), "")</f>
        <v>223505</v>
      </c>
      <c r="E60" s="12">
        <f>SUMIFS(tbDIGITAÇÃO[[#All],[QUANTIDADE]],tbDIGITAÇÃO[[#All],[CÓD. PROCED.]],CONSOLIDADO!B60,tbDIGITAÇÃO[[#All],[Nº: CBO]],CONSOLIDADO!D60)</f>
        <v>2</v>
      </c>
    </row>
    <row r="61" spans="1:5" x14ac:dyDescent="0.3">
      <c r="A61" s="20" t="s">
        <v>46</v>
      </c>
      <c r="B61" s="20">
        <f>IFERROR(VLOOKUP(A61,tbPROCEDIMENTOS[],2,0),"-")</f>
        <v>214010074</v>
      </c>
      <c r="C61" s="12" t="s">
        <v>27</v>
      </c>
      <c r="D61" s="12">
        <f>IFERROR(VLOOKUP(C61,tbPROFISSIONAIS[],2,0), "")</f>
        <v>223565</v>
      </c>
      <c r="E61" s="12">
        <f>SUMIFS(tbDIGITAÇÃO[[#All],[QUANTIDADE]],tbDIGITAÇÃO[[#All],[CÓD. PROCED.]],CONSOLIDADO!B61,tbDIGITAÇÃO[[#All],[Nº: CBO]],CONSOLIDADO!D61)</f>
        <v>0</v>
      </c>
    </row>
    <row r="62" spans="1:5" x14ac:dyDescent="0.3">
      <c r="A62" s="20" t="s">
        <v>46</v>
      </c>
      <c r="B62" s="20">
        <f>IFERROR(VLOOKUP(A62,tbPROCEDIMENTOS[],2,0),"-")</f>
        <v>214010074</v>
      </c>
      <c r="C62" s="12" t="s">
        <v>28</v>
      </c>
      <c r="D62" s="12">
        <f>IFERROR(VLOOKUP(C62,tbPROFISSIONAIS[],2,0), "")</f>
        <v>223505</v>
      </c>
      <c r="E62" s="12">
        <f>SUMIFS(tbDIGITAÇÃO[[#All],[QUANTIDADE]],tbDIGITAÇÃO[[#All],[CÓD. PROCED.]],CONSOLIDADO!B62,tbDIGITAÇÃO[[#All],[Nº: CBO]],CONSOLIDADO!D62)</f>
        <v>2</v>
      </c>
    </row>
    <row r="63" spans="1:5" x14ac:dyDescent="0.3">
      <c r="A63" s="18" t="s">
        <v>42</v>
      </c>
      <c r="B63" s="13">
        <f>IFERROR(VLOOKUP(A63,tbPROCEDIMENTOS[],2,0),"-")</f>
        <v>301050052</v>
      </c>
      <c r="C63" s="12" t="s">
        <v>28</v>
      </c>
      <c r="D63" s="12">
        <f>IFERROR(VLOOKUP(C63,tbPROFISSIONAIS[],2,0), "")</f>
        <v>223505</v>
      </c>
      <c r="E63" s="12">
        <f>SUMIFS(tbDIGITAÇÃO[[#All],[QUANTIDADE]],tbDIGITAÇÃO[[#All],[CÓD. PROCED.]],CONSOLIDADO!B63,tbDIGITAÇÃO[[#All],[Nº: CBO]],CONSOLIDADO!D63)</f>
        <v>2</v>
      </c>
    </row>
    <row r="64" spans="1:5" x14ac:dyDescent="0.3">
      <c r="A64" s="13" t="s">
        <v>40</v>
      </c>
      <c r="B64" s="13">
        <f>IFERROR(VLOOKUP(A64,tbPROCEDIMENTOS[],2,0),"-")</f>
        <v>101010010</v>
      </c>
      <c r="C64" s="12" t="s">
        <v>39</v>
      </c>
      <c r="D64" s="12">
        <f>IFERROR(VLOOKUP(C64,tbPROFISSIONAIS[],2,0), "")</f>
        <v>223710</v>
      </c>
      <c r="E64" s="12">
        <f>SUMIFS(tbDIGITAÇÃO[[#All],[QUANTIDADE]],tbDIGITAÇÃO[[#All],[CÓD. PROCED.]],CONSOLIDADO!B64,tbDIGITAÇÃO[[#All],[Nº: CBO]],CONSOLIDADO!D64)</f>
        <v>0</v>
      </c>
    </row>
    <row r="66" spans="1:2" x14ac:dyDescent="0.3">
      <c r="B66" s="21"/>
    </row>
    <row r="67" spans="1:2" x14ac:dyDescent="0.3">
      <c r="B67" s="21"/>
    </row>
    <row r="68" spans="1:2" x14ac:dyDescent="0.3">
      <c r="A68" s="21"/>
    </row>
    <row r="69" spans="1:2" x14ac:dyDescent="0.3">
      <c r="A69" s="21"/>
    </row>
  </sheetData>
  <mergeCells count="32">
    <mergeCell ref="A45:A46"/>
    <mergeCell ref="B45:B46"/>
    <mergeCell ref="B25:B28"/>
    <mergeCell ref="A29:A32"/>
    <mergeCell ref="B29:B32"/>
    <mergeCell ref="A33:A36"/>
    <mergeCell ref="B33:B36"/>
    <mergeCell ref="A25:A28"/>
    <mergeCell ref="A37:A40"/>
    <mergeCell ref="B37:B40"/>
    <mergeCell ref="A41:A44"/>
    <mergeCell ref="B41:B44"/>
    <mergeCell ref="A2:A5"/>
    <mergeCell ref="B2:B5"/>
    <mergeCell ref="A6:A9"/>
    <mergeCell ref="B6:B9"/>
    <mergeCell ref="A10:A13"/>
    <mergeCell ref="B10:B13"/>
    <mergeCell ref="A14:A15"/>
    <mergeCell ref="B14:B15"/>
    <mergeCell ref="A16:A20"/>
    <mergeCell ref="B16:B20"/>
    <mergeCell ref="A21:A24"/>
    <mergeCell ref="B21:B24"/>
    <mergeCell ref="A57:A58"/>
    <mergeCell ref="B57:B58"/>
    <mergeCell ref="A68:A69"/>
    <mergeCell ref="A59:A60"/>
    <mergeCell ref="A61:A62"/>
    <mergeCell ref="B66:B67"/>
    <mergeCell ref="B59:B60"/>
    <mergeCell ref="B61:B62"/>
  </mergeCells>
  <dataValidations count="2">
    <dataValidation type="list" allowBlank="1" showInputMessage="1" showErrorMessage="1" sqref="A2:A45 A47:A64" xr:uid="{00000000-0002-0000-0100-000000000000}">
      <formula1>PROCEDIMENTOS</formula1>
    </dataValidation>
    <dataValidation type="list" allowBlank="1" showInputMessage="1" showErrorMessage="1" sqref="C2:C64" xr:uid="{00000000-0002-0000-0100-000001000000}">
      <formula1>PROFISSIONAIS</formula1>
    </dataValidation>
  </dataValidations>
  <pageMargins left="0.511811024" right="0.511811024" top="0.78740157499999996" bottom="0.78740157499999996" header="0.31496062000000002" footer="0.31496062000000002"/>
  <pageSetup paperSize="9" scale="63" orientation="portrait" r:id="rId1"/>
  <headerFooter>
    <oddHeader>&amp;C&amp;"-,Negrito itálico"&amp;14&amp;UUBS SANTO ONOFRE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PROCED">
    <tabColor rgb="FF00B050"/>
  </sheetPr>
  <dimension ref="A1:B28"/>
  <sheetViews>
    <sheetView showGridLines="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25.140625" style="1" bestFit="1" customWidth="1"/>
    <col min="2" max="2" width="18.28515625" style="1" bestFit="1" customWidth="1"/>
    <col min="3" max="3" width="23" style="1" customWidth="1"/>
    <col min="4" max="4" width="30.85546875" style="1" customWidth="1"/>
    <col min="5" max="5" width="19.5703125" style="1" customWidth="1"/>
    <col min="6" max="6" width="30.42578125" style="1" customWidth="1"/>
    <col min="7" max="7" width="13.7109375" style="1" customWidth="1"/>
    <col min="8" max="8" width="17.28515625" style="1" customWidth="1"/>
    <col min="9" max="9" width="14" style="1" customWidth="1"/>
    <col min="10" max="10" width="17.28515625" style="1" customWidth="1"/>
    <col min="11" max="12" width="14" style="1" customWidth="1"/>
    <col min="13" max="16384" width="9.140625" style="1"/>
  </cols>
  <sheetData>
    <row r="1" spans="1:2" x14ac:dyDescent="0.25">
      <c r="A1" s="2" t="s">
        <v>22</v>
      </c>
      <c r="B1" s="2" t="s">
        <v>23</v>
      </c>
    </row>
    <row r="2" spans="1:2" x14ac:dyDescent="0.25">
      <c r="A2" s="1" t="s">
        <v>15</v>
      </c>
      <c r="B2" s="6">
        <v>309030048</v>
      </c>
    </row>
    <row r="3" spans="1:2" x14ac:dyDescent="0.25">
      <c r="A3" s="1" t="s">
        <v>8</v>
      </c>
      <c r="B3" s="6">
        <v>401010023</v>
      </c>
    </row>
    <row r="4" spans="1:2" x14ac:dyDescent="0.25">
      <c r="A4" s="1" t="s">
        <v>4</v>
      </c>
      <c r="B4" s="6">
        <v>301040028</v>
      </c>
    </row>
    <row r="5" spans="1:2" x14ac:dyDescent="0.25">
      <c r="A5" s="1" t="s">
        <v>41</v>
      </c>
      <c r="B5" s="6">
        <v>211020036</v>
      </c>
    </row>
    <row r="6" spans="1:2" x14ac:dyDescent="0.25">
      <c r="A6" s="1" t="s">
        <v>24</v>
      </c>
      <c r="B6" s="6">
        <v>201020041</v>
      </c>
    </row>
    <row r="7" spans="1:2" x14ac:dyDescent="0.25">
      <c r="A7" s="1" t="s">
        <v>16</v>
      </c>
      <c r="B7" s="6">
        <v>301040044</v>
      </c>
    </row>
    <row r="8" spans="1:2" x14ac:dyDescent="0.25">
      <c r="A8" s="1" t="s">
        <v>17</v>
      </c>
      <c r="B8" s="6">
        <v>301040036</v>
      </c>
    </row>
    <row r="9" spans="1:2" x14ac:dyDescent="0.25">
      <c r="A9" s="1" t="s">
        <v>18</v>
      </c>
      <c r="B9" s="6">
        <v>211070076</v>
      </c>
    </row>
    <row r="10" spans="1:2" x14ac:dyDescent="0.25">
      <c r="A10" s="1" t="s">
        <v>19</v>
      </c>
      <c r="B10" s="6">
        <v>211070114</v>
      </c>
    </row>
    <row r="11" spans="1:2" x14ac:dyDescent="0.25">
      <c r="A11" s="1" t="s">
        <v>20</v>
      </c>
      <c r="B11" s="6">
        <v>211070068</v>
      </c>
    </row>
    <row r="12" spans="1:2" x14ac:dyDescent="0.25">
      <c r="A12" s="1" t="s">
        <v>10</v>
      </c>
      <c r="B12" s="6">
        <v>214010015</v>
      </c>
    </row>
    <row r="13" spans="1:2" x14ac:dyDescent="0.25">
      <c r="A13" s="4" t="s">
        <v>38</v>
      </c>
      <c r="B13" s="7">
        <v>101010010</v>
      </c>
    </row>
    <row r="14" spans="1:2" x14ac:dyDescent="0.25">
      <c r="A14" s="4" t="s">
        <v>40</v>
      </c>
      <c r="B14" s="7">
        <v>101010010</v>
      </c>
    </row>
    <row r="15" spans="1:2" x14ac:dyDescent="0.25">
      <c r="A15" s="4" t="s">
        <v>37</v>
      </c>
      <c r="B15" s="7">
        <v>301040044</v>
      </c>
    </row>
    <row r="16" spans="1:2" x14ac:dyDescent="0.25">
      <c r="A16" s="1" t="s">
        <v>7</v>
      </c>
      <c r="B16" s="6">
        <v>301100101</v>
      </c>
    </row>
    <row r="17" spans="1:2" x14ac:dyDescent="0.25">
      <c r="A17" s="1" t="s">
        <v>13</v>
      </c>
      <c r="B17" s="6">
        <v>301100020</v>
      </c>
    </row>
    <row r="18" spans="1:2" x14ac:dyDescent="0.25">
      <c r="A18" s="1" t="s">
        <v>6</v>
      </c>
      <c r="B18" s="6">
        <v>301100012</v>
      </c>
    </row>
    <row r="19" spans="1:2" x14ac:dyDescent="0.25">
      <c r="A19" s="1" t="s">
        <v>9</v>
      </c>
      <c r="B19" s="6">
        <v>201020033</v>
      </c>
    </row>
    <row r="20" spans="1:2" x14ac:dyDescent="0.25">
      <c r="A20" s="1" t="s">
        <v>33</v>
      </c>
      <c r="B20" s="6">
        <v>301100039</v>
      </c>
    </row>
    <row r="21" spans="1:2" x14ac:dyDescent="0.25">
      <c r="A21" s="1" t="s">
        <v>11</v>
      </c>
      <c r="B21" s="6">
        <v>301100152</v>
      </c>
    </row>
    <row r="22" spans="1:2" x14ac:dyDescent="0.25">
      <c r="A22" s="1" t="s">
        <v>12</v>
      </c>
      <c r="B22" s="6">
        <v>214010066</v>
      </c>
    </row>
    <row r="23" spans="1:2" x14ac:dyDescent="0.25">
      <c r="A23" s="1" t="s">
        <v>43</v>
      </c>
      <c r="B23" s="6">
        <v>251254</v>
      </c>
    </row>
    <row r="24" spans="1:2" x14ac:dyDescent="0.25">
      <c r="A24" s="1" t="s">
        <v>42</v>
      </c>
      <c r="B24" s="6">
        <v>301050052</v>
      </c>
    </row>
    <row r="25" spans="1:2" x14ac:dyDescent="0.25">
      <c r="A25" s="4" t="s">
        <v>45</v>
      </c>
      <c r="B25" s="7">
        <v>214010058</v>
      </c>
    </row>
    <row r="26" spans="1:2" x14ac:dyDescent="0.25">
      <c r="A26" s="4" t="s">
        <v>46</v>
      </c>
      <c r="B26" s="7">
        <v>214010074</v>
      </c>
    </row>
    <row r="27" spans="1:2" x14ac:dyDescent="0.25">
      <c r="A27" s="1" t="s">
        <v>14</v>
      </c>
      <c r="B27" s="6">
        <v>101030010</v>
      </c>
    </row>
    <row r="28" spans="1:2" x14ac:dyDescent="0.25">
      <c r="A28" s="4" t="s">
        <v>14</v>
      </c>
      <c r="B28" s="7">
        <v>101030010</v>
      </c>
    </row>
  </sheetData>
  <sortState ref="A2:B28">
    <sortCondition ref="A2"/>
  </sortState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PROF">
    <tabColor rgb="FF00B050"/>
  </sheetPr>
  <dimension ref="A1:B16"/>
  <sheetViews>
    <sheetView showGridLines="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24.42578125" style="1" customWidth="1"/>
    <col min="2" max="2" width="16.5703125" style="1" customWidth="1"/>
    <col min="3" max="3" width="23" style="1" customWidth="1"/>
    <col min="4" max="4" width="30.85546875" style="1" customWidth="1"/>
    <col min="5" max="5" width="19.5703125" style="1" customWidth="1"/>
    <col min="6" max="6" width="30.42578125" style="1" customWidth="1"/>
    <col min="7" max="7" width="13.7109375" style="1" customWidth="1"/>
    <col min="8" max="8" width="17.28515625" style="1" customWidth="1"/>
    <col min="9" max="9" width="14" style="1" customWidth="1"/>
    <col min="10" max="10" width="17.28515625" style="1" customWidth="1"/>
    <col min="11" max="12" width="14" style="1" customWidth="1"/>
    <col min="13" max="16384" width="9.140625" style="1"/>
  </cols>
  <sheetData>
    <row r="1" spans="1:2" x14ac:dyDescent="0.25">
      <c r="A1" s="2" t="s">
        <v>5</v>
      </c>
      <c r="B1" s="2" t="s">
        <v>21</v>
      </c>
    </row>
    <row r="2" spans="1:2" x14ac:dyDescent="0.25">
      <c r="A2" s="1" t="s">
        <v>26</v>
      </c>
      <c r="B2" s="1">
        <v>515105</v>
      </c>
    </row>
    <row r="3" spans="1:2" x14ac:dyDescent="0.25">
      <c r="A3" s="1" t="s">
        <v>0</v>
      </c>
      <c r="B3" s="1">
        <v>322230</v>
      </c>
    </row>
    <row r="4" spans="1:2" x14ac:dyDescent="0.25">
      <c r="A4" s="1" t="s">
        <v>32</v>
      </c>
      <c r="B4" s="1">
        <v>225125</v>
      </c>
    </row>
    <row r="5" spans="1:2" x14ac:dyDescent="0.25">
      <c r="A5" s="1" t="s">
        <v>44</v>
      </c>
      <c r="B5" s="1">
        <v>3526125</v>
      </c>
    </row>
    <row r="6" spans="1:2" x14ac:dyDescent="0.25">
      <c r="A6" s="1" t="s">
        <v>28</v>
      </c>
      <c r="B6" s="1">
        <v>223505</v>
      </c>
    </row>
    <row r="7" spans="1:2" x14ac:dyDescent="0.25">
      <c r="A7" s="1" t="s">
        <v>27</v>
      </c>
      <c r="B7" s="1">
        <v>223565</v>
      </c>
    </row>
    <row r="8" spans="1:2" x14ac:dyDescent="0.25">
      <c r="A8" s="1" t="s">
        <v>30</v>
      </c>
      <c r="B8" s="1">
        <v>223810</v>
      </c>
    </row>
    <row r="9" spans="1:2" x14ac:dyDescent="0.25">
      <c r="A9" s="1" t="s">
        <v>1</v>
      </c>
      <c r="B9" s="1">
        <v>225250</v>
      </c>
    </row>
    <row r="10" spans="1:2" x14ac:dyDescent="0.25">
      <c r="A10" s="4" t="s">
        <v>39</v>
      </c>
      <c r="B10" s="4">
        <v>223710</v>
      </c>
    </row>
    <row r="11" spans="1:2" x14ac:dyDescent="0.25">
      <c r="A11" s="1" t="s">
        <v>31</v>
      </c>
      <c r="B11" s="1">
        <v>223208</v>
      </c>
    </row>
    <row r="12" spans="1:2" x14ac:dyDescent="0.25">
      <c r="A12" s="1" t="s">
        <v>2</v>
      </c>
      <c r="B12" s="1">
        <v>225124</v>
      </c>
    </row>
    <row r="13" spans="1:2" x14ac:dyDescent="0.25">
      <c r="A13" s="1" t="s">
        <v>29</v>
      </c>
      <c r="B13" s="1">
        <v>251510</v>
      </c>
    </row>
    <row r="14" spans="1:2" x14ac:dyDescent="0.25">
      <c r="A14" s="1" t="s">
        <v>3</v>
      </c>
      <c r="B14" s="1">
        <v>225133</v>
      </c>
    </row>
    <row r="15" spans="1:2" x14ac:dyDescent="0.25">
      <c r="A15" s="1" t="s">
        <v>25</v>
      </c>
      <c r="B15" s="1">
        <v>322245</v>
      </c>
    </row>
    <row r="16" spans="1:2" x14ac:dyDescent="0.25">
      <c r="A16" s="4" t="s">
        <v>47</v>
      </c>
      <c r="B16" s="4">
        <v>225142</v>
      </c>
    </row>
  </sheetData>
  <sortState ref="A2:B16">
    <sortCondition ref="A2"/>
  </sortState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DIGITAÇÃO</vt:lpstr>
      <vt:lpstr>CONSOLIDADO</vt:lpstr>
      <vt:lpstr>PROCEDIMENTOS</vt:lpstr>
      <vt:lpstr>PROFISSIONAIS</vt:lpstr>
      <vt:lpstr>PROCEDIMENTOS</vt:lpstr>
      <vt:lpstr>PROFISSIONAIS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Junior&amp;Cris</dc:creator>
  <cp:lastModifiedBy>Ivanildo Junior</cp:lastModifiedBy>
  <cp:lastPrinted>2017-01-24T12:44:38Z</cp:lastPrinted>
  <dcterms:created xsi:type="dcterms:W3CDTF">2016-11-20T23:21:39Z</dcterms:created>
  <dcterms:modified xsi:type="dcterms:W3CDTF">2017-08-25T15:53:48Z</dcterms:modified>
</cp:coreProperties>
</file>