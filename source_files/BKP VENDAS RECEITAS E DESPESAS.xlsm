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"/>
    </mc:Choice>
  </mc:AlternateContent>
  <bookViews>
    <workbookView xWindow="0" yWindow="0" windowWidth="20490" windowHeight="8955" tabRatio="930"/>
  </bookViews>
  <sheets>
    <sheet name="RECEITAS" sheetId="7" r:id="rId1"/>
    <sheet name="DESPESAS" sheetId="8" r:id="rId2"/>
    <sheet name="BOM" sheetId="13" r:id="rId3"/>
    <sheet name="VENDAS" sheetId="1" r:id="rId4"/>
    <sheet name="VENDAS KG" sheetId="5" r:id="rId5"/>
    <sheet name="DESPESAS NF" sheetId="2" r:id="rId6"/>
    <sheet name="CONTAGEM" sheetId="6" r:id="rId7"/>
    <sheet name="PEDIDOS" sheetId="3" r:id="rId8"/>
    <sheet name="PARCELAMENTOS" sheetId="9" r:id="rId9"/>
    <sheet name="BELARA" sheetId="10" r:id="rId10"/>
    <sheet name="MONTADORES" sheetId="11" r:id="rId11"/>
    <sheet name="ORÇAMENTOS MOBÍLIA" sheetId="12" r:id="rId12"/>
  </sheets>
  <definedNames>
    <definedName name="_xlnm._FilterDatabase" localSheetId="9" hidden="1">BELARA!$A$1:$C$12</definedName>
    <definedName name="_xlnm._FilterDatabase" localSheetId="1" hidden="1">DESPESAS!#REF!</definedName>
    <definedName name="_xlnm._FilterDatabase" localSheetId="11" hidden="1">'ORÇAMENTOS MOBÍLIA'!$A$19:$B$19</definedName>
    <definedName name="_xlnm._FilterDatabase" localSheetId="8" hidden="1">PARCELAMENTOS!$A$1:$I$11</definedName>
    <definedName name="DIÁRIO_LÍQUIDO" localSheetId="9">#REF!</definedName>
    <definedName name="DIÁRIO_LÍQUIDO" localSheetId="10">#REF!</definedName>
    <definedName name="DIÁRIO_LÍQUIDO" localSheetId="11">#REF!</definedName>
    <definedName name="DIÁRIO_LÍQUIDO">#REF!</definedName>
    <definedName name="GRAF_DESPESAS" localSheetId="9">#REF!</definedName>
    <definedName name="GRAF_DESPESAS" localSheetId="10">#REF!</definedName>
    <definedName name="GRAF_DESPESAS" localSheetId="11">#REF!</definedName>
    <definedName name="GRAF_DESPESAS">#REF!</definedName>
    <definedName name="GRAF_SALDO" localSheetId="9">#REF!</definedName>
    <definedName name="GRAF_SALDO" localSheetId="10">#REF!</definedName>
    <definedName name="GRAF_SALDO" localSheetId="11">#REF!</definedName>
    <definedName name="GRAF_SALDO">#REF!</definedName>
    <definedName name="ImagemGraf" localSheetId="9">CHOOSE(#REF!,BELARA!GRAF_SALDO,BELARA!GRAF_DESPESAS)</definedName>
    <definedName name="ImagemGraf" localSheetId="1">CHOOSE(#REF!,GRAF_SALDO,GRAF_DESPESAS)</definedName>
    <definedName name="ImagemGraf" localSheetId="10">CHOOSE(#REF!,MONTADORES!GRAF_SALDO,MONTADORES!GRAF_DESPESAS)</definedName>
    <definedName name="ImagemGraf" localSheetId="11">CHOOSE(#REF!,'ORÇAMENTOS MOBÍLIA'!GRAF_SALDO,'ORÇAMENTOS MOBÍLIA'!GRAF_DESPESAS)</definedName>
    <definedName name="ImagemGraf" localSheetId="8">CHOOSE(#REF!,GRAF_SALDO,GRAF_DESPESAS)</definedName>
    <definedName name="ImagemGraf">CHOOSE(#REF!,GRAF_SALDO,GRAF_DESPESAS)</definedName>
    <definedName name="LISTACÉDULASMOEDAS">CONTAGEM!$K$2:$K$12</definedName>
    <definedName name="TOTAL">SUM(TBCX_CUSTO[[#Totals],[QUANTIDADE]],TBCX_LUCRO[[#Totals],[QUANTIDADE]])</definedName>
    <definedName name="TOTAL_POUP" localSheetId="9">#REF!</definedName>
    <definedName name="TOTAL_POUP" localSheetId="10">#REF!</definedName>
    <definedName name="TOTAL_POUP" localSheetId="11">#REF!</definedName>
    <definedName name="TOTAL_POUP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3" l="1"/>
  <c r="F2" i="13"/>
  <c r="C2" i="13"/>
  <c r="B4" i="1" l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3" i="1"/>
  <c r="J2" i="5" l="1"/>
  <c r="J3" i="5"/>
  <c r="J4" i="5"/>
  <c r="J5" i="5"/>
  <c r="J6" i="5"/>
  <c r="B6" i="5"/>
  <c r="C6" i="5"/>
  <c r="D6" i="5"/>
  <c r="B13" i="2"/>
  <c r="C13" i="2"/>
  <c r="F13" i="2"/>
  <c r="B12" i="2" l="1"/>
  <c r="C12" i="2"/>
  <c r="F12" i="2"/>
  <c r="B5" i="5"/>
  <c r="C5" i="5"/>
  <c r="D5" i="5"/>
  <c r="G5" i="5"/>
  <c r="H5" i="5"/>
  <c r="A19" i="1" a="1"/>
  <c r="A19" i="1" s="1"/>
  <c r="C18" i="1"/>
  <c r="D18" i="1"/>
  <c r="I18" i="1"/>
  <c r="J18" i="1"/>
  <c r="K18" i="1" s="1"/>
  <c r="L18" i="1" s="1"/>
  <c r="M18" i="1" s="1"/>
  <c r="N18" i="1" s="1"/>
  <c r="I5" i="5" l="1"/>
  <c r="H2" i="12"/>
  <c r="H3" i="12"/>
  <c r="H4" i="12"/>
  <c r="B19" i="12" s="1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C2" i="10"/>
  <c r="D2" i="10" s="1"/>
  <c r="B3" i="10"/>
  <c r="D3" i="10" s="1"/>
  <c r="C3" i="10"/>
  <c r="B4" i="10"/>
  <c r="C4" i="10" s="1"/>
  <c r="D4" i="10" s="1"/>
  <c r="B5" i="10"/>
  <c r="C5" i="10" s="1"/>
  <c r="D5" i="10" s="1"/>
  <c r="B6" i="10"/>
  <c r="C6" i="10" s="1"/>
  <c r="B7" i="10" l="1"/>
  <c r="D6" i="10"/>
  <c r="B8" i="10" l="1"/>
  <c r="C7" i="10"/>
  <c r="D7" i="10" s="1"/>
  <c r="B9" i="10" l="1"/>
  <c r="C8" i="10"/>
  <c r="D8" i="10" s="1"/>
  <c r="C9" i="10" l="1"/>
  <c r="D9" i="10" s="1"/>
  <c r="B10" i="10"/>
  <c r="C10" i="10" l="1"/>
  <c r="D10" i="10"/>
  <c r="B11" i="10"/>
  <c r="C11" i="10" l="1"/>
  <c r="D11" i="10" s="1"/>
  <c r="B12" i="10"/>
  <c r="C12" i="10" l="1"/>
  <c r="D12" i="10"/>
  <c r="C2" i="9" l="1"/>
  <c r="I2" i="9" s="1"/>
  <c r="C3" i="9"/>
  <c r="I3" i="9" s="1"/>
  <c r="J3" i="9" s="1"/>
  <c r="C4" i="9"/>
  <c r="I4" i="9" s="1"/>
  <c r="J4" i="9" s="1"/>
  <c r="C5" i="9"/>
  <c r="I5" i="9" s="1"/>
  <c r="J5" i="9" s="1"/>
  <c r="C6" i="9"/>
  <c r="I6" i="9" s="1"/>
  <c r="J6" i="9" s="1"/>
  <c r="C7" i="9"/>
  <c r="I7" i="9" s="1"/>
  <c r="J7" i="9" s="1"/>
  <c r="C8" i="9"/>
  <c r="I8" i="9" s="1"/>
  <c r="J8" i="9" s="1"/>
  <c r="C9" i="9"/>
  <c r="I9" i="9" s="1"/>
  <c r="J9" i="9" s="1"/>
  <c r="C10" i="9"/>
  <c r="I10" i="9" s="1"/>
  <c r="J10" i="9" s="1"/>
  <c r="C11" i="9"/>
  <c r="I11" i="9" s="1"/>
  <c r="J11" i="9" s="1"/>
  <c r="B43" i="8"/>
  <c r="B44" i="8"/>
  <c r="B52" i="8"/>
  <c r="B60" i="8"/>
  <c r="B68" i="8"/>
  <c r="B76" i="8"/>
  <c r="B83" i="8"/>
  <c r="B89" i="8"/>
  <c r="B95" i="8"/>
  <c r="B100" i="8"/>
  <c r="B113" i="8"/>
  <c r="B2" i="2"/>
  <c r="B3" i="2"/>
  <c r="B4" i="2"/>
  <c r="B5" i="2"/>
  <c r="B6" i="2"/>
  <c r="B7" i="2"/>
  <c r="B8" i="2"/>
  <c r="B9" i="2"/>
  <c r="B10" i="2"/>
  <c r="B11" i="2"/>
  <c r="C2" i="2"/>
  <c r="C3" i="2"/>
  <c r="C4" i="2"/>
  <c r="C5" i="2"/>
  <c r="C6" i="2"/>
  <c r="C7" i="2"/>
  <c r="C8" i="2"/>
  <c r="C9" i="2"/>
  <c r="C10" i="2"/>
  <c r="C11" i="2"/>
  <c r="C2" i="5"/>
  <c r="C3" i="5"/>
  <c r="C4" i="5"/>
  <c r="B2" i="5"/>
  <c r="B3" i="5"/>
  <c r="B4" i="5"/>
  <c r="D2" i="5"/>
  <c r="D3" i="5"/>
  <c r="D4" i="5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J2" i="9" l="1"/>
  <c r="K2" i="9"/>
  <c r="K11" i="9"/>
  <c r="K10" i="9"/>
  <c r="K9" i="9"/>
  <c r="K8" i="9"/>
  <c r="K7" i="9"/>
  <c r="K6" i="9"/>
  <c r="K5" i="9"/>
  <c r="K4" i="9"/>
  <c r="K3" i="9"/>
  <c r="B8" i="7"/>
  <c r="B7" i="7"/>
  <c r="B11" i="7"/>
  <c r="B2" i="7"/>
  <c r="B14" i="7"/>
  <c r="B10" i="7"/>
  <c r="B6" i="7"/>
  <c r="B15" i="7"/>
  <c r="B3" i="7"/>
  <c r="B13" i="7"/>
  <c r="B9" i="7"/>
  <c r="B4" i="7"/>
  <c r="B12" i="7"/>
  <c r="F11" i="2" l="1"/>
  <c r="B13" i="6" l="1" a="1"/>
  <c r="B13" i="6" s="1"/>
  <c r="F10" i="2"/>
  <c r="F9" i="2"/>
  <c r="F8" i="2"/>
  <c r="F7" i="2"/>
  <c r="F6" i="2"/>
  <c r="F5" i="2"/>
  <c r="F4" i="2"/>
  <c r="F3" i="2"/>
  <c r="I17" i="1" l="1"/>
  <c r="J17" i="1"/>
  <c r="K17" i="1" s="1"/>
  <c r="L17" i="1" s="1"/>
  <c r="M17" i="1" s="1"/>
  <c r="N17" i="1" s="1"/>
  <c r="I16" i="1" l="1"/>
  <c r="J16" i="1"/>
  <c r="K16" i="1" s="1"/>
  <c r="L16" i="1" s="1"/>
  <c r="M16" i="1" s="1"/>
  <c r="N16" i="1" s="1"/>
  <c r="M5" i="6" l="1" a="1"/>
  <c r="M5" i="6" s="1"/>
  <c r="I15" i="1"/>
  <c r="J15" i="1"/>
  <c r="K15" i="1" l="1"/>
  <c r="L15" i="1" s="1"/>
  <c r="M15" i="1" s="1"/>
  <c r="N15" i="1" s="1"/>
  <c r="H5" i="6" a="1"/>
  <c r="H5" i="6" s="1"/>
  <c r="E7" i="5"/>
  <c r="I14" i="1"/>
  <c r="J14" i="1"/>
  <c r="K14" i="1" s="1"/>
  <c r="L14" i="1" s="1"/>
  <c r="M14" i="1" s="1"/>
  <c r="I13" i="1"/>
  <c r="J13" i="1"/>
  <c r="K13" i="1" s="1"/>
  <c r="L13" i="1" l="1"/>
  <c r="M13" i="1" s="1"/>
  <c r="N13" i="1" s="1"/>
  <c r="N14" i="1"/>
  <c r="G4" i="5"/>
  <c r="H4" i="5"/>
  <c r="I4" i="5" l="1"/>
  <c r="E5" i="6" a="1"/>
  <c r="E5" i="6" s="1"/>
  <c r="I12" i="1" l="1"/>
  <c r="J12" i="1"/>
  <c r="K12" i="1" s="1"/>
  <c r="L12" i="1" l="1"/>
  <c r="M12" i="1" s="1"/>
  <c r="N12" i="1" s="1"/>
  <c r="G3" i="5"/>
  <c r="H3" i="5"/>
  <c r="I11" i="1"/>
  <c r="J11" i="1"/>
  <c r="K11" i="1" s="1"/>
  <c r="I3" i="5" l="1"/>
  <c r="L11" i="1"/>
  <c r="M11" i="1" s="1"/>
  <c r="N11" i="1" s="1"/>
  <c r="I2" i="1"/>
  <c r="I3" i="1"/>
  <c r="I4" i="1"/>
  <c r="I5" i="1"/>
  <c r="I6" i="1"/>
  <c r="I7" i="1"/>
  <c r="I8" i="1"/>
  <c r="I9" i="1"/>
  <c r="I10" i="1"/>
  <c r="H19" i="1" l="1"/>
  <c r="G19" i="1"/>
  <c r="J10" i="1" l="1"/>
  <c r="K10" i="1" l="1"/>
  <c r="L10" i="1" s="1"/>
  <c r="J9" i="1"/>
  <c r="K9" i="1" s="1"/>
  <c r="M10" i="1" l="1"/>
  <c r="J8" i="1"/>
  <c r="K8" i="1" s="1"/>
  <c r="L9" i="1" l="1"/>
  <c r="M9" i="1" s="1"/>
  <c r="N9" i="1" s="1"/>
  <c r="N10" i="1"/>
  <c r="L8" i="1"/>
  <c r="J2" i="1"/>
  <c r="J3" i="1"/>
  <c r="J4" i="1"/>
  <c r="J5" i="1"/>
  <c r="J6" i="1"/>
  <c r="J7" i="1"/>
  <c r="J19" i="1" l="1"/>
  <c r="K2" i="1"/>
  <c r="L2" i="1" s="1"/>
  <c r="K6" i="1"/>
  <c r="L6" i="1" s="1"/>
  <c r="K5" i="1"/>
  <c r="L5" i="1" s="1"/>
  <c r="K4" i="1"/>
  <c r="L4" i="1" s="1"/>
  <c r="K7" i="1"/>
  <c r="L7" i="1" s="1"/>
  <c r="K3" i="1"/>
  <c r="L3" i="1" s="1"/>
  <c r="M8" i="1"/>
  <c r="F7" i="5"/>
  <c r="H2" i="5"/>
  <c r="H7" i="5" s="1"/>
  <c r="G2" i="5"/>
  <c r="B5" i="7" s="1"/>
  <c r="L19" i="1" l="1"/>
  <c r="K19" i="1"/>
  <c r="N8" i="1"/>
  <c r="G7" i="5"/>
  <c r="I2" i="5"/>
  <c r="M7" i="1" l="1"/>
  <c r="J7" i="5"/>
  <c r="I7" i="5"/>
  <c r="C3" i="3"/>
  <c r="D3" i="3"/>
  <c r="E3" i="3"/>
  <c r="F3" i="3"/>
  <c r="H3" i="3"/>
  <c r="N7" i="1" l="1"/>
  <c r="M6" i="1"/>
  <c r="N6" i="1" s="1"/>
  <c r="M5" i="1" l="1"/>
  <c r="N5" i="1" s="1"/>
  <c r="M3" i="1" l="1"/>
  <c r="N3" i="1" s="1"/>
  <c r="M4" i="1" l="1"/>
  <c r="N4" i="1" s="1"/>
  <c r="B4" i="3" l="1"/>
  <c r="F2" i="2"/>
  <c r="E14" i="2"/>
  <c r="F2" i="3"/>
  <c r="E2" i="3"/>
  <c r="D2" i="3"/>
  <c r="C2" i="3"/>
  <c r="E19" i="1" l="1"/>
  <c r="A21" i="1" s="1"/>
  <c r="H2" i="3"/>
  <c r="H4" i="3" s="1"/>
  <c r="M2" i="1" l="1"/>
  <c r="M19" i="1" s="1"/>
  <c r="N2" i="1" l="1"/>
  <c r="N19" i="1" s="1"/>
</calcChain>
</file>

<file path=xl/sharedStrings.xml><?xml version="1.0" encoding="utf-8"?>
<sst xmlns="http://schemas.openxmlformats.org/spreadsheetml/2006/main" count="539" uniqueCount="213">
  <si>
    <t>DATA</t>
  </si>
  <si>
    <t>LUCRO %</t>
  </si>
  <si>
    <t>DIA SEMANA</t>
  </si>
  <si>
    <t>ANO</t>
  </si>
  <si>
    <t>MÊS</t>
  </si>
  <si>
    <t>DIA</t>
  </si>
  <si>
    <t>CUSTO</t>
  </si>
  <si>
    <t>LUCRO</t>
  </si>
  <si>
    <t>VENDA</t>
  </si>
  <si>
    <t>PREÇO UN.</t>
  </si>
  <si>
    <t>TOTAL</t>
  </si>
  <si>
    <t>QTD KG</t>
  </si>
  <si>
    <t>PREÇO DO  KG</t>
  </si>
  <si>
    <t>DESCRIÇÃO</t>
  </si>
  <si>
    <t>VALOR</t>
  </si>
  <si>
    <t>SITUAÇÃO</t>
  </si>
  <si>
    <t>EM DÉBITO</t>
  </si>
  <si>
    <t>DIA DA SEMANA</t>
  </si>
  <si>
    <t>QUANTIDADE</t>
  </si>
  <si>
    <t>IMPORT.</t>
  </si>
  <si>
    <t>LOCAL</t>
  </si>
  <si>
    <t>VAZAME</t>
  </si>
  <si>
    <t>TEREZA</t>
  </si>
  <si>
    <t/>
  </si>
  <si>
    <t>FESTA JULINA</t>
  </si>
  <si>
    <t>WHISKAS</t>
  </si>
  <si>
    <t>RAÇÃO DO GATO</t>
  </si>
  <si>
    <t>GRELHA</t>
  </si>
  <si>
    <t>CHURROS</t>
  </si>
  <si>
    <t>PÃO VAZAME</t>
  </si>
  <si>
    <t>ENERGIA VAZAME</t>
  </si>
  <si>
    <t>DESPESAS DIVERSAS</t>
  </si>
  <si>
    <t>BELARA</t>
  </si>
  <si>
    <t>PREÇO/KG</t>
  </si>
  <si>
    <t>PREÇO/UN.</t>
  </si>
  <si>
    <t>QTD/PÃES</t>
  </si>
  <si>
    <t>QTD/KG</t>
  </si>
  <si>
    <t>Receita</t>
  </si>
  <si>
    <t>Data</t>
  </si>
  <si>
    <t>NÃO PAGO</t>
  </si>
  <si>
    <t>LUZ</t>
  </si>
  <si>
    <t>ÁGUA</t>
  </si>
  <si>
    <t>ALUGUEL</t>
  </si>
  <si>
    <t xml:space="preserve">NET </t>
  </si>
  <si>
    <t>COLOMBO</t>
  </si>
  <si>
    <t>CASAS BAHIA</t>
  </si>
  <si>
    <t>KOMFORT</t>
  </si>
  <si>
    <t>ÁVISTA</t>
  </si>
  <si>
    <t>C&amp;A</t>
  </si>
  <si>
    <t>CARTÃO LOPES</t>
  </si>
  <si>
    <t>PAGO</t>
  </si>
  <si>
    <t>ENTRADA SALÃO</t>
  </si>
  <si>
    <t>VAL</t>
  </si>
  <si>
    <t>AnoVenc</t>
  </si>
  <si>
    <t>MêsVenc</t>
  </si>
  <si>
    <t>DiaVenc</t>
  </si>
  <si>
    <t>Fogão Consul</t>
  </si>
  <si>
    <t>CasasBahia</t>
  </si>
  <si>
    <t>Bradescard</t>
  </si>
  <si>
    <t>Losango</t>
  </si>
  <si>
    <t>Sofá NewJersey</t>
  </si>
  <si>
    <t>Komfort House</t>
  </si>
  <si>
    <t>-</t>
  </si>
  <si>
    <t>Rack para Sala</t>
  </si>
  <si>
    <t>CCP Móveis</t>
  </si>
  <si>
    <t>Ávista</t>
  </si>
  <si>
    <t>KIT Dell</t>
  </si>
  <si>
    <t>Dell Computadores</t>
  </si>
  <si>
    <t>Computador Dell</t>
  </si>
  <si>
    <t>Peças de Roupa</t>
  </si>
  <si>
    <t>Riachuelo</t>
  </si>
  <si>
    <t>Ano End</t>
  </si>
  <si>
    <t>Mês End</t>
  </si>
  <si>
    <t>DataE</t>
  </si>
  <si>
    <t>Parcelas</t>
  </si>
  <si>
    <t>Total</t>
  </si>
  <si>
    <t>Data da Compra</t>
  </si>
  <si>
    <t>Produto</t>
  </si>
  <si>
    <t>Loja</t>
  </si>
  <si>
    <t>DiaFechamento</t>
  </si>
  <si>
    <t>Administradora</t>
  </si>
  <si>
    <t>11º</t>
  </si>
  <si>
    <t>10º</t>
  </si>
  <si>
    <t>9º</t>
  </si>
  <si>
    <t>8º</t>
  </si>
  <si>
    <t>7º</t>
  </si>
  <si>
    <t>6º</t>
  </si>
  <si>
    <t>5º</t>
  </si>
  <si>
    <t>4º</t>
  </si>
  <si>
    <t>3º</t>
  </si>
  <si>
    <t>2º</t>
  </si>
  <si>
    <t>1º</t>
  </si>
  <si>
    <t>VALIDA CICLO</t>
  </si>
  <si>
    <t>FIM</t>
  </si>
  <si>
    <t>INÍCIO</t>
  </si>
  <si>
    <t>CAIXA</t>
  </si>
  <si>
    <t>98284-3940</t>
  </si>
  <si>
    <t>ZÉ MONTADOR</t>
  </si>
  <si>
    <t>98639-8055</t>
  </si>
  <si>
    <t>LEANDRO</t>
  </si>
  <si>
    <t>CLARO</t>
  </si>
  <si>
    <t>94521-6555</t>
  </si>
  <si>
    <t>OI</t>
  </si>
  <si>
    <t>96671-4176 (WZAP)</t>
  </si>
  <si>
    <t>VIVO</t>
  </si>
  <si>
    <t>99905-3428</t>
  </si>
  <si>
    <t>TIM</t>
  </si>
  <si>
    <t>98683-1605 (WZAP)</t>
  </si>
  <si>
    <t>ADEMILSON ARAÚJO</t>
  </si>
  <si>
    <t>96809-1016 (WZAP)</t>
  </si>
  <si>
    <t>95104-7629</t>
  </si>
  <si>
    <t>ADAILTON</t>
  </si>
  <si>
    <t>94394-1917</t>
  </si>
  <si>
    <t>99669-3338 (WZAP)</t>
  </si>
  <si>
    <t>95890-5199</t>
  </si>
  <si>
    <t>94619-7585</t>
  </si>
  <si>
    <t>RUA FLÁVIO DOHOCZKI, 305 JARDIM MARIZ LUIZA - TABOÃO</t>
  </si>
  <si>
    <t>CRISTIANO</t>
  </si>
  <si>
    <t>94563-9647</t>
  </si>
  <si>
    <t>98421-8846</t>
  </si>
  <si>
    <t>94386-2055</t>
  </si>
  <si>
    <t>96795-2615</t>
  </si>
  <si>
    <t>A.N NEGÃO</t>
  </si>
  <si>
    <t>96166-7781</t>
  </si>
  <si>
    <t>98863-7303</t>
  </si>
  <si>
    <t xml:space="preserve">98666-3401 (WZAP) </t>
  </si>
  <si>
    <t>94137-9256</t>
  </si>
  <si>
    <t>RUA ITAQUERA, 129 JARDIM SANTA TEREZA EMBU - SP</t>
  </si>
  <si>
    <t>AILTON</t>
  </si>
  <si>
    <t>NEXTEL</t>
  </si>
  <si>
    <t>94732-6644 (WZAP)</t>
  </si>
  <si>
    <t>98691-4787</t>
  </si>
  <si>
    <t>97107-5009</t>
  </si>
  <si>
    <t>JULIO CESAR</t>
  </si>
  <si>
    <t>99334-4433</t>
  </si>
  <si>
    <t>98750-8616 (WZAP)</t>
  </si>
  <si>
    <t>94630-8008</t>
  </si>
  <si>
    <t>FIXO</t>
  </si>
  <si>
    <t>4778-3395</t>
  </si>
  <si>
    <t>ALEXANDRE</t>
  </si>
  <si>
    <t>PREÇO</t>
  </si>
  <si>
    <t>SERVIÇO</t>
  </si>
  <si>
    <t>OPERADORA 4</t>
  </si>
  <si>
    <t>CONTATO 4</t>
  </si>
  <si>
    <t>OPERADORA 3</t>
  </si>
  <si>
    <t>CONTATO 3</t>
  </si>
  <si>
    <t>OPERADORA 2</t>
  </si>
  <si>
    <t>CONTATO 2</t>
  </si>
  <si>
    <t>OPERADORA 1</t>
  </si>
  <si>
    <t xml:space="preserve">CONTATO 1 </t>
  </si>
  <si>
    <t>ENDEREÇO</t>
  </si>
  <si>
    <t>MONTADOR</t>
  </si>
  <si>
    <t>SIM</t>
  </si>
  <si>
    <t>KOMFORT HOUSE</t>
  </si>
  <si>
    <t>Sofá NewJey</t>
  </si>
  <si>
    <t>SALA</t>
  </si>
  <si>
    <t>SOFÁ RETRÁTIL E ARTICULADO</t>
  </si>
  <si>
    <t>OUTROS</t>
  </si>
  <si>
    <t>MÁQUINA DE LAVAR ROUPAS BRASTEMP</t>
  </si>
  <si>
    <t>LAVA ROUPAS</t>
  </si>
  <si>
    <t>EDMIL</t>
  </si>
  <si>
    <t xml:space="preserve">MESA DE VIDRO </t>
  </si>
  <si>
    <t>MESA MULTIUSO</t>
  </si>
  <si>
    <t>CCP MÓVEIS</t>
  </si>
  <si>
    <t>RACK SEM PAINEL</t>
  </si>
  <si>
    <t>RACK PARA SALA</t>
  </si>
  <si>
    <t>MARABRAZ</t>
  </si>
  <si>
    <t>Mesa com 4 Cadeiras</t>
  </si>
  <si>
    <t>COZINHA</t>
  </si>
  <si>
    <t xml:space="preserve">MESA </t>
  </si>
  <si>
    <t>LEANDRO MONTADOR</t>
  </si>
  <si>
    <t>DESMONTAGEM / MONTAGEM DE GUARDA ROUPA, MESA E COZINHA</t>
  </si>
  <si>
    <t>QUARTO</t>
  </si>
  <si>
    <t>MONTAGEM DE MÓVEIS</t>
  </si>
  <si>
    <t>KING STAR</t>
  </si>
  <si>
    <t>Conjunto Cama Box Com Colchão England</t>
  </si>
  <si>
    <t>CONJUNTO CAMA &amp; BOX</t>
  </si>
  <si>
    <t>Cozinha Completa</t>
  </si>
  <si>
    <t>COZINHA COMPLETA</t>
  </si>
  <si>
    <t>WALMART</t>
  </si>
  <si>
    <t>Cafeteira Elétrica 12 Xícaras New Perfectta Cafn</t>
  </si>
  <si>
    <t>CAFETEIRA / ARNO</t>
  </si>
  <si>
    <t>SHOPTIME</t>
  </si>
  <si>
    <t>Microondas Cm020 20L Cinza Espelhado</t>
  </si>
  <si>
    <t>MICROONDAS / CONSUL</t>
  </si>
  <si>
    <t>Refrigerador Electrolux Df36X 310 Litros Inox</t>
  </si>
  <si>
    <t>GELADEIRA / ELECTROLUX</t>
  </si>
  <si>
    <t>Ferro De Passar Roupas À Vapor Base Cerâmica Prime Comfort Fe8015Az</t>
  </si>
  <si>
    <t>FERRO Á VAPOR / SEMP TOSHIBA</t>
  </si>
  <si>
    <t>AMERICANAS</t>
  </si>
  <si>
    <t>Secador Taiff Red Íon Vermelho 1900W</t>
  </si>
  <si>
    <t>SECADOR / TAIFF</t>
  </si>
  <si>
    <t>Liquidificador Philco Ph900 Com 12 Velocidades E 900W</t>
  </si>
  <si>
    <t>LIQUIDIFICADOR / PHILCO</t>
  </si>
  <si>
    <t>Fogão Piso Consul Cf350 4 Bocas Botões Removíveis Inox</t>
  </si>
  <si>
    <t>FOGÃO / CONSUL</t>
  </si>
  <si>
    <t>Smart Tv Samsung Série 4 Un32J4300Ag 32 Polegadas Led Plana</t>
  </si>
  <si>
    <t>TV / SAMSUNG</t>
  </si>
  <si>
    <t>VALOR FINAL</t>
  </si>
  <si>
    <t>MONTAGEM</t>
  </si>
  <si>
    <t>VALOR MÉDIO</t>
  </si>
  <si>
    <t xml:space="preserve">COMPRA FINALIZADA? </t>
  </si>
  <si>
    <t>SHOP</t>
  </si>
  <si>
    <t>CÔMODO</t>
  </si>
  <si>
    <t>PRODUTO</t>
  </si>
  <si>
    <t>SEMANA</t>
  </si>
  <si>
    <t>DATAi</t>
  </si>
  <si>
    <t>DATAf</t>
  </si>
  <si>
    <t>DIAS</t>
  </si>
  <si>
    <t>SALDOi</t>
  </si>
  <si>
    <t>SALDOf</t>
  </si>
  <si>
    <t>UTILIZADO</t>
  </si>
  <si>
    <t>MÉDIA/DIA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</si>
</sst>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R$&quot;\ * #,##0.00_-;\-&quot;R$&quot;\ * #,##0.00_-;_-&quot;R$&quot;\ * &quot;-&quot;??_-;_-@_-"/>
    <numFmt numFmtId="164" formatCode="0.000"/>
    <numFmt numFmtId="165" formatCode="_(&quot;R$&quot;* #,##0.00_);_(&quot;R$&quot;* \(#,##0.00\);_(&quot;R$&quot;* &quot;-&quot;??_);_(@_)"/>
    <numFmt numFmtId="166" formatCode="_-[$R$-416]* #,##0.00_-;\-[$R$-416]* #,##0.00_-;_-[$R$-416]* &quot;-&quot;??_-;_-@_-"/>
    <numFmt numFmtId="167" formatCode="_-[$R$-416]\ * #,##0.00_-;\-[$R$-416]\ * #,##0.00_-;_-[$R$-416]\ 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Segoe U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4" fontId="2" fillId="0" borderId="0" xfId="0" applyNumberFormat="1" applyFont="1" applyFill="1" applyBorder="1" applyAlignment="1">
      <alignment horizontal="center" vertical="center"/>
    </xf>
    <xf numFmtId="44" fontId="2" fillId="0" borderId="0" xfId="0" applyNumberFormat="1" applyFont="1" applyFill="1" applyBorder="1" applyAlignment="1">
      <alignment horizontal="center" vertical="center"/>
    </xf>
    <xf numFmtId="10" fontId="2" fillId="0" borderId="0" xfId="1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164" fontId="2" fillId="0" borderId="0" xfId="0" applyNumberFormat="1" applyFont="1" applyFill="1" applyBorder="1" applyAlignment="1">
      <alignment horizontal="center" vertical="center"/>
    </xf>
    <xf numFmtId="44" fontId="2" fillId="0" borderId="0" xfId="0" applyNumberFormat="1" applyFont="1" applyFill="1" applyAlignment="1">
      <alignment horizontal="center" vertical="center"/>
    </xf>
    <xf numFmtId="44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0" fontId="2" fillId="0" borderId="0" xfId="1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44" fontId="2" fillId="0" borderId="0" xfId="1" applyNumberFormat="1" applyFont="1" applyFill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1" fontId="2" fillId="0" borderId="0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0" fontId="0" fillId="0" borderId="0" xfId="0" applyNumberFormat="1" applyFont="1" applyAlignment="1">
      <alignment horizontal="center"/>
    </xf>
    <xf numFmtId="44" fontId="0" fillId="0" borderId="0" xfId="0" applyNumberFormat="1"/>
    <xf numFmtId="0" fontId="4" fillId="0" borderId="0" xfId="0" applyFont="1"/>
    <xf numFmtId="44" fontId="3" fillId="0" borderId="0" xfId="0" applyNumberFormat="1" applyFont="1" applyAlignment="1">
      <alignment horizontal="center"/>
    </xf>
    <xf numFmtId="0" fontId="2" fillId="0" borderId="0" xfId="0" applyNumberFormat="1" applyFont="1" applyFill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Fill="1" applyAlignment="1">
      <alignment vertical="center"/>
    </xf>
    <xf numFmtId="0" fontId="0" fillId="0" borderId="0" xfId="0" quotePrefix="1"/>
    <xf numFmtId="0" fontId="0" fillId="0" borderId="0" xfId="0" applyAlignment="1"/>
    <xf numFmtId="44" fontId="0" fillId="0" borderId="0" xfId="0" applyNumberFormat="1" applyAlignment="1"/>
    <xf numFmtId="14" fontId="0" fillId="0" borderId="0" xfId="0" applyNumberFormat="1" applyAlignment="1"/>
    <xf numFmtId="14" fontId="3" fillId="0" borderId="1" xfId="0" applyNumberFormat="1" applyFont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44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0" fontId="0" fillId="0" borderId="0" xfId="0" applyNumberFormat="1" applyAlignment="1"/>
    <xf numFmtId="44" fontId="0" fillId="0" borderId="0" xfId="2" applyNumberFormat="1" applyFont="1" applyAlignment="1">
      <alignment horizont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6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vertical="center"/>
    </xf>
    <xf numFmtId="44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horizontal="center" vertical="center"/>
    </xf>
    <xf numFmtId="167" fontId="6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7" fillId="0" borderId="0" xfId="0" quotePrefix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9" fillId="0" borderId="0" xfId="0" applyFont="1" applyAlignment="1">
      <alignment horizontal="center"/>
    </xf>
    <xf numFmtId="0" fontId="11" fillId="0" borderId="5" xfId="0" applyFont="1" applyBorder="1"/>
    <xf numFmtId="14" fontId="11" fillId="0" borderId="6" xfId="0" applyNumberFormat="1" applyFont="1" applyBorder="1" applyAlignment="1">
      <alignment horizontal="center"/>
    </xf>
    <xf numFmtId="0" fontId="11" fillId="0" borderId="7" xfId="0" applyNumberFormat="1" applyFont="1" applyBorder="1" applyAlignment="1">
      <alignment horizontal="center"/>
    </xf>
    <xf numFmtId="0" fontId="11" fillId="0" borderId="8" xfId="0" applyFont="1" applyBorder="1"/>
    <xf numFmtId="14" fontId="11" fillId="0" borderId="0" xfId="0" applyNumberFormat="1" applyFont="1" applyBorder="1" applyAlignment="1">
      <alignment horizontal="center"/>
    </xf>
    <xf numFmtId="0" fontId="11" fillId="0" borderId="9" xfId="0" applyNumberFormat="1" applyFont="1" applyBorder="1" applyAlignment="1">
      <alignment horizontal="center"/>
    </xf>
    <xf numFmtId="0" fontId="0" fillId="0" borderId="0" xfId="0" applyFont="1"/>
    <xf numFmtId="0" fontId="12" fillId="3" borderId="10" xfId="0" applyFont="1" applyFill="1" applyBorder="1" applyAlignment="1">
      <alignment horizontal="center"/>
    </xf>
    <xf numFmtId="0" fontId="12" fillId="3" borderId="11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0" fontId="0" fillId="0" borderId="0" xfId="1" applyNumberFormat="1" applyFont="1"/>
    <xf numFmtId="9" fontId="0" fillId="0" borderId="0" xfId="1" applyFont="1"/>
    <xf numFmtId="165" fontId="13" fillId="0" borderId="0" xfId="0" applyNumberFormat="1" applyFont="1"/>
    <xf numFmtId="0" fontId="14" fillId="0" borderId="0" xfId="0" applyFont="1"/>
    <xf numFmtId="165" fontId="0" fillId="4" borderId="0" xfId="0" applyNumberFormat="1" applyFont="1" applyFill="1" applyAlignment="1">
      <alignment horizontal="center"/>
    </xf>
    <xf numFmtId="165" fontId="0" fillId="4" borderId="0" xfId="2" applyFont="1" applyFill="1" applyAlignment="1">
      <alignment horizontal="center"/>
    </xf>
    <xf numFmtId="0" fontId="0" fillId="4" borderId="0" xfId="0" applyFont="1" applyFill="1" applyAlignment="1">
      <alignment horizontal="center"/>
    </xf>
    <xf numFmtId="14" fontId="0" fillId="0" borderId="0" xfId="0" applyNumberFormat="1"/>
    <xf numFmtId="0" fontId="4" fillId="0" borderId="0" xfId="0" applyFont="1" applyAlignment="1">
      <alignment horizontal="center"/>
    </xf>
    <xf numFmtId="14" fontId="0" fillId="0" borderId="0" xfId="0" quotePrefix="1" applyNumberFormat="1" applyAlignment="1">
      <alignment horizontal="center"/>
    </xf>
  </cellXfs>
  <cellStyles count="3">
    <cellStyle name="Moeda 2" xfId="2"/>
    <cellStyle name="Normal" xfId="0" builtinId="0"/>
    <cellStyle name="Porcentagem" xfId="1" builtinId="5"/>
  </cellStyles>
  <dxfs count="171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theme="0" tint="-0.499984740745262"/>
      </font>
    </dxf>
    <dxf>
      <font>
        <b/>
        <i val="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general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7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7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168" formatCode="mmmm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969"/>
      <color rgb="FFFF3F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230797</xdr:colOff>
      <xdr:row>0</xdr:row>
      <xdr:rowOff>7326</xdr:rowOff>
    </xdr:from>
    <xdr:ext cx="1183299" cy="26456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9E4CAD97-B4A7-4879-8E63-FB9D48B2DC74}"/>
            </a:ext>
          </a:extLst>
        </xdr:cNvPr>
        <xdr:cNvSpPr txBox="1"/>
      </xdr:nvSpPr>
      <xdr:spPr>
        <a:xfrm>
          <a:off x="1842720" y="578826"/>
          <a:ext cx="11832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/>
            <a:t>CAIXA</a:t>
          </a:r>
          <a:r>
            <a:rPr lang="pt-BR" sz="1100" b="1" baseline="0"/>
            <a:t> DE LUCRO</a:t>
          </a:r>
          <a:endParaRPr lang="pt-BR" sz="1100" b="1"/>
        </a:p>
      </xdr:txBody>
    </xdr:sp>
    <xdr:clientData/>
  </xdr:oneCellAnchor>
  <xdr:oneCellAnchor>
    <xdr:from>
      <xdr:col>0</xdr:col>
      <xdr:colOff>212479</xdr:colOff>
      <xdr:row>0</xdr:row>
      <xdr:rowOff>7327</xdr:rowOff>
    </xdr:from>
    <xdr:ext cx="959829" cy="264560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16773C07-CA03-4063-A7E8-2966B8FBD62C}"/>
            </a:ext>
          </a:extLst>
        </xdr:cNvPr>
        <xdr:cNvSpPr txBox="1"/>
      </xdr:nvSpPr>
      <xdr:spPr>
        <a:xfrm>
          <a:off x="212479" y="578827"/>
          <a:ext cx="9598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/>
            <a:t>CAIXA</a:t>
          </a:r>
          <a:r>
            <a:rPr lang="pt-BR" sz="1100" b="1" baseline="0"/>
            <a:t> TOTAL</a:t>
          </a:r>
          <a:endParaRPr lang="pt-BR" sz="1100" b="1"/>
        </a:p>
      </xdr:txBody>
    </xdr:sp>
    <xdr:clientData/>
  </xdr:oneCellAnchor>
  <xdr:oneCellAnchor>
    <xdr:from>
      <xdr:col>6</xdr:col>
      <xdr:colOff>197828</xdr:colOff>
      <xdr:row>0</xdr:row>
      <xdr:rowOff>0</xdr:rowOff>
    </xdr:from>
    <xdr:ext cx="1230922" cy="26456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C07D1400-820C-48F1-A2D3-41D32484D5DB}"/>
            </a:ext>
          </a:extLst>
        </xdr:cNvPr>
        <xdr:cNvSpPr txBox="1"/>
      </xdr:nvSpPr>
      <xdr:spPr>
        <a:xfrm>
          <a:off x="3597520" y="571499"/>
          <a:ext cx="12309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/>
            <a:t>CAIXA DE CUSTO</a:t>
          </a:r>
        </a:p>
      </xdr:txBody>
    </xdr:sp>
    <xdr:clientData/>
  </xdr:oneCellAnchor>
  <xdr:oneCellAnchor>
    <xdr:from>
      <xdr:col>11</xdr:col>
      <xdr:colOff>131885</xdr:colOff>
      <xdr:row>0</xdr:row>
      <xdr:rowOff>0</xdr:rowOff>
    </xdr:from>
    <xdr:ext cx="1230922" cy="264560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2D883853-9EF9-4ED2-9ECC-C38EED683D4D}"/>
            </a:ext>
          </a:extLst>
        </xdr:cNvPr>
        <xdr:cNvSpPr txBox="1"/>
      </xdr:nvSpPr>
      <xdr:spPr>
        <a:xfrm>
          <a:off x="5773616" y="0"/>
          <a:ext cx="12309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/>
            <a:t>   CAIXA</a:t>
          </a:r>
          <a:r>
            <a:rPr lang="pt-BR" sz="1100" b="1" baseline="0"/>
            <a:t> DIÁRIO</a:t>
          </a:r>
          <a:endParaRPr lang="pt-BR" sz="1100" b="1"/>
        </a:p>
      </xdr:txBody>
    </xdr:sp>
    <xdr:clientData/>
  </xdr:oneCellAnchor>
</xdr:wsDr>
</file>

<file path=xl/tables/table1.xml><?xml version="1.0" encoding="utf-8"?>
<table xmlns="http://schemas.openxmlformats.org/spreadsheetml/2006/main" id="4" name="tbRECEITAS" displayName="tbRECEITAS" ref="A1:B15" headerRowDxfId="170" dataDxfId="169">
  <tableColumns count="2">
    <tableColumn id="1" name="Data" dataDxfId="168" totalsRowDxfId="167"/>
    <tableColumn id="3" name="Receita" dataDxfId="166" totalsRowDxfId="1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DESPESAS" displayName="tbDESPESAS" ref="A1:F113" totalsRowCount="1" headerRowDxfId="164" dataDxfId="163">
  <sortState ref="A2:F112">
    <sortCondition ref="E2:E112"/>
    <sortCondition ref="D2:D112"/>
    <sortCondition ref="C2:C112"/>
  </sortState>
  <tableColumns count="6">
    <tableColumn id="1" name="DESCRIÇÃO" dataDxfId="162" totalsRowDxfId="161"/>
    <tableColumn id="2" name="VALOR" totalsRowFunction="sum" dataDxfId="160" totalsRowDxfId="159"/>
    <tableColumn id="3" name="DiaVenc" dataDxfId="158" totalsRowDxfId="157"/>
    <tableColumn id="4" name="MêsVenc" dataDxfId="156" totalsRowDxfId="155"/>
    <tableColumn id="5" name="AnoVenc" dataDxfId="154" totalsRowDxfId="153"/>
    <tableColumn id="6" name="VAL" dataDxfId="152" totalsRowDxfId="1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Vendas" displayName="TabelaVendas" ref="A1:N19" totalsRowCount="1" headerRowDxfId="149" dataDxfId="148" totalsRowDxfId="147">
  <tableColumns count="14">
    <tableColumn id="21" name="DATA" totalsRowFunction="custom" dataDxfId="146" totalsRowDxfId="145">
      <totalsRowFormula array="1">"VENDA DE: "&amp; SUM(IF(A2&lt;&gt;A2:A18,1,0)) - COUNTBLANK(TabelaVendas[DATA]) &amp; " DIAS "</totalsRowFormula>
    </tableColumn>
    <tableColumn id="8" name="SEMANA" dataDxfId="144" totalsRowDxfId="143"/>
    <tableColumn id="13" name="MÊS" dataDxfId="142" totalsRowDxfId="141">
      <calculatedColumnFormula>MONTH(TabelaVendas[[#This Row],[DATA]])</calculatedColumnFormula>
    </tableColumn>
    <tableColumn id="14" name="ANO" dataDxfId="140" totalsRowDxfId="139">
      <calculatedColumnFormula>YEAR(TabelaVendas[[#This Row],[DATA]])</calculatedColumnFormula>
    </tableColumn>
    <tableColumn id="1" name="VENDA" totalsRowFunction="custom" dataDxfId="138" totalsRowDxfId="137">
      <totalsRowFormula>(SUBTOTAL(109,TabelaVendas[VENDA]) + TabelaVendasKG[[#Totals],[TOTAL]]) - TabelaDespesas[[#Totals],[VALOR]]</totalsRowFormula>
    </tableColumn>
    <tableColumn id="7" name="LOCAL" dataDxfId="136" totalsRowDxfId="135"/>
    <tableColumn id="11" name="PREÇO/UN." totalsRowFunction="average" dataDxfId="134" totalsRowDxfId="133"/>
    <tableColumn id="12" name="PREÇO/KG" totalsRowFunction="average" dataDxfId="132" totalsRowDxfId="131"/>
    <tableColumn id="6" name="DIA DA SEMANA" dataDxfId="130" totalsRowDxfId="129">
      <calculatedColumnFormula>IF(TabelaVendas[[#This Row],[DATA]]="","-",PROPER(TEXT(TabelaVendas[[#This Row],[DATA]],"dddd")))</calculatedColumnFormula>
    </tableColumn>
    <tableColumn id="2" name="QTD/PÃES" totalsRowFunction="sum" dataDxfId="128" totalsRowDxfId="127">
      <calculatedColumnFormula>IFERROR(ROUNDUP(TabelaVendas[[#This Row],[VENDA]]/TabelaVendas[[#This Row],[PREÇO/UN.]],0),0)</calculatedColumnFormula>
    </tableColumn>
    <tableColumn id="3" name="QTD/KG" totalsRowFunction="sum" dataDxfId="126" totalsRowDxfId="125">
      <calculatedColumnFormula>(TabelaVendas[[#This Row],[QTD/PÃES]]*35)/1000</calculatedColumnFormula>
    </tableColumn>
    <tableColumn id="4" name="CUSTO" totalsRowFunction="custom" dataDxfId="124" totalsRowDxfId="123">
      <calculatedColumnFormula>ROUND(TabelaVendas[QTD/KG]*TabelaVendas[[#This Row],[PREÇO/KG]],0)</calculatedColumnFormula>
      <totalsRowFormula>SUBTOTAL(109,TabelaVendas[CUSTO]) + TabelaVendasKG[[#Totals],[CUSTO]]</totalsRowFormula>
    </tableColumn>
    <tableColumn id="5" name="LUCRO" totalsRowFunction="custom" dataDxfId="122" totalsRowDxfId="121">
      <calculatedColumnFormula>TabelaVendas[[#This Row],[VENDA]]-TabelaVendas[[#This Row],[CUSTO]]</calculatedColumnFormula>
      <totalsRowFormula>SUBTOTAL(109,TabelaVendas[LUCRO]) + TabelaVendasKG[[#Totals],[LUCRO]]</totalsRowFormula>
    </tableColumn>
    <tableColumn id="10" name="LUCRO %" totalsRowFunction="average" dataDxfId="120" totalsRowDxfId="119" dataCellStyle="Porcentagem">
      <calculatedColumnFormula>IFERROR(TabelaVendas[[#This Row],[LUCRO]]/TabelaVendas[[#This Row],[VENDA]],0)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5" name="TabelaVendasKG" displayName="TabelaVendasKG" ref="A1:J7" totalsRowCount="1" headerRowDxfId="118" dataDxfId="117">
  <tableColumns count="10">
    <tableColumn id="1" name="DATA" dataDxfId="116" totalsRowDxfId="115"/>
    <tableColumn id="2" name="MÊS" dataDxfId="114" totalsRowDxfId="113">
      <calculatedColumnFormula>MONTH(A2)</calculatedColumnFormula>
    </tableColumn>
    <tableColumn id="7" name="ANO" dataDxfId="112" totalsRowDxfId="111">
      <calculatedColumnFormula>YEAR(TabelaVendasKG[[#This Row],[DATA]])</calculatedColumnFormula>
    </tableColumn>
    <tableColumn id="13" name="DIA DA SEMANA" dataDxfId="110" totalsRowDxfId="109">
      <calculatedColumnFormula>PROPER(TEXT(TabelaVendasKG[DATA],"dddd"))</calculatedColumnFormula>
    </tableColumn>
    <tableColumn id="8" name="PREÇO UN." totalsRowFunction="average" dataDxfId="108" totalsRowDxfId="107"/>
    <tableColumn id="3" name="QTD KG" totalsRowFunction="sum" dataDxfId="106" totalsRowDxfId="105"/>
    <tableColumn id="9" name="TOTAL" totalsRowFunction="sum" dataDxfId="104" totalsRowDxfId="103">
      <calculatedColumnFormula>TabelaVendasKG[PREÇO UN.]*TabelaVendasKG[QTD KG]</calculatedColumnFormula>
    </tableColumn>
    <tableColumn id="4" name="CUSTO" totalsRowFunction="sum" dataDxfId="102" totalsRowDxfId="101">
      <calculatedColumnFormula>9.5*TabelaVendasKG[QTD KG]</calculatedColumnFormula>
    </tableColumn>
    <tableColumn id="5" name="LUCRO" totalsRowFunction="sum" dataDxfId="100" totalsRowDxfId="99">
      <calculatedColumnFormula>TabelaVendasKG[TOTAL]-TabelaVendasKG[CUSTO]</calculatedColumnFormula>
    </tableColumn>
    <tableColumn id="6" name="LUCRO %" totalsRowFunction="average" dataDxfId="98" totalsRowDxfId="97" dataCellStyle="Porcentagem">
      <calculatedColumnFormula>IFERROR(TabelaVendasKG[LUCRO]/TabelaVendasKG[TOTAL],"-")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elaDespesas" displayName="TabelaDespesas" ref="A1:F14" totalsRowCount="1" headerRowDxfId="96" dataDxfId="95">
  <tableColumns count="6">
    <tableColumn id="1" name="DATA" dataDxfId="94" totalsRowDxfId="93"/>
    <tableColumn id="2" name="MÊS" dataDxfId="92" totalsRowDxfId="91">
      <calculatedColumnFormula>MONTH(TabelaDespesas[[#This Row],[DATA]])</calculatedColumnFormula>
    </tableColumn>
    <tableColumn id="5" name="ANO" dataDxfId="90" totalsRowDxfId="89">
      <calculatedColumnFormula>YEAR(TabelaDespesas[[#This Row],[DATA]])</calculatedColumnFormula>
    </tableColumn>
    <tableColumn id="3" name="DESCRIÇÃO" dataDxfId="88" totalsRowDxfId="87"/>
    <tableColumn id="4" name="VALOR" totalsRowFunction="sum" dataDxfId="86" totalsRowDxfId="85"/>
    <tableColumn id="8" name="DIA SEMANA" dataDxfId="84" totalsRowDxfId="83">
      <calculatedColumnFormula>IF(TabelaDespesas[DATA]="","-",PROPER(TEXT(TabelaDespesas[DATA],"dddd")))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BCX_LUCRO" displayName="TBCX_LUCRO" ref="D3:E5" insertRow="1" totalsRowCount="1" headerRowDxfId="82">
  <tableColumns count="2">
    <tableColumn id="1" name="IMPORT." dataDxfId="81" totalsRowDxfId="80"/>
    <tableColumn id="2" name="QUANTIDADE" totalsRowFunction="custom" dataDxfId="79" totalsRowDxfId="78">
      <totalsRowFormula array="1">SUM(TBCX_LUCRO[IMPORT.]*TBCX_LUCRO[QUANTIDADE])</totalsRowFormula>
    </tableColumn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id="8" name="TBCX_GERAL" displayName="TBCX_GERAL" ref="A3:B13" totalsRowCount="1" headerRowDxfId="77">
  <tableColumns count="2">
    <tableColumn id="1" name="IMPORT." dataDxfId="76" totalsRowDxfId="75"/>
    <tableColumn id="2" name="QUANTIDADE" totalsRowFunction="custom" dataDxfId="74" totalsRowDxfId="73">
      <totalsRowFormula array="1">SUM(TBCX_GERAL[IMPORT.]*TBCX_GERAL[QUANTIDADE])</totalsRowFormula>
    </tableColumn>
  </tableColumns>
  <tableStyleInfo name="TableStyleMedium19" showFirstColumn="0" showLastColumn="0" showRowStripes="1" showColumnStripes="0"/>
</table>
</file>

<file path=xl/tables/table8.xml><?xml version="1.0" encoding="utf-8"?>
<table xmlns="http://schemas.openxmlformats.org/spreadsheetml/2006/main" id="9" name="TBCX_CUSTO" displayName="TBCX_CUSTO" ref="G3:H5" insertRow="1" totalsRowCount="1" headerRowDxfId="72">
  <tableColumns count="2">
    <tableColumn id="1" name="IMPORT." dataDxfId="71" totalsRowDxfId="70"/>
    <tableColumn id="2" name="QUANTIDADE" totalsRowFunction="custom" dataDxfId="69" totalsRowDxfId="68">
      <totalsRowFormula array="1">SUM(TBCX_CUSTO[IMPORT.]*TBCX_CUSTO[QUANTIDADE])</totalsRowFormula>
    </tableColumn>
  </tableColumns>
  <tableStyleInfo name="TableStyleMedium17" showFirstColumn="0" showLastColumn="0" showRowStripes="1" showColumnStripes="0"/>
</table>
</file>

<file path=xl/tables/table9.xml><?xml version="1.0" encoding="utf-8"?>
<table xmlns="http://schemas.openxmlformats.org/spreadsheetml/2006/main" id="10" name="TBCX_DIARIO" displayName="TBCX_DIARIO" ref="L3:M5" insertRow="1" totalsRowCount="1" headerRowDxfId="67">
  <tableColumns count="2">
    <tableColumn id="1" name="IMPORT." dataDxfId="66" totalsRowDxfId="65"/>
    <tableColumn id="2" name="QUANTIDADE" totalsRowFunction="custom" dataDxfId="64" totalsRowDxfId="63">
      <totalsRowFormula array="1">SUM(TBCX_DIARIO[IMPORT.]*TBCX_DIARIO[QUANTIDADE])</totalsRowFormula>
    </tableColumn>
  </tableColumns>
  <tableStyleInfo name="TableStyleMedium21" showFirstColumn="0" showLastColumn="0" showRowStripes="1" showColumnStripes="0"/>
</table>
</file>

<file path=xl/tables/table10.xml><?xml version="1.0" encoding="utf-8"?>
<table xmlns="http://schemas.openxmlformats.org/spreadsheetml/2006/main" id="3" name="TabelaPedidos" displayName="TabelaPedidos" ref="A1:I4" totalsRowCount="1" headerRowDxfId="60" dataDxfId="59">
  <tableColumns count="9">
    <tableColumn id="1" name="DATA" dataDxfId="58" totalsRowDxfId="57"/>
    <tableColumn id="6" name="QTD KG" totalsRowFunction="sum" dataDxfId="56" totalsRowDxfId="55"/>
    <tableColumn id="2" name="ANO" dataDxfId="54" totalsRowDxfId="53">
      <calculatedColumnFormula>IF(TabelaPedidos[DATA]="","-",YEAR(TabelaPedidos[DATA]))</calculatedColumnFormula>
    </tableColumn>
    <tableColumn id="3" name="MÊS" dataDxfId="52" totalsRowDxfId="51">
      <calculatedColumnFormula>IF(TabelaPedidos[DATA]="","-", PROPER(TEXT(TabelaPedidos[DATA],"MMMM")))</calculatedColumnFormula>
    </tableColumn>
    <tableColumn id="4" name="DIA" dataDxfId="50" totalsRowDxfId="49">
      <calculatedColumnFormula>IF(TabelaPedidos[DATA]="","-",DAY(TabelaPedidos[DATA]))</calculatedColumnFormula>
    </tableColumn>
    <tableColumn id="5" name="DIA SEMANA" dataDxfId="48" totalsRowDxfId="47">
      <calculatedColumnFormula>IF(TabelaPedidos[DATA]="","-",PROPER(TEXT(TabelaPedidos[DATA],"DDDD")))</calculatedColumnFormula>
    </tableColumn>
    <tableColumn id="8" name="PREÇO DO  KG" dataDxfId="46" totalsRowDxfId="45"/>
    <tableColumn id="7" name="TOTAL" totalsRowFunction="sum" dataDxfId="44" totalsRowDxfId="43">
      <calculatedColumnFormula>TabelaPedidos[PREÇO DO  KG]*TabelaPedidos[QTD KG]</calculatedColumnFormula>
    </tableColumn>
    <tableColumn id="9" name="SITUAÇÃO" dataDxfId="42" totalsRowDxfId="41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11" name="tbPARCELAS" displayName="tbPARCELAS" ref="A1:K11" totalsRowShown="0" headerRowDxfId="40" dataDxfId="39">
  <sortState ref="A2:K11">
    <sortCondition ref="K2:K11"/>
    <sortCondition ref="J2:J11"/>
  </sortState>
  <tableColumns count="11">
    <tableColumn id="1" name="Administradora" dataDxfId="38"/>
    <tableColumn id="11" name="DiaVenc" dataDxfId="37"/>
    <tableColumn id="2" name="DiaFechamento" dataDxfId="36">
      <calculatedColumnFormula>IFERROR(IF(tbPARCELAS[[#This Row],[Administradora]]="LOSANGO",tbPARCELAS[[#This Row],[DiaVenc]]-15,tbPARCELAS[[#This Row],[DiaVenc]]-11),"-")</calculatedColumnFormula>
    </tableColumn>
    <tableColumn id="3" name="Loja" dataDxfId="35"/>
    <tableColumn id="4" name="Produto" dataDxfId="34"/>
    <tableColumn id="5" name="Data da Compra" dataDxfId="33"/>
    <tableColumn id="6" name="Total" dataDxfId="32"/>
    <tableColumn id="7" name="Parcelas" dataDxfId="31"/>
    <tableColumn id="8" name="DataE" dataDxfId="30">
      <calculatedColumnFormula>IF(DAY(tbPARCELAS[[#This Row],[Data da Compra]])&gt;=tbPARCELAS[[#This Row],[DiaFechamento]],EDATE(tbPARCELAS[[#This Row],[Data da Compra]],tbPARCELAS[[#This Row],[Parcelas]]+1),EDATE(tbPARCELAS[[#This Row],[Data da Compra]],tbPARCELAS[[#This Row],[Parcelas]]))</calculatedColumnFormula>
    </tableColumn>
    <tableColumn id="9" name="Mês End" dataDxfId="29">
      <calculatedColumnFormula>TEXT(tbPARCELAS[[#This Row],[DataE]],"m") * 1</calculatedColumnFormula>
    </tableColumn>
    <tableColumn id="10" name="Ano End" dataDxfId="28">
      <calculatedColumnFormula>YEAR(tbPARCELAS[[#This Row],[DataE]]) * 1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MONTADORES" displayName="tbMONTADORES" ref="A1:L10" totalsRowShown="0" headerRowDxfId="25" dataDxfId="24">
  <tableColumns count="12">
    <tableColumn id="1" name="MONTADOR" dataDxfId="23"/>
    <tableColumn id="12" name="ENDEREÇO" dataDxfId="22"/>
    <tableColumn id="2" name="CONTATO 1 " dataDxfId="21"/>
    <tableColumn id="3" name="OPERADORA 1" dataDxfId="20"/>
    <tableColumn id="4" name="CONTATO 2" dataDxfId="19"/>
    <tableColumn id="5" name="OPERADORA 2" dataDxfId="18"/>
    <tableColumn id="6" name="CONTATO 3" dataDxfId="17"/>
    <tableColumn id="7" name="OPERADORA 3" dataDxfId="16"/>
    <tableColumn id="8" name="CONTATO 4" dataDxfId="15"/>
    <tableColumn id="9" name="OPERADORA 4" dataDxfId="14"/>
    <tableColumn id="10" name="SERVIÇO" dataDxfId="13"/>
    <tableColumn id="11" name="PREÇO" dataDxfId="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MÓVEIS" displayName="tbMÓVEIS" ref="A1:H17" totalsRowShown="0" headerRowDxfId="9" dataDxfId="8">
  <tableColumns count="8">
    <tableColumn id="1" name="PRODUTO" dataDxfId="7"/>
    <tableColumn id="2" name="CÔMODO" dataDxfId="6"/>
    <tableColumn id="3" name="DESCRIÇÃO" dataDxfId="5"/>
    <tableColumn id="4" name="SHOP" dataDxfId="4"/>
    <tableColumn id="5" name="COMPRA FINALIZADA? " dataDxfId="3"/>
    <tableColumn id="7" name="VALOR MÉDIO" dataDxfId="2"/>
    <tableColumn id="6" name="MONTAGEM" dataDxfId="1"/>
    <tableColumn id="8" name="VALOR FINAL" dataDxfId="0">
      <calculatedColumnFormula>SUM(F2:G2)</calculatedColumnFormula>
    </tableColumn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34998626667073579"/>
  </sheetPr>
  <dimension ref="A1:B15"/>
  <sheetViews>
    <sheetView showGridLines="0" tabSelected="1" zoomScaleNormal="100" workbookViewId="0"/>
  </sheetViews>
  <sheetFormatPr defaultRowHeight="15" x14ac:dyDescent="0.25"/>
  <cols>
    <col min="1" max="1" width="19.140625" customWidth="1"/>
    <col min="2" max="2" width="19.42578125" customWidth="1"/>
    <col min="3" max="3" width="50.140625" customWidth="1"/>
  </cols>
  <sheetData>
    <row r="1" spans="1:2" x14ac:dyDescent="0.25">
      <c r="A1" s="1" t="s">
        <v>38</v>
      </c>
      <c r="B1" s="1" t="s">
        <v>37</v>
      </c>
    </row>
    <row r="2" spans="1:2" x14ac:dyDescent="0.25">
      <c r="A2" s="3">
        <v>42856</v>
      </c>
      <c r="B2" s="37">
        <f>1941.87+SUM(SUMIFS(TabelaVendas[VENDA],TabelaVendas[MÊS],MONTH(tbRECEITAS[[#This Row],[Data]])-1,TabelaVendas[ANO],YEAR(tbRECEITAS[[#This Row],[Data]])),SUMIFS(TabelaVendasKG[TOTAL],TabelaVendasKG[MÊS],MONTH(tbRECEITAS[[#This Row],[Data]])-1,TabelaVendasKG[ANO],YEAR(tbRECEITAS[[#This Row],[Data]])))-SUMIFS(TabelaDespesas[VALOR],TabelaDespesas[MÊS],MONTH(tbRECEITAS[[#This Row],[Data]])-1,TabelaDespesas[ANO],YEAR(tbRECEITAS[[#This Row],[Data]]))</f>
        <v>1941.87</v>
      </c>
    </row>
    <row r="3" spans="1:2" x14ac:dyDescent="0.25">
      <c r="A3" s="3">
        <v>42887</v>
      </c>
      <c r="B3" s="37">
        <f>2263.36+SUM(SUMIFS(TabelaVendas[VENDA],TabelaVendas[MÊS],MONTH(tbRECEITAS[[#This Row],[Data]])-1,TabelaVendas[ANO],YEAR(tbRECEITAS[[#This Row],[Data]])),SUMIFS(TabelaVendasKG[TOTAL],TabelaVendasKG[MÊS],MONTH(tbRECEITAS[[#This Row],[Data]])-1,TabelaVendasKG[ANO],YEAR(tbRECEITAS[[#This Row],[Data]])))-SUMIFS(TabelaDespesas[VALOR],TabelaDespesas[MÊS],MONTH(tbRECEITAS[[#This Row],[Data]])-1,TabelaDespesas[ANO],YEAR(tbRECEITAS[[#This Row],[Data]]))</f>
        <v>2263.36</v>
      </c>
    </row>
    <row r="4" spans="1:2" x14ac:dyDescent="0.25">
      <c r="A4" s="3">
        <v>42917</v>
      </c>
      <c r="B4" s="37">
        <f>2438.35+SUM(SUMIFS(TabelaVendas[VENDA],TabelaVendas[MÊS],MONTH(tbRECEITAS[[#This Row],[Data]])-1,TabelaVendas[ANO],YEAR(tbRECEITAS[[#This Row],[Data]])),SUMIFS(TabelaVendasKG[TOTAL],TabelaVendasKG[MÊS],MONTH(tbRECEITAS[[#This Row],[Data]])-1,TabelaVendasKG[ANO],YEAR(tbRECEITAS[[#This Row],[Data]])))-SUMIFS(TabelaDespesas[VALOR],TabelaDespesas[MÊS],MONTH(tbRECEITAS[[#This Row],[Data]])-1,TabelaDespesas[ANO],YEAR(tbRECEITAS[[#This Row],[Data]]))</f>
        <v>2438.35</v>
      </c>
    </row>
    <row r="5" spans="1:2" x14ac:dyDescent="0.25">
      <c r="A5" s="3">
        <v>42948</v>
      </c>
      <c r="B5" s="37">
        <f>1063.36+SUM(SUMIFS(TabelaVendas[VENDA],TabelaVendas[MÊS],MONTH(tbRECEITAS[[#This Row],[Data]])-1,TabelaVendas[ANO],YEAR(tbRECEITAS[[#This Row],[Data]])),SUMIFS(TabelaVendasKG[TOTAL],TabelaVendasKG[MÊS],MONTH(tbRECEITAS[[#This Row],[Data]])-1,TabelaVendasKG[ANO],YEAR(tbRECEITAS[[#This Row],[Data]])))-SUMIFS(TabelaDespesas[VALOR],TabelaDespesas[MÊS],MONTH(tbRECEITAS[[#This Row],[Data]])-1,TabelaDespesas[ANO],YEAR(tbRECEITAS[[#This Row],[Data]]))</f>
        <v>1931.96</v>
      </c>
    </row>
    <row r="6" spans="1:2" x14ac:dyDescent="0.25">
      <c r="A6" s="3">
        <v>42979</v>
      </c>
      <c r="B6" s="37">
        <f>1063.36+SUM(SUMIFS(TabelaVendas[VENDA],TabelaVendas[MÊS],MONTH(tbRECEITAS[[#This Row],[Data]])-1,TabelaVendas[ANO],YEAR(tbRECEITAS[[#This Row],[Data]])),SUMIFS(TabelaVendasKG[TOTAL],TabelaVendasKG[MÊS],MONTH(tbRECEITAS[[#This Row],[Data]])-1,TabelaVendasKG[ANO],YEAR(tbRECEITAS[[#This Row],[Data]])))-SUMIFS(TabelaDespesas[VALOR],TabelaDespesas[MÊS],MONTH(tbRECEITAS[[#This Row],[Data]])-1,TabelaDespesas[ANO],YEAR(tbRECEITAS[[#This Row],[Data]]))</f>
        <v>1063.3599999999999</v>
      </c>
    </row>
    <row r="7" spans="1:2" x14ac:dyDescent="0.25">
      <c r="A7" s="3">
        <v>43009</v>
      </c>
      <c r="B7" s="37">
        <f>1063.36+SUM(SUMIFS(TabelaVendas[VENDA],TabelaVendas[MÊS],MONTH(tbRECEITAS[[#This Row],[Data]])-1,TabelaVendas[ANO],YEAR(tbRECEITAS[[#This Row],[Data]])),SUMIFS(TabelaVendasKG[TOTAL],TabelaVendasKG[MÊS],MONTH(tbRECEITAS[[#This Row],[Data]])-1,TabelaVendasKG[ANO],YEAR(tbRECEITAS[[#This Row],[Data]])))-SUMIFS(TabelaDespesas[VALOR],TabelaDespesas[MÊS],MONTH(tbRECEITAS[[#This Row],[Data]])-1,TabelaDespesas[ANO],YEAR(tbRECEITAS[[#This Row],[Data]]))</f>
        <v>1063.3599999999999</v>
      </c>
    </row>
    <row r="8" spans="1:2" x14ac:dyDescent="0.25">
      <c r="A8" s="3">
        <v>43040</v>
      </c>
      <c r="B8" s="37">
        <f>1063.36+SUM(SUMIFS(TabelaVendas[VENDA],TabelaVendas[MÊS],MONTH(tbRECEITAS[[#This Row],[Data]])-1,TabelaVendas[ANO],YEAR(tbRECEITAS[[#This Row],[Data]])),SUMIFS(TabelaVendasKG[TOTAL],TabelaVendasKG[MÊS],MONTH(tbRECEITAS[[#This Row],[Data]])-1,TabelaVendasKG[ANO],YEAR(tbRECEITAS[[#This Row],[Data]])))-SUMIFS(TabelaDespesas[VALOR],TabelaDespesas[MÊS],MONTH(tbRECEITAS[[#This Row],[Data]])-1,TabelaDespesas[ANO],YEAR(tbRECEITAS[[#This Row],[Data]]))</f>
        <v>1063.3599999999999</v>
      </c>
    </row>
    <row r="9" spans="1:2" x14ac:dyDescent="0.25">
      <c r="A9" s="3">
        <v>43070</v>
      </c>
      <c r="B9" s="37">
        <f>1063.36+SUM(SUMIFS(TabelaVendas[VENDA],TabelaVendas[MÊS],MONTH(tbRECEITAS[[#This Row],[Data]])-1,TabelaVendas[ANO],YEAR(tbRECEITAS[[#This Row],[Data]])),SUMIFS(TabelaVendasKG[TOTAL],TabelaVendasKG[MÊS],MONTH(tbRECEITAS[[#This Row],[Data]])-1,TabelaVendasKG[ANO],YEAR(tbRECEITAS[[#This Row],[Data]])))-SUMIFS(TabelaDespesas[VALOR],TabelaDespesas[MÊS],MONTH(tbRECEITAS[[#This Row],[Data]])-1,TabelaDespesas[ANO],YEAR(tbRECEITAS[[#This Row],[Data]]))</f>
        <v>1063.3599999999999</v>
      </c>
    </row>
    <row r="10" spans="1:2" x14ac:dyDescent="0.25">
      <c r="A10" s="3">
        <v>43101</v>
      </c>
      <c r="B10" s="37">
        <f>1063.36+SUM(SUMIFS(TabelaVendas[VENDA],TabelaVendas[MÊS],MONTH(tbRECEITAS[[#This Row],[Data]])-1,TabelaVendas[ANO],YEAR(tbRECEITAS[[#This Row],[Data]])),SUMIFS(TabelaVendasKG[TOTAL],TabelaVendasKG[MÊS],MONTH(tbRECEITAS[[#This Row],[Data]])-1,TabelaVendasKG[ANO],YEAR(tbRECEITAS[[#This Row],[Data]])))-SUMIFS(TabelaDespesas[VALOR],TabelaDespesas[MÊS],MONTH(tbRECEITAS[[#This Row],[Data]])-1,TabelaDespesas[ANO],YEAR(tbRECEITAS[[#This Row],[Data]]))</f>
        <v>1063.3599999999999</v>
      </c>
    </row>
    <row r="11" spans="1:2" x14ac:dyDescent="0.25">
      <c r="A11" s="3">
        <v>43132</v>
      </c>
      <c r="B11" s="37">
        <f>1063.36+SUM(SUMIFS(TabelaVendas[VENDA],TabelaVendas[MÊS],MONTH(tbRECEITAS[[#This Row],[Data]])-1,TabelaVendas[ANO],YEAR(tbRECEITAS[[#This Row],[Data]])),SUMIFS(TabelaVendasKG[TOTAL],TabelaVendasKG[MÊS],MONTH(tbRECEITAS[[#This Row],[Data]])-1,TabelaVendasKG[ANO],YEAR(tbRECEITAS[[#This Row],[Data]])))-SUMIFS(TabelaDespesas[VALOR],TabelaDespesas[MÊS],MONTH(tbRECEITAS[[#This Row],[Data]])-1,TabelaDespesas[ANO],YEAR(tbRECEITAS[[#This Row],[Data]]))</f>
        <v>1063.3599999999999</v>
      </c>
    </row>
    <row r="12" spans="1:2" x14ac:dyDescent="0.25">
      <c r="A12" s="3">
        <v>43160</v>
      </c>
      <c r="B12" s="37">
        <f>1063.36+SUM(SUMIFS(TabelaVendas[VENDA],TabelaVendas[MÊS],MONTH(tbRECEITAS[[#This Row],[Data]])-1,TabelaVendas[ANO],YEAR(tbRECEITAS[[#This Row],[Data]])),SUMIFS(TabelaVendasKG[TOTAL],TabelaVendasKG[MÊS],MONTH(tbRECEITAS[[#This Row],[Data]])-1,TabelaVendasKG[ANO],YEAR(tbRECEITAS[[#This Row],[Data]])))-SUMIFS(TabelaDespesas[VALOR],TabelaDespesas[MÊS],MONTH(tbRECEITAS[[#This Row],[Data]])-1,TabelaDespesas[ANO],YEAR(tbRECEITAS[[#This Row],[Data]]))</f>
        <v>1063.3599999999999</v>
      </c>
    </row>
    <row r="13" spans="1:2" x14ac:dyDescent="0.25">
      <c r="A13" s="3">
        <v>43191</v>
      </c>
      <c r="B13" s="37">
        <f>1063.36+SUM(SUMIFS(TabelaVendas[VENDA],TabelaVendas[MÊS],MONTH(tbRECEITAS[[#This Row],[Data]])-1,TabelaVendas[ANO],YEAR(tbRECEITAS[[#This Row],[Data]])),SUMIFS(TabelaVendasKG[TOTAL],TabelaVendasKG[MÊS],MONTH(tbRECEITAS[[#This Row],[Data]])-1,TabelaVendasKG[ANO],YEAR(tbRECEITAS[[#This Row],[Data]])))-SUMIFS(TabelaDespesas[VALOR],TabelaDespesas[MÊS],MONTH(tbRECEITAS[[#This Row],[Data]])-1,TabelaDespesas[ANO],YEAR(tbRECEITAS[[#This Row],[Data]]))</f>
        <v>1063.3599999999999</v>
      </c>
    </row>
    <row r="14" spans="1:2" x14ac:dyDescent="0.25">
      <c r="A14" s="3">
        <v>43221</v>
      </c>
      <c r="B14" s="37">
        <f>1063.36+SUM(SUMIFS(TabelaVendas[VENDA],TabelaVendas[MÊS],MONTH(tbRECEITAS[[#This Row],[Data]])-1,TabelaVendas[ANO],YEAR(tbRECEITAS[[#This Row],[Data]])),SUMIFS(TabelaVendasKG[TOTAL],TabelaVendasKG[MÊS],MONTH(tbRECEITAS[[#This Row],[Data]])-1,TabelaVendasKG[ANO],YEAR(tbRECEITAS[[#This Row],[Data]])))-SUMIFS(TabelaDespesas[VALOR],TabelaDespesas[MÊS],MONTH(tbRECEITAS[[#This Row],[Data]])-1,TabelaDespesas[ANO],YEAR(tbRECEITAS[[#This Row],[Data]]))</f>
        <v>1063.3599999999999</v>
      </c>
    </row>
    <row r="15" spans="1:2" x14ac:dyDescent="0.25">
      <c r="A15" s="3">
        <v>43252</v>
      </c>
      <c r="B15" s="37">
        <f>1063.36+SUM(SUMIFS(TabelaVendas[VENDA],TabelaVendas[MÊS],MONTH(tbRECEITAS[[#This Row],[Data]])-1,TabelaVendas[ANO],YEAR(tbRECEITAS[[#This Row],[Data]])),SUMIFS(TabelaVendasKG[TOTAL],TabelaVendasKG[MÊS],MONTH(tbRECEITAS[[#This Row],[Data]])-1,TabelaVendasKG[ANO],YEAR(tbRECEITAS[[#This Row],[Data]])))-SUMIFS(TabelaDespesas[VALOR],TabelaDespesas[MÊS],MONTH(tbRECEITAS[[#This Row],[Data]])-1,TabelaDespesas[ANO],YEAR(tbRECEITAS[[#This Row],[Data]]))</f>
        <v>1063.3599999999999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34998626667073579"/>
  </sheetPr>
  <dimension ref="A1:F117"/>
  <sheetViews>
    <sheetView showGridLines="0" zoomScaleNormal="100" workbookViewId="0"/>
  </sheetViews>
  <sheetFormatPr defaultRowHeight="15" x14ac:dyDescent="0.25"/>
  <cols>
    <col min="1" max="1" width="20.5703125" style="41" bestFit="1" customWidth="1"/>
    <col min="2" max="2" width="13.42578125" style="40" bestFit="1" customWidth="1"/>
    <col min="3" max="3" width="11.85546875" style="40" bestFit="1" customWidth="1"/>
    <col min="4" max="4" width="12.7109375" style="40" bestFit="1" customWidth="1"/>
    <col min="5" max="5" width="12.5703125" style="40" bestFit="1" customWidth="1"/>
    <col min="6" max="6" width="9.28515625" style="40" bestFit="1" customWidth="1"/>
    <col min="7" max="16384" width="9.140625" style="40"/>
  </cols>
  <sheetData>
    <row r="1" spans="1:6" x14ac:dyDescent="0.25">
      <c r="A1" s="54" t="s">
        <v>13</v>
      </c>
      <c r="B1" s="53" t="s">
        <v>14</v>
      </c>
      <c r="C1" s="53" t="s">
        <v>55</v>
      </c>
      <c r="D1" s="53" t="s">
        <v>54</v>
      </c>
      <c r="E1" s="53" t="s">
        <v>53</v>
      </c>
      <c r="F1" s="52" t="s">
        <v>52</v>
      </c>
    </row>
    <row r="2" spans="1:6" x14ac:dyDescent="0.25">
      <c r="A2" s="50" t="s">
        <v>45</v>
      </c>
      <c r="B2" s="49">
        <v>307.45999999999998</v>
      </c>
      <c r="C2" s="48">
        <v>1</v>
      </c>
      <c r="D2" s="48">
        <v>5</v>
      </c>
      <c r="E2" s="48">
        <v>2017</v>
      </c>
      <c r="F2" s="45" t="s">
        <v>50</v>
      </c>
    </row>
    <row r="3" spans="1:6" x14ac:dyDescent="0.25">
      <c r="A3" s="50" t="s">
        <v>48</v>
      </c>
      <c r="B3" s="49">
        <v>113.07</v>
      </c>
      <c r="C3" s="48">
        <v>1</v>
      </c>
      <c r="D3" s="48">
        <v>5</v>
      </c>
      <c r="E3" s="48">
        <v>2017</v>
      </c>
      <c r="F3" s="45" t="s">
        <v>50</v>
      </c>
    </row>
    <row r="4" spans="1:6" x14ac:dyDescent="0.25">
      <c r="A4" s="50" t="s">
        <v>44</v>
      </c>
      <c r="B4" s="49">
        <v>150.53</v>
      </c>
      <c r="C4" s="48">
        <v>1</v>
      </c>
      <c r="D4" s="48">
        <v>5</v>
      </c>
      <c r="E4" s="48">
        <v>2017</v>
      </c>
      <c r="F4" s="45" t="s">
        <v>50</v>
      </c>
    </row>
    <row r="5" spans="1:6" x14ac:dyDescent="0.25">
      <c r="A5" s="50" t="s">
        <v>47</v>
      </c>
      <c r="B5" s="49">
        <v>67.83</v>
      </c>
      <c r="C5" s="48">
        <v>5</v>
      </c>
      <c r="D5" s="48">
        <v>5</v>
      </c>
      <c r="E5" s="48">
        <v>2017</v>
      </c>
      <c r="F5" s="45" t="s">
        <v>50</v>
      </c>
    </row>
    <row r="6" spans="1:6" x14ac:dyDescent="0.25">
      <c r="A6" s="50" t="s">
        <v>46</v>
      </c>
      <c r="B6" s="49">
        <v>262</v>
      </c>
      <c r="C6" s="48">
        <v>7</v>
      </c>
      <c r="D6" s="48">
        <v>5</v>
      </c>
      <c r="E6" s="48">
        <v>2017</v>
      </c>
      <c r="F6" s="45" t="s">
        <v>50</v>
      </c>
    </row>
    <row r="7" spans="1:6" x14ac:dyDescent="0.25">
      <c r="A7" s="50" t="s">
        <v>43</v>
      </c>
      <c r="B7" s="49">
        <v>129.33000000000001</v>
      </c>
      <c r="C7" s="48">
        <v>10</v>
      </c>
      <c r="D7" s="48">
        <v>5</v>
      </c>
      <c r="E7" s="48">
        <v>2017</v>
      </c>
      <c r="F7" s="45" t="s">
        <v>50</v>
      </c>
    </row>
    <row r="8" spans="1:6" x14ac:dyDescent="0.25">
      <c r="A8" s="50" t="s">
        <v>42</v>
      </c>
      <c r="B8" s="49">
        <v>750</v>
      </c>
      <c r="C8" s="48">
        <v>10</v>
      </c>
      <c r="D8" s="48">
        <v>5</v>
      </c>
      <c r="E8" s="48">
        <v>2017</v>
      </c>
      <c r="F8" s="45" t="s">
        <v>50</v>
      </c>
    </row>
    <row r="9" spans="1:6" x14ac:dyDescent="0.25">
      <c r="A9" s="50" t="s">
        <v>41</v>
      </c>
      <c r="B9" s="49">
        <v>44.76</v>
      </c>
      <c r="C9" s="48">
        <v>12</v>
      </c>
      <c r="D9" s="48">
        <v>5</v>
      </c>
      <c r="E9" s="48">
        <v>2017</v>
      </c>
      <c r="F9" s="45" t="s">
        <v>50</v>
      </c>
    </row>
    <row r="10" spans="1:6" x14ac:dyDescent="0.25">
      <c r="A10" s="50" t="s">
        <v>40</v>
      </c>
      <c r="B10" s="49">
        <v>18.64</v>
      </c>
      <c r="C10" s="48">
        <v>12</v>
      </c>
      <c r="D10" s="48">
        <v>5</v>
      </c>
      <c r="E10" s="48">
        <v>2017</v>
      </c>
      <c r="F10" s="45" t="s">
        <v>50</v>
      </c>
    </row>
    <row r="11" spans="1:6" x14ac:dyDescent="0.25">
      <c r="A11" s="50" t="s">
        <v>45</v>
      </c>
      <c r="B11" s="49">
        <v>344.42</v>
      </c>
      <c r="C11" s="48">
        <v>1</v>
      </c>
      <c r="D11" s="48">
        <v>6</v>
      </c>
      <c r="E11" s="48">
        <v>2017</v>
      </c>
      <c r="F11" s="45" t="s">
        <v>50</v>
      </c>
    </row>
    <row r="12" spans="1:6" x14ac:dyDescent="0.25">
      <c r="A12" s="50" t="s">
        <v>48</v>
      </c>
      <c r="B12" s="49">
        <v>108.18</v>
      </c>
      <c r="C12" s="48">
        <v>1</v>
      </c>
      <c r="D12" s="48">
        <v>6</v>
      </c>
      <c r="E12" s="48">
        <v>2017</v>
      </c>
      <c r="F12" s="45" t="s">
        <v>50</v>
      </c>
    </row>
    <row r="13" spans="1:6" x14ac:dyDescent="0.25">
      <c r="A13" s="50" t="s">
        <v>44</v>
      </c>
      <c r="B13" s="49">
        <v>172.47</v>
      </c>
      <c r="C13" s="48">
        <v>1</v>
      </c>
      <c r="D13" s="48">
        <v>6</v>
      </c>
      <c r="E13" s="48">
        <v>2017</v>
      </c>
      <c r="F13" s="45" t="s">
        <v>50</v>
      </c>
    </row>
    <row r="14" spans="1:6" x14ac:dyDescent="0.25">
      <c r="A14" s="47" t="s">
        <v>51</v>
      </c>
      <c r="B14" s="46">
        <v>100</v>
      </c>
      <c r="C14" s="45">
        <v>1</v>
      </c>
      <c r="D14" s="45">
        <v>6</v>
      </c>
      <c r="E14" s="45">
        <v>2017</v>
      </c>
      <c r="F14" s="45" t="s">
        <v>50</v>
      </c>
    </row>
    <row r="15" spans="1:6" x14ac:dyDescent="0.25">
      <c r="A15" s="47" t="s">
        <v>32</v>
      </c>
      <c r="B15" s="46">
        <v>34.6</v>
      </c>
      <c r="C15" s="45">
        <v>1</v>
      </c>
      <c r="D15" s="45">
        <v>6</v>
      </c>
      <c r="E15" s="45">
        <v>2017</v>
      </c>
      <c r="F15" s="45" t="s">
        <v>50</v>
      </c>
    </row>
    <row r="16" spans="1:6" x14ac:dyDescent="0.25">
      <c r="A16" s="50" t="s">
        <v>47</v>
      </c>
      <c r="B16" s="49">
        <v>47.86</v>
      </c>
      <c r="C16" s="48">
        <v>5</v>
      </c>
      <c r="D16" s="48">
        <v>6</v>
      </c>
      <c r="E16" s="48">
        <v>2017</v>
      </c>
      <c r="F16" s="45" t="s">
        <v>50</v>
      </c>
    </row>
    <row r="17" spans="1:6" x14ac:dyDescent="0.25">
      <c r="A17" s="50" t="s">
        <v>46</v>
      </c>
      <c r="B17" s="49">
        <v>262</v>
      </c>
      <c r="C17" s="48">
        <v>7</v>
      </c>
      <c r="D17" s="48">
        <v>6</v>
      </c>
      <c r="E17" s="48">
        <v>2017</v>
      </c>
      <c r="F17" s="45" t="s">
        <v>50</v>
      </c>
    </row>
    <row r="18" spans="1:6" x14ac:dyDescent="0.25">
      <c r="A18" s="50" t="s">
        <v>43</v>
      </c>
      <c r="B18" s="49">
        <v>129.33000000000001</v>
      </c>
      <c r="C18" s="48">
        <v>10</v>
      </c>
      <c r="D18" s="48">
        <v>6</v>
      </c>
      <c r="E18" s="48">
        <v>2017</v>
      </c>
      <c r="F18" s="45" t="s">
        <v>50</v>
      </c>
    </row>
    <row r="19" spans="1:6" x14ac:dyDescent="0.25">
      <c r="A19" s="50" t="s">
        <v>42</v>
      </c>
      <c r="B19" s="49">
        <v>750</v>
      </c>
      <c r="C19" s="48">
        <v>10</v>
      </c>
      <c r="D19" s="48">
        <v>6</v>
      </c>
      <c r="E19" s="48">
        <v>2017</v>
      </c>
      <c r="F19" s="45" t="s">
        <v>50</v>
      </c>
    </row>
    <row r="20" spans="1:6" x14ac:dyDescent="0.25">
      <c r="A20" s="50" t="s">
        <v>41</v>
      </c>
      <c r="B20" s="49">
        <v>72.760000000000005</v>
      </c>
      <c r="C20" s="48">
        <v>12</v>
      </c>
      <c r="D20" s="48">
        <v>6</v>
      </c>
      <c r="E20" s="48">
        <v>2017</v>
      </c>
      <c r="F20" s="45" t="s">
        <v>50</v>
      </c>
    </row>
    <row r="21" spans="1:6" x14ac:dyDescent="0.25">
      <c r="A21" s="50" t="s">
        <v>40</v>
      </c>
      <c r="B21" s="49">
        <v>87.32</v>
      </c>
      <c r="C21" s="48">
        <v>12</v>
      </c>
      <c r="D21" s="48">
        <v>6</v>
      </c>
      <c r="E21" s="48">
        <v>2017</v>
      </c>
      <c r="F21" s="45" t="s">
        <v>50</v>
      </c>
    </row>
    <row r="22" spans="1:6" x14ac:dyDescent="0.25">
      <c r="A22" s="50" t="s">
        <v>45</v>
      </c>
      <c r="B22" s="49">
        <v>597.23</v>
      </c>
      <c r="C22" s="48">
        <v>1</v>
      </c>
      <c r="D22" s="48">
        <v>7</v>
      </c>
      <c r="E22" s="48">
        <v>2017</v>
      </c>
      <c r="F22" s="45" t="s">
        <v>50</v>
      </c>
    </row>
    <row r="23" spans="1:6" x14ac:dyDescent="0.25">
      <c r="A23" s="50" t="s">
        <v>48</v>
      </c>
      <c r="B23" s="49">
        <v>126.81</v>
      </c>
      <c r="C23" s="48">
        <v>1</v>
      </c>
      <c r="D23" s="48">
        <v>7</v>
      </c>
      <c r="E23" s="48">
        <v>2017</v>
      </c>
      <c r="F23" s="45" t="s">
        <v>50</v>
      </c>
    </row>
    <row r="24" spans="1:6" x14ac:dyDescent="0.25">
      <c r="A24" s="50" t="s">
        <v>44</v>
      </c>
      <c r="B24" s="49">
        <v>111.4</v>
      </c>
      <c r="C24" s="48">
        <v>1</v>
      </c>
      <c r="D24" s="48">
        <v>7</v>
      </c>
      <c r="E24" s="48">
        <v>2017</v>
      </c>
      <c r="F24" s="45" t="s">
        <v>50</v>
      </c>
    </row>
    <row r="25" spans="1:6" x14ac:dyDescent="0.25">
      <c r="A25" s="50" t="s">
        <v>47</v>
      </c>
      <c r="B25" s="49">
        <v>49.18</v>
      </c>
      <c r="C25" s="48">
        <v>5</v>
      </c>
      <c r="D25" s="48">
        <v>7</v>
      </c>
      <c r="E25" s="48">
        <v>2017</v>
      </c>
      <c r="F25" s="45" t="s">
        <v>50</v>
      </c>
    </row>
    <row r="26" spans="1:6" x14ac:dyDescent="0.25">
      <c r="A26" s="50" t="s">
        <v>46</v>
      </c>
      <c r="B26" s="49">
        <v>262</v>
      </c>
      <c r="C26" s="48">
        <v>7</v>
      </c>
      <c r="D26" s="48">
        <v>7</v>
      </c>
      <c r="E26" s="48">
        <v>2017</v>
      </c>
      <c r="F26" s="45" t="s">
        <v>50</v>
      </c>
    </row>
    <row r="27" spans="1:6" x14ac:dyDescent="0.25">
      <c r="A27" s="50" t="s">
        <v>43</v>
      </c>
      <c r="B27" s="49">
        <v>235.03</v>
      </c>
      <c r="C27" s="48">
        <v>10</v>
      </c>
      <c r="D27" s="48">
        <v>7</v>
      </c>
      <c r="E27" s="48">
        <v>2017</v>
      </c>
      <c r="F27" s="45" t="s">
        <v>50</v>
      </c>
    </row>
    <row r="28" spans="1:6" x14ac:dyDescent="0.25">
      <c r="A28" s="50" t="s">
        <v>42</v>
      </c>
      <c r="B28" s="49">
        <v>750</v>
      </c>
      <c r="C28" s="48">
        <v>10</v>
      </c>
      <c r="D28" s="48">
        <v>7</v>
      </c>
      <c r="E28" s="48">
        <v>2017</v>
      </c>
      <c r="F28" s="45" t="s">
        <v>50</v>
      </c>
    </row>
    <row r="29" spans="1:6" x14ac:dyDescent="0.25">
      <c r="A29" s="50" t="s">
        <v>49</v>
      </c>
      <c r="B29" s="49">
        <v>89.43</v>
      </c>
      <c r="C29" s="48">
        <v>11</v>
      </c>
      <c r="D29" s="48">
        <v>7</v>
      </c>
      <c r="E29" s="48">
        <v>2017</v>
      </c>
      <c r="F29" s="45" t="s">
        <v>50</v>
      </c>
    </row>
    <row r="30" spans="1:6" x14ac:dyDescent="0.25">
      <c r="A30" s="50" t="s">
        <v>41</v>
      </c>
      <c r="B30" s="49">
        <v>44.76</v>
      </c>
      <c r="C30" s="48">
        <v>12</v>
      </c>
      <c r="D30" s="48">
        <v>7</v>
      </c>
      <c r="E30" s="48">
        <v>2017</v>
      </c>
      <c r="F30" s="45" t="s">
        <v>50</v>
      </c>
    </row>
    <row r="31" spans="1:6" x14ac:dyDescent="0.25">
      <c r="A31" s="50" t="s">
        <v>40</v>
      </c>
      <c r="B31" s="49">
        <v>75.52</v>
      </c>
      <c r="C31" s="48">
        <v>12</v>
      </c>
      <c r="D31" s="48">
        <v>7</v>
      </c>
      <c r="E31" s="48">
        <v>2017</v>
      </c>
      <c r="F31" s="45" t="s">
        <v>50</v>
      </c>
    </row>
    <row r="32" spans="1:6" x14ac:dyDescent="0.25">
      <c r="A32" s="50" t="s">
        <v>45</v>
      </c>
      <c r="B32" s="49">
        <v>566.47</v>
      </c>
      <c r="C32" s="48">
        <v>1</v>
      </c>
      <c r="D32" s="48">
        <v>8</v>
      </c>
      <c r="E32" s="48">
        <v>2017</v>
      </c>
      <c r="F32" s="45" t="s">
        <v>39</v>
      </c>
    </row>
    <row r="33" spans="1:6" x14ac:dyDescent="0.25">
      <c r="A33" s="50" t="s">
        <v>44</v>
      </c>
      <c r="B33" s="49">
        <v>128.77000000000001</v>
      </c>
      <c r="C33" s="48">
        <v>1</v>
      </c>
      <c r="D33" s="48">
        <v>8</v>
      </c>
      <c r="E33" s="48">
        <v>2017</v>
      </c>
      <c r="F33" s="45" t="s">
        <v>39</v>
      </c>
    </row>
    <row r="34" spans="1:6" x14ac:dyDescent="0.25">
      <c r="A34" s="50" t="s">
        <v>48</v>
      </c>
      <c r="B34" s="49">
        <v>157.93</v>
      </c>
      <c r="C34" s="48">
        <v>1</v>
      </c>
      <c r="D34" s="48">
        <v>8</v>
      </c>
      <c r="E34" s="48">
        <v>2017</v>
      </c>
      <c r="F34" s="45" t="s">
        <v>39</v>
      </c>
    </row>
    <row r="35" spans="1:6" x14ac:dyDescent="0.25">
      <c r="A35" s="50" t="s">
        <v>47</v>
      </c>
      <c r="B35" s="49">
        <v>47.86</v>
      </c>
      <c r="C35" s="48">
        <v>5</v>
      </c>
      <c r="D35" s="48">
        <v>8</v>
      </c>
      <c r="E35" s="48">
        <v>2017</v>
      </c>
      <c r="F35" s="45" t="s">
        <v>39</v>
      </c>
    </row>
    <row r="36" spans="1:6" x14ac:dyDescent="0.25">
      <c r="A36" s="50" t="s">
        <v>46</v>
      </c>
      <c r="B36" s="49">
        <v>262</v>
      </c>
      <c r="C36" s="48">
        <v>7</v>
      </c>
      <c r="D36" s="48">
        <v>8</v>
      </c>
      <c r="E36" s="48">
        <v>2017</v>
      </c>
      <c r="F36" s="45" t="s">
        <v>39</v>
      </c>
    </row>
    <row r="37" spans="1:6" x14ac:dyDescent="0.25">
      <c r="A37" s="50" t="s">
        <v>43</v>
      </c>
      <c r="B37" s="49">
        <v>220.89</v>
      </c>
      <c r="C37" s="48">
        <v>10</v>
      </c>
      <c r="D37" s="48">
        <v>8</v>
      </c>
      <c r="E37" s="48">
        <v>2017</v>
      </c>
      <c r="F37" s="45" t="s">
        <v>39</v>
      </c>
    </row>
    <row r="38" spans="1:6" x14ac:dyDescent="0.25">
      <c r="A38" s="50" t="s">
        <v>42</v>
      </c>
      <c r="B38" s="49">
        <v>750</v>
      </c>
      <c r="C38" s="48">
        <v>10</v>
      </c>
      <c r="D38" s="48">
        <v>8</v>
      </c>
      <c r="E38" s="48">
        <v>2017</v>
      </c>
      <c r="F38" s="45" t="s">
        <v>39</v>
      </c>
    </row>
    <row r="39" spans="1:6" x14ac:dyDescent="0.25">
      <c r="A39" s="50" t="s">
        <v>49</v>
      </c>
      <c r="B39" s="49">
        <v>108.75</v>
      </c>
      <c r="C39" s="48">
        <v>11</v>
      </c>
      <c r="D39" s="48">
        <v>8</v>
      </c>
      <c r="E39" s="48">
        <v>2017</v>
      </c>
      <c r="F39" s="45" t="s">
        <v>39</v>
      </c>
    </row>
    <row r="40" spans="1:6" x14ac:dyDescent="0.25">
      <c r="A40" s="50" t="s">
        <v>41</v>
      </c>
      <c r="B40" s="49">
        <v>44.76</v>
      </c>
      <c r="C40" s="48">
        <v>12</v>
      </c>
      <c r="D40" s="48">
        <v>8</v>
      </c>
      <c r="E40" s="48">
        <v>2017</v>
      </c>
      <c r="F40" s="45" t="s">
        <v>39</v>
      </c>
    </row>
    <row r="41" spans="1:6" x14ac:dyDescent="0.25">
      <c r="A41" s="50" t="s">
        <v>40</v>
      </c>
      <c r="B41" s="49">
        <v>99.8</v>
      </c>
      <c r="C41" s="48">
        <v>12</v>
      </c>
      <c r="D41" s="48">
        <v>8</v>
      </c>
      <c r="E41" s="48">
        <v>2017</v>
      </c>
      <c r="F41" s="45" t="s">
        <v>39</v>
      </c>
    </row>
    <row r="42" spans="1:6" x14ac:dyDescent="0.25">
      <c r="A42" s="50" t="s">
        <v>45</v>
      </c>
      <c r="B42" s="49">
        <v>565.09</v>
      </c>
      <c r="C42" s="48">
        <v>1</v>
      </c>
      <c r="D42" s="48">
        <v>9</v>
      </c>
      <c r="E42" s="48">
        <v>2017</v>
      </c>
      <c r="F42" s="45" t="s">
        <v>39</v>
      </c>
    </row>
    <row r="43" spans="1:6" x14ac:dyDescent="0.25">
      <c r="A43" s="50" t="s">
        <v>44</v>
      </c>
      <c r="B43" s="49">
        <f>141.14+61.67</f>
        <v>202.81</v>
      </c>
      <c r="C43" s="48">
        <v>1</v>
      </c>
      <c r="D43" s="48">
        <v>9</v>
      </c>
      <c r="E43" s="48">
        <v>2017</v>
      </c>
      <c r="F43" s="45" t="s">
        <v>39</v>
      </c>
    </row>
    <row r="44" spans="1:6" x14ac:dyDescent="0.25">
      <c r="A44" s="50" t="s">
        <v>48</v>
      </c>
      <c r="B44" s="49">
        <f>104.19+66.5</f>
        <v>170.69</v>
      </c>
      <c r="C44" s="48">
        <v>1</v>
      </c>
      <c r="D44" s="48">
        <v>9</v>
      </c>
      <c r="E44" s="48">
        <v>2017</v>
      </c>
      <c r="F44" s="45" t="s">
        <v>39</v>
      </c>
    </row>
    <row r="45" spans="1:6" x14ac:dyDescent="0.25">
      <c r="A45" s="50" t="s">
        <v>47</v>
      </c>
      <c r="B45" s="49">
        <v>47.86</v>
      </c>
      <c r="C45" s="48">
        <v>5</v>
      </c>
      <c r="D45" s="48">
        <v>9</v>
      </c>
      <c r="E45" s="48">
        <v>2017</v>
      </c>
      <c r="F45" s="45" t="s">
        <v>39</v>
      </c>
    </row>
    <row r="46" spans="1:6" x14ac:dyDescent="0.25">
      <c r="A46" s="50" t="s">
        <v>46</v>
      </c>
      <c r="B46" s="49">
        <v>262</v>
      </c>
      <c r="C46" s="48">
        <v>7</v>
      </c>
      <c r="D46" s="48">
        <v>9</v>
      </c>
      <c r="E46" s="48">
        <v>2017</v>
      </c>
      <c r="F46" s="45" t="s">
        <v>39</v>
      </c>
    </row>
    <row r="47" spans="1:6" x14ac:dyDescent="0.25">
      <c r="A47" s="50" t="s">
        <v>43</v>
      </c>
      <c r="B47" s="49">
        <v>209.7</v>
      </c>
      <c r="C47" s="48">
        <v>10</v>
      </c>
      <c r="D47" s="48">
        <v>9</v>
      </c>
      <c r="E47" s="48">
        <v>2017</v>
      </c>
      <c r="F47" s="45" t="s">
        <v>39</v>
      </c>
    </row>
    <row r="48" spans="1:6" x14ac:dyDescent="0.25">
      <c r="A48" s="50" t="s">
        <v>42</v>
      </c>
      <c r="B48" s="49">
        <v>750</v>
      </c>
      <c r="C48" s="48">
        <v>10</v>
      </c>
      <c r="D48" s="48">
        <v>9</v>
      </c>
      <c r="E48" s="48">
        <v>2017</v>
      </c>
      <c r="F48" s="45" t="s">
        <v>39</v>
      </c>
    </row>
    <row r="49" spans="1:6" x14ac:dyDescent="0.25">
      <c r="A49" s="50" t="s">
        <v>41</v>
      </c>
      <c r="B49" s="49">
        <v>44.76</v>
      </c>
      <c r="C49" s="48">
        <v>12</v>
      </c>
      <c r="D49" s="48">
        <v>9</v>
      </c>
      <c r="E49" s="48">
        <v>2017</v>
      </c>
      <c r="F49" s="45" t="s">
        <v>39</v>
      </c>
    </row>
    <row r="50" spans="1:6" x14ac:dyDescent="0.25">
      <c r="A50" s="50" t="s">
        <v>40</v>
      </c>
      <c r="B50" s="49">
        <v>180</v>
      </c>
      <c r="C50" s="48">
        <v>12</v>
      </c>
      <c r="D50" s="48">
        <v>9</v>
      </c>
      <c r="E50" s="48">
        <v>2017</v>
      </c>
      <c r="F50" s="45" t="s">
        <v>39</v>
      </c>
    </row>
    <row r="51" spans="1:6" x14ac:dyDescent="0.25">
      <c r="A51" s="50" t="s">
        <v>45</v>
      </c>
      <c r="B51" s="49">
        <v>565.09</v>
      </c>
      <c r="C51" s="48">
        <v>1</v>
      </c>
      <c r="D51" s="48">
        <v>10</v>
      </c>
      <c r="E51" s="48">
        <v>2017</v>
      </c>
      <c r="F51" s="45" t="s">
        <v>39</v>
      </c>
    </row>
    <row r="52" spans="1:6" x14ac:dyDescent="0.25">
      <c r="A52" s="50" t="s">
        <v>44</v>
      </c>
      <c r="B52" s="49">
        <f>141.14+61.67</f>
        <v>202.81</v>
      </c>
      <c r="C52" s="48">
        <v>1</v>
      </c>
      <c r="D52" s="48">
        <v>10</v>
      </c>
      <c r="E52" s="48">
        <v>2017</v>
      </c>
      <c r="F52" s="45" t="s">
        <v>39</v>
      </c>
    </row>
    <row r="53" spans="1:6" x14ac:dyDescent="0.25">
      <c r="A53" s="50" t="s">
        <v>47</v>
      </c>
      <c r="B53" s="49">
        <v>47.86</v>
      </c>
      <c r="C53" s="48">
        <v>5</v>
      </c>
      <c r="D53" s="48">
        <v>10</v>
      </c>
      <c r="E53" s="48">
        <v>2017</v>
      </c>
      <c r="F53" s="45" t="s">
        <v>39</v>
      </c>
    </row>
    <row r="54" spans="1:6" x14ac:dyDescent="0.25">
      <c r="A54" s="50" t="s">
        <v>46</v>
      </c>
      <c r="B54" s="49">
        <v>262</v>
      </c>
      <c r="C54" s="48">
        <v>7</v>
      </c>
      <c r="D54" s="48">
        <v>10</v>
      </c>
      <c r="E54" s="48">
        <v>2017</v>
      </c>
      <c r="F54" s="45" t="s">
        <v>39</v>
      </c>
    </row>
    <row r="55" spans="1:6" x14ac:dyDescent="0.25">
      <c r="A55" s="50" t="s">
        <v>43</v>
      </c>
      <c r="B55" s="49">
        <v>209.7</v>
      </c>
      <c r="C55" s="48">
        <v>10</v>
      </c>
      <c r="D55" s="48">
        <v>10</v>
      </c>
      <c r="E55" s="48">
        <v>2017</v>
      </c>
      <c r="F55" s="45" t="s">
        <v>39</v>
      </c>
    </row>
    <row r="56" spans="1:6" x14ac:dyDescent="0.25">
      <c r="A56" s="50" t="s">
        <v>42</v>
      </c>
      <c r="B56" s="49">
        <v>750</v>
      </c>
      <c r="C56" s="48">
        <v>10</v>
      </c>
      <c r="D56" s="48">
        <v>10</v>
      </c>
      <c r="E56" s="48">
        <v>2017</v>
      </c>
      <c r="F56" s="45" t="s">
        <v>39</v>
      </c>
    </row>
    <row r="57" spans="1:6" x14ac:dyDescent="0.25">
      <c r="A57" s="50" t="s">
        <v>41</v>
      </c>
      <c r="B57" s="49">
        <v>44.76</v>
      </c>
      <c r="C57" s="48">
        <v>12</v>
      </c>
      <c r="D57" s="48">
        <v>10</v>
      </c>
      <c r="E57" s="48">
        <v>2017</v>
      </c>
      <c r="F57" s="45" t="s">
        <v>39</v>
      </c>
    </row>
    <row r="58" spans="1:6" x14ac:dyDescent="0.25">
      <c r="A58" s="50" t="s">
        <v>40</v>
      </c>
      <c r="B58" s="49">
        <v>180</v>
      </c>
      <c r="C58" s="48">
        <v>12</v>
      </c>
      <c r="D58" s="48">
        <v>10</v>
      </c>
      <c r="E58" s="48">
        <v>2017</v>
      </c>
      <c r="F58" s="45" t="s">
        <v>39</v>
      </c>
    </row>
    <row r="59" spans="1:6" x14ac:dyDescent="0.25">
      <c r="A59" s="50" t="s">
        <v>45</v>
      </c>
      <c r="B59" s="49">
        <v>339.95</v>
      </c>
      <c r="C59" s="48">
        <v>1</v>
      </c>
      <c r="D59" s="48">
        <v>11</v>
      </c>
      <c r="E59" s="48">
        <v>2017</v>
      </c>
      <c r="F59" s="45" t="s">
        <v>39</v>
      </c>
    </row>
    <row r="60" spans="1:6" x14ac:dyDescent="0.25">
      <c r="A60" s="50" t="s">
        <v>44</v>
      </c>
      <c r="B60" s="49">
        <f>141.14+61.67</f>
        <v>202.81</v>
      </c>
      <c r="C60" s="48">
        <v>1</v>
      </c>
      <c r="D60" s="48">
        <v>11</v>
      </c>
      <c r="E60" s="48">
        <v>2017</v>
      </c>
      <c r="F60" s="45" t="s">
        <v>39</v>
      </c>
    </row>
    <row r="61" spans="1:6" x14ac:dyDescent="0.25">
      <c r="A61" s="50" t="s">
        <v>47</v>
      </c>
      <c r="B61" s="49">
        <v>47.86</v>
      </c>
      <c r="C61" s="48">
        <v>5</v>
      </c>
      <c r="D61" s="48">
        <v>11</v>
      </c>
      <c r="E61" s="48">
        <v>2017</v>
      </c>
      <c r="F61" s="45" t="s">
        <v>39</v>
      </c>
    </row>
    <row r="62" spans="1:6" x14ac:dyDescent="0.25">
      <c r="A62" s="50" t="s">
        <v>46</v>
      </c>
      <c r="B62" s="49">
        <v>262</v>
      </c>
      <c r="C62" s="48">
        <v>7</v>
      </c>
      <c r="D62" s="48">
        <v>11</v>
      </c>
      <c r="E62" s="48">
        <v>2017</v>
      </c>
      <c r="F62" s="45" t="s">
        <v>39</v>
      </c>
    </row>
    <row r="63" spans="1:6" x14ac:dyDescent="0.25">
      <c r="A63" s="50" t="s">
        <v>43</v>
      </c>
      <c r="B63" s="49">
        <v>209.7</v>
      </c>
      <c r="C63" s="48">
        <v>10</v>
      </c>
      <c r="D63" s="48">
        <v>11</v>
      </c>
      <c r="E63" s="48">
        <v>2017</v>
      </c>
      <c r="F63" s="45" t="s">
        <v>39</v>
      </c>
    </row>
    <row r="64" spans="1:6" x14ac:dyDescent="0.25">
      <c r="A64" s="50" t="s">
        <v>42</v>
      </c>
      <c r="B64" s="49">
        <v>750</v>
      </c>
      <c r="C64" s="48">
        <v>10</v>
      </c>
      <c r="D64" s="48">
        <v>11</v>
      </c>
      <c r="E64" s="48">
        <v>2017</v>
      </c>
      <c r="F64" s="45" t="s">
        <v>39</v>
      </c>
    </row>
    <row r="65" spans="1:6" x14ac:dyDescent="0.25">
      <c r="A65" s="50" t="s">
        <v>41</v>
      </c>
      <c r="B65" s="49">
        <v>44.76</v>
      </c>
      <c r="C65" s="48">
        <v>12</v>
      </c>
      <c r="D65" s="48">
        <v>11</v>
      </c>
      <c r="E65" s="48">
        <v>2017</v>
      </c>
      <c r="F65" s="45" t="s">
        <v>39</v>
      </c>
    </row>
    <row r="66" spans="1:6" x14ac:dyDescent="0.25">
      <c r="A66" s="50" t="s">
        <v>40</v>
      </c>
      <c r="B66" s="49">
        <v>180</v>
      </c>
      <c r="C66" s="48">
        <v>12</v>
      </c>
      <c r="D66" s="48">
        <v>11</v>
      </c>
      <c r="E66" s="48">
        <v>2017</v>
      </c>
      <c r="F66" s="45" t="s">
        <v>39</v>
      </c>
    </row>
    <row r="67" spans="1:6" x14ac:dyDescent="0.25">
      <c r="A67" s="50" t="s">
        <v>45</v>
      </c>
      <c r="B67" s="49">
        <v>300.99</v>
      </c>
      <c r="C67" s="48">
        <v>1</v>
      </c>
      <c r="D67" s="48">
        <v>12</v>
      </c>
      <c r="E67" s="48">
        <v>2017</v>
      </c>
      <c r="F67" s="45" t="s">
        <v>39</v>
      </c>
    </row>
    <row r="68" spans="1:6" x14ac:dyDescent="0.25">
      <c r="A68" s="50" t="s">
        <v>44</v>
      </c>
      <c r="B68" s="49">
        <f>110.38+61.67</f>
        <v>172.05</v>
      </c>
      <c r="C68" s="48">
        <v>1</v>
      </c>
      <c r="D68" s="48">
        <v>12</v>
      </c>
      <c r="E68" s="48">
        <v>2017</v>
      </c>
      <c r="F68" s="45" t="s">
        <v>39</v>
      </c>
    </row>
    <row r="69" spans="1:6" x14ac:dyDescent="0.25">
      <c r="A69" s="50" t="s">
        <v>47</v>
      </c>
      <c r="B69" s="49">
        <v>47.86</v>
      </c>
      <c r="C69" s="48">
        <v>5</v>
      </c>
      <c r="D69" s="51">
        <v>12</v>
      </c>
      <c r="E69" s="48">
        <v>2017</v>
      </c>
      <c r="F69" s="45" t="s">
        <v>39</v>
      </c>
    </row>
    <row r="70" spans="1:6" x14ac:dyDescent="0.25">
      <c r="A70" s="50" t="s">
        <v>46</v>
      </c>
      <c r="B70" s="49">
        <v>262</v>
      </c>
      <c r="C70" s="48">
        <v>7</v>
      </c>
      <c r="D70" s="48">
        <v>12</v>
      </c>
      <c r="E70" s="48">
        <v>2017</v>
      </c>
      <c r="F70" s="45" t="s">
        <v>39</v>
      </c>
    </row>
    <row r="71" spans="1:6" x14ac:dyDescent="0.25">
      <c r="A71" s="50" t="s">
        <v>43</v>
      </c>
      <c r="B71" s="49">
        <v>209.7</v>
      </c>
      <c r="C71" s="48">
        <v>10</v>
      </c>
      <c r="D71" s="48">
        <v>12</v>
      </c>
      <c r="E71" s="48">
        <v>2017</v>
      </c>
      <c r="F71" s="45" t="s">
        <v>39</v>
      </c>
    </row>
    <row r="72" spans="1:6" x14ac:dyDescent="0.25">
      <c r="A72" s="50" t="s">
        <v>42</v>
      </c>
      <c r="B72" s="49">
        <v>750</v>
      </c>
      <c r="C72" s="48">
        <v>10</v>
      </c>
      <c r="D72" s="48">
        <v>12</v>
      </c>
      <c r="E72" s="48">
        <v>2017</v>
      </c>
      <c r="F72" s="45" t="s">
        <v>39</v>
      </c>
    </row>
    <row r="73" spans="1:6" x14ac:dyDescent="0.25">
      <c r="A73" s="50" t="s">
        <v>41</v>
      </c>
      <c r="B73" s="49">
        <v>44.76</v>
      </c>
      <c r="C73" s="48">
        <v>12</v>
      </c>
      <c r="D73" s="48">
        <v>12</v>
      </c>
      <c r="E73" s="48">
        <v>2017</v>
      </c>
      <c r="F73" s="45" t="s">
        <v>39</v>
      </c>
    </row>
    <row r="74" spans="1:6" x14ac:dyDescent="0.25">
      <c r="A74" s="50" t="s">
        <v>40</v>
      </c>
      <c r="B74" s="49">
        <v>180</v>
      </c>
      <c r="C74" s="48">
        <v>12</v>
      </c>
      <c r="D74" s="48">
        <v>12</v>
      </c>
      <c r="E74" s="48">
        <v>2017</v>
      </c>
      <c r="F74" s="45" t="s">
        <v>39</v>
      </c>
    </row>
    <row r="75" spans="1:6" x14ac:dyDescent="0.25">
      <c r="A75" s="50" t="s">
        <v>45</v>
      </c>
      <c r="B75" s="49">
        <v>300.99</v>
      </c>
      <c r="C75" s="48">
        <v>1</v>
      </c>
      <c r="D75" s="48">
        <v>1</v>
      </c>
      <c r="E75" s="48">
        <v>2018</v>
      </c>
      <c r="F75" s="45" t="s">
        <v>39</v>
      </c>
    </row>
    <row r="76" spans="1:6" x14ac:dyDescent="0.25">
      <c r="A76" s="50" t="s">
        <v>44</v>
      </c>
      <c r="B76" s="49">
        <f>110.38+61.67</f>
        <v>172.05</v>
      </c>
      <c r="C76" s="48">
        <v>1</v>
      </c>
      <c r="D76" s="48">
        <v>1</v>
      </c>
      <c r="E76" s="48">
        <v>2018</v>
      </c>
      <c r="F76" s="45" t="s">
        <v>39</v>
      </c>
    </row>
    <row r="77" spans="1:6" x14ac:dyDescent="0.25">
      <c r="A77" s="50" t="s">
        <v>46</v>
      </c>
      <c r="B77" s="49">
        <v>262</v>
      </c>
      <c r="C77" s="48">
        <v>7</v>
      </c>
      <c r="D77" s="48">
        <v>1</v>
      </c>
      <c r="E77" s="48">
        <v>2018</v>
      </c>
      <c r="F77" s="45" t="s">
        <v>39</v>
      </c>
    </row>
    <row r="78" spans="1:6" x14ac:dyDescent="0.25">
      <c r="A78" s="50" t="s">
        <v>43</v>
      </c>
      <c r="B78" s="49">
        <v>209.7</v>
      </c>
      <c r="C78" s="48">
        <v>10</v>
      </c>
      <c r="D78" s="48">
        <v>1</v>
      </c>
      <c r="E78" s="48">
        <v>2018</v>
      </c>
      <c r="F78" s="45" t="s">
        <v>39</v>
      </c>
    </row>
    <row r="79" spans="1:6" x14ac:dyDescent="0.25">
      <c r="A79" s="50" t="s">
        <v>42</v>
      </c>
      <c r="B79" s="49">
        <v>750</v>
      </c>
      <c r="C79" s="48">
        <v>10</v>
      </c>
      <c r="D79" s="48">
        <v>1</v>
      </c>
      <c r="E79" s="48">
        <v>2018</v>
      </c>
      <c r="F79" s="45" t="s">
        <v>39</v>
      </c>
    </row>
    <row r="80" spans="1:6" x14ac:dyDescent="0.25">
      <c r="A80" s="50" t="s">
        <v>41</v>
      </c>
      <c r="B80" s="49">
        <v>44.76</v>
      </c>
      <c r="C80" s="48">
        <v>12</v>
      </c>
      <c r="D80" s="48">
        <v>1</v>
      </c>
      <c r="E80" s="48">
        <v>2018</v>
      </c>
      <c r="F80" s="45" t="s">
        <v>39</v>
      </c>
    </row>
    <row r="81" spans="1:6" x14ac:dyDescent="0.25">
      <c r="A81" s="50" t="s">
        <v>40</v>
      </c>
      <c r="B81" s="49">
        <v>180</v>
      </c>
      <c r="C81" s="48">
        <v>12</v>
      </c>
      <c r="D81" s="48">
        <v>1</v>
      </c>
      <c r="E81" s="48">
        <v>2018</v>
      </c>
      <c r="F81" s="45" t="s">
        <v>39</v>
      </c>
    </row>
    <row r="82" spans="1:6" x14ac:dyDescent="0.25">
      <c r="A82" s="50" t="s">
        <v>45</v>
      </c>
      <c r="B82" s="49">
        <v>55.323333333333302</v>
      </c>
      <c r="C82" s="48">
        <v>1</v>
      </c>
      <c r="D82" s="48">
        <v>2</v>
      </c>
      <c r="E82" s="48">
        <v>2018</v>
      </c>
      <c r="F82" s="45" t="s">
        <v>39</v>
      </c>
    </row>
    <row r="83" spans="1:6" x14ac:dyDescent="0.25">
      <c r="A83" s="50" t="s">
        <v>44</v>
      </c>
      <c r="B83" s="49">
        <f>100.38</f>
        <v>100.38</v>
      </c>
      <c r="C83" s="48">
        <v>1</v>
      </c>
      <c r="D83" s="48">
        <v>2</v>
      </c>
      <c r="E83" s="48">
        <v>2018</v>
      </c>
      <c r="F83" s="45" t="s">
        <v>39</v>
      </c>
    </row>
    <row r="84" spans="1:6" x14ac:dyDescent="0.25">
      <c r="A84" s="50" t="s">
        <v>43</v>
      </c>
      <c r="B84" s="49">
        <v>209.7</v>
      </c>
      <c r="C84" s="48">
        <v>10</v>
      </c>
      <c r="D84" s="48">
        <v>2</v>
      </c>
      <c r="E84" s="48">
        <v>2018</v>
      </c>
      <c r="F84" s="45" t="s">
        <v>39</v>
      </c>
    </row>
    <row r="85" spans="1:6" x14ac:dyDescent="0.25">
      <c r="A85" s="50" t="s">
        <v>42</v>
      </c>
      <c r="B85" s="49">
        <v>750</v>
      </c>
      <c r="C85" s="48">
        <v>10</v>
      </c>
      <c r="D85" s="48">
        <v>2</v>
      </c>
      <c r="E85" s="48">
        <v>2018</v>
      </c>
      <c r="F85" s="45" t="s">
        <v>39</v>
      </c>
    </row>
    <row r="86" spans="1:6" x14ac:dyDescent="0.25">
      <c r="A86" s="50" t="s">
        <v>41</v>
      </c>
      <c r="B86" s="49">
        <v>44.76</v>
      </c>
      <c r="C86" s="48">
        <v>12</v>
      </c>
      <c r="D86" s="48">
        <v>2</v>
      </c>
      <c r="E86" s="48">
        <v>2018</v>
      </c>
      <c r="F86" s="45" t="s">
        <v>39</v>
      </c>
    </row>
    <row r="87" spans="1:6" x14ac:dyDescent="0.25">
      <c r="A87" s="50" t="s">
        <v>40</v>
      </c>
      <c r="B87" s="49">
        <v>180</v>
      </c>
      <c r="C87" s="48">
        <v>12</v>
      </c>
      <c r="D87" s="48">
        <v>2</v>
      </c>
      <c r="E87" s="48">
        <v>2018</v>
      </c>
      <c r="F87" s="45" t="s">
        <v>39</v>
      </c>
    </row>
    <row r="88" spans="1:6" x14ac:dyDescent="0.25">
      <c r="A88" s="50" t="s">
        <v>45</v>
      </c>
      <c r="B88" s="49">
        <v>55.323333333333302</v>
      </c>
      <c r="C88" s="48">
        <v>1</v>
      </c>
      <c r="D88" s="48">
        <v>3</v>
      </c>
      <c r="E88" s="48">
        <v>2018</v>
      </c>
      <c r="F88" s="45" t="s">
        <v>39</v>
      </c>
    </row>
    <row r="89" spans="1:6" x14ac:dyDescent="0.25">
      <c r="A89" s="50" t="s">
        <v>44</v>
      </c>
      <c r="B89" s="49">
        <f>100.38</f>
        <v>100.38</v>
      </c>
      <c r="C89" s="48">
        <v>1</v>
      </c>
      <c r="D89" s="48">
        <v>3</v>
      </c>
      <c r="E89" s="48">
        <v>2018</v>
      </c>
      <c r="F89" s="45" t="s">
        <v>39</v>
      </c>
    </row>
    <row r="90" spans="1:6" x14ac:dyDescent="0.25">
      <c r="A90" s="50" t="s">
        <v>43</v>
      </c>
      <c r="B90" s="49">
        <v>209.7</v>
      </c>
      <c r="C90" s="48">
        <v>10</v>
      </c>
      <c r="D90" s="48">
        <v>3</v>
      </c>
      <c r="E90" s="48">
        <v>2018</v>
      </c>
      <c r="F90" s="45" t="s">
        <v>39</v>
      </c>
    </row>
    <row r="91" spans="1:6" x14ac:dyDescent="0.25">
      <c r="A91" s="50" t="s">
        <v>42</v>
      </c>
      <c r="B91" s="49">
        <v>750</v>
      </c>
      <c r="C91" s="48">
        <v>10</v>
      </c>
      <c r="D91" s="48">
        <v>3</v>
      </c>
      <c r="E91" s="48">
        <v>2018</v>
      </c>
      <c r="F91" s="45" t="s">
        <v>39</v>
      </c>
    </row>
    <row r="92" spans="1:6" x14ac:dyDescent="0.25">
      <c r="A92" s="50" t="s">
        <v>41</v>
      </c>
      <c r="B92" s="49">
        <v>44.76</v>
      </c>
      <c r="C92" s="48">
        <v>12</v>
      </c>
      <c r="D92" s="48">
        <v>3</v>
      </c>
      <c r="E92" s="48">
        <v>2018</v>
      </c>
      <c r="F92" s="45" t="s">
        <v>39</v>
      </c>
    </row>
    <row r="93" spans="1:6" x14ac:dyDescent="0.25">
      <c r="A93" s="50" t="s">
        <v>40</v>
      </c>
      <c r="B93" s="49">
        <v>180</v>
      </c>
      <c r="C93" s="48">
        <v>12</v>
      </c>
      <c r="D93" s="48">
        <v>3</v>
      </c>
      <c r="E93" s="48">
        <v>2018</v>
      </c>
      <c r="F93" s="45" t="s">
        <v>39</v>
      </c>
    </row>
    <row r="94" spans="1:6" x14ac:dyDescent="0.25">
      <c r="A94" s="50" t="s">
        <v>45</v>
      </c>
      <c r="B94" s="49">
        <v>55.323333333333302</v>
      </c>
      <c r="C94" s="48">
        <v>1</v>
      </c>
      <c r="D94" s="48">
        <v>4</v>
      </c>
      <c r="E94" s="48">
        <v>2018</v>
      </c>
      <c r="F94" s="45" t="s">
        <v>39</v>
      </c>
    </row>
    <row r="95" spans="1:6" x14ac:dyDescent="0.25">
      <c r="A95" s="50" t="s">
        <v>44</v>
      </c>
      <c r="B95" s="49">
        <f>100.38</f>
        <v>100.38</v>
      </c>
      <c r="C95" s="48">
        <v>1</v>
      </c>
      <c r="D95" s="48">
        <v>4</v>
      </c>
      <c r="E95" s="48">
        <v>2018</v>
      </c>
      <c r="F95" s="45" t="s">
        <v>39</v>
      </c>
    </row>
    <row r="96" spans="1:6" x14ac:dyDescent="0.25">
      <c r="A96" s="50" t="s">
        <v>43</v>
      </c>
      <c r="B96" s="49">
        <v>209.7</v>
      </c>
      <c r="C96" s="48">
        <v>10</v>
      </c>
      <c r="D96" s="48">
        <v>4</v>
      </c>
      <c r="E96" s="48">
        <v>2018</v>
      </c>
      <c r="F96" s="45" t="s">
        <v>39</v>
      </c>
    </row>
    <row r="97" spans="1:6" x14ac:dyDescent="0.25">
      <c r="A97" s="50" t="s">
        <v>42</v>
      </c>
      <c r="B97" s="49">
        <v>750</v>
      </c>
      <c r="C97" s="48">
        <v>10</v>
      </c>
      <c r="D97" s="48">
        <v>4</v>
      </c>
      <c r="E97" s="48">
        <v>2018</v>
      </c>
      <c r="F97" s="45" t="s">
        <v>39</v>
      </c>
    </row>
    <row r="98" spans="1:6" x14ac:dyDescent="0.25">
      <c r="A98" s="50" t="s">
        <v>41</v>
      </c>
      <c r="B98" s="49">
        <v>44.76</v>
      </c>
      <c r="C98" s="48">
        <v>12</v>
      </c>
      <c r="D98" s="48">
        <v>4</v>
      </c>
      <c r="E98" s="48">
        <v>2018</v>
      </c>
      <c r="F98" s="45" t="s">
        <v>39</v>
      </c>
    </row>
    <row r="99" spans="1:6" x14ac:dyDescent="0.25">
      <c r="A99" s="50" t="s">
        <v>40</v>
      </c>
      <c r="B99" s="49">
        <v>180</v>
      </c>
      <c r="C99" s="48">
        <v>12</v>
      </c>
      <c r="D99" s="48">
        <v>4</v>
      </c>
      <c r="E99" s="48">
        <v>2018</v>
      </c>
      <c r="F99" s="45" t="s">
        <v>39</v>
      </c>
    </row>
    <row r="100" spans="1:6" x14ac:dyDescent="0.25">
      <c r="A100" s="50" t="s">
        <v>44</v>
      </c>
      <c r="B100" s="49">
        <f>100.38</f>
        <v>100.38</v>
      </c>
      <c r="C100" s="48">
        <v>1</v>
      </c>
      <c r="D100" s="48">
        <v>5</v>
      </c>
      <c r="E100" s="48">
        <v>2018</v>
      </c>
      <c r="F100" s="45" t="s">
        <v>39</v>
      </c>
    </row>
    <row r="101" spans="1:6" x14ac:dyDescent="0.25">
      <c r="A101" s="50" t="s">
        <v>43</v>
      </c>
      <c r="B101" s="49">
        <v>209.7</v>
      </c>
      <c r="C101" s="48">
        <v>10</v>
      </c>
      <c r="D101" s="48">
        <v>5</v>
      </c>
      <c r="E101" s="48">
        <v>2018</v>
      </c>
      <c r="F101" s="45" t="s">
        <v>39</v>
      </c>
    </row>
    <row r="102" spans="1:6" x14ac:dyDescent="0.25">
      <c r="A102" s="50" t="s">
        <v>42</v>
      </c>
      <c r="B102" s="49">
        <v>750</v>
      </c>
      <c r="C102" s="48">
        <v>10</v>
      </c>
      <c r="D102" s="48">
        <v>5</v>
      </c>
      <c r="E102" s="48">
        <v>2018</v>
      </c>
      <c r="F102" s="45" t="s">
        <v>39</v>
      </c>
    </row>
    <row r="103" spans="1:6" x14ac:dyDescent="0.25">
      <c r="A103" s="50" t="s">
        <v>41</v>
      </c>
      <c r="B103" s="49">
        <v>44.76</v>
      </c>
      <c r="C103" s="48">
        <v>12</v>
      </c>
      <c r="D103" s="48">
        <v>5</v>
      </c>
      <c r="E103" s="48">
        <v>2018</v>
      </c>
      <c r="F103" s="45" t="s">
        <v>39</v>
      </c>
    </row>
    <row r="104" spans="1:6" x14ac:dyDescent="0.25">
      <c r="A104" s="50" t="s">
        <v>40</v>
      </c>
      <c r="B104" s="49">
        <v>180</v>
      </c>
      <c r="C104" s="48">
        <v>12</v>
      </c>
      <c r="D104" s="48">
        <v>5</v>
      </c>
      <c r="E104" s="48">
        <v>2018</v>
      </c>
      <c r="F104" s="45" t="s">
        <v>39</v>
      </c>
    </row>
    <row r="105" spans="1:6" x14ac:dyDescent="0.25">
      <c r="A105" s="50" t="s">
        <v>43</v>
      </c>
      <c r="B105" s="49">
        <v>209.7</v>
      </c>
      <c r="C105" s="48">
        <v>10</v>
      </c>
      <c r="D105" s="48">
        <v>6</v>
      </c>
      <c r="E105" s="48">
        <v>2018</v>
      </c>
      <c r="F105" s="45" t="s">
        <v>39</v>
      </c>
    </row>
    <row r="106" spans="1:6" x14ac:dyDescent="0.25">
      <c r="A106" s="50" t="s">
        <v>42</v>
      </c>
      <c r="B106" s="49">
        <v>750</v>
      </c>
      <c r="C106" s="48">
        <v>10</v>
      </c>
      <c r="D106" s="48">
        <v>6</v>
      </c>
      <c r="E106" s="48">
        <v>2018</v>
      </c>
      <c r="F106" s="45" t="s">
        <v>39</v>
      </c>
    </row>
    <row r="107" spans="1:6" x14ac:dyDescent="0.25">
      <c r="A107" s="50" t="s">
        <v>41</v>
      </c>
      <c r="B107" s="49">
        <v>44.76</v>
      </c>
      <c r="C107" s="48">
        <v>12</v>
      </c>
      <c r="D107" s="48">
        <v>6</v>
      </c>
      <c r="E107" s="48">
        <v>2018</v>
      </c>
      <c r="F107" s="45" t="s">
        <v>39</v>
      </c>
    </row>
    <row r="108" spans="1:6" x14ac:dyDescent="0.25">
      <c r="A108" s="50" t="s">
        <v>40</v>
      </c>
      <c r="B108" s="49">
        <v>180</v>
      </c>
      <c r="C108" s="48">
        <v>12</v>
      </c>
      <c r="D108" s="48">
        <v>6</v>
      </c>
      <c r="E108" s="48">
        <v>2018</v>
      </c>
      <c r="F108" s="45" t="s">
        <v>39</v>
      </c>
    </row>
    <row r="109" spans="1:6" x14ac:dyDescent="0.25">
      <c r="A109" s="50" t="s">
        <v>43</v>
      </c>
      <c r="B109" s="49">
        <v>209.7</v>
      </c>
      <c r="C109" s="48">
        <v>10</v>
      </c>
      <c r="D109" s="48">
        <v>7</v>
      </c>
      <c r="E109" s="48">
        <v>2018</v>
      </c>
      <c r="F109" s="45" t="s">
        <v>39</v>
      </c>
    </row>
    <row r="110" spans="1:6" x14ac:dyDescent="0.25">
      <c r="A110" s="50" t="s">
        <v>42</v>
      </c>
      <c r="B110" s="49">
        <v>750</v>
      </c>
      <c r="C110" s="48">
        <v>10</v>
      </c>
      <c r="D110" s="48">
        <v>7</v>
      </c>
      <c r="E110" s="48">
        <v>2018</v>
      </c>
      <c r="F110" s="45" t="s">
        <v>39</v>
      </c>
    </row>
    <row r="111" spans="1:6" x14ac:dyDescent="0.25">
      <c r="A111" s="50" t="s">
        <v>41</v>
      </c>
      <c r="B111" s="49">
        <v>44.76</v>
      </c>
      <c r="C111" s="48">
        <v>12</v>
      </c>
      <c r="D111" s="48">
        <v>7</v>
      </c>
      <c r="E111" s="48">
        <v>2018</v>
      </c>
      <c r="F111" s="45" t="s">
        <v>39</v>
      </c>
    </row>
    <row r="112" spans="1:6" x14ac:dyDescent="0.25">
      <c r="A112" s="50" t="s">
        <v>40</v>
      </c>
      <c r="B112" s="49">
        <v>180</v>
      </c>
      <c r="C112" s="48">
        <v>12</v>
      </c>
      <c r="D112" s="48">
        <v>7</v>
      </c>
      <c r="E112" s="48">
        <v>2018</v>
      </c>
      <c r="F112" s="45" t="s">
        <v>39</v>
      </c>
    </row>
    <row r="113" spans="1:6" x14ac:dyDescent="0.25">
      <c r="A113" s="47"/>
      <c r="B113" s="46">
        <f>SUBTOTAL(109,tbDESPESAS[VALOR])</f>
        <v>26974.470000000005</v>
      </c>
      <c r="C113" s="45"/>
      <c r="D113" s="45"/>
      <c r="E113" s="45"/>
      <c r="F113" s="45"/>
    </row>
    <row r="115" spans="1:6" x14ac:dyDescent="0.25">
      <c r="B115" s="44"/>
    </row>
    <row r="116" spans="1:6" x14ac:dyDescent="0.25">
      <c r="B116" s="44"/>
    </row>
    <row r="117" spans="1:6" x14ac:dyDescent="0.25">
      <c r="A117" s="43"/>
      <c r="C117" s="42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34998626667073579"/>
  </sheetPr>
  <dimension ref="A1:M15"/>
  <sheetViews>
    <sheetView showGridLines="0" workbookViewId="0"/>
  </sheetViews>
  <sheetFormatPr defaultRowHeight="15" x14ac:dyDescent="0.25"/>
  <cols>
    <col min="1" max="1" width="10.7109375" bestFit="1" customWidth="1"/>
    <col min="2" max="5" width="10.7109375" customWidth="1"/>
    <col min="6" max="6" width="10.5703125" bestFit="1" customWidth="1"/>
    <col min="7" max="7" width="11" bestFit="1" customWidth="1"/>
    <col min="13" max="13" width="10.7109375" bestFit="1" customWidth="1"/>
  </cols>
  <sheetData>
    <row r="1" spans="1:13" x14ac:dyDescent="0.25">
      <c r="A1" s="81" t="s">
        <v>206</v>
      </c>
      <c r="B1" s="81" t="s">
        <v>207</v>
      </c>
      <c r="C1" s="81" t="s">
        <v>208</v>
      </c>
      <c r="D1" s="81" t="s">
        <v>209</v>
      </c>
      <c r="E1" s="81" t="s">
        <v>210</v>
      </c>
      <c r="F1" s="81" t="s">
        <v>211</v>
      </c>
      <c r="G1" s="81" t="s">
        <v>212</v>
      </c>
    </row>
    <row r="2" spans="1:13" x14ac:dyDescent="0.25">
      <c r="A2" s="3">
        <v>42944</v>
      </c>
      <c r="B2" s="82">
        <v>42978</v>
      </c>
      <c r="C2" s="8">
        <f>B2-A2</f>
        <v>34</v>
      </c>
      <c r="D2" s="2">
        <v>712.27</v>
      </c>
      <c r="E2" s="2">
        <v>500</v>
      </c>
      <c r="F2" s="2">
        <f>D2-E2</f>
        <v>212.26999999999998</v>
      </c>
      <c r="G2" s="2">
        <f>F2/C2</f>
        <v>6.2432352941176461</v>
      </c>
    </row>
    <row r="15" spans="1:13" x14ac:dyDescent="0.25">
      <c r="M15" s="80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as35">
    <tabColor theme="1" tint="0.34998626667073579"/>
    <pageSetUpPr autoPageBreaks="0"/>
  </sheetPr>
  <dimension ref="A1:N21"/>
  <sheetViews>
    <sheetView showGridLines="0" zoomScale="80" zoomScaleNormal="80" workbookViewId="0"/>
  </sheetViews>
  <sheetFormatPr defaultRowHeight="15" x14ac:dyDescent="0.25"/>
  <cols>
    <col min="1" max="1" width="32.42578125" bestFit="1" customWidth="1"/>
    <col min="2" max="2" width="14.85546875" bestFit="1" customWidth="1"/>
    <col min="3" max="3" width="13.85546875" bestFit="1" customWidth="1"/>
    <col min="4" max="4" width="19.5703125" bestFit="1" customWidth="1"/>
    <col min="5" max="5" width="14.5703125" bestFit="1" customWidth="1"/>
    <col min="6" max="6" width="25.28515625" bestFit="1" customWidth="1"/>
    <col min="7" max="7" width="18.140625" bestFit="1" customWidth="1"/>
    <col min="8" max="8" width="20.5703125" bestFit="1" customWidth="1"/>
    <col min="9" max="10" width="14.42578125" bestFit="1" customWidth="1"/>
    <col min="11" max="11" width="17" bestFit="1" customWidth="1"/>
    <col min="12" max="13" width="14.5703125" bestFit="1" customWidth="1"/>
    <col min="14" max="14" width="20.42578125" customWidth="1"/>
  </cols>
  <sheetData>
    <row r="1" spans="1:14" ht="18.75" x14ac:dyDescent="0.25">
      <c r="A1" s="7" t="s">
        <v>0</v>
      </c>
      <c r="B1" s="7" t="s">
        <v>205</v>
      </c>
      <c r="C1" s="7" t="s">
        <v>4</v>
      </c>
      <c r="D1" s="7" t="s">
        <v>3</v>
      </c>
      <c r="E1" s="7" t="s">
        <v>8</v>
      </c>
      <c r="F1" s="7" t="s">
        <v>20</v>
      </c>
      <c r="G1" s="7" t="s">
        <v>34</v>
      </c>
      <c r="H1" s="7" t="s">
        <v>33</v>
      </c>
      <c r="I1" s="7" t="s">
        <v>17</v>
      </c>
      <c r="J1" s="7" t="s">
        <v>35</v>
      </c>
      <c r="K1" s="7" t="s">
        <v>36</v>
      </c>
      <c r="L1" s="7" t="s">
        <v>6</v>
      </c>
      <c r="M1" s="7" t="s">
        <v>7</v>
      </c>
      <c r="N1" s="7" t="s">
        <v>1</v>
      </c>
    </row>
    <row r="2" spans="1:14" ht="17.25" x14ac:dyDescent="0.25">
      <c r="A2" s="4">
        <v>42926</v>
      </c>
      <c r="B2" s="38">
        <v>1</v>
      </c>
      <c r="C2" s="38">
        <f>MONTH(TabelaVendas[[#This Row],[DATA]])</f>
        <v>7</v>
      </c>
      <c r="D2" s="38">
        <f>YEAR(TabelaVendas[[#This Row],[DATA]])</f>
        <v>2017</v>
      </c>
      <c r="E2" s="5">
        <v>24</v>
      </c>
      <c r="F2" s="5" t="s">
        <v>22</v>
      </c>
      <c r="G2" s="5">
        <v>0.75</v>
      </c>
      <c r="H2" s="5">
        <v>10.5</v>
      </c>
      <c r="I2" s="23" t="str">
        <f>IF(TabelaVendas[[#This Row],[DATA]]="","-",PROPER(TEXT(TabelaVendas[[#This Row],[DATA]],"dddd")))</f>
        <v>Segunda-Feira</v>
      </c>
      <c r="J2" s="17">
        <f>IFERROR(ROUNDUP(TabelaVendas[[#This Row],[VENDA]]/TabelaVendas[[#This Row],[PREÇO/UN.]],0),0)</f>
        <v>32</v>
      </c>
      <c r="K2" s="9">
        <f>(TabelaVendas[[#This Row],[QTD/PÃES]]*35)/1000</f>
        <v>1.1200000000000001</v>
      </c>
      <c r="L2" s="5">
        <f>ROUND(TabelaVendas[QTD/KG]*TabelaVendas[[#This Row],[PREÇO/KG]],0)</f>
        <v>12</v>
      </c>
      <c r="M2" s="5">
        <f>TabelaVendas[[#This Row],[VENDA]]-TabelaVendas[[#This Row],[CUSTO]]</f>
        <v>12</v>
      </c>
      <c r="N2" s="6">
        <f>IFERROR(TabelaVendas[[#This Row],[LUCRO]]/TabelaVendas[[#This Row],[VENDA]],0)</f>
        <v>0.5</v>
      </c>
    </row>
    <row r="3" spans="1:14" ht="17.25" x14ac:dyDescent="0.25">
      <c r="A3" s="4">
        <v>42927</v>
      </c>
      <c r="B3" s="38">
        <f>IF(TEXT(TabelaVendas[[#This Row],[DATA]],"DDD")="SEG",B2+1,B2)</f>
        <v>1</v>
      </c>
      <c r="C3" s="38">
        <f>MONTH(TabelaVendas[[#This Row],[DATA]])</f>
        <v>7</v>
      </c>
      <c r="D3" s="38">
        <f>YEAR(TabelaVendas[[#This Row],[DATA]])</f>
        <v>2017</v>
      </c>
      <c r="E3" s="10">
        <v>42</v>
      </c>
      <c r="F3" s="10" t="s">
        <v>22</v>
      </c>
      <c r="G3" s="5">
        <v>0.75</v>
      </c>
      <c r="H3" s="5">
        <v>10.5</v>
      </c>
      <c r="I3" s="24" t="str">
        <f>IF(TabelaVendas[[#This Row],[DATA]]="","-",PROPER(TEXT(TabelaVendas[[#This Row],[DATA]],"dddd")))</f>
        <v>Terça-Feira</v>
      </c>
      <c r="J3" s="17">
        <f>IFERROR(ROUNDUP(TabelaVendas[[#This Row],[VENDA]]/TabelaVendas[[#This Row],[PREÇO/UN.]],0),0)</f>
        <v>56</v>
      </c>
      <c r="K3" s="12">
        <f>(TabelaVendas[[#This Row],[QTD/PÃES]]*35)/1000</f>
        <v>1.96</v>
      </c>
      <c r="L3" s="11">
        <f>ROUND(TabelaVendas[QTD/KG]*TabelaVendas[[#This Row],[PREÇO/KG]],0)</f>
        <v>21</v>
      </c>
      <c r="M3" s="11">
        <f>TabelaVendas[[#This Row],[VENDA]]-TabelaVendas[[#This Row],[CUSTO]]</f>
        <v>21</v>
      </c>
      <c r="N3" s="13">
        <f>IFERROR(TabelaVendas[[#This Row],[LUCRO]]/TabelaVendas[[#This Row],[VENDA]],0)</f>
        <v>0.5</v>
      </c>
    </row>
    <row r="4" spans="1:14" ht="17.25" x14ac:dyDescent="0.25">
      <c r="A4" s="14">
        <v>42928</v>
      </c>
      <c r="B4" s="38">
        <f>IF(TEXT(TabelaVendas[[#This Row],[DATA]],"DDD")="SEG",B3+1,B3)</f>
        <v>1</v>
      </c>
      <c r="C4" s="39">
        <f>MONTH(TabelaVendas[[#This Row],[DATA]])</f>
        <v>7</v>
      </c>
      <c r="D4" s="39">
        <f>YEAR(TabelaVendas[[#This Row],[DATA]])</f>
        <v>2017</v>
      </c>
      <c r="E4" s="10">
        <v>54</v>
      </c>
      <c r="F4" s="10" t="s">
        <v>22</v>
      </c>
      <c r="G4" s="5">
        <v>0.75</v>
      </c>
      <c r="H4" s="5">
        <v>10.5</v>
      </c>
      <c r="I4" s="24" t="str">
        <f>IF(TabelaVendas[[#This Row],[DATA]]="","-",PROPER(TEXT(TabelaVendas[[#This Row],[DATA]],"dddd")))</f>
        <v>Quarta-Feira</v>
      </c>
      <c r="J4" s="17">
        <f>IFERROR(ROUNDUP(TabelaVendas[[#This Row],[VENDA]]/TabelaVendas[[#This Row],[PREÇO/UN.]],0),0)</f>
        <v>72</v>
      </c>
      <c r="K4" s="12">
        <f>(TabelaVendas[[#This Row],[QTD/PÃES]]*35)/1000</f>
        <v>2.52</v>
      </c>
      <c r="L4" s="11">
        <f>ROUND(TabelaVendas[QTD/KG]*TabelaVendas[[#This Row],[PREÇO/KG]],0)</f>
        <v>26</v>
      </c>
      <c r="M4" s="11">
        <f>TabelaVendas[[#This Row],[VENDA]]-TabelaVendas[[#This Row],[CUSTO]]</f>
        <v>28</v>
      </c>
      <c r="N4" s="13">
        <f>IFERROR(TabelaVendas[[#This Row],[LUCRO]]/TabelaVendas[[#This Row],[VENDA]],0)</f>
        <v>0.51851851851851849</v>
      </c>
    </row>
    <row r="5" spans="1:14" ht="17.25" x14ac:dyDescent="0.25">
      <c r="A5" s="14">
        <v>42929</v>
      </c>
      <c r="B5" s="38">
        <f>IF(TEXT(TabelaVendas[[#This Row],[DATA]],"DDD")="SEG",B4+1,B4)</f>
        <v>1</v>
      </c>
      <c r="C5" s="39">
        <f>MONTH(TabelaVendas[[#This Row],[DATA]])</f>
        <v>7</v>
      </c>
      <c r="D5" s="39">
        <f>YEAR(TabelaVendas[[#This Row],[DATA]])</f>
        <v>2017</v>
      </c>
      <c r="E5" s="10">
        <v>42</v>
      </c>
      <c r="F5" s="10" t="s">
        <v>22</v>
      </c>
      <c r="G5" s="5">
        <v>0.75</v>
      </c>
      <c r="H5" s="5">
        <v>10.5</v>
      </c>
      <c r="I5" s="24" t="str">
        <f>IF(TabelaVendas[[#This Row],[DATA]]="","-",PROPER(TEXT(TabelaVendas[[#This Row],[DATA]],"dddd")))</f>
        <v>Quinta-Feira</v>
      </c>
      <c r="J5" s="17">
        <f>IFERROR(ROUNDUP(TabelaVendas[[#This Row],[VENDA]]/TabelaVendas[[#This Row],[PREÇO/UN.]],0),0)</f>
        <v>56</v>
      </c>
      <c r="K5" s="12">
        <f>(TabelaVendas[[#This Row],[QTD/PÃES]]*35)/1000</f>
        <v>1.96</v>
      </c>
      <c r="L5" s="11">
        <f>ROUND(TabelaVendas[QTD/KG]*TabelaVendas[[#This Row],[PREÇO/KG]],0)</f>
        <v>21</v>
      </c>
      <c r="M5" s="11">
        <f>TabelaVendas[[#This Row],[VENDA]]-TabelaVendas[[#This Row],[CUSTO]]</f>
        <v>21</v>
      </c>
      <c r="N5" s="13">
        <f>IFERROR(TabelaVendas[[#This Row],[LUCRO]]/TabelaVendas[[#This Row],[VENDA]],0)</f>
        <v>0.5</v>
      </c>
    </row>
    <row r="6" spans="1:14" ht="17.25" x14ac:dyDescent="0.25">
      <c r="A6" s="14">
        <v>42930</v>
      </c>
      <c r="B6" s="38">
        <f>IF(TEXT(TabelaVendas[[#This Row],[DATA]],"DDD")="SEG",B5+1,B5)</f>
        <v>1</v>
      </c>
      <c r="C6" s="39">
        <f>MONTH(TabelaVendas[[#This Row],[DATA]])</f>
        <v>7</v>
      </c>
      <c r="D6" s="39">
        <f>YEAR(TabelaVendas[[#This Row],[DATA]])</f>
        <v>2017</v>
      </c>
      <c r="E6" s="15">
        <v>42</v>
      </c>
      <c r="F6" s="15" t="s">
        <v>22</v>
      </c>
      <c r="G6" s="5">
        <v>0.75</v>
      </c>
      <c r="H6" s="5">
        <v>10.5</v>
      </c>
      <c r="I6" s="24" t="str">
        <f>IF(TabelaVendas[[#This Row],[DATA]]="","-",PROPER(TEXT(TabelaVendas[[#This Row],[DATA]],"dddd")))</f>
        <v>Sexta-Feira</v>
      </c>
      <c r="J6" s="17">
        <f>IFERROR(ROUNDUP(TabelaVendas[[#This Row],[VENDA]]/TabelaVendas[[#This Row],[PREÇO/UN.]],0),0)</f>
        <v>56</v>
      </c>
      <c r="K6" s="12">
        <f>(TabelaVendas[[#This Row],[QTD/PÃES]]*35)/1000</f>
        <v>1.96</v>
      </c>
      <c r="L6" s="11">
        <f>ROUND(TabelaVendas[QTD/KG]*TabelaVendas[[#This Row],[PREÇO/KG]],0)</f>
        <v>21</v>
      </c>
      <c r="M6" s="11">
        <f>TabelaVendas[[#This Row],[VENDA]]-TabelaVendas[[#This Row],[CUSTO]]</f>
        <v>21</v>
      </c>
      <c r="N6" s="13">
        <f>IFERROR(TabelaVendas[[#This Row],[LUCRO]]/TabelaVendas[[#This Row],[VENDA]],0)</f>
        <v>0.5</v>
      </c>
    </row>
    <row r="7" spans="1:14" ht="17.25" x14ac:dyDescent="0.25">
      <c r="A7" s="14">
        <v>42931</v>
      </c>
      <c r="B7" s="38">
        <f>IF(TEXT(TabelaVendas[[#This Row],[DATA]],"DDD")="SEG",B6+1,B6)</f>
        <v>1</v>
      </c>
      <c r="C7" s="39">
        <f>MONTH(TabelaVendas[[#This Row],[DATA]])</f>
        <v>7</v>
      </c>
      <c r="D7" s="39">
        <f>YEAR(TabelaVendas[[#This Row],[DATA]])</f>
        <v>2017</v>
      </c>
      <c r="E7" s="15">
        <v>22</v>
      </c>
      <c r="F7" s="15" t="s">
        <v>22</v>
      </c>
      <c r="G7" s="5">
        <v>0.75</v>
      </c>
      <c r="H7" s="5">
        <v>10.5</v>
      </c>
      <c r="I7" s="24" t="str">
        <f>IF(TabelaVendas[[#This Row],[DATA]]="","-",PROPER(TEXT(TabelaVendas[[#This Row],[DATA]],"dddd")))</f>
        <v>Sábado</v>
      </c>
      <c r="J7" s="17">
        <f>IFERROR(ROUNDUP(TabelaVendas[[#This Row],[VENDA]]/TabelaVendas[[#This Row],[PREÇO/UN.]],0),0)</f>
        <v>30</v>
      </c>
      <c r="K7" s="12">
        <f>(TabelaVendas[[#This Row],[QTD/PÃES]]*35)/1000</f>
        <v>1.05</v>
      </c>
      <c r="L7" s="11">
        <f>ROUND(TabelaVendas[QTD/KG]*TabelaVendas[[#This Row],[PREÇO/KG]],0)</f>
        <v>11</v>
      </c>
      <c r="M7" s="11">
        <f>TabelaVendas[[#This Row],[VENDA]]-TabelaVendas[[#This Row],[CUSTO]]</f>
        <v>11</v>
      </c>
      <c r="N7" s="13">
        <f>IFERROR(TabelaVendas[[#This Row],[LUCRO]]/TabelaVendas[[#This Row],[VENDA]],0)</f>
        <v>0.5</v>
      </c>
    </row>
    <row r="8" spans="1:14" ht="17.25" x14ac:dyDescent="0.25">
      <c r="A8" s="14">
        <v>42933</v>
      </c>
      <c r="B8" s="38">
        <f>IF(TEXT(TabelaVendas[[#This Row],[DATA]],"DDD")="SEG",B7+1,B7)</f>
        <v>2</v>
      </c>
      <c r="C8" s="39">
        <f>MONTH(TabelaVendas[[#This Row],[DATA]])</f>
        <v>7</v>
      </c>
      <c r="D8" s="39">
        <f>YEAR(TabelaVendas[[#This Row],[DATA]])</f>
        <v>2017</v>
      </c>
      <c r="E8" s="10">
        <v>66</v>
      </c>
      <c r="F8" s="10" t="s">
        <v>22</v>
      </c>
      <c r="G8" s="5">
        <v>0.75</v>
      </c>
      <c r="H8" s="5">
        <v>10.5</v>
      </c>
      <c r="I8" s="24" t="str">
        <f>IF(TabelaVendas[[#This Row],[DATA]]="","-",PROPER(TEXT(TabelaVendas[[#This Row],[DATA]],"dddd")))</f>
        <v>Segunda-Feira</v>
      </c>
      <c r="J8" s="18">
        <f>IFERROR(ROUNDUP(TabelaVendas[[#This Row],[VENDA]]/TabelaVendas[[#This Row],[PREÇO/UN.]],0),0)</f>
        <v>88</v>
      </c>
      <c r="K8" s="12">
        <f>(TabelaVendas[[#This Row],[QTD/PÃES]]*35)/1000</f>
        <v>3.08</v>
      </c>
      <c r="L8" s="11">
        <f>ROUND(TabelaVendas[QTD/KG]*TabelaVendas[[#This Row],[PREÇO/KG]],0)</f>
        <v>32</v>
      </c>
      <c r="M8" s="11">
        <f>TabelaVendas[[#This Row],[VENDA]]-TabelaVendas[[#This Row],[CUSTO]]</f>
        <v>34</v>
      </c>
      <c r="N8" s="13">
        <f>IFERROR(TabelaVendas[[#This Row],[LUCRO]]/TabelaVendas[[#This Row],[VENDA]],0)</f>
        <v>0.51515151515151514</v>
      </c>
    </row>
    <row r="9" spans="1:14" ht="17.25" x14ac:dyDescent="0.25">
      <c r="A9" s="14">
        <v>42934</v>
      </c>
      <c r="B9" s="38">
        <f>IF(TEXT(TabelaVendas[[#This Row],[DATA]],"DDD")="SEG",B8+1,B8)</f>
        <v>2</v>
      </c>
      <c r="C9" s="39">
        <f>MONTH(TabelaVendas[[#This Row],[DATA]])</f>
        <v>7</v>
      </c>
      <c r="D9" s="39">
        <f>YEAR(TabelaVendas[[#This Row],[DATA]])</f>
        <v>2017</v>
      </c>
      <c r="E9" s="15">
        <v>78</v>
      </c>
      <c r="F9" s="15" t="s">
        <v>22</v>
      </c>
      <c r="G9" s="5">
        <v>0.75</v>
      </c>
      <c r="H9" s="5">
        <v>10.5</v>
      </c>
      <c r="I9" s="24" t="str">
        <f>IF(TabelaVendas[[#This Row],[DATA]]="","-",PROPER(TEXT(TabelaVendas[[#This Row],[DATA]],"dddd")))</f>
        <v>Terça-Feira</v>
      </c>
      <c r="J9" s="18">
        <f>IFERROR(ROUNDUP(TabelaVendas[[#This Row],[VENDA]]/TabelaVendas[[#This Row],[PREÇO/UN.]],0),0)</f>
        <v>104</v>
      </c>
      <c r="K9" s="12">
        <f>(TabelaVendas[[#This Row],[QTD/PÃES]]*35)/1000</f>
        <v>3.64</v>
      </c>
      <c r="L9" s="11">
        <f>ROUND(TabelaVendas[QTD/KG]*TabelaVendas[[#This Row],[PREÇO/KG]],0)</f>
        <v>38</v>
      </c>
      <c r="M9" s="11">
        <f>TabelaVendas[[#This Row],[VENDA]]-TabelaVendas[[#This Row],[CUSTO]]</f>
        <v>40</v>
      </c>
      <c r="N9" s="13">
        <f>IFERROR(TabelaVendas[[#This Row],[LUCRO]]/TabelaVendas[[#This Row],[VENDA]],0)</f>
        <v>0.51282051282051277</v>
      </c>
    </row>
    <row r="10" spans="1:14" ht="17.25" x14ac:dyDescent="0.25">
      <c r="A10" s="14">
        <v>42935</v>
      </c>
      <c r="B10" s="38">
        <f>IF(TEXT(TabelaVendas[[#This Row],[DATA]],"DDD")="SEG",B9+1,B9)</f>
        <v>2</v>
      </c>
      <c r="C10" s="39">
        <f>MONTH(TabelaVendas[[#This Row],[DATA]])</f>
        <v>7</v>
      </c>
      <c r="D10" s="39">
        <f>YEAR(TabelaVendas[[#This Row],[DATA]])</f>
        <v>2017</v>
      </c>
      <c r="E10" s="10">
        <v>78</v>
      </c>
      <c r="F10" s="10" t="s">
        <v>22</v>
      </c>
      <c r="G10" s="5">
        <v>0.75</v>
      </c>
      <c r="H10" s="5">
        <v>10.5</v>
      </c>
      <c r="I10" s="24" t="str">
        <f>IF(TabelaVendas[[#This Row],[DATA]]="","-",PROPER(TEXT(TabelaVendas[[#This Row],[DATA]],"dddd")))</f>
        <v>Quarta-Feira</v>
      </c>
      <c r="J10" s="18">
        <f>IFERROR(ROUNDUP(TabelaVendas[[#This Row],[VENDA]]/TabelaVendas[[#This Row],[PREÇO/UN.]],0),0)</f>
        <v>104</v>
      </c>
      <c r="K10" s="12">
        <f>(TabelaVendas[[#This Row],[QTD/PÃES]]*35)/1000</f>
        <v>3.64</v>
      </c>
      <c r="L10" s="11">
        <f>ROUND(TabelaVendas[QTD/KG]*TabelaVendas[[#This Row],[PREÇO/KG]],0)</f>
        <v>38</v>
      </c>
      <c r="M10" s="11">
        <f>TabelaVendas[[#This Row],[VENDA]]-TabelaVendas[[#This Row],[CUSTO]]</f>
        <v>40</v>
      </c>
      <c r="N10" s="13">
        <f>IFERROR(TabelaVendas[[#This Row],[LUCRO]]/TabelaVendas[[#This Row],[VENDA]],0)</f>
        <v>0.51282051282051277</v>
      </c>
    </row>
    <row r="11" spans="1:14" ht="17.25" x14ac:dyDescent="0.25">
      <c r="A11" s="14">
        <v>42936</v>
      </c>
      <c r="B11" s="38">
        <f>IF(TEXT(TabelaVendas[[#This Row],[DATA]],"DDD")="SEG",B10+1,B10)</f>
        <v>2</v>
      </c>
      <c r="C11" s="39">
        <f>MONTH(TabelaVendas[[#This Row],[DATA]])</f>
        <v>7</v>
      </c>
      <c r="D11" s="39">
        <f>YEAR(TabelaVendas[[#This Row],[DATA]])</f>
        <v>2017</v>
      </c>
      <c r="E11" s="10">
        <v>84</v>
      </c>
      <c r="F11" s="10" t="s">
        <v>22</v>
      </c>
      <c r="G11" s="10">
        <v>0.75</v>
      </c>
      <c r="H11" s="10">
        <v>10.5</v>
      </c>
      <c r="I11" s="25" t="str">
        <f>IF(TabelaVendas[[#This Row],[DATA]]="","-",PROPER(TEXT(TabelaVendas[[#This Row],[DATA]],"dddd")))</f>
        <v>Quinta-Feira</v>
      </c>
      <c r="J11" s="18">
        <f>IFERROR(ROUNDUP(TabelaVendas[[#This Row],[VENDA]]/TabelaVendas[[#This Row],[PREÇO/UN.]],0),0)</f>
        <v>112</v>
      </c>
      <c r="K11" s="12">
        <f>(TabelaVendas[[#This Row],[QTD/PÃES]]*35)/1000</f>
        <v>3.92</v>
      </c>
      <c r="L11" s="11">
        <f>ROUND(TabelaVendas[QTD/KG]*TabelaVendas[[#This Row],[PREÇO/KG]],0)</f>
        <v>41</v>
      </c>
      <c r="M11" s="11">
        <f>TabelaVendas[[#This Row],[VENDA]]-TabelaVendas[[#This Row],[CUSTO]]</f>
        <v>43</v>
      </c>
      <c r="N11" s="13">
        <f>IFERROR(TabelaVendas[[#This Row],[LUCRO]]/TabelaVendas[[#This Row],[VENDA]],0)</f>
        <v>0.51190476190476186</v>
      </c>
    </row>
    <row r="12" spans="1:14" ht="17.25" x14ac:dyDescent="0.25">
      <c r="A12" s="14">
        <v>42937</v>
      </c>
      <c r="B12" s="38">
        <f>IF(TEXT(TabelaVendas[[#This Row],[DATA]],"DDD")="SEG",B11+1,B11)</f>
        <v>2</v>
      </c>
      <c r="C12" s="39">
        <f>MONTH(TabelaVendas[[#This Row],[DATA]])</f>
        <v>7</v>
      </c>
      <c r="D12" s="39">
        <f>YEAR(TabelaVendas[[#This Row],[DATA]])</f>
        <v>2017</v>
      </c>
      <c r="E12" s="10">
        <v>68</v>
      </c>
      <c r="F12" s="10" t="s">
        <v>22</v>
      </c>
      <c r="G12" s="10">
        <v>0.75</v>
      </c>
      <c r="H12" s="10">
        <v>10.5</v>
      </c>
      <c r="I12" s="25" t="str">
        <f>IF(TabelaVendas[[#This Row],[DATA]]="","-",PROPER(TEXT(TabelaVendas[[#This Row],[DATA]],"dddd")))</f>
        <v>Sexta-Feira</v>
      </c>
      <c r="J12" s="18">
        <f>IFERROR(ROUNDUP(TabelaVendas[[#This Row],[VENDA]]/TabelaVendas[[#This Row],[PREÇO/UN.]],0),0)</f>
        <v>91</v>
      </c>
      <c r="K12" s="12">
        <f>(TabelaVendas[[#This Row],[QTD/PÃES]]*35)/1000</f>
        <v>3.1850000000000001</v>
      </c>
      <c r="L12" s="11">
        <f>ROUND(TabelaVendas[QTD/KG]*TabelaVendas[[#This Row],[PREÇO/KG]],0)</f>
        <v>33</v>
      </c>
      <c r="M12" s="11">
        <f>TabelaVendas[[#This Row],[VENDA]]-TabelaVendas[[#This Row],[CUSTO]]</f>
        <v>35</v>
      </c>
      <c r="N12" s="13">
        <f>IFERROR(TabelaVendas[[#This Row],[LUCRO]]/TabelaVendas[[#This Row],[VENDA]],0)</f>
        <v>0.51470588235294112</v>
      </c>
    </row>
    <row r="13" spans="1:14" ht="17.25" x14ac:dyDescent="0.25">
      <c r="A13" s="14">
        <v>42938</v>
      </c>
      <c r="B13" s="38">
        <f>IF(TEXT(TabelaVendas[[#This Row],[DATA]],"DDD")="SEG",B12+1,B12)</f>
        <v>2</v>
      </c>
      <c r="C13" s="39">
        <f>MONTH(TabelaVendas[[#This Row],[DATA]])</f>
        <v>7</v>
      </c>
      <c r="D13" s="39">
        <f>YEAR(TabelaVendas[[#This Row],[DATA]])</f>
        <v>2017</v>
      </c>
      <c r="E13" s="10">
        <v>15.75</v>
      </c>
      <c r="F13" s="10" t="s">
        <v>22</v>
      </c>
      <c r="G13" s="10">
        <v>0.75</v>
      </c>
      <c r="H13" s="10">
        <v>10.5</v>
      </c>
      <c r="I13" s="25" t="str">
        <f>IF(TabelaVendas[[#This Row],[DATA]]="","-",PROPER(TEXT(TabelaVendas[[#This Row],[DATA]],"dddd")))</f>
        <v>Sábado</v>
      </c>
      <c r="J13" s="18">
        <f>IFERROR(ROUNDUP(TabelaVendas[[#This Row],[VENDA]]/TabelaVendas[[#This Row],[PREÇO/UN.]],0),0)</f>
        <v>21</v>
      </c>
      <c r="K13" s="12">
        <f>(TabelaVendas[[#This Row],[QTD/PÃES]]*35)/1000</f>
        <v>0.73499999999999999</v>
      </c>
      <c r="L13" s="11">
        <f>ROUND(TabelaVendas[QTD/KG]*TabelaVendas[[#This Row],[PREÇO/KG]],0)</f>
        <v>8</v>
      </c>
      <c r="M13" s="11">
        <f>TabelaVendas[[#This Row],[VENDA]]-TabelaVendas[[#This Row],[CUSTO]]</f>
        <v>7.75</v>
      </c>
      <c r="N13" s="13">
        <f>IFERROR(TabelaVendas[[#This Row],[LUCRO]]/TabelaVendas[[#This Row],[VENDA]],0)</f>
        <v>0.49206349206349204</v>
      </c>
    </row>
    <row r="14" spans="1:14" ht="17.25" x14ac:dyDescent="0.25">
      <c r="A14" s="14">
        <v>42938</v>
      </c>
      <c r="B14" s="38">
        <f>IF(TEXT(TabelaVendas[[#This Row],[DATA]],"DDD")="SEG",B13+1,B13)</f>
        <v>2</v>
      </c>
      <c r="C14" s="39">
        <f>MONTH(TabelaVendas[[#This Row],[DATA]])</f>
        <v>7</v>
      </c>
      <c r="D14" s="39">
        <f>YEAR(TabelaVendas[[#This Row],[DATA]])</f>
        <v>2017</v>
      </c>
      <c r="E14" s="10">
        <v>165.8</v>
      </c>
      <c r="F14" s="10" t="s">
        <v>21</v>
      </c>
      <c r="G14" s="10">
        <v>0.5</v>
      </c>
      <c r="H14" s="10">
        <v>8</v>
      </c>
      <c r="I14" s="25" t="str">
        <f>IF(TabelaVendas[[#This Row],[DATA]]="","-",PROPER(TEXT(TabelaVendas[[#This Row],[DATA]],"dddd")))</f>
        <v>Sábado</v>
      </c>
      <c r="J14" s="18">
        <f>IFERROR(ROUNDUP(TabelaVendas[[#This Row],[VENDA]]/TabelaVendas[[#This Row],[PREÇO/UN.]],0),0)</f>
        <v>332</v>
      </c>
      <c r="K14" s="12">
        <f>(TabelaVendas[[#This Row],[QTD/PÃES]]*35)/1000</f>
        <v>11.62</v>
      </c>
      <c r="L14" s="11">
        <f>ROUND(TabelaVendas[QTD/KG]*TabelaVendas[[#This Row],[PREÇO/KG]],0)</f>
        <v>93</v>
      </c>
      <c r="M14" s="11">
        <f>TabelaVendas[[#This Row],[VENDA]]-TabelaVendas[[#This Row],[CUSTO]]</f>
        <v>72.800000000000011</v>
      </c>
      <c r="N14" s="13">
        <f>IFERROR(TabelaVendas[[#This Row],[LUCRO]]/TabelaVendas[[#This Row],[VENDA]],0)</f>
        <v>0.43908323281061523</v>
      </c>
    </row>
    <row r="15" spans="1:14" ht="17.25" x14ac:dyDescent="0.25">
      <c r="A15" s="14">
        <v>42940</v>
      </c>
      <c r="B15" s="38">
        <f>IF(TEXT(TabelaVendas[[#This Row],[DATA]],"DDD")="SEG",B14+1,B14)</f>
        <v>3</v>
      </c>
      <c r="C15" s="39">
        <f>MONTH(TabelaVendas[[#This Row],[DATA]])</f>
        <v>7</v>
      </c>
      <c r="D15" s="39">
        <f>YEAR(TabelaVendas[[#This Row],[DATA]])</f>
        <v>2017</v>
      </c>
      <c r="E15" s="10">
        <v>34.75</v>
      </c>
      <c r="F15" s="10" t="s">
        <v>22</v>
      </c>
      <c r="G15" s="10">
        <v>0.75</v>
      </c>
      <c r="H15" s="10">
        <v>10.5</v>
      </c>
      <c r="I15" s="25" t="str">
        <f>IF(TabelaVendas[[#This Row],[DATA]]="","-",PROPER(TEXT(TabelaVendas[[#This Row],[DATA]],"dddd")))</f>
        <v>Segunda-Feira</v>
      </c>
      <c r="J15" s="18">
        <f>IFERROR(ROUNDUP(TabelaVendas[[#This Row],[VENDA]]/TabelaVendas[[#This Row],[PREÇO/UN.]],0),0)</f>
        <v>47</v>
      </c>
      <c r="K15" s="12">
        <f>(TabelaVendas[[#This Row],[QTD/PÃES]]*35)/1000</f>
        <v>1.645</v>
      </c>
      <c r="L15" s="11">
        <f>ROUND(TabelaVendas[QTD/KG]*TabelaVendas[[#This Row],[PREÇO/KG]],0)</f>
        <v>17</v>
      </c>
      <c r="M15" s="11">
        <f>TabelaVendas[[#This Row],[VENDA]]-TabelaVendas[[#This Row],[CUSTO]]</f>
        <v>17.75</v>
      </c>
      <c r="N15" s="13">
        <f>IFERROR(TabelaVendas[[#This Row],[LUCRO]]/TabelaVendas[[#This Row],[VENDA]],0)</f>
        <v>0.51079136690647486</v>
      </c>
    </row>
    <row r="16" spans="1:14" ht="17.25" x14ac:dyDescent="0.25">
      <c r="A16" s="14">
        <v>42941</v>
      </c>
      <c r="B16" s="38">
        <f>IF(TEXT(TabelaVendas[[#This Row],[DATA]],"DDD")="SEG",B15+1,B15)</f>
        <v>3</v>
      </c>
      <c r="C16" s="39">
        <f>MONTH(TabelaVendas[[#This Row],[DATA]])</f>
        <v>7</v>
      </c>
      <c r="D16" s="39">
        <f>YEAR(TabelaVendas[[#This Row],[DATA]])</f>
        <v>2017</v>
      </c>
      <c r="E16" s="10">
        <v>86.25</v>
      </c>
      <c r="F16" s="10" t="s">
        <v>22</v>
      </c>
      <c r="G16" s="10">
        <v>0.75</v>
      </c>
      <c r="H16" s="10">
        <v>10.5</v>
      </c>
      <c r="I16" s="25" t="str">
        <f>IF(TabelaVendas[[#This Row],[DATA]]="","-",PROPER(TEXT(TabelaVendas[[#This Row],[DATA]],"dddd")))</f>
        <v>Terça-Feira</v>
      </c>
      <c r="J16" s="18">
        <f>IFERROR(ROUNDUP(TabelaVendas[[#This Row],[VENDA]]/TabelaVendas[[#This Row],[PREÇO/UN.]],0),0)</f>
        <v>115</v>
      </c>
      <c r="K16" s="12">
        <f>(TabelaVendas[[#This Row],[QTD/PÃES]]*35)/1000</f>
        <v>4.0250000000000004</v>
      </c>
      <c r="L16" s="11">
        <f>ROUND(TabelaVendas[QTD/KG]*TabelaVendas[[#This Row],[PREÇO/KG]],0)</f>
        <v>42</v>
      </c>
      <c r="M16" s="11">
        <f>TabelaVendas[[#This Row],[VENDA]]-TabelaVendas[[#This Row],[CUSTO]]</f>
        <v>44.25</v>
      </c>
      <c r="N16" s="13">
        <f>IFERROR(TabelaVendas[[#This Row],[LUCRO]]/TabelaVendas[[#This Row],[VENDA]],0)</f>
        <v>0.5130434782608696</v>
      </c>
    </row>
    <row r="17" spans="1:14" ht="17.25" x14ac:dyDescent="0.25">
      <c r="A17" s="14">
        <v>42942</v>
      </c>
      <c r="B17" s="38">
        <f>IF(TEXT(TabelaVendas[[#This Row],[DATA]],"DDD")="SEG",B16+1,B16)</f>
        <v>3</v>
      </c>
      <c r="C17" s="39">
        <f>MONTH(TabelaVendas[[#This Row],[DATA]])</f>
        <v>7</v>
      </c>
      <c r="D17" s="39">
        <f>YEAR(TabelaVendas[[#This Row],[DATA]])</f>
        <v>2017</v>
      </c>
      <c r="E17" s="10">
        <v>46.5</v>
      </c>
      <c r="F17" s="10" t="s">
        <v>22</v>
      </c>
      <c r="G17" s="10">
        <v>0.75</v>
      </c>
      <c r="H17" s="10">
        <v>10.5</v>
      </c>
      <c r="I17" s="25" t="str">
        <f>IF(TabelaVendas[[#This Row],[DATA]]="","-",PROPER(TEXT(TabelaVendas[[#This Row],[DATA]],"dddd")))</f>
        <v>Quarta-Feira</v>
      </c>
      <c r="J17" s="18">
        <f>IFERROR(ROUNDUP(TabelaVendas[[#This Row],[VENDA]]/TabelaVendas[[#This Row],[PREÇO/UN.]],0),0)</f>
        <v>62</v>
      </c>
      <c r="K17" s="12">
        <f>(TabelaVendas[[#This Row],[QTD/PÃES]]*35)/1000</f>
        <v>2.17</v>
      </c>
      <c r="L17" s="11">
        <f>ROUND(TabelaVendas[QTD/KG]*TabelaVendas[[#This Row],[PREÇO/KG]],0)</f>
        <v>23</v>
      </c>
      <c r="M17" s="11">
        <f>TabelaVendas[[#This Row],[VENDA]]-TabelaVendas[[#This Row],[CUSTO]]</f>
        <v>23.5</v>
      </c>
      <c r="N17" s="13">
        <f>IFERROR(TabelaVendas[[#This Row],[LUCRO]]/TabelaVendas[[#This Row],[VENDA]],0)</f>
        <v>0.5053763440860215</v>
      </c>
    </row>
    <row r="18" spans="1:14" ht="17.25" x14ac:dyDescent="0.25">
      <c r="A18" s="14">
        <v>42943</v>
      </c>
      <c r="B18" s="38">
        <f>IF(TEXT(TabelaVendas[[#This Row],[DATA]],"DDD")="SEG",B17+1,B17)</f>
        <v>3</v>
      </c>
      <c r="C18" s="39">
        <f>MONTH(TabelaVendas[[#This Row],[DATA]])</f>
        <v>7</v>
      </c>
      <c r="D18" s="39">
        <f>YEAR(TabelaVendas[[#This Row],[DATA]])</f>
        <v>2017</v>
      </c>
      <c r="E18" s="10">
        <v>96.55</v>
      </c>
      <c r="F18" s="10" t="s">
        <v>22</v>
      </c>
      <c r="G18" s="10">
        <v>0.75</v>
      </c>
      <c r="H18" s="10">
        <v>10.5</v>
      </c>
      <c r="I18" s="25" t="str">
        <f>IF(TabelaVendas[[#This Row],[DATA]]="","-",PROPER(TEXT(TabelaVendas[[#This Row],[DATA]],"dddd")))</f>
        <v>Quinta-Feira</v>
      </c>
      <c r="J18" s="18">
        <f>IFERROR(ROUNDUP(TabelaVendas[[#This Row],[VENDA]]/TabelaVendas[[#This Row],[PREÇO/UN.]],0),0)</f>
        <v>129</v>
      </c>
      <c r="K18" s="12">
        <f>(TabelaVendas[[#This Row],[QTD/PÃES]]*35)/1000</f>
        <v>4.5149999999999997</v>
      </c>
      <c r="L18" s="11">
        <f>ROUND(TabelaVendas[QTD/KG]*TabelaVendas[[#This Row],[PREÇO/KG]],0)</f>
        <v>47</v>
      </c>
      <c r="M18" s="11">
        <f>TabelaVendas[[#This Row],[VENDA]]-TabelaVendas[[#This Row],[CUSTO]]</f>
        <v>49.55</v>
      </c>
      <c r="N18" s="13">
        <f>IFERROR(TabelaVendas[[#This Row],[LUCRO]]/TabelaVendas[[#This Row],[VENDA]],0)</f>
        <v>0.51320559295701706</v>
      </c>
    </row>
    <row r="19" spans="1:14" ht="18.75" x14ac:dyDescent="0.25">
      <c r="A19" s="31" t="str">
        <f t="array" ref="A19">"VENDA DE: "&amp; SUM(IF(A2&lt;&gt;A2:A18,1,0)) - COUNTBLANK(TabelaVendas[DATA]) &amp; " DIAS "</f>
        <v xml:space="preserve">VENDA DE: 16 DIAS </v>
      </c>
      <c r="B19" s="31"/>
      <c r="C19" s="31"/>
      <c r="D19" s="31"/>
      <c r="E19" s="32">
        <f>(SUBTOTAL(109,TabelaVendas[VENDA]) + TabelaVendasKG[[#Totals],[TOTAL]]) - TabelaDespesas[[#Totals],[VALOR]]</f>
        <v>868.59999999999991</v>
      </c>
      <c r="F19" s="32"/>
      <c r="G19" s="32">
        <f>SUBTOTAL(101,TabelaVendas[PREÇO/UN.])</f>
        <v>0.73529411764705888</v>
      </c>
      <c r="H19" s="32">
        <f>SUBTOTAL(101,TabelaVendas[PREÇO/KG])</f>
        <v>10.352941176470589</v>
      </c>
      <c r="I19" s="32"/>
      <c r="J19" s="33">
        <f>SUBTOTAL(109,TabelaVendas[QTD/PÃES])</f>
        <v>1507</v>
      </c>
      <c r="K19" s="34">
        <f>SUBTOTAL(109,TabelaVendas[QTD/KG])</f>
        <v>52.745000000000005</v>
      </c>
      <c r="L19" s="32">
        <f>SUBTOTAL(109,TabelaVendas[CUSTO]) + TabelaVendasKG[[#Totals],[CUSTO]]</f>
        <v>571.5</v>
      </c>
      <c r="M19" s="32">
        <f>SUBTOTAL(109,TabelaVendas[LUCRO]) + TabelaVendasKG[[#Totals],[LUCRO]]</f>
        <v>547.6</v>
      </c>
      <c r="N19" s="35">
        <f>SUBTOTAL(101,TabelaVendas[LUCRO %])</f>
        <v>0.50349913003842672</v>
      </c>
    </row>
    <row r="20" spans="1:14" ht="19.5" thickBot="1" x14ac:dyDescent="0.3">
      <c r="A20" s="31"/>
      <c r="B20" s="31"/>
      <c r="C20" s="31"/>
      <c r="D20" s="32"/>
      <c r="E20" s="32"/>
      <c r="F20" s="32"/>
      <c r="G20" s="32"/>
      <c r="H20" s="32"/>
      <c r="I20" s="33"/>
      <c r="J20" s="34"/>
      <c r="K20" s="32"/>
      <c r="L20" s="32"/>
      <c r="M20" s="35"/>
    </row>
    <row r="21" spans="1:14" ht="19.5" thickBot="1" x14ac:dyDescent="0.3">
      <c r="A21" s="30" t="str">
        <f>"Erro de: " &amp; ROUND(((TabelaVendas[[#Totals],[VENDA]]-TBCX_GERAL[[#Totals],[QUANTIDADE]]) /TabelaVendas[[#Totals],[VENDA]])*100,2) &amp; "%" &amp; " / " &amp; DOLLAR(TabelaVendas[[#Totals],[VENDA]]-TBCX_GERAL[[#Totals],[QUANTIDADE]],2)</f>
        <v>Erro de: 1,84% / R$ 16,00</v>
      </c>
    </row>
  </sheetData>
  <conditionalFormatting sqref="M20 N19 A2:N18">
    <cfRule type="expression" dxfId="150" priority="12">
      <formula>$A2=TODAY()</formula>
    </cfRule>
  </conditionalFormatting>
  <dataValidations count="1">
    <dataValidation type="list" allowBlank="1" showInputMessage="1" showErrorMessage="1" sqref="E20 F2:F18">
      <formula1>"VAZAME,TEREZA"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 tint="0.34998626667073579"/>
  </sheetPr>
  <dimension ref="A1:J7"/>
  <sheetViews>
    <sheetView showGridLines="0" workbookViewId="0"/>
  </sheetViews>
  <sheetFormatPr defaultRowHeight="15" x14ac:dyDescent="0.25"/>
  <cols>
    <col min="1" max="1" width="10.7109375" bestFit="1" customWidth="1"/>
    <col min="2" max="2" width="15.5703125" bestFit="1" customWidth="1"/>
    <col min="3" max="3" width="10.7109375" bestFit="1" customWidth="1"/>
    <col min="4" max="4" width="15.5703125" bestFit="1" customWidth="1"/>
    <col min="5" max="5" width="20.140625" bestFit="1" customWidth="1"/>
    <col min="6" max="6" width="15.28515625" bestFit="1" customWidth="1"/>
    <col min="7" max="7" width="12.28515625" bestFit="1" customWidth="1"/>
    <col min="8" max="8" width="11.140625" bestFit="1" customWidth="1"/>
    <col min="9" max="10" width="11.5703125" bestFit="1" customWidth="1"/>
    <col min="11" max="11" width="13.5703125" bestFit="1" customWidth="1"/>
  </cols>
  <sheetData>
    <row r="1" spans="1:10" x14ac:dyDescent="0.25">
      <c r="A1" s="1" t="s">
        <v>0</v>
      </c>
      <c r="B1" s="1" t="s">
        <v>4</v>
      </c>
      <c r="C1" s="1" t="s">
        <v>3</v>
      </c>
      <c r="D1" s="1" t="s">
        <v>17</v>
      </c>
      <c r="E1" s="1" t="s">
        <v>9</v>
      </c>
      <c r="F1" s="1" t="s">
        <v>11</v>
      </c>
      <c r="G1" s="1" t="s">
        <v>10</v>
      </c>
      <c r="H1" s="1" t="s">
        <v>6</v>
      </c>
      <c r="I1" s="1" t="s">
        <v>7</v>
      </c>
      <c r="J1" s="1" t="s">
        <v>1</v>
      </c>
    </row>
    <row r="2" spans="1:10" x14ac:dyDescent="0.25">
      <c r="A2" s="3">
        <v>42931</v>
      </c>
      <c r="B2" s="8">
        <f t="shared" ref="B2:B4" si="0">MONTH(A2)</f>
        <v>7</v>
      </c>
      <c r="C2" s="8">
        <f>YEAR(TabelaVendasKG[[#This Row],[DATA]])</f>
        <v>2017</v>
      </c>
      <c r="D2" s="36" t="str">
        <f>PROPER(TEXT(TabelaVendasKG[DATA],"dddd"))</f>
        <v>Sábado</v>
      </c>
      <c r="E2" s="2">
        <v>15</v>
      </c>
      <c r="F2" s="8">
        <v>1</v>
      </c>
      <c r="G2" s="2">
        <f>TabelaVendasKG[PREÇO UN.]*TabelaVendasKG[QTD KG]</f>
        <v>15</v>
      </c>
      <c r="H2" s="2">
        <f>9.5*TabelaVendasKG[QTD KG]</f>
        <v>9.5</v>
      </c>
      <c r="I2" s="2">
        <f>TabelaVendasKG[TOTAL]-TabelaVendasKG[CUSTO]</f>
        <v>5.5</v>
      </c>
      <c r="J2" s="16">
        <f>IFERROR(TabelaVendasKG[LUCRO]/TabelaVendasKG[TOTAL],"-")</f>
        <v>0.36666666666666664</v>
      </c>
    </row>
    <row r="3" spans="1:10" x14ac:dyDescent="0.25">
      <c r="A3" s="3">
        <v>42936</v>
      </c>
      <c r="B3" s="8">
        <f t="shared" si="0"/>
        <v>7</v>
      </c>
      <c r="C3" s="8">
        <f>YEAR(TabelaVendasKG[[#This Row],[DATA]])</f>
        <v>2017</v>
      </c>
      <c r="D3" s="36" t="str">
        <f>PROPER(TEXT(TabelaVendasKG[DATA],"dddd"))</f>
        <v>Quinta-Feira</v>
      </c>
      <c r="E3" s="2">
        <v>16</v>
      </c>
      <c r="F3" s="8">
        <v>1</v>
      </c>
      <c r="G3" s="2">
        <f>TabelaVendasKG[PREÇO UN.]*TabelaVendasKG[QTD KG]</f>
        <v>16</v>
      </c>
      <c r="H3" s="2">
        <f>9.5*TabelaVendasKG[QTD KG]</f>
        <v>9.5</v>
      </c>
      <c r="I3" s="2">
        <f>TabelaVendasKG[TOTAL]-TabelaVendasKG[CUSTO]</f>
        <v>6.5</v>
      </c>
      <c r="J3" s="16">
        <f>IFERROR(TabelaVendasKG[LUCRO]/TabelaVendasKG[TOTAL],"-")</f>
        <v>0.40625</v>
      </c>
    </row>
    <row r="4" spans="1:10" x14ac:dyDescent="0.25">
      <c r="A4" s="3">
        <v>42938</v>
      </c>
      <c r="B4" s="8">
        <f t="shared" si="0"/>
        <v>7</v>
      </c>
      <c r="C4" s="8">
        <f>YEAR(TabelaVendasKG[[#This Row],[DATA]])</f>
        <v>2017</v>
      </c>
      <c r="D4" s="36" t="str">
        <f>PROPER(TEXT(TabelaVendasKG[DATA],"dddd"))</f>
        <v>Sábado</v>
      </c>
      <c r="E4" s="2">
        <v>17</v>
      </c>
      <c r="F4" s="8">
        <v>1</v>
      </c>
      <c r="G4" s="2">
        <f>TabelaVendasKG[PREÇO UN.]*TabelaVendasKG[QTD KG]</f>
        <v>17</v>
      </c>
      <c r="H4" s="2">
        <f>9.5*TabelaVendasKG[QTD KG]</f>
        <v>9.5</v>
      </c>
      <c r="I4" s="2">
        <f>TabelaVendasKG[TOTAL]-TabelaVendasKG[CUSTO]</f>
        <v>7.5</v>
      </c>
      <c r="J4" s="16">
        <f>IFERROR(TabelaVendasKG[LUCRO]/TabelaVendasKG[TOTAL],"-")</f>
        <v>0.44117647058823528</v>
      </c>
    </row>
    <row r="5" spans="1:10" x14ac:dyDescent="0.25">
      <c r="A5" s="3">
        <v>42943</v>
      </c>
      <c r="B5" s="8">
        <f>MONTH(A5)</f>
        <v>7</v>
      </c>
      <c r="C5" s="8">
        <f>YEAR(TabelaVendasKG[[#This Row],[DATA]])</f>
        <v>2017</v>
      </c>
      <c r="D5" s="36" t="str">
        <f>PROPER(TEXT(TabelaVendasKG[DATA],"dddd"))</f>
        <v>Quinta-Feira</v>
      </c>
      <c r="E5" s="2">
        <v>16</v>
      </c>
      <c r="F5" s="8">
        <v>1</v>
      </c>
      <c r="G5" s="2">
        <f>TabelaVendasKG[PREÇO UN.]*TabelaVendasKG[QTD KG]</f>
        <v>16</v>
      </c>
      <c r="H5" s="2">
        <f>9.5*TabelaVendasKG[QTD KG]</f>
        <v>9.5</v>
      </c>
      <c r="I5" s="2">
        <f>TabelaVendasKG[TOTAL]-TabelaVendasKG[CUSTO]</f>
        <v>6.5</v>
      </c>
      <c r="J5" s="16">
        <f>IFERROR(TabelaVendasKG[LUCRO]/TabelaVendasKG[TOTAL],"-")</f>
        <v>0.40625</v>
      </c>
    </row>
    <row r="6" spans="1:10" x14ac:dyDescent="0.25">
      <c r="A6" s="3">
        <v>42923</v>
      </c>
      <c r="B6" s="8">
        <f>MONTH(A6)</f>
        <v>7</v>
      </c>
      <c r="C6" s="8">
        <f>YEAR(TabelaVendasKG[[#This Row],[DATA]])</f>
        <v>2017</v>
      </c>
      <c r="D6" s="36" t="str">
        <f>PROPER(TEXT(TabelaVendasKG[DATA],"dddd"))</f>
        <v>Sexta-Feira</v>
      </c>
      <c r="E6" s="2">
        <v>0</v>
      </c>
      <c r="F6" s="8">
        <v>0</v>
      </c>
      <c r="G6" s="2">
        <v>0</v>
      </c>
      <c r="H6" s="2">
        <v>9.5</v>
      </c>
      <c r="I6" s="2">
        <v>0</v>
      </c>
      <c r="J6" s="16" t="str">
        <f>IFERROR(TabelaVendasKG[LUCRO]/TabelaVendasKG[TOTAL],"-")</f>
        <v>-</v>
      </c>
    </row>
    <row r="7" spans="1:10" x14ac:dyDescent="0.25">
      <c r="A7" s="3"/>
      <c r="B7" s="3"/>
      <c r="C7" s="3"/>
      <c r="D7" s="8"/>
      <c r="E7" s="2">
        <f>SUBTOTAL(101,TabelaVendasKG[PREÇO UN.])</f>
        <v>12.8</v>
      </c>
      <c r="F7" s="8">
        <f>SUBTOTAL(109,TabelaVendasKG[QTD KG])</f>
        <v>4</v>
      </c>
      <c r="G7" s="2">
        <f>SUBTOTAL(109,TabelaVendasKG[TOTAL])</f>
        <v>64</v>
      </c>
      <c r="H7" s="2">
        <f>SUBTOTAL(109,TabelaVendasKG[CUSTO])</f>
        <v>47.5</v>
      </c>
      <c r="I7" s="2">
        <f>SUBTOTAL(109,TabelaVendasKG[LUCRO])</f>
        <v>26</v>
      </c>
      <c r="J7" s="19">
        <f>SUBTOTAL(101,TabelaVendasKG[LUCRO %])</f>
        <v>0.40508578431372549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1" tint="0.34998626667073579"/>
  </sheetPr>
  <dimension ref="A1:F14"/>
  <sheetViews>
    <sheetView showGridLines="0" workbookViewId="0"/>
  </sheetViews>
  <sheetFormatPr defaultRowHeight="15" x14ac:dyDescent="0.25"/>
  <cols>
    <col min="1" max="1" width="10.7109375" bestFit="1" customWidth="1"/>
    <col min="2" max="2" width="4.85546875" bestFit="1" customWidth="1"/>
    <col min="3" max="3" width="5.140625" bestFit="1" customWidth="1"/>
    <col min="4" max="4" width="19" bestFit="1" customWidth="1"/>
    <col min="5" max="5" width="10.5703125" bestFit="1" customWidth="1"/>
    <col min="6" max="6" width="12.42578125" bestFit="1" customWidth="1"/>
    <col min="7" max="8" width="17" bestFit="1" customWidth="1"/>
    <col min="9" max="9" width="11.140625" bestFit="1" customWidth="1"/>
  </cols>
  <sheetData>
    <row r="1" spans="1:6" x14ac:dyDescent="0.25">
      <c r="A1" s="27" t="s">
        <v>0</v>
      </c>
      <c r="B1" s="27" t="s">
        <v>4</v>
      </c>
      <c r="C1" s="27" t="s">
        <v>3</v>
      </c>
      <c r="D1" s="27" t="s">
        <v>13</v>
      </c>
      <c r="E1" s="28" t="s">
        <v>14</v>
      </c>
      <c r="F1" s="27" t="s">
        <v>2</v>
      </c>
    </row>
    <row r="2" spans="1:6" x14ac:dyDescent="0.25">
      <c r="A2" s="29">
        <v>42939</v>
      </c>
      <c r="B2" s="36">
        <f>MONTH(TabelaDespesas[[#This Row],[DATA]])</f>
        <v>7</v>
      </c>
      <c r="C2" s="36">
        <f>YEAR(TabelaDespesas[[#This Row],[DATA]])</f>
        <v>2017</v>
      </c>
      <c r="D2" s="29" t="s">
        <v>24</v>
      </c>
      <c r="E2" s="28">
        <v>40</v>
      </c>
      <c r="F2" s="29" t="str">
        <f>IF(TabelaDespesas[DATA]="","-",PROPER(TEXT(TabelaDespesas[DATA],"dddd")))</f>
        <v>Domingo</v>
      </c>
    </row>
    <row r="3" spans="1:6" x14ac:dyDescent="0.25">
      <c r="A3" s="29">
        <v>42941</v>
      </c>
      <c r="B3" s="36">
        <f>MONTH(TabelaDespesas[[#This Row],[DATA]])</f>
        <v>7</v>
      </c>
      <c r="C3" s="36">
        <f>YEAR(TabelaDespesas[[#This Row],[DATA]])</f>
        <v>2017</v>
      </c>
      <c r="D3" s="29" t="s">
        <v>25</v>
      </c>
      <c r="E3" s="28">
        <v>2</v>
      </c>
      <c r="F3" s="29" t="str">
        <f>IF(TabelaDespesas[DATA]="","-",PROPER(TEXT(TabelaDespesas[DATA],"dddd")))</f>
        <v>Terça-Feira</v>
      </c>
    </row>
    <row r="4" spans="1:6" x14ac:dyDescent="0.25">
      <c r="A4" s="29">
        <v>42937</v>
      </c>
      <c r="B4" s="36">
        <f>MONTH(TabelaDespesas[[#This Row],[DATA]])</f>
        <v>7</v>
      </c>
      <c r="C4" s="36">
        <f>YEAR(TabelaDespesas[[#This Row],[DATA]])</f>
        <v>2017</v>
      </c>
      <c r="D4" s="29" t="s">
        <v>26</v>
      </c>
      <c r="E4" s="28">
        <v>10</v>
      </c>
      <c r="F4" s="29" t="str">
        <f>IF(TabelaDespesas[DATA]="","-",PROPER(TEXT(TabelaDespesas[DATA],"dddd")))</f>
        <v>Sexta-Feira</v>
      </c>
    </row>
    <row r="5" spans="1:6" x14ac:dyDescent="0.25">
      <c r="A5" s="29">
        <v>42942</v>
      </c>
      <c r="B5" s="36">
        <f>MONTH(TabelaDespesas[[#This Row],[DATA]])</f>
        <v>7</v>
      </c>
      <c r="C5" s="36">
        <f>YEAR(TabelaDespesas[[#This Row],[DATA]])</f>
        <v>2017</v>
      </c>
      <c r="D5" s="29" t="s">
        <v>27</v>
      </c>
      <c r="E5" s="28">
        <v>10</v>
      </c>
      <c r="F5" s="29" t="str">
        <f>IF(TabelaDespesas[DATA]="","-",PROPER(TEXT(TabelaDespesas[DATA],"dddd")))</f>
        <v>Quarta-Feira</v>
      </c>
    </row>
    <row r="6" spans="1:6" x14ac:dyDescent="0.25">
      <c r="A6" s="29">
        <v>42942</v>
      </c>
      <c r="B6" s="36">
        <f>MONTH(TabelaDespesas[[#This Row],[DATA]])</f>
        <v>7</v>
      </c>
      <c r="C6" s="36">
        <f>YEAR(TabelaDespesas[[#This Row],[DATA]])</f>
        <v>2017</v>
      </c>
      <c r="D6" s="29" t="s">
        <v>28</v>
      </c>
      <c r="E6" s="28">
        <v>2.5</v>
      </c>
      <c r="F6" s="29" t="str">
        <f>IF(TabelaDespesas[DATA]="","-",PROPER(TEXT(TabelaDespesas[DATA],"dddd")))</f>
        <v>Quarta-Feira</v>
      </c>
    </row>
    <row r="7" spans="1:6" x14ac:dyDescent="0.25">
      <c r="A7" s="29">
        <v>42938</v>
      </c>
      <c r="B7" s="36">
        <f>MONTH(TabelaDespesas[[#This Row],[DATA]])</f>
        <v>7</v>
      </c>
      <c r="C7" s="36">
        <f>YEAR(TabelaDespesas[[#This Row],[DATA]])</f>
        <v>2017</v>
      </c>
      <c r="D7" s="29" t="s">
        <v>29</v>
      </c>
      <c r="E7" s="28">
        <v>100</v>
      </c>
      <c r="F7" s="29" t="str">
        <f>IF(TabelaDespesas[DATA]="","-",PROPER(TEXT(TabelaDespesas[DATA],"dddd")))</f>
        <v>Sábado</v>
      </c>
    </row>
    <row r="8" spans="1:6" x14ac:dyDescent="0.25">
      <c r="A8" s="29">
        <v>42938</v>
      </c>
      <c r="B8" s="36">
        <f>MONTH(TabelaDespesas[[#This Row],[DATA]])</f>
        <v>7</v>
      </c>
      <c r="C8" s="36">
        <f>YEAR(TabelaDespesas[[#This Row],[DATA]])</f>
        <v>2017</v>
      </c>
      <c r="D8" s="29" t="s">
        <v>30</v>
      </c>
      <c r="E8" s="28">
        <v>5</v>
      </c>
      <c r="F8" s="29" t="str">
        <f>IF(TabelaDespesas[DATA]="","-",PROPER(TEXT(TabelaDespesas[DATA],"dddd")))</f>
        <v>Sábado</v>
      </c>
    </row>
    <row r="9" spans="1:6" x14ac:dyDescent="0.25">
      <c r="A9" s="29">
        <v>42942</v>
      </c>
      <c r="B9" s="36">
        <f>MONTH(TabelaDespesas[[#This Row],[DATA]])</f>
        <v>7</v>
      </c>
      <c r="C9" s="36">
        <f>YEAR(TabelaDespesas[[#This Row],[DATA]])</f>
        <v>2017</v>
      </c>
      <c r="D9" s="29" t="s">
        <v>31</v>
      </c>
      <c r="E9" s="28">
        <v>6</v>
      </c>
      <c r="F9" s="29" t="str">
        <f>IF(TabelaDespesas[DATA]="","-",PROPER(TEXT(TabelaDespesas[DATA],"dddd")))</f>
        <v>Quarta-Feira</v>
      </c>
    </row>
    <row r="10" spans="1:6" x14ac:dyDescent="0.25">
      <c r="A10" s="29">
        <v>42943</v>
      </c>
      <c r="B10" s="36">
        <f>MONTH(TabelaDespesas[[#This Row],[DATA]])</f>
        <v>7</v>
      </c>
      <c r="C10" s="36">
        <f>YEAR(TabelaDespesas[[#This Row],[DATA]])</f>
        <v>2017</v>
      </c>
      <c r="D10" s="29" t="s">
        <v>32</v>
      </c>
      <c r="E10" s="28">
        <v>40</v>
      </c>
      <c r="F10" s="29" t="str">
        <f>IF(TabelaDespesas[DATA]="","-",PROPER(TEXT(TabelaDespesas[DATA],"dddd")))</f>
        <v>Quinta-Feira</v>
      </c>
    </row>
    <row r="11" spans="1:6" x14ac:dyDescent="0.25">
      <c r="A11" s="29">
        <v>42944</v>
      </c>
      <c r="B11" s="36">
        <f>MONTH(TabelaDespesas[[#This Row],[DATA]])</f>
        <v>7</v>
      </c>
      <c r="C11" s="36">
        <f>YEAR(TabelaDespesas[[#This Row],[DATA]])</f>
        <v>2017</v>
      </c>
      <c r="D11" s="29" t="s">
        <v>31</v>
      </c>
      <c r="E11" s="28">
        <v>6</v>
      </c>
      <c r="F11" s="29" t="str">
        <f>IF(TabelaDespesas[DATA]="","-",PROPER(TEXT(TabelaDespesas[DATA],"dddd")))</f>
        <v>Sexta-Feira</v>
      </c>
    </row>
    <row r="12" spans="1:6" x14ac:dyDescent="0.25">
      <c r="A12" s="29">
        <v>42943</v>
      </c>
      <c r="B12" s="36">
        <f>MONTH(TabelaDespesas[[#This Row],[DATA]])</f>
        <v>7</v>
      </c>
      <c r="C12" s="36">
        <f>YEAR(TabelaDespesas[[#This Row],[DATA]])</f>
        <v>2017</v>
      </c>
      <c r="D12" s="29" t="s">
        <v>28</v>
      </c>
      <c r="E12" s="28">
        <v>2.5</v>
      </c>
      <c r="F12" s="29" t="str">
        <f>IF(TabelaDespesas[DATA]="","-",PROPER(TEXT(TabelaDespesas[DATA],"dddd")))</f>
        <v>Quinta-Feira</v>
      </c>
    </row>
    <row r="13" spans="1:6" x14ac:dyDescent="0.25">
      <c r="A13" s="29">
        <v>42943</v>
      </c>
      <c r="B13" s="36">
        <f>MONTH(TabelaDespesas[[#This Row],[DATA]])</f>
        <v>7</v>
      </c>
      <c r="C13" s="36">
        <f>YEAR(TabelaDespesas[[#This Row],[DATA]])</f>
        <v>2017</v>
      </c>
      <c r="D13" s="29" t="s">
        <v>31</v>
      </c>
      <c r="E13" s="28">
        <v>17</v>
      </c>
      <c r="F13" s="29" t="str">
        <f>IF(TabelaDespesas[DATA]="","-",PROPER(TEXT(TabelaDespesas[DATA],"dddd")))</f>
        <v>Quinta-Feira</v>
      </c>
    </row>
    <row r="14" spans="1:6" x14ac:dyDescent="0.25">
      <c r="A14" s="3"/>
      <c r="B14" s="3"/>
      <c r="C14" s="3"/>
      <c r="D14" s="3"/>
      <c r="E14" s="2">
        <f>SUBTOTAL(109,TabelaDespesas[VALOR])</f>
        <v>241</v>
      </c>
      <c r="F14" s="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1" tint="0.34998626667073579"/>
  </sheetPr>
  <dimension ref="A1:M13"/>
  <sheetViews>
    <sheetView showGridLines="0" zoomScale="130" zoomScaleNormal="130" workbookViewId="0">
      <selection activeCell="A3" sqref="A3"/>
    </sheetView>
  </sheetViews>
  <sheetFormatPr defaultRowHeight="15" x14ac:dyDescent="0.25"/>
  <cols>
    <col min="1" max="1" width="9.85546875" bestFit="1" customWidth="1"/>
    <col min="2" max="2" width="14.5703125" bestFit="1" customWidth="1"/>
    <col min="3" max="3" width="2.42578125" customWidth="1"/>
    <col min="4" max="4" width="8.7109375" bestFit="1" customWidth="1"/>
    <col min="5" max="5" width="13.140625" bestFit="1" customWidth="1"/>
    <col min="6" max="6" width="2.42578125" customWidth="1"/>
    <col min="7" max="7" width="8.7109375" bestFit="1" customWidth="1"/>
    <col min="8" max="8" width="13.140625" bestFit="1" customWidth="1"/>
    <col min="9" max="10" width="2.42578125" customWidth="1"/>
    <col min="11" max="11" width="11" hidden="1" customWidth="1"/>
    <col min="12" max="12" width="8.85546875" bestFit="1" customWidth="1"/>
    <col min="13" max="13" width="13.140625" bestFit="1" customWidth="1"/>
  </cols>
  <sheetData>
    <row r="1" spans="1:13" x14ac:dyDescent="0.25">
      <c r="D1" s="21"/>
      <c r="G1" s="21"/>
    </row>
    <row r="2" spans="1:13" x14ac:dyDescent="0.25">
      <c r="K2" s="20">
        <v>0.05</v>
      </c>
    </row>
    <row r="3" spans="1:13" x14ac:dyDescent="0.25">
      <c r="A3" s="1" t="s">
        <v>19</v>
      </c>
      <c r="B3" s="1" t="s">
        <v>18</v>
      </c>
      <c r="C3" s="1"/>
      <c r="D3" s="1" t="s">
        <v>19</v>
      </c>
      <c r="E3" s="1" t="s">
        <v>18</v>
      </c>
      <c r="G3" s="1" t="s">
        <v>19</v>
      </c>
      <c r="H3" s="1" t="s">
        <v>18</v>
      </c>
      <c r="J3" s="26" t="s">
        <v>23</v>
      </c>
      <c r="K3" s="20">
        <v>0.1</v>
      </c>
      <c r="L3" s="1" t="s">
        <v>19</v>
      </c>
      <c r="M3" s="1" t="s">
        <v>18</v>
      </c>
    </row>
    <row r="4" spans="1:13" x14ac:dyDescent="0.25">
      <c r="A4" s="2">
        <v>2</v>
      </c>
      <c r="B4" s="1">
        <v>70</v>
      </c>
      <c r="C4" s="1"/>
      <c r="D4" s="2"/>
      <c r="E4" s="1"/>
      <c r="G4" s="2"/>
      <c r="H4" s="1"/>
      <c r="K4" s="20">
        <v>0.25</v>
      </c>
      <c r="L4" s="2"/>
      <c r="M4" s="1"/>
    </row>
    <row r="5" spans="1:13" ht="18.75" x14ac:dyDescent="0.3">
      <c r="A5" s="2">
        <v>5</v>
      </c>
      <c r="B5" s="1">
        <v>32</v>
      </c>
      <c r="C5" s="22"/>
      <c r="D5" s="20"/>
      <c r="E5" s="22">
        <f t="array" ref="E5">SUM(TBCX_LUCRO[IMPORT.]*TBCX_LUCRO[QUANTIDADE])</f>
        <v>0</v>
      </c>
      <c r="G5" s="20"/>
      <c r="H5" s="22">
        <f t="array" ref="H5">SUM(TBCX_CUSTO[IMPORT.]*TBCX_CUSTO[QUANTIDADE])</f>
        <v>0</v>
      </c>
      <c r="K5" s="20">
        <v>0.5</v>
      </c>
      <c r="L5" s="20"/>
      <c r="M5" s="22">
        <f t="array" ref="M5">SUM(TBCX_DIARIO[IMPORT.]*TBCX_DIARIO[QUANTIDADE])</f>
        <v>0</v>
      </c>
    </row>
    <row r="6" spans="1:13" x14ac:dyDescent="0.25">
      <c r="A6" s="2">
        <v>10</v>
      </c>
      <c r="B6" s="1">
        <v>28</v>
      </c>
      <c r="K6" s="20">
        <v>1</v>
      </c>
    </row>
    <row r="7" spans="1:13" x14ac:dyDescent="0.25">
      <c r="A7" s="2">
        <v>20</v>
      </c>
      <c r="B7" s="1">
        <v>11</v>
      </c>
      <c r="K7" s="20">
        <v>2</v>
      </c>
    </row>
    <row r="8" spans="1:13" x14ac:dyDescent="0.25">
      <c r="A8" s="2">
        <v>1</v>
      </c>
      <c r="B8" s="1">
        <v>29</v>
      </c>
      <c r="K8" s="20">
        <v>5</v>
      </c>
    </row>
    <row r="9" spans="1:13" x14ac:dyDescent="0.25">
      <c r="A9" s="2">
        <v>0.5</v>
      </c>
      <c r="B9" s="1">
        <v>22</v>
      </c>
      <c r="K9" s="20">
        <v>10</v>
      </c>
    </row>
    <row r="10" spans="1:13" x14ac:dyDescent="0.25">
      <c r="A10" s="2">
        <v>0.25</v>
      </c>
      <c r="B10" s="1">
        <v>27</v>
      </c>
      <c r="K10" s="20">
        <v>20</v>
      </c>
    </row>
    <row r="11" spans="1:13" x14ac:dyDescent="0.25">
      <c r="A11" s="2">
        <v>0.1</v>
      </c>
      <c r="B11" s="1">
        <v>36</v>
      </c>
      <c r="K11" s="20">
        <v>50</v>
      </c>
    </row>
    <row r="12" spans="1:13" x14ac:dyDescent="0.25">
      <c r="A12" s="2">
        <v>0.05</v>
      </c>
      <c r="B12" s="1">
        <v>45</v>
      </c>
      <c r="G12" s="20"/>
      <c r="K12" s="20">
        <v>100</v>
      </c>
    </row>
    <row r="13" spans="1:13" ht="18.75" x14ac:dyDescent="0.3">
      <c r="A13" s="20"/>
      <c r="B13" s="22">
        <f t="array" ref="B13">SUM(TBCX_GERAL[IMPORT.]*TBCX_GERAL[QUANTIDADE])</f>
        <v>852.6</v>
      </c>
      <c r="J13" s="20"/>
    </row>
  </sheetData>
  <dataValidations count="1">
    <dataValidation type="list" allowBlank="1" showInputMessage="1" showErrorMessage="1" sqref="G4 D4 L4 A4:A12">
      <formula1>LISTACÉDULASMOEDAS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1" tint="0.34998626667073579"/>
  </sheetPr>
  <dimension ref="A1:I4"/>
  <sheetViews>
    <sheetView showGridLines="0" zoomScaleNormal="100" workbookViewId="0"/>
  </sheetViews>
  <sheetFormatPr defaultRowHeight="15" x14ac:dyDescent="0.25"/>
  <cols>
    <col min="1" max="1" width="10.7109375" bestFit="1" customWidth="1"/>
    <col min="2" max="2" width="12.28515625" bestFit="1" customWidth="1"/>
    <col min="3" max="3" width="9.7109375" bestFit="1" customWidth="1"/>
    <col min="4" max="4" width="9.42578125" bestFit="1" customWidth="1"/>
    <col min="5" max="5" width="8.7109375" bestFit="1" customWidth="1"/>
    <col min="6" max="6" width="17" bestFit="1" customWidth="1"/>
    <col min="7" max="7" width="18.140625" bestFit="1" customWidth="1"/>
    <col min="8" max="8" width="12.140625" bestFit="1" customWidth="1"/>
    <col min="9" max="9" width="11.140625" bestFit="1" customWidth="1"/>
  </cols>
  <sheetData>
    <row r="1" spans="1:9" x14ac:dyDescent="0.25">
      <c r="A1" s="1" t="s">
        <v>0</v>
      </c>
      <c r="B1" s="1" t="s">
        <v>11</v>
      </c>
      <c r="C1" s="1" t="s">
        <v>3</v>
      </c>
      <c r="D1" s="1" t="s">
        <v>4</v>
      </c>
      <c r="E1" s="1" t="s">
        <v>5</v>
      </c>
      <c r="F1" s="1" t="s">
        <v>2</v>
      </c>
      <c r="G1" s="1" t="s">
        <v>12</v>
      </c>
      <c r="H1" s="1" t="s">
        <v>10</v>
      </c>
      <c r="I1" s="1" t="s">
        <v>15</v>
      </c>
    </row>
    <row r="2" spans="1:9" x14ac:dyDescent="0.25">
      <c r="A2" s="3">
        <v>42926</v>
      </c>
      <c r="B2" s="8">
        <v>30</v>
      </c>
      <c r="C2" s="1">
        <f>IF(TabelaPedidos[DATA]="","-",YEAR(TabelaPedidos[DATA]))</f>
        <v>2017</v>
      </c>
      <c r="D2" s="1" t="str">
        <f>IF(TabelaPedidos[DATA]="","-", PROPER(TEXT(TabelaPedidos[DATA],"MMMM")))</f>
        <v>Julho</v>
      </c>
      <c r="E2" s="1">
        <f>IF(TabelaPedidos[DATA]="","-",DAY(TabelaPedidos[DATA]))</f>
        <v>10</v>
      </c>
      <c r="F2" s="1" t="str">
        <f>IF(TabelaPedidos[DATA]="","-",PROPER(TEXT(TabelaPedidos[DATA],"DDDD")))</f>
        <v>Segunda-Feira</v>
      </c>
      <c r="G2" s="2">
        <v>10.5</v>
      </c>
      <c r="H2" s="2">
        <f>TabelaPedidos[PREÇO DO  KG]*TabelaPedidos[QTD KG]</f>
        <v>315</v>
      </c>
      <c r="I2" s="1" t="s">
        <v>16</v>
      </c>
    </row>
    <row r="3" spans="1:9" x14ac:dyDescent="0.25">
      <c r="A3" s="3">
        <v>42930</v>
      </c>
      <c r="B3" s="8">
        <v>12</v>
      </c>
      <c r="C3" s="1">
        <f>IF(TabelaPedidos[DATA]="","-",YEAR(TabelaPedidos[DATA]))</f>
        <v>2017</v>
      </c>
      <c r="D3" s="1" t="str">
        <f>IF(TabelaPedidos[DATA]="","-", PROPER(TEXT(TabelaPedidos[DATA],"MMMM")))</f>
        <v>Julho</v>
      </c>
      <c r="E3" s="1">
        <f>IF(TabelaPedidos[DATA]="","-",DAY(TabelaPedidos[DATA]))</f>
        <v>14</v>
      </c>
      <c r="F3" s="1" t="str">
        <f>IF(TabelaPedidos[DATA]="","-",PROPER(TEXT(TabelaPedidos[DATA],"DDDD")))</f>
        <v>Sexta-Feira</v>
      </c>
      <c r="G3" s="2">
        <v>11.2</v>
      </c>
      <c r="H3" s="2">
        <f>TabelaPedidos[PREÇO DO  KG]*TabelaPedidos[QTD KG]</f>
        <v>134.39999999999998</v>
      </c>
      <c r="I3" s="1" t="s">
        <v>16</v>
      </c>
    </row>
    <row r="4" spans="1:9" x14ac:dyDescent="0.25">
      <c r="A4" s="1"/>
      <c r="B4" s="8">
        <f>SUBTOTAL(109,TabelaPedidos[QTD KG])</f>
        <v>42</v>
      </c>
      <c r="C4" s="1"/>
      <c r="D4" s="1"/>
      <c r="E4" s="1"/>
      <c r="F4" s="1"/>
      <c r="G4" s="2"/>
      <c r="H4" s="2">
        <f>SUBTOTAL(109,TabelaPedidos[TOTAL])</f>
        <v>449.4</v>
      </c>
      <c r="I4" s="1"/>
    </row>
  </sheetData>
  <conditionalFormatting sqref="A2:I3">
    <cfRule type="expression" dxfId="62" priority="1">
      <formula>$I2="PAGO"</formula>
    </cfRule>
    <cfRule type="expression" dxfId="61" priority="2">
      <formula>$I2="EM DÉBITO"</formula>
    </cfRule>
  </conditionalFormatting>
  <dataValidations count="1">
    <dataValidation type="list" allowBlank="1" showInputMessage="1" showErrorMessage="1" sqref="I2:I3">
      <formula1>"EM DÉBITO,PAGO"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34998626667073579"/>
  </sheetPr>
  <dimension ref="A1:K11"/>
  <sheetViews>
    <sheetView showGridLines="0" workbookViewId="0"/>
  </sheetViews>
  <sheetFormatPr defaultRowHeight="15" x14ac:dyDescent="0.25"/>
  <cols>
    <col min="1" max="1" width="21" bestFit="1" customWidth="1"/>
    <col min="2" max="2" width="20.85546875" hidden="1" customWidth="1"/>
    <col min="3" max="3" width="18.28515625" bestFit="1" customWidth="1"/>
    <col min="4" max="4" width="16.7109375" bestFit="1" customWidth="1"/>
    <col min="5" max="5" width="21.42578125" style="3" bestFit="1" customWidth="1"/>
    <col min="6" max="6" width="16.85546875" style="2" bestFit="1" customWidth="1"/>
    <col min="7" max="7" width="13.5703125" bestFit="1" customWidth="1"/>
    <col min="8" max="8" width="11.28515625" bestFit="1" customWidth="1"/>
    <col min="9" max="10" width="13.85546875" bestFit="1" customWidth="1"/>
    <col min="12" max="12" width="12.42578125" bestFit="1" customWidth="1"/>
  </cols>
  <sheetData>
    <row r="1" spans="1:11" ht="15.75" x14ac:dyDescent="0.25">
      <c r="A1" s="59" t="s">
        <v>80</v>
      </c>
      <c r="B1" s="59" t="s">
        <v>55</v>
      </c>
      <c r="C1" s="59" t="s">
        <v>79</v>
      </c>
      <c r="D1" s="59" t="s">
        <v>78</v>
      </c>
      <c r="E1" s="58" t="s">
        <v>77</v>
      </c>
      <c r="F1" s="58" t="s">
        <v>76</v>
      </c>
      <c r="G1" s="58" t="s">
        <v>75</v>
      </c>
      <c r="H1" s="57" t="s">
        <v>74</v>
      </c>
      <c r="I1" s="56" t="s">
        <v>73</v>
      </c>
      <c r="J1" s="55" t="s">
        <v>72</v>
      </c>
      <c r="K1" s="55" t="s">
        <v>71</v>
      </c>
    </row>
    <row r="2" spans="1:11" x14ac:dyDescent="0.25">
      <c r="A2" s="1" t="s">
        <v>59</v>
      </c>
      <c r="B2" s="3">
        <v>42887</v>
      </c>
      <c r="C2" s="3">
        <f>IFERROR(IF(tbPARCELAS[[#This Row],[Administradora]]="LOSANGO",tbPARCELAS[[#This Row],[DiaVenc]]-15,tbPARCELAS[[#This Row],[DiaVenc]]-11),"-")</f>
        <v>42872</v>
      </c>
      <c r="D2" s="1" t="s">
        <v>70</v>
      </c>
      <c r="E2" s="1" t="s">
        <v>69</v>
      </c>
      <c r="F2" s="3">
        <v>42791</v>
      </c>
      <c r="G2" s="2">
        <v>139.80000000000001</v>
      </c>
      <c r="H2" s="1">
        <v>2</v>
      </c>
      <c r="I2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42850</v>
      </c>
      <c r="J2" s="1">
        <f>TEXT(tbPARCELAS[[#This Row],[DataE]],"m") * 1</f>
        <v>4</v>
      </c>
      <c r="K2" s="1">
        <f>YEAR(tbPARCELAS[[#This Row],[DataE]]) * 1</f>
        <v>2017</v>
      </c>
    </row>
    <row r="3" spans="1:11" x14ac:dyDescent="0.25">
      <c r="A3" s="1" t="s">
        <v>58</v>
      </c>
      <c r="B3" s="3">
        <v>42887</v>
      </c>
      <c r="C3" s="3">
        <f>IFERROR(IF(tbPARCELAS[[#This Row],[Administradora]]="LOSANGO",tbPARCELAS[[#This Row],[DiaVenc]]-15,tbPARCELAS[[#This Row],[DiaVenc]]-11),"-")</f>
        <v>42876</v>
      </c>
      <c r="D3" s="1" t="s">
        <v>48</v>
      </c>
      <c r="E3" s="1" t="s">
        <v>69</v>
      </c>
      <c r="F3" s="3">
        <v>42665</v>
      </c>
      <c r="G3" s="2">
        <v>539.20000000000005</v>
      </c>
      <c r="H3" s="60">
        <v>8</v>
      </c>
      <c r="I3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42908</v>
      </c>
      <c r="J3" s="1">
        <f>TEXT(tbPARCELAS[[#This Row],[DataE]],"m") * 1</f>
        <v>6</v>
      </c>
      <c r="K3" s="1">
        <f>YEAR(tbPARCELAS[[#This Row],[DataE]]) * 1</f>
        <v>2017</v>
      </c>
    </row>
    <row r="4" spans="1:11" x14ac:dyDescent="0.25">
      <c r="A4" s="1" t="s">
        <v>58</v>
      </c>
      <c r="B4" s="3">
        <v>42887</v>
      </c>
      <c r="C4" s="3">
        <f>IFERROR(IF(tbPARCELAS[[#This Row],[Administradora]]="LOSANGO",tbPARCELAS[[#This Row],[DiaVenc]]-15,tbPARCELAS[[#This Row],[DiaVenc]]-11),"-")</f>
        <v>42876</v>
      </c>
      <c r="D4" s="1" t="s">
        <v>48</v>
      </c>
      <c r="E4" s="1" t="s">
        <v>69</v>
      </c>
      <c r="F4" s="3">
        <v>42672</v>
      </c>
      <c r="G4" s="2">
        <v>294.32</v>
      </c>
      <c r="H4" s="60">
        <v>8</v>
      </c>
      <c r="I4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42915</v>
      </c>
      <c r="J4" s="1">
        <f>TEXT(tbPARCELAS[[#This Row],[DataE]],"m") * 1</f>
        <v>6</v>
      </c>
      <c r="K4" s="1">
        <f>YEAR(tbPARCELAS[[#This Row],[DataE]]) * 1</f>
        <v>2017</v>
      </c>
    </row>
    <row r="5" spans="1:11" ht="15.75" x14ac:dyDescent="0.25">
      <c r="A5" s="1" t="s">
        <v>58</v>
      </c>
      <c r="B5" s="3">
        <v>42887</v>
      </c>
      <c r="C5" s="3">
        <f>IFERROR(IF(tbPARCELAS[[#This Row],[Administradora]]="LOSANGO",tbPARCELAS[[#This Row],[DiaVenc]]-15,tbPARCELAS[[#This Row],[DiaVenc]]-11),"-")</f>
        <v>42876</v>
      </c>
      <c r="D5" s="1" t="s">
        <v>57</v>
      </c>
      <c r="E5" s="61" t="s">
        <v>68</v>
      </c>
      <c r="F5" s="3">
        <v>42522</v>
      </c>
      <c r="G5" s="2">
        <v>1429.96</v>
      </c>
      <c r="H5" s="60">
        <v>14</v>
      </c>
      <c r="I5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42948</v>
      </c>
      <c r="J5" s="1">
        <f>TEXT(tbPARCELAS[[#This Row],[DataE]],"m") * 1</f>
        <v>8</v>
      </c>
      <c r="K5" s="1">
        <f>YEAR(tbPARCELAS[[#This Row],[DataE]]) * 1</f>
        <v>2017</v>
      </c>
    </row>
    <row r="6" spans="1:11" x14ac:dyDescent="0.25">
      <c r="A6" s="1" t="s">
        <v>59</v>
      </c>
      <c r="B6" s="3">
        <v>42887</v>
      </c>
      <c r="C6" s="3">
        <f>IFERROR(IF(tbPARCELAS[[#This Row],[Administradora]]="LOSANGO",tbPARCELAS[[#This Row],[DiaVenc]]-15,tbPARCELAS[[#This Row],[DiaVenc]]-11),"-")</f>
        <v>42872</v>
      </c>
      <c r="D6" s="1" t="s">
        <v>67</v>
      </c>
      <c r="E6" s="1" t="s">
        <v>66</v>
      </c>
      <c r="F6" s="3">
        <v>42792</v>
      </c>
      <c r="G6" s="2">
        <v>242</v>
      </c>
      <c r="H6" s="1">
        <v>8</v>
      </c>
      <c r="I6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43034</v>
      </c>
      <c r="J6" s="1">
        <f>TEXT(tbPARCELAS[[#This Row],[DataE]],"m") * 1</f>
        <v>10</v>
      </c>
      <c r="K6" s="1">
        <f>YEAR(tbPARCELAS[[#This Row],[DataE]]) * 1</f>
        <v>2017</v>
      </c>
    </row>
    <row r="7" spans="1:11" x14ac:dyDescent="0.25">
      <c r="A7" s="1" t="s">
        <v>65</v>
      </c>
      <c r="B7" s="3">
        <v>42891</v>
      </c>
      <c r="C7" s="3">
        <f>IFERROR(IF(tbPARCELAS[[#This Row],[Administradora]]="LOSANGO",tbPARCELAS[[#This Row],[DiaVenc]]-15,tbPARCELAS[[#This Row],[DiaVenc]]-11),"-")</f>
        <v>42880</v>
      </c>
      <c r="D7" s="1" t="s">
        <v>64</v>
      </c>
      <c r="E7" s="1" t="s">
        <v>63</v>
      </c>
      <c r="F7" s="3">
        <v>42820</v>
      </c>
      <c r="G7" s="2">
        <v>335.02</v>
      </c>
      <c r="H7" s="60">
        <v>7</v>
      </c>
      <c r="I7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43034</v>
      </c>
      <c r="J7" s="1">
        <f>TEXT(tbPARCELAS[[#This Row],[DataE]],"m") * 1</f>
        <v>10</v>
      </c>
      <c r="K7" s="1">
        <f>YEAR(tbPARCELAS[[#This Row],[DataE]]) * 1</f>
        <v>2017</v>
      </c>
    </row>
    <row r="8" spans="1:11" x14ac:dyDescent="0.25">
      <c r="A8" s="1" t="s">
        <v>58</v>
      </c>
      <c r="B8" s="3">
        <v>42887</v>
      </c>
      <c r="C8" s="3">
        <f>IFERROR(IF(tbPARCELAS[[#This Row],[Administradora]]="LOSANGO",tbPARCELAS[[#This Row],[DiaVenc]]-15,tbPARCELAS[[#This Row],[DiaVenc]]-11),"-")</f>
        <v>42876</v>
      </c>
      <c r="D8" s="60" t="s">
        <v>61</v>
      </c>
      <c r="E8" s="1" t="s">
        <v>60</v>
      </c>
      <c r="F8" s="3">
        <v>42794</v>
      </c>
      <c r="G8" s="2">
        <v>1500</v>
      </c>
      <c r="H8" s="60">
        <v>10</v>
      </c>
      <c r="I8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43097</v>
      </c>
      <c r="J8" s="1">
        <f>TEXT(tbPARCELAS[[#This Row],[DataE]],"m") * 1</f>
        <v>12</v>
      </c>
      <c r="K8" s="1">
        <f>YEAR(tbPARCELAS[[#This Row],[DataE]]) * 1</f>
        <v>2017</v>
      </c>
    </row>
    <row r="9" spans="1:11" x14ac:dyDescent="0.25">
      <c r="A9" s="1" t="s">
        <v>61</v>
      </c>
      <c r="B9" s="3" t="s">
        <v>62</v>
      </c>
      <c r="C9" s="1" t="str">
        <f>IFERROR(IF(tbPARCELAS[[#This Row],[Administradora]]="LOSANGO",tbPARCELAS[[#This Row],[DiaVenc]]-15,tbPARCELAS[[#This Row],[DiaVenc]]-11),"-")</f>
        <v>-</v>
      </c>
      <c r="D9" s="1" t="s">
        <v>61</v>
      </c>
      <c r="E9" s="1" t="s">
        <v>60</v>
      </c>
      <c r="F9" s="3">
        <v>42801</v>
      </c>
      <c r="G9" s="2">
        <v>2620</v>
      </c>
      <c r="H9" s="60">
        <v>10</v>
      </c>
      <c r="I9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43107</v>
      </c>
      <c r="J9" s="1">
        <f>TEXT(tbPARCELAS[[#This Row],[DataE]],"m") * 1</f>
        <v>1</v>
      </c>
      <c r="K9" s="1">
        <f>YEAR(tbPARCELAS[[#This Row],[DataE]]) * 1</f>
        <v>2018</v>
      </c>
    </row>
    <row r="10" spans="1:11" x14ac:dyDescent="0.25">
      <c r="A10" s="1" t="s">
        <v>59</v>
      </c>
      <c r="B10" s="3">
        <v>42887</v>
      </c>
      <c r="C10" s="3">
        <f>IFERROR(IF(tbPARCELAS[[#This Row],[Administradora]]="LOSANGO",tbPARCELAS[[#This Row],[DiaVenc]]-15,tbPARCELAS[[#This Row],[DiaVenc]]-11),"-")</f>
        <v>42872</v>
      </c>
      <c r="D10" s="1" t="s">
        <v>57</v>
      </c>
      <c r="E10" s="1" t="s">
        <v>56</v>
      </c>
      <c r="F10" s="3">
        <v>42831</v>
      </c>
      <c r="G10" s="2">
        <v>329.76</v>
      </c>
      <c r="H10" s="1">
        <v>12</v>
      </c>
      <c r="I10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43196</v>
      </c>
      <c r="J10" s="1">
        <f>TEXT(tbPARCELAS[[#This Row],[DataE]],"m") * 1</f>
        <v>4</v>
      </c>
      <c r="K10" s="1">
        <f>YEAR(tbPARCELAS[[#This Row],[DataE]]) * 1</f>
        <v>2018</v>
      </c>
    </row>
    <row r="11" spans="1:11" x14ac:dyDescent="0.25">
      <c r="A11" s="1" t="s">
        <v>58</v>
      </c>
      <c r="B11" s="3">
        <v>42887</v>
      </c>
      <c r="C11" s="3">
        <f>IFERROR(IF(tbPARCELAS[[#This Row],[Administradora]]="LOSANGO",tbPARCELAS[[#This Row],[DiaVenc]]-15,tbPARCELAS[[#This Row],[DiaVenc]]-11),"-")</f>
        <v>42876</v>
      </c>
      <c r="D11" s="1" t="s">
        <v>57</v>
      </c>
      <c r="E11" s="1" t="s">
        <v>56</v>
      </c>
      <c r="F11" s="3">
        <v>42831</v>
      </c>
      <c r="G11" s="2">
        <v>532.68000000000006</v>
      </c>
      <c r="H11" s="60">
        <v>12</v>
      </c>
      <c r="I11" s="3">
        <f>IF(DAY(tbPARCELAS[[#This Row],[Data da Compra]])&gt;=tbPARCELAS[[#This Row],[DiaFechamento]],EDATE(tbPARCELAS[[#This Row],[Data da Compra]],tbPARCELAS[[#This Row],[Parcelas]]+1),EDATE(tbPARCELAS[[#This Row],[Data da Compra]],tbPARCELAS[[#This Row],[Parcelas]]))</f>
        <v>43196</v>
      </c>
      <c r="J11" s="1">
        <f>TEXT(tbPARCELAS[[#This Row],[DataE]],"m") * 1</f>
        <v>4</v>
      </c>
      <c r="K11" s="1">
        <f>YEAR(tbPARCELAS[[#This Row],[DataE]]) * 1</f>
        <v>2018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34998626667073579"/>
  </sheetPr>
  <dimension ref="A1:D12"/>
  <sheetViews>
    <sheetView showGridLines="0" workbookViewId="0"/>
  </sheetViews>
  <sheetFormatPr defaultRowHeight="15" x14ac:dyDescent="0.25"/>
  <cols>
    <col min="1" max="1" width="11.140625" bestFit="1" customWidth="1"/>
    <col min="2" max="2" width="20" bestFit="1" customWidth="1"/>
    <col min="3" max="3" width="24" bestFit="1" customWidth="1"/>
    <col min="4" max="4" width="17" bestFit="1" customWidth="1"/>
  </cols>
  <sheetData>
    <row r="1" spans="1:4" s="68" customFormat="1" ht="17.25" thickBot="1" x14ac:dyDescent="0.35">
      <c r="A1" s="71" t="s">
        <v>95</v>
      </c>
      <c r="B1" s="70" t="s">
        <v>94</v>
      </c>
      <c r="C1" s="70" t="s">
        <v>93</v>
      </c>
      <c r="D1" s="69" t="s">
        <v>92</v>
      </c>
    </row>
    <row r="2" spans="1:4" ht="16.5" x14ac:dyDescent="0.3">
      <c r="A2" s="67" t="s">
        <v>91</v>
      </c>
      <c r="B2" s="66">
        <v>42816</v>
      </c>
      <c r="C2" s="66">
        <f t="shared" ref="C2:C12" si="0">B2+20</f>
        <v>42836</v>
      </c>
      <c r="D2" s="65" t="str">
        <f t="shared" ref="D2:D12" ca="1" si="1">IF(AND(SUM((B2-TODAY()),(C2-TODAY()))&gt;=(-18),SUM((B2-TODAY()),(C2-TODAY()))&lt;=20),"CICLO VIGENTE",IF(SUM((B2-TODAY()),(C2-TODAY()))&gt;20,"",""))</f>
        <v/>
      </c>
    </row>
    <row r="3" spans="1:4" ht="16.5" x14ac:dyDescent="0.3">
      <c r="A3" s="67" t="s">
        <v>90</v>
      </c>
      <c r="B3" s="66">
        <f t="shared" ref="B3:B12" si="2">B2+28</f>
        <v>42844</v>
      </c>
      <c r="C3" s="66">
        <f t="shared" si="0"/>
        <v>42864</v>
      </c>
      <c r="D3" s="65" t="str">
        <f t="shared" ca="1" si="1"/>
        <v/>
      </c>
    </row>
    <row r="4" spans="1:4" ht="16.5" x14ac:dyDescent="0.3">
      <c r="A4" s="67" t="s">
        <v>89</v>
      </c>
      <c r="B4" s="66">
        <f t="shared" si="2"/>
        <v>42872</v>
      </c>
      <c r="C4" s="66">
        <f t="shared" si="0"/>
        <v>42892</v>
      </c>
      <c r="D4" s="65" t="str">
        <f t="shared" ca="1" si="1"/>
        <v/>
      </c>
    </row>
    <row r="5" spans="1:4" ht="16.5" x14ac:dyDescent="0.3">
      <c r="A5" s="67" t="s">
        <v>88</v>
      </c>
      <c r="B5" s="66">
        <f t="shared" si="2"/>
        <v>42900</v>
      </c>
      <c r="C5" s="66">
        <f t="shared" si="0"/>
        <v>42920</v>
      </c>
      <c r="D5" s="65" t="str">
        <f t="shared" ca="1" si="1"/>
        <v/>
      </c>
    </row>
    <row r="6" spans="1:4" ht="16.5" x14ac:dyDescent="0.3">
      <c r="A6" s="67" t="s">
        <v>87</v>
      </c>
      <c r="B6" s="66">
        <f t="shared" si="2"/>
        <v>42928</v>
      </c>
      <c r="C6" s="66">
        <f t="shared" si="0"/>
        <v>42948</v>
      </c>
      <c r="D6" s="65" t="str">
        <f t="shared" ca="1" si="1"/>
        <v>CICLO VIGENTE</v>
      </c>
    </row>
    <row r="7" spans="1:4" ht="16.5" x14ac:dyDescent="0.3">
      <c r="A7" s="67" t="s">
        <v>86</v>
      </c>
      <c r="B7" s="66">
        <f t="shared" si="2"/>
        <v>42956</v>
      </c>
      <c r="C7" s="66">
        <f t="shared" si="0"/>
        <v>42976</v>
      </c>
      <c r="D7" s="65" t="str">
        <f t="shared" ca="1" si="1"/>
        <v/>
      </c>
    </row>
    <row r="8" spans="1:4" ht="16.5" x14ac:dyDescent="0.3">
      <c r="A8" s="67" t="s">
        <v>85</v>
      </c>
      <c r="B8" s="66">
        <f t="shared" si="2"/>
        <v>42984</v>
      </c>
      <c r="C8" s="66">
        <f t="shared" si="0"/>
        <v>43004</v>
      </c>
      <c r="D8" s="65" t="str">
        <f t="shared" ca="1" si="1"/>
        <v/>
      </c>
    </row>
    <row r="9" spans="1:4" ht="16.5" x14ac:dyDescent="0.3">
      <c r="A9" s="67" t="s">
        <v>84</v>
      </c>
      <c r="B9" s="66">
        <f t="shared" si="2"/>
        <v>43012</v>
      </c>
      <c r="C9" s="66">
        <f t="shared" si="0"/>
        <v>43032</v>
      </c>
      <c r="D9" s="65" t="str">
        <f t="shared" ca="1" si="1"/>
        <v/>
      </c>
    </row>
    <row r="10" spans="1:4" ht="16.5" x14ac:dyDescent="0.3">
      <c r="A10" s="67" t="s">
        <v>83</v>
      </c>
      <c r="B10" s="66">
        <f t="shared" si="2"/>
        <v>43040</v>
      </c>
      <c r="C10" s="66">
        <f t="shared" si="0"/>
        <v>43060</v>
      </c>
      <c r="D10" s="65" t="str">
        <f t="shared" ca="1" si="1"/>
        <v/>
      </c>
    </row>
    <row r="11" spans="1:4" ht="16.5" x14ac:dyDescent="0.3">
      <c r="A11" s="67" t="s">
        <v>82</v>
      </c>
      <c r="B11" s="66">
        <f t="shared" si="2"/>
        <v>43068</v>
      </c>
      <c r="C11" s="66">
        <f t="shared" si="0"/>
        <v>43088</v>
      </c>
      <c r="D11" s="65" t="str">
        <f t="shared" ca="1" si="1"/>
        <v/>
      </c>
    </row>
    <row r="12" spans="1:4" ht="16.5" x14ac:dyDescent="0.3">
      <c r="A12" s="64" t="s">
        <v>81</v>
      </c>
      <c r="B12" s="63">
        <f t="shared" si="2"/>
        <v>43096</v>
      </c>
      <c r="C12" s="63">
        <f t="shared" si="0"/>
        <v>43116</v>
      </c>
      <c r="D12" s="62" t="str">
        <f t="shared" ca="1" si="1"/>
        <v/>
      </c>
    </row>
  </sheetData>
  <conditionalFormatting sqref="A2:D12">
    <cfRule type="expression" dxfId="27" priority="1">
      <formula>MOD(ROW(),2)</formula>
    </cfRule>
    <cfRule type="expression" dxfId="26" priority="2">
      <formula>$D2:$D12="CICLO VIGENTE"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34998626667073579"/>
  </sheetPr>
  <dimension ref="A1:L10"/>
  <sheetViews>
    <sheetView showGridLines="0" workbookViewId="0"/>
  </sheetViews>
  <sheetFormatPr defaultRowHeight="15" x14ac:dyDescent="0.25"/>
  <cols>
    <col min="1" max="1" width="19.42578125" style="1" bestFit="1" customWidth="1"/>
    <col min="2" max="2" width="54.7109375" style="1" bestFit="1" customWidth="1"/>
    <col min="3" max="3" width="18.140625" style="1" bestFit="1" customWidth="1"/>
    <col min="4" max="4" width="18.28515625" style="1" bestFit="1" customWidth="1"/>
    <col min="5" max="5" width="18.5703125" style="1" bestFit="1" customWidth="1"/>
    <col min="6" max="6" width="18.28515625" style="1" bestFit="1" customWidth="1"/>
    <col min="7" max="7" width="18.140625" style="1" bestFit="1" customWidth="1"/>
    <col min="8" max="8" width="18.28515625" style="1" bestFit="1" customWidth="1"/>
    <col min="9" max="9" width="15.7109375" style="1" bestFit="1" customWidth="1"/>
    <col min="10" max="10" width="18.28515625" style="1" bestFit="1" customWidth="1"/>
    <col min="11" max="11" width="13.140625" style="1" bestFit="1" customWidth="1"/>
    <col min="12" max="12" width="11.42578125" style="1" bestFit="1" customWidth="1"/>
    <col min="13" max="16384" width="9.140625" style="1"/>
  </cols>
  <sheetData>
    <row r="1" spans="1:12" x14ac:dyDescent="0.25">
      <c r="A1" s="1" t="s">
        <v>151</v>
      </c>
      <c r="B1" s="1" t="s">
        <v>150</v>
      </c>
      <c r="C1" s="1" t="s">
        <v>149</v>
      </c>
      <c r="D1" s="1" t="s">
        <v>148</v>
      </c>
      <c r="E1" s="1" t="s">
        <v>147</v>
      </c>
      <c r="F1" s="1" t="s">
        <v>146</v>
      </c>
      <c r="G1" s="1" t="s">
        <v>145</v>
      </c>
      <c r="H1" s="1" t="s">
        <v>144</v>
      </c>
      <c r="I1" s="1" t="s">
        <v>143</v>
      </c>
      <c r="J1" s="1" t="s">
        <v>142</v>
      </c>
      <c r="K1" s="1" t="s">
        <v>141</v>
      </c>
      <c r="L1" s="1" t="s">
        <v>140</v>
      </c>
    </row>
    <row r="2" spans="1:12" x14ac:dyDescent="0.25">
      <c r="A2" s="1" t="s">
        <v>139</v>
      </c>
      <c r="B2" s="1" t="s">
        <v>62</v>
      </c>
      <c r="C2" s="1" t="s">
        <v>138</v>
      </c>
      <c r="D2" s="1" t="s">
        <v>137</v>
      </c>
      <c r="E2" s="1" t="s">
        <v>136</v>
      </c>
      <c r="F2" s="1" t="s">
        <v>102</v>
      </c>
      <c r="G2" s="1" t="s">
        <v>135</v>
      </c>
      <c r="H2" s="1" t="s">
        <v>106</v>
      </c>
      <c r="I2" s="1" t="s">
        <v>134</v>
      </c>
      <c r="J2" s="1" t="s">
        <v>100</v>
      </c>
    </row>
    <row r="3" spans="1:12" x14ac:dyDescent="0.25">
      <c r="A3" s="1" t="s">
        <v>133</v>
      </c>
      <c r="C3" s="1" t="s">
        <v>132</v>
      </c>
      <c r="D3" s="1" t="s">
        <v>104</v>
      </c>
      <c r="E3" s="1" t="s">
        <v>131</v>
      </c>
      <c r="F3" s="1" t="s">
        <v>106</v>
      </c>
      <c r="G3" s="1" t="s">
        <v>130</v>
      </c>
      <c r="H3" s="1" t="s">
        <v>129</v>
      </c>
      <c r="I3" s="1" t="s">
        <v>62</v>
      </c>
    </row>
    <row r="4" spans="1:12" x14ac:dyDescent="0.25">
      <c r="A4" s="1" t="s">
        <v>128</v>
      </c>
      <c r="B4" s="1" t="s">
        <v>127</v>
      </c>
      <c r="C4" s="1" t="s">
        <v>126</v>
      </c>
      <c r="D4" s="1" t="s">
        <v>104</v>
      </c>
      <c r="E4" s="1" t="s">
        <v>125</v>
      </c>
      <c r="F4" s="1" t="s">
        <v>106</v>
      </c>
      <c r="G4" s="1" t="s">
        <v>124</v>
      </c>
      <c r="H4" s="1" t="s">
        <v>100</v>
      </c>
      <c r="I4" s="1" t="s">
        <v>123</v>
      </c>
      <c r="J4" s="1" t="s">
        <v>102</v>
      </c>
    </row>
    <row r="5" spans="1:12" x14ac:dyDescent="0.25">
      <c r="A5" s="1" t="s">
        <v>122</v>
      </c>
      <c r="C5" s="1" t="s">
        <v>121</v>
      </c>
      <c r="D5" s="1" t="s">
        <v>102</v>
      </c>
      <c r="E5" s="1" t="s">
        <v>120</v>
      </c>
      <c r="F5" s="1" t="s">
        <v>104</v>
      </c>
      <c r="G5" s="1" t="s">
        <v>119</v>
      </c>
      <c r="H5" s="1" t="s">
        <v>106</v>
      </c>
      <c r="I5" s="1" t="s">
        <v>118</v>
      </c>
      <c r="J5" s="1" t="s">
        <v>102</v>
      </c>
    </row>
    <row r="6" spans="1:12" x14ac:dyDescent="0.25">
      <c r="A6" s="1" t="s">
        <v>117</v>
      </c>
      <c r="B6" s="1" t="s">
        <v>116</v>
      </c>
      <c r="C6" s="1" t="s">
        <v>115</v>
      </c>
      <c r="D6" s="1" t="s">
        <v>102</v>
      </c>
      <c r="E6" s="1" t="s">
        <v>114</v>
      </c>
      <c r="F6" s="1" t="s">
        <v>106</v>
      </c>
      <c r="G6" s="1" t="s">
        <v>113</v>
      </c>
      <c r="H6" s="1" t="s">
        <v>104</v>
      </c>
      <c r="I6" s="1" t="s">
        <v>112</v>
      </c>
      <c r="J6" s="1" t="s">
        <v>104</v>
      </c>
    </row>
    <row r="7" spans="1:12" x14ac:dyDescent="0.25">
      <c r="A7" s="1" t="s">
        <v>111</v>
      </c>
      <c r="C7" s="1" t="s">
        <v>110</v>
      </c>
      <c r="D7" s="1" t="s">
        <v>106</v>
      </c>
      <c r="E7" s="1" t="s">
        <v>109</v>
      </c>
      <c r="F7" s="1" t="s">
        <v>102</v>
      </c>
    </row>
    <row r="8" spans="1:12" x14ac:dyDescent="0.25">
      <c r="A8" s="1" t="s">
        <v>108</v>
      </c>
      <c r="C8" s="1" t="s">
        <v>107</v>
      </c>
      <c r="D8" s="1" t="s">
        <v>106</v>
      </c>
      <c r="E8" s="1" t="s">
        <v>105</v>
      </c>
      <c r="F8" s="1" t="s">
        <v>104</v>
      </c>
      <c r="G8" s="1" t="s">
        <v>103</v>
      </c>
      <c r="H8" s="1" t="s">
        <v>102</v>
      </c>
      <c r="I8" s="1" t="s">
        <v>101</v>
      </c>
      <c r="J8" s="1" t="s">
        <v>100</v>
      </c>
    </row>
    <row r="9" spans="1:12" x14ac:dyDescent="0.25">
      <c r="A9" s="1" t="s">
        <v>99</v>
      </c>
      <c r="C9" s="1" t="s">
        <v>98</v>
      </c>
      <c r="L9" s="72"/>
    </row>
    <row r="10" spans="1:12" x14ac:dyDescent="0.25">
      <c r="A10" s="1" t="s">
        <v>97</v>
      </c>
      <c r="C10" s="1" t="s">
        <v>96</v>
      </c>
    </row>
  </sheetData>
  <dataValidations count="1">
    <dataValidation type="list" allowBlank="1" showInputMessage="1" showErrorMessage="1" sqref="D2:D10 F2:F10 H2:H10 J2:J10">
      <formula1>"FIXO,TIM,VIVO,OI,CLARO,NEXTEL"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34998626667073579"/>
  </sheetPr>
  <dimension ref="A1:H19"/>
  <sheetViews>
    <sheetView showGridLines="0" workbookViewId="0"/>
  </sheetViews>
  <sheetFormatPr defaultRowHeight="15" x14ac:dyDescent="0.25"/>
  <cols>
    <col min="1" max="1" width="35.5703125" bestFit="1" customWidth="1"/>
    <col min="2" max="2" width="24.42578125" bestFit="1" customWidth="1"/>
    <col min="3" max="3" width="66" customWidth="1"/>
    <col min="4" max="4" width="25.85546875" customWidth="1"/>
    <col min="5" max="5" width="26.42578125" customWidth="1"/>
    <col min="6" max="6" width="18.28515625" bestFit="1" customWidth="1"/>
    <col min="7" max="7" width="16.85546875" bestFit="1" customWidth="1"/>
    <col min="8" max="8" width="17.140625" bestFit="1" customWidth="1"/>
    <col min="9" max="9" width="9.5703125" bestFit="1" customWidth="1"/>
  </cols>
  <sheetData>
    <row r="1" spans="1:8" x14ac:dyDescent="0.25">
      <c r="A1" s="1" t="s">
        <v>204</v>
      </c>
      <c r="B1" s="1" t="s">
        <v>203</v>
      </c>
      <c r="C1" s="1" t="s">
        <v>13</v>
      </c>
      <c r="D1" s="1" t="s">
        <v>202</v>
      </c>
      <c r="E1" s="1" t="s">
        <v>201</v>
      </c>
      <c r="F1" s="1" t="s">
        <v>200</v>
      </c>
      <c r="G1" s="1" t="s">
        <v>199</v>
      </c>
      <c r="H1" s="1" t="s">
        <v>198</v>
      </c>
    </row>
    <row r="2" spans="1:8" x14ac:dyDescent="0.25">
      <c r="A2" s="79" t="s">
        <v>197</v>
      </c>
      <c r="B2" s="79" t="s">
        <v>155</v>
      </c>
      <c r="C2" s="79" t="s">
        <v>196</v>
      </c>
      <c r="D2" s="79" t="s">
        <v>189</v>
      </c>
      <c r="E2" s="79" t="s">
        <v>152</v>
      </c>
      <c r="F2" s="78">
        <v>1149.9000000000001</v>
      </c>
      <c r="G2" s="77">
        <v>0</v>
      </c>
      <c r="H2" s="77">
        <f t="shared" ref="H2:H17" si="0">SUM(F2:G2)</f>
        <v>1149.9000000000001</v>
      </c>
    </row>
    <row r="3" spans="1:8" x14ac:dyDescent="0.25">
      <c r="A3" s="79" t="s">
        <v>195</v>
      </c>
      <c r="B3" s="79" t="s">
        <v>168</v>
      </c>
      <c r="C3" s="79" t="s">
        <v>194</v>
      </c>
      <c r="D3" s="79" t="s">
        <v>189</v>
      </c>
      <c r="E3" s="79" t="s">
        <v>152</v>
      </c>
      <c r="F3" s="78">
        <v>861.1</v>
      </c>
      <c r="G3" s="77">
        <v>0</v>
      </c>
      <c r="H3" s="77">
        <f t="shared" si="0"/>
        <v>861.1</v>
      </c>
    </row>
    <row r="4" spans="1:8" x14ac:dyDescent="0.25">
      <c r="A4" s="79" t="s">
        <v>193</v>
      </c>
      <c r="B4" s="79" t="s">
        <v>168</v>
      </c>
      <c r="C4" s="79" t="s">
        <v>192</v>
      </c>
      <c r="D4" s="79" t="s">
        <v>189</v>
      </c>
      <c r="E4" s="79" t="s">
        <v>152</v>
      </c>
      <c r="F4" s="78">
        <v>98.89</v>
      </c>
      <c r="G4" s="77">
        <v>0</v>
      </c>
      <c r="H4" s="77">
        <f t="shared" si="0"/>
        <v>98.89</v>
      </c>
    </row>
    <row r="5" spans="1:8" x14ac:dyDescent="0.25">
      <c r="A5" s="79" t="s">
        <v>191</v>
      </c>
      <c r="B5" s="79" t="s">
        <v>172</v>
      </c>
      <c r="C5" s="79" t="s">
        <v>190</v>
      </c>
      <c r="D5" s="79" t="s">
        <v>189</v>
      </c>
      <c r="E5" s="79" t="s">
        <v>152</v>
      </c>
      <c r="F5" s="78">
        <v>157.52000000000001</v>
      </c>
      <c r="G5" s="77">
        <v>0</v>
      </c>
      <c r="H5" s="77">
        <f t="shared" si="0"/>
        <v>157.52000000000001</v>
      </c>
    </row>
    <row r="6" spans="1:8" x14ac:dyDescent="0.25">
      <c r="A6" s="79" t="s">
        <v>188</v>
      </c>
      <c r="B6" s="79" t="s">
        <v>172</v>
      </c>
      <c r="C6" s="79" t="s">
        <v>187</v>
      </c>
      <c r="D6" s="79" t="s">
        <v>179</v>
      </c>
      <c r="E6" s="79" t="s">
        <v>152</v>
      </c>
      <c r="F6" s="78">
        <v>79.900000000000006</v>
      </c>
      <c r="G6" s="77">
        <v>0</v>
      </c>
      <c r="H6" s="77">
        <f t="shared" si="0"/>
        <v>79.900000000000006</v>
      </c>
    </row>
    <row r="7" spans="1:8" x14ac:dyDescent="0.25">
      <c r="A7" s="79" t="s">
        <v>186</v>
      </c>
      <c r="B7" s="79" t="s">
        <v>168</v>
      </c>
      <c r="C7" s="79" t="s">
        <v>185</v>
      </c>
      <c r="D7" s="79" t="s">
        <v>182</v>
      </c>
      <c r="E7" s="79" t="s">
        <v>152</v>
      </c>
      <c r="F7" s="78">
        <v>1640.9</v>
      </c>
      <c r="G7" s="77">
        <v>0</v>
      </c>
      <c r="H7" s="77">
        <f t="shared" si="0"/>
        <v>1640.9</v>
      </c>
    </row>
    <row r="8" spans="1:8" x14ac:dyDescent="0.25">
      <c r="A8" s="79" t="s">
        <v>184</v>
      </c>
      <c r="B8" s="79" t="s">
        <v>168</v>
      </c>
      <c r="C8" s="79" t="s">
        <v>183</v>
      </c>
      <c r="D8" s="79" t="s">
        <v>182</v>
      </c>
      <c r="E8" s="79" t="s">
        <v>152</v>
      </c>
      <c r="F8" s="78">
        <v>337.81</v>
      </c>
      <c r="G8" s="77">
        <v>0</v>
      </c>
      <c r="H8" s="77">
        <f t="shared" si="0"/>
        <v>337.81</v>
      </c>
    </row>
    <row r="9" spans="1:8" x14ac:dyDescent="0.25">
      <c r="A9" s="79" t="s">
        <v>181</v>
      </c>
      <c r="B9" s="79" t="s">
        <v>168</v>
      </c>
      <c r="C9" s="79" t="s">
        <v>180</v>
      </c>
      <c r="D9" s="79" t="s">
        <v>179</v>
      </c>
      <c r="E9" s="79" t="s">
        <v>152</v>
      </c>
      <c r="F9" s="78">
        <v>84.03</v>
      </c>
      <c r="G9" s="77">
        <v>0</v>
      </c>
      <c r="H9" s="77">
        <f t="shared" si="0"/>
        <v>84.03</v>
      </c>
    </row>
    <row r="10" spans="1:8" x14ac:dyDescent="0.25">
      <c r="A10" s="79" t="s">
        <v>178</v>
      </c>
      <c r="B10" s="79" t="s">
        <v>168</v>
      </c>
      <c r="C10" s="79" t="s">
        <v>177</v>
      </c>
      <c r="D10" s="79" t="s">
        <v>166</v>
      </c>
      <c r="E10" s="79" t="s">
        <v>152</v>
      </c>
      <c r="F10" s="78">
        <v>1490</v>
      </c>
      <c r="G10" s="77">
        <v>150</v>
      </c>
      <c r="H10" s="77">
        <f t="shared" si="0"/>
        <v>1640</v>
      </c>
    </row>
    <row r="11" spans="1:8" x14ac:dyDescent="0.25">
      <c r="A11" s="79" t="s">
        <v>176</v>
      </c>
      <c r="B11" s="79" t="s">
        <v>172</v>
      </c>
      <c r="C11" s="79" t="s">
        <v>175</v>
      </c>
      <c r="D11" s="79" t="s">
        <v>174</v>
      </c>
      <c r="E11" s="79" t="s">
        <v>152</v>
      </c>
      <c r="F11" s="78">
        <v>1210</v>
      </c>
      <c r="G11" s="77">
        <v>0</v>
      </c>
      <c r="H11" s="77">
        <f t="shared" si="0"/>
        <v>1210</v>
      </c>
    </row>
    <row r="12" spans="1:8" x14ac:dyDescent="0.25">
      <c r="A12" s="79" t="s">
        <v>173</v>
      </c>
      <c r="B12" s="79" t="s">
        <v>172</v>
      </c>
      <c r="C12" s="79" t="s">
        <v>171</v>
      </c>
      <c r="D12" s="79" t="s">
        <v>170</v>
      </c>
      <c r="E12" s="79" t="s">
        <v>152</v>
      </c>
      <c r="F12" s="78">
        <v>300</v>
      </c>
      <c r="G12" s="77">
        <v>0</v>
      </c>
      <c r="H12" s="77">
        <f t="shared" si="0"/>
        <v>300</v>
      </c>
    </row>
    <row r="13" spans="1:8" x14ac:dyDescent="0.25">
      <c r="A13" s="79" t="s">
        <v>169</v>
      </c>
      <c r="B13" s="79" t="s">
        <v>168</v>
      </c>
      <c r="C13" s="79" t="s">
        <v>167</v>
      </c>
      <c r="D13" s="79" t="s">
        <v>166</v>
      </c>
      <c r="E13" s="79" t="s">
        <v>152</v>
      </c>
      <c r="F13" s="78">
        <v>1146</v>
      </c>
      <c r="G13" s="77">
        <v>0</v>
      </c>
      <c r="H13" s="77">
        <f t="shared" si="0"/>
        <v>1146</v>
      </c>
    </row>
    <row r="14" spans="1:8" x14ac:dyDescent="0.25">
      <c r="A14" s="79" t="s">
        <v>165</v>
      </c>
      <c r="B14" s="79" t="s">
        <v>155</v>
      </c>
      <c r="C14" s="79" t="s">
        <v>164</v>
      </c>
      <c r="D14" s="79" t="s">
        <v>163</v>
      </c>
      <c r="E14" s="79" t="s">
        <v>152</v>
      </c>
      <c r="F14" s="78">
        <v>800</v>
      </c>
      <c r="G14" s="77">
        <v>0</v>
      </c>
      <c r="H14" s="77">
        <f t="shared" si="0"/>
        <v>800</v>
      </c>
    </row>
    <row r="15" spans="1:8" x14ac:dyDescent="0.25">
      <c r="A15" s="79" t="s">
        <v>162</v>
      </c>
      <c r="B15" s="79" t="s">
        <v>155</v>
      </c>
      <c r="C15" s="79" t="s">
        <v>161</v>
      </c>
      <c r="D15" s="79" t="s">
        <v>160</v>
      </c>
      <c r="E15" s="79" t="s">
        <v>152</v>
      </c>
      <c r="F15" s="78">
        <v>99</v>
      </c>
      <c r="G15" s="77">
        <v>0</v>
      </c>
      <c r="H15" s="77">
        <f t="shared" si="0"/>
        <v>99</v>
      </c>
    </row>
    <row r="16" spans="1:8" x14ac:dyDescent="0.25">
      <c r="A16" s="79" t="s">
        <v>159</v>
      </c>
      <c r="B16" s="79" t="s">
        <v>157</v>
      </c>
      <c r="C16" s="79" t="s">
        <v>158</v>
      </c>
      <c r="D16" s="79" t="s">
        <v>157</v>
      </c>
      <c r="E16" s="79" t="s">
        <v>152</v>
      </c>
      <c r="F16" s="78">
        <v>1300</v>
      </c>
      <c r="G16" s="77">
        <v>0</v>
      </c>
      <c r="H16" s="77">
        <f t="shared" si="0"/>
        <v>1300</v>
      </c>
    </row>
    <row r="17" spans="1:8" x14ac:dyDescent="0.25">
      <c r="A17" s="79" t="s">
        <v>156</v>
      </c>
      <c r="B17" s="79" t="s">
        <v>155</v>
      </c>
      <c r="C17" s="79" t="s">
        <v>154</v>
      </c>
      <c r="D17" s="79" t="s">
        <v>153</v>
      </c>
      <c r="E17" s="79" t="s">
        <v>152</v>
      </c>
      <c r="F17" s="78">
        <v>4120</v>
      </c>
      <c r="G17" s="77">
        <v>0</v>
      </c>
      <c r="H17" s="77">
        <f t="shared" si="0"/>
        <v>4120</v>
      </c>
    </row>
    <row r="18" spans="1:8" x14ac:dyDescent="0.25">
      <c r="G18" s="74"/>
    </row>
    <row r="19" spans="1:8" ht="26.25" x14ac:dyDescent="0.4">
      <c r="A19" s="76" t="s">
        <v>10</v>
      </c>
      <c r="B19" s="75">
        <f>SUM(tbMÓVEIS[VALOR FINAL])</f>
        <v>15025.05</v>
      </c>
      <c r="C19" s="74"/>
      <c r="D19" s="73"/>
    </row>
  </sheetData>
  <conditionalFormatting sqref="A2:H17">
    <cfRule type="expression" dxfId="11" priority="1" stopIfTrue="1">
      <formula>$E2="NÃO"</formula>
    </cfRule>
    <cfRule type="expression" dxfId="10" priority="2">
      <formula>$E2&lt;&gt;"NÃO"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RECEITAS</vt:lpstr>
      <vt:lpstr>DESPESAS</vt:lpstr>
      <vt:lpstr>BOM</vt:lpstr>
      <vt:lpstr>VENDAS</vt:lpstr>
      <vt:lpstr>VENDAS KG</vt:lpstr>
      <vt:lpstr>DESPESAS NF</vt:lpstr>
      <vt:lpstr>CONTAGEM</vt:lpstr>
      <vt:lpstr>PEDIDOS</vt:lpstr>
      <vt:lpstr>PARCELAMENTOS</vt:lpstr>
      <vt:lpstr>BELARA</vt:lpstr>
      <vt:lpstr>MONTADORES</vt:lpstr>
      <vt:lpstr>ORÇAMENTOS MOBÍLIA</vt:lpstr>
      <vt:lpstr>LISTACÉDULASMOEDAS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2017-06-25T21:23:55Z</dcterms:created>
  <dcterms:modified xsi:type="dcterms:W3CDTF">2017-07-28T23:47:33Z</dcterms:modified>
</cp:coreProperties>
</file>