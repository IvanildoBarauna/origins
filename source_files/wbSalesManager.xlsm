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4343a284c5e40de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wb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xr:revisionPtr revIDLastSave="0" documentId="10_ncr:100000_{7C7C93B8-B4C3-44C4-9508-2E09C305B471}" xr6:coauthVersionLast="31" xr6:coauthVersionMax="36" xr10:uidLastSave="{00000000-0000-0000-0000-000000000000}"/>
  <bookViews>
    <workbookView xWindow="0" yWindow="15000" windowWidth="20490" windowHeight="8355" tabRatio="794" xr2:uid="{00000000-000D-0000-FFFF-FFFF00000000}"/>
  </bookViews>
  <sheets>
    <sheet name="Lançamentos" sheetId="1" r:id="rId1"/>
    <sheet name="Pedidos" sheetId="4" r:id="rId2"/>
    <sheet name="Tabela_Cartões" sheetId="26" state="hidden" r:id="rId3"/>
    <sheet name="Comparativo" sheetId="31" state="hidden" r:id="rId4"/>
    <sheet name="PedidosPicolé" sheetId="30" state="hidden" r:id="rId5"/>
    <sheet name="LançamentosPicolé" sheetId="29" state="hidden" r:id="rId6"/>
    <sheet name="Dimensões Apoio" sheetId="24" state="hidden" r:id="rId7"/>
    <sheet name="Contagem" sheetId="32" r:id="rId8"/>
    <sheet name="Fechamentos" sheetId="33" r:id="rId9"/>
    <sheet name="ContagemAux" sheetId="34" state="hidden" r:id="rId10"/>
  </sheets>
  <functionGroups builtInGroupCount="19"/>
  <definedNames>
    <definedName name="Cartao">Contagem!$C$6</definedName>
    <definedName name="dPagamentos">'Dimensões Apoio'!$E$4:$F$6</definedName>
    <definedName name="Imports">ContagemAux!$A$2:$A$12</definedName>
    <definedName name="nDESC">OFFSET('Dimensões Apoio'!#REF!,1,0,COUNTA('Dimensões Apoio'!$C:$C)-1,1)</definedName>
    <definedName name="nDESC2">OFFSET('Dimensões Apoio'!#REF!,1,0,COUNTA('Dimensões Apoio'!$C:$C)-2,1)</definedName>
    <definedName name="nLancs">OFFSET('Dimensões Apoio'!#REF!,1,0,COUNTA('Dimensões Apoio'!$A:$A)-1,1)</definedName>
    <definedName name="nPGTO">OFFSET('Dimensões Apoio'!#REF!,1,0,COUNTA('Dimensões Apoio'!$B:$B)-1,1)</definedName>
    <definedName name="Total">Contagem!$C$4</definedName>
    <definedName name="TotalCédula">Contagem!$C$3</definedName>
    <definedName name="TotalMoeda">Contagem!$C$2</definedName>
    <definedName name="Troco">Contagem!$C$5</definedName>
    <definedName name="Type">Contagem!$C$1</definedName>
    <definedName name="Venda">Contagem!$C$7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4" l="1"/>
  <c r="A441" i="1"/>
  <c r="K441" i="1"/>
  <c r="L441" i="1" s="1"/>
  <c r="P441" i="1" s="1"/>
  <c r="M441" i="1"/>
  <c r="N441" i="1"/>
  <c r="A440" i="1"/>
  <c r="K440" i="1"/>
  <c r="L440" i="1" s="1"/>
  <c r="M440" i="1"/>
  <c r="N440" i="1"/>
  <c r="O440" i="1" l="1"/>
  <c r="T441" i="1"/>
  <c r="U441" i="1" s="1"/>
  <c r="R441" i="1"/>
  <c r="O441" i="1"/>
  <c r="Q441" i="1"/>
  <c r="P440" i="1"/>
  <c r="E30" i="33"/>
  <c r="A439" i="1"/>
  <c r="K439" i="1"/>
  <c r="L439" i="1" s="1"/>
  <c r="M439" i="1"/>
  <c r="N439" i="1"/>
  <c r="A438" i="1"/>
  <c r="K438" i="1"/>
  <c r="L438" i="1" s="1"/>
  <c r="M438" i="1"/>
  <c r="N438" i="1"/>
  <c r="S441" i="1" l="1"/>
  <c r="V441" i="1"/>
  <c r="W441" i="1" s="1"/>
  <c r="O439" i="1"/>
  <c r="R440" i="1"/>
  <c r="T440" i="1"/>
  <c r="U440" i="1" s="1"/>
  <c r="Q440" i="1"/>
  <c r="O438" i="1"/>
  <c r="P439" i="1"/>
  <c r="T439" i="1" s="1"/>
  <c r="U439" i="1" s="1"/>
  <c r="P438" i="1"/>
  <c r="E29" i="33"/>
  <c r="E28" i="33"/>
  <c r="A437" i="1"/>
  <c r="K437" i="1"/>
  <c r="L437" i="1" s="1"/>
  <c r="M437" i="1"/>
  <c r="N437" i="1"/>
  <c r="A436" i="1"/>
  <c r="K436" i="1"/>
  <c r="L436" i="1" s="1"/>
  <c r="M436" i="1"/>
  <c r="N436" i="1"/>
  <c r="A435" i="1"/>
  <c r="K435" i="1"/>
  <c r="L435" i="1" s="1"/>
  <c r="M435" i="1"/>
  <c r="N435" i="1"/>
  <c r="O437" i="1" l="1"/>
  <c r="S440" i="1"/>
  <c r="V440" i="1"/>
  <c r="W440" i="1" s="1"/>
  <c r="R439" i="1"/>
  <c r="Q439" i="1"/>
  <c r="R438" i="1"/>
  <c r="T438" i="1"/>
  <c r="U438" i="1" s="1"/>
  <c r="Q438" i="1"/>
  <c r="P437" i="1"/>
  <c r="O435" i="1"/>
  <c r="O436" i="1"/>
  <c r="P436" i="1"/>
  <c r="P435" i="1"/>
  <c r="A434" i="1"/>
  <c r="K434" i="1"/>
  <c r="L434" i="1" s="1"/>
  <c r="M434" i="1"/>
  <c r="N434" i="1"/>
  <c r="A433" i="1"/>
  <c r="K433" i="1"/>
  <c r="L433" i="1" s="1"/>
  <c r="M433" i="1"/>
  <c r="N433" i="1"/>
  <c r="S439" i="1" l="1"/>
  <c r="V439" i="1"/>
  <c r="W439" i="1" s="1"/>
  <c r="S438" i="1"/>
  <c r="V438" i="1"/>
  <c r="W438" i="1" s="1"/>
  <c r="R437" i="1"/>
  <c r="T437" i="1"/>
  <c r="U437" i="1" s="1"/>
  <c r="Q437" i="1"/>
  <c r="R436" i="1"/>
  <c r="Q436" i="1"/>
  <c r="T436" i="1"/>
  <c r="U436" i="1" s="1"/>
  <c r="R435" i="1"/>
  <c r="T435" i="1"/>
  <c r="U435" i="1" s="1"/>
  <c r="Q435" i="1"/>
  <c r="O433" i="1"/>
  <c r="O434" i="1"/>
  <c r="P434" i="1"/>
  <c r="P433" i="1"/>
  <c r="Q433" i="1" s="1"/>
  <c r="C30" i="4"/>
  <c r="B30" i="4"/>
  <c r="A432" i="1"/>
  <c r="E27" i="33"/>
  <c r="E25" i="33"/>
  <c r="Q444" i="1"/>
  <c r="K432" i="1"/>
  <c r="L432" i="1" s="1"/>
  <c r="M432" i="1"/>
  <c r="N432" i="1"/>
  <c r="A431" i="1"/>
  <c r="K431" i="1"/>
  <c r="L431" i="1" s="1"/>
  <c r="M431" i="1"/>
  <c r="N431" i="1"/>
  <c r="A430" i="1"/>
  <c r="K430" i="1"/>
  <c r="L430" i="1" s="1"/>
  <c r="M430" i="1"/>
  <c r="N430" i="1"/>
  <c r="S437" i="1" l="1"/>
  <c r="V437" i="1"/>
  <c r="W437" i="1" s="1"/>
  <c r="S436" i="1"/>
  <c r="V436" i="1"/>
  <c r="W436" i="1" s="1"/>
  <c r="S435" i="1"/>
  <c r="V435" i="1"/>
  <c r="W435" i="1" s="1"/>
  <c r="R434" i="1"/>
  <c r="T434" i="1"/>
  <c r="U434" i="1" s="1"/>
  <c r="Q434" i="1"/>
  <c r="S433" i="1"/>
  <c r="V433" i="1"/>
  <c r="W433" i="1" s="1"/>
  <c r="R433" i="1"/>
  <c r="T433" i="1"/>
  <c r="U433" i="1" s="1"/>
  <c r="O432" i="1"/>
  <c r="E26" i="33"/>
  <c r="P432" i="1"/>
  <c r="Q432" i="1" s="1"/>
  <c r="O431" i="1"/>
  <c r="P431" i="1"/>
  <c r="Q431" i="1" s="1"/>
  <c r="O430" i="1"/>
  <c r="P430" i="1"/>
  <c r="A429" i="1"/>
  <c r="K429" i="1"/>
  <c r="L429" i="1" s="1"/>
  <c r="M429" i="1"/>
  <c r="N429" i="1"/>
  <c r="S434" i="1" l="1"/>
  <c r="V434" i="1"/>
  <c r="W434" i="1" s="1"/>
  <c r="R432" i="1"/>
  <c r="T432" i="1"/>
  <c r="U432" i="1" s="1"/>
  <c r="S432" i="1"/>
  <c r="V432" i="1"/>
  <c r="W432" i="1" s="1"/>
  <c r="O429" i="1"/>
  <c r="S431" i="1"/>
  <c r="V431" i="1"/>
  <c r="W431" i="1" s="1"/>
  <c r="R431" i="1"/>
  <c r="T431" i="1"/>
  <c r="U431" i="1" s="1"/>
  <c r="R430" i="1"/>
  <c r="T430" i="1"/>
  <c r="U430" i="1" s="1"/>
  <c r="Q430" i="1"/>
  <c r="P429" i="1"/>
  <c r="H442" i="1"/>
  <c r="S430" i="1" l="1"/>
  <c r="V430" i="1"/>
  <c r="W430" i="1" s="1"/>
  <c r="R429" i="1"/>
  <c r="R442" i="1" s="1"/>
  <c r="T429" i="1"/>
  <c r="U429" i="1" s="1"/>
  <c r="U442" i="1" s="1"/>
  <c r="Q429" i="1"/>
  <c r="A428" i="1"/>
  <c r="K428" i="1"/>
  <c r="L428" i="1"/>
  <c r="M428" i="1"/>
  <c r="N428" i="1"/>
  <c r="A427" i="1"/>
  <c r="K427" i="1"/>
  <c r="L427" i="1" s="1"/>
  <c r="M427" i="1"/>
  <c r="N427" i="1"/>
  <c r="A426" i="1"/>
  <c r="K426" i="1"/>
  <c r="L426" i="1" s="1"/>
  <c r="M426" i="1"/>
  <c r="N426" i="1"/>
  <c r="A425" i="1"/>
  <c r="K425" i="1"/>
  <c r="L425" i="1" s="1"/>
  <c r="M425" i="1"/>
  <c r="N425" i="1"/>
  <c r="S429" i="1" l="1"/>
  <c r="S442" i="1" s="1"/>
  <c r="V429" i="1"/>
  <c r="W429" i="1" s="1"/>
  <c r="W442" i="1" s="1"/>
  <c r="O428" i="1"/>
  <c r="P428" i="1"/>
  <c r="O427" i="1"/>
  <c r="P427" i="1"/>
  <c r="Q427" i="1" s="1"/>
  <c r="O425" i="1"/>
  <c r="O426" i="1"/>
  <c r="P426" i="1"/>
  <c r="P425" i="1"/>
  <c r="E24" i="33"/>
  <c r="A424" i="1"/>
  <c r="K424" i="1"/>
  <c r="L424" i="1" s="1"/>
  <c r="M424" i="1"/>
  <c r="N424" i="1"/>
  <c r="R428" i="1" l="1"/>
  <c r="T428" i="1"/>
  <c r="U428" i="1" s="1"/>
  <c r="Q428" i="1"/>
  <c r="S427" i="1"/>
  <c r="V427" i="1"/>
  <c r="W427" i="1" s="1"/>
  <c r="R427" i="1"/>
  <c r="T427" i="1"/>
  <c r="U427" i="1" s="1"/>
  <c r="R426" i="1"/>
  <c r="T426" i="1"/>
  <c r="U426" i="1" s="1"/>
  <c r="Q426" i="1"/>
  <c r="R425" i="1"/>
  <c r="T425" i="1"/>
  <c r="U425" i="1" s="1"/>
  <c r="Q425" i="1"/>
  <c r="O424" i="1"/>
  <c r="P424" i="1"/>
  <c r="E23" i="33"/>
  <c r="A423" i="1"/>
  <c r="K423" i="1"/>
  <c r="L423" i="1" s="1"/>
  <c r="M423" i="1"/>
  <c r="N423" i="1"/>
  <c r="A422" i="1"/>
  <c r="K422" i="1"/>
  <c r="L422" i="1" s="1"/>
  <c r="M422" i="1"/>
  <c r="N422" i="1"/>
  <c r="A421" i="1"/>
  <c r="K421" i="1"/>
  <c r="L421" i="1" s="1"/>
  <c r="M421" i="1"/>
  <c r="N421" i="1"/>
  <c r="S428" i="1" l="1"/>
  <c r="V428" i="1"/>
  <c r="W428" i="1" s="1"/>
  <c r="V426" i="1"/>
  <c r="W426" i="1" s="1"/>
  <c r="S426" i="1"/>
  <c r="S425" i="1"/>
  <c r="V425" i="1"/>
  <c r="W425" i="1" s="1"/>
  <c r="R424" i="1"/>
  <c r="T424" i="1"/>
  <c r="U424" i="1" s="1"/>
  <c r="Q424" i="1"/>
  <c r="O422" i="1"/>
  <c r="O423" i="1"/>
  <c r="P423" i="1"/>
  <c r="P422" i="1"/>
  <c r="O421" i="1"/>
  <c r="P421" i="1"/>
  <c r="Q421" i="1" s="1"/>
  <c r="S424" i="1" l="1"/>
  <c r="V424" i="1"/>
  <c r="W424" i="1" s="1"/>
  <c r="R423" i="1"/>
  <c r="Q423" i="1"/>
  <c r="T423" i="1"/>
  <c r="U423" i="1" s="1"/>
  <c r="R422" i="1"/>
  <c r="T422" i="1"/>
  <c r="U422" i="1" s="1"/>
  <c r="Q422" i="1"/>
  <c r="S421" i="1"/>
  <c r="V421" i="1"/>
  <c r="W421" i="1" s="1"/>
  <c r="R421" i="1"/>
  <c r="T421" i="1"/>
  <c r="U421" i="1" s="1"/>
  <c r="E22" i="33"/>
  <c r="A420" i="1"/>
  <c r="K420" i="1"/>
  <c r="L420" i="1" s="1"/>
  <c r="M420" i="1"/>
  <c r="N420" i="1"/>
  <c r="A419" i="1"/>
  <c r="K419" i="1"/>
  <c r="L419" i="1" s="1"/>
  <c r="M419" i="1"/>
  <c r="N419" i="1"/>
  <c r="A359" i="1"/>
  <c r="K359" i="1"/>
  <c r="L359" i="1" s="1"/>
  <c r="M359" i="1"/>
  <c r="N359" i="1"/>
  <c r="P359" i="1"/>
  <c r="R359" i="1" s="1"/>
  <c r="T359" i="1"/>
  <c r="U359" i="1" s="1"/>
  <c r="V359" i="1"/>
  <c r="W359" i="1" s="1"/>
  <c r="S423" i="1" l="1"/>
  <c r="V423" i="1"/>
  <c r="W423" i="1" s="1"/>
  <c r="S422" i="1"/>
  <c r="V422" i="1"/>
  <c r="W422" i="1" s="1"/>
  <c r="O419" i="1"/>
  <c r="O420" i="1"/>
  <c r="P420" i="1"/>
  <c r="P419" i="1"/>
  <c r="O359" i="1"/>
  <c r="Q359" i="1"/>
  <c r="S359" i="1" s="1"/>
  <c r="E21" i="33"/>
  <c r="A418" i="1"/>
  <c r="K418" i="1"/>
  <c r="L418" i="1" s="1"/>
  <c r="M418" i="1"/>
  <c r="N418" i="1"/>
  <c r="A417" i="1"/>
  <c r="K417" i="1"/>
  <c r="L417" i="1" s="1"/>
  <c r="M417" i="1"/>
  <c r="N417" i="1"/>
  <c r="A416" i="1"/>
  <c r="K416" i="1"/>
  <c r="L416" i="1" s="1"/>
  <c r="M416" i="1"/>
  <c r="N416" i="1"/>
  <c r="A415" i="1"/>
  <c r="K415" i="1"/>
  <c r="L415" i="1" s="1"/>
  <c r="M415" i="1"/>
  <c r="N415" i="1"/>
  <c r="R420" i="1" l="1"/>
  <c r="T420" i="1"/>
  <c r="U420" i="1" s="1"/>
  <c r="Q420" i="1"/>
  <c r="R419" i="1"/>
  <c r="T419" i="1"/>
  <c r="U419" i="1" s="1"/>
  <c r="Q419" i="1"/>
  <c r="O417" i="1"/>
  <c r="O418" i="1"/>
  <c r="P418" i="1"/>
  <c r="O416" i="1"/>
  <c r="P417" i="1"/>
  <c r="Q417" i="1" s="1"/>
  <c r="O415" i="1"/>
  <c r="P416" i="1"/>
  <c r="P415" i="1"/>
  <c r="Q415" i="1" s="1"/>
  <c r="E20" i="33"/>
  <c r="A414" i="1"/>
  <c r="K414" i="1"/>
  <c r="L414" i="1" s="1"/>
  <c r="M414" i="1"/>
  <c r="N414" i="1"/>
  <c r="A413" i="1"/>
  <c r="K413" i="1"/>
  <c r="L413" i="1" s="1"/>
  <c r="M413" i="1"/>
  <c r="N413" i="1"/>
  <c r="A412" i="1"/>
  <c r="K412" i="1"/>
  <c r="L412" i="1" s="1"/>
  <c r="M412" i="1"/>
  <c r="N412" i="1"/>
  <c r="A411" i="1"/>
  <c r="K411" i="1"/>
  <c r="L411" i="1" s="1"/>
  <c r="M411" i="1"/>
  <c r="N411" i="1"/>
  <c r="S420" i="1" l="1"/>
  <c r="V420" i="1"/>
  <c r="W420" i="1" s="1"/>
  <c r="S419" i="1"/>
  <c r="V419" i="1"/>
  <c r="W419" i="1" s="1"/>
  <c r="R418" i="1"/>
  <c r="Q418" i="1"/>
  <c r="T418" i="1"/>
  <c r="U418" i="1" s="1"/>
  <c r="S417" i="1"/>
  <c r="V417" i="1"/>
  <c r="W417" i="1" s="1"/>
  <c r="R417" i="1"/>
  <c r="T417" i="1"/>
  <c r="U417" i="1" s="1"/>
  <c r="R416" i="1"/>
  <c r="T416" i="1"/>
  <c r="U416" i="1" s="1"/>
  <c r="Q416" i="1"/>
  <c r="S415" i="1"/>
  <c r="V415" i="1"/>
  <c r="W415" i="1" s="1"/>
  <c r="R415" i="1"/>
  <c r="T415" i="1"/>
  <c r="U415" i="1" s="1"/>
  <c r="O412" i="1"/>
  <c r="O414" i="1"/>
  <c r="P414" i="1"/>
  <c r="O413" i="1"/>
  <c r="P413" i="1"/>
  <c r="Q413" i="1" s="1"/>
  <c r="P412" i="1"/>
  <c r="O411" i="1"/>
  <c r="P411" i="1"/>
  <c r="A389" i="1"/>
  <c r="K389" i="1"/>
  <c r="L389" i="1" s="1"/>
  <c r="M389" i="1"/>
  <c r="N389" i="1"/>
  <c r="P389" i="1"/>
  <c r="R389" i="1" s="1"/>
  <c r="T389" i="1"/>
  <c r="U389" i="1" s="1"/>
  <c r="V389" i="1"/>
  <c r="W389" i="1" s="1"/>
  <c r="A388" i="1"/>
  <c r="K388" i="1"/>
  <c r="L388" i="1" s="1"/>
  <c r="M388" i="1"/>
  <c r="N388" i="1"/>
  <c r="P388" i="1"/>
  <c r="R388" i="1" s="1"/>
  <c r="T388" i="1"/>
  <c r="U388" i="1" s="1"/>
  <c r="V388" i="1"/>
  <c r="W388" i="1" s="1"/>
  <c r="E19" i="33"/>
  <c r="S418" i="1" l="1"/>
  <c r="V418" i="1"/>
  <c r="W418" i="1" s="1"/>
  <c r="S416" i="1"/>
  <c r="V416" i="1"/>
  <c r="W416" i="1" s="1"/>
  <c r="R414" i="1"/>
  <c r="T414" i="1"/>
  <c r="U414" i="1" s="1"/>
  <c r="Q414" i="1"/>
  <c r="T413" i="1"/>
  <c r="U413" i="1" s="1"/>
  <c r="R413" i="1"/>
  <c r="S413" i="1"/>
  <c r="V413" i="1"/>
  <c r="W413" i="1" s="1"/>
  <c r="O389" i="1"/>
  <c r="R412" i="1"/>
  <c r="T412" i="1"/>
  <c r="U412" i="1" s="1"/>
  <c r="Q412" i="1"/>
  <c r="Q389" i="1"/>
  <c r="S389" i="1" s="1"/>
  <c r="R411" i="1"/>
  <c r="T411" i="1"/>
  <c r="U411" i="1" s="1"/>
  <c r="Q411" i="1"/>
  <c r="O388" i="1"/>
  <c r="Q388" i="1"/>
  <c r="S388" i="1" s="1"/>
  <c r="A410" i="1"/>
  <c r="K410" i="1"/>
  <c r="L410" i="1" s="1"/>
  <c r="M410" i="1"/>
  <c r="N410" i="1"/>
  <c r="S414" i="1" l="1"/>
  <c r="V414" i="1"/>
  <c r="W414" i="1" s="1"/>
  <c r="S412" i="1"/>
  <c r="V412" i="1"/>
  <c r="W412" i="1" s="1"/>
  <c r="S411" i="1"/>
  <c r="V411" i="1"/>
  <c r="W411" i="1" s="1"/>
  <c r="O410" i="1"/>
  <c r="P410" i="1"/>
  <c r="Q410" i="1" s="1"/>
  <c r="E18" i="33"/>
  <c r="A409" i="1"/>
  <c r="K409" i="1"/>
  <c r="L409" i="1" s="1"/>
  <c r="M409" i="1"/>
  <c r="N409" i="1"/>
  <c r="A408" i="1"/>
  <c r="K408" i="1"/>
  <c r="L408" i="1" s="1"/>
  <c r="M408" i="1"/>
  <c r="N408" i="1"/>
  <c r="O409" i="1" l="1"/>
  <c r="V410" i="1"/>
  <c r="W410" i="1" s="1"/>
  <c r="S410" i="1"/>
  <c r="R410" i="1"/>
  <c r="T410" i="1"/>
  <c r="U410" i="1" s="1"/>
  <c r="P409" i="1"/>
  <c r="O408" i="1"/>
  <c r="P408" i="1"/>
  <c r="E17" i="33"/>
  <c r="A407" i="1"/>
  <c r="K407" i="1"/>
  <c r="L407" i="1" s="1"/>
  <c r="M407" i="1"/>
  <c r="N407" i="1"/>
  <c r="R409" i="1" l="1"/>
  <c r="Q409" i="1"/>
  <c r="T409" i="1"/>
  <c r="U409" i="1" s="1"/>
  <c r="O407" i="1"/>
  <c r="R408" i="1"/>
  <c r="T408" i="1"/>
  <c r="U408" i="1" s="1"/>
  <c r="Q408" i="1"/>
  <c r="P407" i="1"/>
  <c r="E16" i="33"/>
  <c r="A406" i="1"/>
  <c r="K406" i="1"/>
  <c r="L406" i="1" s="1"/>
  <c r="M406" i="1"/>
  <c r="N406" i="1"/>
  <c r="A405" i="1"/>
  <c r="K405" i="1"/>
  <c r="L405" i="1" s="1"/>
  <c r="M405" i="1"/>
  <c r="N405" i="1"/>
  <c r="A404" i="1"/>
  <c r="K404" i="1"/>
  <c r="L404" i="1" s="1"/>
  <c r="M404" i="1"/>
  <c r="N404" i="1"/>
  <c r="A403" i="1"/>
  <c r="K403" i="1"/>
  <c r="L403" i="1" s="1"/>
  <c r="M403" i="1"/>
  <c r="N403" i="1"/>
  <c r="S409" i="1" l="1"/>
  <c r="V409" i="1"/>
  <c r="W409" i="1" s="1"/>
  <c r="S408" i="1"/>
  <c r="V408" i="1"/>
  <c r="W408" i="1" s="1"/>
  <c r="R407" i="1"/>
  <c r="T407" i="1"/>
  <c r="U407" i="1" s="1"/>
  <c r="Q407" i="1"/>
  <c r="O406" i="1"/>
  <c r="P406" i="1"/>
  <c r="O405" i="1"/>
  <c r="O404" i="1"/>
  <c r="P405" i="1"/>
  <c r="O403" i="1"/>
  <c r="P404" i="1"/>
  <c r="P403" i="1"/>
  <c r="G442" i="1"/>
  <c r="E15" i="33"/>
  <c r="A402" i="1"/>
  <c r="K402" i="1"/>
  <c r="L402" i="1" s="1"/>
  <c r="M402" i="1"/>
  <c r="N402" i="1"/>
  <c r="S407" i="1" l="1"/>
  <c r="V407" i="1"/>
  <c r="W407" i="1" s="1"/>
  <c r="R406" i="1"/>
  <c r="Q406" i="1"/>
  <c r="T406" i="1"/>
  <c r="U406" i="1" s="1"/>
  <c r="R405" i="1"/>
  <c r="T405" i="1"/>
  <c r="U405" i="1" s="1"/>
  <c r="Q405" i="1"/>
  <c r="R404" i="1"/>
  <c r="T404" i="1"/>
  <c r="U404" i="1" s="1"/>
  <c r="Q404" i="1"/>
  <c r="O402" i="1"/>
  <c r="T403" i="1"/>
  <c r="U403" i="1" s="1"/>
  <c r="Q403" i="1"/>
  <c r="R403" i="1"/>
  <c r="P402" i="1"/>
  <c r="Q402" i="1" s="1"/>
  <c r="E14" i="33"/>
  <c r="A401" i="1"/>
  <c r="K401" i="1"/>
  <c r="L401" i="1" s="1"/>
  <c r="P401" i="1" s="1"/>
  <c r="R401" i="1" s="1"/>
  <c r="M401" i="1"/>
  <c r="N401" i="1"/>
  <c r="A400" i="1"/>
  <c r="K400" i="1"/>
  <c r="L400" i="1" s="1"/>
  <c r="M400" i="1"/>
  <c r="N400" i="1"/>
  <c r="A399" i="1"/>
  <c r="K399" i="1"/>
  <c r="L399" i="1" s="1"/>
  <c r="M399" i="1"/>
  <c r="N399" i="1"/>
  <c r="A398" i="1"/>
  <c r="K398" i="1"/>
  <c r="L398" i="1" s="1"/>
  <c r="P398" i="1" s="1"/>
  <c r="M398" i="1"/>
  <c r="N398" i="1"/>
  <c r="A397" i="1"/>
  <c r="K397" i="1"/>
  <c r="L397" i="1" s="1"/>
  <c r="P397" i="1" s="1"/>
  <c r="M397" i="1"/>
  <c r="N397" i="1"/>
  <c r="A396" i="1"/>
  <c r="K396" i="1"/>
  <c r="L396" i="1" s="1"/>
  <c r="M396" i="1"/>
  <c r="N396" i="1"/>
  <c r="A395" i="1"/>
  <c r="K395" i="1"/>
  <c r="L395" i="1" s="1"/>
  <c r="M395" i="1"/>
  <c r="N395" i="1"/>
  <c r="S406" i="1" l="1"/>
  <c r="V406" i="1"/>
  <c r="W406" i="1" s="1"/>
  <c r="S405" i="1"/>
  <c r="V405" i="1"/>
  <c r="W405" i="1" s="1"/>
  <c r="S404" i="1"/>
  <c r="V404" i="1"/>
  <c r="W404" i="1" s="1"/>
  <c r="S403" i="1"/>
  <c r="V403" i="1"/>
  <c r="W403" i="1" s="1"/>
  <c r="S402" i="1"/>
  <c r="V402" i="1"/>
  <c r="W402" i="1" s="1"/>
  <c r="R402" i="1"/>
  <c r="T402" i="1"/>
  <c r="U402" i="1" s="1"/>
  <c r="O400" i="1"/>
  <c r="O395" i="1"/>
  <c r="Q401" i="1"/>
  <c r="T401" i="1"/>
  <c r="O401" i="1"/>
  <c r="O399" i="1"/>
  <c r="P400" i="1"/>
  <c r="P399" i="1"/>
  <c r="R398" i="1"/>
  <c r="T398" i="1"/>
  <c r="Q398" i="1"/>
  <c r="O398" i="1"/>
  <c r="O396" i="1"/>
  <c r="R397" i="1"/>
  <c r="T397" i="1"/>
  <c r="Q397" i="1"/>
  <c r="O397" i="1"/>
  <c r="P396" i="1"/>
  <c r="Q396" i="1" s="1"/>
  <c r="P395" i="1"/>
  <c r="D28" i="4"/>
  <c r="E13" i="33"/>
  <c r="A394" i="1"/>
  <c r="K394" i="1"/>
  <c r="L394" i="1" s="1"/>
  <c r="M394" i="1"/>
  <c r="N394" i="1"/>
  <c r="A393" i="1"/>
  <c r="K393" i="1"/>
  <c r="L393" i="1" s="1"/>
  <c r="M393" i="1"/>
  <c r="N393" i="1"/>
  <c r="A392" i="1"/>
  <c r="K392" i="1"/>
  <c r="L392" i="1" s="1"/>
  <c r="M392" i="1"/>
  <c r="N392" i="1"/>
  <c r="A391" i="1"/>
  <c r="K391" i="1"/>
  <c r="L391" i="1" s="1"/>
  <c r="M391" i="1"/>
  <c r="N391" i="1"/>
  <c r="A390" i="1"/>
  <c r="K390" i="1"/>
  <c r="L390" i="1" s="1"/>
  <c r="M390" i="1"/>
  <c r="N390" i="1"/>
  <c r="U401" i="1" l="1"/>
  <c r="U397" i="1"/>
  <c r="U398" i="1"/>
  <c r="S401" i="1"/>
  <c r="V401" i="1"/>
  <c r="W401" i="1" s="1"/>
  <c r="R400" i="1"/>
  <c r="T400" i="1"/>
  <c r="Q400" i="1"/>
  <c r="T399" i="1"/>
  <c r="R399" i="1"/>
  <c r="Q399" i="1"/>
  <c r="S398" i="1"/>
  <c r="V398" i="1"/>
  <c r="W398" i="1" s="1"/>
  <c r="S397" i="1"/>
  <c r="V397" i="1"/>
  <c r="W397" i="1" s="1"/>
  <c r="S396" i="1"/>
  <c r="V396" i="1"/>
  <c r="W396" i="1" s="1"/>
  <c r="R396" i="1"/>
  <c r="T396" i="1"/>
  <c r="R395" i="1"/>
  <c r="T395" i="1"/>
  <c r="Q395" i="1"/>
  <c r="O393" i="1"/>
  <c r="O394" i="1"/>
  <c r="P394" i="1"/>
  <c r="P393" i="1"/>
  <c r="O392" i="1"/>
  <c r="O391" i="1"/>
  <c r="P392" i="1"/>
  <c r="P391" i="1"/>
  <c r="O390" i="1"/>
  <c r="P390" i="1"/>
  <c r="E12" i="33"/>
  <c r="A387" i="1"/>
  <c r="K387" i="1"/>
  <c r="L387" i="1" s="1"/>
  <c r="M387" i="1"/>
  <c r="N387" i="1"/>
  <c r="A386" i="1"/>
  <c r="K386" i="1"/>
  <c r="L386" i="1" s="1"/>
  <c r="M386" i="1"/>
  <c r="N386" i="1"/>
  <c r="A385" i="1"/>
  <c r="K385" i="1"/>
  <c r="L385" i="1" s="1"/>
  <c r="M385" i="1"/>
  <c r="N385" i="1"/>
  <c r="A384" i="1"/>
  <c r="K384" i="1"/>
  <c r="L384" i="1" s="1"/>
  <c r="M384" i="1"/>
  <c r="N384" i="1"/>
  <c r="U395" i="1" l="1"/>
  <c r="U399" i="1"/>
  <c r="U396" i="1"/>
  <c r="U400" i="1"/>
  <c r="S400" i="1"/>
  <c r="V400" i="1"/>
  <c r="W400" i="1" s="1"/>
  <c r="S399" i="1"/>
  <c r="V399" i="1"/>
  <c r="W399" i="1" s="1"/>
  <c r="S395" i="1"/>
  <c r="V395" i="1"/>
  <c r="W395" i="1" s="1"/>
  <c r="R394" i="1"/>
  <c r="T394" i="1"/>
  <c r="Q394" i="1"/>
  <c r="R393" i="1"/>
  <c r="T393" i="1"/>
  <c r="Q393" i="1"/>
  <c r="R392" i="1"/>
  <c r="T392" i="1"/>
  <c r="Q392" i="1"/>
  <c r="R391" i="1"/>
  <c r="T391" i="1"/>
  <c r="Q391" i="1"/>
  <c r="R390" i="1"/>
  <c r="T390" i="1"/>
  <c r="Q390" i="1"/>
  <c r="O386" i="1"/>
  <c r="O387" i="1"/>
  <c r="P387" i="1"/>
  <c r="O385" i="1"/>
  <c r="P386" i="1"/>
  <c r="Q386" i="1" s="1"/>
  <c r="P385" i="1"/>
  <c r="O384" i="1"/>
  <c r="P384" i="1"/>
  <c r="E11" i="33"/>
  <c r="A383" i="1"/>
  <c r="K383" i="1"/>
  <c r="L383" i="1" s="1"/>
  <c r="M383" i="1"/>
  <c r="N383" i="1"/>
  <c r="A382" i="1"/>
  <c r="K382" i="1"/>
  <c r="L382" i="1" s="1"/>
  <c r="M382" i="1"/>
  <c r="N382" i="1"/>
  <c r="U390" i="1" l="1"/>
  <c r="U394" i="1"/>
  <c r="U393" i="1"/>
  <c r="U392" i="1"/>
  <c r="U391" i="1"/>
  <c r="S394" i="1"/>
  <c r="V394" i="1"/>
  <c r="W394" i="1" s="1"/>
  <c r="S393" i="1"/>
  <c r="V393" i="1"/>
  <c r="W393" i="1" s="1"/>
  <c r="S392" i="1"/>
  <c r="V392" i="1"/>
  <c r="W392" i="1" s="1"/>
  <c r="S391" i="1"/>
  <c r="V391" i="1"/>
  <c r="W391" i="1" s="1"/>
  <c r="S390" i="1"/>
  <c r="V390" i="1"/>
  <c r="W390" i="1" s="1"/>
  <c r="R387" i="1"/>
  <c r="Q387" i="1"/>
  <c r="T387" i="1"/>
  <c r="U387" i="1" s="1"/>
  <c r="S386" i="1"/>
  <c r="V386" i="1"/>
  <c r="W386" i="1" s="1"/>
  <c r="R386" i="1"/>
  <c r="T386" i="1"/>
  <c r="U386" i="1" s="1"/>
  <c r="R385" i="1"/>
  <c r="T385" i="1"/>
  <c r="U385" i="1" s="1"/>
  <c r="Q385" i="1"/>
  <c r="R384" i="1"/>
  <c r="T384" i="1"/>
  <c r="U384" i="1" s="1"/>
  <c r="Q384" i="1"/>
  <c r="O382" i="1"/>
  <c r="O383" i="1"/>
  <c r="P383" i="1"/>
  <c r="P382" i="1"/>
  <c r="E10" i="33"/>
  <c r="D31" i="33"/>
  <c r="A381" i="1"/>
  <c r="K381" i="1"/>
  <c r="L381" i="1" s="1"/>
  <c r="M381" i="1"/>
  <c r="N381" i="1"/>
  <c r="A380" i="1"/>
  <c r="K380" i="1"/>
  <c r="L380" i="1" s="1"/>
  <c r="M380" i="1"/>
  <c r="N380" i="1"/>
  <c r="S387" i="1" l="1"/>
  <c r="V387" i="1"/>
  <c r="W387" i="1" s="1"/>
  <c r="S385" i="1"/>
  <c r="V385" i="1"/>
  <c r="W385" i="1" s="1"/>
  <c r="S384" i="1"/>
  <c r="V384" i="1"/>
  <c r="W384" i="1" s="1"/>
  <c r="R383" i="1"/>
  <c r="T383" i="1"/>
  <c r="U383" i="1" s="1"/>
  <c r="Q383" i="1"/>
  <c r="R382" i="1"/>
  <c r="Q382" i="1"/>
  <c r="T382" i="1"/>
  <c r="U382" i="1" s="1"/>
  <c r="O380" i="1"/>
  <c r="O381" i="1"/>
  <c r="P381" i="1"/>
  <c r="P380" i="1"/>
  <c r="P442" i="1" s="1"/>
  <c r="O442" i="1"/>
  <c r="N442" i="1"/>
  <c r="M442" i="1"/>
  <c r="L442" i="1"/>
  <c r="K442" i="1"/>
  <c r="J442" i="1"/>
  <c r="E9" i="33"/>
  <c r="A379" i="1"/>
  <c r="K379" i="1"/>
  <c r="L379" i="1" s="1"/>
  <c r="M379" i="1"/>
  <c r="N379" i="1"/>
  <c r="A378" i="1"/>
  <c r="K378" i="1"/>
  <c r="L378" i="1" s="1"/>
  <c r="M378" i="1"/>
  <c r="N378" i="1"/>
  <c r="S383" i="1" l="1"/>
  <c r="V383" i="1"/>
  <c r="W383" i="1" s="1"/>
  <c r="S382" i="1"/>
  <c r="V382" i="1"/>
  <c r="W382" i="1" s="1"/>
  <c r="R381" i="1"/>
  <c r="T381" i="1"/>
  <c r="U381" i="1" s="1"/>
  <c r="Q381" i="1"/>
  <c r="R380" i="1"/>
  <c r="T380" i="1"/>
  <c r="Q380" i="1"/>
  <c r="O378" i="1"/>
  <c r="O379" i="1"/>
  <c r="P379" i="1"/>
  <c r="P378" i="1"/>
  <c r="Q378" i="1" s="1"/>
  <c r="E8" i="33"/>
  <c r="K377" i="1"/>
  <c r="L377" i="1" s="1"/>
  <c r="A377" i="1"/>
  <c r="M377" i="1"/>
  <c r="N377" i="1"/>
  <c r="A376" i="1"/>
  <c r="K376" i="1"/>
  <c r="L376" i="1" s="1"/>
  <c r="M376" i="1"/>
  <c r="N376" i="1"/>
  <c r="A375" i="1"/>
  <c r="K375" i="1"/>
  <c r="L375" i="1" s="1"/>
  <c r="M375" i="1"/>
  <c r="N375" i="1"/>
  <c r="S381" i="1" l="1"/>
  <c r="V381" i="1"/>
  <c r="W381" i="1" s="1"/>
  <c r="S380" i="1"/>
  <c r="V380" i="1"/>
  <c r="U380" i="1"/>
  <c r="T442" i="1"/>
  <c r="R379" i="1"/>
  <c r="T379" i="1"/>
  <c r="U379" i="1" s="1"/>
  <c r="Q379" i="1"/>
  <c r="S378" i="1"/>
  <c r="V378" i="1"/>
  <c r="R378" i="1"/>
  <c r="T378" i="1"/>
  <c r="U378" i="1" s="1"/>
  <c r="O377" i="1"/>
  <c r="P377" i="1"/>
  <c r="O375" i="1"/>
  <c r="O376" i="1"/>
  <c r="P376" i="1"/>
  <c r="P375" i="1"/>
  <c r="A374" i="1"/>
  <c r="K374" i="1"/>
  <c r="L374" i="1" s="1"/>
  <c r="M374" i="1"/>
  <c r="N374" i="1"/>
  <c r="A373" i="1"/>
  <c r="K373" i="1"/>
  <c r="L373" i="1" s="1"/>
  <c r="M373" i="1"/>
  <c r="N373" i="1"/>
  <c r="A372" i="1"/>
  <c r="K372" i="1"/>
  <c r="L372" i="1" s="1"/>
  <c r="M372" i="1"/>
  <c r="N372" i="1"/>
  <c r="A371" i="1"/>
  <c r="K371" i="1"/>
  <c r="L371" i="1" s="1"/>
  <c r="M371" i="1"/>
  <c r="N371" i="1"/>
  <c r="W380" i="1" l="1"/>
  <c r="V442" i="1"/>
  <c r="W378" i="1"/>
  <c r="S379" i="1"/>
  <c r="V379" i="1"/>
  <c r="W379" i="1" s="1"/>
  <c r="O374" i="1"/>
  <c r="R377" i="1"/>
  <c r="T377" i="1"/>
  <c r="U377" i="1" s="1"/>
  <c r="Q377" i="1"/>
  <c r="R376" i="1"/>
  <c r="T376" i="1"/>
  <c r="U376" i="1" s="1"/>
  <c r="Q376" i="1"/>
  <c r="R375" i="1"/>
  <c r="Q375" i="1"/>
  <c r="T375" i="1"/>
  <c r="U375" i="1" s="1"/>
  <c r="P374" i="1"/>
  <c r="O373" i="1"/>
  <c r="O372" i="1"/>
  <c r="P373" i="1"/>
  <c r="O371" i="1"/>
  <c r="P372" i="1"/>
  <c r="P371" i="1"/>
  <c r="R371" i="1" s="1"/>
  <c r="E7" i="33"/>
  <c r="A370" i="1"/>
  <c r="K370" i="1"/>
  <c r="L370" i="1" s="1"/>
  <c r="M370" i="1"/>
  <c r="N370" i="1"/>
  <c r="A369" i="1"/>
  <c r="K369" i="1"/>
  <c r="L369" i="1" s="1"/>
  <c r="M369" i="1"/>
  <c r="N369" i="1"/>
  <c r="A368" i="1"/>
  <c r="K368" i="1"/>
  <c r="L368" i="1" s="1"/>
  <c r="M368" i="1"/>
  <c r="N368" i="1"/>
  <c r="A367" i="1"/>
  <c r="K367" i="1"/>
  <c r="L367" i="1" s="1"/>
  <c r="M367" i="1"/>
  <c r="N367" i="1"/>
  <c r="S377" i="1" l="1"/>
  <c r="V377" i="1"/>
  <c r="W377" i="1" s="1"/>
  <c r="S376" i="1"/>
  <c r="V376" i="1"/>
  <c r="W376" i="1" s="1"/>
  <c r="S375" i="1"/>
  <c r="V375" i="1"/>
  <c r="W375" i="1" s="1"/>
  <c r="R374" i="1"/>
  <c r="T374" i="1"/>
  <c r="U374" i="1" s="1"/>
  <c r="Q374" i="1"/>
  <c r="R373" i="1"/>
  <c r="T373" i="1"/>
  <c r="U373" i="1" s="1"/>
  <c r="Q373" i="1"/>
  <c r="R372" i="1"/>
  <c r="T372" i="1"/>
  <c r="U372" i="1" s="1"/>
  <c r="Q372" i="1"/>
  <c r="T371" i="1"/>
  <c r="U371" i="1" s="1"/>
  <c r="Q371" i="1"/>
  <c r="O369" i="1"/>
  <c r="O370" i="1"/>
  <c r="P370" i="1"/>
  <c r="Q370" i="1" s="1"/>
  <c r="P369" i="1"/>
  <c r="O367" i="1"/>
  <c r="O368" i="1"/>
  <c r="P368" i="1"/>
  <c r="P367" i="1"/>
  <c r="S374" i="1" l="1"/>
  <c r="V374" i="1"/>
  <c r="W374" i="1" s="1"/>
  <c r="S373" i="1"/>
  <c r="V373" i="1"/>
  <c r="W373" i="1" s="1"/>
  <c r="S372" i="1"/>
  <c r="V372" i="1"/>
  <c r="W372" i="1" s="1"/>
  <c r="S371" i="1"/>
  <c r="V371" i="1"/>
  <c r="W371" i="1" s="1"/>
  <c r="S370" i="1"/>
  <c r="V370" i="1"/>
  <c r="W370" i="1" s="1"/>
  <c r="R370" i="1"/>
  <c r="T370" i="1"/>
  <c r="U370" i="1" s="1"/>
  <c r="R369" i="1"/>
  <c r="Q369" i="1"/>
  <c r="T369" i="1"/>
  <c r="U369" i="1" s="1"/>
  <c r="R368" i="1"/>
  <c r="T368" i="1"/>
  <c r="U368" i="1" s="1"/>
  <c r="Q368" i="1"/>
  <c r="R367" i="1"/>
  <c r="T367" i="1"/>
  <c r="U367" i="1" s="1"/>
  <c r="Q367" i="1"/>
  <c r="D27" i="4"/>
  <c r="E6" i="33"/>
  <c r="A366" i="1"/>
  <c r="K366" i="1"/>
  <c r="L366" i="1" s="1"/>
  <c r="M366" i="1"/>
  <c r="N366" i="1"/>
  <c r="A365" i="1"/>
  <c r="K365" i="1"/>
  <c r="L365" i="1" s="1"/>
  <c r="M365" i="1"/>
  <c r="N365" i="1"/>
  <c r="A364" i="1"/>
  <c r="K364" i="1"/>
  <c r="L364" i="1" s="1"/>
  <c r="M364" i="1"/>
  <c r="N364" i="1"/>
  <c r="A363" i="1"/>
  <c r="K363" i="1"/>
  <c r="L363" i="1" s="1"/>
  <c r="M363" i="1"/>
  <c r="N363" i="1"/>
  <c r="V369" i="1" l="1"/>
  <c r="W369" i="1" s="1"/>
  <c r="S369" i="1"/>
  <c r="S368" i="1"/>
  <c r="V368" i="1"/>
  <c r="W368" i="1" s="1"/>
  <c r="S367" i="1"/>
  <c r="V367" i="1"/>
  <c r="W367" i="1" s="1"/>
  <c r="O365" i="1"/>
  <c r="O366" i="1"/>
  <c r="P366" i="1"/>
  <c r="O364" i="1"/>
  <c r="P365" i="1"/>
  <c r="P364" i="1"/>
  <c r="O363" i="1"/>
  <c r="P363" i="1"/>
  <c r="Q363" i="1" s="1"/>
  <c r="E5" i="33"/>
  <c r="D26" i="4"/>
  <c r="D25" i="4"/>
  <c r="A362" i="1"/>
  <c r="K362" i="1"/>
  <c r="L362" i="1" s="1"/>
  <c r="M362" i="1"/>
  <c r="N362" i="1"/>
  <c r="A361" i="1"/>
  <c r="K361" i="1"/>
  <c r="L361" i="1" s="1"/>
  <c r="M361" i="1"/>
  <c r="N361" i="1"/>
  <c r="A360" i="1"/>
  <c r="K360" i="1"/>
  <c r="L360" i="1" s="1"/>
  <c r="M360" i="1"/>
  <c r="N360" i="1"/>
  <c r="R366" i="1" l="1"/>
  <c r="T366" i="1"/>
  <c r="U366" i="1" s="1"/>
  <c r="Q366" i="1"/>
  <c r="R365" i="1"/>
  <c r="T365" i="1"/>
  <c r="U365" i="1" s="1"/>
  <c r="Q365" i="1"/>
  <c r="R364" i="1"/>
  <c r="T364" i="1"/>
  <c r="U364" i="1" s="1"/>
  <c r="Q364" i="1"/>
  <c r="S363" i="1"/>
  <c r="V363" i="1"/>
  <c r="W363" i="1" s="1"/>
  <c r="R363" i="1"/>
  <c r="T363" i="1"/>
  <c r="U363" i="1" s="1"/>
  <c r="O362" i="1"/>
  <c r="O361" i="1"/>
  <c r="P362" i="1"/>
  <c r="O360" i="1"/>
  <c r="P361" i="1"/>
  <c r="P360" i="1"/>
  <c r="E4" i="33"/>
  <c r="A358" i="1"/>
  <c r="K358" i="1"/>
  <c r="L358" i="1" s="1"/>
  <c r="M358" i="1"/>
  <c r="N358" i="1"/>
  <c r="A357" i="1"/>
  <c r="K357" i="1"/>
  <c r="L357" i="1" s="1"/>
  <c r="M357" i="1"/>
  <c r="N357" i="1"/>
  <c r="A356" i="1"/>
  <c r="K356" i="1"/>
  <c r="L356" i="1" s="1"/>
  <c r="M356" i="1"/>
  <c r="N356" i="1"/>
  <c r="A355" i="1"/>
  <c r="K355" i="1"/>
  <c r="L355" i="1" s="1"/>
  <c r="M355" i="1"/>
  <c r="N355" i="1"/>
  <c r="S366" i="1" l="1"/>
  <c r="V366" i="1"/>
  <c r="W366" i="1" s="1"/>
  <c r="S365" i="1"/>
  <c r="V365" i="1"/>
  <c r="W365" i="1" s="1"/>
  <c r="S364" i="1"/>
  <c r="V364" i="1"/>
  <c r="W364" i="1" s="1"/>
  <c r="R362" i="1"/>
  <c r="T362" i="1"/>
  <c r="U362" i="1" s="1"/>
  <c r="Q362" i="1"/>
  <c r="O357" i="1"/>
  <c r="O358" i="1"/>
  <c r="R361" i="1"/>
  <c r="T361" i="1"/>
  <c r="U361" i="1" s="1"/>
  <c r="Q361" i="1"/>
  <c r="T360" i="1"/>
  <c r="U360" i="1" s="1"/>
  <c r="R360" i="1"/>
  <c r="Q360" i="1"/>
  <c r="P358" i="1"/>
  <c r="O356" i="1"/>
  <c r="P357" i="1"/>
  <c r="O355" i="1"/>
  <c r="P356" i="1"/>
  <c r="P355" i="1"/>
  <c r="E2" i="33"/>
  <c r="E3" i="33"/>
  <c r="E31" i="33" l="1"/>
  <c r="S362" i="1"/>
  <c r="V362" i="1"/>
  <c r="W362" i="1" s="1"/>
  <c r="S361" i="1"/>
  <c r="V361" i="1"/>
  <c r="W361" i="1" s="1"/>
  <c r="S360" i="1"/>
  <c r="V360" i="1"/>
  <c r="W360" i="1" s="1"/>
  <c r="R358" i="1"/>
  <c r="Q358" i="1"/>
  <c r="T358" i="1"/>
  <c r="U358" i="1" s="1"/>
  <c r="R357" i="1"/>
  <c r="T357" i="1"/>
  <c r="U357" i="1" s="1"/>
  <c r="Q357" i="1"/>
  <c r="R356" i="1"/>
  <c r="Q356" i="1"/>
  <c r="T356" i="1"/>
  <c r="U356" i="1" s="1"/>
  <c r="R355" i="1"/>
  <c r="T355" i="1"/>
  <c r="U355" i="1" s="1"/>
  <c r="Q355" i="1"/>
  <c r="A354" i="1"/>
  <c r="K354" i="1"/>
  <c r="L354" i="1" s="1"/>
  <c r="M354" i="1"/>
  <c r="N354" i="1"/>
  <c r="A353" i="1"/>
  <c r="K353" i="1"/>
  <c r="L353" i="1" s="1"/>
  <c r="M353" i="1"/>
  <c r="N353" i="1"/>
  <c r="A352" i="1"/>
  <c r="K352" i="1"/>
  <c r="L352" i="1" s="1"/>
  <c r="M352" i="1"/>
  <c r="N352" i="1"/>
  <c r="S358" i="1" l="1"/>
  <c r="V358" i="1"/>
  <c r="W358" i="1" s="1"/>
  <c r="S357" i="1"/>
  <c r="V357" i="1"/>
  <c r="W357" i="1" s="1"/>
  <c r="S356" i="1"/>
  <c r="V356" i="1"/>
  <c r="W356" i="1" s="1"/>
  <c r="S355" i="1"/>
  <c r="V355" i="1"/>
  <c r="W355" i="1" s="1"/>
  <c r="O354" i="1"/>
  <c r="O353" i="1"/>
  <c r="P354" i="1"/>
  <c r="Q354" i="1" s="1"/>
  <c r="P353" i="1"/>
  <c r="O352" i="1"/>
  <c r="P352" i="1"/>
  <c r="Q352" i="1" s="1"/>
  <c r="C2" i="32" a="1"/>
  <c r="C2" i="32" s="1"/>
  <c r="C3" i="32" a="1"/>
  <c r="C3" i="32" s="1"/>
  <c r="C4" i="32"/>
  <c r="C7" i="32" l="1"/>
  <c r="S354" i="1"/>
  <c r="V354" i="1"/>
  <c r="W354" i="1" s="1"/>
  <c r="R354" i="1"/>
  <c r="T354" i="1"/>
  <c r="U354" i="1" s="1"/>
  <c r="R353" i="1"/>
  <c r="T353" i="1"/>
  <c r="U353" i="1" s="1"/>
  <c r="Q353" i="1"/>
  <c r="S352" i="1"/>
  <c r="V352" i="1"/>
  <c r="W352" i="1" s="1"/>
  <c r="R352" i="1"/>
  <c r="T352" i="1"/>
  <c r="U352" i="1" s="1"/>
  <c r="A351" i="1"/>
  <c r="K351" i="1"/>
  <c r="L351" i="1" s="1"/>
  <c r="M351" i="1"/>
  <c r="N351" i="1"/>
  <c r="A350" i="1"/>
  <c r="K350" i="1"/>
  <c r="L350" i="1" s="1"/>
  <c r="M350" i="1"/>
  <c r="N350" i="1"/>
  <c r="A349" i="1"/>
  <c r="K349" i="1"/>
  <c r="L349" i="1" s="1"/>
  <c r="M349" i="1"/>
  <c r="N349" i="1"/>
  <c r="A348" i="1"/>
  <c r="K348" i="1"/>
  <c r="L348" i="1" s="1"/>
  <c r="M348" i="1"/>
  <c r="N348" i="1"/>
  <c r="S353" i="1" l="1"/>
  <c r="V353" i="1"/>
  <c r="W353" i="1" s="1"/>
  <c r="O351" i="1"/>
  <c r="O350" i="1"/>
  <c r="P351" i="1"/>
  <c r="O349" i="1"/>
  <c r="P350" i="1"/>
  <c r="P349" i="1"/>
  <c r="Q349" i="1" s="1"/>
  <c r="O348" i="1"/>
  <c r="P348" i="1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30" i="4" l="1"/>
  <c r="R351" i="1"/>
  <c r="Q351" i="1"/>
  <c r="T351" i="1"/>
  <c r="U351" i="1" s="1"/>
  <c r="R350" i="1"/>
  <c r="T350" i="1"/>
  <c r="U350" i="1" s="1"/>
  <c r="Q350" i="1"/>
  <c r="S349" i="1"/>
  <c r="V349" i="1"/>
  <c r="W349" i="1" s="1"/>
  <c r="R349" i="1"/>
  <c r="T349" i="1"/>
  <c r="U349" i="1" s="1"/>
  <c r="R348" i="1"/>
  <c r="T348" i="1"/>
  <c r="U348" i="1" s="1"/>
  <c r="Q348" i="1"/>
  <c r="A337" i="1"/>
  <c r="K337" i="1"/>
  <c r="L337" i="1" s="1"/>
  <c r="M337" i="1"/>
  <c r="N337" i="1"/>
  <c r="P337" i="1"/>
  <c r="R337" i="1" s="1"/>
  <c r="T337" i="1"/>
  <c r="U337" i="1" s="1"/>
  <c r="V337" i="1"/>
  <c r="W337" i="1" s="1"/>
  <c r="A347" i="1"/>
  <c r="K347" i="1"/>
  <c r="L347" i="1" s="1"/>
  <c r="M347" i="1"/>
  <c r="N347" i="1"/>
  <c r="P347" i="1"/>
  <c r="R347" i="1" s="1"/>
  <c r="T347" i="1"/>
  <c r="U347" i="1" s="1"/>
  <c r="V347" i="1"/>
  <c r="W347" i="1" s="1"/>
  <c r="A346" i="1"/>
  <c r="K346" i="1"/>
  <c r="L346" i="1" s="1"/>
  <c r="M346" i="1"/>
  <c r="N346" i="1"/>
  <c r="A345" i="1"/>
  <c r="K345" i="1"/>
  <c r="L345" i="1" s="1"/>
  <c r="M345" i="1"/>
  <c r="N345" i="1"/>
  <c r="A344" i="1"/>
  <c r="K344" i="1"/>
  <c r="L344" i="1" s="1"/>
  <c r="M344" i="1"/>
  <c r="N344" i="1"/>
  <c r="A343" i="1"/>
  <c r="K343" i="1"/>
  <c r="L343" i="1" s="1"/>
  <c r="M343" i="1"/>
  <c r="N343" i="1"/>
  <c r="A342" i="1"/>
  <c r="K342" i="1"/>
  <c r="L342" i="1" s="1"/>
  <c r="M342" i="1"/>
  <c r="N342" i="1"/>
  <c r="A341" i="1"/>
  <c r="K341" i="1"/>
  <c r="L341" i="1" s="1"/>
  <c r="M341" i="1"/>
  <c r="N341" i="1"/>
  <c r="S351" i="1" l="1"/>
  <c r="V351" i="1"/>
  <c r="W351" i="1" s="1"/>
  <c r="S350" i="1"/>
  <c r="V350" i="1"/>
  <c r="W350" i="1" s="1"/>
  <c r="S348" i="1"/>
  <c r="V348" i="1"/>
  <c r="W348" i="1" s="1"/>
  <c r="O337" i="1"/>
  <c r="Q337" i="1"/>
  <c r="S337" i="1" s="1"/>
  <c r="O346" i="1"/>
  <c r="Q347" i="1"/>
  <c r="S347" i="1" s="1"/>
  <c r="O347" i="1"/>
  <c r="O344" i="1"/>
  <c r="P346" i="1"/>
  <c r="O345" i="1"/>
  <c r="P345" i="1"/>
  <c r="P344" i="1"/>
  <c r="O343" i="1"/>
  <c r="P343" i="1"/>
  <c r="O342" i="1"/>
  <c r="P342" i="1"/>
  <c r="O341" i="1"/>
  <c r="P341" i="1"/>
  <c r="Q341" i="1" s="1"/>
  <c r="R346" i="1" l="1"/>
  <c r="T346" i="1"/>
  <c r="U346" i="1" s="1"/>
  <c r="Q346" i="1"/>
  <c r="R345" i="1"/>
  <c r="T345" i="1"/>
  <c r="U345" i="1" s="1"/>
  <c r="Q345" i="1"/>
  <c r="R344" i="1"/>
  <c r="T344" i="1"/>
  <c r="U344" i="1" s="1"/>
  <c r="Q344" i="1"/>
  <c r="R343" i="1"/>
  <c r="T343" i="1"/>
  <c r="U343" i="1" s="1"/>
  <c r="Q343" i="1"/>
  <c r="R342" i="1"/>
  <c r="T342" i="1"/>
  <c r="U342" i="1" s="1"/>
  <c r="Q342" i="1"/>
  <c r="S341" i="1"/>
  <c r="V341" i="1"/>
  <c r="W341" i="1" s="1"/>
  <c r="R341" i="1"/>
  <c r="T341" i="1"/>
  <c r="U341" i="1" s="1"/>
  <c r="S346" i="1" l="1"/>
  <c r="V346" i="1"/>
  <c r="W346" i="1" s="1"/>
  <c r="S345" i="1"/>
  <c r="V345" i="1"/>
  <c r="W345" i="1" s="1"/>
  <c r="S344" i="1"/>
  <c r="V344" i="1"/>
  <c r="W344" i="1" s="1"/>
  <c r="S343" i="1"/>
  <c r="V343" i="1"/>
  <c r="W343" i="1" s="1"/>
  <c r="S342" i="1"/>
  <c r="V342" i="1"/>
  <c r="W342" i="1" s="1"/>
  <c r="A340" i="1" l="1"/>
  <c r="K340" i="1"/>
  <c r="L340" i="1" s="1"/>
  <c r="M340" i="1"/>
  <c r="N340" i="1"/>
  <c r="A339" i="1"/>
  <c r="K339" i="1"/>
  <c r="L339" i="1" s="1"/>
  <c r="M339" i="1"/>
  <c r="N339" i="1"/>
  <c r="A338" i="1"/>
  <c r="K338" i="1"/>
  <c r="L338" i="1" s="1"/>
  <c r="M338" i="1"/>
  <c r="N338" i="1"/>
  <c r="O340" i="1" l="1"/>
  <c r="P340" i="1"/>
  <c r="O339" i="1"/>
  <c r="P339" i="1"/>
  <c r="O338" i="1"/>
  <c r="P338" i="1"/>
  <c r="A336" i="1"/>
  <c r="K336" i="1"/>
  <c r="L336" i="1" s="1"/>
  <c r="M336" i="1"/>
  <c r="N336" i="1"/>
  <c r="A335" i="1"/>
  <c r="K335" i="1"/>
  <c r="L335" i="1" s="1"/>
  <c r="M335" i="1"/>
  <c r="N335" i="1"/>
  <c r="A334" i="1"/>
  <c r="K334" i="1"/>
  <c r="L334" i="1" s="1"/>
  <c r="M334" i="1"/>
  <c r="N334" i="1"/>
  <c r="A333" i="1"/>
  <c r="K333" i="1"/>
  <c r="L333" i="1" s="1"/>
  <c r="M333" i="1"/>
  <c r="N333" i="1"/>
  <c r="A332" i="1"/>
  <c r="K332" i="1"/>
  <c r="L332" i="1" s="1"/>
  <c r="M332" i="1"/>
  <c r="N332" i="1"/>
  <c r="R340" i="1" l="1"/>
  <c r="Q340" i="1"/>
  <c r="T340" i="1"/>
  <c r="U340" i="1" s="1"/>
  <c r="R339" i="1"/>
  <c r="T339" i="1"/>
  <c r="U339" i="1" s="1"/>
  <c r="Q339" i="1"/>
  <c r="R338" i="1"/>
  <c r="T338" i="1"/>
  <c r="U338" i="1" s="1"/>
  <c r="Q338" i="1"/>
  <c r="O336" i="1"/>
  <c r="P336" i="1"/>
  <c r="O335" i="1"/>
  <c r="P335" i="1"/>
  <c r="O334" i="1"/>
  <c r="P334" i="1"/>
  <c r="O333" i="1"/>
  <c r="P333" i="1"/>
  <c r="O332" i="1"/>
  <c r="P332" i="1"/>
  <c r="A331" i="1"/>
  <c r="K331" i="1"/>
  <c r="L331" i="1" s="1"/>
  <c r="M331" i="1"/>
  <c r="N331" i="1"/>
  <c r="A330" i="1"/>
  <c r="K330" i="1"/>
  <c r="L330" i="1" s="1"/>
  <c r="M330" i="1"/>
  <c r="N330" i="1"/>
  <c r="A329" i="1"/>
  <c r="K329" i="1"/>
  <c r="L329" i="1" s="1"/>
  <c r="M329" i="1"/>
  <c r="N329" i="1"/>
  <c r="A328" i="1"/>
  <c r="K328" i="1"/>
  <c r="L328" i="1" s="1"/>
  <c r="M328" i="1"/>
  <c r="N328" i="1"/>
  <c r="P328" i="1"/>
  <c r="R328" i="1" s="1"/>
  <c r="T328" i="1"/>
  <c r="U328" i="1" s="1"/>
  <c r="V328" i="1"/>
  <c r="W328" i="1" s="1"/>
  <c r="A327" i="1"/>
  <c r="K327" i="1"/>
  <c r="L327" i="1" s="1"/>
  <c r="M327" i="1"/>
  <c r="N327" i="1"/>
  <c r="P327" i="1"/>
  <c r="R327" i="1" s="1"/>
  <c r="T327" i="1"/>
  <c r="U327" i="1" s="1"/>
  <c r="V327" i="1"/>
  <c r="W327" i="1" s="1"/>
  <c r="S340" i="1" l="1"/>
  <c r="V340" i="1"/>
  <c r="W340" i="1" s="1"/>
  <c r="S339" i="1"/>
  <c r="V339" i="1"/>
  <c r="W339" i="1" s="1"/>
  <c r="S338" i="1"/>
  <c r="V338" i="1"/>
  <c r="W338" i="1" s="1"/>
  <c r="R336" i="1"/>
  <c r="Q336" i="1"/>
  <c r="T336" i="1"/>
  <c r="U336" i="1" s="1"/>
  <c r="R335" i="1"/>
  <c r="Q335" i="1"/>
  <c r="T335" i="1"/>
  <c r="U335" i="1" s="1"/>
  <c r="R334" i="1"/>
  <c r="T334" i="1"/>
  <c r="U334" i="1" s="1"/>
  <c r="Q334" i="1"/>
  <c r="R333" i="1"/>
  <c r="Q333" i="1"/>
  <c r="T333" i="1"/>
  <c r="U333" i="1" s="1"/>
  <c r="R332" i="1"/>
  <c r="Q332" i="1"/>
  <c r="T332" i="1"/>
  <c r="U332" i="1" s="1"/>
  <c r="O331" i="1"/>
  <c r="P331" i="1"/>
  <c r="Q331" i="1" s="1"/>
  <c r="O330" i="1"/>
  <c r="P330" i="1"/>
  <c r="O329" i="1"/>
  <c r="Q328" i="1"/>
  <c r="S328" i="1" s="1"/>
  <c r="P329" i="1"/>
  <c r="O328" i="1"/>
  <c r="Q327" i="1"/>
  <c r="S327" i="1" s="1"/>
  <c r="O327" i="1"/>
  <c r="A326" i="1"/>
  <c r="K326" i="1"/>
  <c r="L326" i="1" s="1"/>
  <c r="M326" i="1"/>
  <c r="N326" i="1"/>
  <c r="A325" i="1"/>
  <c r="K325" i="1"/>
  <c r="L325" i="1" s="1"/>
  <c r="M325" i="1"/>
  <c r="N325" i="1"/>
  <c r="A324" i="1"/>
  <c r="K324" i="1"/>
  <c r="L324" i="1" s="1"/>
  <c r="M324" i="1"/>
  <c r="N324" i="1"/>
  <c r="A323" i="1"/>
  <c r="S336" i="1" l="1"/>
  <c r="V336" i="1"/>
  <c r="W336" i="1" s="1"/>
  <c r="S335" i="1"/>
  <c r="V335" i="1"/>
  <c r="W335" i="1" s="1"/>
  <c r="S334" i="1"/>
  <c r="V334" i="1"/>
  <c r="W334" i="1" s="1"/>
  <c r="S333" i="1"/>
  <c r="V333" i="1"/>
  <c r="W333" i="1" s="1"/>
  <c r="S332" i="1"/>
  <c r="V332" i="1"/>
  <c r="W332" i="1" s="1"/>
  <c r="R331" i="1"/>
  <c r="T331" i="1"/>
  <c r="U331" i="1" s="1"/>
  <c r="S331" i="1"/>
  <c r="V331" i="1"/>
  <c r="W331" i="1" s="1"/>
  <c r="R330" i="1"/>
  <c r="Q330" i="1"/>
  <c r="T330" i="1"/>
  <c r="U330" i="1" s="1"/>
  <c r="R329" i="1"/>
  <c r="T329" i="1"/>
  <c r="U329" i="1" s="1"/>
  <c r="Q329" i="1"/>
  <c r="O326" i="1"/>
  <c r="P326" i="1"/>
  <c r="O325" i="1"/>
  <c r="P325" i="1"/>
  <c r="O324" i="1"/>
  <c r="P324" i="1"/>
  <c r="K323" i="1"/>
  <c r="L323" i="1" s="1"/>
  <c r="M323" i="1"/>
  <c r="N323" i="1"/>
  <c r="A322" i="1"/>
  <c r="K322" i="1"/>
  <c r="L322" i="1" s="1"/>
  <c r="M322" i="1"/>
  <c r="N322" i="1"/>
  <c r="A321" i="1"/>
  <c r="K321" i="1"/>
  <c r="L321" i="1" s="1"/>
  <c r="M321" i="1"/>
  <c r="N321" i="1"/>
  <c r="A320" i="1"/>
  <c r="K320" i="1"/>
  <c r="L320" i="1" s="1"/>
  <c r="M320" i="1"/>
  <c r="N320" i="1"/>
  <c r="A319" i="1"/>
  <c r="K319" i="1"/>
  <c r="L319" i="1" s="1"/>
  <c r="M319" i="1"/>
  <c r="N319" i="1"/>
  <c r="S330" i="1" l="1"/>
  <c r="V330" i="1"/>
  <c r="W330" i="1" s="1"/>
  <c r="S329" i="1"/>
  <c r="V329" i="1"/>
  <c r="W329" i="1" s="1"/>
  <c r="R326" i="1"/>
  <c r="Q326" i="1"/>
  <c r="T326" i="1"/>
  <c r="U326" i="1" s="1"/>
  <c r="R325" i="1"/>
  <c r="Q325" i="1"/>
  <c r="T325" i="1"/>
  <c r="U325" i="1" s="1"/>
  <c r="R324" i="1"/>
  <c r="T324" i="1"/>
  <c r="U324" i="1" s="1"/>
  <c r="Q324" i="1"/>
  <c r="O323" i="1"/>
  <c r="P323" i="1"/>
  <c r="O322" i="1"/>
  <c r="P322" i="1"/>
  <c r="O321" i="1"/>
  <c r="P321" i="1"/>
  <c r="O320" i="1"/>
  <c r="P320" i="1"/>
  <c r="O319" i="1"/>
  <c r="P319" i="1"/>
  <c r="A318" i="1"/>
  <c r="K318" i="1"/>
  <c r="L318" i="1" s="1"/>
  <c r="M318" i="1"/>
  <c r="N318" i="1"/>
  <c r="P318" i="1"/>
  <c r="R318" i="1" s="1"/>
  <c r="T318" i="1"/>
  <c r="U318" i="1" s="1"/>
  <c r="V318" i="1"/>
  <c r="W318" i="1" s="1"/>
  <c r="A317" i="1"/>
  <c r="K317" i="1"/>
  <c r="L317" i="1" s="1"/>
  <c r="M317" i="1"/>
  <c r="N317" i="1"/>
  <c r="P317" i="1"/>
  <c r="R317" i="1" s="1"/>
  <c r="T317" i="1"/>
  <c r="U317" i="1" s="1"/>
  <c r="V317" i="1"/>
  <c r="W317" i="1" s="1"/>
  <c r="S326" i="1" l="1"/>
  <c r="V326" i="1"/>
  <c r="W326" i="1" s="1"/>
  <c r="S325" i="1"/>
  <c r="V325" i="1"/>
  <c r="W325" i="1" s="1"/>
  <c r="S324" i="1"/>
  <c r="V324" i="1"/>
  <c r="W324" i="1" s="1"/>
  <c r="R323" i="1"/>
  <c r="T323" i="1"/>
  <c r="U323" i="1" s="1"/>
  <c r="Q323" i="1"/>
  <c r="R322" i="1"/>
  <c r="Q322" i="1"/>
  <c r="T322" i="1"/>
  <c r="U322" i="1" s="1"/>
  <c r="R321" i="1"/>
  <c r="T321" i="1"/>
  <c r="U321" i="1" s="1"/>
  <c r="Q321" i="1"/>
  <c r="R320" i="1"/>
  <c r="Q320" i="1"/>
  <c r="T320" i="1"/>
  <c r="U320" i="1" s="1"/>
  <c r="Q318" i="1"/>
  <c r="S318" i="1" s="1"/>
  <c r="R319" i="1"/>
  <c r="T319" i="1"/>
  <c r="U319" i="1" s="1"/>
  <c r="Q319" i="1"/>
  <c r="O318" i="1"/>
  <c r="Q317" i="1"/>
  <c r="S317" i="1" s="1"/>
  <c r="O317" i="1"/>
  <c r="S323" i="1" l="1"/>
  <c r="V323" i="1"/>
  <c r="W323" i="1" s="1"/>
  <c r="S322" i="1"/>
  <c r="V322" i="1"/>
  <c r="W322" i="1" s="1"/>
  <c r="S321" i="1"/>
  <c r="V321" i="1"/>
  <c r="W321" i="1" s="1"/>
  <c r="S320" i="1"/>
  <c r="V320" i="1"/>
  <c r="W320" i="1" s="1"/>
  <c r="S319" i="1"/>
  <c r="V319" i="1"/>
  <c r="W319" i="1" s="1"/>
  <c r="A316" i="1"/>
  <c r="K316" i="1"/>
  <c r="L316" i="1" s="1"/>
  <c r="M316" i="1"/>
  <c r="N316" i="1"/>
  <c r="A315" i="1"/>
  <c r="K315" i="1"/>
  <c r="L315" i="1" s="1"/>
  <c r="M315" i="1"/>
  <c r="N315" i="1"/>
  <c r="A314" i="1"/>
  <c r="K314" i="1"/>
  <c r="L314" i="1" s="1"/>
  <c r="M314" i="1"/>
  <c r="N314" i="1"/>
  <c r="A313" i="1"/>
  <c r="K313" i="1"/>
  <c r="L313" i="1" s="1"/>
  <c r="M313" i="1"/>
  <c r="N313" i="1"/>
  <c r="O316" i="1" l="1"/>
  <c r="P316" i="1"/>
  <c r="O315" i="1"/>
  <c r="P315" i="1"/>
  <c r="O314" i="1"/>
  <c r="P314" i="1"/>
  <c r="O313" i="1"/>
  <c r="P313" i="1"/>
  <c r="Q313" i="1" s="1"/>
  <c r="A312" i="1"/>
  <c r="K312" i="1"/>
  <c r="L312" i="1" s="1"/>
  <c r="M312" i="1"/>
  <c r="N312" i="1"/>
  <c r="A311" i="1"/>
  <c r="K311" i="1"/>
  <c r="L311" i="1" s="1"/>
  <c r="M311" i="1"/>
  <c r="N311" i="1"/>
  <c r="A310" i="1"/>
  <c r="K310" i="1"/>
  <c r="L310" i="1" s="1"/>
  <c r="M310" i="1"/>
  <c r="N310" i="1"/>
  <c r="A309" i="1"/>
  <c r="K309" i="1"/>
  <c r="L309" i="1" s="1"/>
  <c r="M309" i="1"/>
  <c r="N309" i="1"/>
  <c r="R316" i="1" l="1"/>
  <c r="Q316" i="1"/>
  <c r="T316" i="1"/>
  <c r="U316" i="1" s="1"/>
  <c r="R315" i="1"/>
  <c r="T315" i="1"/>
  <c r="U315" i="1" s="1"/>
  <c r="Q315" i="1"/>
  <c r="O312" i="1"/>
  <c r="R314" i="1"/>
  <c r="Q314" i="1"/>
  <c r="T314" i="1"/>
  <c r="U314" i="1" s="1"/>
  <c r="S313" i="1"/>
  <c r="V313" i="1"/>
  <c r="W313" i="1" s="1"/>
  <c r="R313" i="1"/>
  <c r="T313" i="1"/>
  <c r="U313" i="1" s="1"/>
  <c r="P312" i="1"/>
  <c r="O311" i="1"/>
  <c r="P311" i="1"/>
  <c r="Q311" i="1" s="1"/>
  <c r="O310" i="1"/>
  <c r="P310" i="1"/>
  <c r="O309" i="1"/>
  <c r="P309" i="1"/>
  <c r="A308" i="1"/>
  <c r="K308" i="1"/>
  <c r="L308" i="1" s="1"/>
  <c r="M308" i="1"/>
  <c r="N308" i="1"/>
  <c r="A307" i="1"/>
  <c r="K307" i="1"/>
  <c r="L307" i="1" s="1"/>
  <c r="M307" i="1"/>
  <c r="N307" i="1"/>
  <c r="A293" i="1"/>
  <c r="K293" i="1"/>
  <c r="L293" i="1" s="1"/>
  <c r="M293" i="1"/>
  <c r="N293" i="1"/>
  <c r="P293" i="1"/>
  <c r="R293" i="1" s="1"/>
  <c r="T293" i="1"/>
  <c r="U293" i="1" s="1"/>
  <c r="V293" i="1"/>
  <c r="W293" i="1" s="1"/>
  <c r="A306" i="1"/>
  <c r="K306" i="1"/>
  <c r="L306" i="1" s="1"/>
  <c r="M306" i="1"/>
  <c r="N306" i="1"/>
  <c r="P306" i="1"/>
  <c r="R306" i="1" s="1"/>
  <c r="T306" i="1"/>
  <c r="U306" i="1" s="1"/>
  <c r="V306" i="1"/>
  <c r="W306" i="1" s="1"/>
  <c r="S316" i="1" l="1"/>
  <c r="V316" i="1"/>
  <c r="W316" i="1" s="1"/>
  <c r="S315" i="1"/>
  <c r="V315" i="1"/>
  <c r="W315" i="1" s="1"/>
  <c r="S314" i="1"/>
  <c r="V314" i="1"/>
  <c r="W314" i="1" s="1"/>
  <c r="R312" i="1"/>
  <c r="T312" i="1"/>
  <c r="U312" i="1" s="1"/>
  <c r="Q312" i="1"/>
  <c r="S311" i="1"/>
  <c r="V311" i="1"/>
  <c r="W311" i="1" s="1"/>
  <c r="R311" i="1"/>
  <c r="T311" i="1"/>
  <c r="U311" i="1" s="1"/>
  <c r="O308" i="1"/>
  <c r="R310" i="1"/>
  <c r="Q310" i="1"/>
  <c r="T310" i="1"/>
  <c r="U310" i="1" s="1"/>
  <c r="R309" i="1"/>
  <c r="Q309" i="1"/>
  <c r="T309" i="1"/>
  <c r="U309" i="1" s="1"/>
  <c r="Q293" i="1"/>
  <c r="S293" i="1" s="1"/>
  <c r="P308" i="1"/>
  <c r="Q308" i="1" s="1"/>
  <c r="O307" i="1"/>
  <c r="P307" i="1"/>
  <c r="O293" i="1"/>
  <c r="Q306" i="1"/>
  <c r="S306" i="1" s="1"/>
  <c r="O306" i="1"/>
  <c r="A305" i="1"/>
  <c r="K305" i="1"/>
  <c r="L305" i="1" s="1"/>
  <c r="M305" i="1"/>
  <c r="N305" i="1"/>
  <c r="A304" i="1"/>
  <c r="K304" i="1"/>
  <c r="L304" i="1" s="1"/>
  <c r="M304" i="1"/>
  <c r="N304" i="1"/>
  <c r="A303" i="1"/>
  <c r="K303" i="1"/>
  <c r="L303" i="1" s="1"/>
  <c r="M303" i="1"/>
  <c r="N303" i="1"/>
  <c r="A302" i="1"/>
  <c r="K302" i="1"/>
  <c r="L302" i="1" s="1"/>
  <c r="M302" i="1"/>
  <c r="N302" i="1"/>
  <c r="S312" i="1" l="1"/>
  <c r="V312" i="1"/>
  <c r="W312" i="1" s="1"/>
  <c r="S310" i="1"/>
  <c r="V310" i="1"/>
  <c r="W310" i="1" s="1"/>
  <c r="S309" i="1"/>
  <c r="V309" i="1"/>
  <c r="W309" i="1" s="1"/>
  <c r="S308" i="1"/>
  <c r="V308" i="1"/>
  <c r="W308" i="1" s="1"/>
  <c r="R308" i="1"/>
  <c r="T308" i="1"/>
  <c r="U308" i="1" s="1"/>
  <c r="R307" i="1"/>
  <c r="T307" i="1"/>
  <c r="U307" i="1" s="1"/>
  <c r="Q307" i="1"/>
  <c r="O305" i="1"/>
  <c r="P305" i="1"/>
  <c r="O304" i="1"/>
  <c r="P304" i="1"/>
  <c r="O303" i="1"/>
  <c r="P303" i="1"/>
  <c r="O302" i="1"/>
  <c r="P302" i="1"/>
  <c r="A301" i="1"/>
  <c r="K301" i="1"/>
  <c r="L301" i="1" s="1"/>
  <c r="M301" i="1"/>
  <c r="N301" i="1"/>
  <c r="A300" i="1"/>
  <c r="K300" i="1"/>
  <c r="L300" i="1" s="1"/>
  <c r="M300" i="1"/>
  <c r="N300" i="1"/>
  <c r="A299" i="1"/>
  <c r="K299" i="1"/>
  <c r="L299" i="1" s="1"/>
  <c r="M299" i="1"/>
  <c r="N299" i="1"/>
  <c r="S307" i="1" l="1"/>
  <c r="V307" i="1"/>
  <c r="W307" i="1" s="1"/>
  <c r="R305" i="1"/>
  <c r="T305" i="1"/>
  <c r="U305" i="1" s="1"/>
  <c r="Q305" i="1"/>
  <c r="R304" i="1"/>
  <c r="T304" i="1"/>
  <c r="U304" i="1" s="1"/>
  <c r="Q304" i="1"/>
  <c r="R303" i="1"/>
  <c r="Q303" i="1"/>
  <c r="T303" i="1"/>
  <c r="U303" i="1" s="1"/>
  <c r="R302" i="1"/>
  <c r="T302" i="1"/>
  <c r="U302" i="1" s="1"/>
  <c r="Q302" i="1"/>
  <c r="O301" i="1"/>
  <c r="P301" i="1"/>
  <c r="O300" i="1"/>
  <c r="P300" i="1"/>
  <c r="O299" i="1"/>
  <c r="P299" i="1"/>
  <c r="Q299" i="1" s="1"/>
  <c r="A296" i="1"/>
  <c r="K296" i="1"/>
  <c r="L296" i="1" s="1"/>
  <c r="M296" i="1"/>
  <c r="N296" i="1"/>
  <c r="A295" i="1"/>
  <c r="K295" i="1"/>
  <c r="L295" i="1" s="1"/>
  <c r="M295" i="1"/>
  <c r="N295" i="1"/>
  <c r="A298" i="1"/>
  <c r="K298" i="1"/>
  <c r="L298" i="1" s="1"/>
  <c r="M298" i="1"/>
  <c r="N298" i="1"/>
  <c r="A297" i="1"/>
  <c r="K297" i="1"/>
  <c r="L297" i="1" s="1"/>
  <c r="M297" i="1"/>
  <c r="N297" i="1"/>
  <c r="P297" i="1"/>
  <c r="R297" i="1" s="1"/>
  <c r="T297" i="1"/>
  <c r="U297" i="1" s="1"/>
  <c r="V297" i="1"/>
  <c r="W297" i="1" s="1"/>
  <c r="S305" i="1" l="1"/>
  <c r="V305" i="1"/>
  <c r="W305" i="1" s="1"/>
  <c r="S304" i="1"/>
  <c r="V304" i="1"/>
  <c r="W304" i="1" s="1"/>
  <c r="S303" i="1"/>
  <c r="V303" i="1"/>
  <c r="W303" i="1" s="1"/>
  <c r="S302" i="1"/>
  <c r="V302" i="1"/>
  <c r="R301" i="1"/>
  <c r="T301" i="1"/>
  <c r="U301" i="1" s="1"/>
  <c r="Q301" i="1"/>
  <c r="R300" i="1"/>
  <c r="T300" i="1"/>
  <c r="U300" i="1" s="1"/>
  <c r="Q300" i="1"/>
  <c r="S299" i="1"/>
  <c r="V299" i="1"/>
  <c r="W299" i="1" s="1"/>
  <c r="T299" i="1"/>
  <c r="U299" i="1" s="1"/>
  <c r="R299" i="1"/>
  <c r="O296" i="1"/>
  <c r="P296" i="1"/>
  <c r="O295" i="1"/>
  <c r="P295" i="1"/>
  <c r="O297" i="1"/>
  <c r="O298" i="1"/>
  <c r="Q297" i="1"/>
  <c r="S297" i="1" s="1"/>
  <c r="P298" i="1"/>
  <c r="A294" i="1"/>
  <c r="K294" i="1"/>
  <c r="L294" i="1" s="1"/>
  <c r="M294" i="1"/>
  <c r="N294" i="1"/>
  <c r="A292" i="1"/>
  <c r="K292" i="1"/>
  <c r="L292" i="1" s="1"/>
  <c r="M292" i="1"/>
  <c r="N292" i="1"/>
  <c r="W302" i="1" l="1"/>
  <c r="S301" i="1"/>
  <c r="V301" i="1"/>
  <c r="W301" i="1" s="1"/>
  <c r="S300" i="1"/>
  <c r="V300" i="1"/>
  <c r="W300" i="1" s="1"/>
  <c r="R296" i="1"/>
  <c r="T296" i="1"/>
  <c r="U296" i="1" s="1"/>
  <c r="Q296" i="1"/>
  <c r="R295" i="1"/>
  <c r="T295" i="1"/>
  <c r="U295" i="1" s="1"/>
  <c r="Q295" i="1"/>
  <c r="R298" i="1"/>
  <c r="Q298" i="1"/>
  <c r="T298" i="1"/>
  <c r="U298" i="1" s="1"/>
  <c r="O294" i="1"/>
  <c r="P294" i="1"/>
  <c r="P292" i="1"/>
  <c r="O292" i="1"/>
  <c r="A291" i="1"/>
  <c r="K291" i="1"/>
  <c r="L291" i="1" s="1"/>
  <c r="M291" i="1"/>
  <c r="N291" i="1"/>
  <c r="S296" i="1" l="1"/>
  <c r="V296" i="1"/>
  <c r="W296" i="1" s="1"/>
  <c r="S295" i="1"/>
  <c r="V295" i="1"/>
  <c r="W295" i="1" s="1"/>
  <c r="S298" i="1"/>
  <c r="V298" i="1"/>
  <c r="W298" i="1" s="1"/>
  <c r="O291" i="1"/>
  <c r="R294" i="1"/>
  <c r="Q294" i="1"/>
  <c r="T294" i="1"/>
  <c r="U294" i="1" s="1"/>
  <c r="T292" i="1"/>
  <c r="U292" i="1" s="1"/>
  <c r="Q292" i="1"/>
  <c r="R292" i="1"/>
  <c r="P291" i="1"/>
  <c r="A290" i="1"/>
  <c r="K290" i="1"/>
  <c r="L290" i="1" s="1"/>
  <c r="M290" i="1"/>
  <c r="N290" i="1"/>
  <c r="S294" i="1" l="1"/>
  <c r="V294" i="1"/>
  <c r="W294" i="1" s="1"/>
  <c r="O290" i="1"/>
  <c r="S292" i="1"/>
  <c r="V292" i="1"/>
  <c r="W292" i="1" s="1"/>
  <c r="R291" i="1"/>
  <c r="Q291" i="1"/>
  <c r="T291" i="1"/>
  <c r="U291" i="1" s="1"/>
  <c r="P290" i="1"/>
  <c r="S291" i="1" l="1"/>
  <c r="V291" i="1"/>
  <c r="W291" i="1" s="1"/>
  <c r="R290" i="1"/>
  <c r="Q290" i="1"/>
  <c r="T290" i="1"/>
  <c r="U290" i="1" s="1"/>
  <c r="S290" i="1" l="1"/>
  <c r="V290" i="1"/>
  <c r="W290" i="1" s="1"/>
  <c r="A289" i="1" l="1"/>
  <c r="K289" i="1"/>
  <c r="L289" i="1" s="1"/>
  <c r="M289" i="1"/>
  <c r="N289" i="1"/>
  <c r="A288" i="1"/>
  <c r="K288" i="1"/>
  <c r="L288" i="1" s="1"/>
  <c r="M288" i="1"/>
  <c r="N288" i="1"/>
  <c r="O289" i="1" l="1"/>
  <c r="O288" i="1"/>
  <c r="P289" i="1"/>
  <c r="Q289" i="1" s="1"/>
  <c r="P288" i="1"/>
  <c r="S289" i="1" l="1"/>
  <c r="V289" i="1"/>
  <c r="W289" i="1" s="1"/>
  <c r="R289" i="1"/>
  <c r="T289" i="1"/>
  <c r="U289" i="1" s="1"/>
  <c r="R288" i="1"/>
  <c r="T288" i="1"/>
  <c r="U288" i="1" s="1"/>
  <c r="Q288" i="1"/>
  <c r="S288" i="1" l="1"/>
  <c r="V288" i="1"/>
  <c r="W288" i="1" s="1"/>
  <c r="A287" i="1"/>
  <c r="K287" i="1"/>
  <c r="L287" i="1" s="1"/>
  <c r="M287" i="1"/>
  <c r="N287" i="1"/>
  <c r="O287" i="1" l="1"/>
  <c r="P287" i="1"/>
  <c r="R287" i="1" l="1"/>
  <c r="Q287" i="1"/>
  <c r="T287" i="1"/>
  <c r="U287" i="1" s="1"/>
  <c r="S287" i="1" l="1"/>
  <c r="V287" i="1"/>
  <c r="W287" i="1" s="1"/>
  <c r="A286" i="1"/>
  <c r="K286" i="1"/>
  <c r="L286" i="1" s="1"/>
  <c r="M286" i="1"/>
  <c r="N286" i="1"/>
  <c r="A285" i="1"/>
  <c r="K285" i="1"/>
  <c r="L285" i="1" s="1"/>
  <c r="M285" i="1"/>
  <c r="N285" i="1"/>
  <c r="A284" i="1"/>
  <c r="K284" i="1"/>
  <c r="L284" i="1" s="1"/>
  <c r="M284" i="1"/>
  <c r="N284" i="1"/>
  <c r="O286" i="1" l="1"/>
  <c r="O284" i="1"/>
  <c r="O285" i="1"/>
  <c r="P286" i="1"/>
  <c r="P285" i="1"/>
  <c r="Q285" i="1" s="1"/>
  <c r="P284" i="1"/>
  <c r="A283" i="1"/>
  <c r="K283" i="1"/>
  <c r="L283" i="1" s="1"/>
  <c r="M283" i="1"/>
  <c r="N283" i="1"/>
  <c r="A282" i="1"/>
  <c r="K282" i="1"/>
  <c r="L282" i="1" s="1"/>
  <c r="M282" i="1"/>
  <c r="N282" i="1"/>
  <c r="A281" i="1"/>
  <c r="K281" i="1"/>
  <c r="L281" i="1" s="1"/>
  <c r="M281" i="1"/>
  <c r="N281" i="1"/>
  <c r="O283" i="1" l="1"/>
  <c r="O282" i="1"/>
  <c r="O281" i="1"/>
  <c r="R286" i="1"/>
  <c r="Q286" i="1"/>
  <c r="T286" i="1"/>
  <c r="U286" i="1" s="1"/>
  <c r="S285" i="1"/>
  <c r="V285" i="1"/>
  <c r="W285" i="1" s="1"/>
  <c r="R285" i="1"/>
  <c r="T285" i="1"/>
  <c r="U285" i="1" s="1"/>
  <c r="R284" i="1"/>
  <c r="T284" i="1"/>
  <c r="U284" i="1" s="1"/>
  <c r="Q284" i="1"/>
  <c r="P283" i="1"/>
  <c r="P282" i="1"/>
  <c r="Q282" i="1" s="1"/>
  <c r="P281" i="1"/>
  <c r="A280" i="1"/>
  <c r="K280" i="1"/>
  <c r="L280" i="1" s="1"/>
  <c r="M280" i="1"/>
  <c r="N280" i="1"/>
  <c r="P280" i="1"/>
  <c r="R280" i="1" s="1"/>
  <c r="T280" i="1"/>
  <c r="U280" i="1" s="1"/>
  <c r="V280" i="1"/>
  <c r="W280" i="1" s="1"/>
  <c r="A279" i="1"/>
  <c r="K279" i="1"/>
  <c r="L279" i="1" s="1"/>
  <c r="M279" i="1"/>
  <c r="N279" i="1"/>
  <c r="O279" i="1" l="1"/>
  <c r="O280" i="1"/>
  <c r="S286" i="1"/>
  <c r="V286" i="1"/>
  <c r="W286" i="1" s="1"/>
  <c r="S284" i="1"/>
  <c r="V284" i="1"/>
  <c r="W284" i="1" s="1"/>
  <c r="R283" i="1"/>
  <c r="T283" i="1"/>
  <c r="U283" i="1" s="1"/>
  <c r="Q283" i="1"/>
  <c r="R282" i="1"/>
  <c r="T282" i="1"/>
  <c r="U282" i="1" s="1"/>
  <c r="S282" i="1"/>
  <c r="V282" i="1"/>
  <c r="W282" i="1" s="1"/>
  <c r="Q280" i="1"/>
  <c r="S280" i="1" s="1"/>
  <c r="R281" i="1"/>
  <c r="Q281" i="1"/>
  <c r="T281" i="1"/>
  <c r="U281" i="1" s="1"/>
  <c r="P279" i="1"/>
  <c r="A2" i="29"/>
  <c r="S283" i="1" l="1"/>
  <c r="V283" i="1"/>
  <c r="W283" i="1" s="1"/>
  <c r="S281" i="1"/>
  <c r="V281" i="1"/>
  <c r="W281" i="1" s="1"/>
  <c r="R279" i="1"/>
  <c r="T279" i="1"/>
  <c r="U279" i="1" s="1"/>
  <c r="Q279" i="1"/>
  <c r="F2" i="30"/>
  <c r="F3" i="30"/>
  <c r="F4" i="30"/>
  <c r="F5" i="30"/>
  <c r="A2" i="30"/>
  <c r="A3" i="30" s="1"/>
  <c r="A4" i="30" s="1"/>
  <c r="A5" i="30" s="1"/>
  <c r="S279" i="1" l="1"/>
  <c r="V279" i="1"/>
  <c r="W279" i="1" s="1"/>
  <c r="A278" i="1"/>
  <c r="K278" i="1"/>
  <c r="L278" i="1" s="1"/>
  <c r="M278" i="1"/>
  <c r="N278" i="1"/>
  <c r="O278" i="1" l="1"/>
  <c r="P278" i="1"/>
  <c r="A277" i="1"/>
  <c r="K277" i="1"/>
  <c r="L277" i="1" s="1"/>
  <c r="M277" i="1"/>
  <c r="N277" i="1"/>
  <c r="O277" i="1" l="1"/>
  <c r="R278" i="1"/>
  <c r="Q278" i="1"/>
  <c r="T278" i="1"/>
  <c r="U278" i="1" s="1"/>
  <c r="P277" i="1"/>
  <c r="A276" i="1"/>
  <c r="K276" i="1"/>
  <c r="L276" i="1" s="1"/>
  <c r="M276" i="1"/>
  <c r="N276" i="1"/>
  <c r="A275" i="1"/>
  <c r="K275" i="1"/>
  <c r="L275" i="1" s="1"/>
  <c r="M275" i="1"/>
  <c r="N275" i="1"/>
  <c r="O275" i="1" l="1"/>
  <c r="O276" i="1"/>
  <c r="S278" i="1"/>
  <c r="V278" i="1"/>
  <c r="W278" i="1" s="1"/>
  <c r="R277" i="1"/>
  <c r="T277" i="1"/>
  <c r="U277" i="1" s="1"/>
  <c r="Q277" i="1"/>
  <c r="P276" i="1"/>
  <c r="Q276" i="1" s="1"/>
  <c r="P275" i="1"/>
  <c r="A274" i="1"/>
  <c r="K274" i="1"/>
  <c r="L274" i="1" s="1"/>
  <c r="M274" i="1"/>
  <c r="N274" i="1"/>
  <c r="O274" i="1" l="1"/>
  <c r="S277" i="1"/>
  <c r="V277" i="1"/>
  <c r="W277" i="1" s="1"/>
  <c r="S276" i="1"/>
  <c r="V276" i="1"/>
  <c r="W276" i="1" s="1"/>
  <c r="R276" i="1"/>
  <c r="T276" i="1"/>
  <c r="U276" i="1" s="1"/>
  <c r="T275" i="1"/>
  <c r="U275" i="1" s="1"/>
  <c r="Q275" i="1"/>
  <c r="R275" i="1"/>
  <c r="P274" i="1"/>
  <c r="A273" i="1"/>
  <c r="K273" i="1"/>
  <c r="L273" i="1" s="1"/>
  <c r="M273" i="1"/>
  <c r="N273" i="1"/>
  <c r="A272" i="1"/>
  <c r="K272" i="1"/>
  <c r="L272" i="1" s="1"/>
  <c r="M272" i="1"/>
  <c r="N272" i="1"/>
  <c r="O273" i="1" l="1"/>
  <c r="O272" i="1"/>
  <c r="S275" i="1"/>
  <c r="V275" i="1"/>
  <c r="W275" i="1" s="1"/>
  <c r="T274" i="1"/>
  <c r="U274" i="1" s="1"/>
  <c r="Q274" i="1"/>
  <c r="R274" i="1"/>
  <c r="P273" i="1"/>
  <c r="P272" i="1"/>
  <c r="Q272" i="1" s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K270" i="1"/>
  <c r="L270" i="1" s="1"/>
  <c r="M270" i="1"/>
  <c r="N270" i="1"/>
  <c r="K269" i="1"/>
  <c r="L269" i="1" s="1"/>
  <c r="M269" i="1"/>
  <c r="N269" i="1"/>
  <c r="K268" i="1"/>
  <c r="L268" i="1" s="1"/>
  <c r="M268" i="1"/>
  <c r="N268" i="1"/>
  <c r="K230" i="1"/>
  <c r="L230" i="1" s="1"/>
  <c r="M230" i="1"/>
  <c r="N230" i="1"/>
  <c r="P230" i="1"/>
  <c r="T230" i="1"/>
  <c r="U230" i="1" s="1"/>
  <c r="V230" i="1"/>
  <c r="W230" i="1" s="1"/>
  <c r="K196" i="1"/>
  <c r="L196" i="1" s="1"/>
  <c r="M196" i="1"/>
  <c r="N196" i="1"/>
  <c r="P196" i="1"/>
  <c r="T196" i="1"/>
  <c r="U196" i="1" s="1"/>
  <c r="V196" i="1"/>
  <c r="W196" i="1" s="1"/>
  <c r="K266" i="1"/>
  <c r="L266" i="1" s="1"/>
  <c r="M266" i="1"/>
  <c r="N266" i="1"/>
  <c r="K267" i="1"/>
  <c r="L267" i="1" s="1"/>
  <c r="M267" i="1"/>
  <c r="N267" i="1"/>
  <c r="P267" i="1"/>
  <c r="T267" i="1"/>
  <c r="U267" i="1" s="1"/>
  <c r="V267" i="1"/>
  <c r="W267" i="1" s="1"/>
  <c r="K265" i="1"/>
  <c r="L265" i="1" s="1"/>
  <c r="M265" i="1"/>
  <c r="N265" i="1"/>
  <c r="K271" i="1"/>
  <c r="L271" i="1" s="1"/>
  <c r="M271" i="1"/>
  <c r="N271" i="1"/>
  <c r="P271" i="1"/>
  <c r="R271" i="1" s="1"/>
  <c r="T271" i="1"/>
  <c r="U271" i="1" s="1"/>
  <c r="V271" i="1"/>
  <c r="W271" i="1" s="1"/>
  <c r="K264" i="1"/>
  <c r="L264" i="1" s="1"/>
  <c r="M264" i="1"/>
  <c r="N264" i="1"/>
  <c r="K263" i="1"/>
  <c r="L263" i="1" s="1"/>
  <c r="M263" i="1"/>
  <c r="N263" i="1"/>
  <c r="K262" i="1"/>
  <c r="L262" i="1" s="1"/>
  <c r="M262" i="1"/>
  <c r="N262" i="1"/>
  <c r="K261" i="1"/>
  <c r="L261" i="1" s="1"/>
  <c r="M261" i="1"/>
  <c r="N261" i="1"/>
  <c r="K260" i="1"/>
  <c r="L260" i="1" s="1"/>
  <c r="M260" i="1"/>
  <c r="N260" i="1"/>
  <c r="K259" i="1"/>
  <c r="L259" i="1" s="1"/>
  <c r="M259" i="1"/>
  <c r="N259" i="1"/>
  <c r="K258" i="1"/>
  <c r="L258" i="1" s="1"/>
  <c r="M258" i="1"/>
  <c r="N258" i="1"/>
  <c r="K257" i="1"/>
  <c r="L257" i="1" s="1"/>
  <c r="M257" i="1"/>
  <c r="N257" i="1"/>
  <c r="K256" i="1"/>
  <c r="L256" i="1" s="1"/>
  <c r="M256" i="1"/>
  <c r="N256" i="1"/>
  <c r="K255" i="1"/>
  <c r="L255" i="1" s="1"/>
  <c r="M255" i="1"/>
  <c r="N255" i="1"/>
  <c r="K254" i="1"/>
  <c r="L254" i="1" s="1"/>
  <c r="M254" i="1"/>
  <c r="N254" i="1"/>
  <c r="K253" i="1"/>
  <c r="L253" i="1" s="1"/>
  <c r="M253" i="1"/>
  <c r="N253" i="1"/>
  <c r="K252" i="1"/>
  <c r="L252" i="1" s="1"/>
  <c r="M252" i="1"/>
  <c r="N252" i="1"/>
  <c r="K251" i="1"/>
  <c r="L251" i="1" s="1"/>
  <c r="M251" i="1"/>
  <c r="N251" i="1"/>
  <c r="K250" i="1"/>
  <c r="L250" i="1" s="1"/>
  <c r="M250" i="1"/>
  <c r="N250" i="1"/>
  <c r="K249" i="1"/>
  <c r="L249" i="1" s="1"/>
  <c r="M249" i="1"/>
  <c r="N249" i="1"/>
  <c r="P249" i="1"/>
  <c r="R249" i="1" s="1"/>
  <c r="T249" i="1"/>
  <c r="U249" i="1" s="1"/>
  <c r="V249" i="1"/>
  <c r="W249" i="1" s="1"/>
  <c r="K248" i="1"/>
  <c r="L248" i="1" s="1"/>
  <c r="M248" i="1"/>
  <c r="N248" i="1"/>
  <c r="K247" i="1"/>
  <c r="L247" i="1" s="1"/>
  <c r="M247" i="1"/>
  <c r="N247" i="1"/>
  <c r="K246" i="1"/>
  <c r="L246" i="1" s="1"/>
  <c r="M246" i="1"/>
  <c r="N246" i="1"/>
  <c r="K245" i="1"/>
  <c r="L245" i="1" s="1"/>
  <c r="M245" i="1"/>
  <c r="N245" i="1"/>
  <c r="K244" i="1"/>
  <c r="L244" i="1" s="1"/>
  <c r="M244" i="1"/>
  <c r="N244" i="1"/>
  <c r="K243" i="1"/>
  <c r="L243" i="1" s="1"/>
  <c r="M243" i="1"/>
  <c r="N243" i="1"/>
  <c r="K242" i="1"/>
  <c r="L242" i="1" s="1"/>
  <c r="M242" i="1"/>
  <c r="N242" i="1"/>
  <c r="K241" i="1"/>
  <c r="L241" i="1" s="1"/>
  <c r="M241" i="1"/>
  <c r="N241" i="1"/>
  <c r="K240" i="1"/>
  <c r="L240" i="1" s="1"/>
  <c r="M240" i="1"/>
  <c r="N240" i="1"/>
  <c r="K239" i="1"/>
  <c r="L239" i="1" s="1"/>
  <c r="M239" i="1"/>
  <c r="N239" i="1"/>
  <c r="K238" i="1"/>
  <c r="L238" i="1" s="1"/>
  <c r="M238" i="1"/>
  <c r="N238" i="1"/>
  <c r="K237" i="1"/>
  <c r="L237" i="1" s="1"/>
  <c r="M237" i="1"/>
  <c r="N237" i="1"/>
  <c r="K236" i="1"/>
  <c r="L236" i="1" s="1"/>
  <c r="M236" i="1"/>
  <c r="N236" i="1"/>
  <c r="K235" i="1"/>
  <c r="L235" i="1" s="1"/>
  <c r="M235" i="1"/>
  <c r="N235" i="1"/>
  <c r="K234" i="1"/>
  <c r="L234" i="1" s="1"/>
  <c r="M234" i="1"/>
  <c r="N234" i="1"/>
  <c r="K233" i="1"/>
  <c r="L233" i="1" s="1"/>
  <c r="M233" i="1"/>
  <c r="N233" i="1"/>
  <c r="K232" i="1"/>
  <c r="L232" i="1" s="1"/>
  <c r="M232" i="1"/>
  <c r="N232" i="1"/>
  <c r="K225" i="1"/>
  <c r="L225" i="1" s="1"/>
  <c r="M225" i="1"/>
  <c r="N225" i="1"/>
  <c r="P225" i="1"/>
  <c r="T225" i="1"/>
  <c r="U225" i="1" s="1"/>
  <c r="V225" i="1"/>
  <c r="W225" i="1" s="1"/>
  <c r="K229" i="1"/>
  <c r="L229" i="1" s="1"/>
  <c r="M229" i="1"/>
  <c r="N229" i="1"/>
  <c r="P229" i="1"/>
  <c r="T229" i="1"/>
  <c r="U229" i="1" s="1"/>
  <c r="V229" i="1"/>
  <c r="W229" i="1" s="1"/>
  <c r="K231" i="1"/>
  <c r="L231" i="1" s="1"/>
  <c r="M231" i="1"/>
  <c r="N231" i="1"/>
  <c r="K228" i="1"/>
  <c r="L228" i="1" s="1"/>
  <c r="N228" i="1"/>
  <c r="M228" i="1"/>
  <c r="K227" i="1"/>
  <c r="L227" i="1" s="1"/>
  <c r="M227" i="1"/>
  <c r="N227" i="1"/>
  <c r="K226" i="1"/>
  <c r="L226" i="1" s="1"/>
  <c r="N226" i="1"/>
  <c r="M226" i="1"/>
  <c r="K224" i="1"/>
  <c r="L224" i="1" s="1"/>
  <c r="M224" i="1"/>
  <c r="N224" i="1"/>
  <c r="K223" i="1"/>
  <c r="L223" i="1" s="1"/>
  <c r="M223" i="1"/>
  <c r="N223" i="1"/>
  <c r="K222" i="1"/>
  <c r="L222" i="1" s="1"/>
  <c r="M222" i="1"/>
  <c r="N222" i="1"/>
  <c r="K221" i="1"/>
  <c r="L221" i="1" s="1"/>
  <c r="M221" i="1"/>
  <c r="N221" i="1"/>
  <c r="K220" i="1"/>
  <c r="L220" i="1" s="1"/>
  <c r="M220" i="1"/>
  <c r="N220" i="1"/>
  <c r="K219" i="1"/>
  <c r="L219" i="1" s="1"/>
  <c r="M219" i="1"/>
  <c r="N219" i="1"/>
  <c r="K208" i="1"/>
  <c r="L208" i="1" s="1"/>
  <c r="M208" i="1"/>
  <c r="N208" i="1"/>
  <c r="K2" i="1"/>
  <c r="M2" i="1"/>
  <c r="N2" i="1"/>
  <c r="K218" i="1"/>
  <c r="L218" i="1" s="1"/>
  <c r="M218" i="1"/>
  <c r="N218" i="1"/>
  <c r="K217" i="1"/>
  <c r="L217" i="1" s="1"/>
  <c r="M217" i="1"/>
  <c r="N217" i="1"/>
  <c r="K216" i="1"/>
  <c r="L216" i="1" s="1"/>
  <c r="M216" i="1"/>
  <c r="N216" i="1"/>
  <c r="P216" i="1"/>
  <c r="R216" i="1" s="1"/>
  <c r="T216" i="1"/>
  <c r="U216" i="1" s="1"/>
  <c r="V216" i="1"/>
  <c r="W216" i="1" s="1"/>
  <c r="K215" i="1"/>
  <c r="L215" i="1" s="1"/>
  <c r="M215" i="1"/>
  <c r="N215" i="1"/>
  <c r="K214" i="1"/>
  <c r="L214" i="1" s="1"/>
  <c r="M214" i="1"/>
  <c r="N214" i="1"/>
  <c r="K213" i="1"/>
  <c r="L213" i="1" s="1"/>
  <c r="M213" i="1"/>
  <c r="N213" i="1"/>
  <c r="K212" i="1"/>
  <c r="L212" i="1" s="1"/>
  <c r="M212" i="1"/>
  <c r="N212" i="1"/>
  <c r="K211" i="1"/>
  <c r="L211" i="1" s="1"/>
  <c r="M211" i="1"/>
  <c r="N211" i="1"/>
  <c r="K210" i="1"/>
  <c r="L210" i="1" s="1"/>
  <c r="M210" i="1"/>
  <c r="N210" i="1"/>
  <c r="K209" i="1"/>
  <c r="L209" i="1" s="1"/>
  <c r="M209" i="1"/>
  <c r="N209" i="1"/>
  <c r="K207" i="1"/>
  <c r="L207" i="1" s="1"/>
  <c r="M207" i="1"/>
  <c r="N207" i="1"/>
  <c r="K206" i="1"/>
  <c r="L206" i="1" s="1"/>
  <c r="M206" i="1"/>
  <c r="N206" i="1"/>
  <c r="K205" i="1"/>
  <c r="L205" i="1" s="1"/>
  <c r="M205" i="1"/>
  <c r="N205" i="1"/>
  <c r="K204" i="1"/>
  <c r="L204" i="1" s="1"/>
  <c r="M204" i="1"/>
  <c r="N204" i="1"/>
  <c r="K203" i="1"/>
  <c r="L203" i="1" s="1"/>
  <c r="M203" i="1"/>
  <c r="N203" i="1"/>
  <c r="V18" i="1"/>
  <c r="W18" i="1" s="1"/>
  <c r="V26" i="1"/>
  <c r="W26" i="1" s="1"/>
  <c r="V29" i="1"/>
  <c r="W29" i="1" s="1"/>
  <c r="V31" i="1"/>
  <c r="W31" i="1" s="1"/>
  <c r="V35" i="1"/>
  <c r="W35" i="1" s="1"/>
  <c r="V40" i="1"/>
  <c r="W40" i="1" s="1"/>
  <c r="V47" i="1"/>
  <c r="W47" i="1" s="1"/>
  <c r="V50" i="1"/>
  <c r="W50" i="1" s="1"/>
  <c r="V54" i="1"/>
  <c r="W54" i="1" s="1"/>
  <c r="V56" i="1"/>
  <c r="W56" i="1" s="1"/>
  <c r="V67" i="1"/>
  <c r="W67" i="1" s="1"/>
  <c r="V78" i="1"/>
  <c r="W78" i="1" s="1"/>
  <c r="V93" i="1"/>
  <c r="W93" i="1" s="1"/>
  <c r="V95" i="1"/>
  <c r="W95" i="1" s="1"/>
  <c r="V102" i="1"/>
  <c r="W102" i="1" s="1"/>
  <c r="V117" i="1"/>
  <c r="W117" i="1" s="1"/>
  <c r="V124" i="1"/>
  <c r="W124" i="1" s="1"/>
  <c r="V144" i="1"/>
  <c r="W144" i="1" s="1"/>
  <c r="V155" i="1"/>
  <c r="W155" i="1" s="1"/>
  <c r="V171" i="1"/>
  <c r="W171" i="1" s="1"/>
  <c r="V176" i="1"/>
  <c r="W176" i="1" s="1"/>
  <c r="V185" i="1"/>
  <c r="W185" i="1" s="1"/>
  <c r="V194" i="1"/>
  <c r="W194" i="1" s="1"/>
  <c r="K202" i="1"/>
  <c r="L202" i="1" s="1"/>
  <c r="M202" i="1"/>
  <c r="N202" i="1"/>
  <c r="K201" i="1"/>
  <c r="L201" i="1" s="1"/>
  <c r="M201" i="1"/>
  <c r="N201" i="1"/>
  <c r="K200" i="1"/>
  <c r="L200" i="1" s="1"/>
  <c r="M200" i="1"/>
  <c r="N200" i="1"/>
  <c r="K199" i="1"/>
  <c r="L199" i="1" s="1"/>
  <c r="M199" i="1"/>
  <c r="N199" i="1"/>
  <c r="K198" i="1"/>
  <c r="L198" i="1" s="1"/>
  <c r="M198" i="1"/>
  <c r="N198" i="1"/>
  <c r="K197" i="1"/>
  <c r="L197" i="1" s="1"/>
  <c r="M197" i="1"/>
  <c r="N197" i="1"/>
  <c r="K195" i="1"/>
  <c r="L195" i="1" s="1"/>
  <c r="M195" i="1"/>
  <c r="N195" i="1"/>
  <c r="K194" i="1"/>
  <c r="L194" i="1" s="1"/>
  <c r="M194" i="1"/>
  <c r="N194" i="1"/>
  <c r="P194" i="1"/>
  <c r="R194" i="1" s="1"/>
  <c r="T194" i="1"/>
  <c r="U194" i="1" s="1"/>
  <c r="K193" i="1"/>
  <c r="L193" i="1" s="1"/>
  <c r="M193" i="1"/>
  <c r="N193" i="1"/>
  <c r="K192" i="1"/>
  <c r="L192" i="1" s="1"/>
  <c r="M192" i="1"/>
  <c r="N192" i="1"/>
  <c r="K191" i="1"/>
  <c r="L191" i="1" s="1"/>
  <c r="M191" i="1"/>
  <c r="N191" i="1"/>
  <c r="K190" i="1"/>
  <c r="L190" i="1" s="1"/>
  <c r="M190" i="1"/>
  <c r="N190" i="1"/>
  <c r="K189" i="1"/>
  <c r="L189" i="1" s="1"/>
  <c r="M189" i="1"/>
  <c r="N189" i="1"/>
  <c r="K188" i="1"/>
  <c r="L188" i="1" s="1"/>
  <c r="M188" i="1"/>
  <c r="N188" i="1"/>
  <c r="K187" i="1"/>
  <c r="L187" i="1" s="1"/>
  <c r="M187" i="1"/>
  <c r="N187" i="1"/>
  <c r="K186" i="1"/>
  <c r="L186" i="1" s="1"/>
  <c r="M186" i="1"/>
  <c r="N186" i="1"/>
  <c r="K183" i="1"/>
  <c r="L183" i="1" s="1"/>
  <c r="M183" i="1"/>
  <c r="N183" i="1"/>
  <c r="K184" i="1"/>
  <c r="L184" i="1" s="1"/>
  <c r="M184" i="1"/>
  <c r="N184" i="1"/>
  <c r="K185" i="1"/>
  <c r="L185" i="1" s="1"/>
  <c r="M185" i="1"/>
  <c r="N185" i="1"/>
  <c r="P185" i="1"/>
  <c r="R185" i="1" s="1"/>
  <c r="T185" i="1"/>
  <c r="U185" i="1" s="1"/>
  <c r="K182" i="1"/>
  <c r="L182" i="1" s="1"/>
  <c r="M182" i="1"/>
  <c r="N182" i="1"/>
  <c r="K181" i="1"/>
  <c r="L181" i="1" s="1"/>
  <c r="M181" i="1"/>
  <c r="N181" i="1"/>
  <c r="K180" i="1"/>
  <c r="L180" i="1" s="1"/>
  <c r="M180" i="1"/>
  <c r="N180" i="1"/>
  <c r="K176" i="1"/>
  <c r="L176" i="1" s="1"/>
  <c r="M176" i="1"/>
  <c r="N176" i="1"/>
  <c r="P176" i="1"/>
  <c r="R176" i="1" s="1"/>
  <c r="T176" i="1"/>
  <c r="U176" i="1" s="1"/>
  <c r="K179" i="1"/>
  <c r="L179" i="1" s="1"/>
  <c r="M179" i="1"/>
  <c r="N179" i="1"/>
  <c r="K171" i="1"/>
  <c r="L171" i="1" s="1"/>
  <c r="M171" i="1"/>
  <c r="N171" i="1"/>
  <c r="P171" i="1"/>
  <c r="R171" i="1" s="1"/>
  <c r="T171" i="1"/>
  <c r="U171" i="1" s="1"/>
  <c r="K178" i="1"/>
  <c r="L178" i="1" s="1"/>
  <c r="M178" i="1"/>
  <c r="N178" i="1"/>
  <c r="K177" i="1"/>
  <c r="L177" i="1" s="1"/>
  <c r="M177" i="1"/>
  <c r="N177" i="1"/>
  <c r="K175" i="1"/>
  <c r="L175" i="1" s="1"/>
  <c r="M175" i="1"/>
  <c r="N175" i="1"/>
  <c r="K174" i="1"/>
  <c r="L174" i="1" s="1"/>
  <c r="M174" i="1"/>
  <c r="N174" i="1"/>
  <c r="K173" i="1"/>
  <c r="L173" i="1" s="1"/>
  <c r="M173" i="1"/>
  <c r="N173" i="1"/>
  <c r="K172" i="1"/>
  <c r="L172" i="1" s="1"/>
  <c r="M172" i="1"/>
  <c r="N172" i="1"/>
  <c r="K170" i="1"/>
  <c r="L170" i="1" s="1"/>
  <c r="M170" i="1"/>
  <c r="N170" i="1"/>
  <c r="K169" i="1"/>
  <c r="L169" i="1" s="1"/>
  <c r="M169" i="1"/>
  <c r="N169" i="1"/>
  <c r="K168" i="1"/>
  <c r="L168" i="1" s="1"/>
  <c r="M168" i="1"/>
  <c r="N168" i="1"/>
  <c r="K167" i="1"/>
  <c r="L167" i="1" s="1"/>
  <c r="M167" i="1"/>
  <c r="N167" i="1"/>
  <c r="K166" i="1"/>
  <c r="L166" i="1" s="1"/>
  <c r="M166" i="1"/>
  <c r="N166" i="1"/>
  <c r="K165" i="1"/>
  <c r="L165" i="1" s="1"/>
  <c r="M165" i="1"/>
  <c r="N165" i="1"/>
  <c r="K164" i="1"/>
  <c r="L164" i="1" s="1"/>
  <c r="M164" i="1"/>
  <c r="N164" i="1"/>
  <c r="K163" i="1"/>
  <c r="L163" i="1" s="1"/>
  <c r="M163" i="1"/>
  <c r="N163" i="1"/>
  <c r="K162" i="1"/>
  <c r="L162" i="1" s="1"/>
  <c r="M162" i="1"/>
  <c r="N162" i="1"/>
  <c r="K161" i="1"/>
  <c r="L161" i="1" s="1"/>
  <c r="M161" i="1"/>
  <c r="N161" i="1"/>
  <c r="K160" i="1"/>
  <c r="L160" i="1" s="1"/>
  <c r="M160" i="1"/>
  <c r="N160" i="1"/>
  <c r="K159" i="1"/>
  <c r="L159" i="1" s="1"/>
  <c r="M159" i="1"/>
  <c r="N159" i="1"/>
  <c r="K158" i="1"/>
  <c r="L158" i="1" s="1"/>
  <c r="M158" i="1"/>
  <c r="N158" i="1"/>
  <c r="K157" i="1"/>
  <c r="L157" i="1" s="1"/>
  <c r="M157" i="1"/>
  <c r="N157" i="1"/>
  <c r="K155" i="1"/>
  <c r="L155" i="1" s="1"/>
  <c r="M155" i="1"/>
  <c r="N155" i="1"/>
  <c r="P155" i="1"/>
  <c r="R155" i="1" s="1"/>
  <c r="T155" i="1"/>
  <c r="U155" i="1" s="1"/>
  <c r="K156" i="1"/>
  <c r="L156" i="1" s="1"/>
  <c r="M156" i="1"/>
  <c r="N156" i="1"/>
  <c r="K154" i="1"/>
  <c r="L154" i="1" s="1"/>
  <c r="M154" i="1"/>
  <c r="N154" i="1"/>
  <c r="K153" i="1"/>
  <c r="L153" i="1" s="1"/>
  <c r="M153" i="1"/>
  <c r="N153" i="1"/>
  <c r="K152" i="1"/>
  <c r="L152" i="1" s="1"/>
  <c r="M152" i="1"/>
  <c r="N152" i="1"/>
  <c r="K151" i="1"/>
  <c r="L151" i="1" s="1"/>
  <c r="M151" i="1"/>
  <c r="N151" i="1"/>
  <c r="K150" i="1"/>
  <c r="L150" i="1" s="1"/>
  <c r="M150" i="1"/>
  <c r="N150" i="1"/>
  <c r="K149" i="1"/>
  <c r="L149" i="1" s="1"/>
  <c r="M149" i="1"/>
  <c r="N149" i="1"/>
  <c r="K144" i="1"/>
  <c r="L144" i="1" s="1"/>
  <c r="M144" i="1"/>
  <c r="N144" i="1"/>
  <c r="P144" i="1"/>
  <c r="R144" i="1" s="1"/>
  <c r="T144" i="1"/>
  <c r="U144" i="1" s="1"/>
  <c r="K148" i="1"/>
  <c r="L148" i="1" s="1"/>
  <c r="M148" i="1"/>
  <c r="N148" i="1"/>
  <c r="K147" i="1"/>
  <c r="L147" i="1" s="1"/>
  <c r="M147" i="1"/>
  <c r="N147" i="1"/>
  <c r="K146" i="1"/>
  <c r="L146" i="1" s="1"/>
  <c r="M146" i="1"/>
  <c r="N146" i="1"/>
  <c r="K145" i="1"/>
  <c r="L145" i="1" s="1"/>
  <c r="M145" i="1"/>
  <c r="N145" i="1"/>
  <c r="K143" i="1"/>
  <c r="L143" i="1" s="1"/>
  <c r="M143" i="1"/>
  <c r="N143" i="1"/>
  <c r="K142" i="1"/>
  <c r="L142" i="1" s="1"/>
  <c r="M142" i="1"/>
  <c r="N142" i="1"/>
  <c r="K141" i="1"/>
  <c r="L141" i="1" s="1"/>
  <c r="M141" i="1"/>
  <c r="N141" i="1"/>
  <c r="K140" i="1"/>
  <c r="L140" i="1" s="1"/>
  <c r="M140" i="1"/>
  <c r="N140" i="1"/>
  <c r="K139" i="1"/>
  <c r="L139" i="1" s="1"/>
  <c r="M139" i="1"/>
  <c r="N139" i="1"/>
  <c r="K138" i="1"/>
  <c r="L138" i="1" s="1"/>
  <c r="M138" i="1"/>
  <c r="N138" i="1"/>
  <c r="K137" i="1"/>
  <c r="L137" i="1" s="1"/>
  <c r="M137" i="1"/>
  <c r="N137" i="1"/>
  <c r="K136" i="1"/>
  <c r="L136" i="1" s="1"/>
  <c r="M136" i="1"/>
  <c r="N136" i="1"/>
  <c r="K135" i="1"/>
  <c r="L135" i="1" s="1"/>
  <c r="M135" i="1"/>
  <c r="N135" i="1"/>
  <c r="K134" i="1"/>
  <c r="L134" i="1" s="1"/>
  <c r="M134" i="1"/>
  <c r="N134" i="1"/>
  <c r="K133" i="1"/>
  <c r="L133" i="1" s="1"/>
  <c r="M133" i="1"/>
  <c r="N133" i="1"/>
  <c r="K132" i="1"/>
  <c r="L132" i="1" s="1"/>
  <c r="M132" i="1"/>
  <c r="N132" i="1"/>
  <c r="K131" i="1"/>
  <c r="L131" i="1" s="1"/>
  <c r="M131" i="1"/>
  <c r="N131" i="1"/>
  <c r="K130" i="1"/>
  <c r="L130" i="1" s="1"/>
  <c r="M130" i="1"/>
  <c r="N130" i="1"/>
  <c r="K117" i="1"/>
  <c r="L117" i="1" s="1"/>
  <c r="M117" i="1"/>
  <c r="N117" i="1"/>
  <c r="P117" i="1"/>
  <c r="R117" i="1" s="1"/>
  <c r="T117" i="1"/>
  <c r="U117" i="1" s="1"/>
  <c r="K93" i="1"/>
  <c r="L93" i="1" s="1"/>
  <c r="M93" i="1"/>
  <c r="N93" i="1"/>
  <c r="P93" i="1"/>
  <c r="R93" i="1" s="1"/>
  <c r="T93" i="1"/>
  <c r="U93" i="1" s="1"/>
  <c r="K78" i="1"/>
  <c r="L78" i="1" s="1"/>
  <c r="M78" i="1"/>
  <c r="N78" i="1"/>
  <c r="P78" i="1"/>
  <c r="R78" i="1" s="1"/>
  <c r="T78" i="1"/>
  <c r="U78" i="1" s="1"/>
  <c r="K129" i="1"/>
  <c r="L129" i="1" s="1"/>
  <c r="M129" i="1"/>
  <c r="N129" i="1"/>
  <c r="K128" i="1"/>
  <c r="L128" i="1" s="1"/>
  <c r="M128" i="1"/>
  <c r="N128" i="1"/>
  <c r="K127" i="1"/>
  <c r="L127" i="1" s="1"/>
  <c r="M127" i="1"/>
  <c r="N127" i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1" i="1"/>
  <c r="L71" i="1" s="1"/>
  <c r="K73" i="1"/>
  <c r="L73" i="1" s="1"/>
  <c r="K74" i="1"/>
  <c r="L74" i="1" s="1"/>
  <c r="K75" i="1"/>
  <c r="L75" i="1" s="1"/>
  <c r="K76" i="1"/>
  <c r="L76" i="1" s="1"/>
  <c r="K77" i="1"/>
  <c r="L77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5" i="1"/>
  <c r="L95" i="1" s="1"/>
  <c r="K97" i="1"/>
  <c r="L97" i="1" s="1"/>
  <c r="K98" i="1"/>
  <c r="L98" i="1" s="1"/>
  <c r="K99" i="1"/>
  <c r="L99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8" i="1"/>
  <c r="L118" i="1" s="1"/>
  <c r="K119" i="1"/>
  <c r="L119" i="1" s="1"/>
  <c r="K124" i="1"/>
  <c r="L124" i="1" s="1"/>
  <c r="H120" i="1"/>
  <c r="K120" i="1" s="1"/>
  <c r="L120" i="1" s="1"/>
  <c r="H121" i="1"/>
  <c r="K121" i="1" s="1"/>
  <c r="L121" i="1" s="1"/>
  <c r="H122" i="1"/>
  <c r="K122" i="1" s="1"/>
  <c r="L122" i="1" s="1"/>
  <c r="H123" i="1"/>
  <c r="K123" i="1" s="1"/>
  <c r="L123" i="1" s="1"/>
  <c r="H125" i="1"/>
  <c r="K125" i="1" s="1"/>
  <c r="L125" i="1" s="1"/>
  <c r="H126" i="1"/>
  <c r="K126" i="1" s="1"/>
  <c r="L126" i="1" s="1"/>
  <c r="M126" i="1"/>
  <c r="N126" i="1"/>
  <c r="M125" i="1"/>
  <c r="N125" i="1"/>
  <c r="M124" i="1"/>
  <c r="N124" i="1"/>
  <c r="P124" i="1"/>
  <c r="R124" i="1" s="1"/>
  <c r="T124" i="1"/>
  <c r="U124" i="1" s="1"/>
  <c r="M123" i="1"/>
  <c r="N123" i="1"/>
  <c r="M122" i="1"/>
  <c r="N122" i="1"/>
  <c r="M121" i="1"/>
  <c r="N121" i="1"/>
  <c r="M120" i="1"/>
  <c r="N120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8" i="1"/>
  <c r="N119" i="1"/>
  <c r="M119" i="1"/>
  <c r="M118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P102" i="1"/>
  <c r="T102" i="1"/>
  <c r="U102" i="1" s="1"/>
  <c r="M101" i="1"/>
  <c r="H100" i="1"/>
  <c r="K100" i="1" s="1"/>
  <c r="L100" i="1" s="1"/>
  <c r="M100" i="1"/>
  <c r="M99" i="1"/>
  <c r="M98" i="1"/>
  <c r="M95" i="1"/>
  <c r="P95" i="1"/>
  <c r="R95" i="1" s="1"/>
  <c r="T95" i="1"/>
  <c r="U95" i="1" s="1"/>
  <c r="M97" i="1"/>
  <c r="G96" i="1"/>
  <c r="H96" i="1"/>
  <c r="M96" i="1"/>
  <c r="H94" i="1"/>
  <c r="K94" i="1" s="1"/>
  <c r="L94" i="1" s="1"/>
  <c r="O94" i="1" s="1"/>
  <c r="M94" i="1"/>
  <c r="H92" i="1"/>
  <c r="K92" i="1" s="1"/>
  <c r="L92" i="1" s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J77" i="1"/>
  <c r="M76" i="1"/>
  <c r="M75" i="1"/>
  <c r="M74" i="1"/>
  <c r="M73" i="1"/>
  <c r="G72" i="1"/>
  <c r="K72" i="1" s="1"/>
  <c r="L72" i="1" s="1"/>
  <c r="M72" i="1"/>
  <c r="M71" i="1"/>
  <c r="G70" i="1"/>
  <c r="M70" i="1"/>
  <c r="M56" i="1"/>
  <c r="P56" i="1"/>
  <c r="T56" i="1"/>
  <c r="U56" i="1" s="1"/>
  <c r="M67" i="1"/>
  <c r="P67" i="1"/>
  <c r="R67" i="1" s="1"/>
  <c r="T67" i="1"/>
  <c r="U67" i="1" s="1"/>
  <c r="P18" i="1"/>
  <c r="P26" i="1"/>
  <c r="R26" i="1" s="1"/>
  <c r="P29" i="1"/>
  <c r="P31" i="1"/>
  <c r="R31" i="1" s="1"/>
  <c r="P35" i="1"/>
  <c r="P40" i="1"/>
  <c r="P47" i="1"/>
  <c r="R47" i="1" s="1"/>
  <c r="P50" i="1"/>
  <c r="R50" i="1" s="1"/>
  <c r="P54" i="1"/>
  <c r="R54" i="1" s="1"/>
  <c r="M69" i="1"/>
  <c r="M68" i="1"/>
  <c r="M66" i="1"/>
  <c r="M65" i="1"/>
  <c r="M64" i="1"/>
  <c r="M63" i="1"/>
  <c r="M40" i="1"/>
  <c r="T40" i="1"/>
  <c r="U40" i="1" s="1"/>
  <c r="M54" i="1"/>
  <c r="T54" i="1"/>
  <c r="U54" i="1" s="1"/>
  <c r="M35" i="1"/>
  <c r="T35" i="1"/>
  <c r="U35" i="1" s="1"/>
  <c r="M62" i="1"/>
  <c r="M61" i="1"/>
  <c r="M60" i="1"/>
  <c r="M59" i="1"/>
  <c r="M58" i="1"/>
  <c r="M57" i="1"/>
  <c r="M55" i="1"/>
  <c r="T18" i="1"/>
  <c r="U18" i="1" s="1"/>
  <c r="T26" i="1"/>
  <c r="U26" i="1" s="1"/>
  <c r="T29" i="1"/>
  <c r="U29" i="1" s="1"/>
  <c r="T31" i="1"/>
  <c r="U31" i="1" s="1"/>
  <c r="T47" i="1"/>
  <c r="U47" i="1" s="1"/>
  <c r="T50" i="1"/>
  <c r="U50" i="1" s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6" i="1"/>
  <c r="M37" i="1"/>
  <c r="M38" i="1"/>
  <c r="M39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77" i="1" l="1"/>
  <c r="L2" i="1"/>
  <c r="P2" i="1" s="1"/>
  <c r="K70" i="1"/>
  <c r="L70" i="1" s="1"/>
  <c r="O70" i="1" s="1"/>
  <c r="O267" i="1"/>
  <c r="O92" i="1"/>
  <c r="O271" i="1"/>
  <c r="O266" i="1"/>
  <c r="O265" i="1"/>
  <c r="O129" i="1"/>
  <c r="O140" i="1"/>
  <c r="O150" i="1"/>
  <c r="O154" i="1"/>
  <c r="O155" i="1"/>
  <c r="O160" i="1"/>
  <c r="O254" i="1"/>
  <c r="O119" i="1"/>
  <c r="O114" i="1"/>
  <c r="O106" i="1"/>
  <c r="O102" i="1"/>
  <c r="O85" i="1"/>
  <c r="O191" i="1"/>
  <c r="O205" i="1"/>
  <c r="O215" i="1"/>
  <c r="O240" i="1"/>
  <c r="O241" i="1"/>
  <c r="O245" i="1"/>
  <c r="O109" i="1"/>
  <c r="O95" i="1"/>
  <c r="O88" i="1"/>
  <c r="O78" i="1"/>
  <c r="O139" i="1"/>
  <c r="O148" i="1"/>
  <c r="O149" i="1"/>
  <c r="O159" i="1"/>
  <c r="O167" i="1"/>
  <c r="O172" i="1"/>
  <c r="O171" i="1"/>
  <c r="O176" i="1"/>
  <c r="O183" i="1"/>
  <c r="O189" i="1"/>
  <c r="O225" i="1"/>
  <c r="O244" i="1"/>
  <c r="O248" i="1"/>
  <c r="O251" i="1"/>
  <c r="P121" i="1"/>
  <c r="T121" i="1" s="1"/>
  <c r="U121" i="1" s="1"/>
  <c r="O121" i="1"/>
  <c r="P105" i="1"/>
  <c r="T105" i="1" s="1"/>
  <c r="U105" i="1" s="1"/>
  <c r="O105" i="1"/>
  <c r="P80" i="1"/>
  <c r="T80" i="1" s="1"/>
  <c r="U80" i="1" s="1"/>
  <c r="O80" i="1"/>
  <c r="P61" i="1"/>
  <c r="T61" i="1" s="1"/>
  <c r="U61" i="1" s="1"/>
  <c r="O61" i="1"/>
  <c r="P53" i="1"/>
  <c r="R53" i="1" s="1"/>
  <c r="O53" i="1"/>
  <c r="P37" i="1"/>
  <c r="T37" i="1" s="1"/>
  <c r="U37" i="1" s="1"/>
  <c r="O37" i="1"/>
  <c r="P21" i="1"/>
  <c r="T21" i="1" s="1"/>
  <c r="U21" i="1" s="1"/>
  <c r="O21" i="1"/>
  <c r="P143" i="1"/>
  <c r="R143" i="1" s="1"/>
  <c r="O143" i="1"/>
  <c r="P163" i="1"/>
  <c r="R163" i="1" s="1"/>
  <c r="O163" i="1"/>
  <c r="P190" i="1"/>
  <c r="R190" i="1" s="1"/>
  <c r="O190" i="1"/>
  <c r="P197" i="1"/>
  <c r="T197" i="1" s="1"/>
  <c r="U197" i="1" s="1"/>
  <c r="O197" i="1"/>
  <c r="P204" i="1"/>
  <c r="T204" i="1" s="1"/>
  <c r="U204" i="1" s="1"/>
  <c r="O204" i="1"/>
  <c r="P214" i="1"/>
  <c r="R214" i="1" s="1"/>
  <c r="O214" i="1"/>
  <c r="P224" i="1"/>
  <c r="R224" i="1" s="1"/>
  <c r="O224" i="1"/>
  <c r="P126" i="1"/>
  <c r="T126" i="1" s="1"/>
  <c r="U126" i="1" s="1"/>
  <c r="O126" i="1"/>
  <c r="P69" i="1"/>
  <c r="R69" i="1" s="1"/>
  <c r="O69" i="1"/>
  <c r="P57" i="1"/>
  <c r="R57" i="1" s="1"/>
  <c r="O57" i="1"/>
  <c r="P41" i="1"/>
  <c r="Q41" i="1" s="1"/>
  <c r="S41" i="1" s="1"/>
  <c r="O41" i="1"/>
  <c r="P25" i="1"/>
  <c r="T25" i="1" s="1"/>
  <c r="U25" i="1" s="1"/>
  <c r="O25" i="1"/>
  <c r="P5" i="1"/>
  <c r="Q5" i="1" s="1"/>
  <c r="S5" i="1" s="1"/>
  <c r="O5" i="1"/>
  <c r="P219" i="1"/>
  <c r="R219" i="1" s="1"/>
  <c r="O219" i="1"/>
  <c r="P231" i="1"/>
  <c r="R231" i="1" s="1"/>
  <c r="O231" i="1"/>
  <c r="P239" i="1"/>
  <c r="R239" i="1" s="1"/>
  <c r="O239" i="1"/>
  <c r="P100" i="1"/>
  <c r="T100" i="1" s="1"/>
  <c r="U100" i="1" s="1"/>
  <c r="O100" i="1"/>
  <c r="O125" i="1"/>
  <c r="P120" i="1"/>
  <c r="R120" i="1" s="1"/>
  <c r="O120" i="1"/>
  <c r="P116" i="1"/>
  <c r="R116" i="1" s="1"/>
  <c r="O116" i="1"/>
  <c r="P112" i="1"/>
  <c r="R112" i="1" s="1"/>
  <c r="O112" i="1"/>
  <c r="O108" i="1"/>
  <c r="O104" i="1"/>
  <c r="P99" i="1"/>
  <c r="Q99" i="1" s="1"/>
  <c r="O99" i="1"/>
  <c r="P91" i="1"/>
  <c r="R91" i="1" s="1"/>
  <c r="O91" i="1"/>
  <c r="P87" i="1"/>
  <c r="T87" i="1" s="1"/>
  <c r="U87" i="1" s="1"/>
  <c r="O87" i="1"/>
  <c r="P83" i="1"/>
  <c r="Q83" i="1" s="1"/>
  <c r="V83" i="1" s="1"/>
  <c r="W83" i="1" s="1"/>
  <c r="O83" i="1"/>
  <c r="P79" i="1"/>
  <c r="R79" i="1" s="1"/>
  <c r="O79" i="1"/>
  <c r="O74" i="1"/>
  <c r="O68" i="1"/>
  <c r="P64" i="1"/>
  <c r="Q64" i="1" s="1"/>
  <c r="O64" i="1"/>
  <c r="P60" i="1"/>
  <c r="T60" i="1" s="1"/>
  <c r="U60" i="1" s="1"/>
  <c r="O60" i="1"/>
  <c r="O56" i="1"/>
  <c r="O52" i="1"/>
  <c r="O48" i="1"/>
  <c r="P44" i="1"/>
  <c r="R44" i="1" s="1"/>
  <c r="O44" i="1"/>
  <c r="O40" i="1"/>
  <c r="P36" i="1"/>
  <c r="R36" i="1" s="1"/>
  <c r="O36" i="1"/>
  <c r="O32" i="1"/>
  <c r="P28" i="1"/>
  <c r="T28" i="1" s="1"/>
  <c r="U28" i="1" s="1"/>
  <c r="O28" i="1"/>
  <c r="O24" i="1"/>
  <c r="O20" i="1"/>
  <c r="O16" i="1"/>
  <c r="P12" i="1"/>
  <c r="T12" i="1" s="1"/>
  <c r="U12" i="1" s="1"/>
  <c r="O12" i="1"/>
  <c r="P8" i="1"/>
  <c r="T8" i="1" s="1"/>
  <c r="U8" i="1" s="1"/>
  <c r="O8" i="1"/>
  <c r="P4" i="1"/>
  <c r="R4" i="1" s="1"/>
  <c r="O4" i="1"/>
  <c r="P127" i="1"/>
  <c r="R127" i="1" s="1"/>
  <c r="O127" i="1"/>
  <c r="O93" i="1"/>
  <c r="P130" i="1"/>
  <c r="R130" i="1" s="1"/>
  <c r="O130" i="1"/>
  <c r="O134" i="1"/>
  <c r="O138" i="1"/>
  <c r="P142" i="1"/>
  <c r="T142" i="1" s="1"/>
  <c r="U142" i="1" s="1"/>
  <c r="O142" i="1"/>
  <c r="O147" i="1"/>
  <c r="O144" i="1"/>
  <c r="P152" i="1"/>
  <c r="Q152" i="1" s="1"/>
  <c r="S152" i="1" s="1"/>
  <c r="O152" i="1"/>
  <c r="P158" i="1"/>
  <c r="T158" i="1" s="1"/>
  <c r="U158" i="1" s="1"/>
  <c r="O158" i="1"/>
  <c r="P162" i="1"/>
  <c r="Q162" i="1" s="1"/>
  <c r="V162" i="1" s="1"/>
  <c r="W162" i="1" s="1"/>
  <c r="O162" i="1"/>
  <c r="P166" i="1"/>
  <c r="Q166" i="1" s="1"/>
  <c r="S166" i="1" s="1"/>
  <c r="O166" i="1"/>
  <c r="P170" i="1"/>
  <c r="R170" i="1" s="1"/>
  <c r="O170" i="1"/>
  <c r="P175" i="1"/>
  <c r="R175" i="1" s="1"/>
  <c r="O175" i="1"/>
  <c r="P182" i="1"/>
  <c r="T182" i="1" s="1"/>
  <c r="U182" i="1" s="1"/>
  <c r="O182" i="1"/>
  <c r="P184" i="1"/>
  <c r="T184" i="1" s="1"/>
  <c r="U184" i="1" s="1"/>
  <c r="O184" i="1"/>
  <c r="P188" i="1"/>
  <c r="R188" i="1" s="1"/>
  <c r="O188" i="1"/>
  <c r="O193" i="1"/>
  <c r="P195" i="1"/>
  <c r="R195" i="1" s="1"/>
  <c r="O195" i="1"/>
  <c r="O200" i="1"/>
  <c r="P203" i="1"/>
  <c r="T203" i="1" s="1"/>
  <c r="U203" i="1" s="1"/>
  <c r="O203" i="1"/>
  <c r="P209" i="1"/>
  <c r="R209" i="1" s="1"/>
  <c r="O209" i="1"/>
  <c r="O213" i="1"/>
  <c r="O216" i="1"/>
  <c r="P208" i="1"/>
  <c r="Q208" i="1" s="1"/>
  <c r="O208" i="1"/>
  <c r="O222" i="1"/>
  <c r="O228" i="1"/>
  <c r="O234" i="1"/>
  <c r="P238" i="1"/>
  <c r="R238" i="1" s="1"/>
  <c r="O238" i="1"/>
  <c r="O243" i="1"/>
  <c r="P247" i="1"/>
  <c r="T247" i="1" s="1"/>
  <c r="U247" i="1" s="1"/>
  <c r="O247" i="1"/>
  <c r="P252" i="1"/>
  <c r="R252" i="1" s="1"/>
  <c r="O252" i="1"/>
  <c r="P253" i="1"/>
  <c r="Q253" i="1" s="1"/>
  <c r="S253" i="1" s="1"/>
  <c r="O253" i="1"/>
  <c r="O255" i="1"/>
  <c r="O256" i="1"/>
  <c r="O257" i="1"/>
  <c r="O258" i="1"/>
  <c r="O259" i="1"/>
  <c r="P260" i="1"/>
  <c r="Q260" i="1" s="1"/>
  <c r="O260" i="1"/>
  <c r="P261" i="1"/>
  <c r="Q261" i="1" s="1"/>
  <c r="O261" i="1"/>
  <c r="P262" i="1"/>
  <c r="Q262" i="1" s="1"/>
  <c r="V262" i="1" s="1"/>
  <c r="W262" i="1" s="1"/>
  <c r="O262" i="1"/>
  <c r="O263" i="1"/>
  <c r="O264" i="1"/>
  <c r="O230" i="1"/>
  <c r="P118" i="1"/>
  <c r="T118" i="1" s="1"/>
  <c r="U118" i="1" s="1"/>
  <c r="O118" i="1"/>
  <c r="P101" i="1"/>
  <c r="T101" i="1" s="1"/>
  <c r="U101" i="1" s="1"/>
  <c r="O101" i="1"/>
  <c r="P84" i="1"/>
  <c r="T84" i="1" s="1"/>
  <c r="U84" i="1" s="1"/>
  <c r="O84" i="1"/>
  <c r="P65" i="1"/>
  <c r="R65" i="1" s="1"/>
  <c r="O65" i="1"/>
  <c r="O45" i="1"/>
  <c r="P33" i="1"/>
  <c r="R33" i="1" s="1"/>
  <c r="O33" i="1"/>
  <c r="O13" i="1"/>
  <c r="P128" i="1"/>
  <c r="T128" i="1" s="1"/>
  <c r="U128" i="1" s="1"/>
  <c r="O128" i="1"/>
  <c r="P135" i="1"/>
  <c r="T135" i="1" s="1"/>
  <c r="U135" i="1" s="1"/>
  <c r="O135" i="1"/>
  <c r="P153" i="1"/>
  <c r="T153" i="1" s="1"/>
  <c r="U153" i="1" s="1"/>
  <c r="O153" i="1"/>
  <c r="P201" i="1"/>
  <c r="R201" i="1" s="1"/>
  <c r="O201" i="1"/>
  <c r="P217" i="1"/>
  <c r="R217" i="1" s="1"/>
  <c r="O217" i="1"/>
  <c r="P223" i="1"/>
  <c r="T223" i="1" s="1"/>
  <c r="U223" i="1" s="1"/>
  <c r="O223" i="1"/>
  <c r="P250" i="1"/>
  <c r="T250" i="1" s="1"/>
  <c r="U250" i="1" s="1"/>
  <c r="O250" i="1"/>
  <c r="O123" i="1"/>
  <c r="O124" i="1"/>
  <c r="P115" i="1"/>
  <c r="R115" i="1" s="1"/>
  <c r="O115" i="1"/>
  <c r="P111" i="1"/>
  <c r="T111" i="1" s="1"/>
  <c r="U111" i="1" s="1"/>
  <c r="O111" i="1"/>
  <c r="P107" i="1"/>
  <c r="R107" i="1" s="1"/>
  <c r="O107" i="1"/>
  <c r="P103" i="1"/>
  <c r="R103" i="1" s="1"/>
  <c r="O103" i="1"/>
  <c r="P98" i="1"/>
  <c r="Q98" i="1" s="1"/>
  <c r="V98" i="1" s="1"/>
  <c r="W98" i="1" s="1"/>
  <c r="O98" i="1"/>
  <c r="P90" i="1"/>
  <c r="Q90" i="1" s="1"/>
  <c r="S90" i="1" s="1"/>
  <c r="O90" i="1"/>
  <c r="P86" i="1"/>
  <c r="R86" i="1" s="1"/>
  <c r="O86" i="1"/>
  <c r="P82" i="1"/>
  <c r="T82" i="1" s="1"/>
  <c r="U82" i="1" s="1"/>
  <c r="O82" i="1"/>
  <c r="P77" i="1"/>
  <c r="P73" i="1"/>
  <c r="T73" i="1" s="1"/>
  <c r="U73" i="1" s="1"/>
  <c r="O73" i="1"/>
  <c r="O67" i="1"/>
  <c r="O63" i="1"/>
  <c r="P59" i="1"/>
  <c r="T59" i="1" s="1"/>
  <c r="U59" i="1" s="1"/>
  <c r="O59" i="1"/>
  <c r="P55" i="1"/>
  <c r="T55" i="1" s="1"/>
  <c r="U55" i="1" s="1"/>
  <c r="O55" i="1"/>
  <c r="O51" i="1"/>
  <c r="O47" i="1"/>
  <c r="O43" i="1"/>
  <c r="P39" i="1"/>
  <c r="R39" i="1" s="1"/>
  <c r="O39" i="1"/>
  <c r="O35" i="1"/>
  <c r="O31" i="1"/>
  <c r="P27" i="1"/>
  <c r="Q27" i="1" s="1"/>
  <c r="O27" i="1"/>
  <c r="P23" i="1"/>
  <c r="T23" i="1" s="1"/>
  <c r="U23" i="1" s="1"/>
  <c r="O23" i="1"/>
  <c r="P19" i="1"/>
  <c r="R19" i="1" s="1"/>
  <c r="O19" i="1"/>
  <c r="O15" i="1"/>
  <c r="P11" i="1"/>
  <c r="Q11" i="1" s="1"/>
  <c r="O11" i="1"/>
  <c r="P7" i="1"/>
  <c r="R7" i="1" s="1"/>
  <c r="O7" i="1"/>
  <c r="P3" i="1"/>
  <c r="R3" i="1" s="1"/>
  <c r="O3" i="1"/>
  <c r="O117" i="1"/>
  <c r="P133" i="1"/>
  <c r="R133" i="1" s="1"/>
  <c r="O133" i="1"/>
  <c r="P137" i="1"/>
  <c r="T137" i="1" s="1"/>
  <c r="U137" i="1" s="1"/>
  <c r="O137" i="1"/>
  <c r="P141" i="1"/>
  <c r="T141" i="1" s="1"/>
  <c r="U141" i="1" s="1"/>
  <c r="O141" i="1"/>
  <c r="O146" i="1"/>
  <c r="P151" i="1"/>
  <c r="Q151" i="1" s="1"/>
  <c r="S151" i="1" s="1"/>
  <c r="O151" i="1"/>
  <c r="O156" i="1"/>
  <c r="P157" i="1"/>
  <c r="R157" i="1" s="1"/>
  <c r="O157" i="1"/>
  <c r="P161" i="1"/>
  <c r="R161" i="1" s="1"/>
  <c r="O161" i="1"/>
  <c r="P165" i="1"/>
  <c r="T165" i="1" s="1"/>
  <c r="U165" i="1" s="1"/>
  <c r="O165" i="1"/>
  <c r="P169" i="1"/>
  <c r="T169" i="1" s="1"/>
  <c r="U169" i="1" s="1"/>
  <c r="O169" i="1"/>
  <c r="O174" i="1"/>
  <c r="O181" i="1"/>
  <c r="O185" i="1"/>
  <c r="P187" i="1"/>
  <c r="R187" i="1" s="1"/>
  <c r="O187" i="1"/>
  <c r="O192" i="1"/>
  <c r="O194" i="1"/>
  <c r="P199" i="1"/>
  <c r="R199" i="1" s="1"/>
  <c r="O199" i="1"/>
  <c r="P206" i="1"/>
  <c r="R206" i="1" s="1"/>
  <c r="O206" i="1"/>
  <c r="P207" i="1"/>
  <c r="T207" i="1" s="1"/>
  <c r="U207" i="1" s="1"/>
  <c r="O207" i="1"/>
  <c r="O212" i="1"/>
  <c r="O221" i="1"/>
  <c r="P227" i="1"/>
  <c r="T227" i="1" s="1"/>
  <c r="U227" i="1" s="1"/>
  <c r="O227" i="1"/>
  <c r="O229" i="1"/>
  <c r="O233" i="1"/>
  <c r="P237" i="1"/>
  <c r="R237" i="1" s="1"/>
  <c r="O237" i="1"/>
  <c r="O242" i="1"/>
  <c r="O246" i="1"/>
  <c r="O249" i="1"/>
  <c r="O196" i="1"/>
  <c r="O268" i="1"/>
  <c r="O269" i="1"/>
  <c r="O270" i="1"/>
  <c r="P113" i="1"/>
  <c r="R113" i="1" s="1"/>
  <c r="O113" i="1"/>
  <c r="P75" i="1"/>
  <c r="R75" i="1" s="1"/>
  <c r="O75" i="1"/>
  <c r="O49" i="1"/>
  <c r="O29" i="1"/>
  <c r="P17" i="1"/>
  <c r="Q17" i="1" s="1"/>
  <c r="O17" i="1"/>
  <c r="P131" i="1"/>
  <c r="R131" i="1" s="1"/>
  <c r="O131" i="1"/>
  <c r="P177" i="1"/>
  <c r="Q177" i="1" s="1"/>
  <c r="V177" i="1" s="1"/>
  <c r="W177" i="1" s="1"/>
  <c r="O177" i="1"/>
  <c r="P210" i="1"/>
  <c r="T210" i="1" s="1"/>
  <c r="U210" i="1" s="1"/>
  <c r="O210" i="1"/>
  <c r="P235" i="1"/>
  <c r="T235" i="1" s="1"/>
  <c r="U235" i="1" s="1"/>
  <c r="O235" i="1"/>
  <c r="P72" i="1"/>
  <c r="R72" i="1" s="1"/>
  <c r="O72" i="1"/>
  <c r="P122" i="1"/>
  <c r="T122" i="1" s="1"/>
  <c r="U122" i="1" s="1"/>
  <c r="O122" i="1"/>
  <c r="P110" i="1"/>
  <c r="R110" i="1" s="1"/>
  <c r="O110" i="1"/>
  <c r="O97" i="1"/>
  <c r="P89" i="1"/>
  <c r="T89" i="1" s="1"/>
  <c r="U89" i="1" s="1"/>
  <c r="O89" i="1"/>
  <c r="P81" i="1"/>
  <c r="T81" i="1" s="1"/>
  <c r="U81" i="1" s="1"/>
  <c r="O81" i="1"/>
  <c r="P76" i="1"/>
  <c r="T76" i="1" s="1"/>
  <c r="U76" i="1" s="1"/>
  <c r="O76" i="1"/>
  <c r="P71" i="1"/>
  <c r="Q71" i="1" s="1"/>
  <c r="V71" i="1" s="1"/>
  <c r="W71" i="1" s="1"/>
  <c r="O71" i="1"/>
  <c r="O66" i="1"/>
  <c r="P62" i="1"/>
  <c r="T62" i="1" s="1"/>
  <c r="U62" i="1" s="1"/>
  <c r="O62" i="1"/>
  <c r="P58" i="1"/>
  <c r="T58" i="1" s="1"/>
  <c r="U58" i="1" s="1"/>
  <c r="O58" i="1"/>
  <c r="O54" i="1"/>
  <c r="O50" i="1"/>
  <c r="P46" i="1"/>
  <c r="R46" i="1" s="1"/>
  <c r="O46" i="1"/>
  <c r="P42" i="1"/>
  <c r="T42" i="1" s="1"/>
  <c r="U42" i="1" s="1"/>
  <c r="O42" i="1"/>
  <c r="P38" i="1"/>
  <c r="T38" i="1" s="1"/>
  <c r="U38" i="1" s="1"/>
  <c r="O38" i="1"/>
  <c r="O34" i="1"/>
  <c r="P30" i="1"/>
  <c r="T30" i="1" s="1"/>
  <c r="U30" i="1" s="1"/>
  <c r="O30" i="1"/>
  <c r="O26" i="1"/>
  <c r="P22" i="1"/>
  <c r="T22" i="1" s="1"/>
  <c r="U22" i="1" s="1"/>
  <c r="O22" i="1"/>
  <c r="O18" i="1"/>
  <c r="P14" i="1"/>
  <c r="R14" i="1" s="1"/>
  <c r="O14" i="1"/>
  <c r="O10" i="1"/>
  <c r="P6" i="1"/>
  <c r="Q6" i="1" s="1"/>
  <c r="V6" i="1" s="1"/>
  <c r="W6" i="1" s="1"/>
  <c r="O6" i="1"/>
  <c r="P132" i="1"/>
  <c r="T132" i="1" s="1"/>
  <c r="U132" i="1" s="1"/>
  <c r="O132" i="1"/>
  <c r="P136" i="1"/>
  <c r="R136" i="1" s="1"/>
  <c r="O136" i="1"/>
  <c r="P145" i="1"/>
  <c r="R145" i="1" s="1"/>
  <c r="O145" i="1"/>
  <c r="P164" i="1"/>
  <c r="R164" i="1" s="1"/>
  <c r="O164" i="1"/>
  <c r="P168" i="1"/>
  <c r="R168" i="1" s="1"/>
  <c r="O168" i="1"/>
  <c r="P173" i="1"/>
  <c r="R173" i="1" s="1"/>
  <c r="O173" i="1"/>
  <c r="P178" i="1"/>
  <c r="T178" i="1" s="1"/>
  <c r="U178" i="1" s="1"/>
  <c r="O178" i="1"/>
  <c r="P179" i="1"/>
  <c r="T179" i="1" s="1"/>
  <c r="U179" i="1" s="1"/>
  <c r="O179" i="1"/>
  <c r="P180" i="1"/>
  <c r="T180" i="1" s="1"/>
  <c r="U180" i="1" s="1"/>
  <c r="O180" i="1"/>
  <c r="P186" i="1"/>
  <c r="T186" i="1" s="1"/>
  <c r="U186" i="1" s="1"/>
  <c r="O186" i="1"/>
  <c r="P198" i="1"/>
  <c r="Q198" i="1" s="1"/>
  <c r="S198" i="1" s="1"/>
  <c r="O198" i="1"/>
  <c r="P202" i="1"/>
  <c r="R202" i="1" s="1"/>
  <c r="O202" i="1"/>
  <c r="P211" i="1"/>
  <c r="T211" i="1" s="1"/>
  <c r="U211" i="1" s="1"/>
  <c r="O211" i="1"/>
  <c r="P218" i="1"/>
  <c r="T218" i="1" s="1"/>
  <c r="U218" i="1" s="1"/>
  <c r="O218" i="1"/>
  <c r="P220" i="1"/>
  <c r="R220" i="1" s="1"/>
  <c r="O220" i="1"/>
  <c r="P226" i="1"/>
  <c r="T226" i="1" s="1"/>
  <c r="U226" i="1" s="1"/>
  <c r="O226" i="1"/>
  <c r="P232" i="1"/>
  <c r="R232" i="1" s="1"/>
  <c r="O232" i="1"/>
  <c r="P236" i="1"/>
  <c r="T236" i="1" s="1"/>
  <c r="U236" i="1" s="1"/>
  <c r="O236" i="1"/>
  <c r="S274" i="1"/>
  <c r="V274" i="1"/>
  <c r="W274" i="1" s="1"/>
  <c r="Q185" i="1"/>
  <c r="S185" i="1" s="1"/>
  <c r="P20" i="1"/>
  <c r="R20" i="1" s="1"/>
  <c r="Q26" i="1"/>
  <c r="S26" i="1" s="1"/>
  <c r="N77" i="1"/>
  <c r="O77" i="1" s="1"/>
  <c r="Q171" i="1"/>
  <c r="S171" i="1" s="1"/>
  <c r="Q176" i="1"/>
  <c r="S176" i="1" s="1"/>
  <c r="R273" i="1"/>
  <c r="Q273" i="1"/>
  <c r="T273" i="1"/>
  <c r="U273" i="1" s="1"/>
  <c r="Q194" i="1"/>
  <c r="S194" i="1" s="1"/>
  <c r="Q67" i="1"/>
  <c r="S67" i="1" s="1"/>
  <c r="P66" i="1"/>
  <c r="Q54" i="1"/>
  <c r="S54" i="1" s="1"/>
  <c r="Q78" i="1"/>
  <c r="S78" i="1" s="1"/>
  <c r="S272" i="1"/>
  <c r="V272" i="1"/>
  <c r="W272" i="1" s="1"/>
  <c r="R272" i="1"/>
  <c r="T272" i="1"/>
  <c r="U272" i="1" s="1"/>
  <c r="R225" i="1"/>
  <c r="Q225" i="1"/>
  <c r="S225" i="1" s="1"/>
  <c r="P74" i="1"/>
  <c r="R74" i="1" s="1"/>
  <c r="P48" i="1"/>
  <c r="P159" i="1"/>
  <c r="Q159" i="1" s="1"/>
  <c r="S159" i="1" s="1"/>
  <c r="P167" i="1"/>
  <c r="P189" i="1"/>
  <c r="P191" i="1"/>
  <c r="Q191" i="1" s="1"/>
  <c r="V191" i="1" s="1"/>
  <c r="W191" i="1" s="1"/>
  <c r="P200" i="1"/>
  <c r="T200" i="1" s="1"/>
  <c r="U200" i="1" s="1"/>
  <c r="P205" i="1"/>
  <c r="R205" i="1" s="1"/>
  <c r="P234" i="1"/>
  <c r="R234" i="1" s="1"/>
  <c r="R35" i="1"/>
  <c r="Q35" i="1"/>
  <c r="S35" i="1" s="1"/>
  <c r="P123" i="1"/>
  <c r="P129" i="1"/>
  <c r="R129" i="1" s="1"/>
  <c r="P150" i="1"/>
  <c r="Q150" i="1" s="1"/>
  <c r="P212" i="1"/>
  <c r="R212" i="1" s="1"/>
  <c r="P221" i="1"/>
  <c r="Q221" i="1" s="1"/>
  <c r="S221" i="1" s="1"/>
  <c r="Q50" i="1"/>
  <c r="S50" i="1" s="1"/>
  <c r="Q155" i="1"/>
  <c r="S155" i="1" s="1"/>
  <c r="Q93" i="1"/>
  <c r="S93" i="1" s="1"/>
  <c r="P259" i="1"/>
  <c r="T259" i="1" s="1"/>
  <c r="U259" i="1" s="1"/>
  <c r="Q144" i="1"/>
  <c r="S144" i="1" s="1"/>
  <c r="P68" i="1"/>
  <c r="R68" i="1" s="1"/>
  <c r="Q31" i="1"/>
  <c r="S31" i="1" s="1"/>
  <c r="P193" i="1"/>
  <c r="Q193" i="1" s="1"/>
  <c r="S193" i="1" s="1"/>
  <c r="P88" i="1"/>
  <c r="R88" i="1" s="1"/>
  <c r="P15" i="1"/>
  <c r="Q15" i="1" s="1"/>
  <c r="V15" i="1" s="1"/>
  <c r="W15" i="1" s="1"/>
  <c r="P156" i="1"/>
  <c r="Q156" i="1" s="1"/>
  <c r="V156" i="1" s="1"/>
  <c r="W156" i="1" s="1"/>
  <c r="Q249" i="1"/>
  <c r="S249" i="1" s="1"/>
  <c r="Q47" i="1"/>
  <c r="S47" i="1" s="1"/>
  <c r="Q95" i="1"/>
  <c r="S95" i="1" s="1"/>
  <c r="P94" i="1"/>
  <c r="P52" i="1"/>
  <c r="P268" i="1"/>
  <c r="R268" i="1" s="1"/>
  <c r="P92" i="1"/>
  <c r="T92" i="1" s="1"/>
  <c r="U92" i="1" s="1"/>
  <c r="Q56" i="1"/>
  <c r="S56" i="1" s="1"/>
  <c r="R56" i="1"/>
  <c r="P10" i="1"/>
  <c r="P174" i="1"/>
  <c r="P181" i="1"/>
  <c r="Q181" i="1" s="1"/>
  <c r="P114" i="1"/>
  <c r="P139" i="1"/>
  <c r="P149" i="1"/>
  <c r="R149" i="1" s="1"/>
  <c r="P134" i="1"/>
  <c r="T134" i="1" s="1"/>
  <c r="U134" i="1" s="1"/>
  <c r="P138" i="1"/>
  <c r="R138" i="1" s="1"/>
  <c r="P172" i="1"/>
  <c r="Q117" i="1"/>
  <c r="S117" i="1" s="1"/>
  <c r="Q196" i="1"/>
  <c r="S196" i="1" s="1"/>
  <c r="Q124" i="1"/>
  <c r="S124" i="1" s="1"/>
  <c r="Q271" i="1"/>
  <c r="S271" i="1" s="1"/>
  <c r="Q29" i="1"/>
  <c r="S29" i="1" s="1"/>
  <c r="R29" i="1"/>
  <c r="R102" i="1"/>
  <c r="Q102" i="1"/>
  <c r="S102" i="1" s="1"/>
  <c r="K96" i="1"/>
  <c r="P147" i="1"/>
  <c r="Q147" i="1" s="1"/>
  <c r="P269" i="1"/>
  <c r="T269" i="1" s="1"/>
  <c r="U269" i="1" s="1"/>
  <c r="P265" i="1"/>
  <c r="Q265" i="1" s="1"/>
  <c r="S265" i="1" s="1"/>
  <c r="P240" i="1"/>
  <c r="Q240" i="1" s="1"/>
  <c r="P257" i="1"/>
  <c r="Q257" i="1" s="1"/>
  <c r="P264" i="1"/>
  <c r="Q216" i="1"/>
  <c r="S216" i="1" s="1"/>
  <c r="P241" i="1"/>
  <c r="T241" i="1" s="1"/>
  <c r="U241" i="1" s="1"/>
  <c r="R196" i="1"/>
  <c r="P125" i="1"/>
  <c r="P119" i="1"/>
  <c r="P106" i="1"/>
  <c r="P104" i="1"/>
  <c r="R267" i="1"/>
  <c r="Q267" i="1"/>
  <c r="S267" i="1" s="1"/>
  <c r="P270" i="1"/>
  <c r="R40" i="1"/>
  <c r="Q40" i="1"/>
  <c r="S40" i="1" s="1"/>
  <c r="P108" i="1"/>
  <c r="P228" i="1"/>
  <c r="R229" i="1"/>
  <c r="Q229" i="1"/>
  <c r="S229" i="1" s="1"/>
  <c r="P85" i="1"/>
  <c r="P32" i="1"/>
  <c r="P16" i="1"/>
  <c r="P13" i="1"/>
  <c r="L9" i="1"/>
  <c r="O9" i="1" s="1"/>
  <c r="P140" i="1"/>
  <c r="P146" i="1"/>
  <c r="P154" i="1"/>
  <c r="P192" i="1"/>
  <c r="P215" i="1"/>
  <c r="P233" i="1"/>
  <c r="P109" i="1"/>
  <c r="P97" i="1"/>
  <c r="P63" i="1"/>
  <c r="P45" i="1"/>
  <c r="P43" i="1"/>
  <c r="P34" i="1"/>
  <c r="P24" i="1"/>
  <c r="P148" i="1"/>
  <c r="R18" i="1"/>
  <c r="Q18" i="1"/>
  <c r="S18" i="1" s="1"/>
  <c r="P51" i="1"/>
  <c r="P183" i="1"/>
  <c r="P213" i="1"/>
  <c r="P160" i="1"/>
  <c r="P222" i="1"/>
  <c r="P243" i="1"/>
  <c r="P244" i="1"/>
  <c r="P248" i="1"/>
  <c r="P49" i="1"/>
  <c r="P263" i="1"/>
  <c r="P242" i="1"/>
  <c r="P245" i="1"/>
  <c r="P246" i="1"/>
  <c r="P255" i="1"/>
  <c r="P258" i="1"/>
  <c r="P254" i="1"/>
  <c r="R230" i="1"/>
  <c r="Q230" i="1"/>
  <c r="S230" i="1" s="1"/>
  <c r="P251" i="1"/>
  <c r="P256" i="1"/>
  <c r="P266" i="1"/>
  <c r="T175" i="1" l="1"/>
  <c r="U175" i="1" s="1"/>
  <c r="O2" i="1"/>
  <c r="Q190" i="1"/>
  <c r="S190" i="1" s="1"/>
  <c r="R153" i="1"/>
  <c r="Q252" i="1"/>
  <c r="S252" i="1" s="1"/>
  <c r="Q143" i="1"/>
  <c r="S143" i="1" s="1"/>
  <c r="T252" i="1"/>
  <c r="U252" i="1" s="1"/>
  <c r="T190" i="1"/>
  <c r="U190" i="1" s="1"/>
  <c r="T65" i="1"/>
  <c r="U65" i="1" s="1"/>
  <c r="R61" i="1"/>
  <c r="T143" i="1"/>
  <c r="U143" i="1" s="1"/>
  <c r="T90" i="1"/>
  <c r="U90" i="1" s="1"/>
  <c r="Q231" i="1"/>
  <c r="V231" i="1" s="1"/>
  <c r="W231" i="1" s="1"/>
  <c r="Q197" i="1"/>
  <c r="V197" i="1" s="1"/>
  <c r="W197" i="1" s="1"/>
  <c r="Q239" i="1"/>
  <c r="S239" i="1" s="1"/>
  <c r="T219" i="1"/>
  <c r="U219" i="1" s="1"/>
  <c r="R27" i="1"/>
  <c r="T253" i="1"/>
  <c r="U253" i="1" s="1"/>
  <c r="R80" i="1"/>
  <c r="Q142" i="1"/>
  <c r="V142" i="1" s="1"/>
  <c r="W142" i="1" s="1"/>
  <c r="Q61" i="1"/>
  <c r="S61" i="1" s="1"/>
  <c r="Q65" i="1"/>
  <c r="S65" i="1" s="1"/>
  <c r="Q223" i="1"/>
  <c r="V223" i="1" s="1"/>
  <c r="W223" i="1" s="1"/>
  <c r="R141" i="1"/>
  <c r="Q201" i="1"/>
  <c r="S201" i="1" s="1"/>
  <c r="R223" i="1"/>
  <c r="R100" i="1"/>
  <c r="R111" i="1"/>
  <c r="R41" i="1"/>
  <c r="R5" i="1"/>
  <c r="Q111" i="1"/>
  <c r="V111" i="1" s="1"/>
  <c r="W111" i="1" s="1"/>
  <c r="T72" i="1"/>
  <c r="U72" i="1" s="1"/>
  <c r="Q219" i="1"/>
  <c r="S219" i="1" s="1"/>
  <c r="Q44" i="1"/>
  <c r="V44" i="1" s="1"/>
  <c r="W44" i="1" s="1"/>
  <c r="Q25" i="1"/>
  <c r="V25" i="1" s="1"/>
  <c r="W25" i="1" s="1"/>
  <c r="T168" i="1"/>
  <c r="U168" i="1" s="1"/>
  <c r="R180" i="1"/>
  <c r="T110" i="1"/>
  <c r="U110" i="1" s="1"/>
  <c r="R151" i="1"/>
  <c r="Q77" i="1"/>
  <c r="V77" i="1" s="1"/>
  <c r="W77" i="1" s="1"/>
  <c r="R250" i="1"/>
  <c r="T77" i="1"/>
  <c r="U77" i="1" s="1"/>
  <c r="T237" i="1"/>
  <c r="U237" i="1" s="1"/>
  <c r="R128" i="1"/>
  <c r="R162" i="1"/>
  <c r="Q182" i="1"/>
  <c r="V182" i="1" s="1"/>
  <c r="W182" i="1" s="1"/>
  <c r="R118" i="1"/>
  <c r="T115" i="1"/>
  <c r="U115" i="1" s="1"/>
  <c r="T208" i="1"/>
  <c r="U208" i="1" s="1"/>
  <c r="T14" i="1"/>
  <c r="U14" i="1" s="1"/>
  <c r="Q62" i="1"/>
  <c r="S62" i="1" s="1"/>
  <c r="R22" i="1"/>
  <c r="Q72" i="1"/>
  <c r="S72" i="1" s="1"/>
  <c r="Q210" i="1"/>
  <c r="S210" i="1" s="1"/>
  <c r="R204" i="1"/>
  <c r="Q204" i="1"/>
  <c r="S204" i="1" s="1"/>
  <c r="Q141" i="1"/>
  <c r="S141" i="1" s="1"/>
  <c r="Q103" i="1"/>
  <c r="V103" i="1" s="1"/>
  <c r="W103" i="1" s="1"/>
  <c r="T133" i="1"/>
  <c r="U133" i="1" s="1"/>
  <c r="T231" i="1"/>
  <c r="U231" i="1" s="1"/>
  <c r="T5" i="1"/>
  <c r="U5" i="1" s="1"/>
  <c r="R184" i="1"/>
  <c r="R166" i="1"/>
  <c r="R105" i="1"/>
  <c r="Q184" i="1"/>
  <c r="S184" i="1" s="1"/>
  <c r="R28" i="1"/>
  <c r="T166" i="1"/>
  <c r="U166" i="1" s="1"/>
  <c r="Q175" i="1"/>
  <c r="S175" i="1" s="1"/>
  <c r="T41" i="1"/>
  <c r="U41" i="1" s="1"/>
  <c r="Q133" i="1"/>
  <c r="S133" i="1" s="1"/>
  <c r="T103" i="1"/>
  <c r="U103" i="1" s="1"/>
  <c r="Q59" i="1"/>
  <c r="V59" i="1" s="1"/>
  <c r="W59" i="1" s="1"/>
  <c r="Q22" i="1"/>
  <c r="V22" i="1" s="1"/>
  <c r="W22" i="1" s="1"/>
  <c r="Q168" i="1"/>
  <c r="S168" i="1" s="1"/>
  <c r="T131" i="1"/>
  <c r="U131" i="1" s="1"/>
  <c r="R62" i="1"/>
  <c r="Q7" i="1"/>
  <c r="S7" i="1" s="1"/>
  <c r="T33" i="1"/>
  <c r="U33" i="1" s="1"/>
  <c r="T113" i="1"/>
  <c r="U113" i="1" s="1"/>
  <c r="T261" i="1"/>
  <c r="U261" i="1" s="1"/>
  <c r="Q42" i="1"/>
  <c r="S42" i="1" s="1"/>
  <c r="Q180" i="1"/>
  <c r="V180" i="1" s="1"/>
  <c r="W180" i="1" s="1"/>
  <c r="P70" i="1"/>
  <c r="Q70" i="1" s="1"/>
  <c r="Q110" i="1"/>
  <c r="S110" i="1" s="1"/>
  <c r="R99" i="1"/>
  <c r="Q132" i="1"/>
  <c r="V132" i="1" s="1"/>
  <c r="W132" i="1" s="1"/>
  <c r="Q131" i="1"/>
  <c r="S131" i="1" s="1"/>
  <c r="Q28" i="1"/>
  <c r="V28" i="1" s="1"/>
  <c r="W28" i="1" s="1"/>
  <c r="Q161" i="1"/>
  <c r="S161" i="1" s="1"/>
  <c r="Q101" i="1"/>
  <c r="V101" i="1" s="1"/>
  <c r="W101" i="1" s="1"/>
  <c r="Q100" i="1"/>
  <c r="S100" i="1" s="1"/>
  <c r="R211" i="1"/>
  <c r="R178" i="1"/>
  <c r="Q169" i="1"/>
  <c r="S169" i="1" s="1"/>
  <c r="Q30" i="1"/>
  <c r="V30" i="1" s="1"/>
  <c r="W30" i="1" s="1"/>
  <c r="Q82" i="1"/>
  <c r="V82" i="1" s="1"/>
  <c r="W82" i="1" s="1"/>
  <c r="R83" i="1"/>
  <c r="Q3" i="1"/>
  <c r="V3" i="1" s="1"/>
  <c r="W3" i="1" s="1"/>
  <c r="R90" i="1"/>
  <c r="R71" i="1"/>
  <c r="R82" i="1"/>
  <c r="Q203" i="1"/>
  <c r="V203" i="1" s="1"/>
  <c r="W203" i="1" s="1"/>
  <c r="R262" i="1"/>
  <c r="Q23" i="1"/>
  <c r="V23" i="1" s="1"/>
  <c r="W23" i="1" s="1"/>
  <c r="Q91" i="1"/>
  <c r="S91" i="1" s="1"/>
  <c r="T91" i="1"/>
  <c r="U91" i="1" s="1"/>
  <c r="T36" i="1"/>
  <c r="U36" i="1" s="1"/>
  <c r="T262" i="1"/>
  <c r="U262" i="1" s="1"/>
  <c r="T260" i="1"/>
  <c r="U260" i="1" s="1"/>
  <c r="Q55" i="1"/>
  <c r="V55" i="1" s="1"/>
  <c r="W55" i="1" s="1"/>
  <c r="R38" i="1"/>
  <c r="Q36" i="1"/>
  <c r="V36" i="1" s="1"/>
  <c r="W36" i="1" s="1"/>
  <c r="Q116" i="1"/>
  <c r="V116" i="1" s="1"/>
  <c r="W116" i="1" s="1"/>
  <c r="T4" i="1"/>
  <c r="U4" i="1" s="1"/>
  <c r="T195" i="1"/>
  <c r="U195" i="1" s="1"/>
  <c r="R260" i="1"/>
  <c r="T116" i="1"/>
  <c r="U116" i="1" s="1"/>
  <c r="R11" i="1"/>
  <c r="Q60" i="1"/>
  <c r="V60" i="1" s="1"/>
  <c r="W60" i="1" s="1"/>
  <c r="T83" i="1"/>
  <c r="U83" i="1" s="1"/>
  <c r="R60" i="1"/>
  <c r="Q187" i="1"/>
  <c r="S187" i="1" s="1"/>
  <c r="R12" i="1"/>
  <c r="R135" i="1"/>
  <c r="R23" i="1"/>
  <c r="R210" i="1"/>
  <c r="Q145" i="1"/>
  <c r="V145" i="1" s="1"/>
  <c r="W145" i="1" s="1"/>
  <c r="Q69" i="1"/>
  <c r="S69" i="1" s="1"/>
  <c r="Q113" i="1"/>
  <c r="S113" i="1" s="1"/>
  <c r="Q105" i="1"/>
  <c r="S105" i="1" s="1"/>
  <c r="Q12" i="1"/>
  <c r="S12" i="1" s="1"/>
  <c r="Q4" i="1"/>
  <c r="V4" i="1" s="1"/>
  <c r="W4" i="1" s="1"/>
  <c r="R42" i="1"/>
  <c r="Q178" i="1"/>
  <c r="V178" i="1" s="1"/>
  <c r="W178" i="1" s="1"/>
  <c r="Q211" i="1"/>
  <c r="V211" i="1" s="1"/>
  <c r="W211" i="1" s="1"/>
  <c r="R198" i="1"/>
  <c r="R169" i="1"/>
  <c r="R132" i="1"/>
  <c r="Q220" i="1"/>
  <c r="S220" i="1" s="1"/>
  <c r="T161" i="1"/>
  <c r="U161" i="1" s="1"/>
  <c r="Q250" i="1"/>
  <c r="S250" i="1" s="1"/>
  <c r="R247" i="1"/>
  <c r="R197" i="1"/>
  <c r="T107" i="1"/>
  <c r="U107" i="1" s="1"/>
  <c r="T46" i="1"/>
  <c r="U46" i="1" s="1"/>
  <c r="R253" i="1"/>
  <c r="Q153" i="1"/>
  <c r="V153" i="1" s="1"/>
  <c r="W153" i="1" s="1"/>
  <c r="R165" i="1"/>
  <c r="R152" i="1"/>
  <c r="R208" i="1"/>
  <c r="R142" i="1"/>
  <c r="R21" i="1"/>
  <c r="Q126" i="1"/>
  <c r="S126" i="1" s="1"/>
  <c r="Q118" i="1"/>
  <c r="S118" i="1" s="1"/>
  <c r="T239" i="1"/>
  <c r="U239" i="1" s="1"/>
  <c r="Q130" i="1"/>
  <c r="S130" i="1" s="1"/>
  <c r="T57" i="1"/>
  <c r="U57" i="1" s="1"/>
  <c r="R98" i="1"/>
  <c r="T214" i="1"/>
  <c r="U214" i="1" s="1"/>
  <c r="T53" i="1"/>
  <c r="U53" i="1" s="1"/>
  <c r="Q247" i="1"/>
  <c r="S247" i="1" s="1"/>
  <c r="Q179" i="1"/>
  <c r="V179" i="1" s="1"/>
  <c r="W179" i="1" s="1"/>
  <c r="Q57" i="1"/>
  <c r="V57" i="1" s="1"/>
  <c r="W57" i="1" s="1"/>
  <c r="T170" i="1"/>
  <c r="U170" i="1" s="1"/>
  <c r="T152" i="1"/>
  <c r="U152" i="1" s="1"/>
  <c r="R17" i="1"/>
  <c r="T74" i="1"/>
  <c r="U74" i="1" s="1"/>
  <c r="Q84" i="1"/>
  <c r="S84" i="1" s="1"/>
  <c r="T163" i="1"/>
  <c r="U163" i="1" s="1"/>
  <c r="Q21" i="1"/>
  <c r="S21" i="1" s="1"/>
  <c r="Q170" i="1"/>
  <c r="S170" i="1" s="1"/>
  <c r="Q214" i="1"/>
  <c r="S214" i="1" s="1"/>
  <c r="T209" i="1"/>
  <c r="U209" i="1" s="1"/>
  <c r="T39" i="1"/>
  <c r="U39" i="1" s="1"/>
  <c r="T145" i="1"/>
  <c r="U145" i="1" s="1"/>
  <c r="R227" i="1"/>
  <c r="Q195" i="1"/>
  <c r="V195" i="1" s="1"/>
  <c r="W195" i="1" s="1"/>
  <c r="T130" i="1"/>
  <c r="U130" i="1" s="1"/>
  <c r="T232" i="1"/>
  <c r="U232" i="1" s="1"/>
  <c r="T44" i="1"/>
  <c r="U44" i="1" s="1"/>
  <c r="R84" i="1"/>
  <c r="Q165" i="1"/>
  <c r="V165" i="1" s="1"/>
  <c r="W165" i="1" s="1"/>
  <c r="R122" i="1"/>
  <c r="Q163" i="1"/>
  <c r="V163" i="1" s="1"/>
  <c r="W163" i="1" s="1"/>
  <c r="Q121" i="1"/>
  <c r="V121" i="1" s="1"/>
  <c r="W121" i="1" s="1"/>
  <c r="Q80" i="1"/>
  <c r="V80" i="1" s="1"/>
  <c r="W80" i="1" s="1"/>
  <c r="Q217" i="1"/>
  <c r="V217" i="1" s="1"/>
  <c r="W217" i="1" s="1"/>
  <c r="R126" i="1"/>
  <c r="R121" i="1"/>
  <c r="R25" i="1"/>
  <c r="T162" i="1"/>
  <c r="U162" i="1" s="1"/>
  <c r="T217" i="1"/>
  <c r="U217" i="1" s="1"/>
  <c r="Q157" i="1"/>
  <c r="V157" i="1" s="1"/>
  <c r="W157" i="1" s="1"/>
  <c r="R6" i="1"/>
  <c r="R186" i="1"/>
  <c r="T164" i="1"/>
  <c r="U164" i="1" s="1"/>
  <c r="Q128" i="1"/>
  <c r="S128" i="1" s="1"/>
  <c r="Q209" i="1"/>
  <c r="V209" i="1" s="1"/>
  <c r="W209" i="1" s="1"/>
  <c r="Q188" i="1"/>
  <c r="V188" i="1" s="1"/>
  <c r="W188" i="1" s="1"/>
  <c r="T188" i="1"/>
  <c r="U188" i="1" s="1"/>
  <c r="R182" i="1"/>
  <c r="Q53" i="1"/>
  <c r="T198" i="1"/>
  <c r="U198" i="1" s="1"/>
  <c r="T220" i="1"/>
  <c r="U220" i="1" s="1"/>
  <c r="Q232" i="1"/>
  <c r="S232" i="1" s="1"/>
  <c r="Q112" i="1"/>
  <c r="S112" i="1" s="1"/>
  <c r="R59" i="1"/>
  <c r="T151" i="1"/>
  <c r="U151" i="1" s="1"/>
  <c r="T7" i="1"/>
  <c r="U7" i="1" s="1"/>
  <c r="Q235" i="1"/>
  <c r="S235" i="1" s="1"/>
  <c r="Q136" i="1"/>
  <c r="S136" i="1" s="1"/>
  <c r="Q79" i="1"/>
  <c r="V79" i="1" s="1"/>
  <c r="W79" i="1" s="1"/>
  <c r="Q14" i="1"/>
  <c r="S14" i="1" s="1"/>
  <c r="R64" i="1"/>
  <c r="R55" i="1"/>
  <c r="T3" i="1"/>
  <c r="U3" i="1" s="1"/>
  <c r="R30" i="1"/>
  <c r="Q207" i="1"/>
  <c r="S207" i="1" s="1"/>
  <c r="Q199" i="1"/>
  <c r="S199" i="1" s="1"/>
  <c r="R81" i="1"/>
  <c r="T71" i="1"/>
  <c r="U71" i="1" s="1"/>
  <c r="T11" i="1"/>
  <c r="U11" i="1" s="1"/>
  <c r="R207" i="1"/>
  <c r="T187" i="1"/>
  <c r="U187" i="1" s="1"/>
  <c r="T199" i="1"/>
  <c r="U199" i="1" s="1"/>
  <c r="Q81" i="1"/>
  <c r="V81" i="1" s="1"/>
  <c r="W81" i="1" s="1"/>
  <c r="R226" i="1"/>
  <c r="R261" i="1"/>
  <c r="R179" i="1"/>
  <c r="T17" i="1"/>
  <c r="U17" i="1" s="1"/>
  <c r="Q38" i="1"/>
  <c r="S38" i="1" s="1"/>
  <c r="T27" i="1"/>
  <c r="U27" i="1" s="1"/>
  <c r="Q115" i="1"/>
  <c r="S115" i="1" s="1"/>
  <c r="T120" i="1"/>
  <c r="U120" i="1" s="1"/>
  <c r="T99" i="1"/>
  <c r="U99" i="1" s="1"/>
  <c r="Q58" i="1"/>
  <c r="S58" i="1" s="1"/>
  <c r="Q87" i="1"/>
  <c r="V87" i="1" s="1"/>
  <c r="W87" i="1" s="1"/>
  <c r="T64" i="1"/>
  <c r="U64" i="1" s="1"/>
  <c r="Q137" i="1"/>
  <c r="S137" i="1" s="1"/>
  <c r="Q122" i="1"/>
  <c r="V122" i="1" s="1"/>
  <c r="W122" i="1" s="1"/>
  <c r="T6" i="1"/>
  <c r="U6" i="1" s="1"/>
  <c r="R235" i="1"/>
  <c r="T98" i="1"/>
  <c r="U98" i="1" s="1"/>
  <c r="T177" i="1"/>
  <c r="U177" i="1" s="1"/>
  <c r="T79" i="1"/>
  <c r="U79" i="1" s="1"/>
  <c r="T157" i="1"/>
  <c r="U157" i="1" s="1"/>
  <c r="Q236" i="1"/>
  <c r="V236" i="1" s="1"/>
  <c r="W236" i="1" s="1"/>
  <c r="Q19" i="1"/>
  <c r="V19" i="1" s="1"/>
  <c r="W19" i="1" s="1"/>
  <c r="T136" i="1"/>
  <c r="U136" i="1" s="1"/>
  <c r="Q33" i="1"/>
  <c r="S33" i="1" s="1"/>
  <c r="Q127" i="1"/>
  <c r="V127" i="1" s="1"/>
  <c r="W127" i="1" s="1"/>
  <c r="R218" i="1"/>
  <c r="R77" i="1"/>
  <c r="Q120" i="1"/>
  <c r="V120" i="1" s="1"/>
  <c r="W120" i="1" s="1"/>
  <c r="T173" i="1"/>
  <c r="U173" i="1" s="1"/>
  <c r="R87" i="1"/>
  <c r="Q227" i="1"/>
  <c r="V227" i="1" s="1"/>
  <c r="W227" i="1" s="1"/>
  <c r="Q86" i="1"/>
  <c r="S86" i="1" s="1"/>
  <c r="R177" i="1"/>
  <c r="T202" i="1"/>
  <c r="U202" i="1" s="1"/>
  <c r="Q8" i="1"/>
  <c r="S8" i="1" s="1"/>
  <c r="Q238" i="1"/>
  <c r="V238" i="1" s="1"/>
  <c r="W238" i="1" s="1"/>
  <c r="T238" i="1"/>
  <c r="U238" i="1" s="1"/>
  <c r="T75" i="1"/>
  <c r="U75" i="1" s="1"/>
  <c r="R8" i="1"/>
  <c r="T112" i="1"/>
  <c r="U112" i="1" s="1"/>
  <c r="Q173" i="1"/>
  <c r="V173" i="1" s="1"/>
  <c r="W173" i="1" s="1"/>
  <c r="R58" i="1"/>
  <c r="R137" i="1"/>
  <c r="Q186" i="1"/>
  <c r="S186" i="1" s="1"/>
  <c r="Q39" i="1"/>
  <c r="S39" i="1" s="1"/>
  <c r="T86" i="1"/>
  <c r="U86" i="1" s="1"/>
  <c r="Q107" i="1"/>
  <c r="V107" i="1" s="1"/>
  <c r="W107" i="1" s="1"/>
  <c r="Q46" i="1"/>
  <c r="V46" i="1" s="1"/>
  <c r="W46" i="1" s="1"/>
  <c r="Q164" i="1"/>
  <c r="V164" i="1" s="1"/>
  <c r="W164" i="1" s="1"/>
  <c r="Q226" i="1"/>
  <c r="V226" i="1" s="1"/>
  <c r="W226" i="1" s="1"/>
  <c r="Q202" i="1"/>
  <c r="V202" i="1" s="1"/>
  <c r="W202" i="1" s="1"/>
  <c r="Q218" i="1"/>
  <c r="V218" i="1" s="1"/>
  <c r="W218" i="1" s="1"/>
  <c r="Q237" i="1"/>
  <c r="V237" i="1" s="1"/>
  <c r="W237" i="1" s="1"/>
  <c r="T19" i="1"/>
  <c r="U19" i="1" s="1"/>
  <c r="T127" i="1"/>
  <c r="U127" i="1" s="1"/>
  <c r="Q75" i="1"/>
  <c r="V75" i="1" s="1"/>
  <c r="W75" i="1" s="1"/>
  <c r="R76" i="1"/>
  <c r="T201" i="1"/>
  <c r="U201" i="1" s="1"/>
  <c r="R89" i="1"/>
  <c r="Q135" i="1"/>
  <c r="S135" i="1" s="1"/>
  <c r="R37" i="1"/>
  <c r="T69" i="1"/>
  <c r="U69" i="1" s="1"/>
  <c r="Q73" i="1"/>
  <c r="S73" i="1" s="1"/>
  <c r="R236" i="1"/>
  <c r="Q206" i="1"/>
  <c r="V206" i="1" s="1"/>
  <c r="W206" i="1" s="1"/>
  <c r="R203" i="1"/>
  <c r="Q89" i="1"/>
  <c r="S89" i="1" s="1"/>
  <c r="Q224" i="1"/>
  <c r="S224" i="1" s="1"/>
  <c r="Q37" i="1"/>
  <c r="V37" i="1" s="1"/>
  <c r="W37" i="1" s="1"/>
  <c r="T224" i="1"/>
  <c r="U224" i="1" s="1"/>
  <c r="S98" i="1"/>
  <c r="T206" i="1"/>
  <c r="U206" i="1" s="1"/>
  <c r="Q158" i="1"/>
  <c r="S158" i="1" s="1"/>
  <c r="R101" i="1"/>
  <c r="R73" i="1"/>
  <c r="R158" i="1"/>
  <c r="Q76" i="1"/>
  <c r="Q234" i="1"/>
  <c r="V234" i="1" s="1"/>
  <c r="W234" i="1" s="1"/>
  <c r="V166" i="1"/>
  <c r="W166" i="1" s="1"/>
  <c r="R191" i="1"/>
  <c r="T234" i="1"/>
  <c r="U234" i="1" s="1"/>
  <c r="Q129" i="1"/>
  <c r="S129" i="1" s="1"/>
  <c r="V198" i="1"/>
  <c r="W198" i="1" s="1"/>
  <c r="V221" i="1"/>
  <c r="W221" i="1" s="1"/>
  <c r="V41" i="1"/>
  <c r="W41" i="1" s="1"/>
  <c r="Q205" i="1"/>
  <c r="V205" i="1" s="1"/>
  <c r="W205" i="1" s="1"/>
  <c r="V90" i="1"/>
  <c r="W90" i="1" s="1"/>
  <c r="S191" i="1"/>
  <c r="T191" i="1"/>
  <c r="U191" i="1" s="1"/>
  <c r="V152" i="1"/>
  <c r="W152" i="1" s="1"/>
  <c r="T205" i="1"/>
  <c r="U205" i="1" s="1"/>
  <c r="T129" i="1"/>
  <c r="U129" i="1" s="1"/>
  <c r="V253" i="1"/>
  <c r="W253" i="1" s="1"/>
  <c r="R92" i="1"/>
  <c r="R156" i="1"/>
  <c r="R269" i="1"/>
  <c r="S156" i="1"/>
  <c r="T156" i="1"/>
  <c r="U156" i="1" s="1"/>
  <c r="Q212" i="1"/>
  <c r="S212" i="1" s="1"/>
  <c r="Q74" i="1"/>
  <c r="S74" i="1" s="1"/>
  <c r="Q20" i="1"/>
  <c r="S20" i="1" s="1"/>
  <c r="V5" i="1"/>
  <c r="W5" i="1" s="1"/>
  <c r="T265" i="1"/>
  <c r="U265" i="1" s="1"/>
  <c r="Q269" i="1"/>
  <c r="V269" i="1" s="1"/>
  <c r="W269" i="1" s="1"/>
  <c r="R265" i="1"/>
  <c r="V265" i="1"/>
  <c r="W265" i="1" s="1"/>
  <c r="T20" i="1"/>
  <c r="U20" i="1" s="1"/>
  <c r="R259" i="1"/>
  <c r="T15" i="1"/>
  <c r="U15" i="1" s="1"/>
  <c r="S162" i="1"/>
  <c r="S262" i="1"/>
  <c r="R200" i="1"/>
  <c r="S83" i="1"/>
  <c r="T212" i="1"/>
  <c r="U212" i="1" s="1"/>
  <c r="S6" i="1"/>
  <c r="Q268" i="1"/>
  <c r="V268" i="1" s="1"/>
  <c r="W268" i="1" s="1"/>
  <c r="Q68" i="1"/>
  <c r="V68" i="1" s="1"/>
  <c r="W68" i="1" s="1"/>
  <c r="T68" i="1"/>
  <c r="U68" i="1" s="1"/>
  <c r="R134" i="1"/>
  <c r="Q92" i="1"/>
  <c r="S92" i="1" s="1"/>
  <c r="R159" i="1"/>
  <c r="T88" i="1"/>
  <c r="U88" i="1" s="1"/>
  <c r="S15" i="1"/>
  <c r="V159" i="1"/>
  <c r="W159" i="1" s="1"/>
  <c r="S177" i="1"/>
  <c r="S71" i="1"/>
  <c r="R241" i="1"/>
  <c r="R15" i="1"/>
  <c r="T147" i="1"/>
  <c r="U147" i="1" s="1"/>
  <c r="Q88" i="1"/>
  <c r="S88" i="1" s="1"/>
  <c r="V193" i="1"/>
  <c r="W193" i="1" s="1"/>
  <c r="Q259" i="1"/>
  <c r="V259" i="1" s="1"/>
  <c r="W259" i="1" s="1"/>
  <c r="R240" i="1"/>
  <c r="V151" i="1"/>
  <c r="W151" i="1" s="1"/>
  <c r="T159" i="1"/>
  <c r="U159" i="1" s="1"/>
  <c r="Q200" i="1"/>
  <c r="S200" i="1" s="1"/>
  <c r="Q134" i="1"/>
  <c r="V134" i="1" s="1"/>
  <c r="W134" i="1" s="1"/>
  <c r="T193" i="1"/>
  <c r="U193" i="1" s="1"/>
  <c r="S273" i="1"/>
  <c r="V273" i="1"/>
  <c r="W273" i="1" s="1"/>
  <c r="V150" i="1"/>
  <c r="W150" i="1" s="1"/>
  <c r="S150" i="1"/>
  <c r="V64" i="1"/>
  <c r="W64" i="1" s="1"/>
  <c r="S64" i="1"/>
  <c r="S27" i="1"/>
  <c r="V27" i="1"/>
  <c r="W27" i="1" s="1"/>
  <c r="T66" i="1"/>
  <c r="U66" i="1" s="1"/>
  <c r="R66" i="1"/>
  <c r="Q66" i="1"/>
  <c r="T240" i="1"/>
  <c r="U240" i="1" s="1"/>
  <c r="Q123" i="1"/>
  <c r="R123" i="1"/>
  <c r="T123" i="1"/>
  <c r="U123" i="1" s="1"/>
  <c r="V99" i="1"/>
  <c r="W99" i="1" s="1"/>
  <c r="S99" i="1"/>
  <c r="R150" i="1"/>
  <c r="T150" i="1"/>
  <c r="U150" i="1" s="1"/>
  <c r="Q167" i="1"/>
  <c r="R167" i="1"/>
  <c r="T167" i="1"/>
  <c r="U167" i="1" s="1"/>
  <c r="T48" i="1"/>
  <c r="U48" i="1" s="1"/>
  <c r="R48" i="1"/>
  <c r="Q48" i="1"/>
  <c r="R221" i="1"/>
  <c r="T221" i="1"/>
  <c r="U221" i="1" s="1"/>
  <c r="T189" i="1"/>
  <c r="U189" i="1" s="1"/>
  <c r="R189" i="1"/>
  <c r="Q189" i="1"/>
  <c r="V208" i="1"/>
  <c r="W208" i="1" s="1"/>
  <c r="S208" i="1"/>
  <c r="Q241" i="1"/>
  <c r="V241" i="1" s="1"/>
  <c r="W241" i="1" s="1"/>
  <c r="R147" i="1"/>
  <c r="R193" i="1"/>
  <c r="T268" i="1"/>
  <c r="U268" i="1" s="1"/>
  <c r="V11" i="1"/>
  <c r="W11" i="1" s="1"/>
  <c r="S11" i="1"/>
  <c r="T138" i="1"/>
  <c r="U138" i="1" s="1"/>
  <c r="Q138" i="1"/>
  <c r="T139" i="1"/>
  <c r="U139" i="1" s="1"/>
  <c r="Q139" i="1"/>
  <c r="R139" i="1"/>
  <c r="R114" i="1"/>
  <c r="Q114" i="1"/>
  <c r="T114" i="1"/>
  <c r="U114" i="1" s="1"/>
  <c r="Q10" i="1"/>
  <c r="T10" i="1"/>
  <c r="U10" i="1" s="1"/>
  <c r="R10" i="1"/>
  <c r="Q52" i="1"/>
  <c r="T52" i="1"/>
  <c r="U52" i="1" s="1"/>
  <c r="R52" i="1"/>
  <c r="S181" i="1"/>
  <c r="V181" i="1"/>
  <c r="W181" i="1" s="1"/>
  <c r="R172" i="1"/>
  <c r="Q172" i="1"/>
  <c r="T172" i="1"/>
  <c r="U172" i="1" s="1"/>
  <c r="T149" i="1"/>
  <c r="U149" i="1" s="1"/>
  <c r="Q149" i="1"/>
  <c r="T181" i="1"/>
  <c r="U181" i="1" s="1"/>
  <c r="R181" i="1"/>
  <c r="R94" i="1"/>
  <c r="T94" i="1"/>
  <c r="U94" i="1" s="1"/>
  <c r="Q94" i="1"/>
  <c r="Q174" i="1"/>
  <c r="R174" i="1"/>
  <c r="T174" i="1"/>
  <c r="U174" i="1" s="1"/>
  <c r="T264" i="1"/>
  <c r="U264" i="1" s="1"/>
  <c r="R264" i="1"/>
  <c r="Q264" i="1"/>
  <c r="S147" i="1"/>
  <c r="V147" i="1"/>
  <c r="W147" i="1" s="1"/>
  <c r="L96" i="1"/>
  <c r="O96" i="1" s="1"/>
  <c r="S257" i="1"/>
  <c r="V257" i="1"/>
  <c r="W257" i="1" s="1"/>
  <c r="V260" i="1"/>
  <c r="W260" i="1" s="1"/>
  <c r="S260" i="1"/>
  <c r="R257" i="1"/>
  <c r="T257" i="1"/>
  <c r="U257" i="1" s="1"/>
  <c r="R258" i="1"/>
  <c r="T258" i="1"/>
  <c r="U258" i="1" s="1"/>
  <c r="Q258" i="1"/>
  <c r="R246" i="1"/>
  <c r="Q246" i="1"/>
  <c r="T246" i="1"/>
  <c r="U246" i="1" s="1"/>
  <c r="T192" i="1"/>
  <c r="U192" i="1" s="1"/>
  <c r="R192" i="1"/>
  <c r="Q192" i="1"/>
  <c r="R140" i="1"/>
  <c r="T140" i="1"/>
  <c r="U140" i="1" s="1"/>
  <c r="Q140" i="1"/>
  <c r="Q228" i="1"/>
  <c r="T228" i="1"/>
  <c r="U228" i="1" s="1"/>
  <c r="R228" i="1"/>
  <c r="Q270" i="1"/>
  <c r="R270" i="1"/>
  <c r="T270" i="1"/>
  <c r="U270" i="1" s="1"/>
  <c r="T266" i="1"/>
  <c r="U266" i="1" s="1"/>
  <c r="R266" i="1"/>
  <c r="Q266" i="1"/>
  <c r="Q256" i="1"/>
  <c r="R256" i="1"/>
  <c r="T256" i="1"/>
  <c r="U256" i="1" s="1"/>
  <c r="R255" i="1"/>
  <c r="T255" i="1"/>
  <c r="U255" i="1" s="1"/>
  <c r="Q255" i="1"/>
  <c r="V240" i="1"/>
  <c r="W240" i="1" s="1"/>
  <c r="S240" i="1"/>
  <c r="Q243" i="1"/>
  <c r="R243" i="1"/>
  <c r="T243" i="1"/>
  <c r="U243" i="1" s="1"/>
  <c r="R51" i="1"/>
  <c r="Q51" i="1"/>
  <c r="T51" i="1"/>
  <c r="U51" i="1" s="1"/>
  <c r="R24" i="1"/>
  <c r="T24" i="1"/>
  <c r="U24" i="1" s="1"/>
  <c r="Q24" i="1"/>
  <c r="R43" i="1"/>
  <c r="Q43" i="1"/>
  <c r="T43" i="1"/>
  <c r="U43" i="1" s="1"/>
  <c r="Q63" i="1"/>
  <c r="T63" i="1"/>
  <c r="U63" i="1" s="1"/>
  <c r="R63" i="1"/>
  <c r="P9" i="1"/>
  <c r="R16" i="1"/>
  <c r="Q16" i="1"/>
  <c r="T16" i="1"/>
  <c r="U16" i="1" s="1"/>
  <c r="R85" i="1"/>
  <c r="Q85" i="1"/>
  <c r="T85" i="1"/>
  <c r="U85" i="1" s="1"/>
  <c r="V261" i="1"/>
  <c r="W261" i="1" s="1"/>
  <c r="S261" i="1"/>
  <c r="Q108" i="1"/>
  <c r="R108" i="1"/>
  <c r="T108" i="1"/>
  <c r="U108" i="1" s="1"/>
  <c r="R245" i="1"/>
  <c r="Q245" i="1"/>
  <c r="T245" i="1"/>
  <c r="U245" i="1" s="1"/>
  <c r="T242" i="1"/>
  <c r="U242" i="1" s="1"/>
  <c r="R242" i="1"/>
  <c r="Q242" i="1"/>
  <c r="T244" i="1"/>
  <c r="U244" i="1" s="1"/>
  <c r="R244" i="1"/>
  <c r="Q244" i="1"/>
  <c r="S17" i="1"/>
  <c r="V17" i="1"/>
  <c r="W17" i="1" s="1"/>
  <c r="T215" i="1"/>
  <c r="U215" i="1" s="1"/>
  <c r="R215" i="1"/>
  <c r="Q215" i="1"/>
  <c r="R154" i="1"/>
  <c r="Q154" i="1"/>
  <c r="T154" i="1"/>
  <c r="U154" i="1" s="1"/>
  <c r="R146" i="1"/>
  <c r="T146" i="1"/>
  <c r="U146" i="1" s="1"/>
  <c r="Q146" i="1"/>
  <c r="Q13" i="1"/>
  <c r="R13" i="1"/>
  <c r="T13" i="1"/>
  <c r="U13" i="1" s="1"/>
  <c r="T106" i="1"/>
  <c r="U106" i="1" s="1"/>
  <c r="Q106" i="1"/>
  <c r="R106" i="1"/>
  <c r="R254" i="1"/>
  <c r="T254" i="1"/>
  <c r="U254" i="1" s="1"/>
  <c r="Q254" i="1"/>
  <c r="T263" i="1"/>
  <c r="U263" i="1" s="1"/>
  <c r="Q263" i="1"/>
  <c r="R263" i="1"/>
  <c r="R248" i="1"/>
  <c r="T248" i="1"/>
  <c r="U248" i="1" s="1"/>
  <c r="Q248" i="1"/>
  <c r="Q251" i="1"/>
  <c r="R251" i="1"/>
  <c r="T251" i="1"/>
  <c r="U251" i="1" s="1"/>
  <c r="Q49" i="1"/>
  <c r="R49" i="1"/>
  <c r="T49" i="1"/>
  <c r="U49" i="1" s="1"/>
  <c r="R222" i="1"/>
  <c r="Q222" i="1"/>
  <c r="T222" i="1"/>
  <c r="U222" i="1" s="1"/>
  <c r="T160" i="1"/>
  <c r="U160" i="1" s="1"/>
  <c r="R160" i="1"/>
  <c r="Q160" i="1"/>
  <c r="T213" i="1"/>
  <c r="U213" i="1" s="1"/>
  <c r="R213" i="1"/>
  <c r="Q213" i="1"/>
  <c r="Q183" i="1"/>
  <c r="R183" i="1"/>
  <c r="T183" i="1"/>
  <c r="U183" i="1" s="1"/>
  <c r="T148" i="1"/>
  <c r="U148" i="1" s="1"/>
  <c r="Q148" i="1"/>
  <c r="R148" i="1"/>
  <c r="T34" i="1"/>
  <c r="U34" i="1" s="1"/>
  <c r="Q34" i="1"/>
  <c r="R34" i="1"/>
  <c r="R45" i="1"/>
  <c r="Q45" i="1"/>
  <c r="T45" i="1"/>
  <c r="U45" i="1" s="1"/>
  <c r="R97" i="1"/>
  <c r="T97" i="1"/>
  <c r="U97" i="1" s="1"/>
  <c r="Q97" i="1"/>
  <c r="R109" i="1"/>
  <c r="Q109" i="1"/>
  <c r="T109" i="1"/>
  <c r="U109" i="1" s="1"/>
  <c r="R233" i="1"/>
  <c r="Q233" i="1"/>
  <c r="T233" i="1"/>
  <c r="U233" i="1" s="1"/>
  <c r="R32" i="1"/>
  <c r="T32" i="1"/>
  <c r="U32" i="1" s="1"/>
  <c r="Q32" i="1"/>
  <c r="Q2" i="1"/>
  <c r="R2" i="1"/>
  <c r="T2" i="1"/>
  <c r="Q104" i="1"/>
  <c r="T104" i="1"/>
  <c r="U104" i="1" s="1"/>
  <c r="R104" i="1"/>
  <c r="Q119" i="1"/>
  <c r="T119" i="1"/>
  <c r="U119" i="1" s="1"/>
  <c r="R119" i="1"/>
  <c r="T125" i="1"/>
  <c r="U125" i="1" s="1"/>
  <c r="Q125" i="1"/>
  <c r="R125" i="1"/>
  <c r="S142" i="1" l="1"/>
  <c r="V175" i="1"/>
  <c r="W175" i="1" s="1"/>
  <c r="V252" i="1"/>
  <c r="W252" i="1" s="1"/>
  <c r="S223" i="1"/>
  <c r="V190" i="1"/>
  <c r="W190" i="1" s="1"/>
  <c r="V239" i="1"/>
  <c r="W239" i="1" s="1"/>
  <c r="S111" i="1"/>
  <c r="V61" i="1"/>
  <c r="W61" i="1" s="1"/>
  <c r="S231" i="1"/>
  <c r="S197" i="1"/>
  <c r="V143" i="1"/>
  <c r="W143" i="1" s="1"/>
  <c r="S82" i="1"/>
  <c r="V131" i="1"/>
  <c r="W131" i="1" s="1"/>
  <c r="V65" i="1"/>
  <c r="W65" i="1" s="1"/>
  <c r="V141" i="1"/>
  <c r="W141" i="1" s="1"/>
  <c r="V201" i="1"/>
  <c r="W201" i="1" s="1"/>
  <c r="S59" i="1"/>
  <c r="V219" i="1"/>
  <c r="W219" i="1" s="1"/>
  <c r="S77" i="1"/>
  <c r="V110" i="1"/>
  <c r="W110" i="1" s="1"/>
  <c r="V21" i="1"/>
  <c r="W21" i="1" s="1"/>
  <c r="S44" i="1"/>
  <c r="V210" i="1"/>
  <c r="W210" i="1" s="1"/>
  <c r="V42" i="1"/>
  <c r="W42" i="1" s="1"/>
  <c r="S180" i="1"/>
  <c r="S55" i="1"/>
  <c r="S25" i="1"/>
  <c r="V168" i="1"/>
  <c r="W168" i="1" s="1"/>
  <c r="V100" i="1"/>
  <c r="W100" i="1" s="1"/>
  <c r="R70" i="1"/>
  <c r="V133" i="1"/>
  <c r="W133" i="1" s="1"/>
  <c r="V247" i="1"/>
  <c r="W247" i="1" s="1"/>
  <c r="S182" i="1"/>
  <c r="S179" i="1"/>
  <c r="S103" i="1"/>
  <c r="S120" i="1"/>
  <c r="V62" i="1"/>
  <c r="W62" i="1" s="1"/>
  <c r="V118" i="1"/>
  <c r="W118" i="1" s="1"/>
  <c r="V112" i="1"/>
  <c r="W112" i="1" s="1"/>
  <c r="V72" i="1"/>
  <c r="W72" i="1" s="1"/>
  <c r="V204" i="1"/>
  <c r="W204" i="1" s="1"/>
  <c r="S163" i="1"/>
  <c r="S28" i="1"/>
  <c r="V7" i="1"/>
  <c r="W7" i="1" s="1"/>
  <c r="V184" i="1"/>
  <c r="W184" i="1" s="1"/>
  <c r="V161" i="1"/>
  <c r="W161" i="1" s="1"/>
  <c r="V232" i="1"/>
  <c r="W232" i="1" s="1"/>
  <c r="S22" i="1"/>
  <c r="S132" i="1"/>
  <c r="V169" i="1"/>
  <c r="W169" i="1" s="1"/>
  <c r="S165" i="1"/>
  <c r="V187" i="1"/>
  <c r="W187" i="1" s="1"/>
  <c r="S101" i="1"/>
  <c r="S209" i="1"/>
  <c r="V38" i="1"/>
  <c r="W38" i="1" s="1"/>
  <c r="T70" i="1"/>
  <c r="U70" i="1" s="1"/>
  <c r="S30" i="1"/>
  <c r="S57" i="1"/>
  <c r="S236" i="1"/>
  <c r="V137" i="1"/>
  <c r="W137" i="1" s="1"/>
  <c r="S153" i="1"/>
  <c r="S145" i="1"/>
  <c r="V170" i="1"/>
  <c r="W170" i="1" s="1"/>
  <c r="V199" i="1"/>
  <c r="W199" i="1" s="1"/>
  <c r="S211" i="1"/>
  <c r="V135" i="1"/>
  <c r="W135" i="1" s="1"/>
  <c r="V12" i="1"/>
  <c r="W12" i="1" s="1"/>
  <c r="V136" i="1"/>
  <c r="W136" i="1" s="1"/>
  <c r="S217" i="1"/>
  <c r="V220" i="1"/>
  <c r="W220" i="1" s="1"/>
  <c r="S60" i="1"/>
  <c r="S157" i="1"/>
  <c r="S195" i="1"/>
  <c r="V91" i="1"/>
  <c r="W91" i="1" s="1"/>
  <c r="S87" i="1"/>
  <c r="V115" i="1"/>
  <c r="W115" i="1" s="1"/>
  <c r="V250" i="1"/>
  <c r="W250" i="1" s="1"/>
  <c r="S68" i="1"/>
  <c r="V126" i="1"/>
  <c r="W126" i="1" s="1"/>
  <c r="V129" i="1"/>
  <c r="W129" i="1" s="1"/>
  <c r="S116" i="1"/>
  <c r="S226" i="1"/>
  <c r="S121" i="1"/>
  <c r="V113" i="1"/>
  <c r="W113" i="1" s="1"/>
  <c r="V89" i="1"/>
  <c r="W89" i="1" s="1"/>
  <c r="V235" i="1"/>
  <c r="W235" i="1" s="1"/>
  <c r="S203" i="1"/>
  <c r="V105" i="1"/>
  <c r="W105" i="1" s="1"/>
  <c r="S107" i="1"/>
  <c r="S178" i="1"/>
  <c r="S3" i="1"/>
  <c r="S80" i="1"/>
  <c r="V186" i="1"/>
  <c r="W186" i="1" s="1"/>
  <c r="S23" i="1"/>
  <c r="S188" i="1"/>
  <c r="V74" i="1"/>
  <c r="W74" i="1" s="1"/>
  <c r="S36" i="1"/>
  <c r="S79" i="1"/>
  <c r="S122" i="1"/>
  <c r="V130" i="1"/>
  <c r="W130" i="1" s="1"/>
  <c r="V58" i="1"/>
  <c r="W58" i="1" s="1"/>
  <c r="V39" i="1"/>
  <c r="W39" i="1" s="1"/>
  <c r="V84" i="1"/>
  <c r="W84" i="1" s="1"/>
  <c r="S237" i="1"/>
  <c r="S206" i="1"/>
  <c r="S164" i="1"/>
  <c r="V214" i="1"/>
  <c r="W214" i="1" s="1"/>
  <c r="S4" i="1"/>
  <c r="S19" i="1"/>
  <c r="V158" i="1"/>
  <c r="W158" i="1" s="1"/>
  <c r="S173" i="1"/>
  <c r="V69" i="1"/>
  <c r="W69" i="1" s="1"/>
  <c r="U2" i="1"/>
  <c r="S202" i="1"/>
  <c r="V33" i="1"/>
  <c r="W33" i="1" s="1"/>
  <c r="V128" i="1"/>
  <c r="W128" i="1" s="1"/>
  <c r="V53" i="1"/>
  <c r="W53" i="1" s="1"/>
  <c r="S53" i="1"/>
  <c r="S227" i="1"/>
  <c r="V14" i="1"/>
  <c r="W14" i="1" s="1"/>
  <c r="V8" i="1"/>
  <c r="W8" i="1" s="1"/>
  <c r="S75" i="1"/>
  <c r="S127" i="1"/>
  <c r="V92" i="1"/>
  <c r="W92" i="1" s="1"/>
  <c r="V224" i="1"/>
  <c r="W224" i="1" s="1"/>
  <c r="S46" i="1"/>
  <c r="S218" i="1"/>
  <c r="S234" i="1"/>
  <c r="V86" i="1"/>
  <c r="W86" i="1" s="1"/>
  <c r="S81" i="1"/>
  <c r="S238" i="1"/>
  <c r="V207" i="1"/>
  <c r="W207" i="1" s="1"/>
  <c r="V73" i="1"/>
  <c r="W73" i="1" s="1"/>
  <c r="S37" i="1"/>
  <c r="V200" i="1"/>
  <c r="W200" i="1" s="1"/>
  <c r="V76" i="1"/>
  <c r="W76" i="1" s="1"/>
  <c r="S76" i="1"/>
  <c r="V20" i="1"/>
  <c r="W20" i="1" s="1"/>
  <c r="S205" i="1"/>
  <c r="S259" i="1"/>
  <c r="V88" i="1"/>
  <c r="W88" i="1" s="1"/>
  <c r="V212" i="1"/>
  <c r="W212" i="1" s="1"/>
  <c r="S268" i="1"/>
  <c r="S269" i="1"/>
  <c r="S134" i="1"/>
  <c r="S241" i="1"/>
  <c r="V66" i="1"/>
  <c r="W66" i="1" s="1"/>
  <c r="S66" i="1"/>
  <c r="V189" i="1"/>
  <c r="W189" i="1" s="1"/>
  <c r="S189" i="1"/>
  <c r="S123" i="1"/>
  <c r="V123" i="1"/>
  <c r="W123" i="1" s="1"/>
  <c r="V48" i="1"/>
  <c r="W48" i="1" s="1"/>
  <c r="S48" i="1"/>
  <c r="V167" i="1"/>
  <c r="W167" i="1" s="1"/>
  <c r="S167" i="1"/>
  <c r="S172" i="1"/>
  <c r="V172" i="1"/>
  <c r="W172" i="1" s="1"/>
  <c r="V52" i="1"/>
  <c r="W52" i="1" s="1"/>
  <c r="S52" i="1"/>
  <c r="V138" i="1"/>
  <c r="W138" i="1" s="1"/>
  <c r="S138" i="1"/>
  <c r="S174" i="1"/>
  <c r="V174" i="1"/>
  <c r="W174" i="1" s="1"/>
  <c r="S149" i="1"/>
  <c r="V149" i="1"/>
  <c r="W149" i="1" s="1"/>
  <c r="V70" i="1"/>
  <c r="W70" i="1" s="1"/>
  <c r="S70" i="1"/>
  <c r="V94" i="1"/>
  <c r="W94" i="1" s="1"/>
  <c r="S94" i="1"/>
  <c r="V139" i="1"/>
  <c r="W139" i="1" s="1"/>
  <c r="S139" i="1"/>
  <c r="V10" i="1"/>
  <c r="W10" i="1" s="1"/>
  <c r="S10" i="1"/>
  <c r="V114" i="1"/>
  <c r="W114" i="1" s="1"/>
  <c r="S114" i="1"/>
  <c r="P96" i="1"/>
  <c r="S264" i="1"/>
  <c r="V264" i="1"/>
  <c r="W264" i="1" s="1"/>
  <c r="V16" i="1"/>
  <c r="W16" i="1" s="1"/>
  <c r="S16" i="1"/>
  <c r="S63" i="1"/>
  <c r="V63" i="1"/>
  <c r="W63" i="1" s="1"/>
  <c r="V24" i="1"/>
  <c r="W24" i="1" s="1"/>
  <c r="S24" i="1"/>
  <c r="S51" i="1"/>
  <c r="V51" i="1"/>
  <c r="W51" i="1" s="1"/>
  <c r="S270" i="1"/>
  <c r="V270" i="1"/>
  <c r="W270" i="1" s="1"/>
  <c r="V140" i="1"/>
  <c r="W140" i="1" s="1"/>
  <c r="S140" i="1"/>
  <c r="V97" i="1"/>
  <c r="W97" i="1" s="1"/>
  <c r="S97" i="1"/>
  <c r="V45" i="1"/>
  <c r="W45" i="1" s="1"/>
  <c r="S45" i="1"/>
  <c r="S183" i="1"/>
  <c r="V183" i="1"/>
  <c r="W183" i="1" s="1"/>
  <c r="S248" i="1"/>
  <c r="V248" i="1"/>
  <c r="W248" i="1" s="1"/>
  <c r="S263" i="1"/>
  <c r="V263" i="1"/>
  <c r="W263" i="1" s="1"/>
  <c r="V215" i="1"/>
  <c r="W215" i="1" s="1"/>
  <c r="S215" i="1"/>
  <c r="V245" i="1"/>
  <c r="W245" i="1" s="1"/>
  <c r="S245" i="1"/>
  <c r="S108" i="1"/>
  <c r="V108" i="1"/>
  <c r="W108" i="1" s="1"/>
  <c r="S258" i="1"/>
  <c r="V258" i="1"/>
  <c r="W258" i="1" s="1"/>
  <c r="V233" i="1"/>
  <c r="W233" i="1" s="1"/>
  <c r="S233" i="1"/>
  <c r="V213" i="1"/>
  <c r="W213" i="1" s="1"/>
  <c r="S213" i="1"/>
  <c r="S251" i="1"/>
  <c r="V251" i="1"/>
  <c r="W251" i="1" s="1"/>
  <c r="S13" i="1"/>
  <c r="V13" i="1"/>
  <c r="W13" i="1" s="1"/>
  <c r="V244" i="1"/>
  <c r="W244" i="1" s="1"/>
  <c r="S244" i="1"/>
  <c r="S43" i="1"/>
  <c r="V43" i="1"/>
  <c r="W43" i="1" s="1"/>
  <c r="S243" i="1"/>
  <c r="V243" i="1"/>
  <c r="W243" i="1" s="1"/>
  <c r="S256" i="1"/>
  <c r="V256" i="1"/>
  <c r="W256" i="1" s="1"/>
  <c r="V104" i="1"/>
  <c r="W104" i="1" s="1"/>
  <c r="S104" i="1"/>
  <c r="S32" i="1"/>
  <c r="V32" i="1"/>
  <c r="W32" i="1" s="1"/>
  <c r="S34" i="1"/>
  <c r="V34" i="1"/>
  <c r="W34" i="1" s="1"/>
  <c r="V125" i="1"/>
  <c r="W125" i="1" s="1"/>
  <c r="S125" i="1"/>
  <c r="V119" i="1"/>
  <c r="W119" i="1" s="1"/>
  <c r="S119" i="1"/>
  <c r="V2" i="1"/>
  <c r="S2" i="1"/>
  <c r="S109" i="1"/>
  <c r="V109" i="1"/>
  <c r="W109" i="1" s="1"/>
  <c r="V148" i="1"/>
  <c r="W148" i="1" s="1"/>
  <c r="S148" i="1"/>
  <c r="V160" i="1"/>
  <c r="W160" i="1" s="1"/>
  <c r="S160" i="1"/>
  <c r="V222" i="1"/>
  <c r="W222" i="1" s="1"/>
  <c r="S222" i="1"/>
  <c r="S49" i="1"/>
  <c r="V49" i="1"/>
  <c r="W49" i="1" s="1"/>
  <c r="V254" i="1"/>
  <c r="W254" i="1" s="1"/>
  <c r="S254" i="1"/>
  <c r="S106" i="1"/>
  <c r="V106" i="1"/>
  <c r="W106" i="1" s="1"/>
  <c r="S146" i="1"/>
  <c r="V146" i="1"/>
  <c r="W146" i="1" s="1"/>
  <c r="V154" i="1"/>
  <c r="W154" i="1" s="1"/>
  <c r="S154" i="1"/>
  <c r="V242" i="1"/>
  <c r="W242" i="1" s="1"/>
  <c r="S242" i="1"/>
  <c r="V85" i="1"/>
  <c r="W85" i="1" s="1"/>
  <c r="S85" i="1"/>
  <c r="T9" i="1"/>
  <c r="U9" i="1" s="1"/>
  <c r="Q9" i="1"/>
  <c r="R9" i="1"/>
  <c r="S255" i="1"/>
  <c r="V255" i="1"/>
  <c r="W255" i="1" s="1"/>
  <c r="S266" i="1"/>
  <c r="V266" i="1"/>
  <c r="W266" i="1" s="1"/>
  <c r="V228" i="1"/>
  <c r="W228" i="1" s="1"/>
  <c r="S228" i="1"/>
  <c r="V192" i="1"/>
  <c r="W192" i="1" s="1"/>
  <c r="S192" i="1"/>
  <c r="S246" i="1"/>
  <c r="V246" i="1"/>
  <c r="W246" i="1" s="1"/>
  <c r="W2" i="1" l="1"/>
  <c r="T96" i="1"/>
  <c r="U96" i="1" s="1"/>
  <c r="Q96" i="1"/>
  <c r="R96" i="1"/>
  <c r="S9" i="1"/>
  <c r="V9" i="1"/>
  <c r="W9" i="1" s="1"/>
  <c r="S96" i="1" l="1"/>
  <c r="V96" i="1"/>
  <c r="W96" i="1" l="1"/>
</calcChain>
</file>

<file path=xl/sharedStrings.xml><?xml version="1.0" encoding="utf-8"?>
<sst xmlns="http://schemas.openxmlformats.org/spreadsheetml/2006/main" count="2036" uniqueCount="99">
  <si>
    <t>ID</t>
  </si>
  <si>
    <t>DataLançamento</t>
  </si>
  <si>
    <t>Lançamento</t>
  </si>
  <si>
    <t>Tipo Pagamento</t>
  </si>
  <si>
    <t>Descrição</t>
  </si>
  <si>
    <t>LocalVenda</t>
  </si>
  <si>
    <t>Venda</t>
  </si>
  <si>
    <t>Preço/Un.</t>
  </si>
  <si>
    <t>Custo/KG.</t>
  </si>
  <si>
    <t>QTD Perdida</t>
  </si>
  <si>
    <t>Qtd/Pães</t>
  </si>
  <si>
    <t>Qtd/Kg</t>
  </si>
  <si>
    <t>Total Perdido</t>
  </si>
  <si>
    <t>Qtd/Kg Perdido</t>
  </si>
  <si>
    <t>Qtd/Kg Total</t>
  </si>
  <si>
    <t>Custoprimario</t>
  </si>
  <si>
    <t>Custofinal</t>
  </si>
  <si>
    <t>Custoprimario %</t>
  </si>
  <si>
    <t>Custofinal %</t>
  </si>
  <si>
    <t>Lucroprimario</t>
  </si>
  <si>
    <t>Lucroprimario %</t>
  </si>
  <si>
    <t>Lucrofinal</t>
  </si>
  <si>
    <t>Lucrofinal %</t>
  </si>
  <si>
    <t>IDPedido</t>
  </si>
  <si>
    <t>RECEITA</t>
  </si>
  <si>
    <t>DINHEIRO</t>
  </si>
  <si>
    <t>VENDA/35G</t>
  </si>
  <si>
    <t>TEREZA</t>
  </si>
  <si>
    <t>VAZAME</t>
  </si>
  <si>
    <t>CUSTO</t>
  </si>
  <si>
    <t>MANUTENÇÕES</t>
  </si>
  <si>
    <t>GÁS</t>
  </si>
  <si>
    <t>ALUGUEL</t>
  </si>
  <si>
    <t>EMBALAGENS</t>
  </si>
  <si>
    <t>IMPOSTOS</t>
  </si>
  <si>
    <t>VENDA/50G</t>
  </si>
  <si>
    <t>ENERGIA</t>
  </si>
  <si>
    <t>CARTÃO DÉBITO</t>
  </si>
  <si>
    <t>CARTÃO CRÉDITO</t>
  </si>
  <si>
    <t>Data Entrada</t>
  </si>
  <si>
    <t>Entrada</t>
  </si>
  <si>
    <t>Preço/KG</t>
  </si>
  <si>
    <t>Total</t>
  </si>
  <si>
    <t>PAGO</t>
  </si>
  <si>
    <t>NÃO PAGO</t>
  </si>
  <si>
    <t>DATA</t>
  </si>
  <si>
    <t>DESCRIÇÃO</t>
  </si>
  <si>
    <t>GRUPO</t>
  </si>
  <si>
    <t>VALOR</t>
  </si>
  <si>
    <t>VAL</t>
  </si>
  <si>
    <t>CASAS BAHIA</t>
  </si>
  <si>
    <t>CARTÕES DE CRÉDITO</t>
  </si>
  <si>
    <t>COLOMBO</t>
  </si>
  <si>
    <t>C&amp;A</t>
  </si>
  <si>
    <t>ÁVISTA</t>
  </si>
  <si>
    <t>CARTÃO LOPES</t>
  </si>
  <si>
    <t>PONTAL</t>
  </si>
  <si>
    <t>BESNI</t>
  </si>
  <si>
    <t>dLançamentos</t>
  </si>
  <si>
    <t>dPagamentos</t>
  </si>
  <si>
    <t>dTipoVenda</t>
  </si>
  <si>
    <t>dTipoCusto</t>
  </si>
  <si>
    <t>Pagamento</t>
  </si>
  <si>
    <t>TaxaADM</t>
  </si>
  <si>
    <t>OUTROS</t>
  </si>
  <si>
    <t>TELEFONE</t>
  </si>
  <si>
    <t>Data</t>
  </si>
  <si>
    <t>IDProduto</t>
  </si>
  <si>
    <t>Quantidade</t>
  </si>
  <si>
    <t>dProduto</t>
  </si>
  <si>
    <t>FABRITELLA</t>
  </si>
  <si>
    <t>DOLCE DI LATTE</t>
  </si>
  <si>
    <t>LEITE CONDESADO</t>
  </si>
  <si>
    <t>CREMA FRAGOLA</t>
  </si>
  <si>
    <t>Produto</t>
  </si>
  <si>
    <t>ValorUN.</t>
  </si>
  <si>
    <t>ValorUN</t>
  </si>
  <si>
    <t>VendaTotal</t>
  </si>
  <si>
    <t>VENDA/20G</t>
  </si>
  <si>
    <t>QUANTIDADE</t>
  </si>
  <si>
    <t>IMPORTÂNCIA</t>
  </si>
  <si>
    <t>VENDA</t>
  </si>
  <si>
    <t>VENDA CARTÃO</t>
  </si>
  <si>
    <t>TROCO</t>
  </si>
  <si>
    <t>TOTAL</t>
  </si>
  <si>
    <t>CÉDULA</t>
  </si>
  <si>
    <t>MOEDA</t>
  </si>
  <si>
    <t>CONTROLE</t>
  </si>
  <si>
    <t>Importâncias Aceitas</t>
  </si>
  <si>
    <t>R$ Quebra</t>
  </si>
  <si>
    <t>% Quebra</t>
  </si>
  <si>
    <t>VendaReal</t>
  </si>
  <si>
    <t>VendaEsperada</t>
  </si>
  <si>
    <t>VENDA/38G</t>
  </si>
  <si>
    <t>VENDA/33G</t>
  </si>
  <si>
    <t>VENDA/41G</t>
  </si>
  <si>
    <t>TOTAIS</t>
  </si>
  <si>
    <t>CONTAGEM</t>
  </si>
  <si>
    <t xml:space="preserve"> ;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</si>
</sst>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00"/>
    <numFmt numFmtId="167" formatCode="_-* #,##0.000_-;\-* #,##0.000_-;_-* &quot;-&quot;??_-;_-@_-"/>
    <numFmt numFmtId="168" formatCode="0.0%"/>
    <numFmt numFmtId="169" formatCode="_-* #,##0.000_-;\-* #,##0.000_-;_-* &quot;-&quot;???_-;_-@_-"/>
    <numFmt numFmtId="170" formatCode="m/d/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2" tint="-0.89999084444715716"/>
      <name val="Segoe UI"/>
      <family val="2"/>
    </font>
    <font>
      <sz val="14"/>
      <color theme="1"/>
      <name val="Calibri"/>
      <family val="2"/>
      <scheme val="minor"/>
    </font>
    <font>
      <sz val="11"/>
      <color theme="1"/>
      <name val="Segoe UI"/>
    </font>
    <font>
      <sz val="11"/>
      <color theme="2" tint="-0.89999084444715716"/>
      <name val="Segoe UI"/>
    </font>
    <font>
      <sz val="11"/>
      <color theme="1"/>
      <name val="Calibri"/>
      <scheme val="minor"/>
    </font>
    <font>
      <b/>
      <sz val="12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0" borderId="0" xfId="0" applyFont="1"/>
    <xf numFmtId="14" fontId="2" fillId="3" borderId="2" xfId="0" applyNumberFormat="1" applyFont="1" applyFill="1" applyBorder="1" applyAlignment="1">
      <alignment horizontal="center"/>
    </xf>
    <xf numFmtId="0" fontId="2" fillId="3" borderId="4" xfId="0" applyNumberFormat="1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0" fillId="0" borderId="0" xfId="0" applyNumberFormat="1"/>
    <xf numFmtId="0" fontId="7" fillId="2" borderId="5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0" xfId="3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4" borderId="0" xfId="0" applyFill="1"/>
    <xf numFmtId="0" fontId="3" fillId="5" borderId="0" xfId="0" applyFont="1" applyFill="1" applyAlignment="1">
      <alignment horizontal="center"/>
    </xf>
    <xf numFmtId="164" fontId="4" fillId="0" borderId="0" xfId="1" applyNumberFormat="1" applyFont="1" applyAlignment="1">
      <alignment horizontal="center" vertical="center"/>
    </xf>
    <xf numFmtId="167" fontId="1" fillId="0" borderId="0" xfId="3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7" fontId="6" fillId="0" borderId="0" xfId="3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164" fontId="9" fillId="0" borderId="0" xfId="0" applyNumberFormat="1" applyFont="1" applyFill="1" applyAlignment="1">
      <alignment horizontal="center" vertical="center"/>
    </xf>
    <xf numFmtId="0" fontId="8" fillId="2" borderId="6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/>
    <xf numFmtId="168" fontId="0" fillId="0" borderId="0" xfId="1" applyNumberFormat="1" applyFont="1" applyAlignment="1">
      <alignment horizontal="center"/>
    </xf>
    <xf numFmtId="4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/>
    <xf numFmtId="0" fontId="1" fillId="0" borderId="0" xfId="0" applyFont="1"/>
    <xf numFmtId="164" fontId="10" fillId="0" borderId="6" xfId="0" applyNumberFormat="1" applyFont="1" applyBorder="1" applyAlignment="1">
      <alignment horizontal="center" vertical="center"/>
    </xf>
    <xf numFmtId="44" fontId="0" fillId="0" borderId="0" xfId="0" applyNumberFormat="1"/>
    <xf numFmtId="0" fontId="3" fillId="0" borderId="0" xfId="0" applyFont="1"/>
    <xf numFmtId="44" fontId="0" fillId="0" borderId="0" xfId="0" applyNumberFormat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14" fontId="0" fillId="3" borderId="7" xfId="0" applyNumberFormat="1" applyFont="1" applyFill="1" applyBorder="1" applyAlignment="1">
      <alignment horizontal="center"/>
    </xf>
    <xf numFmtId="44" fontId="0" fillId="3" borderId="7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10" fontId="0" fillId="3" borderId="0" xfId="1" applyNumberFormat="1" applyFont="1" applyFill="1" applyBorder="1" applyAlignment="1">
      <alignment horizontal="center"/>
    </xf>
    <xf numFmtId="10" fontId="0" fillId="3" borderId="7" xfId="1" applyNumberFormat="1" applyFont="1" applyFill="1" applyBorder="1" applyAlignment="1">
      <alignment horizontal="center"/>
    </xf>
    <xf numFmtId="0" fontId="0" fillId="0" borderId="0" xfId="0" applyFont="1"/>
    <xf numFmtId="10" fontId="0" fillId="3" borderId="7" xfId="0" applyNumberFormat="1" applyFont="1" applyFill="1" applyBorder="1" applyAlignment="1">
      <alignment horizontal="center"/>
    </xf>
    <xf numFmtId="167" fontId="6" fillId="0" borderId="0" xfId="0" applyNumberFormat="1" applyFont="1"/>
    <xf numFmtId="169" fontId="6" fillId="0" borderId="0" xfId="0" applyNumberFormat="1" applyFont="1"/>
    <xf numFmtId="44" fontId="5" fillId="0" borderId="0" xfId="0" applyNumberFormat="1" applyFont="1"/>
    <xf numFmtId="14" fontId="0" fillId="0" borderId="0" xfId="0" applyNumberFormat="1" applyFont="1"/>
    <xf numFmtId="14" fontId="5" fillId="0" borderId="0" xfId="0" applyNumberFormat="1" applyFont="1"/>
    <xf numFmtId="164" fontId="0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10" fontId="11" fillId="0" borderId="0" xfId="1" applyNumberFormat="1" applyFont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14" fontId="13" fillId="3" borderId="7" xfId="0" applyNumberFormat="1" applyFont="1" applyFill="1" applyBorder="1" applyAlignment="1">
      <alignment horizontal="center"/>
    </xf>
    <xf numFmtId="44" fontId="13" fillId="3" borderId="7" xfId="0" applyNumberFormat="1" applyFont="1" applyFill="1" applyBorder="1" applyAlignment="1">
      <alignment horizontal="center"/>
    </xf>
    <xf numFmtId="10" fontId="13" fillId="3" borderId="7" xfId="1" applyNumberFormat="1" applyFont="1" applyFill="1" applyBorder="1" applyAlignment="1">
      <alignment horizontal="center"/>
    </xf>
    <xf numFmtId="170" fontId="0" fillId="0" borderId="0" xfId="0" applyNumberFormat="1" applyFont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44" fontId="1" fillId="0" borderId="0" xfId="0" applyNumberFormat="1" applyFont="1"/>
    <xf numFmtId="0" fontId="0" fillId="0" borderId="0" xfId="0" applyFont="1" applyAlignment="1">
      <alignment horizontal="center"/>
    </xf>
    <xf numFmtId="44" fontId="0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  <xf numFmtId="168" fontId="1" fillId="0" borderId="0" xfId="1" applyNumberFormat="1" applyFont="1"/>
    <xf numFmtId="14" fontId="4" fillId="0" borderId="0" xfId="0" applyNumberFormat="1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</cellXfs>
  <cellStyles count="4">
    <cellStyle name="Moeda 2" xfId="2" xr:uid="{00000000-0005-0000-0000-000000000000}"/>
    <cellStyle name="Normal" xfId="0" builtinId="0"/>
    <cellStyle name="Porcentagem" xfId="1" builtinId="5"/>
    <cellStyle name="Vírgula" xfId="3" builtinId="3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theme="5" tint="0.59996337778862885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00_-;\-* #,##0.000_-;_-* &quot;-&quot;??_-;_-@_-"/>
      <alignment horizontal="center" vertical="center" textRotation="0" wrapText="0" indent="0" justifyLastLine="0" shrinkToFit="0" readingOrder="0"/>
    </dxf>
    <dxf>
      <numFmt numFmtId="167" formatCode="_-* #,##0.000_-;\-* #,##0.00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numFmt numFmtId="170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Segoe UI"/>
        <scheme val="none"/>
      </font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6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6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6" formatCode="0.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name val="Segoe UI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2A34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Caixa" displayName="fCaixa" ref="A1:W442" totalsRowCount="1" headerRowDxfId="105" dataDxfId="103" totalsRowDxfId="102" headerRowBorderDxfId="104">
  <autoFilter ref="A1:W441" xr:uid="{29D8755F-54CE-441A-B969-409D37BE1E0E}">
    <filterColumn colId="1">
      <filters>
        <dateGroupItem year="2017" month="7" dateTimeGrouping="month"/>
      </filters>
    </filterColumn>
    <filterColumn colId="2">
      <filters>
        <filter val="RECEITA"/>
      </filters>
    </filterColumn>
  </autoFilter>
  <sortState ref="A2:W440">
    <sortCondition ref="B1:B442"/>
  </sortState>
  <tableColumns count="23">
    <tableColumn id="24" xr3:uid="{00000000-0010-0000-0000-000018000000}" name="ID" dataDxfId="101" totalsRowDxfId="100">
      <calculatedColumnFormula>ROW($A1)</calculatedColumnFormula>
    </tableColumn>
    <tableColumn id="1" xr3:uid="{00000000-0010-0000-0000-000001000000}" name="DataLançamento" dataDxfId="99" totalsRowDxfId="98"/>
    <tableColumn id="2" xr3:uid="{00000000-0010-0000-0000-000002000000}" name="Lançamento" dataDxfId="97" totalsRowDxfId="96"/>
    <tableColumn id="3" xr3:uid="{00000000-0010-0000-0000-000003000000}" name="Tipo Pagamento" dataDxfId="95" totalsRowDxfId="94"/>
    <tableColumn id="4" xr3:uid="{00000000-0010-0000-0000-000004000000}" name="Descrição" dataDxfId="93" totalsRowDxfId="92"/>
    <tableColumn id="5" xr3:uid="{00000000-0010-0000-0000-000005000000}" name="LocalVenda" dataDxfId="91" totalsRowDxfId="90"/>
    <tableColumn id="6" xr3:uid="{00000000-0010-0000-0000-000006000000}" name="Venda" totalsRowFunction="custom" dataDxfId="89" totalsRowDxfId="88">
      <totalsRowFormula>SUMIF(fCaixa[DataLançamento],TODAY(),fCaixa[Venda])</totalsRowFormula>
    </tableColumn>
    <tableColumn id="7" xr3:uid="{00000000-0010-0000-0000-000007000000}" name="Preço/Un." totalsRowFunction="custom" dataDxfId="87" totalsRowDxfId="86">
      <totalsRowFormula>IFERROR(AVERAGEIF(fCaixa[DataLançamento],TODAY(),fCaixa[Preço/Un.]),0)</totalsRowFormula>
    </tableColumn>
    <tableColumn id="8" xr3:uid="{00000000-0010-0000-0000-000008000000}" name="Custo/KG." dataDxfId="85" totalsRowDxfId="84"/>
    <tableColumn id="9" xr3:uid="{00000000-0010-0000-0000-000009000000}" name="QTD Perdida" totalsRowFunction="custom" dataDxfId="83" totalsRowDxfId="82">
      <totalsRowFormula>SUMIF(fCaixa[DataLançamento],TODAY(),fCaixa[QTD Perdida])</totalsRowFormula>
    </tableColumn>
    <tableColumn id="10" xr3:uid="{00000000-0010-0000-0000-00000A000000}" name="Qtd/Pães" totalsRowFunction="custom" dataDxfId="81" totalsRowDxfId="80">
      <calculatedColumnFormula>IFERROR(ROUND((fCaixa[[#This Row],[Venda]]/fCaixa[[#This Row],[Preço/Un.]]),0),0)</calculatedColumnFormula>
      <totalsRowFormula>SUMIF(fCaixa[DataLançamento],TODAY(),fCaixa[Qtd/Pães])</totalsRowFormula>
    </tableColumn>
    <tableColumn id="11" xr3:uid="{00000000-0010-0000-0000-00000B000000}" name="Qtd/Kg" totalsRowFunction="custom" dataDxfId="79" totalsRowDxfId="78">
      <calculatedColumnFormula>IFERROR((SUBSTITUTE(RIGHT(fCaixa[[#This Row],[Descrição]],3),"G","")*1 *fCaixa[[#This Row],[Qtd/Pães]]) / 1000,0)</calculatedColumnFormula>
      <totalsRowFormula>SUMIF(fCaixa[DataLançamento],TODAY(),fCaixa[Qtd/Kg])</totalsRowFormula>
    </tableColumn>
    <tableColumn id="12" xr3:uid="{00000000-0010-0000-0000-00000C000000}" name="Total Perdido" totalsRowFunction="custom" dataDxfId="77" totalsRowDxfId="76">
      <calculatedColumnFormula>IFERROR((((SUBSTITUTE(RIGHT(fCaixa[[#This Row],[Descrição]],3),"G","")*1) * fCaixa[[#This Row],[QTD Perdida]])/1000) *fCaixa[[#This Row],[Custo/KG.]],0)</calculatedColumnFormula>
      <totalsRowFormula>SUMIF(fCaixa[DataLançamento],TODAY(),fCaixa[Total Perdido])</totalsRowFormula>
    </tableColumn>
    <tableColumn id="21" xr3:uid="{00000000-0010-0000-0000-000015000000}" name="Qtd/Kg Perdido" totalsRowFunction="custom" dataDxfId="75" totalsRowDxfId="74">
      <calculatedColumnFormula>IF(fCaixa[[#This Row],[Lançamento]]="RECEITA",(fCaixa[[#This Row],[QTD Perdida]]* (SUBSTITUTE(RIGHT(fCaixa[[#This Row],[Descrição]],3),"G","")*1))/1000,0)</calculatedColumnFormula>
      <totalsRowFormula>SUMIF(fCaixa[DataLançamento],TODAY(),fCaixa[Qtd/Kg Perdido])</totalsRowFormula>
    </tableColumn>
    <tableColumn id="23" xr3:uid="{00000000-0010-0000-0000-000017000000}" name="Qtd/Kg Total" totalsRowFunction="custom" dataDxfId="73" totalsRowDxfId="72">
      <calculatedColumnFormula>fCaixa[[#This Row],[Qtd/Kg]]+fCaixa[[#This Row],[Qtd/Kg Perdido]]</calculatedColumnFormula>
      <totalsRowFormula>SUMIF(fCaixa[DataLançamento],TODAY(),fCaixa[Qtd/Kg Total])</totalsRowFormula>
    </tableColumn>
    <tableColumn id="13" xr3:uid="{00000000-0010-0000-0000-00000D000000}" name="Custoprimario" totalsRowFunction="custom" dataDxfId="71" totalsRowDxfId="70">
      <calculatedColumnFormula>IF(fCaixa[[#This Row],[Lançamento]]="RECEITA",(fCaixa[[#This Row],[Qtd/Kg]]*fCaixa[[#This Row],[Custo/KG.]]),0)</calculatedColumnFormula>
      <totalsRowFormula>SUMIF(fCaixa[DataLançamento],TODAY(),fCaixa[Custoprimario])</totalsRowFormula>
    </tableColumn>
    <tableColumn id="14" xr3:uid="{00000000-0010-0000-0000-00000E000000}" name="Custofinal" totalsRowLabel=" ;  " dataDxfId="69" totalsRowDxfId="68">
      <calculatedColumnFormula>fCaixa[[#This Row],[Custoprimario]]+fCaixa[[#This Row],[Total Perdido]]</calculatedColumnFormula>
    </tableColumn>
    <tableColumn id="19" xr3:uid="{00000000-0010-0000-0000-000013000000}" name="Custoprimario %" totalsRowFunction="custom" dataDxfId="67" totalsRowDxfId="66" dataCellStyle="Porcentagem">
      <calculatedColumnFormula>IFERROR(fCaixa[[#This Row],[Custoprimario]]/fCaixa[[#This Row],[Venda]],0)</calculatedColumnFormula>
      <totalsRowFormula>IFERROR(AVERAGEIF(fCaixa[DataLançamento],TODAY(),fCaixa[Custoprimario %]),0)</totalsRowFormula>
    </tableColumn>
    <tableColumn id="20" xr3:uid="{00000000-0010-0000-0000-000014000000}" name="Custofinal %" totalsRowFunction="custom" dataDxfId="65" totalsRowDxfId="64" dataCellStyle="Porcentagem">
      <calculatedColumnFormula>IFERROR(fCaixa[[#This Row],[Custofinal]]/fCaixa[[#This Row],[Venda]],0)</calculatedColumnFormula>
      <totalsRowFormula>IFERROR(AVERAGEIF(fCaixa[DataLançamento],TODAY(),fCaixa[Custofinal %]),0)</totalsRowFormula>
    </tableColumn>
    <tableColumn id="15" xr3:uid="{00000000-0010-0000-0000-00000F000000}" name="Lucroprimario" totalsRowFunction="custom" dataDxfId="63" totalsRowDxfId="62">
      <calculatedColumnFormula>IF(fCaixa[[#This Row],[Lançamento]]="RECEITA",fCaixa[[#This Row],[Venda]]-fCaixa[[#This Row],[Custoprimario]],0)</calculatedColumnFormula>
      <totalsRowFormula>SUMIF(fCaixa[DataLançamento],TODAY(),fCaixa[Lucroprimario])</totalsRowFormula>
    </tableColumn>
    <tableColumn id="17" xr3:uid="{00000000-0010-0000-0000-000011000000}" name="Lucroprimario %" totalsRowFunction="custom" dataDxfId="61" totalsRowDxfId="60" dataCellStyle="Porcentagem">
      <calculatedColumnFormula>IFERROR(fCaixa[[#This Row],[Lucroprimario]]/fCaixa[[#This Row],[Venda]],0)</calculatedColumnFormula>
      <totalsRowFormula>IFERROR(AVERAGEIF(fCaixa[DataLançamento],TODAY(),fCaixa[Lucroprimario %]),0)</totalsRowFormula>
    </tableColumn>
    <tableColumn id="16" xr3:uid="{00000000-0010-0000-0000-000010000000}" name="Lucrofinal" totalsRowFunction="custom" dataDxfId="59" totalsRowDxfId="58" dataCellStyle="Porcentagem">
      <calculatedColumnFormula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calculatedColumnFormula>
      <totalsRowFormula>SUMIF(fCaixa[DataLançamento],TODAY(),fCaixa[Lucrofinal])</totalsRowFormula>
    </tableColumn>
    <tableColumn id="18" xr3:uid="{00000000-0010-0000-0000-000012000000}" name="Lucrofinal %" totalsRowFunction="custom" dataDxfId="57" totalsRowDxfId="56" dataCellStyle="Porcentagem">
      <calculatedColumnFormula>IFERROR(fCaixa[[#This Row],[Lucrofinal]]/fCaixa[[#This Row],[Venda]],0)</calculatedColumnFormula>
      <totalsRowFormula>IFERROR(AVERAGEIF(fCaixa[DataLançamento],TODAY(),fCaixa[Lucrofinal %]),)</totalsRow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fPedidos" displayName="fPedidos" ref="A1:D30" totalsRowCount="1" headerRowDxfId="55" dataDxfId="53" totalsRowDxfId="52" headerRowBorderDxfId="54">
  <tableColumns count="4">
    <tableColumn id="1" xr3:uid="{00000000-0010-0000-0100-000001000000}" name="Data" totalsRowLabel="TOTAIS" dataDxfId="51" totalsRowDxfId="50"/>
    <tableColumn id="5" xr3:uid="{00000000-0010-0000-0100-000005000000}" name="Entrada" totalsRowFunction="custom" dataDxfId="49" totalsRowDxfId="48">
      <totalsRowFormula>SUBTOTAL(109,B2:B29)</totalsRowFormula>
    </tableColumn>
    <tableColumn id="6" xr3:uid="{00000000-0010-0000-0100-000006000000}" name="Preço/KG" totalsRowFunction="average" dataDxfId="47" totalsRowDxfId="46"/>
    <tableColumn id="7" xr3:uid="{00000000-0010-0000-0100-000007000000}" name="Total" totalsRowFunction="custom" dataDxfId="45" totalsRowDxfId="44">
      <calculatedColumnFormula>PRODUCT(fPedidos[[#This Row],[Entrada]],fPedidos[[#This Row],[Preço/KG]])</calculatedColumnFormula>
      <totalsRowFormula>SUBTOTAL(109,D2:D29)</totalsRow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bComparativo" displayName="tbComparativo" ref="A1:C2" insertRow="1" totalsRowShown="0">
  <tableColumns count="3">
    <tableColumn id="1" xr3:uid="{00000000-0010-0000-0200-000001000000}" name="Data"/>
    <tableColumn id="5" xr3:uid="{00000000-0010-0000-0200-000005000000}" name="Lançamento"/>
    <tableColumn id="6" xr3:uid="{00000000-0010-0000-0200-000006000000}" name="VendaTot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fPedidosAux" displayName="fPedidosAux" ref="A1:F5" headerRowDxfId="43" dataDxfId="42">
  <tableColumns count="6">
    <tableColumn id="6" xr3:uid="{00000000-0010-0000-0300-000006000000}" name="IDPedido" dataDxfId="41">
      <calculatedColumnFormula>IF(NOT(ISNUMBER(A1)),1,IF(fPedidosAux[[#This Row],[Data Entrada]]=B1,A1,A1+1))</calculatedColumnFormula>
    </tableColumn>
    <tableColumn id="1" xr3:uid="{00000000-0010-0000-0300-000001000000}" name="Data Entrada" dataDxfId="40" totalsRowDxfId="39"/>
    <tableColumn id="2" xr3:uid="{00000000-0010-0000-0300-000002000000}" name="Entrada" dataDxfId="38" totalsRowDxfId="37"/>
    <tableColumn id="3" xr3:uid="{00000000-0010-0000-0300-000003000000}" name="Produto" dataDxfId="36" totalsRowDxfId="35"/>
    <tableColumn id="4" xr3:uid="{00000000-0010-0000-0300-000004000000}" name="ValorUN." dataDxfId="34" totalsRowDxfId="33"/>
    <tableColumn id="5" xr3:uid="{00000000-0010-0000-0300-000005000000}" name="Total" dataDxfId="32" totalsRowDxfId="31">
      <calculatedColumnFormula>PRODUCT(fPedidosAux[[#This Row],[ValorUN.]],fPedidosAux[[#This Row],[Entrada]])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fCaixaAux" displayName="fCaixaAux" ref="A1:E2" totalsRowShown="0" headerRowDxfId="30" dataDxfId="29" headerRowCellStyle="Porcentagem" dataCellStyle="Porcentagem">
  <tableColumns count="5">
    <tableColumn id="1" xr3:uid="{00000000-0010-0000-0400-000001000000}" name="ID" dataDxfId="28">
      <calculatedColumnFormula>ROW()-1</calculatedColumnFormula>
    </tableColumn>
    <tableColumn id="2" xr3:uid="{00000000-0010-0000-0400-000002000000}" name="Data" dataDxfId="27"/>
    <tableColumn id="3" xr3:uid="{00000000-0010-0000-0400-000003000000}" name="IDProduto" dataDxfId="26"/>
    <tableColumn id="5" xr3:uid="{00000000-0010-0000-0400-000005000000}" name="ValorUN" dataDxfId="25"/>
    <tableColumn id="4" xr3:uid="{00000000-0010-0000-0400-000004000000}" name="Quantidade" dataDxfId="2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dProduto" displayName="dProduto" ref="N3:O7" totalsRowShown="0" headerRowDxfId="23" dataDxfId="22">
  <autoFilter ref="N3:O7" xr:uid="{00000000-0009-0000-0100-000005000000}"/>
  <tableColumns count="2">
    <tableColumn id="1" xr3:uid="{00000000-0010-0000-0500-000001000000}" name="ID" dataDxfId="21"/>
    <tableColumn id="2" xr3:uid="{00000000-0010-0000-0500-000002000000}" name="Descrição" dataDxfId="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Contagem" displayName="tbContagem" ref="B9:D10" insertRow="1" totalsRowShown="0" headerRowDxfId="19" dataDxfId="18">
  <sortState ref="B10:D10">
    <sortCondition descending="1" ref="B9:B10"/>
  </sortState>
  <tableColumns count="3">
    <tableColumn id="1" xr3:uid="{00000000-0010-0000-0600-000001000000}" name="IMPORTÂNCIA" dataDxfId="17"/>
    <tableColumn id="2" xr3:uid="{00000000-0010-0000-0600-000002000000}" name="QUANTIDADE" dataDxfId="16"/>
    <tableColumn id="3" xr3:uid="{DF09BD4C-2BF8-4DCF-9A9E-5B3347AC9A7F}" name="TOTAL" dataDxfId="15">
      <calculatedColumnFormula>PRODUCT(tbContagem[[#This Row],[IMPORTÂNCIA]:[QUANTIDADE]])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Fechamentos" displayName="tbFechamentos" ref="A1:E31" totalsRowCount="1" headerRowDxfId="12" dataDxfId="11" tableBorderDxfId="10">
  <tableColumns count="5">
    <tableColumn id="1" xr3:uid="{00000000-0010-0000-0700-000001000000}" name="Data" totalsRowLabel="TOTAL" dataDxfId="9" totalsRowDxfId="8"/>
    <tableColumn id="2" xr3:uid="{00000000-0010-0000-0700-000002000000}" name="VendaReal" dataDxfId="7" totalsRowDxfId="6"/>
    <tableColumn id="3" xr3:uid="{00000000-0010-0000-0700-000003000000}" name="VendaEsperada" dataDxfId="5" totalsRowDxfId="4"/>
    <tableColumn id="4" xr3:uid="{00000000-0010-0000-0700-000004000000}" name="R$ Quebra" totalsRowFunction="sum" dataDxfId="3" totalsRowDxfId="2"/>
    <tableColumn id="5" xr3:uid="{00000000-0010-0000-0700-000005000000}" name="% Quebra" totalsRowFunction="average" dataDxfId="1" totalsRowDxfId="0" dataCellStyle="Porcentagem">
      <calculatedColumnFormula>IFERROR(-tbFechamentos[[#This Row],[R$ Quebra]]/tbFechamentos[[#This Row],[VendaEsperada]],0)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aixa">
    <tabColor theme="9" tint="-0.249977111117893"/>
    <pageSetUpPr autoPageBreaks="0"/>
  </sheetPr>
  <dimension ref="A1:W444"/>
  <sheetViews>
    <sheetView showGridLines="0" tabSelected="1" topLeftCell="N3" zoomScale="90" zoomScaleNormal="90" workbookViewId="0">
      <selection activeCell="V2" sqref="V2:V22"/>
    </sheetView>
  </sheetViews>
  <sheetFormatPr defaultColWidth="9.140625" defaultRowHeight="15" x14ac:dyDescent="0.25"/>
  <cols>
    <col min="1" max="1" width="12.7109375" style="2" bestFit="1" customWidth="1"/>
    <col min="2" max="2" width="22.42578125" style="2" bestFit="1" customWidth="1"/>
    <col min="3" max="3" width="17.7109375" style="2" bestFit="1" customWidth="1"/>
    <col min="4" max="4" width="21.85546875" style="2" bestFit="1" customWidth="1"/>
    <col min="5" max="5" width="16.42578125" style="2" bestFit="1" customWidth="1"/>
    <col min="6" max="6" width="16.7109375" style="2" bestFit="1" customWidth="1"/>
    <col min="7" max="7" width="12.7109375" style="2" bestFit="1" customWidth="1"/>
    <col min="8" max="8" width="15.5703125" style="2" bestFit="1" customWidth="1"/>
    <col min="9" max="9" width="15.28515625" style="2" bestFit="1" customWidth="1"/>
    <col min="10" max="10" width="18.140625" style="2" bestFit="1" customWidth="1"/>
    <col min="11" max="11" width="14.85546875" style="2" bestFit="1" customWidth="1"/>
    <col min="12" max="12" width="12.85546875" style="2" bestFit="1" customWidth="1"/>
    <col min="13" max="13" width="19.140625" style="2" bestFit="1" customWidth="1"/>
    <col min="14" max="14" width="21.28515625" style="2" bestFit="1" customWidth="1"/>
    <col min="15" max="15" width="18.5703125" style="2" bestFit="1" customWidth="1"/>
    <col min="16" max="16" width="19.7109375" style="2" bestFit="1" customWidth="1"/>
    <col min="17" max="17" width="15.42578125" style="2" bestFit="1" customWidth="1"/>
    <col min="18" max="18" width="22.140625" style="2" bestFit="1" customWidth="1"/>
    <col min="19" max="19" width="17.85546875" style="2" bestFit="1" customWidth="1"/>
    <col min="20" max="20" width="19.7109375" style="2" bestFit="1" customWidth="1"/>
    <col min="21" max="21" width="22.140625" style="2" bestFit="1" customWidth="1"/>
    <col min="22" max="22" width="15.42578125" style="2" bestFit="1" customWidth="1"/>
    <col min="23" max="23" width="17.85546875" style="2" bestFit="1" customWidth="1"/>
    <col min="24" max="24" width="14.42578125" style="2" bestFit="1" customWidth="1"/>
    <col min="25" max="16384" width="9.140625" style="2"/>
  </cols>
  <sheetData>
    <row r="1" spans="1:23" ht="16.5" thickBot="1" x14ac:dyDescent="0.3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 t="s">
        <v>17</v>
      </c>
      <c r="S1" s="20" t="s">
        <v>18</v>
      </c>
      <c r="T1" s="20" t="s">
        <v>19</v>
      </c>
      <c r="U1" s="20" t="s">
        <v>20</v>
      </c>
      <c r="V1" s="20" t="s">
        <v>21</v>
      </c>
      <c r="W1" s="20" t="s">
        <v>22</v>
      </c>
    </row>
    <row r="2" spans="1:23" ht="16.5" x14ac:dyDescent="0.25">
      <c r="A2" s="17">
        <f t="shared" ref="A2:A65" si="0">ROW($A1)</f>
        <v>1</v>
      </c>
      <c r="B2" s="87">
        <v>42926</v>
      </c>
      <c r="C2" s="12" t="s">
        <v>24</v>
      </c>
      <c r="D2" s="12" t="s">
        <v>25</v>
      </c>
      <c r="E2" s="12" t="s">
        <v>26</v>
      </c>
      <c r="F2" s="12" t="s">
        <v>27</v>
      </c>
      <c r="G2" s="13">
        <v>24</v>
      </c>
      <c r="H2" s="13">
        <v>0.75</v>
      </c>
      <c r="I2" s="13">
        <v>10.5</v>
      </c>
      <c r="J2" s="14">
        <v>0</v>
      </c>
      <c r="K2" s="12">
        <f>IFERROR(ROUND((fCaixa[[#This Row],[Venda]]/fCaixa[[#This Row],[Preço/Un.]]),0),0)</f>
        <v>32</v>
      </c>
      <c r="L2" s="15">
        <f>IFERROR((SUBSTITUTE(RIGHT(fCaixa[[#This Row],[Descrição]],3),"G","")*1 *fCaixa[[#This Row],[Qtd/Pães]]) / 1000,0)</f>
        <v>1.1200000000000001</v>
      </c>
      <c r="M2" s="13">
        <f>IFERROR((((SUBSTITUTE(RIGHT(fCaixa[[#This Row],[Descrição]],3),"G","")*1) * fCaixa[[#This Row],[QTD Perdida]])/1000) *fCaixa[[#This Row],[Custo/KG.]],0)</f>
        <v>0</v>
      </c>
      <c r="N2" s="15">
        <f>IF(fCaixa[[#This Row],[Lançamento]]="RECEITA",(fCaixa[[#This Row],[QTD Perdida]]* (SUBSTITUTE(RIGHT(fCaixa[[#This Row],[Descrição]],3),"G","")*1))/1000,0)</f>
        <v>0</v>
      </c>
      <c r="O2" s="15">
        <f>fCaixa[[#This Row],[Qtd/Kg]]+fCaixa[[#This Row],[Qtd/Kg Perdido]]</f>
        <v>1.1200000000000001</v>
      </c>
      <c r="P2" s="13">
        <f>IF(fCaixa[[#This Row],[Lançamento]]="RECEITA",(fCaixa[[#This Row],[Qtd/Kg]]*fCaixa[[#This Row],[Custo/KG.]]),0)</f>
        <v>11.760000000000002</v>
      </c>
      <c r="Q2" s="34">
        <f>fCaixa[[#This Row],[Custoprimario]]+fCaixa[[#This Row],[Total Perdido]]</f>
        <v>11.760000000000002</v>
      </c>
      <c r="R2" s="16">
        <f>IFERROR(fCaixa[[#This Row],[Custoprimario]]/fCaixa[[#This Row],[Venda]],0)</f>
        <v>0.49000000000000005</v>
      </c>
      <c r="S2" s="16">
        <f>IFERROR(fCaixa[[#This Row],[Custofinal]]/fCaixa[[#This Row],[Venda]],0)</f>
        <v>0.49000000000000005</v>
      </c>
      <c r="T2" s="13">
        <f>IF(fCaixa[[#This Row],[Lançamento]]="RECEITA",fCaixa[[#This Row],[Venda]]-fCaixa[[#This Row],[Custoprimario]],0)</f>
        <v>12.239999999999998</v>
      </c>
      <c r="U2" s="16">
        <f>IFERROR(fCaixa[[#This Row],[Lucroprimario]]/fCaixa[[#This Row],[Venda]],0)</f>
        <v>0.5099999999999999</v>
      </c>
      <c r="V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12.239999999999998</v>
      </c>
      <c r="W2" s="16">
        <f>IFERROR(fCaixa[[#This Row],[Lucrofinal]]/fCaixa[[#This Row],[Venda]],0)</f>
        <v>0.5099999999999999</v>
      </c>
    </row>
    <row r="3" spans="1:23" ht="16.5" x14ac:dyDescent="0.25">
      <c r="A3" s="17">
        <f t="shared" si="0"/>
        <v>2</v>
      </c>
      <c r="B3" s="87">
        <v>42927</v>
      </c>
      <c r="C3" s="12" t="s">
        <v>24</v>
      </c>
      <c r="D3" s="12" t="s">
        <v>25</v>
      </c>
      <c r="E3" s="12" t="s">
        <v>26</v>
      </c>
      <c r="F3" s="12" t="s">
        <v>27</v>
      </c>
      <c r="G3" s="13">
        <v>42</v>
      </c>
      <c r="H3" s="13">
        <v>0.75</v>
      </c>
      <c r="I3" s="13">
        <v>10.5</v>
      </c>
      <c r="J3" s="14">
        <v>0</v>
      </c>
      <c r="K3" s="12">
        <f>IFERROR(ROUND((fCaixa[[#This Row],[Venda]]/fCaixa[[#This Row],[Preço/Un.]]),0),0)</f>
        <v>56</v>
      </c>
      <c r="L3" s="15">
        <f>IFERROR((SUBSTITUTE(RIGHT(fCaixa[[#This Row],[Descrição]],3),"G","")*1 *fCaixa[[#This Row],[Qtd/Pães]]) / 1000,0)</f>
        <v>1.96</v>
      </c>
      <c r="M3" s="13">
        <f>IFERROR((((SUBSTITUTE(RIGHT(fCaixa[[#This Row],[Descrição]],3),"G","")*1) * fCaixa[[#This Row],[QTD Perdida]])/1000) *fCaixa[[#This Row],[Custo/KG.]],0)</f>
        <v>0</v>
      </c>
      <c r="N3" s="15">
        <f>IF(fCaixa[[#This Row],[Lançamento]]="RECEITA",(fCaixa[[#This Row],[QTD Perdida]]* (SUBSTITUTE(RIGHT(fCaixa[[#This Row],[Descrição]],3),"G","")*1))/1000,0)</f>
        <v>0</v>
      </c>
      <c r="O3" s="15">
        <f>fCaixa[[#This Row],[Qtd/Kg]]+fCaixa[[#This Row],[Qtd/Kg Perdido]]</f>
        <v>1.96</v>
      </c>
      <c r="P3" s="13">
        <f>IF(fCaixa[[#This Row],[Lançamento]]="RECEITA",(fCaixa[[#This Row],[Qtd/Kg]]*fCaixa[[#This Row],[Custo/KG.]]),0)</f>
        <v>20.58</v>
      </c>
      <c r="Q3" s="34">
        <f>fCaixa[[#This Row],[Custoprimario]]+fCaixa[[#This Row],[Total Perdido]]</f>
        <v>20.58</v>
      </c>
      <c r="R3" s="16">
        <f>IFERROR(fCaixa[[#This Row],[Custoprimario]]/fCaixa[[#This Row],[Venda]],0)</f>
        <v>0.48999999999999994</v>
      </c>
      <c r="S3" s="16">
        <f>IFERROR(fCaixa[[#This Row],[Custofinal]]/fCaixa[[#This Row],[Venda]],0)</f>
        <v>0.48999999999999994</v>
      </c>
      <c r="T3" s="13">
        <f>IF(fCaixa[[#This Row],[Lançamento]]="RECEITA",fCaixa[[#This Row],[Venda]]-fCaixa[[#This Row],[Custoprimario]],0)</f>
        <v>21.42</v>
      </c>
      <c r="U3" s="16">
        <f>IFERROR(fCaixa[[#This Row],[Lucroprimario]]/fCaixa[[#This Row],[Venda]],0)</f>
        <v>0.51</v>
      </c>
      <c r="V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21.42</v>
      </c>
      <c r="W3" s="16">
        <f>IFERROR(fCaixa[[#This Row],[Lucrofinal]]/fCaixa[[#This Row],[Venda]],0)</f>
        <v>0.51</v>
      </c>
    </row>
    <row r="4" spans="1:23" ht="16.5" x14ac:dyDescent="0.25">
      <c r="A4" s="17">
        <f t="shared" si="0"/>
        <v>3</v>
      </c>
      <c r="B4" s="87">
        <v>42928</v>
      </c>
      <c r="C4" s="12" t="s">
        <v>24</v>
      </c>
      <c r="D4" s="12" t="s">
        <v>25</v>
      </c>
      <c r="E4" s="12" t="s">
        <v>26</v>
      </c>
      <c r="F4" s="12" t="s">
        <v>27</v>
      </c>
      <c r="G4" s="13">
        <v>54</v>
      </c>
      <c r="H4" s="13">
        <v>0.75</v>
      </c>
      <c r="I4" s="13">
        <v>10.5</v>
      </c>
      <c r="J4" s="14">
        <v>0</v>
      </c>
      <c r="K4" s="12">
        <f>IFERROR(ROUND((fCaixa[[#This Row],[Venda]]/fCaixa[[#This Row],[Preço/Un.]]),0),0)</f>
        <v>72</v>
      </c>
      <c r="L4" s="15">
        <f>IFERROR((SUBSTITUTE(RIGHT(fCaixa[[#This Row],[Descrição]],3),"G","")*1 *fCaixa[[#This Row],[Qtd/Pães]]) / 1000,0)</f>
        <v>2.52</v>
      </c>
      <c r="M4" s="13">
        <f>IFERROR((((SUBSTITUTE(RIGHT(fCaixa[[#This Row],[Descrição]],3),"G","")*1) * fCaixa[[#This Row],[QTD Perdida]])/1000) *fCaixa[[#This Row],[Custo/KG.]],0)</f>
        <v>0</v>
      </c>
      <c r="N4" s="15">
        <f>IF(fCaixa[[#This Row],[Lançamento]]="RECEITA",(fCaixa[[#This Row],[QTD Perdida]]* (SUBSTITUTE(RIGHT(fCaixa[[#This Row],[Descrição]],3),"G","")*1))/1000,0)</f>
        <v>0</v>
      </c>
      <c r="O4" s="15">
        <f>fCaixa[[#This Row],[Qtd/Kg]]+fCaixa[[#This Row],[Qtd/Kg Perdido]]</f>
        <v>2.52</v>
      </c>
      <c r="P4" s="13">
        <f>IF(fCaixa[[#This Row],[Lançamento]]="RECEITA",(fCaixa[[#This Row],[Qtd/Kg]]*fCaixa[[#This Row],[Custo/KG.]]),0)</f>
        <v>26.46</v>
      </c>
      <c r="Q4" s="34">
        <f>fCaixa[[#This Row],[Custoprimario]]+fCaixa[[#This Row],[Total Perdido]]</f>
        <v>26.46</v>
      </c>
      <c r="R4" s="16">
        <f>IFERROR(fCaixa[[#This Row],[Custoprimario]]/fCaixa[[#This Row],[Venda]],0)</f>
        <v>0.49</v>
      </c>
      <c r="S4" s="16">
        <f>IFERROR(fCaixa[[#This Row],[Custofinal]]/fCaixa[[#This Row],[Venda]],0)</f>
        <v>0.49</v>
      </c>
      <c r="T4" s="13">
        <f>IF(fCaixa[[#This Row],[Lançamento]]="RECEITA",fCaixa[[#This Row],[Venda]]-fCaixa[[#This Row],[Custoprimario]],0)</f>
        <v>27.54</v>
      </c>
      <c r="U4" s="16">
        <f>IFERROR(fCaixa[[#This Row],[Lucroprimario]]/fCaixa[[#This Row],[Venda]],0)</f>
        <v>0.51</v>
      </c>
      <c r="V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27.54</v>
      </c>
      <c r="W4" s="16">
        <f>IFERROR(fCaixa[[#This Row],[Lucrofinal]]/fCaixa[[#This Row],[Venda]],0)</f>
        <v>0.51</v>
      </c>
    </row>
    <row r="5" spans="1:23" ht="16.5" x14ac:dyDescent="0.25">
      <c r="A5" s="17">
        <f t="shared" si="0"/>
        <v>4</v>
      </c>
      <c r="B5" s="87">
        <v>42929</v>
      </c>
      <c r="C5" s="12" t="s">
        <v>24</v>
      </c>
      <c r="D5" s="12" t="s">
        <v>25</v>
      </c>
      <c r="E5" s="12" t="s">
        <v>26</v>
      </c>
      <c r="F5" s="12" t="s">
        <v>27</v>
      </c>
      <c r="G5" s="13">
        <v>42</v>
      </c>
      <c r="H5" s="13">
        <v>0.75</v>
      </c>
      <c r="I5" s="13">
        <v>10.5</v>
      </c>
      <c r="J5" s="14">
        <v>0</v>
      </c>
      <c r="K5" s="12">
        <f>IFERROR(ROUND((fCaixa[[#This Row],[Venda]]/fCaixa[[#This Row],[Preço/Un.]]),0),0)</f>
        <v>56</v>
      </c>
      <c r="L5" s="15">
        <f>IFERROR((SUBSTITUTE(RIGHT(fCaixa[[#This Row],[Descrição]],3),"G","")*1 *fCaixa[[#This Row],[Qtd/Pães]]) / 1000,0)</f>
        <v>1.96</v>
      </c>
      <c r="M5" s="13">
        <f>IFERROR((((SUBSTITUTE(RIGHT(fCaixa[[#This Row],[Descrição]],3),"G","")*1) * fCaixa[[#This Row],[QTD Perdida]])/1000) *fCaixa[[#This Row],[Custo/KG.]],0)</f>
        <v>0</v>
      </c>
      <c r="N5" s="15">
        <f>IF(fCaixa[[#This Row],[Lançamento]]="RECEITA",(fCaixa[[#This Row],[QTD Perdida]]* (SUBSTITUTE(RIGHT(fCaixa[[#This Row],[Descrição]],3),"G","")*1))/1000,0)</f>
        <v>0</v>
      </c>
      <c r="O5" s="15">
        <f>fCaixa[[#This Row],[Qtd/Kg]]+fCaixa[[#This Row],[Qtd/Kg Perdido]]</f>
        <v>1.96</v>
      </c>
      <c r="P5" s="13">
        <f>IF(fCaixa[[#This Row],[Lançamento]]="RECEITA",(fCaixa[[#This Row],[Qtd/Kg]]*fCaixa[[#This Row],[Custo/KG.]]),0)</f>
        <v>20.58</v>
      </c>
      <c r="Q5" s="34">
        <f>fCaixa[[#This Row],[Custoprimario]]+fCaixa[[#This Row],[Total Perdido]]</f>
        <v>20.58</v>
      </c>
      <c r="R5" s="16">
        <f>IFERROR(fCaixa[[#This Row],[Custoprimario]]/fCaixa[[#This Row],[Venda]],0)</f>
        <v>0.48999999999999994</v>
      </c>
      <c r="S5" s="16">
        <f>IFERROR(fCaixa[[#This Row],[Custofinal]]/fCaixa[[#This Row],[Venda]],0)</f>
        <v>0.48999999999999994</v>
      </c>
      <c r="T5" s="13">
        <f>IF(fCaixa[[#This Row],[Lançamento]]="RECEITA",fCaixa[[#This Row],[Venda]]-fCaixa[[#This Row],[Custoprimario]],0)</f>
        <v>21.42</v>
      </c>
      <c r="U5" s="16">
        <f>IFERROR(fCaixa[[#This Row],[Lucroprimario]]/fCaixa[[#This Row],[Venda]],0)</f>
        <v>0.51</v>
      </c>
      <c r="V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21.42</v>
      </c>
      <c r="W5" s="16">
        <f>IFERROR(fCaixa[[#This Row],[Lucrofinal]]/fCaixa[[#This Row],[Venda]],0)</f>
        <v>0.51</v>
      </c>
    </row>
    <row r="6" spans="1:23" ht="16.5" x14ac:dyDescent="0.25">
      <c r="A6" s="17">
        <f t="shared" si="0"/>
        <v>5</v>
      </c>
      <c r="B6" s="87">
        <v>42930</v>
      </c>
      <c r="C6" s="12" t="s">
        <v>24</v>
      </c>
      <c r="D6" s="12" t="s">
        <v>25</v>
      </c>
      <c r="E6" s="12" t="s">
        <v>26</v>
      </c>
      <c r="F6" s="12" t="s">
        <v>27</v>
      </c>
      <c r="G6" s="13">
        <v>42</v>
      </c>
      <c r="H6" s="13">
        <v>0.75</v>
      </c>
      <c r="I6" s="13">
        <v>10.5</v>
      </c>
      <c r="J6" s="14">
        <v>0</v>
      </c>
      <c r="K6" s="12">
        <f>IFERROR(ROUND((fCaixa[[#This Row],[Venda]]/fCaixa[[#This Row],[Preço/Un.]]),0),0)</f>
        <v>56</v>
      </c>
      <c r="L6" s="15">
        <f>IFERROR((SUBSTITUTE(RIGHT(fCaixa[[#This Row],[Descrição]],3),"G","")*1 *fCaixa[[#This Row],[Qtd/Pães]]) / 1000,0)</f>
        <v>1.96</v>
      </c>
      <c r="M6" s="13">
        <f>IFERROR((((SUBSTITUTE(RIGHT(fCaixa[[#This Row],[Descrição]],3),"G","")*1) * fCaixa[[#This Row],[QTD Perdida]])/1000) *fCaixa[[#This Row],[Custo/KG.]],0)</f>
        <v>0</v>
      </c>
      <c r="N6" s="15">
        <f>IF(fCaixa[[#This Row],[Lançamento]]="RECEITA",(fCaixa[[#This Row],[QTD Perdida]]* (SUBSTITUTE(RIGHT(fCaixa[[#This Row],[Descrição]],3),"G","")*1))/1000,0)</f>
        <v>0</v>
      </c>
      <c r="O6" s="15">
        <f>fCaixa[[#This Row],[Qtd/Kg]]+fCaixa[[#This Row],[Qtd/Kg Perdido]]</f>
        <v>1.96</v>
      </c>
      <c r="P6" s="13">
        <f>IF(fCaixa[[#This Row],[Lançamento]]="RECEITA",(fCaixa[[#This Row],[Qtd/Kg]]*fCaixa[[#This Row],[Custo/KG.]]),0)</f>
        <v>20.58</v>
      </c>
      <c r="Q6" s="34">
        <f>fCaixa[[#This Row],[Custoprimario]]+fCaixa[[#This Row],[Total Perdido]]</f>
        <v>20.58</v>
      </c>
      <c r="R6" s="16">
        <f>IFERROR(fCaixa[[#This Row],[Custoprimario]]/fCaixa[[#This Row],[Venda]],0)</f>
        <v>0.48999999999999994</v>
      </c>
      <c r="S6" s="16">
        <f>IFERROR(fCaixa[[#This Row],[Custofinal]]/fCaixa[[#This Row],[Venda]],0)</f>
        <v>0.48999999999999994</v>
      </c>
      <c r="T6" s="13">
        <f>IF(fCaixa[[#This Row],[Lançamento]]="RECEITA",fCaixa[[#This Row],[Venda]]-fCaixa[[#This Row],[Custoprimario]],0)</f>
        <v>21.42</v>
      </c>
      <c r="U6" s="16">
        <f>IFERROR(fCaixa[[#This Row],[Lucroprimario]]/fCaixa[[#This Row],[Venda]],0)</f>
        <v>0.51</v>
      </c>
      <c r="V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21.42</v>
      </c>
      <c r="W6" s="16">
        <f>IFERROR(fCaixa[[#This Row],[Lucrofinal]]/fCaixa[[#This Row],[Venda]],0)</f>
        <v>0.51</v>
      </c>
    </row>
    <row r="7" spans="1:23" ht="16.5" x14ac:dyDescent="0.25">
      <c r="A7" s="17">
        <f t="shared" si="0"/>
        <v>6</v>
      </c>
      <c r="B7" s="87">
        <v>42931</v>
      </c>
      <c r="C7" s="12" t="s">
        <v>24</v>
      </c>
      <c r="D7" s="12" t="s">
        <v>25</v>
      </c>
      <c r="E7" s="12" t="s">
        <v>26</v>
      </c>
      <c r="F7" s="12" t="s">
        <v>27</v>
      </c>
      <c r="G7" s="13">
        <v>22</v>
      </c>
      <c r="H7" s="13">
        <v>0.75</v>
      </c>
      <c r="I7" s="13">
        <v>10.5</v>
      </c>
      <c r="J7" s="14">
        <v>0</v>
      </c>
      <c r="K7" s="12">
        <f>IFERROR(ROUND((fCaixa[[#This Row],[Venda]]/fCaixa[[#This Row],[Preço/Un.]]),0),0)</f>
        <v>29</v>
      </c>
      <c r="L7" s="15">
        <f>IFERROR((SUBSTITUTE(RIGHT(fCaixa[[#This Row],[Descrição]],3),"G","")*1 *fCaixa[[#This Row],[Qtd/Pães]]) / 1000,0)</f>
        <v>1.0149999999999999</v>
      </c>
      <c r="M7" s="13">
        <f>IFERROR((((SUBSTITUTE(RIGHT(fCaixa[[#This Row],[Descrição]],3),"G","")*1) * fCaixa[[#This Row],[QTD Perdida]])/1000) *fCaixa[[#This Row],[Custo/KG.]],0)</f>
        <v>0</v>
      </c>
      <c r="N7" s="15">
        <f>IF(fCaixa[[#This Row],[Lançamento]]="RECEITA",(fCaixa[[#This Row],[QTD Perdida]]* (SUBSTITUTE(RIGHT(fCaixa[[#This Row],[Descrição]],3),"G","")*1))/1000,0)</f>
        <v>0</v>
      </c>
      <c r="O7" s="15">
        <f>fCaixa[[#This Row],[Qtd/Kg]]+fCaixa[[#This Row],[Qtd/Kg Perdido]]</f>
        <v>1.0149999999999999</v>
      </c>
      <c r="P7" s="13">
        <f>IF(fCaixa[[#This Row],[Lançamento]]="RECEITA",(fCaixa[[#This Row],[Qtd/Kg]]*fCaixa[[#This Row],[Custo/KG.]]),0)</f>
        <v>10.657499999999999</v>
      </c>
      <c r="Q7" s="34">
        <f>fCaixa[[#This Row],[Custoprimario]]+fCaixa[[#This Row],[Total Perdido]]</f>
        <v>10.657499999999999</v>
      </c>
      <c r="R7" s="16">
        <f>IFERROR(fCaixa[[#This Row],[Custoprimario]]/fCaixa[[#This Row],[Venda]],0)</f>
        <v>0.48443181818181813</v>
      </c>
      <c r="S7" s="16">
        <f>IFERROR(fCaixa[[#This Row],[Custofinal]]/fCaixa[[#This Row],[Venda]],0)</f>
        <v>0.48443181818181813</v>
      </c>
      <c r="T7" s="13">
        <f>IF(fCaixa[[#This Row],[Lançamento]]="RECEITA",fCaixa[[#This Row],[Venda]]-fCaixa[[#This Row],[Custoprimario]],0)</f>
        <v>11.342500000000001</v>
      </c>
      <c r="U7" s="16">
        <f>IFERROR(fCaixa[[#This Row],[Lucroprimario]]/fCaixa[[#This Row],[Venda]],0)</f>
        <v>0.51556818181818187</v>
      </c>
      <c r="V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11.342500000000001</v>
      </c>
      <c r="W7" s="16">
        <f>IFERROR(fCaixa[[#This Row],[Lucrofinal]]/fCaixa[[#This Row],[Venda]],0)</f>
        <v>0.51556818181818187</v>
      </c>
    </row>
    <row r="8" spans="1:23" ht="16.5" x14ac:dyDescent="0.25">
      <c r="A8" s="17">
        <f t="shared" si="0"/>
        <v>7</v>
      </c>
      <c r="B8" s="87">
        <v>42933</v>
      </c>
      <c r="C8" s="12" t="s">
        <v>24</v>
      </c>
      <c r="D8" s="12" t="s">
        <v>25</v>
      </c>
      <c r="E8" s="12" t="s">
        <v>26</v>
      </c>
      <c r="F8" s="12" t="s">
        <v>27</v>
      </c>
      <c r="G8" s="13">
        <v>66</v>
      </c>
      <c r="H8" s="13">
        <v>0.75</v>
      </c>
      <c r="I8" s="13">
        <v>10.5</v>
      </c>
      <c r="J8" s="14">
        <v>0</v>
      </c>
      <c r="K8" s="12">
        <f>IFERROR(ROUND((fCaixa[[#This Row],[Venda]]/fCaixa[[#This Row],[Preço/Un.]]),0),0)</f>
        <v>88</v>
      </c>
      <c r="L8" s="15">
        <f>IFERROR((SUBSTITUTE(RIGHT(fCaixa[[#This Row],[Descrição]],3),"G","")*1 *fCaixa[[#This Row],[Qtd/Pães]]) / 1000,0)</f>
        <v>3.08</v>
      </c>
      <c r="M8" s="13">
        <f>IFERROR((((SUBSTITUTE(RIGHT(fCaixa[[#This Row],[Descrição]],3),"G","")*1) * fCaixa[[#This Row],[QTD Perdida]])/1000) *fCaixa[[#This Row],[Custo/KG.]],0)</f>
        <v>0</v>
      </c>
      <c r="N8" s="15">
        <f>IF(fCaixa[[#This Row],[Lançamento]]="RECEITA",(fCaixa[[#This Row],[QTD Perdida]]* (SUBSTITUTE(RIGHT(fCaixa[[#This Row],[Descrição]],3),"G","")*1))/1000,0)</f>
        <v>0</v>
      </c>
      <c r="O8" s="15">
        <f>fCaixa[[#This Row],[Qtd/Kg]]+fCaixa[[#This Row],[Qtd/Kg Perdido]]</f>
        <v>3.08</v>
      </c>
      <c r="P8" s="13">
        <f>IF(fCaixa[[#This Row],[Lançamento]]="RECEITA",(fCaixa[[#This Row],[Qtd/Kg]]*fCaixa[[#This Row],[Custo/KG.]]),0)</f>
        <v>32.340000000000003</v>
      </c>
      <c r="Q8" s="34">
        <f>fCaixa[[#This Row],[Custoprimario]]+fCaixa[[#This Row],[Total Perdido]]</f>
        <v>32.340000000000003</v>
      </c>
      <c r="R8" s="16">
        <f>IFERROR(fCaixa[[#This Row],[Custoprimario]]/fCaixa[[#This Row],[Venda]],0)</f>
        <v>0.49000000000000005</v>
      </c>
      <c r="S8" s="16">
        <f>IFERROR(fCaixa[[#This Row],[Custofinal]]/fCaixa[[#This Row],[Venda]],0)</f>
        <v>0.49000000000000005</v>
      </c>
      <c r="T8" s="13">
        <f>IF(fCaixa[[#This Row],[Lançamento]]="RECEITA",fCaixa[[#This Row],[Venda]]-fCaixa[[#This Row],[Custoprimario]],0)</f>
        <v>33.659999999999997</v>
      </c>
      <c r="U8" s="16">
        <f>IFERROR(fCaixa[[#This Row],[Lucroprimario]]/fCaixa[[#This Row],[Venda]],0)</f>
        <v>0.5099999999999999</v>
      </c>
      <c r="V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33.659999999999997</v>
      </c>
      <c r="W8" s="16">
        <f>IFERROR(fCaixa[[#This Row],[Lucrofinal]]/fCaixa[[#This Row],[Venda]],0)</f>
        <v>0.5099999999999999</v>
      </c>
    </row>
    <row r="9" spans="1:23" ht="16.5" x14ac:dyDescent="0.25">
      <c r="A9" s="17">
        <f t="shared" si="0"/>
        <v>8</v>
      </c>
      <c r="B9" s="87">
        <v>42934</v>
      </c>
      <c r="C9" s="12" t="s">
        <v>24</v>
      </c>
      <c r="D9" s="12" t="s">
        <v>25</v>
      </c>
      <c r="E9" s="12" t="s">
        <v>26</v>
      </c>
      <c r="F9" s="12" t="s">
        <v>27</v>
      </c>
      <c r="G9" s="13">
        <v>78</v>
      </c>
      <c r="H9" s="13">
        <v>0.75</v>
      </c>
      <c r="I9" s="13">
        <v>10.5</v>
      </c>
      <c r="J9" s="14">
        <v>0</v>
      </c>
      <c r="K9" s="12">
        <f>IFERROR(ROUND((fCaixa[[#This Row],[Venda]]/fCaixa[[#This Row],[Preço/Un.]]),0),0)</f>
        <v>104</v>
      </c>
      <c r="L9" s="15">
        <f>IFERROR((SUBSTITUTE(RIGHT(fCaixa[[#This Row],[Descrição]],3),"G","")*1 *fCaixa[[#This Row],[Qtd/Pães]]) / 1000,0)</f>
        <v>3.64</v>
      </c>
      <c r="M9" s="13">
        <f>IFERROR((((SUBSTITUTE(RIGHT(fCaixa[[#This Row],[Descrição]],3),"G","")*1) * fCaixa[[#This Row],[QTD Perdida]])/1000) *fCaixa[[#This Row],[Custo/KG.]],0)</f>
        <v>0</v>
      </c>
      <c r="N9" s="15">
        <f>IF(fCaixa[[#This Row],[Lançamento]]="RECEITA",(fCaixa[[#This Row],[QTD Perdida]]* (SUBSTITUTE(RIGHT(fCaixa[[#This Row],[Descrição]],3),"G","")*1))/1000,0)</f>
        <v>0</v>
      </c>
      <c r="O9" s="15">
        <f>fCaixa[[#This Row],[Qtd/Kg]]+fCaixa[[#This Row],[Qtd/Kg Perdido]]</f>
        <v>3.64</v>
      </c>
      <c r="P9" s="13">
        <f>IF(fCaixa[[#This Row],[Lançamento]]="RECEITA",(fCaixa[[#This Row],[Qtd/Kg]]*fCaixa[[#This Row],[Custo/KG.]]),0)</f>
        <v>38.22</v>
      </c>
      <c r="Q9" s="34">
        <f>fCaixa[[#This Row],[Custoprimario]]+fCaixa[[#This Row],[Total Perdido]]</f>
        <v>38.22</v>
      </c>
      <c r="R9" s="16">
        <f>IFERROR(fCaixa[[#This Row],[Custoprimario]]/fCaixa[[#This Row],[Venda]],0)</f>
        <v>0.49</v>
      </c>
      <c r="S9" s="16">
        <f>IFERROR(fCaixa[[#This Row],[Custofinal]]/fCaixa[[#This Row],[Venda]],0)</f>
        <v>0.49</v>
      </c>
      <c r="T9" s="13">
        <f>IF(fCaixa[[#This Row],[Lançamento]]="RECEITA",fCaixa[[#This Row],[Venda]]-fCaixa[[#This Row],[Custoprimario]],0)</f>
        <v>39.78</v>
      </c>
      <c r="U9" s="16">
        <f>IFERROR(fCaixa[[#This Row],[Lucroprimario]]/fCaixa[[#This Row],[Venda]],0)</f>
        <v>0.51</v>
      </c>
      <c r="V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39.78</v>
      </c>
      <c r="W9" s="16">
        <f>IFERROR(fCaixa[[#This Row],[Lucrofinal]]/fCaixa[[#This Row],[Venda]],0)</f>
        <v>0.51</v>
      </c>
    </row>
    <row r="10" spans="1:23" ht="16.5" x14ac:dyDescent="0.25">
      <c r="A10" s="17">
        <f t="shared" si="0"/>
        <v>9</v>
      </c>
      <c r="B10" s="87">
        <v>42935</v>
      </c>
      <c r="C10" s="12" t="s">
        <v>24</v>
      </c>
      <c r="D10" s="12" t="s">
        <v>25</v>
      </c>
      <c r="E10" s="12" t="s">
        <v>26</v>
      </c>
      <c r="F10" s="12" t="s">
        <v>27</v>
      </c>
      <c r="G10" s="13">
        <v>78</v>
      </c>
      <c r="H10" s="13">
        <v>0.75</v>
      </c>
      <c r="I10" s="13">
        <v>10.5</v>
      </c>
      <c r="J10" s="14">
        <v>0</v>
      </c>
      <c r="K10" s="12">
        <f>IFERROR(ROUND((fCaixa[[#This Row],[Venda]]/fCaixa[[#This Row],[Preço/Un.]]),0),0)</f>
        <v>104</v>
      </c>
      <c r="L10" s="15">
        <f>IFERROR((SUBSTITUTE(RIGHT(fCaixa[[#This Row],[Descrição]],3),"G","")*1 *fCaixa[[#This Row],[Qtd/Pães]]) / 1000,0)</f>
        <v>3.64</v>
      </c>
      <c r="M10" s="13">
        <f>IFERROR((((SUBSTITUTE(RIGHT(fCaixa[[#This Row],[Descrição]],3),"G","")*1) * fCaixa[[#This Row],[QTD Perdida]])/1000) *fCaixa[[#This Row],[Custo/KG.]],0)</f>
        <v>0</v>
      </c>
      <c r="N10" s="15">
        <f>IF(fCaixa[[#This Row],[Lançamento]]="RECEITA",(fCaixa[[#This Row],[QTD Perdida]]* (SUBSTITUTE(RIGHT(fCaixa[[#This Row],[Descrição]],3),"G","")*1))/1000,0)</f>
        <v>0</v>
      </c>
      <c r="O10" s="15">
        <f>fCaixa[[#This Row],[Qtd/Kg]]+fCaixa[[#This Row],[Qtd/Kg Perdido]]</f>
        <v>3.64</v>
      </c>
      <c r="P10" s="13">
        <f>IF(fCaixa[[#This Row],[Lançamento]]="RECEITA",(fCaixa[[#This Row],[Qtd/Kg]]*fCaixa[[#This Row],[Custo/KG.]]),0)</f>
        <v>38.22</v>
      </c>
      <c r="Q10" s="34">
        <f>fCaixa[[#This Row],[Custoprimario]]+fCaixa[[#This Row],[Total Perdido]]</f>
        <v>38.22</v>
      </c>
      <c r="R10" s="16">
        <f>IFERROR(fCaixa[[#This Row],[Custoprimario]]/fCaixa[[#This Row],[Venda]],0)</f>
        <v>0.49</v>
      </c>
      <c r="S10" s="16">
        <f>IFERROR(fCaixa[[#This Row],[Custofinal]]/fCaixa[[#This Row],[Venda]],0)</f>
        <v>0.49</v>
      </c>
      <c r="T10" s="13">
        <f>IF(fCaixa[[#This Row],[Lançamento]]="RECEITA",fCaixa[[#This Row],[Venda]]-fCaixa[[#This Row],[Custoprimario]],0)</f>
        <v>39.78</v>
      </c>
      <c r="U10" s="16">
        <f>IFERROR(fCaixa[[#This Row],[Lucroprimario]]/fCaixa[[#This Row],[Venda]],0)</f>
        <v>0.51</v>
      </c>
      <c r="V1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39.78</v>
      </c>
      <c r="W10" s="16">
        <f>IFERROR(fCaixa[[#This Row],[Lucrofinal]]/fCaixa[[#This Row],[Venda]],0)</f>
        <v>0.51</v>
      </c>
    </row>
    <row r="11" spans="1:23" ht="16.5" x14ac:dyDescent="0.25">
      <c r="A11" s="17">
        <f t="shared" si="0"/>
        <v>10</v>
      </c>
      <c r="B11" s="87">
        <v>42936</v>
      </c>
      <c r="C11" s="12" t="s">
        <v>24</v>
      </c>
      <c r="D11" s="12" t="s">
        <v>25</v>
      </c>
      <c r="E11" s="12" t="s">
        <v>26</v>
      </c>
      <c r="F11" s="12" t="s">
        <v>27</v>
      </c>
      <c r="G11" s="13">
        <v>84</v>
      </c>
      <c r="H11" s="13">
        <v>0.75</v>
      </c>
      <c r="I11" s="13">
        <v>10.5</v>
      </c>
      <c r="J11" s="14">
        <v>0</v>
      </c>
      <c r="K11" s="12">
        <f>IFERROR(ROUND((fCaixa[[#This Row],[Venda]]/fCaixa[[#This Row],[Preço/Un.]]),0),0)</f>
        <v>112</v>
      </c>
      <c r="L11" s="15">
        <f>IFERROR((SUBSTITUTE(RIGHT(fCaixa[[#This Row],[Descrição]],3),"G","")*1 *fCaixa[[#This Row],[Qtd/Pães]]) / 1000,0)</f>
        <v>3.92</v>
      </c>
      <c r="M11" s="13">
        <f>IFERROR((((SUBSTITUTE(RIGHT(fCaixa[[#This Row],[Descrição]],3),"G","")*1) * fCaixa[[#This Row],[QTD Perdida]])/1000) *fCaixa[[#This Row],[Custo/KG.]],0)</f>
        <v>0</v>
      </c>
      <c r="N11" s="15">
        <f>IF(fCaixa[[#This Row],[Lançamento]]="RECEITA",(fCaixa[[#This Row],[QTD Perdida]]* (SUBSTITUTE(RIGHT(fCaixa[[#This Row],[Descrição]],3),"G","")*1))/1000,0)</f>
        <v>0</v>
      </c>
      <c r="O11" s="15">
        <f>fCaixa[[#This Row],[Qtd/Kg]]+fCaixa[[#This Row],[Qtd/Kg Perdido]]</f>
        <v>3.92</v>
      </c>
      <c r="P11" s="13">
        <f>IF(fCaixa[[#This Row],[Lançamento]]="RECEITA",(fCaixa[[#This Row],[Qtd/Kg]]*fCaixa[[#This Row],[Custo/KG.]]),0)</f>
        <v>41.16</v>
      </c>
      <c r="Q11" s="34">
        <f>fCaixa[[#This Row],[Custoprimario]]+fCaixa[[#This Row],[Total Perdido]]</f>
        <v>41.16</v>
      </c>
      <c r="R11" s="16">
        <f>IFERROR(fCaixa[[#This Row],[Custoprimario]]/fCaixa[[#This Row],[Venda]],0)</f>
        <v>0.48999999999999994</v>
      </c>
      <c r="S11" s="16">
        <f>IFERROR(fCaixa[[#This Row],[Custofinal]]/fCaixa[[#This Row],[Venda]],0)</f>
        <v>0.48999999999999994</v>
      </c>
      <c r="T11" s="13">
        <f>IF(fCaixa[[#This Row],[Lançamento]]="RECEITA",fCaixa[[#This Row],[Venda]]-fCaixa[[#This Row],[Custoprimario]],0)</f>
        <v>42.84</v>
      </c>
      <c r="U11" s="16">
        <f>IFERROR(fCaixa[[#This Row],[Lucroprimario]]/fCaixa[[#This Row],[Venda]],0)</f>
        <v>0.51</v>
      </c>
      <c r="V1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42.84</v>
      </c>
      <c r="W11" s="16">
        <f>IFERROR(fCaixa[[#This Row],[Lucrofinal]]/fCaixa[[#This Row],[Venda]],0)</f>
        <v>0.51</v>
      </c>
    </row>
    <row r="12" spans="1:23" ht="16.5" x14ac:dyDescent="0.25">
      <c r="A12" s="17">
        <f t="shared" si="0"/>
        <v>11</v>
      </c>
      <c r="B12" s="87">
        <v>42937</v>
      </c>
      <c r="C12" s="12" t="s">
        <v>24</v>
      </c>
      <c r="D12" s="12" t="s">
        <v>25</v>
      </c>
      <c r="E12" s="12" t="s">
        <v>26</v>
      </c>
      <c r="F12" s="12" t="s">
        <v>27</v>
      </c>
      <c r="G12" s="13">
        <v>68</v>
      </c>
      <c r="H12" s="13">
        <v>0.75</v>
      </c>
      <c r="I12" s="13">
        <v>10.5</v>
      </c>
      <c r="J12" s="14">
        <v>0</v>
      </c>
      <c r="K12" s="12">
        <f>IFERROR(ROUND((fCaixa[[#This Row],[Venda]]/fCaixa[[#This Row],[Preço/Un.]]),0),0)</f>
        <v>91</v>
      </c>
      <c r="L12" s="15">
        <f>IFERROR((SUBSTITUTE(RIGHT(fCaixa[[#This Row],[Descrição]],3),"G","")*1 *fCaixa[[#This Row],[Qtd/Pães]]) / 1000,0)</f>
        <v>3.1850000000000001</v>
      </c>
      <c r="M12" s="13">
        <f>IFERROR((((SUBSTITUTE(RIGHT(fCaixa[[#This Row],[Descrição]],3),"G","")*1) * fCaixa[[#This Row],[QTD Perdida]])/1000) *fCaixa[[#This Row],[Custo/KG.]],0)</f>
        <v>0</v>
      </c>
      <c r="N12" s="15">
        <f>IF(fCaixa[[#This Row],[Lançamento]]="RECEITA",(fCaixa[[#This Row],[QTD Perdida]]* (SUBSTITUTE(RIGHT(fCaixa[[#This Row],[Descrição]],3),"G","")*1))/1000,0)</f>
        <v>0</v>
      </c>
      <c r="O12" s="15">
        <f>fCaixa[[#This Row],[Qtd/Kg]]+fCaixa[[#This Row],[Qtd/Kg Perdido]]</f>
        <v>3.1850000000000001</v>
      </c>
      <c r="P12" s="13">
        <f>IF(fCaixa[[#This Row],[Lançamento]]="RECEITA",(fCaixa[[#This Row],[Qtd/Kg]]*fCaixa[[#This Row],[Custo/KG.]]),0)</f>
        <v>33.442500000000003</v>
      </c>
      <c r="Q12" s="34">
        <f>fCaixa[[#This Row],[Custoprimario]]+fCaixa[[#This Row],[Total Perdido]]</f>
        <v>33.442500000000003</v>
      </c>
      <c r="R12" s="16">
        <f>IFERROR(fCaixa[[#This Row],[Custoprimario]]/fCaixa[[#This Row],[Venda]],0)</f>
        <v>0.49180147058823531</v>
      </c>
      <c r="S12" s="16">
        <f>IFERROR(fCaixa[[#This Row],[Custofinal]]/fCaixa[[#This Row],[Venda]],0)</f>
        <v>0.49180147058823531</v>
      </c>
      <c r="T12" s="13">
        <f>IF(fCaixa[[#This Row],[Lançamento]]="RECEITA",fCaixa[[#This Row],[Venda]]-fCaixa[[#This Row],[Custoprimario]],0)</f>
        <v>34.557499999999997</v>
      </c>
      <c r="U12" s="16">
        <f>IFERROR(fCaixa[[#This Row],[Lucroprimario]]/fCaixa[[#This Row],[Venda]],0)</f>
        <v>0.50819852941176469</v>
      </c>
      <c r="V1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34.557499999999997</v>
      </c>
      <c r="W12" s="16">
        <f>IFERROR(fCaixa[[#This Row],[Lucrofinal]]/fCaixa[[#This Row],[Venda]],0)</f>
        <v>0.50819852941176469</v>
      </c>
    </row>
    <row r="13" spans="1:23" ht="16.5" x14ac:dyDescent="0.25">
      <c r="A13" s="17">
        <f t="shared" si="0"/>
        <v>12</v>
      </c>
      <c r="B13" s="87">
        <v>42938</v>
      </c>
      <c r="C13" s="12" t="s">
        <v>24</v>
      </c>
      <c r="D13" s="12" t="s">
        <v>25</v>
      </c>
      <c r="E13" s="12" t="s">
        <v>26</v>
      </c>
      <c r="F13" s="12" t="s">
        <v>27</v>
      </c>
      <c r="G13" s="13">
        <v>15.75</v>
      </c>
      <c r="H13" s="13">
        <v>0.75</v>
      </c>
      <c r="I13" s="13">
        <v>10.5</v>
      </c>
      <c r="J13" s="14">
        <v>0</v>
      </c>
      <c r="K13" s="12">
        <f>IFERROR(ROUND((fCaixa[[#This Row],[Venda]]/fCaixa[[#This Row],[Preço/Un.]]),0),0)</f>
        <v>21</v>
      </c>
      <c r="L13" s="15">
        <f>IFERROR((SUBSTITUTE(RIGHT(fCaixa[[#This Row],[Descrição]],3),"G","")*1 *fCaixa[[#This Row],[Qtd/Pães]]) / 1000,0)</f>
        <v>0.73499999999999999</v>
      </c>
      <c r="M13" s="13">
        <f>IFERROR((((SUBSTITUTE(RIGHT(fCaixa[[#This Row],[Descrição]],3),"G","")*1) * fCaixa[[#This Row],[QTD Perdida]])/1000) *fCaixa[[#This Row],[Custo/KG.]],0)</f>
        <v>0</v>
      </c>
      <c r="N13" s="15">
        <f>IF(fCaixa[[#This Row],[Lançamento]]="RECEITA",(fCaixa[[#This Row],[QTD Perdida]]* (SUBSTITUTE(RIGHT(fCaixa[[#This Row],[Descrição]],3),"G","")*1))/1000,0)</f>
        <v>0</v>
      </c>
      <c r="O13" s="15">
        <f>fCaixa[[#This Row],[Qtd/Kg]]+fCaixa[[#This Row],[Qtd/Kg Perdido]]</f>
        <v>0.73499999999999999</v>
      </c>
      <c r="P13" s="13">
        <f>IF(fCaixa[[#This Row],[Lançamento]]="RECEITA",(fCaixa[[#This Row],[Qtd/Kg]]*fCaixa[[#This Row],[Custo/KG.]]),0)</f>
        <v>7.7175000000000002</v>
      </c>
      <c r="Q13" s="34">
        <f>fCaixa[[#This Row],[Custoprimario]]+fCaixa[[#This Row],[Total Perdido]]</f>
        <v>7.7175000000000002</v>
      </c>
      <c r="R13" s="16">
        <f>IFERROR(fCaixa[[#This Row],[Custoprimario]]/fCaixa[[#This Row],[Venda]],0)</f>
        <v>0.49</v>
      </c>
      <c r="S13" s="16">
        <f>IFERROR(fCaixa[[#This Row],[Custofinal]]/fCaixa[[#This Row],[Venda]],0)</f>
        <v>0.49</v>
      </c>
      <c r="T13" s="13">
        <f>IF(fCaixa[[#This Row],[Lançamento]]="RECEITA",fCaixa[[#This Row],[Venda]]-fCaixa[[#This Row],[Custoprimario]],0)</f>
        <v>8.0324999999999989</v>
      </c>
      <c r="U13" s="16">
        <f>IFERROR(fCaixa[[#This Row],[Lucroprimario]]/fCaixa[[#This Row],[Venda]],0)</f>
        <v>0.5099999999999999</v>
      </c>
      <c r="V1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8.0324999999999989</v>
      </c>
      <c r="W13" s="16">
        <f>IFERROR(fCaixa[[#This Row],[Lucrofinal]]/fCaixa[[#This Row],[Venda]],0)</f>
        <v>0.5099999999999999</v>
      </c>
    </row>
    <row r="14" spans="1:23" ht="16.5" x14ac:dyDescent="0.25">
      <c r="A14" s="17">
        <f t="shared" si="0"/>
        <v>13</v>
      </c>
      <c r="B14" s="87">
        <v>42938</v>
      </c>
      <c r="C14" s="12" t="s">
        <v>24</v>
      </c>
      <c r="D14" s="12" t="s">
        <v>25</v>
      </c>
      <c r="E14" s="12" t="s">
        <v>26</v>
      </c>
      <c r="F14" s="12" t="s">
        <v>28</v>
      </c>
      <c r="G14" s="13">
        <v>165.8</v>
      </c>
      <c r="H14" s="13">
        <v>0.5</v>
      </c>
      <c r="I14" s="13">
        <v>8</v>
      </c>
      <c r="J14" s="14">
        <v>0</v>
      </c>
      <c r="K14" s="12">
        <f>IFERROR(ROUND((fCaixa[[#This Row],[Venda]]/fCaixa[[#This Row],[Preço/Un.]]),0),0)</f>
        <v>332</v>
      </c>
      <c r="L14" s="15">
        <f>IFERROR((SUBSTITUTE(RIGHT(fCaixa[[#This Row],[Descrição]],3),"G","")*1 *fCaixa[[#This Row],[Qtd/Pães]]) / 1000,0)</f>
        <v>11.62</v>
      </c>
      <c r="M14" s="13">
        <f>IFERROR((((SUBSTITUTE(RIGHT(fCaixa[[#This Row],[Descrição]],3),"G","")*1) * fCaixa[[#This Row],[QTD Perdida]])/1000) *fCaixa[[#This Row],[Custo/KG.]],0)</f>
        <v>0</v>
      </c>
      <c r="N14" s="15">
        <f>IF(fCaixa[[#This Row],[Lançamento]]="RECEITA",(fCaixa[[#This Row],[QTD Perdida]]* (SUBSTITUTE(RIGHT(fCaixa[[#This Row],[Descrição]],3),"G","")*1))/1000,0)</f>
        <v>0</v>
      </c>
      <c r="O14" s="15">
        <f>fCaixa[[#This Row],[Qtd/Kg]]+fCaixa[[#This Row],[Qtd/Kg Perdido]]</f>
        <v>11.62</v>
      </c>
      <c r="P14" s="13">
        <f>IF(fCaixa[[#This Row],[Lançamento]]="RECEITA",(fCaixa[[#This Row],[Qtd/Kg]]*fCaixa[[#This Row],[Custo/KG.]]),0)</f>
        <v>92.96</v>
      </c>
      <c r="Q14" s="34">
        <f>fCaixa[[#This Row],[Custoprimario]]+fCaixa[[#This Row],[Total Perdido]]</f>
        <v>92.96</v>
      </c>
      <c r="R14" s="16">
        <f>IFERROR(fCaixa[[#This Row],[Custoprimario]]/fCaixa[[#This Row],[Venda]],0)</f>
        <v>0.56067551266586246</v>
      </c>
      <c r="S14" s="16">
        <f>IFERROR(fCaixa[[#This Row],[Custofinal]]/fCaixa[[#This Row],[Venda]],0)</f>
        <v>0.56067551266586246</v>
      </c>
      <c r="T14" s="13">
        <f>IF(fCaixa[[#This Row],[Lançamento]]="RECEITA",fCaixa[[#This Row],[Venda]]-fCaixa[[#This Row],[Custoprimario]],0)</f>
        <v>72.840000000000018</v>
      </c>
      <c r="U14" s="16">
        <f>IFERROR(fCaixa[[#This Row],[Lucroprimario]]/fCaixa[[#This Row],[Venda]],0)</f>
        <v>0.43932448733413759</v>
      </c>
      <c r="V1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72.840000000000018</v>
      </c>
      <c r="W14" s="16">
        <f>IFERROR(fCaixa[[#This Row],[Lucrofinal]]/fCaixa[[#This Row],[Venda]],0)</f>
        <v>0.43932448733413759</v>
      </c>
    </row>
    <row r="15" spans="1:23" ht="16.5" x14ac:dyDescent="0.25">
      <c r="A15" s="17">
        <f t="shared" si="0"/>
        <v>14</v>
      </c>
      <c r="B15" s="87">
        <v>42940</v>
      </c>
      <c r="C15" s="12" t="s">
        <v>24</v>
      </c>
      <c r="D15" s="12" t="s">
        <v>25</v>
      </c>
      <c r="E15" s="12" t="s">
        <v>26</v>
      </c>
      <c r="F15" s="12" t="s">
        <v>27</v>
      </c>
      <c r="G15" s="13">
        <v>34.75</v>
      </c>
      <c r="H15" s="13">
        <v>0.75</v>
      </c>
      <c r="I15" s="13">
        <v>10.5</v>
      </c>
      <c r="J15" s="14">
        <v>0</v>
      </c>
      <c r="K15" s="12">
        <f>IFERROR(ROUND((fCaixa[[#This Row],[Venda]]/fCaixa[[#This Row],[Preço/Un.]]),0),0)</f>
        <v>46</v>
      </c>
      <c r="L15" s="15">
        <f>IFERROR((SUBSTITUTE(RIGHT(fCaixa[[#This Row],[Descrição]],3),"G","")*1 *fCaixa[[#This Row],[Qtd/Pães]]) / 1000,0)</f>
        <v>1.61</v>
      </c>
      <c r="M15" s="13">
        <f>IFERROR((((SUBSTITUTE(RIGHT(fCaixa[[#This Row],[Descrição]],3),"G","")*1) * fCaixa[[#This Row],[QTD Perdida]])/1000) *fCaixa[[#This Row],[Custo/KG.]],0)</f>
        <v>0</v>
      </c>
      <c r="N15" s="15">
        <f>IF(fCaixa[[#This Row],[Lançamento]]="RECEITA",(fCaixa[[#This Row],[QTD Perdida]]* (SUBSTITUTE(RIGHT(fCaixa[[#This Row],[Descrição]],3),"G","")*1))/1000,0)</f>
        <v>0</v>
      </c>
      <c r="O15" s="15">
        <f>fCaixa[[#This Row],[Qtd/Kg]]+fCaixa[[#This Row],[Qtd/Kg Perdido]]</f>
        <v>1.61</v>
      </c>
      <c r="P15" s="13">
        <f>IF(fCaixa[[#This Row],[Lançamento]]="RECEITA",(fCaixa[[#This Row],[Qtd/Kg]]*fCaixa[[#This Row],[Custo/KG.]]),0)</f>
        <v>16.905000000000001</v>
      </c>
      <c r="Q15" s="34">
        <f>fCaixa[[#This Row],[Custoprimario]]+fCaixa[[#This Row],[Total Perdido]]</f>
        <v>16.905000000000001</v>
      </c>
      <c r="R15" s="16">
        <f>IFERROR(fCaixa[[#This Row],[Custoprimario]]/fCaixa[[#This Row],[Venda]],0)</f>
        <v>0.48647482014388493</v>
      </c>
      <c r="S15" s="16">
        <f>IFERROR(fCaixa[[#This Row],[Custofinal]]/fCaixa[[#This Row],[Venda]],0)</f>
        <v>0.48647482014388493</v>
      </c>
      <c r="T15" s="13">
        <f>IF(fCaixa[[#This Row],[Lançamento]]="RECEITA",fCaixa[[#This Row],[Venda]]-fCaixa[[#This Row],[Custoprimario]],0)</f>
        <v>17.844999999999999</v>
      </c>
      <c r="U15" s="16">
        <f>IFERROR(fCaixa[[#This Row],[Lucroprimario]]/fCaixa[[#This Row],[Venda]],0)</f>
        <v>0.51352517985611512</v>
      </c>
      <c r="V1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17.844999999999999</v>
      </c>
      <c r="W15" s="16">
        <f>IFERROR(fCaixa[[#This Row],[Lucrofinal]]/fCaixa[[#This Row],[Venda]],0)</f>
        <v>0.51352517985611512</v>
      </c>
    </row>
    <row r="16" spans="1:23" ht="16.5" x14ac:dyDescent="0.25">
      <c r="A16" s="17">
        <f t="shared" si="0"/>
        <v>15</v>
      </c>
      <c r="B16" s="87">
        <v>42941</v>
      </c>
      <c r="C16" s="12" t="s">
        <v>24</v>
      </c>
      <c r="D16" s="12" t="s">
        <v>25</v>
      </c>
      <c r="E16" s="12" t="s">
        <v>26</v>
      </c>
      <c r="F16" s="12" t="s">
        <v>27</v>
      </c>
      <c r="G16" s="13">
        <v>86.25</v>
      </c>
      <c r="H16" s="13">
        <v>0.75</v>
      </c>
      <c r="I16" s="13">
        <v>10.5</v>
      </c>
      <c r="J16" s="14">
        <v>0</v>
      </c>
      <c r="K16" s="12">
        <f>IFERROR(ROUND((fCaixa[[#This Row],[Venda]]/fCaixa[[#This Row],[Preço/Un.]]),0),0)</f>
        <v>115</v>
      </c>
      <c r="L16" s="15">
        <f>IFERROR((SUBSTITUTE(RIGHT(fCaixa[[#This Row],[Descrição]],3),"G","")*1 *fCaixa[[#This Row],[Qtd/Pães]]) / 1000,0)</f>
        <v>4.0250000000000004</v>
      </c>
      <c r="M16" s="13">
        <f>IFERROR((((SUBSTITUTE(RIGHT(fCaixa[[#This Row],[Descrição]],3),"G","")*1) * fCaixa[[#This Row],[QTD Perdida]])/1000) *fCaixa[[#This Row],[Custo/KG.]],0)</f>
        <v>0</v>
      </c>
      <c r="N16" s="15">
        <f>IF(fCaixa[[#This Row],[Lançamento]]="RECEITA",(fCaixa[[#This Row],[QTD Perdida]]* (SUBSTITUTE(RIGHT(fCaixa[[#This Row],[Descrição]],3),"G","")*1))/1000,0)</f>
        <v>0</v>
      </c>
      <c r="O16" s="15">
        <f>fCaixa[[#This Row],[Qtd/Kg]]+fCaixa[[#This Row],[Qtd/Kg Perdido]]</f>
        <v>4.0250000000000004</v>
      </c>
      <c r="P16" s="13">
        <f>IF(fCaixa[[#This Row],[Lançamento]]="RECEITA",(fCaixa[[#This Row],[Qtd/Kg]]*fCaixa[[#This Row],[Custo/KG.]]),0)</f>
        <v>42.262500000000003</v>
      </c>
      <c r="Q16" s="34">
        <f>fCaixa[[#This Row],[Custoprimario]]+fCaixa[[#This Row],[Total Perdido]]</f>
        <v>42.262500000000003</v>
      </c>
      <c r="R16" s="16">
        <f>IFERROR(fCaixa[[#This Row],[Custoprimario]]/fCaixa[[#This Row],[Venda]],0)</f>
        <v>0.49000000000000005</v>
      </c>
      <c r="S16" s="16">
        <f>IFERROR(fCaixa[[#This Row],[Custofinal]]/fCaixa[[#This Row],[Venda]],0)</f>
        <v>0.49000000000000005</v>
      </c>
      <c r="T16" s="13">
        <f>IF(fCaixa[[#This Row],[Lançamento]]="RECEITA",fCaixa[[#This Row],[Venda]]-fCaixa[[#This Row],[Custoprimario]],0)</f>
        <v>43.987499999999997</v>
      </c>
      <c r="U16" s="16">
        <f>IFERROR(fCaixa[[#This Row],[Lucroprimario]]/fCaixa[[#This Row],[Venda]],0)</f>
        <v>0.51</v>
      </c>
      <c r="V1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43.987499999999997</v>
      </c>
      <c r="W16" s="16">
        <f>IFERROR(fCaixa[[#This Row],[Lucrofinal]]/fCaixa[[#This Row],[Venda]],0)</f>
        <v>0.51</v>
      </c>
    </row>
    <row r="17" spans="1:23" ht="16.5" x14ac:dyDescent="0.25">
      <c r="A17" s="17">
        <f t="shared" si="0"/>
        <v>16</v>
      </c>
      <c r="B17" s="87">
        <v>42942</v>
      </c>
      <c r="C17" s="12" t="s">
        <v>24</v>
      </c>
      <c r="D17" s="12" t="s">
        <v>25</v>
      </c>
      <c r="E17" s="12" t="s">
        <v>26</v>
      </c>
      <c r="F17" s="12" t="s">
        <v>27</v>
      </c>
      <c r="G17" s="13">
        <v>46.5</v>
      </c>
      <c r="H17" s="13">
        <v>0.75</v>
      </c>
      <c r="I17" s="13">
        <v>10.5</v>
      </c>
      <c r="J17" s="14">
        <v>0</v>
      </c>
      <c r="K17" s="12">
        <f>IFERROR(ROUND((fCaixa[[#This Row],[Venda]]/fCaixa[[#This Row],[Preço/Un.]]),0),0)</f>
        <v>62</v>
      </c>
      <c r="L17" s="15">
        <f>IFERROR((SUBSTITUTE(RIGHT(fCaixa[[#This Row],[Descrição]],3),"G","")*1 *fCaixa[[#This Row],[Qtd/Pães]]) / 1000,0)</f>
        <v>2.17</v>
      </c>
      <c r="M17" s="13">
        <f>IFERROR((((SUBSTITUTE(RIGHT(fCaixa[[#This Row],[Descrição]],3),"G","")*1) * fCaixa[[#This Row],[QTD Perdida]])/1000) *fCaixa[[#This Row],[Custo/KG.]],0)</f>
        <v>0</v>
      </c>
      <c r="N17" s="15">
        <f>IF(fCaixa[[#This Row],[Lançamento]]="RECEITA",(fCaixa[[#This Row],[QTD Perdida]]* (SUBSTITUTE(RIGHT(fCaixa[[#This Row],[Descrição]],3),"G","")*1))/1000,0)</f>
        <v>0</v>
      </c>
      <c r="O17" s="15">
        <f>fCaixa[[#This Row],[Qtd/Kg]]+fCaixa[[#This Row],[Qtd/Kg Perdido]]</f>
        <v>2.17</v>
      </c>
      <c r="P17" s="13">
        <f>IF(fCaixa[[#This Row],[Lançamento]]="RECEITA",(fCaixa[[#This Row],[Qtd/Kg]]*fCaixa[[#This Row],[Custo/KG.]]),0)</f>
        <v>22.785</v>
      </c>
      <c r="Q17" s="34">
        <f>fCaixa[[#This Row],[Custoprimario]]+fCaixa[[#This Row],[Total Perdido]]</f>
        <v>22.785</v>
      </c>
      <c r="R17" s="16">
        <f>IFERROR(fCaixa[[#This Row],[Custoprimario]]/fCaixa[[#This Row],[Venda]],0)</f>
        <v>0.49</v>
      </c>
      <c r="S17" s="16">
        <f>IFERROR(fCaixa[[#This Row],[Custofinal]]/fCaixa[[#This Row],[Venda]],0)</f>
        <v>0.49</v>
      </c>
      <c r="T17" s="13">
        <f>IF(fCaixa[[#This Row],[Lançamento]]="RECEITA",fCaixa[[#This Row],[Venda]]-fCaixa[[#This Row],[Custoprimario]],0)</f>
        <v>23.715</v>
      </c>
      <c r="U17" s="16">
        <f>IFERROR(fCaixa[[#This Row],[Lucroprimario]]/fCaixa[[#This Row],[Venda]],0)</f>
        <v>0.51</v>
      </c>
      <c r="V1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23.715</v>
      </c>
      <c r="W17" s="16">
        <f>IFERROR(fCaixa[[#This Row],[Lucrofinal]]/fCaixa[[#This Row],[Venda]],0)</f>
        <v>0.51</v>
      </c>
    </row>
    <row r="18" spans="1:23" ht="16.5" hidden="1" x14ac:dyDescent="0.25">
      <c r="A18" s="17">
        <f t="shared" si="0"/>
        <v>17</v>
      </c>
      <c r="B18" s="87">
        <v>42942</v>
      </c>
      <c r="C18" s="12" t="s">
        <v>29</v>
      </c>
      <c r="D18" s="12" t="s">
        <v>25</v>
      </c>
      <c r="E18" s="12" t="s">
        <v>30</v>
      </c>
      <c r="F18" s="12" t="s">
        <v>27</v>
      </c>
      <c r="G18" s="13">
        <v>10</v>
      </c>
      <c r="H18" s="13">
        <v>0</v>
      </c>
      <c r="I18" s="13">
        <v>0</v>
      </c>
      <c r="J18" s="14">
        <v>0</v>
      </c>
      <c r="K18" s="12">
        <f>IFERROR(ROUND((fCaixa[[#This Row],[Venda]]/fCaixa[[#This Row],[Preço/Un.]]),0),0)</f>
        <v>0</v>
      </c>
      <c r="L18" s="15">
        <f>IFERROR((SUBSTITUTE(RIGHT(fCaixa[[#This Row],[Descrição]],3),"G","")*1 *fCaixa[[#This Row],[Qtd/Pães]]) / 1000,0)</f>
        <v>0</v>
      </c>
      <c r="M18" s="13">
        <f>IFERROR((((SUBSTITUTE(RIGHT(fCaixa[[#This Row],[Descrição]],3),"G","")*1) * fCaixa[[#This Row],[QTD Perdida]])/1000) *fCaixa[[#This Row],[Custo/KG.]],0)</f>
        <v>0</v>
      </c>
      <c r="N18" s="15">
        <f>IF(fCaixa[[#This Row],[Lançamento]]="RECEITA",(fCaixa[[#This Row],[QTD Perdida]]* (SUBSTITUTE(RIGHT(fCaixa[[#This Row],[Descrição]],3),"G","")*1))/1000,0)</f>
        <v>0</v>
      </c>
      <c r="O18" s="15">
        <f>fCaixa[[#This Row],[Qtd/Kg]]+fCaixa[[#This Row],[Qtd/Kg Perdido]]</f>
        <v>0</v>
      </c>
      <c r="P18" s="13">
        <f>IF(fCaixa[[#This Row],[Lançamento]]="RECEITA",(fCaixa[[#This Row],[Qtd/Kg]]*fCaixa[[#This Row],[Custo/KG.]]),0)</f>
        <v>0</v>
      </c>
      <c r="Q18" s="34">
        <f>fCaixa[[#This Row],[Custoprimario]]+fCaixa[[#This Row],[Total Perdido]]</f>
        <v>0</v>
      </c>
      <c r="R18" s="16">
        <f>IFERROR(fCaixa[[#This Row],[Custoprimario]]/fCaixa[[#This Row],[Venda]],0)</f>
        <v>0</v>
      </c>
      <c r="S18" s="16">
        <f>IFERROR(fCaixa[[#This Row],[Custofinal]]/fCaixa[[#This Row],[Venda]],0)</f>
        <v>0</v>
      </c>
      <c r="T18" s="13">
        <f>IF(fCaixa[[#This Row],[Lançamento]]="RECEITA",fCaixa[[#This Row],[Venda]]-fCaixa[[#This Row],[Custoprimario]],0)</f>
        <v>0</v>
      </c>
      <c r="U18" s="16">
        <f>IFERROR(fCaixa[[#This Row],[Lucroprimario]]/fCaixa[[#This Row],[Venda]],0)</f>
        <v>0</v>
      </c>
      <c r="V1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8" s="16">
        <f>IFERROR(fCaixa[[#This Row],[Lucrofinal]]/fCaixa[[#This Row],[Venda]],0)</f>
        <v>0</v>
      </c>
    </row>
    <row r="19" spans="1:23" ht="16.5" x14ac:dyDescent="0.25">
      <c r="A19" s="17">
        <f t="shared" si="0"/>
        <v>18</v>
      </c>
      <c r="B19" s="87">
        <v>42943</v>
      </c>
      <c r="C19" s="12" t="s">
        <v>24</v>
      </c>
      <c r="D19" s="12" t="s">
        <v>25</v>
      </c>
      <c r="E19" s="12" t="s">
        <v>26</v>
      </c>
      <c r="F19" s="12" t="s">
        <v>27</v>
      </c>
      <c r="G19" s="13">
        <v>96.55</v>
      </c>
      <c r="H19" s="13">
        <v>0.75</v>
      </c>
      <c r="I19" s="13">
        <v>10.5</v>
      </c>
      <c r="J19" s="14">
        <v>0</v>
      </c>
      <c r="K19" s="12">
        <f>IFERROR(ROUND((fCaixa[[#This Row],[Venda]]/fCaixa[[#This Row],[Preço/Un.]]),0),0)</f>
        <v>129</v>
      </c>
      <c r="L19" s="15">
        <f>IFERROR((SUBSTITUTE(RIGHT(fCaixa[[#This Row],[Descrição]],3),"G","")*1 *fCaixa[[#This Row],[Qtd/Pães]]) / 1000,0)</f>
        <v>4.5149999999999997</v>
      </c>
      <c r="M19" s="13">
        <f>IFERROR((((SUBSTITUTE(RIGHT(fCaixa[[#This Row],[Descrição]],3),"G","")*1) * fCaixa[[#This Row],[QTD Perdida]])/1000) *fCaixa[[#This Row],[Custo/KG.]],0)</f>
        <v>0</v>
      </c>
      <c r="N19" s="15">
        <f>IF(fCaixa[[#This Row],[Lançamento]]="RECEITA",(fCaixa[[#This Row],[QTD Perdida]]* (SUBSTITUTE(RIGHT(fCaixa[[#This Row],[Descrição]],3),"G","")*1))/1000,0)</f>
        <v>0</v>
      </c>
      <c r="O19" s="15">
        <f>fCaixa[[#This Row],[Qtd/Kg]]+fCaixa[[#This Row],[Qtd/Kg Perdido]]</f>
        <v>4.5149999999999997</v>
      </c>
      <c r="P19" s="13">
        <f>IF(fCaixa[[#This Row],[Lançamento]]="RECEITA",(fCaixa[[#This Row],[Qtd/Kg]]*fCaixa[[#This Row],[Custo/KG.]]),0)</f>
        <v>47.407499999999999</v>
      </c>
      <c r="Q19" s="34">
        <f>fCaixa[[#This Row],[Custoprimario]]+fCaixa[[#This Row],[Total Perdido]]</f>
        <v>47.407499999999999</v>
      </c>
      <c r="R19" s="16">
        <f>IFERROR(fCaixa[[#This Row],[Custoprimario]]/fCaixa[[#This Row],[Venda]],0)</f>
        <v>0.49101501812532367</v>
      </c>
      <c r="S19" s="16">
        <f>IFERROR(fCaixa[[#This Row],[Custofinal]]/fCaixa[[#This Row],[Venda]],0)</f>
        <v>0.49101501812532367</v>
      </c>
      <c r="T19" s="13">
        <f>IF(fCaixa[[#This Row],[Lançamento]]="RECEITA",fCaixa[[#This Row],[Venda]]-fCaixa[[#This Row],[Custoprimario]],0)</f>
        <v>49.142499999999998</v>
      </c>
      <c r="U19" s="16">
        <f>IFERROR(fCaixa[[#This Row],[Lucroprimario]]/fCaixa[[#This Row],[Venda]],0)</f>
        <v>0.50898498187467633</v>
      </c>
      <c r="V1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49.142499999999998</v>
      </c>
      <c r="W19" s="16">
        <f>IFERROR(fCaixa[[#This Row],[Lucrofinal]]/fCaixa[[#This Row],[Venda]],0)</f>
        <v>0.50898498187467633</v>
      </c>
    </row>
    <row r="20" spans="1:23" ht="16.5" x14ac:dyDescent="0.25">
      <c r="A20" s="17">
        <f t="shared" si="0"/>
        <v>19</v>
      </c>
      <c r="B20" s="87">
        <v>42944</v>
      </c>
      <c r="C20" s="12" t="s">
        <v>24</v>
      </c>
      <c r="D20" s="12" t="s">
        <v>25</v>
      </c>
      <c r="E20" s="12" t="s">
        <v>26</v>
      </c>
      <c r="F20" s="12" t="s">
        <v>27</v>
      </c>
      <c r="G20" s="13">
        <v>96.75</v>
      </c>
      <c r="H20" s="13">
        <v>0.75</v>
      </c>
      <c r="I20" s="13">
        <v>10.5</v>
      </c>
      <c r="J20" s="14">
        <v>0</v>
      </c>
      <c r="K20" s="12">
        <f>IFERROR(ROUND((fCaixa[[#This Row],[Venda]]/fCaixa[[#This Row],[Preço/Un.]]),0),0)</f>
        <v>129</v>
      </c>
      <c r="L20" s="15">
        <f>IFERROR((SUBSTITUTE(RIGHT(fCaixa[[#This Row],[Descrição]],3),"G","")*1 *fCaixa[[#This Row],[Qtd/Pães]]) / 1000,0)</f>
        <v>4.5149999999999997</v>
      </c>
      <c r="M20" s="13">
        <f>IFERROR((((SUBSTITUTE(RIGHT(fCaixa[[#This Row],[Descrição]],3),"G","")*1) * fCaixa[[#This Row],[QTD Perdida]])/1000) *fCaixa[[#This Row],[Custo/KG.]],0)</f>
        <v>0</v>
      </c>
      <c r="N20" s="15">
        <f>IF(fCaixa[[#This Row],[Lançamento]]="RECEITA",(fCaixa[[#This Row],[QTD Perdida]]* (SUBSTITUTE(RIGHT(fCaixa[[#This Row],[Descrição]],3),"G","")*1))/1000,0)</f>
        <v>0</v>
      </c>
      <c r="O20" s="15">
        <f>fCaixa[[#This Row],[Qtd/Kg]]+fCaixa[[#This Row],[Qtd/Kg Perdido]]</f>
        <v>4.5149999999999997</v>
      </c>
      <c r="P20" s="13">
        <f>IF(fCaixa[[#This Row],[Lançamento]]="RECEITA",(fCaixa[[#This Row],[Qtd/Kg]]*fCaixa[[#This Row],[Custo/KG.]]),0)</f>
        <v>47.407499999999999</v>
      </c>
      <c r="Q20" s="34">
        <f>fCaixa[[#This Row],[Custoprimario]]+fCaixa[[#This Row],[Total Perdido]]</f>
        <v>47.407499999999999</v>
      </c>
      <c r="R20" s="16">
        <f>IFERROR(fCaixa[[#This Row],[Custoprimario]]/fCaixa[[#This Row],[Venda]],0)</f>
        <v>0.49</v>
      </c>
      <c r="S20" s="16">
        <f>IFERROR(fCaixa[[#This Row],[Custofinal]]/fCaixa[[#This Row],[Venda]],0)</f>
        <v>0.49</v>
      </c>
      <c r="T20" s="13">
        <f>IF(fCaixa[[#This Row],[Lançamento]]="RECEITA",fCaixa[[#This Row],[Venda]]-fCaixa[[#This Row],[Custoprimario]],0)</f>
        <v>49.342500000000001</v>
      </c>
      <c r="U20" s="16">
        <f>IFERROR(fCaixa[[#This Row],[Lucroprimario]]/fCaixa[[#This Row],[Venda]],0)</f>
        <v>0.51</v>
      </c>
      <c r="V2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49.342500000000001</v>
      </c>
      <c r="W20" s="16">
        <f>IFERROR(fCaixa[[#This Row],[Lucrofinal]]/fCaixa[[#This Row],[Venda]],0)</f>
        <v>0.51</v>
      </c>
    </row>
    <row r="21" spans="1:23" ht="16.5" x14ac:dyDescent="0.25">
      <c r="A21" s="17">
        <f t="shared" si="0"/>
        <v>20</v>
      </c>
      <c r="B21" s="87">
        <v>42945</v>
      </c>
      <c r="C21" s="12" t="s">
        <v>24</v>
      </c>
      <c r="D21" s="12" t="s">
        <v>25</v>
      </c>
      <c r="E21" s="12" t="s">
        <v>26</v>
      </c>
      <c r="F21" s="12" t="s">
        <v>28</v>
      </c>
      <c r="G21" s="13">
        <v>182.8</v>
      </c>
      <c r="H21" s="13">
        <v>0.5</v>
      </c>
      <c r="I21" s="13">
        <v>8</v>
      </c>
      <c r="J21" s="14">
        <v>0</v>
      </c>
      <c r="K21" s="12">
        <f>IFERROR(ROUND((fCaixa[[#This Row],[Venda]]/fCaixa[[#This Row],[Preço/Un.]]),0),0)</f>
        <v>366</v>
      </c>
      <c r="L21" s="15">
        <f>IFERROR((SUBSTITUTE(RIGHT(fCaixa[[#This Row],[Descrição]],3),"G","")*1 *fCaixa[[#This Row],[Qtd/Pães]]) / 1000,0)</f>
        <v>12.81</v>
      </c>
      <c r="M21" s="13">
        <f>IFERROR((((SUBSTITUTE(RIGHT(fCaixa[[#This Row],[Descrição]],3),"G","")*1) * fCaixa[[#This Row],[QTD Perdida]])/1000) *fCaixa[[#This Row],[Custo/KG.]],0)</f>
        <v>0</v>
      </c>
      <c r="N21" s="15">
        <f>IF(fCaixa[[#This Row],[Lançamento]]="RECEITA",(fCaixa[[#This Row],[QTD Perdida]]* (SUBSTITUTE(RIGHT(fCaixa[[#This Row],[Descrição]],3),"G","")*1))/1000,0)</f>
        <v>0</v>
      </c>
      <c r="O21" s="15">
        <f>fCaixa[[#This Row],[Qtd/Kg]]+fCaixa[[#This Row],[Qtd/Kg Perdido]]</f>
        <v>12.81</v>
      </c>
      <c r="P21" s="13">
        <f>IF(fCaixa[[#This Row],[Lançamento]]="RECEITA",(fCaixa[[#This Row],[Qtd/Kg]]*fCaixa[[#This Row],[Custo/KG.]]),0)</f>
        <v>102.48</v>
      </c>
      <c r="Q21" s="34">
        <f>fCaixa[[#This Row],[Custoprimario]]+fCaixa[[#This Row],[Total Perdido]]</f>
        <v>102.48</v>
      </c>
      <c r="R21" s="16">
        <f>IFERROR(fCaixa[[#This Row],[Custoprimario]]/fCaixa[[#This Row],[Venda]],0)</f>
        <v>0.56061269146608317</v>
      </c>
      <c r="S21" s="16">
        <f>IFERROR(fCaixa[[#This Row],[Custofinal]]/fCaixa[[#This Row],[Venda]],0)</f>
        <v>0.56061269146608317</v>
      </c>
      <c r="T21" s="13">
        <f>IF(fCaixa[[#This Row],[Lançamento]]="RECEITA",fCaixa[[#This Row],[Venda]]-fCaixa[[#This Row],[Custoprimario]],0)</f>
        <v>80.320000000000007</v>
      </c>
      <c r="U21" s="16">
        <f>IFERROR(fCaixa[[#This Row],[Lucroprimario]]/fCaixa[[#This Row],[Venda]],0)</f>
        <v>0.43938730853391689</v>
      </c>
      <c r="V2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80.320000000000007</v>
      </c>
      <c r="W21" s="16">
        <f>IFERROR(fCaixa[[#This Row],[Lucrofinal]]/fCaixa[[#This Row],[Venda]],0)</f>
        <v>0.43938730853391689</v>
      </c>
    </row>
    <row r="22" spans="1:23" ht="16.5" x14ac:dyDescent="0.25">
      <c r="A22" s="17">
        <f t="shared" si="0"/>
        <v>21</v>
      </c>
      <c r="B22" s="87">
        <v>42947</v>
      </c>
      <c r="C22" s="12" t="s">
        <v>24</v>
      </c>
      <c r="D22" s="12" t="s">
        <v>25</v>
      </c>
      <c r="E22" s="12" t="s">
        <v>26</v>
      </c>
      <c r="F22" s="12" t="s">
        <v>27</v>
      </c>
      <c r="G22" s="13">
        <v>62.2</v>
      </c>
      <c r="H22" s="13">
        <v>0.75</v>
      </c>
      <c r="I22" s="13">
        <v>10.5</v>
      </c>
      <c r="J22" s="14">
        <v>0</v>
      </c>
      <c r="K22" s="12">
        <f>IFERROR(ROUND((fCaixa[[#This Row],[Venda]]/fCaixa[[#This Row],[Preço/Un.]]),0),0)</f>
        <v>83</v>
      </c>
      <c r="L22" s="15">
        <f>IFERROR((SUBSTITUTE(RIGHT(fCaixa[[#This Row],[Descrição]],3),"G","")*1 *fCaixa[[#This Row],[Qtd/Pães]]) / 1000,0)</f>
        <v>2.9049999999999998</v>
      </c>
      <c r="M22" s="13">
        <f>IFERROR((((SUBSTITUTE(RIGHT(fCaixa[[#This Row],[Descrição]],3),"G","")*1) * fCaixa[[#This Row],[QTD Perdida]])/1000) *fCaixa[[#This Row],[Custo/KG.]],0)</f>
        <v>0</v>
      </c>
      <c r="N22" s="15">
        <f>IF(fCaixa[[#This Row],[Lançamento]]="RECEITA",(fCaixa[[#This Row],[QTD Perdida]]* (SUBSTITUTE(RIGHT(fCaixa[[#This Row],[Descrição]],3),"G","")*1))/1000,0)</f>
        <v>0</v>
      </c>
      <c r="O22" s="15">
        <f>fCaixa[[#This Row],[Qtd/Kg]]+fCaixa[[#This Row],[Qtd/Kg Perdido]]</f>
        <v>2.9049999999999998</v>
      </c>
      <c r="P22" s="13">
        <f>IF(fCaixa[[#This Row],[Lançamento]]="RECEITA",(fCaixa[[#This Row],[Qtd/Kg]]*fCaixa[[#This Row],[Custo/KG.]]),0)</f>
        <v>30.502499999999998</v>
      </c>
      <c r="Q22" s="34">
        <f>fCaixa[[#This Row],[Custoprimario]]+fCaixa[[#This Row],[Total Perdido]]</f>
        <v>30.502499999999998</v>
      </c>
      <c r="R22" s="16">
        <f>IFERROR(fCaixa[[#This Row],[Custoprimario]]/fCaixa[[#This Row],[Venda]],0)</f>
        <v>0.49039389067524108</v>
      </c>
      <c r="S22" s="16">
        <f>IFERROR(fCaixa[[#This Row],[Custofinal]]/fCaixa[[#This Row],[Venda]],0)</f>
        <v>0.49039389067524108</v>
      </c>
      <c r="T22" s="13">
        <f>IF(fCaixa[[#This Row],[Lançamento]]="RECEITA",fCaixa[[#This Row],[Venda]]-fCaixa[[#This Row],[Custoprimario]],0)</f>
        <v>31.697500000000005</v>
      </c>
      <c r="U22" s="16">
        <f>IFERROR(fCaixa[[#This Row],[Lucroprimario]]/fCaixa[[#This Row],[Venda]],0)</f>
        <v>0.50960610932475892</v>
      </c>
      <c r="V2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31.697500000000005</v>
      </c>
      <c r="W22" s="16">
        <f>IFERROR(fCaixa[[#This Row],[Lucrofinal]]/fCaixa[[#This Row],[Venda]],0)</f>
        <v>0.50960610932475892</v>
      </c>
    </row>
    <row r="23" spans="1:23" ht="16.5" hidden="1" x14ac:dyDescent="0.25">
      <c r="A23" s="17">
        <f t="shared" si="0"/>
        <v>22</v>
      </c>
      <c r="B23" s="87">
        <v>42948</v>
      </c>
      <c r="C23" s="12" t="s">
        <v>24</v>
      </c>
      <c r="D23" s="12" t="s">
        <v>25</v>
      </c>
      <c r="E23" s="12" t="s">
        <v>26</v>
      </c>
      <c r="F23" s="12" t="s">
        <v>27</v>
      </c>
      <c r="G23" s="13">
        <v>134.05000000000001</v>
      </c>
      <c r="H23" s="13">
        <v>0.75</v>
      </c>
      <c r="I23" s="13">
        <v>10.5</v>
      </c>
      <c r="J23" s="14">
        <v>0</v>
      </c>
      <c r="K23" s="12">
        <f>IFERROR(ROUND((fCaixa[[#This Row],[Venda]]/fCaixa[[#This Row],[Preço/Un.]]),0),0)</f>
        <v>179</v>
      </c>
      <c r="L23" s="15">
        <f>IFERROR((SUBSTITUTE(RIGHT(fCaixa[[#This Row],[Descrição]],3),"G","")*1 *fCaixa[[#This Row],[Qtd/Pães]]) / 1000,0)</f>
        <v>6.2649999999999997</v>
      </c>
      <c r="M23" s="13">
        <f>IFERROR((((SUBSTITUTE(RIGHT(fCaixa[[#This Row],[Descrição]],3),"G","")*1) * fCaixa[[#This Row],[QTD Perdida]])/1000) *fCaixa[[#This Row],[Custo/KG.]],0)</f>
        <v>0</v>
      </c>
      <c r="N23" s="15">
        <f>IF(fCaixa[[#This Row],[Lançamento]]="RECEITA",(fCaixa[[#This Row],[QTD Perdida]]* (SUBSTITUTE(RIGHT(fCaixa[[#This Row],[Descrição]],3),"G","")*1))/1000,0)</f>
        <v>0</v>
      </c>
      <c r="O23" s="15">
        <f>fCaixa[[#This Row],[Qtd/Kg]]+fCaixa[[#This Row],[Qtd/Kg Perdido]]</f>
        <v>6.2649999999999997</v>
      </c>
      <c r="P23" s="13">
        <f>IF(fCaixa[[#This Row],[Lançamento]]="RECEITA",(fCaixa[[#This Row],[Qtd/Kg]]*fCaixa[[#This Row],[Custo/KG.]]),0)</f>
        <v>65.782499999999999</v>
      </c>
      <c r="Q23" s="34">
        <f>fCaixa[[#This Row],[Custoprimario]]+fCaixa[[#This Row],[Total Perdido]]</f>
        <v>65.782499999999999</v>
      </c>
      <c r="R23" s="16">
        <f>IFERROR(fCaixa[[#This Row],[Custoprimario]]/fCaixa[[#This Row],[Venda]],0)</f>
        <v>0.4907310704960835</v>
      </c>
      <c r="S23" s="16">
        <f>IFERROR(fCaixa[[#This Row],[Custofinal]]/fCaixa[[#This Row],[Venda]],0)</f>
        <v>0.4907310704960835</v>
      </c>
      <c r="T23" s="13">
        <f>IF(fCaixa[[#This Row],[Lançamento]]="RECEITA",fCaixa[[#This Row],[Venda]]-fCaixa[[#This Row],[Custoprimario]],0)</f>
        <v>68.267500000000013</v>
      </c>
      <c r="U23" s="16">
        <f>IFERROR(fCaixa[[#This Row],[Lucroprimario]]/fCaixa[[#This Row],[Venda]],0)</f>
        <v>0.50926892950391645</v>
      </c>
      <c r="V2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68.267500000000013</v>
      </c>
      <c r="W23" s="16">
        <f>IFERROR(fCaixa[[#This Row],[Lucrofinal]]/fCaixa[[#This Row],[Venda]],0)</f>
        <v>0.50926892950391645</v>
      </c>
    </row>
    <row r="24" spans="1:23" ht="16.5" hidden="1" x14ac:dyDescent="0.25">
      <c r="A24" s="17">
        <f t="shared" si="0"/>
        <v>23</v>
      </c>
      <c r="B24" s="87">
        <v>42949</v>
      </c>
      <c r="C24" s="12" t="s">
        <v>24</v>
      </c>
      <c r="D24" s="12" t="s">
        <v>25</v>
      </c>
      <c r="E24" s="12" t="s">
        <v>26</v>
      </c>
      <c r="F24" s="12" t="s">
        <v>27</v>
      </c>
      <c r="G24" s="13">
        <v>94.5</v>
      </c>
      <c r="H24" s="13">
        <v>0.75</v>
      </c>
      <c r="I24" s="13">
        <v>10.5</v>
      </c>
      <c r="J24" s="14">
        <v>0</v>
      </c>
      <c r="K24" s="12">
        <f>IFERROR(ROUND((fCaixa[[#This Row],[Venda]]/fCaixa[[#This Row],[Preço/Un.]]),0),0)</f>
        <v>126</v>
      </c>
      <c r="L24" s="15">
        <f>IFERROR((SUBSTITUTE(RIGHT(fCaixa[[#This Row],[Descrição]],3),"G","")*1 *fCaixa[[#This Row],[Qtd/Pães]]) / 1000,0)</f>
        <v>4.41</v>
      </c>
      <c r="M24" s="13">
        <f>IFERROR((((SUBSTITUTE(RIGHT(fCaixa[[#This Row],[Descrição]],3),"G","")*1) * fCaixa[[#This Row],[QTD Perdida]])/1000) *fCaixa[[#This Row],[Custo/KG.]],0)</f>
        <v>0</v>
      </c>
      <c r="N24" s="15">
        <f>IF(fCaixa[[#This Row],[Lançamento]]="RECEITA",(fCaixa[[#This Row],[QTD Perdida]]* (SUBSTITUTE(RIGHT(fCaixa[[#This Row],[Descrição]],3),"G","")*1))/1000,0)</f>
        <v>0</v>
      </c>
      <c r="O24" s="15">
        <f>fCaixa[[#This Row],[Qtd/Kg]]+fCaixa[[#This Row],[Qtd/Kg Perdido]]</f>
        <v>4.41</v>
      </c>
      <c r="P24" s="13">
        <f>IF(fCaixa[[#This Row],[Lançamento]]="RECEITA",(fCaixa[[#This Row],[Qtd/Kg]]*fCaixa[[#This Row],[Custo/KG.]]),0)</f>
        <v>46.305</v>
      </c>
      <c r="Q24" s="34">
        <f>fCaixa[[#This Row],[Custoprimario]]+fCaixa[[#This Row],[Total Perdido]]</f>
        <v>46.305</v>
      </c>
      <c r="R24" s="16">
        <f>IFERROR(fCaixa[[#This Row],[Custoprimario]]/fCaixa[[#This Row],[Venda]],0)</f>
        <v>0.49</v>
      </c>
      <c r="S24" s="16">
        <f>IFERROR(fCaixa[[#This Row],[Custofinal]]/fCaixa[[#This Row],[Venda]],0)</f>
        <v>0.49</v>
      </c>
      <c r="T24" s="13">
        <f>IF(fCaixa[[#This Row],[Lançamento]]="RECEITA",fCaixa[[#This Row],[Venda]]-fCaixa[[#This Row],[Custoprimario]],0)</f>
        <v>48.195</v>
      </c>
      <c r="U24" s="16">
        <f>IFERROR(fCaixa[[#This Row],[Lucroprimario]]/fCaixa[[#This Row],[Venda]],0)</f>
        <v>0.51</v>
      </c>
      <c r="V2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48.195</v>
      </c>
      <c r="W24" s="16">
        <f>IFERROR(fCaixa[[#This Row],[Lucrofinal]]/fCaixa[[#This Row],[Venda]],0)</f>
        <v>0.51</v>
      </c>
    </row>
    <row r="25" spans="1:23" ht="16.5" hidden="1" x14ac:dyDescent="0.25">
      <c r="A25" s="17">
        <f t="shared" si="0"/>
        <v>24</v>
      </c>
      <c r="B25" s="87">
        <v>42950</v>
      </c>
      <c r="C25" s="12" t="s">
        <v>24</v>
      </c>
      <c r="D25" s="12" t="s">
        <v>25</v>
      </c>
      <c r="E25" s="12" t="s">
        <v>26</v>
      </c>
      <c r="F25" s="12" t="s">
        <v>27</v>
      </c>
      <c r="G25" s="13">
        <v>77.099999999999994</v>
      </c>
      <c r="H25" s="13">
        <v>0.75</v>
      </c>
      <c r="I25" s="13">
        <v>10.5</v>
      </c>
      <c r="J25" s="14">
        <v>0</v>
      </c>
      <c r="K25" s="12">
        <f>IFERROR(ROUND((fCaixa[[#This Row],[Venda]]/fCaixa[[#This Row],[Preço/Un.]]),0),0)</f>
        <v>103</v>
      </c>
      <c r="L25" s="15">
        <f>IFERROR((SUBSTITUTE(RIGHT(fCaixa[[#This Row],[Descrição]],3),"G","")*1 *fCaixa[[#This Row],[Qtd/Pães]]) / 1000,0)</f>
        <v>3.605</v>
      </c>
      <c r="M25" s="13">
        <f>IFERROR((((SUBSTITUTE(RIGHT(fCaixa[[#This Row],[Descrição]],3),"G","")*1) * fCaixa[[#This Row],[QTD Perdida]])/1000) *fCaixa[[#This Row],[Custo/KG.]],0)</f>
        <v>0</v>
      </c>
      <c r="N25" s="15">
        <f>IF(fCaixa[[#This Row],[Lançamento]]="RECEITA",(fCaixa[[#This Row],[QTD Perdida]]* (SUBSTITUTE(RIGHT(fCaixa[[#This Row],[Descrição]],3),"G","")*1))/1000,0)</f>
        <v>0</v>
      </c>
      <c r="O25" s="15">
        <f>fCaixa[[#This Row],[Qtd/Kg]]+fCaixa[[#This Row],[Qtd/Kg Perdido]]</f>
        <v>3.605</v>
      </c>
      <c r="P25" s="13">
        <f>IF(fCaixa[[#This Row],[Lançamento]]="RECEITA",(fCaixa[[#This Row],[Qtd/Kg]]*fCaixa[[#This Row],[Custo/KG.]]),0)</f>
        <v>37.852499999999999</v>
      </c>
      <c r="Q25" s="34">
        <f>fCaixa[[#This Row],[Custoprimario]]+fCaixa[[#This Row],[Total Perdido]]</f>
        <v>37.852499999999999</v>
      </c>
      <c r="R25" s="16">
        <f>IFERROR(fCaixa[[#This Row],[Custoprimario]]/fCaixa[[#This Row],[Venda]],0)</f>
        <v>0.49095330739299614</v>
      </c>
      <c r="S25" s="16">
        <f>IFERROR(fCaixa[[#This Row],[Custofinal]]/fCaixa[[#This Row],[Venda]],0)</f>
        <v>0.49095330739299614</v>
      </c>
      <c r="T25" s="13">
        <f>IF(fCaixa[[#This Row],[Lançamento]]="RECEITA",fCaixa[[#This Row],[Venda]]-fCaixa[[#This Row],[Custoprimario]],0)</f>
        <v>39.247499999999995</v>
      </c>
      <c r="U25" s="16">
        <f>IFERROR(fCaixa[[#This Row],[Lucroprimario]]/fCaixa[[#This Row],[Venda]],0)</f>
        <v>0.50904669260700386</v>
      </c>
      <c r="V2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39.247499999999995</v>
      </c>
      <c r="W25" s="16">
        <f>IFERROR(fCaixa[[#This Row],[Lucrofinal]]/fCaixa[[#This Row],[Venda]],0)</f>
        <v>0.50904669260700386</v>
      </c>
    </row>
    <row r="26" spans="1:23" ht="16.5" hidden="1" x14ac:dyDescent="0.25">
      <c r="A26" s="17">
        <f t="shared" si="0"/>
        <v>25</v>
      </c>
      <c r="B26" s="87">
        <v>42950</v>
      </c>
      <c r="C26" s="12" t="s">
        <v>29</v>
      </c>
      <c r="D26" s="12" t="s">
        <v>25</v>
      </c>
      <c r="E26" s="12" t="s">
        <v>31</v>
      </c>
      <c r="F26" s="12" t="s">
        <v>27</v>
      </c>
      <c r="G26" s="13">
        <v>65</v>
      </c>
      <c r="H26" s="13">
        <v>0</v>
      </c>
      <c r="I26" s="13">
        <v>0</v>
      </c>
      <c r="J26" s="14">
        <v>0</v>
      </c>
      <c r="K26" s="12">
        <f>IFERROR(ROUND((fCaixa[[#This Row],[Venda]]/fCaixa[[#This Row],[Preço/Un.]]),0),0)</f>
        <v>0</v>
      </c>
      <c r="L26" s="15">
        <f>IFERROR((SUBSTITUTE(RIGHT(fCaixa[[#This Row],[Descrição]],3),"G","")*1 *fCaixa[[#This Row],[Qtd/Pães]]) / 1000,0)</f>
        <v>0</v>
      </c>
      <c r="M26" s="13">
        <f>IFERROR((((SUBSTITUTE(RIGHT(fCaixa[[#This Row],[Descrição]],3),"G","")*1) * fCaixa[[#This Row],[QTD Perdida]])/1000) *fCaixa[[#This Row],[Custo/KG.]],0)</f>
        <v>0</v>
      </c>
      <c r="N26" s="15">
        <f>IF(fCaixa[[#This Row],[Lançamento]]="RECEITA",(fCaixa[[#This Row],[QTD Perdida]]* (SUBSTITUTE(RIGHT(fCaixa[[#This Row],[Descrição]],3),"G","")*1))/1000,0)</f>
        <v>0</v>
      </c>
      <c r="O26" s="15">
        <f>fCaixa[[#This Row],[Qtd/Kg]]+fCaixa[[#This Row],[Qtd/Kg Perdido]]</f>
        <v>0</v>
      </c>
      <c r="P26" s="13">
        <f>IF(fCaixa[[#This Row],[Lançamento]]="RECEITA",(fCaixa[[#This Row],[Qtd/Kg]]*fCaixa[[#This Row],[Custo/KG.]]),0)</f>
        <v>0</v>
      </c>
      <c r="Q26" s="34">
        <f>fCaixa[[#This Row],[Custoprimario]]+fCaixa[[#This Row],[Total Perdido]]</f>
        <v>0</v>
      </c>
      <c r="R26" s="16">
        <f>IFERROR(fCaixa[[#This Row],[Custoprimario]]/fCaixa[[#This Row],[Venda]],0)</f>
        <v>0</v>
      </c>
      <c r="S26" s="16">
        <f>IFERROR(fCaixa[[#This Row],[Custofinal]]/fCaixa[[#This Row],[Venda]],0)</f>
        <v>0</v>
      </c>
      <c r="T26" s="13">
        <f>IF(fCaixa[[#This Row],[Lançamento]]="RECEITA",fCaixa[[#This Row],[Venda]]-fCaixa[[#This Row],[Custoprimario]],0)</f>
        <v>0</v>
      </c>
      <c r="U26" s="16">
        <f>IFERROR(fCaixa[[#This Row],[Lucroprimario]]/fCaixa[[#This Row],[Venda]],0)</f>
        <v>0</v>
      </c>
      <c r="V2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6" s="16">
        <f>IFERROR(fCaixa[[#This Row],[Lucrofinal]]/fCaixa[[#This Row],[Venda]],0)</f>
        <v>0</v>
      </c>
    </row>
    <row r="27" spans="1:23" ht="16.5" hidden="1" x14ac:dyDescent="0.25">
      <c r="A27" s="17">
        <f t="shared" si="0"/>
        <v>26</v>
      </c>
      <c r="B27" s="87">
        <v>42951</v>
      </c>
      <c r="C27" s="12" t="s">
        <v>24</v>
      </c>
      <c r="D27" s="12" t="s">
        <v>25</v>
      </c>
      <c r="E27" s="12" t="s">
        <v>26</v>
      </c>
      <c r="F27" s="12" t="s">
        <v>27</v>
      </c>
      <c r="G27" s="13">
        <v>48.4</v>
      </c>
      <c r="H27" s="13">
        <v>0.75</v>
      </c>
      <c r="I27" s="13">
        <v>10.5</v>
      </c>
      <c r="J27" s="14">
        <v>32</v>
      </c>
      <c r="K27" s="12">
        <f>IFERROR(ROUND((fCaixa[[#This Row],[Venda]]/fCaixa[[#This Row],[Preço/Un.]]),0),0)</f>
        <v>65</v>
      </c>
      <c r="L27" s="15">
        <f>IFERROR((SUBSTITUTE(RIGHT(fCaixa[[#This Row],[Descrição]],3),"G","")*1 *fCaixa[[#This Row],[Qtd/Pães]]) / 1000,0)</f>
        <v>2.2749999999999999</v>
      </c>
      <c r="M27" s="13">
        <f>IFERROR((((SUBSTITUTE(RIGHT(fCaixa[[#This Row],[Descrição]],3),"G","")*1) * fCaixa[[#This Row],[QTD Perdida]])/1000) *fCaixa[[#This Row],[Custo/KG.]],0)</f>
        <v>11.760000000000002</v>
      </c>
      <c r="N27" s="15">
        <f>IF(fCaixa[[#This Row],[Lançamento]]="RECEITA",(fCaixa[[#This Row],[QTD Perdida]]* (SUBSTITUTE(RIGHT(fCaixa[[#This Row],[Descrição]],3),"G","")*1))/1000,0)</f>
        <v>1.1200000000000001</v>
      </c>
      <c r="O27" s="15">
        <f>fCaixa[[#This Row],[Qtd/Kg]]+fCaixa[[#This Row],[Qtd/Kg Perdido]]</f>
        <v>3.395</v>
      </c>
      <c r="P27" s="13">
        <f>IF(fCaixa[[#This Row],[Lançamento]]="RECEITA",(fCaixa[[#This Row],[Qtd/Kg]]*fCaixa[[#This Row],[Custo/KG.]]),0)</f>
        <v>23.887499999999999</v>
      </c>
      <c r="Q27" s="34">
        <f>fCaixa[[#This Row],[Custoprimario]]+fCaixa[[#This Row],[Total Perdido]]</f>
        <v>35.647500000000001</v>
      </c>
      <c r="R27" s="16">
        <f>IFERROR(fCaixa[[#This Row],[Custoprimario]]/fCaixa[[#This Row],[Venda]],0)</f>
        <v>0.49354338842975204</v>
      </c>
      <c r="S27" s="16">
        <f>IFERROR(fCaixa[[#This Row],[Custofinal]]/fCaixa[[#This Row],[Venda]],0)</f>
        <v>0.73651859504132233</v>
      </c>
      <c r="T27" s="13">
        <f>IF(fCaixa[[#This Row],[Lançamento]]="RECEITA",fCaixa[[#This Row],[Venda]]-fCaixa[[#This Row],[Custoprimario]],0)</f>
        <v>24.512499999999999</v>
      </c>
      <c r="U27" s="16">
        <f>IFERROR(fCaixa[[#This Row],[Lucroprimario]]/fCaixa[[#This Row],[Venda]],0)</f>
        <v>0.50645661157024791</v>
      </c>
      <c r="V2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12.752499999999998</v>
      </c>
      <c r="W27" s="16">
        <f>IFERROR(fCaixa[[#This Row],[Lucrofinal]]/fCaixa[[#This Row],[Venda]],0)</f>
        <v>0.26348140495867767</v>
      </c>
    </row>
    <row r="28" spans="1:23" ht="16.5" hidden="1" x14ac:dyDescent="0.25">
      <c r="A28" s="17">
        <f t="shared" si="0"/>
        <v>27</v>
      </c>
      <c r="B28" s="87">
        <v>42952</v>
      </c>
      <c r="C28" s="12" t="s">
        <v>24</v>
      </c>
      <c r="D28" s="12" t="s">
        <v>25</v>
      </c>
      <c r="E28" s="12" t="s">
        <v>26</v>
      </c>
      <c r="F28" s="12" t="s">
        <v>28</v>
      </c>
      <c r="G28" s="13">
        <v>247</v>
      </c>
      <c r="H28" s="13">
        <v>0.5</v>
      </c>
      <c r="I28" s="13">
        <v>8</v>
      </c>
      <c r="J28" s="14">
        <v>0</v>
      </c>
      <c r="K28" s="12">
        <f>IFERROR(ROUND((fCaixa[[#This Row],[Venda]]/fCaixa[[#This Row],[Preço/Un.]]),0),0)</f>
        <v>494</v>
      </c>
      <c r="L28" s="15">
        <f>IFERROR((SUBSTITUTE(RIGHT(fCaixa[[#This Row],[Descrição]],3),"G","")*1 *fCaixa[[#This Row],[Qtd/Pães]]) / 1000,0)</f>
        <v>17.29</v>
      </c>
      <c r="M28" s="13">
        <f>IFERROR((((SUBSTITUTE(RIGHT(fCaixa[[#This Row],[Descrição]],3),"G","")*1) * fCaixa[[#This Row],[QTD Perdida]])/1000) *fCaixa[[#This Row],[Custo/KG.]],0)</f>
        <v>0</v>
      </c>
      <c r="N28" s="15">
        <f>IF(fCaixa[[#This Row],[Lançamento]]="RECEITA",(fCaixa[[#This Row],[QTD Perdida]]* (SUBSTITUTE(RIGHT(fCaixa[[#This Row],[Descrição]],3),"G","")*1))/1000,0)</f>
        <v>0</v>
      </c>
      <c r="O28" s="15">
        <f>fCaixa[[#This Row],[Qtd/Kg]]+fCaixa[[#This Row],[Qtd/Kg Perdido]]</f>
        <v>17.29</v>
      </c>
      <c r="P28" s="13">
        <f>IF(fCaixa[[#This Row],[Lançamento]]="RECEITA",(fCaixa[[#This Row],[Qtd/Kg]]*fCaixa[[#This Row],[Custo/KG.]]),0)</f>
        <v>138.32</v>
      </c>
      <c r="Q28" s="34">
        <f>fCaixa[[#This Row],[Custoprimario]]+fCaixa[[#This Row],[Total Perdido]]</f>
        <v>138.32</v>
      </c>
      <c r="R28" s="16">
        <f>IFERROR(fCaixa[[#This Row],[Custoprimario]]/fCaixa[[#This Row],[Venda]],0)</f>
        <v>0.55999999999999994</v>
      </c>
      <c r="S28" s="16">
        <f>IFERROR(fCaixa[[#This Row],[Custofinal]]/fCaixa[[#This Row],[Venda]],0)</f>
        <v>0.55999999999999994</v>
      </c>
      <c r="T28" s="13">
        <f>IF(fCaixa[[#This Row],[Lançamento]]="RECEITA",fCaixa[[#This Row],[Venda]]-fCaixa[[#This Row],[Custoprimario]],0)</f>
        <v>108.68</v>
      </c>
      <c r="U28" s="16">
        <f>IFERROR(fCaixa[[#This Row],[Lucroprimario]]/fCaixa[[#This Row],[Venda]],0)</f>
        <v>0.44</v>
      </c>
      <c r="V2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108.68</v>
      </c>
      <c r="W28" s="16">
        <f>IFERROR(fCaixa[[#This Row],[Lucrofinal]]/fCaixa[[#This Row],[Venda]],0)</f>
        <v>0.44</v>
      </c>
    </row>
    <row r="29" spans="1:23" ht="16.5" hidden="1" x14ac:dyDescent="0.25">
      <c r="A29" s="17">
        <f t="shared" si="0"/>
        <v>28</v>
      </c>
      <c r="B29" s="87">
        <v>42952</v>
      </c>
      <c r="C29" s="12" t="s">
        <v>29</v>
      </c>
      <c r="D29" s="12" t="s">
        <v>25</v>
      </c>
      <c r="E29" s="12" t="s">
        <v>30</v>
      </c>
      <c r="F29" s="12" t="s">
        <v>27</v>
      </c>
      <c r="G29" s="13">
        <v>103.2</v>
      </c>
      <c r="H29" s="13">
        <v>0</v>
      </c>
      <c r="I29" s="13">
        <v>0</v>
      </c>
      <c r="J29" s="14">
        <v>0</v>
      </c>
      <c r="K29" s="12">
        <f>IFERROR(ROUND((fCaixa[[#This Row],[Venda]]/fCaixa[[#This Row],[Preço/Un.]]),0),0)</f>
        <v>0</v>
      </c>
      <c r="L29" s="15">
        <f>IFERROR((SUBSTITUTE(RIGHT(fCaixa[[#This Row],[Descrição]],3),"G","")*1 *fCaixa[[#This Row],[Qtd/Pães]]) / 1000,0)</f>
        <v>0</v>
      </c>
      <c r="M29" s="13">
        <f>IFERROR((((SUBSTITUTE(RIGHT(fCaixa[[#This Row],[Descrição]],3),"G","")*1) * fCaixa[[#This Row],[QTD Perdida]])/1000) *fCaixa[[#This Row],[Custo/KG.]],0)</f>
        <v>0</v>
      </c>
      <c r="N29" s="15">
        <f>IF(fCaixa[[#This Row],[Lançamento]]="RECEITA",(fCaixa[[#This Row],[QTD Perdida]]* (SUBSTITUTE(RIGHT(fCaixa[[#This Row],[Descrição]],3),"G","")*1))/1000,0)</f>
        <v>0</v>
      </c>
      <c r="O29" s="15">
        <f>fCaixa[[#This Row],[Qtd/Kg]]+fCaixa[[#This Row],[Qtd/Kg Perdido]]</f>
        <v>0</v>
      </c>
      <c r="P29" s="13">
        <f>IF(fCaixa[[#This Row],[Lançamento]]="RECEITA",(fCaixa[[#This Row],[Qtd/Kg]]*fCaixa[[#This Row],[Custo/KG.]]),0)</f>
        <v>0</v>
      </c>
      <c r="Q29" s="34">
        <f>fCaixa[[#This Row],[Custoprimario]]+fCaixa[[#This Row],[Total Perdido]]</f>
        <v>0</v>
      </c>
      <c r="R29" s="16">
        <f>IFERROR(fCaixa[[#This Row],[Custoprimario]]/fCaixa[[#This Row],[Venda]],0)</f>
        <v>0</v>
      </c>
      <c r="S29" s="16">
        <f>IFERROR(fCaixa[[#This Row],[Custofinal]]/fCaixa[[#This Row],[Venda]],0)</f>
        <v>0</v>
      </c>
      <c r="T29" s="13">
        <f>IF(fCaixa[[#This Row],[Lançamento]]="RECEITA",fCaixa[[#This Row],[Venda]]-fCaixa[[#This Row],[Custoprimario]],0)</f>
        <v>0</v>
      </c>
      <c r="U29" s="16">
        <f>IFERROR(fCaixa[[#This Row],[Lucroprimario]]/fCaixa[[#This Row],[Venda]],0)</f>
        <v>0</v>
      </c>
      <c r="V2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9" s="16">
        <f>IFERROR(fCaixa[[#This Row],[Lucrofinal]]/fCaixa[[#This Row],[Venda]],0)</f>
        <v>0</v>
      </c>
    </row>
    <row r="30" spans="1:23" ht="16.5" hidden="1" x14ac:dyDescent="0.25">
      <c r="A30" s="17">
        <f t="shared" si="0"/>
        <v>29</v>
      </c>
      <c r="B30" s="87">
        <v>42954</v>
      </c>
      <c r="C30" s="12" t="s">
        <v>24</v>
      </c>
      <c r="D30" s="12" t="s">
        <v>25</v>
      </c>
      <c r="E30" s="12" t="s">
        <v>26</v>
      </c>
      <c r="F30" s="12" t="s">
        <v>27</v>
      </c>
      <c r="G30" s="13">
        <v>43.35</v>
      </c>
      <c r="H30" s="13">
        <v>0.75</v>
      </c>
      <c r="I30" s="13">
        <v>10.5</v>
      </c>
      <c r="J30" s="14">
        <v>60</v>
      </c>
      <c r="K30" s="12">
        <f>IFERROR(ROUND((fCaixa[[#This Row],[Venda]]/fCaixa[[#This Row],[Preço/Un.]]),0),0)</f>
        <v>58</v>
      </c>
      <c r="L30" s="15">
        <f>IFERROR((SUBSTITUTE(RIGHT(fCaixa[[#This Row],[Descrição]],3),"G","")*1 *fCaixa[[#This Row],[Qtd/Pães]]) / 1000,0)</f>
        <v>2.0299999999999998</v>
      </c>
      <c r="M30" s="13">
        <f>IFERROR((((SUBSTITUTE(RIGHT(fCaixa[[#This Row],[Descrição]],3),"G","")*1) * fCaixa[[#This Row],[QTD Perdida]])/1000) *fCaixa[[#This Row],[Custo/KG.]],0)</f>
        <v>22.05</v>
      </c>
      <c r="N30" s="15">
        <f>IF(fCaixa[[#This Row],[Lançamento]]="RECEITA",(fCaixa[[#This Row],[QTD Perdida]]* (SUBSTITUTE(RIGHT(fCaixa[[#This Row],[Descrição]],3),"G","")*1))/1000,0)</f>
        <v>2.1</v>
      </c>
      <c r="O30" s="15">
        <f>fCaixa[[#This Row],[Qtd/Kg]]+fCaixa[[#This Row],[Qtd/Kg Perdido]]</f>
        <v>4.13</v>
      </c>
      <c r="P30" s="13">
        <f>IF(fCaixa[[#This Row],[Lançamento]]="RECEITA",(fCaixa[[#This Row],[Qtd/Kg]]*fCaixa[[#This Row],[Custo/KG.]]),0)</f>
        <v>21.314999999999998</v>
      </c>
      <c r="Q30" s="34">
        <f>fCaixa[[#This Row],[Custoprimario]]+fCaixa[[#This Row],[Total Perdido]]</f>
        <v>43.364999999999995</v>
      </c>
      <c r="R30" s="16">
        <f>IFERROR(fCaixa[[#This Row],[Custoprimario]]/fCaixa[[#This Row],[Venda]],0)</f>
        <v>0.49169550173010373</v>
      </c>
      <c r="S30" s="16">
        <f>IFERROR(fCaixa[[#This Row],[Custofinal]]/fCaixa[[#This Row],[Venda]],0)</f>
        <v>1.0003460207612456</v>
      </c>
      <c r="T30" s="13">
        <f>IF(fCaixa[[#This Row],[Lançamento]]="RECEITA",fCaixa[[#This Row],[Venda]]-fCaixa[[#This Row],[Custoprimario]],0)</f>
        <v>22.035000000000004</v>
      </c>
      <c r="U30" s="16">
        <f>IFERROR(fCaixa[[#This Row],[Lucroprimario]]/fCaixa[[#This Row],[Venda]],0)</f>
        <v>0.50830449826989621</v>
      </c>
      <c r="V3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-1.4999999999993463E-2</v>
      </c>
      <c r="W30" s="16">
        <f>IFERROR(fCaixa[[#This Row],[Lucrofinal]]/fCaixa[[#This Row],[Venda]],0)</f>
        <v>-3.4602076124552392E-4</v>
      </c>
    </row>
    <row r="31" spans="1:23" ht="16.5" hidden="1" x14ac:dyDescent="0.25">
      <c r="A31" s="17">
        <f t="shared" si="0"/>
        <v>30</v>
      </c>
      <c r="B31" s="87">
        <v>42954</v>
      </c>
      <c r="C31" s="12" t="s">
        <v>29</v>
      </c>
      <c r="D31" s="12" t="s">
        <v>25</v>
      </c>
      <c r="E31" s="12" t="s">
        <v>30</v>
      </c>
      <c r="F31" s="12" t="s">
        <v>27</v>
      </c>
      <c r="G31" s="13">
        <v>10</v>
      </c>
      <c r="H31" s="13">
        <v>0</v>
      </c>
      <c r="I31" s="13">
        <v>0</v>
      </c>
      <c r="J31" s="14">
        <v>0</v>
      </c>
      <c r="K31" s="12">
        <f>IFERROR(ROUND((fCaixa[[#This Row],[Venda]]/fCaixa[[#This Row],[Preço/Un.]]),0),0)</f>
        <v>0</v>
      </c>
      <c r="L31" s="15">
        <f>IFERROR((SUBSTITUTE(RIGHT(fCaixa[[#This Row],[Descrição]],3),"G","")*1 *fCaixa[[#This Row],[Qtd/Pães]]) / 1000,0)</f>
        <v>0</v>
      </c>
      <c r="M31" s="13">
        <f>IFERROR((((SUBSTITUTE(RIGHT(fCaixa[[#This Row],[Descrição]],3),"G","")*1) * fCaixa[[#This Row],[QTD Perdida]])/1000) *fCaixa[[#This Row],[Custo/KG.]],0)</f>
        <v>0</v>
      </c>
      <c r="N31" s="15">
        <f>IF(fCaixa[[#This Row],[Lançamento]]="RECEITA",(fCaixa[[#This Row],[QTD Perdida]]* (SUBSTITUTE(RIGHT(fCaixa[[#This Row],[Descrição]],3),"G","")*1))/1000,0)</f>
        <v>0</v>
      </c>
      <c r="O31" s="15">
        <f>fCaixa[[#This Row],[Qtd/Kg]]+fCaixa[[#This Row],[Qtd/Kg Perdido]]</f>
        <v>0</v>
      </c>
      <c r="P31" s="13">
        <f>IF(fCaixa[[#This Row],[Lançamento]]="RECEITA",(fCaixa[[#This Row],[Qtd/Kg]]*fCaixa[[#This Row],[Custo/KG.]]),0)</f>
        <v>0</v>
      </c>
      <c r="Q31" s="34">
        <f>fCaixa[[#This Row],[Custoprimario]]+fCaixa[[#This Row],[Total Perdido]]</f>
        <v>0</v>
      </c>
      <c r="R31" s="16">
        <f>IFERROR(fCaixa[[#This Row],[Custoprimario]]/fCaixa[[#This Row],[Venda]],0)</f>
        <v>0</v>
      </c>
      <c r="S31" s="16">
        <f>IFERROR(fCaixa[[#This Row],[Custofinal]]/fCaixa[[#This Row],[Venda]],0)</f>
        <v>0</v>
      </c>
      <c r="T31" s="13">
        <f>IF(fCaixa[[#This Row],[Lançamento]]="RECEITA",fCaixa[[#This Row],[Venda]]-fCaixa[[#This Row],[Custoprimario]],0)</f>
        <v>0</v>
      </c>
      <c r="U31" s="16">
        <f>IFERROR(fCaixa[[#This Row],[Lucroprimario]]/fCaixa[[#This Row],[Venda]],0)</f>
        <v>0</v>
      </c>
      <c r="V3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1" s="16">
        <f>IFERROR(fCaixa[[#This Row],[Lucrofinal]]/fCaixa[[#This Row],[Venda]],0)</f>
        <v>0</v>
      </c>
    </row>
    <row r="32" spans="1:23" ht="16.5" hidden="1" x14ac:dyDescent="0.25">
      <c r="A32" s="17">
        <f t="shared" si="0"/>
        <v>31</v>
      </c>
      <c r="B32" s="87">
        <v>42955</v>
      </c>
      <c r="C32" s="12" t="s">
        <v>24</v>
      </c>
      <c r="D32" s="12" t="s">
        <v>25</v>
      </c>
      <c r="E32" s="12" t="s">
        <v>26</v>
      </c>
      <c r="F32" s="12" t="s">
        <v>27</v>
      </c>
      <c r="G32" s="13">
        <v>75.25</v>
      </c>
      <c r="H32" s="13">
        <v>0.75</v>
      </c>
      <c r="I32" s="13">
        <v>10.5</v>
      </c>
      <c r="J32" s="14">
        <v>0</v>
      </c>
      <c r="K32" s="12">
        <f>IFERROR(ROUND((fCaixa[[#This Row],[Venda]]/fCaixa[[#This Row],[Preço/Un.]]),0),0)</f>
        <v>100</v>
      </c>
      <c r="L32" s="15">
        <f>IFERROR((SUBSTITUTE(RIGHT(fCaixa[[#This Row],[Descrição]],3),"G","")*1 *fCaixa[[#This Row],[Qtd/Pães]]) / 1000,0)</f>
        <v>3.5</v>
      </c>
      <c r="M32" s="13">
        <f>IFERROR((((SUBSTITUTE(RIGHT(fCaixa[[#This Row],[Descrição]],3),"G","")*1) * fCaixa[[#This Row],[QTD Perdida]])/1000) *fCaixa[[#This Row],[Custo/KG.]],0)</f>
        <v>0</v>
      </c>
      <c r="N32" s="15">
        <f>IF(fCaixa[[#This Row],[Lançamento]]="RECEITA",(fCaixa[[#This Row],[QTD Perdida]]* (SUBSTITUTE(RIGHT(fCaixa[[#This Row],[Descrição]],3),"G","")*1))/1000,0)</f>
        <v>0</v>
      </c>
      <c r="O32" s="15">
        <f>fCaixa[[#This Row],[Qtd/Kg]]+fCaixa[[#This Row],[Qtd/Kg Perdido]]</f>
        <v>3.5</v>
      </c>
      <c r="P32" s="13">
        <f>IF(fCaixa[[#This Row],[Lançamento]]="RECEITA",(fCaixa[[#This Row],[Qtd/Kg]]*fCaixa[[#This Row],[Custo/KG.]]),0)</f>
        <v>36.75</v>
      </c>
      <c r="Q32" s="34">
        <f>fCaixa[[#This Row],[Custoprimario]]+fCaixa[[#This Row],[Total Perdido]]</f>
        <v>36.75</v>
      </c>
      <c r="R32" s="16">
        <f>IFERROR(fCaixa[[#This Row],[Custoprimario]]/fCaixa[[#This Row],[Venda]],0)</f>
        <v>0.48837209302325579</v>
      </c>
      <c r="S32" s="16">
        <f>IFERROR(fCaixa[[#This Row],[Custofinal]]/fCaixa[[#This Row],[Venda]],0)</f>
        <v>0.48837209302325579</v>
      </c>
      <c r="T32" s="13">
        <f>IF(fCaixa[[#This Row],[Lançamento]]="RECEITA",fCaixa[[#This Row],[Venda]]-fCaixa[[#This Row],[Custoprimario]],0)</f>
        <v>38.5</v>
      </c>
      <c r="U32" s="16">
        <f>IFERROR(fCaixa[[#This Row],[Lucroprimario]]/fCaixa[[#This Row],[Venda]],0)</f>
        <v>0.51162790697674421</v>
      </c>
      <c r="V3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38.5</v>
      </c>
      <c r="W32" s="16">
        <f>IFERROR(fCaixa[[#This Row],[Lucrofinal]]/fCaixa[[#This Row],[Venda]],0)</f>
        <v>0.51162790697674421</v>
      </c>
    </row>
    <row r="33" spans="1:23" ht="16.5" hidden="1" x14ac:dyDescent="0.25">
      <c r="A33" s="17">
        <f t="shared" si="0"/>
        <v>32</v>
      </c>
      <c r="B33" s="87">
        <v>42956</v>
      </c>
      <c r="C33" s="12" t="s">
        <v>24</v>
      </c>
      <c r="D33" s="12" t="s">
        <v>25</v>
      </c>
      <c r="E33" s="12" t="s">
        <v>26</v>
      </c>
      <c r="F33" s="12" t="s">
        <v>27</v>
      </c>
      <c r="G33" s="13">
        <v>88.6</v>
      </c>
      <c r="H33" s="13">
        <v>0.75</v>
      </c>
      <c r="I33" s="13">
        <v>10.5</v>
      </c>
      <c r="J33" s="14">
        <v>25</v>
      </c>
      <c r="K33" s="12">
        <f>IFERROR(ROUND((fCaixa[[#This Row],[Venda]]/fCaixa[[#This Row],[Preço/Un.]]),0),0)</f>
        <v>118</v>
      </c>
      <c r="L33" s="15">
        <f>IFERROR((SUBSTITUTE(RIGHT(fCaixa[[#This Row],[Descrição]],3),"G","")*1 *fCaixa[[#This Row],[Qtd/Pães]]) / 1000,0)</f>
        <v>4.13</v>
      </c>
      <c r="M33" s="13">
        <f>IFERROR((((SUBSTITUTE(RIGHT(fCaixa[[#This Row],[Descrição]],3),"G","")*1) * fCaixa[[#This Row],[QTD Perdida]])/1000) *fCaixa[[#This Row],[Custo/KG.]],0)</f>
        <v>9.1875</v>
      </c>
      <c r="N33" s="15">
        <f>IF(fCaixa[[#This Row],[Lançamento]]="RECEITA",(fCaixa[[#This Row],[QTD Perdida]]* (SUBSTITUTE(RIGHT(fCaixa[[#This Row],[Descrição]],3),"G","")*1))/1000,0)</f>
        <v>0.875</v>
      </c>
      <c r="O33" s="15">
        <f>fCaixa[[#This Row],[Qtd/Kg]]+fCaixa[[#This Row],[Qtd/Kg Perdido]]</f>
        <v>5.0049999999999999</v>
      </c>
      <c r="P33" s="13">
        <f>IF(fCaixa[[#This Row],[Lançamento]]="RECEITA",(fCaixa[[#This Row],[Qtd/Kg]]*fCaixa[[#This Row],[Custo/KG.]]),0)</f>
        <v>43.365000000000002</v>
      </c>
      <c r="Q33" s="34">
        <f>fCaixa[[#This Row],[Custoprimario]]+fCaixa[[#This Row],[Total Perdido]]</f>
        <v>52.552500000000002</v>
      </c>
      <c r="R33" s="16">
        <f>IFERROR(fCaixa[[#This Row],[Custoprimario]]/fCaixa[[#This Row],[Venda]],0)</f>
        <v>0.48944695259593685</v>
      </c>
      <c r="S33" s="16">
        <f>IFERROR(fCaixa[[#This Row],[Custofinal]]/fCaixa[[#This Row],[Venda]],0)</f>
        <v>0.59314334085778786</v>
      </c>
      <c r="T33" s="13">
        <f>IF(fCaixa[[#This Row],[Lançamento]]="RECEITA",fCaixa[[#This Row],[Venda]]-fCaixa[[#This Row],[Custoprimario]],0)</f>
        <v>45.234999999999992</v>
      </c>
      <c r="U33" s="16">
        <f>IFERROR(fCaixa[[#This Row],[Lucroprimario]]/fCaixa[[#This Row],[Venda]],0)</f>
        <v>0.51055304740406315</v>
      </c>
      <c r="V3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36.047499999999992</v>
      </c>
      <c r="W33" s="16">
        <f>IFERROR(fCaixa[[#This Row],[Lucrofinal]]/fCaixa[[#This Row],[Venda]],0)</f>
        <v>0.40685665914221214</v>
      </c>
    </row>
    <row r="34" spans="1:23" ht="16.5" hidden="1" x14ac:dyDescent="0.25">
      <c r="A34" s="17">
        <f t="shared" si="0"/>
        <v>33</v>
      </c>
      <c r="B34" s="87">
        <v>42957</v>
      </c>
      <c r="C34" s="12" t="s">
        <v>24</v>
      </c>
      <c r="D34" s="12" t="s">
        <v>25</v>
      </c>
      <c r="E34" s="12" t="s">
        <v>26</v>
      </c>
      <c r="F34" s="12" t="s">
        <v>27</v>
      </c>
      <c r="G34" s="13">
        <v>111.05</v>
      </c>
      <c r="H34" s="13">
        <v>0.75</v>
      </c>
      <c r="I34" s="13">
        <v>10.5</v>
      </c>
      <c r="J34" s="14">
        <v>23</v>
      </c>
      <c r="K34" s="12">
        <f>IFERROR(ROUND((fCaixa[[#This Row],[Venda]]/fCaixa[[#This Row],[Preço/Un.]]),0),0)</f>
        <v>148</v>
      </c>
      <c r="L34" s="15">
        <f>IFERROR((SUBSTITUTE(RIGHT(fCaixa[[#This Row],[Descrição]],3),"G","")*1 *fCaixa[[#This Row],[Qtd/Pães]]) / 1000,0)</f>
        <v>5.18</v>
      </c>
      <c r="M34" s="13">
        <f>IFERROR((((SUBSTITUTE(RIGHT(fCaixa[[#This Row],[Descrição]],3),"G","")*1) * fCaixa[[#This Row],[QTD Perdida]])/1000) *fCaixa[[#This Row],[Custo/KG.]],0)</f>
        <v>8.4525000000000006</v>
      </c>
      <c r="N34" s="15">
        <f>IF(fCaixa[[#This Row],[Lançamento]]="RECEITA",(fCaixa[[#This Row],[QTD Perdida]]* (SUBSTITUTE(RIGHT(fCaixa[[#This Row],[Descrição]],3),"G","")*1))/1000,0)</f>
        <v>0.80500000000000005</v>
      </c>
      <c r="O34" s="15">
        <f>fCaixa[[#This Row],[Qtd/Kg]]+fCaixa[[#This Row],[Qtd/Kg Perdido]]</f>
        <v>5.9849999999999994</v>
      </c>
      <c r="P34" s="13">
        <f>IF(fCaixa[[#This Row],[Lançamento]]="RECEITA",(fCaixa[[#This Row],[Qtd/Kg]]*fCaixa[[#This Row],[Custo/KG.]]),0)</f>
        <v>54.39</v>
      </c>
      <c r="Q34" s="34">
        <f>fCaixa[[#This Row],[Custoprimario]]+fCaixa[[#This Row],[Total Perdido]]</f>
        <v>62.842500000000001</v>
      </c>
      <c r="R34" s="16">
        <f>IFERROR(fCaixa[[#This Row],[Custoprimario]]/fCaixa[[#This Row],[Venda]],0)</f>
        <v>0.48977937865826204</v>
      </c>
      <c r="S34" s="16">
        <f>IFERROR(fCaixa[[#This Row],[Custofinal]]/fCaixa[[#This Row],[Venda]],0)</f>
        <v>0.56589374155785688</v>
      </c>
      <c r="T34" s="13">
        <f>IF(fCaixa[[#This Row],[Lançamento]]="RECEITA",fCaixa[[#This Row],[Venda]]-fCaixa[[#This Row],[Custoprimario]],0)</f>
        <v>56.66</v>
      </c>
      <c r="U34" s="16">
        <f>IFERROR(fCaixa[[#This Row],[Lucroprimario]]/fCaixa[[#This Row],[Venda]],0)</f>
        <v>0.51022062134173796</v>
      </c>
      <c r="V3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48.207499999999996</v>
      </c>
      <c r="W34" s="16">
        <f>IFERROR(fCaixa[[#This Row],[Lucrofinal]]/fCaixa[[#This Row],[Venda]],0)</f>
        <v>0.43410625844214318</v>
      </c>
    </row>
    <row r="35" spans="1:23" ht="16.5" hidden="1" x14ac:dyDescent="0.25">
      <c r="A35" s="17">
        <f t="shared" si="0"/>
        <v>34</v>
      </c>
      <c r="B35" s="87">
        <v>42957</v>
      </c>
      <c r="C35" s="12" t="s">
        <v>29</v>
      </c>
      <c r="D35" s="12" t="s">
        <v>25</v>
      </c>
      <c r="E35" s="12" t="s">
        <v>32</v>
      </c>
      <c r="F35" s="12" t="s">
        <v>27</v>
      </c>
      <c r="G35" s="13">
        <v>100</v>
      </c>
      <c r="H35" s="13">
        <v>0</v>
      </c>
      <c r="I35" s="13">
        <v>0</v>
      </c>
      <c r="J35" s="14">
        <v>0</v>
      </c>
      <c r="K35" s="12">
        <f>IFERROR(ROUND((fCaixa[[#This Row],[Venda]]/fCaixa[[#This Row],[Preço/Un.]]),0),0)</f>
        <v>0</v>
      </c>
      <c r="L35" s="15">
        <f>IFERROR((SUBSTITUTE(RIGHT(fCaixa[[#This Row],[Descrição]],3),"G","")*1 *fCaixa[[#This Row],[Qtd/Pães]]) / 1000,0)</f>
        <v>0</v>
      </c>
      <c r="M35" s="13">
        <f>IFERROR((((SUBSTITUTE(RIGHT(fCaixa[[#This Row],[Descrição]],3),"G","")*1) * fCaixa[[#This Row],[QTD Perdida]])/1000) *fCaixa[[#This Row],[Custo/KG.]],0)</f>
        <v>0</v>
      </c>
      <c r="N35" s="15">
        <f>IF(fCaixa[[#This Row],[Lançamento]]="RECEITA",(fCaixa[[#This Row],[QTD Perdida]]* (SUBSTITUTE(RIGHT(fCaixa[[#This Row],[Descrição]],3),"G","")*1))/1000,0)</f>
        <v>0</v>
      </c>
      <c r="O35" s="15">
        <f>fCaixa[[#This Row],[Qtd/Kg]]+fCaixa[[#This Row],[Qtd/Kg Perdido]]</f>
        <v>0</v>
      </c>
      <c r="P35" s="13">
        <f>IF(fCaixa[[#This Row],[Lançamento]]="RECEITA",(fCaixa[[#This Row],[Qtd/Kg]]*fCaixa[[#This Row],[Custo/KG.]]),0)</f>
        <v>0</v>
      </c>
      <c r="Q35" s="34">
        <f>fCaixa[[#This Row],[Custoprimario]]+fCaixa[[#This Row],[Total Perdido]]</f>
        <v>0</v>
      </c>
      <c r="R35" s="16">
        <f>IFERROR(fCaixa[[#This Row],[Custoprimario]]/fCaixa[[#This Row],[Venda]],0)</f>
        <v>0</v>
      </c>
      <c r="S35" s="16">
        <f>IFERROR(fCaixa[[#This Row],[Custofinal]]/fCaixa[[#This Row],[Venda]],0)</f>
        <v>0</v>
      </c>
      <c r="T35" s="13">
        <f>IF(fCaixa[[#This Row],[Lançamento]]="RECEITA",fCaixa[[#This Row],[Venda]]-fCaixa[[#This Row],[Custoprimario]],0)</f>
        <v>0</v>
      </c>
      <c r="U35" s="16">
        <f>IFERROR(fCaixa[[#This Row],[Lucroprimario]]/fCaixa[[#This Row],[Venda]],0)</f>
        <v>0</v>
      </c>
      <c r="V3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5" s="16">
        <f>IFERROR(fCaixa[[#This Row],[Lucrofinal]]/fCaixa[[#This Row],[Venda]],0)</f>
        <v>0</v>
      </c>
    </row>
    <row r="36" spans="1:23" ht="16.5" hidden="1" x14ac:dyDescent="0.25">
      <c r="A36" s="17">
        <f t="shared" si="0"/>
        <v>35</v>
      </c>
      <c r="B36" s="87">
        <v>42958</v>
      </c>
      <c r="C36" s="12" t="s">
        <v>24</v>
      </c>
      <c r="D36" s="12" t="s">
        <v>25</v>
      </c>
      <c r="E36" s="12" t="s">
        <v>26</v>
      </c>
      <c r="F36" s="12" t="s">
        <v>27</v>
      </c>
      <c r="G36" s="13">
        <v>124.25</v>
      </c>
      <c r="H36" s="13">
        <v>0.75</v>
      </c>
      <c r="I36" s="13">
        <v>10.5</v>
      </c>
      <c r="J36" s="14">
        <v>8</v>
      </c>
      <c r="K36" s="12">
        <f>IFERROR(ROUND((fCaixa[[#This Row],[Venda]]/fCaixa[[#This Row],[Preço/Un.]]),0),0)</f>
        <v>166</v>
      </c>
      <c r="L36" s="15">
        <f>IFERROR((SUBSTITUTE(RIGHT(fCaixa[[#This Row],[Descrição]],3),"G","")*1 *fCaixa[[#This Row],[Qtd/Pães]]) / 1000,0)</f>
        <v>5.81</v>
      </c>
      <c r="M36" s="13">
        <f>IFERROR((((SUBSTITUTE(RIGHT(fCaixa[[#This Row],[Descrição]],3),"G","")*1) * fCaixa[[#This Row],[QTD Perdida]])/1000) *fCaixa[[#This Row],[Custo/KG.]],0)</f>
        <v>2.9400000000000004</v>
      </c>
      <c r="N36" s="15">
        <f>IF(fCaixa[[#This Row],[Lançamento]]="RECEITA",(fCaixa[[#This Row],[QTD Perdida]]* (SUBSTITUTE(RIGHT(fCaixa[[#This Row],[Descrição]],3),"G","")*1))/1000,0)</f>
        <v>0.28000000000000003</v>
      </c>
      <c r="O36" s="15">
        <f>fCaixa[[#This Row],[Qtd/Kg]]+fCaixa[[#This Row],[Qtd/Kg Perdido]]</f>
        <v>6.09</v>
      </c>
      <c r="P36" s="13">
        <f>IF(fCaixa[[#This Row],[Lançamento]]="RECEITA",(fCaixa[[#This Row],[Qtd/Kg]]*fCaixa[[#This Row],[Custo/KG.]]),0)</f>
        <v>61.004999999999995</v>
      </c>
      <c r="Q36" s="34">
        <f>fCaixa[[#This Row],[Custoprimario]]+fCaixa[[#This Row],[Total Perdido]]</f>
        <v>63.944999999999993</v>
      </c>
      <c r="R36" s="16">
        <f>IFERROR(fCaixa[[#This Row],[Custoprimario]]/fCaixa[[#This Row],[Venda]],0)</f>
        <v>0.49098591549295773</v>
      </c>
      <c r="S36" s="16">
        <f>IFERROR(fCaixa[[#This Row],[Custofinal]]/fCaixa[[#This Row],[Venda]],0)</f>
        <v>0.51464788732394362</v>
      </c>
      <c r="T36" s="13">
        <f>IF(fCaixa[[#This Row],[Lançamento]]="RECEITA",fCaixa[[#This Row],[Venda]]-fCaixa[[#This Row],[Custoprimario]],0)</f>
        <v>63.245000000000005</v>
      </c>
      <c r="U36" s="16">
        <f>IFERROR(fCaixa[[#This Row],[Lucroprimario]]/fCaixa[[#This Row],[Venda]],0)</f>
        <v>0.50901408450704233</v>
      </c>
      <c r="V3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60.305000000000007</v>
      </c>
      <c r="W36" s="16">
        <f>IFERROR(fCaixa[[#This Row],[Lucrofinal]]/fCaixa[[#This Row],[Venda]],0)</f>
        <v>0.48535211267605638</v>
      </c>
    </row>
    <row r="37" spans="1:23" ht="16.5" hidden="1" x14ac:dyDescent="0.25">
      <c r="A37" s="17">
        <f t="shared" si="0"/>
        <v>36</v>
      </c>
      <c r="B37" s="87">
        <v>42959</v>
      </c>
      <c r="C37" s="12" t="s">
        <v>24</v>
      </c>
      <c r="D37" s="12" t="s">
        <v>25</v>
      </c>
      <c r="E37" s="12" t="s">
        <v>26</v>
      </c>
      <c r="F37" s="12" t="s">
        <v>28</v>
      </c>
      <c r="G37" s="13">
        <v>143</v>
      </c>
      <c r="H37" s="13">
        <v>0.5</v>
      </c>
      <c r="I37" s="13">
        <v>8</v>
      </c>
      <c r="J37" s="14">
        <v>0</v>
      </c>
      <c r="K37" s="12">
        <f>IFERROR(ROUND((fCaixa[[#This Row],[Venda]]/fCaixa[[#This Row],[Preço/Un.]]),0),0)</f>
        <v>286</v>
      </c>
      <c r="L37" s="15">
        <f>IFERROR((SUBSTITUTE(RIGHT(fCaixa[[#This Row],[Descrição]],3),"G","")*1 *fCaixa[[#This Row],[Qtd/Pães]]) / 1000,0)</f>
        <v>10.01</v>
      </c>
      <c r="M37" s="13">
        <f>IFERROR((((SUBSTITUTE(RIGHT(fCaixa[[#This Row],[Descrição]],3),"G","")*1) * fCaixa[[#This Row],[QTD Perdida]])/1000) *fCaixa[[#This Row],[Custo/KG.]],0)</f>
        <v>0</v>
      </c>
      <c r="N37" s="15">
        <f>IF(fCaixa[[#This Row],[Lançamento]]="RECEITA",(fCaixa[[#This Row],[QTD Perdida]]* (SUBSTITUTE(RIGHT(fCaixa[[#This Row],[Descrição]],3),"G","")*1))/1000,0)</f>
        <v>0</v>
      </c>
      <c r="O37" s="15">
        <f>fCaixa[[#This Row],[Qtd/Kg]]+fCaixa[[#This Row],[Qtd/Kg Perdido]]</f>
        <v>10.01</v>
      </c>
      <c r="P37" s="13">
        <f>IF(fCaixa[[#This Row],[Lançamento]]="RECEITA",(fCaixa[[#This Row],[Qtd/Kg]]*fCaixa[[#This Row],[Custo/KG.]]),0)</f>
        <v>80.08</v>
      </c>
      <c r="Q37" s="34">
        <f>fCaixa[[#This Row],[Custoprimario]]+fCaixa[[#This Row],[Total Perdido]]</f>
        <v>80.08</v>
      </c>
      <c r="R37" s="16">
        <f>IFERROR(fCaixa[[#This Row],[Custoprimario]]/fCaixa[[#This Row],[Venda]],0)</f>
        <v>0.55999999999999994</v>
      </c>
      <c r="S37" s="16">
        <f>IFERROR(fCaixa[[#This Row],[Custofinal]]/fCaixa[[#This Row],[Venda]],0)</f>
        <v>0.55999999999999994</v>
      </c>
      <c r="T37" s="13">
        <f>IF(fCaixa[[#This Row],[Lançamento]]="RECEITA",fCaixa[[#This Row],[Venda]]-fCaixa[[#This Row],[Custoprimario]],0)</f>
        <v>62.92</v>
      </c>
      <c r="U37" s="16">
        <f>IFERROR(fCaixa[[#This Row],[Lucroprimario]]/fCaixa[[#This Row],[Venda]],0)</f>
        <v>0.44</v>
      </c>
      <c r="V3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62.92</v>
      </c>
      <c r="W37" s="16">
        <f>IFERROR(fCaixa[[#This Row],[Lucrofinal]]/fCaixa[[#This Row],[Venda]],0)</f>
        <v>0.44</v>
      </c>
    </row>
    <row r="38" spans="1:23" ht="16.5" hidden="1" x14ac:dyDescent="0.25">
      <c r="A38" s="17">
        <f t="shared" si="0"/>
        <v>37</v>
      </c>
      <c r="B38" s="87">
        <v>42961</v>
      </c>
      <c r="C38" s="12" t="s">
        <v>24</v>
      </c>
      <c r="D38" s="12" t="s">
        <v>25</v>
      </c>
      <c r="E38" s="12" t="s">
        <v>26</v>
      </c>
      <c r="F38" s="12" t="s">
        <v>27</v>
      </c>
      <c r="G38" s="13">
        <v>67.95</v>
      </c>
      <c r="H38" s="13">
        <v>0.75</v>
      </c>
      <c r="I38" s="13">
        <v>10.5</v>
      </c>
      <c r="J38" s="14">
        <v>6</v>
      </c>
      <c r="K38" s="12">
        <f>IFERROR(ROUND((fCaixa[[#This Row],[Venda]]/fCaixa[[#This Row],[Preço/Un.]]),0),0)</f>
        <v>91</v>
      </c>
      <c r="L38" s="15">
        <f>IFERROR((SUBSTITUTE(RIGHT(fCaixa[[#This Row],[Descrição]],3),"G","")*1 *fCaixa[[#This Row],[Qtd/Pães]]) / 1000,0)</f>
        <v>3.1850000000000001</v>
      </c>
      <c r="M38" s="13">
        <f>IFERROR((((SUBSTITUTE(RIGHT(fCaixa[[#This Row],[Descrição]],3),"G","")*1) * fCaixa[[#This Row],[QTD Perdida]])/1000) *fCaixa[[#This Row],[Custo/KG.]],0)</f>
        <v>2.2050000000000001</v>
      </c>
      <c r="N38" s="15">
        <f>IF(fCaixa[[#This Row],[Lançamento]]="RECEITA",(fCaixa[[#This Row],[QTD Perdida]]* (SUBSTITUTE(RIGHT(fCaixa[[#This Row],[Descrição]],3),"G","")*1))/1000,0)</f>
        <v>0.21</v>
      </c>
      <c r="O38" s="15">
        <f>fCaixa[[#This Row],[Qtd/Kg]]+fCaixa[[#This Row],[Qtd/Kg Perdido]]</f>
        <v>3.395</v>
      </c>
      <c r="P38" s="13">
        <f>IF(fCaixa[[#This Row],[Lançamento]]="RECEITA",(fCaixa[[#This Row],[Qtd/Kg]]*fCaixa[[#This Row],[Custo/KG.]]),0)</f>
        <v>33.442500000000003</v>
      </c>
      <c r="Q38" s="34">
        <f>fCaixa[[#This Row],[Custoprimario]]+fCaixa[[#This Row],[Total Perdido]]</f>
        <v>35.647500000000001</v>
      </c>
      <c r="R38" s="16">
        <f>IFERROR(fCaixa[[#This Row],[Custoprimario]]/fCaixa[[#This Row],[Venda]],0)</f>
        <v>0.49216335540838851</v>
      </c>
      <c r="S38" s="16">
        <f>IFERROR(fCaixa[[#This Row],[Custofinal]]/fCaixa[[#This Row],[Venda]],0)</f>
        <v>0.52461368653421636</v>
      </c>
      <c r="T38" s="13">
        <f>IF(fCaixa[[#This Row],[Lançamento]]="RECEITA",fCaixa[[#This Row],[Venda]]-fCaixa[[#This Row],[Custoprimario]],0)</f>
        <v>34.5075</v>
      </c>
      <c r="U38" s="16">
        <f>IFERROR(fCaixa[[#This Row],[Lucroprimario]]/fCaixa[[#This Row],[Venda]],0)</f>
        <v>0.50783664459161149</v>
      </c>
      <c r="V3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32.302500000000002</v>
      </c>
      <c r="W38" s="16">
        <f>IFERROR(fCaixa[[#This Row],[Lucrofinal]]/fCaixa[[#This Row],[Venda]],0)</f>
        <v>0.47538631346578369</v>
      </c>
    </row>
    <row r="39" spans="1:23" ht="16.5" hidden="1" x14ac:dyDescent="0.25">
      <c r="A39" s="17">
        <f t="shared" si="0"/>
        <v>38</v>
      </c>
      <c r="B39" s="87">
        <v>42962</v>
      </c>
      <c r="C39" s="12" t="s">
        <v>24</v>
      </c>
      <c r="D39" s="12" t="s">
        <v>25</v>
      </c>
      <c r="E39" s="12" t="s">
        <v>26</v>
      </c>
      <c r="F39" s="12" t="s">
        <v>27</v>
      </c>
      <c r="G39" s="13">
        <v>153.6</v>
      </c>
      <c r="H39" s="13">
        <v>0.75</v>
      </c>
      <c r="I39" s="13">
        <v>10.5</v>
      </c>
      <c r="J39" s="14">
        <v>18</v>
      </c>
      <c r="K39" s="12">
        <f>IFERROR(ROUND((fCaixa[[#This Row],[Venda]]/fCaixa[[#This Row],[Preço/Un.]]),0),0)</f>
        <v>205</v>
      </c>
      <c r="L39" s="15">
        <f>IFERROR((SUBSTITUTE(RIGHT(fCaixa[[#This Row],[Descrição]],3),"G","")*1 *fCaixa[[#This Row],[Qtd/Pães]]) / 1000,0)</f>
        <v>7.1749999999999998</v>
      </c>
      <c r="M39" s="13">
        <f>IFERROR((((SUBSTITUTE(RIGHT(fCaixa[[#This Row],[Descrição]],3),"G","")*1) * fCaixa[[#This Row],[QTD Perdida]])/1000) *fCaixa[[#This Row],[Custo/KG.]],0)</f>
        <v>6.6150000000000002</v>
      </c>
      <c r="N39" s="15">
        <f>IF(fCaixa[[#This Row],[Lançamento]]="RECEITA",(fCaixa[[#This Row],[QTD Perdida]]* (SUBSTITUTE(RIGHT(fCaixa[[#This Row],[Descrição]],3),"G","")*1))/1000,0)</f>
        <v>0.63</v>
      </c>
      <c r="O39" s="15">
        <f>fCaixa[[#This Row],[Qtd/Kg]]+fCaixa[[#This Row],[Qtd/Kg Perdido]]</f>
        <v>7.8049999999999997</v>
      </c>
      <c r="P39" s="13">
        <f>IF(fCaixa[[#This Row],[Lançamento]]="RECEITA",(fCaixa[[#This Row],[Qtd/Kg]]*fCaixa[[#This Row],[Custo/KG.]]),0)</f>
        <v>75.337499999999991</v>
      </c>
      <c r="Q39" s="34">
        <f>fCaixa[[#This Row],[Custoprimario]]+fCaixa[[#This Row],[Total Perdido]]</f>
        <v>81.952499999999986</v>
      </c>
      <c r="R39" s="16">
        <f>IFERROR(fCaixa[[#This Row],[Custoprimario]]/fCaixa[[#This Row],[Venda]],0)</f>
        <v>0.49047851562499994</v>
      </c>
      <c r="S39" s="16">
        <f>IFERROR(fCaixa[[#This Row],[Custofinal]]/fCaixa[[#This Row],[Venda]],0)</f>
        <v>0.53354492187499991</v>
      </c>
      <c r="T39" s="13">
        <f>IF(fCaixa[[#This Row],[Lançamento]]="RECEITA",fCaixa[[#This Row],[Venda]]-fCaixa[[#This Row],[Custoprimario]],0)</f>
        <v>78.262500000000003</v>
      </c>
      <c r="U39" s="16">
        <f>IFERROR(fCaixa[[#This Row],[Lucroprimario]]/fCaixa[[#This Row],[Venda]],0)</f>
        <v>0.509521484375</v>
      </c>
      <c r="V3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71.647500000000008</v>
      </c>
      <c r="W39" s="16">
        <f>IFERROR(fCaixa[[#This Row],[Lucrofinal]]/fCaixa[[#This Row],[Venda]],0)</f>
        <v>0.46645507812500009</v>
      </c>
    </row>
    <row r="40" spans="1:23" ht="16.5" hidden="1" x14ac:dyDescent="0.25">
      <c r="A40" s="17">
        <f t="shared" si="0"/>
        <v>39</v>
      </c>
      <c r="B40" s="87">
        <v>42962</v>
      </c>
      <c r="C40" s="12" t="s">
        <v>29</v>
      </c>
      <c r="D40" s="12" t="s">
        <v>25</v>
      </c>
      <c r="E40" s="12" t="s">
        <v>33</v>
      </c>
      <c r="F40" s="12" t="s">
        <v>27</v>
      </c>
      <c r="G40" s="13">
        <v>5.5</v>
      </c>
      <c r="H40" s="13">
        <v>0</v>
      </c>
      <c r="I40" s="13">
        <v>0</v>
      </c>
      <c r="J40" s="14">
        <v>0</v>
      </c>
      <c r="K40" s="12">
        <f>IFERROR(ROUND((fCaixa[[#This Row],[Venda]]/fCaixa[[#This Row],[Preço/Un.]]),0),0)</f>
        <v>0</v>
      </c>
      <c r="L40" s="15">
        <f>IFERROR((SUBSTITUTE(RIGHT(fCaixa[[#This Row],[Descrição]],3),"G","")*1 *fCaixa[[#This Row],[Qtd/Pães]]) / 1000,0)</f>
        <v>0</v>
      </c>
      <c r="M40" s="13">
        <f>IFERROR((((SUBSTITUTE(RIGHT(fCaixa[[#This Row],[Descrição]],3),"G","")*1) * fCaixa[[#This Row],[QTD Perdida]])/1000) *fCaixa[[#This Row],[Custo/KG.]],0)</f>
        <v>0</v>
      </c>
      <c r="N40" s="15">
        <f>IF(fCaixa[[#This Row],[Lançamento]]="RECEITA",(fCaixa[[#This Row],[QTD Perdida]]* (SUBSTITUTE(RIGHT(fCaixa[[#This Row],[Descrição]],3),"G","")*1))/1000,0)</f>
        <v>0</v>
      </c>
      <c r="O40" s="15">
        <f>fCaixa[[#This Row],[Qtd/Kg]]+fCaixa[[#This Row],[Qtd/Kg Perdido]]</f>
        <v>0</v>
      </c>
      <c r="P40" s="13">
        <f>IF(fCaixa[[#This Row],[Lançamento]]="RECEITA",(fCaixa[[#This Row],[Qtd/Kg]]*fCaixa[[#This Row],[Custo/KG.]]),0)</f>
        <v>0</v>
      </c>
      <c r="Q40" s="34">
        <f>fCaixa[[#This Row],[Custoprimario]]+fCaixa[[#This Row],[Total Perdido]]</f>
        <v>0</v>
      </c>
      <c r="R40" s="16">
        <f>IFERROR(fCaixa[[#This Row],[Custoprimario]]/fCaixa[[#This Row],[Venda]],0)</f>
        <v>0</v>
      </c>
      <c r="S40" s="16">
        <f>IFERROR(fCaixa[[#This Row],[Custofinal]]/fCaixa[[#This Row],[Venda]],0)</f>
        <v>0</v>
      </c>
      <c r="T40" s="13">
        <f>IF(fCaixa[[#This Row],[Lançamento]]="RECEITA",fCaixa[[#This Row],[Venda]]-fCaixa[[#This Row],[Custoprimario]],0)</f>
        <v>0</v>
      </c>
      <c r="U40" s="16">
        <f>IFERROR(fCaixa[[#This Row],[Lucroprimario]]/fCaixa[[#This Row],[Venda]],0)</f>
        <v>0</v>
      </c>
      <c r="V4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40" s="16">
        <f>IFERROR(fCaixa[[#This Row],[Lucrofinal]]/fCaixa[[#This Row],[Venda]],0)</f>
        <v>0</v>
      </c>
    </row>
    <row r="41" spans="1:23" ht="16.5" hidden="1" x14ac:dyDescent="0.25">
      <c r="A41" s="17">
        <f t="shared" si="0"/>
        <v>40</v>
      </c>
      <c r="B41" s="87">
        <v>42963</v>
      </c>
      <c r="C41" s="12" t="s">
        <v>24</v>
      </c>
      <c r="D41" s="12" t="s">
        <v>25</v>
      </c>
      <c r="E41" s="12" t="s">
        <v>26</v>
      </c>
      <c r="F41" s="12" t="s">
        <v>27</v>
      </c>
      <c r="G41" s="13">
        <v>161.1</v>
      </c>
      <c r="H41" s="13">
        <v>0.75</v>
      </c>
      <c r="I41" s="13">
        <v>10.5</v>
      </c>
      <c r="J41" s="14">
        <v>0</v>
      </c>
      <c r="K41" s="12">
        <f>IFERROR(ROUND((fCaixa[[#This Row],[Venda]]/fCaixa[[#This Row],[Preço/Un.]]),0),0)</f>
        <v>215</v>
      </c>
      <c r="L41" s="15">
        <f>IFERROR((SUBSTITUTE(RIGHT(fCaixa[[#This Row],[Descrição]],3),"G","")*1 *fCaixa[[#This Row],[Qtd/Pães]]) / 1000,0)</f>
        <v>7.5250000000000004</v>
      </c>
      <c r="M41" s="13">
        <f>IFERROR((((SUBSTITUTE(RIGHT(fCaixa[[#This Row],[Descrição]],3),"G","")*1) * fCaixa[[#This Row],[QTD Perdida]])/1000) *fCaixa[[#This Row],[Custo/KG.]],0)</f>
        <v>0</v>
      </c>
      <c r="N41" s="15">
        <f>IF(fCaixa[[#This Row],[Lançamento]]="RECEITA",(fCaixa[[#This Row],[QTD Perdida]]* (SUBSTITUTE(RIGHT(fCaixa[[#This Row],[Descrição]],3),"G","")*1))/1000,0)</f>
        <v>0</v>
      </c>
      <c r="O41" s="15">
        <f>fCaixa[[#This Row],[Qtd/Kg]]+fCaixa[[#This Row],[Qtd/Kg Perdido]]</f>
        <v>7.5250000000000004</v>
      </c>
      <c r="P41" s="13">
        <f>IF(fCaixa[[#This Row],[Lançamento]]="RECEITA",(fCaixa[[#This Row],[Qtd/Kg]]*fCaixa[[#This Row],[Custo/KG.]]),0)</f>
        <v>79.012500000000003</v>
      </c>
      <c r="Q41" s="34">
        <f>fCaixa[[#This Row],[Custoprimario]]+fCaixa[[#This Row],[Total Perdido]]</f>
        <v>79.012500000000003</v>
      </c>
      <c r="R41" s="16">
        <f>IFERROR(fCaixa[[#This Row],[Custoprimario]]/fCaixa[[#This Row],[Venda]],0)</f>
        <v>0.49045623836126634</v>
      </c>
      <c r="S41" s="16">
        <f>IFERROR(fCaixa[[#This Row],[Custofinal]]/fCaixa[[#This Row],[Venda]],0)</f>
        <v>0.49045623836126634</v>
      </c>
      <c r="T41" s="13">
        <f>IF(fCaixa[[#This Row],[Lançamento]]="RECEITA",fCaixa[[#This Row],[Venda]]-fCaixa[[#This Row],[Custoprimario]],0)</f>
        <v>82.087499999999991</v>
      </c>
      <c r="U41" s="16">
        <f>IFERROR(fCaixa[[#This Row],[Lucroprimario]]/fCaixa[[#This Row],[Venda]],0)</f>
        <v>0.50954376163873372</v>
      </c>
      <c r="V4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82.087499999999991</v>
      </c>
      <c r="W41" s="16">
        <f>IFERROR(fCaixa[[#This Row],[Lucrofinal]]/fCaixa[[#This Row],[Venda]],0)</f>
        <v>0.50954376163873372</v>
      </c>
    </row>
    <row r="42" spans="1:23" ht="16.5" hidden="1" x14ac:dyDescent="0.25">
      <c r="A42" s="17">
        <f t="shared" si="0"/>
        <v>41</v>
      </c>
      <c r="B42" s="87">
        <v>42964</v>
      </c>
      <c r="C42" s="12" t="s">
        <v>24</v>
      </c>
      <c r="D42" s="12" t="s">
        <v>25</v>
      </c>
      <c r="E42" s="12" t="s">
        <v>26</v>
      </c>
      <c r="F42" s="12" t="s">
        <v>27</v>
      </c>
      <c r="G42" s="13">
        <v>73.05</v>
      </c>
      <c r="H42" s="13">
        <v>0.75</v>
      </c>
      <c r="I42" s="13">
        <v>10.5</v>
      </c>
      <c r="J42" s="14">
        <v>28</v>
      </c>
      <c r="K42" s="12">
        <f>IFERROR(ROUND((fCaixa[[#This Row],[Venda]]/fCaixa[[#This Row],[Preço/Un.]]),0),0)</f>
        <v>97</v>
      </c>
      <c r="L42" s="15">
        <f>IFERROR((SUBSTITUTE(RIGHT(fCaixa[[#This Row],[Descrição]],3),"G","")*1 *fCaixa[[#This Row],[Qtd/Pães]]) / 1000,0)</f>
        <v>3.395</v>
      </c>
      <c r="M42" s="13">
        <f>IFERROR((((SUBSTITUTE(RIGHT(fCaixa[[#This Row],[Descrição]],3),"G","")*1) * fCaixa[[#This Row],[QTD Perdida]])/1000) *fCaixa[[#This Row],[Custo/KG.]],0)</f>
        <v>10.29</v>
      </c>
      <c r="N42" s="15">
        <f>IF(fCaixa[[#This Row],[Lançamento]]="RECEITA",(fCaixa[[#This Row],[QTD Perdida]]* (SUBSTITUTE(RIGHT(fCaixa[[#This Row],[Descrição]],3),"G","")*1))/1000,0)</f>
        <v>0.98</v>
      </c>
      <c r="O42" s="15">
        <f>fCaixa[[#This Row],[Qtd/Kg]]+fCaixa[[#This Row],[Qtd/Kg Perdido]]</f>
        <v>4.375</v>
      </c>
      <c r="P42" s="13">
        <f>IF(fCaixa[[#This Row],[Lançamento]]="RECEITA",(fCaixa[[#This Row],[Qtd/Kg]]*fCaixa[[#This Row],[Custo/KG.]]),0)</f>
        <v>35.647500000000001</v>
      </c>
      <c r="Q42" s="34">
        <f>fCaixa[[#This Row],[Custoprimario]]+fCaixa[[#This Row],[Total Perdido]]</f>
        <v>45.9375</v>
      </c>
      <c r="R42" s="16">
        <f>IFERROR(fCaixa[[#This Row],[Custoprimario]]/fCaixa[[#This Row],[Venda]],0)</f>
        <v>0.48798767967145795</v>
      </c>
      <c r="S42" s="16">
        <f>IFERROR(fCaixa[[#This Row],[Custofinal]]/fCaixa[[#This Row],[Venda]],0)</f>
        <v>0.62885010266940455</v>
      </c>
      <c r="T42" s="13">
        <f>IF(fCaixa[[#This Row],[Lançamento]]="RECEITA",fCaixa[[#This Row],[Venda]]-fCaixa[[#This Row],[Custoprimario]],0)</f>
        <v>37.402499999999996</v>
      </c>
      <c r="U42" s="16">
        <f>IFERROR(fCaixa[[#This Row],[Lucroprimario]]/fCaixa[[#This Row],[Venda]],0)</f>
        <v>0.51201232032854205</v>
      </c>
      <c r="V4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27.112499999999997</v>
      </c>
      <c r="W42" s="16">
        <f>IFERROR(fCaixa[[#This Row],[Lucrofinal]]/fCaixa[[#This Row],[Venda]],0)</f>
        <v>0.37114989733059545</v>
      </c>
    </row>
    <row r="43" spans="1:23" ht="16.5" hidden="1" x14ac:dyDescent="0.25">
      <c r="A43" s="17">
        <f t="shared" si="0"/>
        <v>42</v>
      </c>
      <c r="B43" s="87">
        <v>42965</v>
      </c>
      <c r="C43" s="12" t="s">
        <v>24</v>
      </c>
      <c r="D43" s="12" t="s">
        <v>25</v>
      </c>
      <c r="E43" s="12" t="s">
        <v>26</v>
      </c>
      <c r="F43" s="12" t="s">
        <v>27</v>
      </c>
      <c r="G43" s="13">
        <v>81.05</v>
      </c>
      <c r="H43" s="13">
        <v>0.75</v>
      </c>
      <c r="I43" s="13">
        <v>10.5</v>
      </c>
      <c r="J43" s="14">
        <v>20</v>
      </c>
      <c r="K43" s="12">
        <f>IFERROR(ROUND((fCaixa[[#This Row],[Venda]]/fCaixa[[#This Row],[Preço/Un.]]),0),0)</f>
        <v>108</v>
      </c>
      <c r="L43" s="15">
        <f>IFERROR((SUBSTITUTE(RIGHT(fCaixa[[#This Row],[Descrição]],3),"G","")*1 *fCaixa[[#This Row],[Qtd/Pães]]) / 1000,0)</f>
        <v>3.78</v>
      </c>
      <c r="M43" s="13">
        <f>IFERROR((((SUBSTITUTE(RIGHT(fCaixa[[#This Row],[Descrição]],3),"G","")*1) * fCaixa[[#This Row],[QTD Perdida]])/1000) *fCaixa[[#This Row],[Custo/KG.]],0)</f>
        <v>7.35</v>
      </c>
      <c r="N43" s="15">
        <f>IF(fCaixa[[#This Row],[Lançamento]]="RECEITA",(fCaixa[[#This Row],[QTD Perdida]]* (SUBSTITUTE(RIGHT(fCaixa[[#This Row],[Descrição]],3),"G","")*1))/1000,0)</f>
        <v>0.7</v>
      </c>
      <c r="O43" s="15">
        <f>fCaixa[[#This Row],[Qtd/Kg]]+fCaixa[[#This Row],[Qtd/Kg Perdido]]</f>
        <v>4.4799999999999995</v>
      </c>
      <c r="P43" s="13">
        <f>IF(fCaixa[[#This Row],[Lançamento]]="RECEITA",(fCaixa[[#This Row],[Qtd/Kg]]*fCaixa[[#This Row],[Custo/KG.]]),0)</f>
        <v>39.69</v>
      </c>
      <c r="Q43" s="34">
        <f>fCaixa[[#This Row],[Custoprimario]]+fCaixa[[#This Row],[Total Perdido]]</f>
        <v>47.04</v>
      </c>
      <c r="R43" s="16">
        <f>IFERROR(fCaixa[[#This Row],[Custoprimario]]/fCaixa[[#This Row],[Venda]],0)</f>
        <v>0.48969771745835905</v>
      </c>
      <c r="S43" s="16">
        <f>IFERROR(fCaixa[[#This Row],[Custofinal]]/fCaixa[[#This Row],[Venda]],0)</f>
        <v>0.58038247995064773</v>
      </c>
      <c r="T43" s="13">
        <f>IF(fCaixa[[#This Row],[Lançamento]]="RECEITA",fCaixa[[#This Row],[Venda]]-fCaixa[[#This Row],[Custoprimario]],0)</f>
        <v>41.36</v>
      </c>
      <c r="U43" s="16">
        <f>IFERROR(fCaixa[[#This Row],[Lucroprimario]]/fCaixa[[#This Row],[Venda]],0)</f>
        <v>0.51030228254164101</v>
      </c>
      <c r="V4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34.01</v>
      </c>
      <c r="W43" s="16">
        <f>IFERROR(fCaixa[[#This Row],[Lucrofinal]]/fCaixa[[#This Row],[Venda]],0)</f>
        <v>0.41961752004935227</v>
      </c>
    </row>
    <row r="44" spans="1:23" ht="16.5" hidden="1" x14ac:dyDescent="0.25">
      <c r="A44" s="17">
        <f t="shared" si="0"/>
        <v>43</v>
      </c>
      <c r="B44" s="87">
        <v>42965</v>
      </c>
      <c r="C44" s="12" t="s">
        <v>24</v>
      </c>
      <c r="D44" s="12" t="s">
        <v>25</v>
      </c>
      <c r="E44" s="12" t="s">
        <v>26</v>
      </c>
      <c r="F44" s="12" t="s">
        <v>27</v>
      </c>
      <c r="G44" s="13">
        <v>60</v>
      </c>
      <c r="H44" s="13">
        <v>0.71428571428571397</v>
      </c>
      <c r="I44" s="13">
        <v>10.5</v>
      </c>
      <c r="J44" s="14">
        <v>0</v>
      </c>
      <c r="K44" s="12">
        <f>IFERROR(ROUND((fCaixa[[#This Row],[Venda]]/fCaixa[[#This Row],[Preço/Un.]]),0),0)</f>
        <v>84</v>
      </c>
      <c r="L44" s="15">
        <f>IFERROR((SUBSTITUTE(RIGHT(fCaixa[[#This Row],[Descrição]],3),"G","")*1 *fCaixa[[#This Row],[Qtd/Pães]]) / 1000,0)</f>
        <v>2.94</v>
      </c>
      <c r="M44" s="13">
        <f>IFERROR((((SUBSTITUTE(RIGHT(fCaixa[[#This Row],[Descrição]],3),"G","")*1) * fCaixa[[#This Row],[QTD Perdida]])/1000) *fCaixa[[#This Row],[Custo/KG.]],0)</f>
        <v>0</v>
      </c>
      <c r="N44" s="15">
        <f>IF(fCaixa[[#This Row],[Lançamento]]="RECEITA",(fCaixa[[#This Row],[QTD Perdida]]* (SUBSTITUTE(RIGHT(fCaixa[[#This Row],[Descrição]],3),"G","")*1))/1000,0)</f>
        <v>0</v>
      </c>
      <c r="O44" s="15">
        <f>fCaixa[[#This Row],[Qtd/Kg]]+fCaixa[[#This Row],[Qtd/Kg Perdido]]</f>
        <v>2.94</v>
      </c>
      <c r="P44" s="13">
        <f>IF(fCaixa[[#This Row],[Lançamento]]="RECEITA",(fCaixa[[#This Row],[Qtd/Kg]]*fCaixa[[#This Row],[Custo/KG.]]),0)</f>
        <v>30.87</v>
      </c>
      <c r="Q44" s="34">
        <f>fCaixa[[#This Row],[Custoprimario]]+fCaixa[[#This Row],[Total Perdido]]</f>
        <v>30.87</v>
      </c>
      <c r="R44" s="16">
        <f>IFERROR(fCaixa[[#This Row],[Custoprimario]]/fCaixa[[#This Row],[Venda]],0)</f>
        <v>0.51450000000000007</v>
      </c>
      <c r="S44" s="16">
        <f>IFERROR(fCaixa[[#This Row],[Custofinal]]/fCaixa[[#This Row],[Venda]],0)</f>
        <v>0.51450000000000007</v>
      </c>
      <c r="T44" s="13">
        <f>IF(fCaixa[[#This Row],[Lançamento]]="RECEITA",fCaixa[[#This Row],[Venda]]-fCaixa[[#This Row],[Custoprimario]],0)</f>
        <v>29.13</v>
      </c>
      <c r="U44" s="16">
        <f>IFERROR(fCaixa[[#This Row],[Lucroprimario]]/fCaixa[[#This Row],[Venda]],0)</f>
        <v>0.48549999999999999</v>
      </c>
      <c r="V4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29.13</v>
      </c>
      <c r="W44" s="16">
        <f>IFERROR(fCaixa[[#This Row],[Lucrofinal]]/fCaixa[[#This Row],[Venda]],0)</f>
        <v>0.48549999999999999</v>
      </c>
    </row>
    <row r="45" spans="1:23" ht="16.5" hidden="1" x14ac:dyDescent="0.25">
      <c r="A45" s="17">
        <f t="shared" si="0"/>
        <v>44</v>
      </c>
      <c r="B45" s="87">
        <v>42968</v>
      </c>
      <c r="C45" s="12" t="s">
        <v>24</v>
      </c>
      <c r="D45" s="12" t="s">
        <v>25</v>
      </c>
      <c r="E45" s="12" t="s">
        <v>26</v>
      </c>
      <c r="F45" s="12" t="s">
        <v>27</v>
      </c>
      <c r="G45" s="13">
        <v>83.25</v>
      </c>
      <c r="H45" s="13">
        <v>0.75</v>
      </c>
      <c r="I45" s="13">
        <v>10.5</v>
      </c>
      <c r="J45" s="14">
        <v>4</v>
      </c>
      <c r="K45" s="12">
        <f>IFERROR(ROUND((fCaixa[[#This Row],[Venda]]/fCaixa[[#This Row],[Preço/Un.]]),0),0)</f>
        <v>111</v>
      </c>
      <c r="L45" s="15">
        <f>IFERROR((SUBSTITUTE(RIGHT(fCaixa[[#This Row],[Descrição]],3),"G","")*1 *fCaixa[[#This Row],[Qtd/Pães]]) / 1000,0)</f>
        <v>3.8849999999999998</v>
      </c>
      <c r="M45" s="13">
        <f>IFERROR((((SUBSTITUTE(RIGHT(fCaixa[[#This Row],[Descrição]],3),"G","")*1) * fCaixa[[#This Row],[QTD Perdida]])/1000) *fCaixa[[#This Row],[Custo/KG.]],0)</f>
        <v>1.4700000000000002</v>
      </c>
      <c r="N45" s="15">
        <f>IF(fCaixa[[#This Row],[Lançamento]]="RECEITA",(fCaixa[[#This Row],[QTD Perdida]]* (SUBSTITUTE(RIGHT(fCaixa[[#This Row],[Descrição]],3),"G","")*1))/1000,0)</f>
        <v>0.14000000000000001</v>
      </c>
      <c r="O45" s="15">
        <f>fCaixa[[#This Row],[Qtd/Kg]]+fCaixa[[#This Row],[Qtd/Kg Perdido]]</f>
        <v>4.0249999999999995</v>
      </c>
      <c r="P45" s="13">
        <f>IF(fCaixa[[#This Row],[Lançamento]]="RECEITA",(fCaixa[[#This Row],[Qtd/Kg]]*fCaixa[[#This Row],[Custo/KG.]]),0)</f>
        <v>40.792499999999997</v>
      </c>
      <c r="Q45" s="34">
        <f>fCaixa[[#This Row],[Custoprimario]]+fCaixa[[#This Row],[Total Perdido]]</f>
        <v>42.262499999999996</v>
      </c>
      <c r="R45" s="16">
        <f>IFERROR(fCaixa[[#This Row],[Custoprimario]]/fCaixa[[#This Row],[Venda]],0)</f>
        <v>0.48999999999999994</v>
      </c>
      <c r="S45" s="16">
        <f>IFERROR(fCaixa[[#This Row],[Custofinal]]/fCaixa[[#This Row],[Venda]],0)</f>
        <v>0.50765765765765758</v>
      </c>
      <c r="T45" s="13">
        <f>IF(fCaixa[[#This Row],[Lançamento]]="RECEITA",fCaixa[[#This Row],[Venda]]-fCaixa[[#This Row],[Custoprimario]],0)</f>
        <v>42.457500000000003</v>
      </c>
      <c r="U45" s="16">
        <f>IFERROR(fCaixa[[#This Row],[Lucroprimario]]/fCaixa[[#This Row],[Venda]],0)</f>
        <v>0.51</v>
      </c>
      <c r="V4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40.987500000000004</v>
      </c>
      <c r="W45" s="16">
        <f>IFERROR(fCaixa[[#This Row],[Lucrofinal]]/fCaixa[[#This Row],[Venda]],0)</f>
        <v>0.49234234234234242</v>
      </c>
    </row>
    <row r="46" spans="1:23" ht="16.5" hidden="1" x14ac:dyDescent="0.25">
      <c r="A46" s="17">
        <f t="shared" si="0"/>
        <v>45</v>
      </c>
      <c r="B46" s="87">
        <v>42969</v>
      </c>
      <c r="C46" s="12" t="s">
        <v>24</v>
      </c>
      <c r="D46" s="12" t="s">
        <v>25</v>
      </c>
      <c r="E46" s="12" t="s">
        <v>26</v>
      </c>
      <c r="F46" s="12" t="s">
        <v>27</v>
      </c>
      <c r="G46" s="13">
        <v>133.94999999999999</v>
      </c>
      <c r="H46" s="13">
        <v>0.75</v>
      </c>
      <c r="I46" s="13">
        <v>10.5</v>
      </c>
      <c r="J46" s="14">
        <v>30</v>
      </c>
      <c r="K46" s="12">
        <f>IFERROR(ROUND((fCaixa[[#This Row],[Venda]]/fCaixa[[#This Row],[Preço/Un.]]),0),0)</f>
        <v>179</v>
      </c>
      <c r="L46" s="15">
        <f>IFERROR((SUBSTITUTE(RIGHT(fCaixa[[#This Row],[Descrição]],3),"G","")*1 *fCaixa[[#This Row],[Qtd/Pães]]) / 1000,0)</f>
        <v>6.2649999999999997</v>
      </c>
      <c r="M46" s="13">
        <f>IFERROR((((SUBSTITUTE(RIGHT(fCaixa[[#This Row],[Descrição]],3),"G","")*1) * fCaixa[[#This Row],[QTD Perdida]])/1000) *fCaixa[[#This Row],[Custo/KG.]],0)</f>
        <v>11.025</v>
      </c>
      <c r="N46" s="15">
        <f>IF(fCaixa[[#This Row],[Lançamento]]="RECEITA",(fCaixa[[#This Row],[QTD Perdida]]* (SUBSTITUTE(RIGHT(fCaixa[[#This Row],[Descrição]],3),"G","")*1))/1000,0)</f>
        <v>1.05</v>
      </c>
      <c r="O46" s="15">
        <f>fCaixa[[#This Row],[Qtd/Kg]]+fCaixa[[#This Row],[Qtd/Kg Perdido]]</f>
        <v>7.3149999999999995</v>
      </c>
      <c r="P46" s="13">
        <f>IF(fCaixa[[#This Row],[Lançamento]]="RECEITA",(fCaixa[[#This Row],[Qtd/Kg]]*fCaixa[[#This Row],[Custo/KG.]]),0)</f>
        <v>65.782499999999999</v>
      </c>
      <c r="Q46" s="34">
        <f>fCaixa[[#This Row],[Custoprimario]]+fCaixa[[#This Row],[Total Perdido]]</f>
        <v>76.807500000000005</v>
      </c>
      <c r="R46" s="16">
        <f>IFERROR(fCaixa[[#This Row],[Custoprimario]]/fCaixa[[#This Row],[Venda]],0)</f>
        <v>0.49109742441209409</v>
      </c>
      <c r="S46" s="16">
        <f>IFERROR(fCaixa[[#This Row],[Custofinal]]/fCaixa[[#This Row],[Venda]],0)</f>
        <v>0.57340425531914907</v>
      </c>
      <c r="T46" s="13">
        <f>IF(fCaixa[[#This Row],[Lançamento]]="RECEITA",fCaixa[[#This Row],[Venda]]-fCaixa[[#This Row],[Custoprimario]],0)</f>
        <v>68.16749999999999</v>
      </c>
      <c r="U46" s="16">
        <f>IFERROR(fCaixa[[#This Row],[Lucroprimario]]/fCaixa[[#This Row],[Venda]],0)</f>
        <v>0.50890257558790586</v>
      </c>
      <c r="V4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57.142499999999984</v>
      </c>
      <c r="W46" s="16">
        <f>IFERROR(fCaixa[[#This Row],[Lucrofinal]]/fCaixa[[#This Row],[Venda]],0)</f>
        <v>0.42659574468085099</v>
      </c>
    </row>
    <row r="47" spans="1:23" ht="16.5" hidden="1" x14ac:dyDescent="0.25">
      <c r="A47" s="17">
        <f t="shared" si="0"/>
        <v>46</v>
      </c>
      <c r="B47" s="87">
        <v>42969</v>
      </c>
      <c r="C47" s="12" t="s">
        <v>29</v>
      </c>
      <c r="D47" s="12" t="s">
        <v>25</v>
      </c>
      <c r="E47" s="12" t="s">
        <v>33</v>
      </c>
      <c r="F47" s="12" t="s">
        <v>27</v>
      </c>
      <c r="G47" s="13">
        <v>5.5</v>
      </c>
      <c r="H47" s="13">
        <v>0</v>
      </c>
      <c r="I47" s="13">
        <v>0</v>
      </c>
      <c r="J47" s="14">
        <v>0</v>
      </c>
      <c r="K47" s="12">
        <f>IFERROR(ROUND((fCaixa[[#This Row],[Venda]]/fCaixa[[#This Row],[Preço/Un.]]),0),0)</f>
        <v>0</v>
      </c>
      <c r="L47" s="15">
        <f>IFERROR((SUBSTITUTE(RIGHT(fCaixa[[#This Row],[Descrição]],3),"G","")*1 *fCaixa[[#This Row],[Qtd/Pães]]) / 1000,0)</f>
        <v>0</v>
      </c>
      <c r="M47" s="13">
        <f>IFERROR((((SUBSTITUTE(RIGHT(fCaixa[[#This Row],[Descrição]],3),"G","")*1) * fCaixa[[#This Row],[QTD Perdida]])/1000) *fCaixa[[#This Row],[Custo/KG.]],0)</f>
        <v>0</v>
      </c>
      <c r="N47" s="15">
        <f>IF(fCaixa[[#This Row],[Lançamento]]="RECEITA",(fCaixa[[#This Row],[QTD Perdida]]* (SUBSTITUTE(RIGHT(fCaixa[[#This Row],[Descrição]],3),"G","")*1))/1000,0)</f>
        <v>0</v>
      </c>
      <c r="O47" s="15">
        <f>fCaixa[[#This Row],[Qtd/Kg]]+fCaixa[[#This Row],[Qtd/Kg Perdido]]</f>
        <v>0</v>
      </c>
      <c r="P47" s="13">
        <f>IF(fCaixa[[#This Row],[Lançamento]]="RECEITA",(fCaixa[[#This Row],[Qtd/Kg]]*fCaixa[[#This Row],[Custo/KG.]]),0)</f>
        <v>0</v>
      </c>
      <c r="Q47" s="34">
        <f>fCaixa[[#This Row],[Custoprimario]]+fCaixa[[#This Row],[Total Perdido]]</f>
        <v>0</v>
      </c>
      <c r="R47" s="16">
        <f>IFERROR(fCaixa[[#This Row],[Custoprimario]]/fCaixa[[#This Row],[Venda]],0)</f>
        <v>0</v>
      </c>
      <c r="S47" s="16">
        <f>IFERROR(fCaixa[[#This Row],[Custofinal]]/fCaixa[[#This Row],[Venda]],0)</f>
        <v>0</v>
      </c>
      <c r="T47" s="13">
        <f>IF(fCaixa[[#This Row],[Lançamento]]="RECEITA",fCaixa[[#This Row],[Venda]]-fCaixa[[#This Row],[Custoprimario]],0)</f>
        <v>0</v>
      </c>
      <c r="U47" s="16">
        <f>IFERROR(fCaixa[[#This Row],[Lucroprimario]]/fCaixa[[#This Row],[Venda]],0)</f>
        <v>0</v>
      </c>
      <c r="V4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47" s="16">
        <f>IFERROR(fCaixa[[#This Row],[Lucrofinal]]/fCaixa[[#This Row],[Venda]],0)</f>
        <v>0</v>
      </c>
    </row>
    <row r="48" spans="1:23" ht="16.5" hidden="1" x14ac:dyDescent="0.25">
      <c r="A48" s="17">
        <f t="shared" si="0"/>
        <v>47</v>
      </c>
      <c r="B48" s="87">
        <v>42970</v>
      </c>
      <c r="C48" s="12" t="s">
        <v>24</v>
      </c>
      <c r="D48" s="12" t="s">
        <v>25</v>
      </c>
      <c r="E48" s="12" t="s">
        <v>26</v>
      </c>
      <c r="F48" s="12" t="s">
        <v>27</v>
      </c>
      <c r="G48" s="13">
        <v>116.45</v>
      </c>
      <c r="H48" s="13">
        <v>0.75</v>
      </c>
      <c r="I48" s="13">
        <v>10.5</v>
      </c>
      <c r="J48" s="14">
        <v>24</v>
      </c>
      <c r="K48" s="12">
        <f>IFERROR(ROUND((fCaixa[[#This Row],[Venda]]/fCaixa[[#This Row],[Preço/Un.]]),0),0)</f>
        <v>155</v>
      </c>
      <c r="L48" s="15">
        <f>IFERROR((SUBSTITUTE(RIGHT(fCaixa[[#This Row],[Descrição]],3),"G","")*1 *fCaixa[[#This Row],[Qtd/Pães]]) / 1000,0)</f>
        <v>5.4249999999999998</v>
      </c>
      <c r="M48" s="13">
        <f>IFERROR((((SUBSTITUTE(RIGHT(fCaixa[[#This Row],[Descrição]],3),"G","")*1) * fCaixa[[#This Row],[QTD Perdida]])/1000) *fCaixa[[#This Row],[Custo/KG.]],0)</f>
        <v>8.82</v>
      </c>
      <c r="N48" s="15">
        <f>IF(fCaixa[[#This Row],[Lançamento]]="RECEITA",(fCaixa[[#This Row],[QTD Perdida]]* (SUBSTITUTE(RIGHT(fCaixa[[#This Row],[Descrição]],3),"G","")*1))/1000,0)</f>
        <v>0.84</v>
      </c>
      <c r="O48" s="15">
        <f>fCaixa[[#This Row],[Qtd/Kg]]+fCaixa[[#This Row],[Qtd/Kg Perdido]]</f>
        <v>6.2649999999999997</v>
      </c>
      <c r="P48" s="13">
        <f>IF(fCaixa[[#This Row],[Lançamento]]="RECEITA",(fCaixa[[#This Row],[Qtd/Kg]]*fCaixa[[#This Row],[Custo/KG.]]),0)</f>
        <v>56.962499999999999</v>
      </c>
      <c r="Q48" s="34">
        <f>fCaixa[[#This Row],[Custoprimario]]+fCaixa[[#This Row],[Total Perdido]]</f>
        <v>65.782499999999999</v>
      </c>
      <c r="R48" s="16">
        <f>IFERROR(fCaixa[[#This Row],[Custoprimario]]/fCaixa[[#This Row],[Venda]],0)</f>
        <v>0.4891584370974667</v>
      </c>
      <c r="S48" s="16">
        <f>IFERROR(fCaixa[[#This Row],[Custofinal]]/fCaixa[[#This Row],[Venda]],0)</f>
        <v>0.56489909832546159</v>
      </c>
      <c r="T48" s="13">
        <f>IF(fCaixa[[#This Row],[Lançamento]]="RECEITA",fCaixa[[#This Row],[Venda]]-fCaixa[[#This Row],[Custoprimario]],0)</f>
        <v>59.487500000000004</v>
      </c>
      <c r="U48" s="16">
        <f>IFERROR(fCaixa[[#This Row],[Lucroprimario]]/fCaixa[[#This Row],[Venda]],0)</f>
        <v>0.51084156290253335</v>
      </c>
      <c r="V4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50.667500000000004</v>
      </c>
      <c r="W48" s="16">
        <f>IFERROR(fCaixa[[#This Row],[Lucrofinal]]/fCaixa[[#This Row],[Venda]],0)</f>
        <v>0.43510090167453846</v>
      </c>
    </row>
    <row r="49" spans="1:23" ht="16.5" hidden="1" x14ac:dyDescent="0.25">
      <c r="A49" s="17">
        <f t="shared" si="0"/>
        <v>48</v>
      </c>
      <c r="B49" s="87">
        <v>42970</v>
      </c>
      <c r="C49" s="12" t="s">
        <v>24</v>
      </c>
      <c r="D49" s="12" t="s">
        <v>25</v>
      </c>
      <c r="E49" s="12" t="s">
        <v>26</v>
      </c>
      <c r="F49" s="12" t="s">
        <v>27</v>
      </c>
      <c r="G49" s="13">
        <v>20</v>
      </c>
      <c r="H49" s="13">
        <v>0.71428571428571397</v>
      </c>
      <c r="I49" s="13">
        <v>10.5</v>
      </c>
      <c r="J49" s="14">
        <v>0</v>
      </c>
      <c r="K49" s="12">
        <f>IFERROR(ROUND((fCaixa[[#This Row],[Venda]]/fCaixa[[#This Row],[Preço/Un.]]),0),0)</f>
        <v>28</v>
      </c>
      <c r="L49" s="15">
        <f>IFERROR((SUBSTITUTE(RIGHT(fCaixa[[#This Row],[Descrição]],3),"G","")*1 *fCaixa[[#This Row],[Qtd/Pães]]) / 1000,0)</f>
        <v>0.98</v>
      </c>
      <c r="M49" s="13">
        <f>IFERROR((((SUBSTITUTE(RIGHT(fCaixa[[#This Row],[Descrição]],3),"G","")*1) * fCaixa[[#This Row],[QTD Perdida]])/1000) *fCaixa[[#This Row],[Custo/KG.]],0)</f>
        <v>0</v>
      </c>
      <c r="N49" s="15">
        <f>IF(fCaixa[[#This Row],[Lançamento]]="RECEITA",(fCaixa[[#This Row],[QTD Perdida]]* (SUBSTITUTE(RIGHT(fCaixa[[#This Row],[Descrição]],3),"G","")*1))/1000,0)</f>
        <v>0</v>
      </c>
      <c r="O49" s="15">
        <f>fCaixa[[#This Row],[Qtd/Kg]]+fCaixa[[#This Row],[Qtd/Kg Perdido]]</f>
        <v>0.98</v>
      </c>
      <c r="P49" s="13">
        <f>IF(fCaixa[[#This Row],[Lançamento]]="RECEITA",(fCaixa[[#This Row],[Qtd/Kg]]*fCaixa[[#This Row],[Custo/KG.]]),0)</f>
        <v>10.29</v>
      </c>
      <c r="Q49" s="34">
        <f>fCaixa[[#This Row],[Custoprimario]]+fCaixa[[#This Row],[Total Perdido]]</f>
        <v>10.29</v>
      </c>
      <c r="R49" s="16">
        <f>IFERROR(fCaixa[[#This Row],[Custoprimario]]/fCaixa[[#This Row],[Venda]],0)</f>
        <v>0.51449999999999996</v>
      </c>
      <c r="S49" s="16">
        <f>IFERROR(fCaixa[[#This Row],[Custofinal]]/fCaixa[[#This Row],[Venda]],0)</f>
        <v>0.51449999999999996</v>
      </c>
      <c r="T49" s="13">
        <f>IF(fCaixa[[#This Row],[Lançamento]]="RECEITA",fCaixa[[#This Row],[Venda]]-fCaixa[[#This Row],[Custoprimario]],0)</f>
        <v>9.7100000000000009</v>
      </c>
      <c r="U49" s="16">
        <f>IFERROR(fCaixa[[#This Row],[Lucroprimario]]/fCaixa[[#This Row],[Venda]],0)</f>
        <v>0.48550000000000004</v>
      </c>
      <c r="V4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9.7100000000000009</v>
      </c>
      <c r="W49" s="16">
        <f>IFERROR(fCaixa[[#This Row],[Lucrofinal]]/fCaixa[[#This Row],[Venda]],0)</f>
        <v>0.48550000000000004</v>
      </c>
    </row>
    <row r="50" spans="1:23" ht="16.5" hidden="1" x14ac:dyDescent="0.25">
      <c r="A50" s="17">
        <f t="shared" si="0"/>
        <v>49</v>
      </c>
      <c r="B50" s="87">
        <v>42970</v>
      </c>
      <c r="C50" s="12" t="s">
        <v>29</v>
      </c>
      <c r="D50" s="12" t="s">
        <v>25</v>
      </c>
      <c r="E50" s="12" t="s">
        <v>30</v>
      </c>
      <c r="F50" s="12" t="s">
        <v>27</v>
      </c>
      <c r="G50" s="13">
        <v>6</v>
      </c>
      <c r="H50" s="13">
        <v>0</v>
      </c>
      <c r="I50" s="13">
        <v>0</v>
      </c>
      <c r="J50" s="14">
        <v>0</v>
      </c>
      <c r="K50" s="12">
        <f>IFERROR(ROUND((fCaixa[[#This Row],[Venda]]/fCaixa[[#This Row],[Preço/Un.]]),0),0)</f>
        <v>0</v>
      </c>
      <c r="L50" s="15">
        <f>IFERROR((SUBSTITUTE(RIGHT(fCaixa[[#This Row],[Descrição]],3),"G","")*1 *fCaixa[[#This Row],[Qtd/Pães]]) / 1000,0)</f>
        <v>0</v>
      </c>
      <c r="M50" s="13">
        <f>IFERROR((((SUBSTITUTE(RIGHT(fCaixa[[#This Row],[Descrição]],3),"G","")*1) * fCaixa[[#This Row],[QTD Perdida]])/1000) *fCaixa[[#This Row],[Custo/KG.]],0)</f>
        <v>0</v>
      </c>
      <c r="N50" s="15">
        <f>IF(fCaixa[[#This Row],[Lançamento]]="RECEITA",(fCaixa[[#This Row],[QTD Perdida]]* (SUBSTITUTE(RIGHT(fCaixa[[#This Row],[Descrição]],3),"G","")*1))/1000,0)</f>
        <v>0</v>
      </c>
      <c r="O50" s="15">
        <f>fCaixa[[#This Row],[Qtd/Kg]]+fCaixa[[#This Row],[Qtd/Kg Perdido]]</f>
        <v>0</v>
      </c>
      <c r="P50" s="13">
        <f>IF(fCaixa[[#This Row],[Lançamento]]="RECEITA",(fCaixa[[#This Row],[Qtd/Kg]]*fCaixa[[#This Row],[Custo/KG.]]),0)</f>
        <v>0</v>
      </c>
      <c r="Q50" s="34">
        <f>fCaixa[[#This Row],[Custoprimario]]+fCaixa[[#This Row],[Total Perdido]]</f>
        <v>0</v>
      </c>
      <c r="R50" s="16">
        <f>IFERROR(fCaixa[[#This Row],[Custoprimario]]/fCaixa[[#This Row],[Venda]],0)</f>
        <v>0</v>
      </c>
      <c r="S50" s="16">
        <f>IFERROR(fCaixa[[#This Row],[Custofinal]]/fCaixa[[#This Row],[Venda]],0)</f>
        <v>0</v>
      </c>
      <c r="T50" s="13">
        <f>IF(fCaixa[[#This Row],[Lançamento]]="RECEITA",fCaixa[[#This Row],[Venda]]-fCaixa[[#This Row],[Custoprimario]],0)</f>
        <v>0</v>
      </c>
      <c r="U50" s="16">
        <f>IFERROR(fCaixa[[#This Row],[Lucroprimario]]/fCaixa[[#This Row],[Venda]],0)</f>
        <v>0</v>
      </c>
      <c r="V5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50" s="16">
        <f>IFERROR(fCaixa[[#This Row],[Lucrofinal]]/fCaixa[[#This Row],[Venda]],0)</f>
        <v>0</v>
      </c>
    </row>
    <row r="51" spans="1:23" ht="16.5" hidden="1" x14ac:dyDescent="0.25">
      <c r="A51" s="17">
        <f t="shared" si="0"/>
        <v>50</v>
      </c>
      <c r="B51" s="87">
        <v>42971</v>
      </c>
      <c r="C51" s="12" t="s">
        <v>24</v>
      </c>
      <c r="D51" s="12" t="s">
        <v>25</v>
      </c>
      <c r="E51" s="12" t="s">
        <v>26</v>
      </c>
      <c r="F51" s="12" t="s">
        <v>27</v>
      </c>
      <c r="G51" s="13">
        <v>96.35</v>
      </c>
      <c r="H51" s="13">
        <v>0.75</v>
      </c>
      <c r="I51" s="13">
        <v>10.5</v>
      </c>
      <c r="J51" s="14">
        <v>0</v>
      </c>
      <c r="K51" s="12">
        <f>IFERROR(ROUND((fCaixa[[#This Row],[Venda]]/fCaixa[[#This Row],[Preço/Un.]]),0),0)</f>
        <v>128</v>
      </c>
      <c r="L51" s="15">
        <f>IFERROR((SUBSTITUTE(RIGHT(fCaixa[[#This Row],[Descrição]],3),"G","")*1 *fCaixa[[#This Row],[Qtd/Pães]]) / 1000,0)</f>
        <v>4.4800000000000004</v>
      </c>
      <c r="M51" s="13">
        <f>IFERROR((((SUBSTITUTE(RIGHT(fCaixa[[#This Row],[Descrição]],3),"G","")*1) * fCaixa[[#This Row],[QTD Perdida]])/1000) *fCaixa[[#This Row],[Custo/KG.]],0)</f>
        <v>0</v>
      </c>
      <c r="N51" s="15">
        <f>IF(fCaixa[[#This Row],[Lançamento]]="RECEITA",(fCaixa[[#This Row],[QTD Perdida]]* (SUBSTITUTE(RIGHT(fCaixa[[#This Row],[Descrição]],3),"G","")*1))/1000,0)</f>
        <v>0</v>
      </c>
      <c r="O51" s="15">
        <f>fCaixa[[#This Row],[Qtd/Kg]]+fCaixa[[#This Row],[Qtd/Kg Perdido]]</f>
        <v>4.4800000000000004</v>
      </c>
      <c r="P51" s="13">
        <f>IF(fCaixa[[#This Row],[Lançamento]]="RECEITA",(fCaixa[[#This Row],[Qtd/Kg]]*fCaixa[[#This Row],[Custo/KG.]]),0)</f>
        <v>47.040000000000006</v>
      </c>
      <c r="Q51" s="34">
        <f>fCaixa[[#This Row],[Custoprimario]]+fCaixa[[#This Row],[Total Perdido]]</f>
        <v>47.040000000000006</v>
      </c>
      <c r="R51" s="16">
        <f>IFERROR(fCaixa[[#This Row],[Custoprimario]]/fCaixa[[#This Row],[Venda]],0)</f>
        <v>0.48822003113648166</v>
      </c>
      <c r="S51" s="16">
        <f>IFERROR(fCaixa[[#This Row],[Custofinal]]/fCaixa[[#This Row],[Venda]],0)</f>
        <v>0.48822003113648166</v>
      </c>
      <c r="T51" s="13">
        <f>IF(fCaixa[[#This Row],[Lançamento]]="RECEITA",fCaixa[[#This Row],[Venda]]-fCaixa[[#This Row],[Custoprimario]],0)</f>
        <v>49.309999999999988</v>
      </c>
      <c r="U51" s="16">
        <f>IFERROR(fCaixa[[#This Row],[Lucroprimario]]/fCaixa[[#This Row],[Venda]],0)</f>
        <v>0.51177996886351829</v>
      </c>
      <c r="V5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49.309999999999988</v>
      </c>
      <c r="W51" s="16">
        <f>IFERROR(fCaixa[[#This Row],[Lucrofinal]]/fCaixa[[#This Row],[Venda]],0)</f>
        <v>0.51177996886351829</v>
      </c>
    </row>
    <row r="52" spans="1:23" ht="16.5" hidden="1" x14ac:dyDescent="0.25">
      <c r="A52" s="17">
        <f t="shared" si="0"/>
        <v>51</v>
      </c>
      <c r="B52" s="87">
        <v>42971</v>
      </c>
      <c r="C52" s="12" t="s">
        <v>24</v>
      </c>
      <c r="D52" s="12" t="s">
        <v>25</v>
      </c>
      <c r="E52" s="12" t="s">
        <v>26</v>
      </c>
      <c r="F52" s="12" t="s">
        <v>27</v>
      </c>
      <c r="G52" s="13">
        <v>40</v>
      </c>
      <c r="H52" s="13">
        <v>0.71428571428571397</v>
      </c>
      <c r="I52" s="13">
        <v>10.5</v>
      </c>
      <c r="J52" s="14">
        <v>0</v>
      </c>
      <c r="K52" s="12">
        <f>IFERROR(ROUND((fCaixa[[#This Row],[Venda]]/fCaixa[[#This Row],[Preço/Un.]]),0),0)</f>
        <v>56</v>
      </c>
      <c r="L52" s="15">
        <f>IFERROR((SUBSTITUTE(RIGHT(fCaixa[[#This Row],[Descrição]],3),"G","")*1 *fCaixa[[#This Row],[Qtd/Pães]]) / 1000,0)</f>
        <v>1.96</v>
      </c>
      <c r="M52" s="13">
        <f>IFERROR((((SUBSTITUTE(RIGHT(fCaixa[[#This Row],[Descrição]],3),"G","")*1) * fCaixa[[#This Row],[QTD Perdida]])/1000) *fCaixa[[#This Row],[Custo/KG.]],0)</f>
        <v>0</v>
      </c>
      <c r="N52" s="15">
        <f>IF(fCaixa[[#This Row],[Lançamento]]="RECEITA",(fCaixa[[#This Row],[QTD Perdida]]* (SUBSTITUTE(RIGHT(fCaixa[[#This Row],[Descrição]],3),"G","")*1))/1000,0)</f>
        <v>0</v>
      </c>
      <c r="O52" s="15">
        <f>fCaixa[[#This Row],[Qtd/Kg]]+fCaixa[[#This Row],[Qtd/Kg Perdido]]</f>
        <v>1.96</v>
      </c>
      <c r="P52" s="13">
        <f>IF(fCaixa[[#This Row],[Lançamento]]="RECEITA",(fCaixa[[#This Row],[Qtd/Kg]]*fCaixa[[#This Row],[Custo/KG.]]),0)</f>
        <v>20.58</v>
      </c>
      <c r="Q52" s="34">
        <f>fCaixa[[#This Row],[Custoprimario]]+fCaixa[[#This Row],[Total Perdido]]</f>
        <v>20.58</v>
      </c>
      <c r="R52" s="16">
        <f>IFERROR(fCaixa[[#This Row],[Custoprimario]]/fCaixa[[#This Row],[Venda]],0)</f>
        <v>0.51449999999999996</v>
      </c>
      <c r="S52" s="16">
        <f>IFERROR(fCaixa[[#This Row],[Custofinal]]/fCaixa[[#This Row],[Venda]],0)</f>
        <v>0.51449999999999996</v>
      </c>
      <c r="T52" s="13">
        <f>IF(fCaixa[[#This Row],[Lançamento]]="RECEITA",fCaixa[[#This Row],[Venda]]-fCaixa[[#This Row],[Custoprimario]],0)</f>
        <v>19.420000000000002</v>
      </c>
      <c r="U52" s="16">
        <f>IFERROR(fCaixa[[#This Row],[Lucroprimario]]/fCaixa[[#This Row],[Venda]],0)</f>
        <v>0.48550000000000004</v>
      </c>
      <c r="V5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19.420000000000002</v>
      </c>
      <c r="W52" s="16">
        <f>IFERROR(fCaixa[[#This Row],[Lucrofinal]]/fCaixa[[#This Row],[Venda]],0)</f>
        <v>0.48550000000000004</v>
      </c>
    </row>
    <row r="53" spans="1:23" ht="16.5" hidden="1" x14ac:dyDescent="0.25">
      <c r="A53" s="17">
        <f t="shared" si="0"/>
        <v>52</v>
      </c>
      <c r="B53" s="87">
        <v>42972</v>
      </c>
      <c r="C53" s="12" t="s">
        <v>24</v>
      </c>
      <c r="D53" s="12" t="s">
        <v>25</v>
      </c>
      <c r="E53" s="12" t="s">
        <v>26</v>
      </c>
      <c r="F53" s="12" t="s">
        <v>27</v>
      </c>
      <c r="G53" s="13">
        <v>35.75</v>
      </c>
      <c r="H53" s="13">
        <v>0.75</v>
      </c>
      <c r="I53" s="13">
        <v>10.5</v>
      </c>
      <c r="J53" s="14">
        <v>0</v>
      </c>
      <c r="K53" s="12">
        <f>IFERROR(ROUND((fCaixa[[#This Row],[Venda]]/fCaixa[[#This Row],[Preço/Un.]]),0),0)</f>
        <v>48</v>
      </c>
      <c r="L53" s="15">
        <f>IFERROR((SUBSTITUTE(RIGHT(fCaixa[[#This Row],[Descrição]],3),"G","")*1 *fCaixa[[#This Row],[Qtd/Pães]]) / 1000,0)</f>
        <v>1.68</v>
      </c>
      <c r="M53" s="13">
        <f>IFERROR((((SUBSTITUTE(RIGHT(fCaixa[[#This Row],[Descrição]],3),"G","")*1) * fCaixa[[#This Row],[QTD Perdida]])/1000) *fCaixa[[#This Row],[Custo/KG.]],0)</f>
        <v>0</v>
      </c>
      <c r="N53" s="15">
        <f>IF(fCaixa[[#This Row],[Lançamento]]="RECEITA",(fCaixa[[#This Row],[QTD Perdida]]* (SUBSTITUTE(RIGHT(fCaixa[[#This Row],[Descrição]],3),"G","")*1))/1000,0)</f>
        <v>0</v>
      </c>
      <c r="O53" s="15">
        <f>fCaixa[[#This Row],[Qtd/Kg]]+fCaixa[[#This Row],[Qtd/Kg Perdido]]</f>
        <v>1.68</v>
      </c>
      <c r="P53" s="13">
        <f>IF(fCaixa[[#This Row],[Lançamento]]="RECEITA",(fCaixa[[#This Row],[Qtd/Kg]]*fCaixa[[#This Row],[Custo/KG.]]),0)</f>
        <v>17.64</v>
      </c>
      <c r="Q53" s="34">
        <f>fCaixa[[#This Row],[Custoprimario]]+fCaixa[[#This Row],[Total Perdido]]</f>
        <v>17.64</v>
      </c>
      <c r="R53" s="16">
        <f>IFERROR(fCaixa[[#This Row],[Custoprimario]]/fCaixa[[#This Row],[Venda]],0)</f>
        <v>0.49342657342657342</v>
      </c>
      <c r="S53" s="16">
        <f>IFERROR(fCaixa[[#This Row],[Custofinal]]/fCaixa[[#This Row],[Venda]],0)</f>
        <v>0.49342657342657342</v>
      </c>
      <c r="T53" s="13">
        <f>IF(fCaixa[[#This Row],[Lançamento]]="RECEITA",fCaixa[[#This Row],[Venda]]-fCaixa[[#This Row],[Custoprimario]],0)</f>
        <v>18.11</v>
      </c>
      <c r="U53" s="16">
        <f>IFERROR(fCaixa[[#This Row],[Lucroprimario]]/fCaixa[[#This Row],[Venda]],0)</f>
        <v>0.50657342657342652</v>
      </c>
      <c r="V5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18.11</v>
      </c>
      <c r="W53" s="16">
        <f>IFERROR(fCaixa[[#This Row],[Lucrofinal]]/fCaixa[[#This Row],[Venda]],0)</f>
        <v>0.50657342657342652</v>
      </c>
    </row>
    <row r="54" spans="1:23" ht="16.5" hidden="1" x14ac:dyDescent="0.25">
      <c r="A54" s="17">
        <f t="shared" si="0"/>
        <v>53</v>
      </c>
      <c r="B54" s="87">
        <v>42972</v>
      </c>
      <c r="C54" s="12" t="s">
        <v>29</v>
      </c>
      <c r="D54" s="12" t="s">
        <v>25</v>
      </c>
      <c r="E54" s="12" t="s">
        <v>31</v>
      </c>
      <c r="F54" s="12" t="s">
        <v>27</v>
      </c>
      <c r="G54" s="13">
        <v>55</v>
      </c>
      <c r="H54" s="13">
        <v>0</v>
      </c>
      <c r="I54" s="13">
        <v>0</v>
      </c>
      <c r="J54" s="14">
        <v>0</v>
      </c>
      <c r="K54" s="12">
        <f>IFERROR(ROUND((fCaixa[[#This Row],[Venda]]/fCaixa[[#This Row],[Preço/Un.]]),0),0)</f>
        <v>0</v>
      </c>
      <c r="L54" s="15">
        <f>IFERROR((SUBSTITUTE(RIGHT(fCaixa[[#This Row],[Descrição]],3),"G","")*1 *fCaixa[[#This Row],[Qtd/Pães]]) / 1000,0)</f>
        <v>0</v>
      </c>
      <c r="M54" s="13">
        <f>IFERROR((((SUBSTITUTE(RIGHT(fCaixa[[#This Row],[Descrição]],3),"G","")*1) * fCaixa[[#This Row],[QTD Perdida]])/1000) *fCaixa[[#This Row],[Custo/KG.]],0)</f>
        <v>0</v>
      </c>
      <c r="N54" s="15">
        <f>IF(fCaixa[[#This Row],[Lançamento]]="RECEITA",(fCaixa[[#This Row],[QTD Perdida]]* (SUBSTITUTE(RIGHT(fCaixa[[#This Row],[Descrição]],3),"G","")*1))/1000,0)</f>
        <v>0</v>
      </c>
      <c r="O54" s="15">
        <f>fCaixa[[#This Row],[Qtd/Kg]]+fCaixa[[#This Row],[Qtd/Kg Perdido]]</f>
        <v>0</v>
      </c>
      <c r="P54" s="13">
        <f>IF(fCaixa[[#This Row],[Lançamento]]="RECEITA",(fCaixa[[#This Row],[Qtd/Kg]]*fCaixa[[#This Row],[Custo/KG.]]),0)</f>
        <v>0</v>
      </c>
      <c r="Q54" s="34">
        <f>fCaixa[[#This Row],[Custoprimario]]+fCaixa[[#This Row],[Total Perdido]]</f>
        <v>0</v>
      </c>
      <c r="R54" s="16">
        <f>IFERROR(fCaixa[[#This Row],[Custoprimario]]/fCaixa[[#This Row],[Venda]],0)</f>
        <v>0</v>
      </c>
      <c r="S54" s="16">
        <f>IFERROR(fCaixa[[#This Row],[Custofinal]]/fCaixa[[#This Row],[Venda]],0)</f>
        <v>0</v>
      </c>
      <c r="T54" s="13">
        <f>IF(fCaixa[[#This Row],[Lançamento]]="RECEITA",fCaixa[[#This Row],[Venda]]-fCaixa[[#This Row],[Custoprimario]],0)</f>
        <v>0</v>
      </c>
      <c r="U54" s="16">
        <f>IFERROR(fCaixa[[#This Row],[Lucroprimario]]/fCaixa[[#This Row],[Venda]],0)</f>
        <v>0</v>
      </c>
      <c r="V5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54" s="16">
        <f>IFERROR(fCaixa[[#This Row],[Lucrofinal]]/fCaixa[[#This Row],[Venda]],0)</f>
        <v>0</v>
      </c>
    </row>
    <row r="55" spans="1:23" ht="16.5" hidden="1" x14ac:dyDescent="0.25">
      <c r="A55" s="17">
        <f t="shared" si="0"/>
        <v>54</v>
      </c>
      <c r="B55" s="87">
        <v>42973</v>
      </c>
      <c r="C55" s="12" t="s">
        <v>24</v>
      </c>
      <c r="D55" s="12" t="s">
        <v>25</v>
      </c>
      <c r="E55" s="12" t="s">
        <v>26</v>
      </c>
      <c r="F55" s="12" t="s">
        <v>28</v>
      </c>
      <c r="G55" s="13">
        <v>113</v>
      </c>
      <c r="H55" s="13">
        <v>0.5</v>
      </c>
      <c r="I55" s="13">
        <v>8</v>
      </c>
      <c r="J55" s="14">
        <v>0</v>
      </c>
      <c r="K55" s="12">
        <f>IFERROR(ROUND((fCaixa[[#This Row],[Venda]]/fCaixa[[#This Row],[Preço/Un.]]),0),0)</f>
        <v>226</v>
      </c>
      <c r="L55" s="15">
        <f>IFERROR((SUBSTITUTE(RIGHT(fCaixa[[#This Row],[Descrição]],3),"G","")*1 *fCaixa[[#This Row],[Qtd/Pães]]) / 1000,0)</f>
        <v>7.91</v>
      </c>
      <c r="M55" s="13">
        <f>IFERROR((((SUBSTITUTE(RIGHT(fCaixa[[#This Row],[Descrição]],3),"G","")*1) * fCaixa[[#This Row],[QTD Perdida]])/1000) *fCaixa[[#This Row],[Custo/KG.]],0)</f>
        <v>0</v>
      </c>
      <c r="N55" s="15">
        <f>IF(fCaixa[[#This Row],[Lançamento]]="RECEITA",(fCaixa[[#This Row],[QTD Perdida]]* (SUBSTITUTE(RIGHT(fCaixa[[#This Row],[Descrição]],3),"G","")*1))/1000,0)</f>
        <v>0</v>
      </c>
      <c r="O55" s="15">
        <f>fCaixa[[#This Row],[Qtd/Kg]]+fCaixa[[#This Row],[Qtd/Kg Perdido]]</f>
        <v>7.91</v>
      </c>
      <c r="P55" s="13">
        <f>IF(fCaixa[[#This Row],[Lançamento]]="RECEITA",(fCaixa[[#This Row],[Qtd/Kg]]*fCaixa[[#This Row],[Custo/KG.]]),0)</f>
        <v>63.28</v>
      </c>
      <c r="Q55" s="34">
        <f>fCaixa[[#This Row],[Custoprimario]]+fCaixa[[#This Row],[Total Perdido]]</f>
        <v>63.28</v>
      </c>
      <c r="R55" s="16">
        <f>IFERROR(fCaixa[[#This Row],[Custoprimario]]/fCaixa[[#This Row],[Venda]],0)</f>
        <v>0.56000000000000005</v>
      </c>
      <c r="S55" s="16">
        <f>IFERROR(fCaixa[[#This Row],[Custofinal]]/fCaixa[[#This Row],[Venda]],0)</f>
        <v>0.56000000000000005</v>
      </c>
      <c r="T55" s="13">
        <f>IF(fCaixa[[#This Row],[Lançamento]]="RECEITA",fCaixa[[#This Row],[Venda]]-fCaixa[[#This Row],[Custoprimario]],0)</f>
        <v>49.72</v>
      </c>
      <c r="U55" s="16">
        <f>IFERROR(fCaixa[[#This Row],[Lucroprimario]]/fCaixa[[#This Row],[Venda]],0)</f>
        <v>0.44</v>
      </c>
      <c r="V5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49.72</v>
      </c>
      <c r="W55" s="16">
        <f>IFERROR(fCaixa[[#This Row],[Lucrofinal]]/fCaixa[[#This Row],[Venda]],0)</f>
        <v>0.44</v>
      </c>
    </row>
    <row r="56" spans="1:23" ht="16.5" hidden="1" x14ac:dyDescent="0.25">
      <c r="A56" s="17">
        <f t="shared" si="0"/>
        <v>55</v>
      </c>
      <c r="B56" s="87">
        <v>42973</v>
      </c>
      <c r="C56" s="12" t="s">
        <v>29</v>
      </c>
      <c r="D56" s="12" t="s">
        <v>25</v>
      </c>
      <c r="E56" s="12" t="s">
        <v>33</v>
      </c>
      <c r="F56" s="12" t="s">
        <v>27</v>
      </c>
      <c r="G56" s="13">
        <v>13</v>
      </c>
      <c r="H56" s="13">
        <v>0</v>
      </c>
      <c r="I56" s="13">
        <v>0</v>
      </c>
      <c r="J56" s="14">
        <v>0</v>
      </c>
      <c r="K56" s="17">
        <f>IFERROR(ROUND((fCaixa[[#This Row],[Venda]]/fCaixa[[#This Row],[Preço/Un.]]),0),0)</f>
        <v>0</v>
      </c>
      <c r="L56" s="15">
        <f>IFERROR((SUBSTITUTE(RIGHT(fCaixa[[#This Row],[Descrição]],3),"G","")*1 *fCaixa[[#This Row],[Qtd/Pães]]) / 1000,0)</f>
        <v>0</v>
      </c>
      <c r="M56" s="13">
        <f>IFERROR((((SUBSTITUTE(RIGHT(fCaixa[[#This Row],[Descrição]],3),"G","")*1) * fCaixa[[#This Row],[QTD Perdida]])/1000) *fCaixa[[#This Row],[Custo/KG.]],0)</f>
        <v>0</v>
      </c>
      <c r="N56" s="15">
        <f>IF(fCaixa[[#This Row],[Lançamento]]="RECEITA",(fCaixa[[#This Row],[QTD Perdida]]* (SUBSTITUTE(RIGHT(fCaixa[[#This Row],[Descrição]],3),"G","")*1))/1000,0)</f>
        <v>0</v>
      </c>
      <c r="O56" s="15">
        <f>fCaixa[[#This Row],[Qtd/Kg]]+fCaixa[[#This Row],[Qtd/Kg Perdido]]</f>
        <v>0</v>
      </c>
      <c r="P56" s="13">
        <f>IF(fCaixa[[#This Row],[Lançamento]]="RECEITA",(fCaixa[[#This Row],[Qtd/Kg]]*fCaixa[[#This Row],[Custo/KG.]]),0)</f>
        <v>0</v>
      </c>
      <c r="Q56" s="34">
        <f>fCaixa[[#This Row],[Custoprimario]]+fCaixa[[#This Row],[Total Perdido]]</f>
        <v>0</v>
      </c>
      <c r="R56" s="16">
        <f>IFERROR(fCaixa[[#This Row],[Custoprimario]]/fCaixa[[#This Row],[Venda]],0)</f>
        <v>0</v>
      </c>
      <c r="S56" s="16">
        <f>IFERROR(fCaixa[[#This Row],[Custofinal]]/fCaixa[[#This Row],[Venda]],0)</f>
        <v>0</v>
      </c>
      <c r="T56" s="13">
        <f>IF(fCaixa[[#This Row],[Lançamento]]="RECEITA",fCaixa[[#This Row],[Venda]]-fCaixa[[#This Row],[Custoprimario]],0)</f>
        <v>0</v>
      </c>
      <c r="U56" s="16">
        <f>IFERROR(fCaixa[[#This Row],[Lucroprimario]]/fCaixa[[#This Row],[Venda]],0)</f>
        <v>0</v>
      </c>
      <c r="V5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56" s="16">
        <f>IFERROR(fCaixa[[#This Row],[Lucrofinal]]/fCaixa[[#This Row],[Venda]],0)</f>
        <v>0</v>
      </c>
    </row>
    <row r="57" spans="1:23" ht="16.5" hidden="1" x14ac:dyDescent="0.25">
      <c r="A57" s="17">
        <f t="shared" si="0"/>
        <v>56</v>
      </c>
      <c r="B57" s="87">
        <v>42975</v>
      </c>
      <c r="C57" s="12" t="s">
        <v>24</v>
      </c>
      <c r="D57" s="12" t="s">
        <v>25</v>
      </c>
      <c r="E57" s="12" t="s">
        <v>26</v>
      </c>
      <c r="F57" s="12" t="s">
        <v>27</v>
      </c>
      <c r="G57" s="13">
        <v>3</v>
      </c>
      <c r="H57" s="13">
        <v>0.75</v>
      </c>
      <c r="I57" s="13">
        <v>10.5</v>
      </c>
      <c r="J57" s="14">
        <v>0</v>
      </c>
      <c r="K57" s="12">
        <f>IFERROR(ROUND((fCaixa[[#This Row],[Venda]]/fCaixa[[#This Row],[Preço/Un.]]),0),0)</f>
        <v>4</v>
      </c>
      <c r="L57" s="15">
        <f>IFERROR((SUBSTITUTE(RIGHT(fCaixa[[#This Row],[Descrição]],3),"G","")*1 *fCaixa[[#This Row],[Qtd/Pães]]) / 1000,0)</f>
        <v>0.14000000000000001</v>
      </c>
      <c r="M57" s="13">
        <f>IFERROR((((SUBSTITUTE(RIGHT(fCaixa[[#This Row],[Descrição]],3),"G","")*1) * fCaixa[[#This Row],[QTD Perdida]])/1000) *fCaixa[[#This Row],[Custo/KG.]],0)</f>
        <v>0</v>
      </c>
      <c r="N57" s="15">
        <f>IF(fCaixa[[#This Row],[Lançamento]]="RECEITA",(fCaixa[[#This Row],[QTD Perdida]]* (SUBSTITUTE(RIGHT(fCaixa[[#This Row],[Descrição]],3),"G","")*1))/1000,0)</f>
        <v>0</v>
      </c>
      <c r="O57" s="15">
        <f>fCaixa[[#This Row],[Qtd/Kg]]+fCaixa[[#This Row],[Qtd/Kg Perdido]]</f>
        <v>0.14000000000000001</v>
      </c>
      <c r="P57" s="13">
        <f>IF(fCaixa[[#This Row],[Lançamento]]="RECEITA",(fCaixa[[#This Row],[Qtd/Kg]]*fCaixa[[#This Row],[Custo/KG.]]),0)</f>
        <v>1.4700000000000002</v>
      </c>
      <c r="Q57" s="34">
        <f>fCaixa[[#This Row],[Custoprimario]]+fCaixa[[#This Row],[Total Perdido]]</f>
        <v>1.4700000000000002</v>
      </c>
      <c r="R57" s="16">
        <f>IFERROR(fCaixa[[#This Row],[Custoprimario]]/fCaixa[[#This Row],[Venda]],0)</f>
        <v>0.49000000000000005</v>
      </c>
      <c r="S57" s="16">
        <f>IFERROR(fCaixa[[#This Row],[Custofinal]]/fCaixa[[#This Row],[Venda]],0)</f>
        <v>0.49000000000000005</v>
      </c>
      <c r="T57" s="13">
        <f>IF(fCaixa[[#This Row],[Lançamento]]="RECEITA",fCaixa[[#This Row],[Venda]]-fCaixa[[#This Row],[Custoprimario]],0)</f>
        <v>1.5299999999999998</v>
      </c>
      <c r="U57" s="16">
        <f>IFERROR(fCaixa[[#This Row],[Lucroprimario]]/fCaixa[[#This Row],[Venda]],0)</f>
        <v>0.5099999999999999</v>
      </c>
      <c r="V5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1.5299999999999998</v>
      </c>
      <c r="W57" s="16">
        <f>IFERROR(fCaixa[[#This Row],[Lucrofinal]]/fCaixa[[#This Row],[Venda]],0)</f>
        <v>0.5099999999999999</v>
      </c>
    </row>
    <row r="58" spans="1:23" ht="16.5" hidden="1" x14ac:dyDescent="0.25">
      <c r="A58" s="17">
        <f t="shared" si="0"/>
        <v>57</v>
      </c>
      <c r="B58" s="87">
        <v>42976</v>
      </c>
      <c r="C58" s="12" t="s">
        <v>24</v>
      </c>
      <c r="D58" s="12" t="s">
        <v>25</v>
      </c>
      <c r="E58" s="12" t="s">
        <v>26</v>
      </c>
      <c r="F58" s="12" t="s">
        <v>27</v>
      </c>
      <c r="G58" s="13">
        <v>45</v>
      </c>
      <c r="H58" s="13">
        <v>0.75</v>
      </c>
      <c r="I58" s="13">
        <v>10.5</v>
      </c>
      <c r="J58" s="14">
        <v>0</v>
      </c>
      <c r="K58" s="12">
        <f>IFERROR(ROUND((fCaixa[[#This Row],[Venda]]/fCaixa[[#This Row],[Preço/Un.]]),0),0)</f>
        <v>60</v>
      </c>
      <c r="L58" s="15">
        <f>IFERROR((SUBSTITUTE(RIGHT(fCaixa[[#This Row],[Descrição]],3),"G","")*1 *fCaixa[[#This Row],[Qtd/Pães]]) / 1000,0)</f>
        <v>2.1</v>
      </c>
      <c r="M58" s="13">
        <f>IFERROR((((SUBSTITUTE(RIGHT(fCaixa[[#This Row],[Descrição]],3),"G","")*1) * fCaixa[[#This Row],[QTD Perdida]])/1000) *fCaixa[[#This Row],[Custo/KG.]],0)</f>
        <v>0</v>
      </c>
      <c r="N58" s="15">
        <f>IF(fCaixa[[#This Row],[Lançamento]]="RECEITA",(fCaixa[[#This Row],[QTD Perdida]]* (SUBSTITUTE(RIGHT(fCaixa[[#This Row],[Descrição]],3),"G","")*1))/1000,0)</f>
        <v>0</v>
      </c>
      <c r="O58" s="15">
        <f>fCaixa[[#This Row],[Qtd/Kg]]+fCaixa[[#This Row],[Qtd/Kg Perdido]]</f>
        <v>2.1</v>
      </c>
      <c r="P58" s="13">
        <f>IF(fCaixa[[#This Row],[Lançamento]]="RECEITA",(fCaixa[[#This Row],[Qtd/Kg]]*fCaixa[[#This Row],[Custo/KG.]]),0)</f>
        <v>22.05</v>
      </c>
      <c r="Q58" s="34">
        <f>fCaixa[[#This Row],[Custoprimario]]+fCaixa[[#This Row],[Total Perdido]]</f>
        <v>22.05</v>
      </c>
      <c r="R58" s="16">
        <f>IFERROR(fCaixa[[#This Row],[Custoprimario]]/fCaixa[[#This Row],[Venda]],0)</f>
        <v>0.49</v>
      </c>
      <c r="S58" s="16">
        <f>IFERROR(fCaixa[[#This Row],[Custofinal]]/fCaixa[[#This Row],[Venda]],0)</f>
        <v>0.49</v>
      </c>
      <c r="T58" s="13">
        <f>IF(fCaixa[[#This Row],[Lançamento]]="RECEITA",fCaixa[[#This Row],[Venda]]-fCaixa[[#This Row],[Custoprimario]],0)</f>
        <v>22.95</v>
      </c>
      <c r="U58" s="16">
        <f>IFERROR(fCaixa[[#This Row],[Lucroprimario]]/fCaixa[[#This Row],[Venda]],0)</f>
        <v>0.51</v>
      </c>
      <c r="V5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22.95</v>
      </c>
      <c r="W58" s="16">
        <f>IFERROR(fCaixa[[#This Row],[Lucrofinal]]/fCaixa[[#This Row],[Venda]],0)</f>
        <v>0.51</v>
      </c>
    </row>
    <row r="59" spans="1:23" ht="16.5" hidden="1" x14ac:dyDescent="0.25">
      <c r="A59" s="17">
        <f t="shared" si="0"/>
        <v>58</v>
      </c>
      <c r="B59" s="87">
        <v>42977</v>
      </c>
      <c r="C59" s="12" t="s">
        <v>24</v>
      </c>
      <c r="D59" s="12" t="s">
        <v>25</v>
      </c>
      <c r="E59" s="12" t="s">
        <v>26</v>
      </c>
      <c r="F59" s="12" t="s">
        <v>27</v>
      </c>
      <c r="G59" s="13">
        <v>92.65</v>
      </c>
      <c r="H59" s="13">
        <v>0.75</v>
      </c>
      <c r="I59" s="13">
        <v>10.5</v>
      </c>
      <c r="J59" s="14">
        <v>2</v>
      </c>
      <c r="K59" s="12">
        <f>IFERROR(ROUND((fCaixa[[#This Row],[Venda]]/fCaixa[[#This Row],[Preço/Un.]]),0),0)</f>
        <v>124</v>
      </c>
      <c r="L59" s="15">
        <f>IFERROR((SUBSTITUTE(RIGHT(fCaixa[[#This Row],[Descrição]],3),"G","")*1 *fCaixa[[#This Row],[Qtd/Pães]]) / 1000,0)</f>
        <v>4.34</v>
      </c>
      <c r="M59" s="13">
        <f>IFERROR((((SUBSTITUTE(RIGHT(fCaixa[[#This Row],[Descrição]],3),"G","")*1) * fCaixa[[#This Row],[QTD Perdida]])/1000) *fCaixa[[#This Row],[Custo/KG.]],0)</f>
        <v>0.7350000000000001</v>
      </c>
      <c r="N59" s="15">
        <f>IF(fCaixa[[#This Row],[Lançamento]]="RECEITA",(fCaixa[[#This Row],[QTD Perdida]]* (SUBSTITUTE(RIGHT(fCaixa[[#This Row],[Descrição]],3),"G","")*1))/1000,0)</f>
        <v>7.0000000000000007E-2</v>
      </c>
      <c r="O59" s="15">
        <f>fCaixa[[#This Row],[Qtd/Kg]]+fCaixa[[#This Row],[Qtd/Kg Perdido]]</f>
        <v>4.41</v>
      </c>
      <c r="P59" s="13">
        <f>IF(fCaixa[[#This Row],[Lançamento]]="RECEITA",(fCaixa[[#This Row],[Qtd/Kg]]*fCaixa[[#This Row],[Custo/KG.]]),0)</f>
        <v>45.57</v>
      </c>
      <c r="Q59" s="34">
        <f>fCaixa[[#This Row],[Custoprimario]]+fCaixa[[#This Row],[Total Perdido]]</f>
        <v>46.305</v>
      </c>
      <c r="R59" s="16">
        <f>IFERROR(fCaixa[[#This Row],[Custoprimario]]/fCaixa[[#This Row],[Venda]],0)</f>
        <v>0.4918510523475445</v>
      </c>
      <c r="S59" s="16">
        <f>IFERROR(fCaixa[[#This Row],[Custofinal]]/fCaixa[[#This Row],[Venda]],0)</f>
        <v>0.49978413383702103</v>
      </c>
      <c r="T59" s="13">
        <f>IF(fCaixa[[#This Row],[Lançamento]]="RECEITA",fCaixa[[#This Row],[Venda]]-fCaixa[[#This Row],[Custoprimario]],0)</f>
        <v>47.080000000000005</v>
      </c>
      <c r="U59" s="16">
        <f>IFERROR(fCaixa[[#This Row],[Lucroprimario]]/fCaixa[[#This Row],[Venda]],0)</f>
        <v>0.50814894765245555</v>
      </c>
      <c r="V5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46.345000000000006</v>
      </c>
      <c r="W59" s="16">
        <f>IFERROR(fCaixa[[#This Row],[Lucrofinal]]/fCaixa[[#This Row],[Venda]],0)</f>
        <v>0.50021586616297897</v>
      </c>
    </row>
    <row r="60" spans="1:23" ht="16.5" hidden="1" x14ac:dyDescent="0.25">
      <c r="A60" s="17">
        <f t="shared" si="0"/>
        <v>59</v>
      </c>
      <c r="B60" s="87">
        <v>42978</v>
      </c>
      <c r="C60" s="12" t="s">
        <v>24</v>
      </c>
      <c r="D60" s="12" t="s">
        <v>25</v>
      </c>
      <c r="E60" s="12" t="s">
        <v>26</v>
      </c>
      <c r="F60" s="12" t="s">
        <v>27</v>
      </c>
      <c r="G60" s="13">
        <v>74</v>
      </c>
      <c r="H60" s="13">
        <v>0.75</v>
      </c>
      <c r="I60" s="13">
        <v>10.5</v>
      </c>
      <c r="J60" s="14">
        <v>5</v>
      </c>
      <c r="K60" s="12">
        <f>IFERROR(ROUND((fCaixa[[#This Row],[Venda]]/fCaixa[[#This Row],[Preço/Un.]]),0),0)</f>
        <v>99</v>
      </c>
      <c r="L60" s="15">
        <f>IFERROR((SUBSTITUTE(RIGHT(fCaixa[[#This Row],[Descrição]],3),"G","")*1 *fCaixa[[#This Row],[Qtd/Pães]]) / 1000,0)</f>
        <v>3.4649999999999999</v>
      </c>
      <c r="M60" s="13">
        <f>IFERROR((((SUBSTITUTE(RIGHT(fCaixa[[#This Row],[Descrição]],3),"G","")*1) * fCaixa[[#This Row],[QTD Perdida]])/1000) *fCaixa[[#This Row],[Custo/KG.]],0)</f>
        <v>1.8374999999999999</v>
      </c>
      <c r="N60" s="15">
        <f>IF(fCaixa[[#This Row],[Lançamento]]="RECEITA",(fCaixa[[#This Row],[QTD Perdida]]* (SUBSTITUTE(RIGHT(fCaixa[[#This Row],[Descrição]],3),"G","")*1))/1000,0)</f>
        <v>0.17499999999999999</v>
      </c>
      <c r="O60" s="15">
        <f>fCaixa[[#This Row],[Qtd/Kg]]+fCaixa[[#This Row],[Qtd/Kg Perdido]]</f>
        <v>3.6399999999999997</v>
      </c>
      <c r="P60" s="13">
        <f>IF(fCaixa[[#This Row],[Lançamento]]="RECEITA",(fCaixa[[#This Row],[Qtd/Kg]]*fCaixa[[#This Row],[Custo/KG.]]),0)</f>
        <v>36.3825</v>
      </c>
      <c r="Q60" s="34">
        <f>fCaixa[[#This Row],[Custoprimario]]+fCaixa[[#This Row],[Total Perdido]]</f>
        <v>38.22</v>
      </c>
      <c r="R60" s="16">
        <f>IFERROR(fCaixa[[#This Row],[Custoprimario]]/fCaixa[[#This Row],[Venda]],0)</f>
        <v>0.49165540540540542</v>
      </c>
      <c r="S60" s="16">
        <f>IFERROR(fCaixa[[#This Row],[Custofinal]]/fCaixa[[#This Row],[Venda]],0)</f>
        <v>0.51648648648648643</v>
      </c>
      <c r="T60" s="13">
        <f>IF(fCaixa[[#This Row],[Lançamento]]="RECEITA",fCaixa[[#This Row],[Venda]]-fCaixa[[#This Row],[Custoprimario]],0)</f>
        <v>37.6175</v>
      </c>
      <c r="U60" s="16">
        <f>IFERROR(fCaixa[[#This Row],[Lucroprimario]]/fCaixa[[#This Row],[Venda]],0)</f>
        <v>0.50834459459459458</v>
      </c>
      <c r="V6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35.78</v>
      </c>
      <c r="W60" s="16">
        <f>IFERROR(fCaixa[[#This Row],[Lucrofinal]]/fCaixa[[#This Row],[Venda]],0)</f>
        <v>0.48351351351351352</v>
      </c>
    </row>
    <row r="61" spans="1:23" ht="16.5" hidden="1" x14ac:dyDescent="0.25">
      <c r="A61" s="17">
        <f t="shared" si="0"/>
        <v>60</v>
      </c>
      <c r="B61" s="87">
        <v>42979</v>
      </c>
      <c r="C61" s="12" t="s">
        <v>24</v>
      </c>
      <c r="D61" s="12" t="s">
        <v>25</v>
      </c>
      <c r="E61" s="12" t="s">
        <v>26</v>
      </c>
      <c r="F61" s="12" t="s">
        <v>27</v>
      </c>
      <c r="G61" s="13">
        <v>72</v>
      </c>
      <c r="H61" s="13">
        <v>0.75</v>
      </c>
      <c r="I61" s="13">
        <v>10.5</v>
      </c>
      <c r="J61" s="14">
        <v>9</v>
      </c>
      <c r="K61" s="12">
        <f>IFERROR(ROUND((fCaixa[[#This Row],[Venda]]/fCaixa[[#This Row],[Preço/Un.]]),0),0)</f>
        <v>96</v>
      </c>
      <c r="L61" s="15">
        <f>IFERROR((SUBSTITUTE(RIGHT(fCaixa[[#This Row],[Descrição]],3),"G","")*1 *fCaixa[[#This Row],[Qtd/Pães]]) / 1000,0)</f>
        <v>3.36</v>
      </c>
      <c r="M61" s="13">
        <f>IFERROR((((SUBSTITUTE(RIGHT(fCaixa[[#This Row],[Descrição]],3),"G","")*1) * fCaixa[[#This Row],[QTD Perdida]])/1000) *fCaixa[[#This Row],[Custo/KG.]],0)</f>
        <v>3.3075000000000001</v>
      </c>
      <c r="N61" s="15">
        <f>IF(fCaixa[[#This Row],[Lançamento]]="RECEITA",(fCaixa[[#This Row],[QTD Perdida]]* (SUBSTITUTE(RIGHT(fCaixa[[#This Row],[Descrição]],3),"G","")*1))/1000,0)</f>
        <v>0.315</v>
      </c>
      <c r="O61" s="15">
        <f>fCaixa[[#This Row],[Qtd/Kg]]+fCaixa[[#This Row],[Qtd/Kg Perdido]]</f>
        <v>3.6749999999999998</v>
      </c>
      <c r="P61" s="13">
        <f>IF(fCaixa[[#This Row],[Lançamento]]="RECEITA",(fCaixa[[#This Row],[Qtd/Kg]]*fCaixa[[#This Row],[Custo/KG.]]),0)</f>
        <v>35.28</v>
      </c>
      <c r="Q61" s="34">
        <f>fCaixa[[#This Row],[Custoprimario]]+fCaixa[[#This Row],[Total Perdido]]</f>
        <v>38.587499999999999</v>
      </c>
      <c r="R61" s="16">
        <f>IFERROR(fCaixa[[#This Row],[Custoprimario]]/fCaixa[[#This Row],[Venda]],0)</f>
        <v>0.49</v>
      </c>
      <c r="S61" s="16">
        <f>IFERROR(fCaixa[[#This Row],[Custofinal]]/fCaixa[[#This Row],[Venda]],0)</f>
        <v>0.53593749999999996</v>
      </c>
      <c r="T61" s="13">
        <f>IF(fCaixa[[#This Row],[Lançamento]]="RECEITA",fCaixa[[#This Row],[Venda]]-fCaixa[[#This Row],[Custoprimario]],0)</f>
        <v>36.72</v>
      </c>
      <c r="U61" s="16">
        <f>IFERROR(fCaixa[[#This Row],[Lucroprimario]]/fCaixa[[#This Row],[Venda]],0)</f>
        <v>0.51</v>
      </c>
      <c r="V6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33.412500000000001</v>
      </c>
      <c r="W61" s="16">
        <f>IFERROR(fCaixa[[#This Row],[Lucrofinal]]/fCaixa[[#This Row],[Venda]],0)</f>
        <v>0.46406250000000004</v>
      </c>
    </row>
    <row r="62" spans="1:23" ht="16.5" hidden="1" x14ac:dyDescent="0.25">
      <c r="A62" s="17">
        <f t="shared" si="0"/>
        <v>61</v>
      </c>
      <c r="B62" s="87">
        <v>42979</v>
      </c>
      <c r="C62" s="12" t="s">
        <v>24</v>
      </c>
      <c r="D62" s="12" t="s">
        <v>25</v>
      </c>
      <c r="E62" s="12" t="s">
        <v>26</v>
      </c>
      <c r="F62" s="12" t="s">
        <v>27</v>
      </c>
      <c r="G62" s="13">
        <v>20</v>
      </c>
      <c r="H62" s="13">
        <v>0.7142857142857143</v>
      </c>
      <c r="I62" s="13">
        <v>10.5</v>
      </c>
      <c r="J62" s="14">
        <v>0</v>
      </c>
      <c r="K62" s="12">
        <f>IFERROR(ROUND((fCaixa[[#This Row],[Venda]]/fCaixa[[#This Row],[Preço/Un.]]),0),0)</f>
        <v>28</v>
      </c>
      <c r="L62" s="15">
        <f>IFERROR((SUBSTITUTE(RIGHT(fCaixa[[#This Row],[Descrição]],3),"G","")*1 *fCaixa[[#This Row],[Qtd/Pães]]) / 1000,0)</f>
        <v>0.98</v>
      </c>
      <c r="M62" s="13">
        <f>IFERROR((((SUBSTITUTE(RIGHT(fCaixa[[#This Row],[Descrição]],3),"G","")*1) * fCaixa[[#This Row],[QTD Perdida]])/1000) *fCaixa[[#This Row],[Custo/KG.]],0)</f>
        <v>0</v>
      </c>
      <c r="N62" s="15">
        <f>IF(fCaixa[[#This Row],[Lançamento]]="RECEITA",(fCaixa[[#This Row],[QTD Perdida]]* (SUBSTITUTE(RIGHT(fCaixa[[#This Row],[Descrição]],3),"G","")*1))/1000,0)</f>
        <v>0</v>
      </c>
      <c r="O62" s="15">
        <f>fCaixa[[#This Row],[Qtd/Kg]]+fCaixa[[#This Row],[Qtd/Kg Perdido]]</f>
        <v>0.98</v>
      </c>
      <c r="P62" s="13">
        <f>IF(fCaixa[[#This Row],[Lançamento]]="RECEITA",(fCaixa[[#This Row],[Qtd/Kg]]*fCaixa[[#This Row],[Custo/KG.]]),0)</f>
        <v>10.29</v>
      </c>
      <c r="Q62" s="34">
        <f>fCaixa[[#This Row],[Custoprimario]]+fCaixa[[#This Row],[Total Perdido]]</f>
        <v>10.29</v>
      </c>
      <c r="R62" s="16">
        <f>IFERROR(fCaixa[[#This Row],[Custoprimario]]/fCaixa[[#This Row],[Venda]],0)</f>
        <v>0.51449999999999996</v>
      </c>
      <c r="S62" s="16">
        <f>IFERROR(fCaixa[[#This Row],[Custofinal]]/fCaixa[[#This Row],[Venda]],0)</f>
        <v>0.51449999999999996</v>
      </c>
      <c r="T62" s="13">
        <f>IF(fCaixa[[#This Row],[Lançamento]]="RECEITA",fCaixa[[#This Row],[Venda]]-fCaixa[[#This Row],[Custoprimario]],0)</f>
        <v>9.7100000000000009</v>
      </c>
      <c r="U62" s="16">
        <f>IFERROR(fCaixa[[#This Row],[Lucroprimario]]/fCaixa[[#This Row],[Venda]],0)</f>
        <v>0.48550000000000004</v>
      </c>
      <c r="V6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9.7100000000000009</v>
      </c>
      <c r="W62" s="16">
        <f>IFERROR(fCaixa[[#This Row],[Lucrofinal]]/fCaixa[[#This Row],[Venda]],0)</f>
        <v>0.48550000000000004</v>
      </c>
    </row>
    <row r="63" spans="1:23" ht="16.5" hidden="1" x14ac:dyDescent="0.25">
      <c r="A63" s="17">
        <f t="shared" si="0"/>
        <v>62</v>
      </c>
      <c r="B63" s="87">
        <v>42980</v>
      </c>
      <c r="C63" s="12" t="s">
        <v>24</v>
      </c>
      <c r="D63" s="12" t="s">
        <v>25</v>
      </c>
      <c r="E63" s="12" t="s">
        <v>26</v>
      </c>
      <c r="F63" s="12" t="s">
        <v>28</v>
      </c>
      <c r="G63" s="13">
        <v>143</v>
      </c>
      <c r="H63" s="13">
        <v>0.5</v>
      </c>
      <c r="I63" s="13">
        <v>8</v>
      </c>
      <c r="J63" s="14">
        <v>0</v>
      </c>
      <c r="K63" s="12">
        <f>IFERROR(ROUND((fCaixa[[#This Row],[Venda]]/fCaixa[[#This Row],[Preço/Un.]]),0),0)</f>
        <v>286</v>
      </c>
      <c r="L63" s="15">
        <f>IFERROR((SUBSTITUTE(RIGHT(fCaixa[[#This Row],[Descrição]],3),"G","")*1 *fCaixa[[#This Row],[Qtd/Pães]]) / 1000,0)</f>
        <v>10.01</v>
      </c>
      <c r="M63" s="13">
        <f>IFERROR((((SUBSTITUTE(RIGHT(fCaixa[[#This Row],[Descrição]],3),"G","")*1) * fCaixa[[#This Row],[QTD Perdida]])/1000) *fCaixa[[#This Row],[Custo/KG.]],0)</f>
        <v>0</v>
      </c>
      <c r="N63" s="15">
        <f>IF(fCaixa[[#This Row],[Lançamento]]="RECEITA",(fCaixa[[#This Row],[QTD Perdida]]* (SUBSTITUTE(RIGHT(fCaixa[[#This Row],[Descrição]],3),"G","")*1))/1000,0)</f>
        <v>0</v>
      </c>
      <c r="O63" s="15">
        <f>fCaixa[[#This Row],[Qtd/Kg]]+fCaixa[[#This Row],[Qtd/Kg Perdido]]</f>
        <v>10.01</v>
      </c>
      <c r="P63" s="13">
        <f>IF(fCaixa[[#This Row],[Lançamento]]="RECEITA",(fCaixa[[#This Row],[Qtd/Kg]]*fCaixa[[#This Row],[Custo/KG.]]),0)</f>
        <v>80.08</v>
      </c>
      <c r="Q63" s="34">
        <f>fCaixa[[#This Row],[Custoprimario]]+fCaixa[[#This Row],[Total Perdido]]</f>
        <v>80.08</v>
      </c>
      <c r="R63" s="16">
        <f>IFERROR(fCaixa[[#This Row],[Custoprimario]]/fCaixa[[#This Row],[Venda]],0)</f>
        <v>0.55999999999999994</v>
      </c>
      <c r="S63" s="16">
        <f>IFERROR(fCaixa[[#This Row],[Custofinal]]/fCaixa[[#This Row],[Venda]],0)</f>
        <v>0.55999999999999994</v>
      </c>
      <c r="T63" s="13">
        <f>IF(fCaixa[[#This Row],[Lançamento]]="RECEITA",fCaixa[[#This Row],[Venda]]-fCaixa[[#This Row],[Custoprimario]],0)</f>
        <v>62.92</v>
      </c>
      <c r="U63" s="16">
        <f>IFERROR(fCaixa[[#This Row],[Lucroprimario]]/fCaixa[[#This Row],[Venda]],0)</f>
        <v>0.44</v>
      </c>
      <c r="V6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62.92</v>
      </c>
      <c r="W63" s="16">
        <f>IFERROR(fCaixa[[#This Row],[Lucrofinal]]/fCaixa[[#This Row],[Venda]],0)</f>
        <v>0.44</v>
      </c>
    </row>
    <row r="64" spans="1:23" ht="16.5" hidden="1" x14ac:dyDescent="0.25">
      <c r="A64" s="17">
        <f t="shared" si="0"/>
        <v>63</v>
      </c>
      <c r="B64" s="87">
        <v>42982</v>
      </c>
      <c r="C64" s="12" t="s">
        <v>24</v>
      </c>
      <c r="D64" s="12" t="s">
        <v>25</v>
      </c>
      <c r="E64" s="12" t="s">
        <v>26</v>
      </c>
      <c r="F64" s="12" t="s">
        <v>27</v>
      </c>
      <c r="G64" s="13">
        <v>67.3</v>
      </c>
      <c r="H64" s="13">
        <v>0.75</v>
      </c>
      <c r="I64" s="13">
        <v>10.5</v>
      </c>
      <c r="J64" s="14">
        <v>30</v>
      </c>
      <c r="K64" s="12">
        <f>IFERROR(ROUND((fCaixa[[#This Row],[Venda]]/fCaixa[[#This Row],[Preço/Un.]]),0),0)</f>
        <v>90</v>
      </c>
      <c r="L64" s="15">
        <f>IFERROR((SUBSTITUTE(RIGHT(fCaixa[[#This Row],[Descrição]],3),"G","")*1 *fCaixa[[#This Row],[Qtd/Pães]]) / 1000,0)</f>
        <v>3.15</v>
      </c>
      <c r="M64" s="13">
        <f>IFERROR((((SUBSTITUTE(RIGHT(fCaixa[[#This Row],[Descrição]],3),"G","")*1) * fCaixa[[#This Row],[QTD Perdida]])/1000) *fCaixa[[#This Row],[Custo/KG.]],0)</f>
        <v>11.025</v>
      </c>
      <c r="N64" s="15">
        <f>IF(fCaixa[[#This Row],[Lançamento]]="RECEITA",(fCaixa[[#This Row],[QTD Perdida]]* (SUBSTITUTE(RIGHT(fCaixa[[#This Row],[Descrição]],3),"G","")*1))/1000,0)</f>
        <v>1.05</v>
      </c>
      <c r="O64" s="15">
        <f>fCaixa[[#This Row],[Qtd/Kg]]+fCaixa[[#This Row],[Qtd/Kg Perdido]]</f>
        <v>4.2</v>
      </c>
      <c r="P64" s="13">
        <f>IF(fCaixa[[#This Row],[Lançamento]]="RECEITA",(fCaixa[[#This Row],[Qtd/Kg]]*fCaixa[[#This Row],[Custo/KG.]]),0)</f>
        <v>33.074999999999996</v>
      </c>
      <c r="Q64" s="34">
        <f>fCaixa[[#This Row],[Custoprimario]]+fCaixa[[#This Row],[Total Perdido]]</f>
        <v>44.099999999999994</v>
      </c>
      <c r="R64" s="16">
        <f>IFERROR(fCaixa[[#This Row],[Custoprimario]]/fCaixa[[#This Row],[Venda]],0)</f>
        <v>0.49145616641901929</v>
      </c>
      <c r="S64" s="16">
        <f>IFERROR(fCaixa[[#This Row],[Custofinal]]/fCaixa[[#This Row],[Venda]],0)</f>
        <v>0.65527488855869231</v>
      </c>
      <c r="T64" s="13">
        <f>IF(fCaixa[[#This Row],[Lançamento]]="RECEITA",fCaixa[[#This Row],[Venda]]-fCaixa[[#This Row],[Custoprimario]],0)</f>
        <v>34.225000000000001</v>
      </c>
      <c r="U64" s="16">
        <f>IFERROR(fCaixa[[#This Row],[Lucroprimario]]/fCaixa[[#This Row],[Venda]],0)</f>
        <v>0.50854383358098076</v>
      </c>
      <c r="V6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23.200000000000003</v>
      </c>
      <c r="W64" s="16">
        <f>IFERROR(fCaixa[[#This Row],[Lucrofinal]]/fCaixa[[#This Row],[Venda]],0)</f>
        <v>0.34472511144130763</v>
      </c>
    </row>
    <row r="65" spans="1:23" ht="16.5" hidden="1" x14ac:dyDescent="0.25">
      <c r="A65" s="17">
        <f t="shared" si="0"/>
        <v>64</v>
      </c>
      <c r="B65" s="87">
        <v>42983</v>
      </c>
      <c r="C65" s="12" t="s">
        <v>24</v>
      </c>
      <c r="D65" s="12" t="s">
        <v>25</v>
      </c>
      <c r="E65" s="12" t="s">
        <v>26</v>
      </c>
      <c r="F65" s="12" t="s">
        <v>27</v>
      </c>
      <c r="G65" s="13">
        <v>34.25</v>
      </c>
      <c r="H65" s="13">
        <v>0.75</v>
      </c>
      <c r="I65" s="13">
        <v>10.5</v>
      </c>
      <c r="J65" s="14">
        <v>30</v>
      </c>
      <c r="K65" s="12">
        <f>IFERROR(ROUND((fCaixa[[#This Row],[Venda]]/fCaixa[[#This Row],[Preço/Un.]]),0),0)</f>
        <v>46</v>
      </c>
      <c r="L65" s="15">
        <f>IFERROR((SUBSTITUTE(RIGHT(fCaixa[[#This Row],[Descrição]],3),"G","")*1 *fCaixa[[#This Row],[Qtd/Pães]]) / 1000,0)</f>
        <v>1.61</v>
      </c>
      <c r="M65" s="13">
        <f>IFERROR((((SUBSTITUTE(RIGHT(fCaixa[[#This Row],[Descrição]],3),"G","")*1) * fCaixa[[#This Row],[QTD Perdida]])/1000) *fCaixa[[#This Row],[Custo/KG.]],0)</f>
        <v>11.025</v>
      </c>
      <c r="N65" s="15">
        <f>IF(fCaixa[[#This Row],[Lançamento]]="RECEITA",(fCaixa[[#This Row],[QTD Perdida]]* (SUBSTITUTE(RIGHT(fCaixa[[#This Row],[Descrição]],3),"G","")*1))/1000,0)</f>
        <v>1.05</v>
      </c>
      <c r="O65" s="15">
        <f>fCaixa[[#This Row],[Qtd/Kg]]+fCaixa[[#This Row],[Qtd/Kg Perdido]]</f>
        <v>2.66</v>
      </c>
      <c r="P65" s="13">
        <f>IF(fCaixa[[#This Row],[Lançamento]]="RECEITA",(fCaixa[[#This Row],[Qtd/Kg]]*fCaixa[[#This Row],[Custo/KG.]]),0)</f>
        <v>16.905000000000001</v>
      </c>
      <c r="Q65" s="34">
        <f>fCaixa[[#This Row],[Custoprimario]]+fCaixa[[#This Row],[Total Perdido]]</f>
        <v>27.93</v>
      </c>
      <c r="R65" s="16">
        <f>IFERROR(fCaixa[[#This Row],[Custoprimario]]/fCaixa[[#This Row],[Venda]],0)</f>
        <v>0.49357664233576648</v>
      </c>
      <c r="S65" s="16">
        <f>IFERROR(fCaixa[[#This Row],[Custofinal]]/fCaixa[[#This Row],[Venda]],0)</f>
        <v>0.81547445255474449</v>
      </c>
      <c r="T65" s="13">
        <f>IF(fCaixa[[#This Row],[Lançamento]]="RECEITA",fCaixa[[#This Row],[Venda]]-fCaixa[[#This Row],[Custoprimario]],0)</f>
        <v>17.344999999999999</v>
      </c>
      <c r="U65" s="16">
        <f>IFERROR(fCaixa[[#This Row],[Lucroprimario]]/fCaixa[[#This Row],[Venda]],0)</f>
        <v>0.50642335766423352</v>
      </c>
      <c r="V6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6.32</v>
      </c>
      <c r="W65" s="16">
        <f>IFERROR(fCaixa[[#This Row],[Lucrofinal]]/fCaixa[[#This Row],[Venda]],0)</f>
        <v>0.18452554744525548</v>
      </c>
    </row>
    <row r="66" spans="1:23" ht="16.5" hidden="1" x14ac:dyDescent="0.25">
      <c r="A66" s="17">
        <f t="shared" ref="A66:A129" si="1">ROW($A65)</f>
        <v>65</v>
      </c>
      <c r="B66" s="87">
        <v>42984</v>
      </c>
      <c r="C66" s="12" t="s">
        <v>24</v>
      </c>
      <c r="D66" s="12" t="s">
        <v>25</v>
      </c>
      <c r="E66" s="12" t="s">
        <v>26</v>
      </c>
      <c r="F66" s="12" t="s">
        <v>27</v>
      </c>
      <c r="G66" s="13">
        <v>67.55</v>
      </c>
      <c r="H66" s="13">
        <v>0.75</v>
      </c>
      <c r="I66" s="13">
        <v>10.5</v>
      </c>
      <c r="J66" s="14">
        <v>0</v>
      </c>
      <c r="K66" s="12">
        <f>IFERROR(ROUND((fCaixa[[#This Row],[Venda]]/fCaixa[[#This Row],[Preço/Un.]]),0),0)</f>
        <v>90</v>
      </c>
      <c r="L66" s="15">
        <f>IFERROR((SUBSTITUTE(RIGHT(fCaixa[[#This Row],[Descrição]],3),"G","")*1 *fCaixa[[#This Row],[Qtd/Pães]]) / 1000,0)</f>
        <v>3.15</v>
      </c>
      <c r="M66" s="13">
        <f>IFERROR((((SUBSTITUTE(RIGHT(fCaixa[[#This Row],[Descrição]],3),"G","")*1) * fCaixa[[#This Row],[QTD Perdida]])/1000) *fCaixa[[#This Row],[Custo/KG.]],0)</f>
        <v>0</v>
      </c>
      <c r="N66" s="15">
        <f>IF(fCaixa[[#This Row],[Lançamento]]="RECEITA",(fCaixa[[#This Row],[QTD Perdida]]* (SUBSTITUTE(RIGHT(fCaixa[[#This Row],[Descrição]],3),"G","")*1))/1000,0)</f>
        <v>0</v>
      </c>
      <c r="O66" s="15">
        <f>fCaixa[[#This Row],[Qtd/Kg]]+fCaixa[[#This Row],[Qtd/Kg Perdido]]</f>
        <v>3.15</v>
      </c>
      <c r="P66" s="13">
        <f>IF(fCaixa[[#This Row],[Lançamento]]="RECEITA",(fCaixa[[#This Row],[Qtd/Kg]]*fCaixa[[#This Row],[Custo/KG.]]),0)</f>
        <v>33.074999999999996</v>
      </c>
      <c r="Q66" s="34">
        <f>fCaixa[[#This Row],[Custoprimario]]+fCaixa[[#This Row],[Total Perdido]]</f>
        <v>33.074999999999996</v>
      </c>
      <c r="R66" s="16">
        <f>IFERROR(fCaixa[[#This Row],[Custoprimario]]/fCaixa[[#This Row],[Venda]],0)</f>
        <v>0.48963730569948183</v>
      </c>
      <c r="S66" s="16">
        <f>IFERROR(fCaixa[[#This Row],[Custofinal]]/fCaixa[[#This Row],[Venda]],0)</f>
        <v>0.48963730569948183</v>
      </c>
      <c r="T66" s="13">
        <f>IF(fCaixa[[#This Row],[Lançamento]]="RECEITA",fCaixa[[#This Row],[Venda]]-fCaixa[[#This Row],[Custoprimario]],0)</f>
        <v>34.475000000000001</v>
      </c>
      <c r="U66" s="16">
        <f>IFERROR(fCaixa[[#This Row],[Lucroprimario]]/fCaixa[[#This Row],[Venda]],0)</f>
        <v>0.51036269430051817</v>
      </c>
      <c r="V6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34.475000000000001</v>
      </c>
      <c r="W66" s="16">
        <f>IFERROR(fCaixa[[#This Row],[Lucrofinal]]/fCaixa[[#This Row],[Venda]],0)</f>
        <v>0.51036269430051817</v>
      </c>
    </row>
    <row r="67" spans="1:23" ht="16.5" hidden="1" x14ac:dyDescent="0.25">
      <c r="A67" s="17">
        <f t="shared" si="1"/>
        <v>66</v>
      </c>
      <c r="B67" s="87">
        <v>42985</v>
      </c>
      <c r="C67" s="12" t="s">
        <v>29</v>
      </c>
      <c r="D67" s="12" t="s">
        <v>25</v>
      </c>
      <c r="E67" s="12" t="s">
        <v>32</v>
      </c>
      <c r="F67" s="12" t="s">
        <v>27</v>
      </c>
      <c r="G67" s="13">
        <v>70</v>
      </c>
      <c r="H67" s="13">
        <v>0</v>
      </c>
      <c r="I67" s="13">
        <v>0</v>
      </c>
      <c r="J67" s="14">
        <v>0</v>
      </c>
      <c r="K67" s="17">
        <f>IFERROR(ROUND((fCaixa[[#This Row],[Venda]]/fCaixa[[#This Row],[Preço/Un.]]),0),0)</f>
        <v>0</v>
      </c>
      <c r="L67" s="15">
        <f>IFERROR((SUBSTITUTE(RIGHT(fCaixa[[#This Row],[Descrição]],3),"G","")*1 *fCaixa[[#This Row],[Qtd/Pães]]) / 1000,0)</f>
        <v>0</v>
      </c>
      <c r="M67" s="13">
        <f>IFERROR((((SUBSTITUTE(RIGHT(fCaixa[[#This Row],[Descrição]],3),"G","")*1) * fCaixa[[#This Row],[QTD Perdida]])/1000) *fCaixa[[#This Row],[Custo/KG.]],0)</f>
        <v>0</v>
      </c>
      <c r="N67" s="15">
        <f>IF(fCaixa[[#This Row],[Lançamento]]="RECEITA",(fCaixa[[#This Row],[QTD Perdida]]* (SUBSTITUTE(RIGHT(fCaixa[[#This Row],[Descrição]],3),"G","")*1))/1000,0)</f>
        <v>0</v>
      </c>
      <c r="O67" s="15">
        <f>fCaixa[[#This Row],[Qtd/Kg]]+fCaixa[[#This Row],[Qtd/Kg Perdido]]</f>
        <v>0</v>
      </c>
      <c r="P67" s="13">
        <f>IF(fCaixa[[#This Row],[Lançamento]]="RECEITA",(fCaixa[[#This Row],[Qtd/Kg]]*fCaixa[[#This Row],[Custo/KG.]]),0)</f>
        <v>0</v>
      </c>
      <c r="Q67" s="34">
        <f>fCaixa[[#This Row],[Custoprimario]]+fCaixa[[#This Row],[Total Perdido]]</f>
        <v>0</v>
      </c>
      <c r="R67" s="16">
        <f>IFERROR(fCaixa[[#This Row],[Custoprimario]]/fCaixa[[#This Row],[Venda]],0)</f>
        <v>0</v>
      </c>
      <c r="S67" s="16">
        <f>IFERROR(fCaixa[[#This Row],[Custofinal]]/fCaixa[[#This Row],[Venda]],0)</f>
        <v>0</v>
      </c>
      <c r="T67" s="13">
        <f>IF(fCaixa[[#This Row],[Lançamento]]="RECEITA",fCaixa[[#This Row],[Venda]]-fCaixa[[#This Row],[Custoprimario]],0)</f>
        <v>0</v>
      </c>
      <c r="U67" s="16">
        <f>IFERROR(fCaixa[[#This Row],[Lucroprimario]]/fCaixa[[#This Row],[Venda]],0)</f>
        <v>0</v>
      </c>
      <c r="V6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67" s="16">
        <f>IFERROR(fCaixa[[#This Row],[Lucrofinal]]/fCaixa[[#This Row],[Venda]],0)</f>
        <v>0</v>
      </c>
    </row>
    <row r="68" spans="1:23" ht="16.5" hidden="1" x14ac:dyDescent="0.25">
      <c r="A68" s="17">
        <f t="shared" si="1"/>
        <v>67</v>
      </c>
      <c r="B68" s="87">
        <v>42986</v>
      </c>
      <c r="C68" s="12" t="s">
        <v>24</v>
      </c>
      <c r="D68" s="12" t="s">
        <v>25</v>
      </c>
      <c r="E68" s="12" t="s">
        <v>26</v>
      </c>
      <c r="F68" s="12" t="s">
        <v>27</v>
      </c>
      <c r="G68" s="13">
        <v>55.05</v>
      </c>
      <c r="H68" s="13">
        <v>0.75</v>
      </c>
      <c r="I68" s="13">
        <v>0</v>
      </c>
      <c r="J68" s="14">
        <v>0</v>
      </c>
      <c r="K68" s="12">
        <f>IFERROR(ROUND((fCaixa[[#This Row],[Venda]]/fCaixa[[#This Row],[Preço/Un.]]),0),0)</f>
        <v>73</v>
      </c>
      <c r="L68" s="15">
        <f>IFERROR((SUBSTITUTE(RIGHT(fCaixa[[#This Row],[Descrição]],3),"G","")*1 *fCaixa[[#This Row],[Qtd/Pães]]) / 1000,0)</f>
        <v>2.5550000000000002</v>
      </c>
      <c r="M68" s="13">
        <f>IFERROR((((SUBSTITUTE(RIGHT(fCaixa[[#This Row],[Descrição]],3),"G","")*1) * fCaixa[[#This Row],[QTD Perdida]])/1000) *fCaixa[[#This Row],[Custo/KG.]],0)</f>
        <v>0</v>
      </c>
      <c r="N68" s="15">
        <f>IF(fCaixa[[#This Row],[Lançamento]]="RECEITA",(fCaixa[[#This Row],[QTD Perdida]]* (SUBSTITUTE(RIGHT(fCaixa[[#This Row],[Descrição]],3),"G","")*1))/1000,0)</f>
        <v>0</v>
      </c>
      <c r="O68" s="15">
        <f>fCaixa[[#This Row],[Qtd/Kg]]+fCaixa[[#This Row],[Qtd/Kg Perdido]]</f>
        <v>2.5550000000000002</v>
      </c>
      <c r="P68" s="13">
        <f>IF(fCaixa[[#This Row],[Lançamento]]="RECEITA",(fCaixa[[#This Row],[Qtd/Kg]]*fCaixa[[#This Row],[Custo/KG.]]),0)</f>
        <v>0</v>
      </c>
      <c r="Q68" s="34">
        <f>fCaixa[[#This Row],[Custoprimario]]+fCaixa[[#This Row],[Total Perdido]]</f>
        <v>0</v>
      </c>
      <c r="R68" s="16">
        <f>IFERROR(fCaixa[[#This Row],[Custoprimario]]/fCaixa[[#This Row],[Venda]],0)</f>
        <v>0</v>
      </c>
      <c r="S68" s="16">
        <f>IFERROR(fCaixa[[#This Row],[Custofinal]]/fCaixa[[#This Row],[Venda]],0)</f>
        <v>0</v>
      </c>
      <c r="T68" s="13">
        <f>IF(fCaixa[[#This Row],[Lançamento]]="RECEITA",fCaixa[[#This Row],[Venda]]-fCaixa[[#This Row],[Custoprimario]],0)</f>
        <v>55.05</v>
      </c>
      <c r="U68" s="16">
        <f>IFERROR(fCaixa[[#This Row],[Lucroprimario]]/fCaixa[[#This Row],[Venda]],0)</f>
        <v>1</v>
      </c>
      <c r="V6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55.05</v>
      </c>
      <c r="W68" s="16">
        <f>IFERROR(fCaixa[[#This Row],[Lucrofinal]]/fCaixa[[#This Row],[Venda]],0)</f>
        <v>1</v>
      </c>
    </row>
    <row r="69" spans="1:23" ht="16.5" hidden="1" x14ac:dyDescent="0.25">
      <c r="A69" s="17">
        <f t="shared" si="1"/>
        <v>68</v>
      </c>
      <c r="B69" s="87">
        <v>42989</v>
      </c>
      <c r="C69" s="12" t="s">
        <v>24</v>
      </c>
      <c r="D69" s="12" t="s">
        <v>25</v>
      </c>
      <c r="E69" s="12" t="s">
        <v>26</v>
      </c>
      <c r="F69" s="12" t="s">
        <v>27</v>
      </c>
      <c r="G69" s="13">
        <v>21</v>
      </c>
      <c r="H69" s="13">
        <v>0.75</v>
      </c>
      <c r="I69" s="13">
        <v>8</v>
      </c>
      <c r="J69" s="14">
        <v>4</v>
      </c>
      <c r="K69" s="12">
        <f>IFERROR(ROUND((fCaixa[[#This Row],[Venda]]/fCaixa[[#This Row],[Preço/Un.]]),0),0)</f>
        <v>28</v>
      </c>
      <c r="L69" s="15">
        <f>IFERROR((SUBSTITUTE(RIGHT(fCaixa[[#This Row],[Descrição]],3),"G","")*1 *fCaixa[[#This Row],[Qtd/Pães]]) / 1000,0)</f>
        <v>0.98</v>
      </c>
      <c r="M69" s="13">
        <f>IFERROR((((SUBSTITUTE(RIGHT(fCaixa[[#This Row],[Descrição]],3),"G","")*1) * fCaixa[[#This Row],[QTD Perdida]])/1000) *fCaixa[[#This Row],[Custo/KG.]],0)</f>
        <v>1.1200000000000001</v>
      </c>
      <c r="N69" s="15">
        <f>IF(fCaixa[[#This Row],[Lançamento]]="RECEITA",(fCaixa[[#This Row],[QTD Perdida]]* (SUBSTITUTE(RIGHT(fCaixa[[#This Row],[Descrição]],3),"G","")*1))/1000,0)</f>
        <v>0.14000000000000001</v>
      </c>
      <c r="O69" s="15">
        <f>fCaixa[[#This Row],[Qtd/Kg]]+fCaixa[[#This Row],[Qtd/Kg Perdido]]</f>
        <v>1.1200000000000001</v>
      </c>
      <c r="P69" s="13">
        <f>IF(fCaixa[[#This Row],[Lançamento]]="RECEITA",(fCaixa[[#This Row],[Qtd/Kg]]*fCaixa[[#This Row],[Custo/KG.]]),0)</f>
        <v>7.84</v>
      </c>
      <c r="Q69" s="34">
        <f>fCaixa[[#This Row],[Custoprimario]]+fCaixa[[#This Row],[Total Perdido]]</f>
        <v>8.9600000000000009</v>
      </c>
      <c r="R69" s="16">
        <f>IFERROR(fCaixa[[#This Row],[Custoprimario]]/fCaixa[[#This Row],[Venda]],0)</f>
        <v>0.37333333333333335</v>
      </c>
      <c r="S69" s="16">
        <f>IFERROR(fCaixa[[#This Row],[Custofinal]]/fCaixa[[#This Row],[Venda]],0)</f>
        <v>0.42666666666666669</v>
      </c>
      <c r="T69" s="13">
        <f>IF(fCaixa[[#This Row],[Lançamento]]="RECEITA",fCaixa[[#This Row],[Venda]]-fCaixa[[#This Row],[Custoprimario]],0)</f>
        <v>13.16</v>
      </c>
      <c r="U69" s="16">
        <f>IFERROR(fCaixa[[#This Row],[Lucroprimario]]/fCaixa[[#This Row],[Venda]],0)</f>
        <v>0.62666666666666671</v>
      </c>
      <c r="V6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12.04</v>
      </c>
      <c r="W69" s="16">
        <f>IFERROR(fCaixa[[#This Row],[Lucrofinal]]/fCaixa[[#This Row],[Venda]],0)</f>
        <v>0.57333333333333325</v>
      </c>
    </row>
    <row r="70" spans="1:23" ht="16.5" hidden="1" x14ac:dyDescent="0.25">
      <c r="A70" s="17">
        <f t="shared" si="1"/>
        <v>69</v>
      </c>
      <c r="B70" s="87">
        <v>42990</v>
      </c>
      <c r="C70" s="12" t="s">
        <v>24</v>
      </c>
      <c r="D70" s="12" t="s">
        <v>25</v>
      </c>
      <c r="E70" s="12" t="s">
        <v>26</v>
      </c>
      <c r="F70" s="12" t="s">
        <v>27</v>
      </c>
      <c r="G70" s="13">
        <f>15.75</f>
        <v>15.75</v>
      </c>
      <c r="H70" s="13">
        <v>0.75</v>
      </c>
      <c r="I70" s="13">
        <v>10.5</v>
      </c>
      <c r="J70" s="14">
        <v>24</v>
      </c>
      <c r="K70" s="17">
        <f>IFERROR(ROUND((fCaixa[[#This Row],[Venda]]/fCaixa[[#This Row],[Preço/Un.]]),0),0)</f>
        <v>21</v>
      </c>
      <c r="L70" s="15">
        <f>IFERROR((SUBSTITUTE(RIGHT(fCaixa[[#This Row],[Descrição]],3),"G","")*1 *fCaixa[[#This Row],[Qtd/Pães]]) / 1000,0)</f>
        <v>0.73499999999999999</v>
      </c>
      <c r="M70" s="13">
        <f>IFERROR((((SUBSTITUTE(RIGHT(fCaixa[[#This Row],[Descrição]],3),"G","")*1) * fCaixa[[#This Row],[QTD Perdida]])/1000) *fCaixa[[#This Row],[Custo/KG.]],0)</f>
        <v>8.82</v>
      </c>
      <c r="N70" s="15">
        <f>IF(fCaixa[[#This Row],[Lançamento]]="RECEITA",(fCaixa[[#This Row],[QTD Perdida]]* (SUBSTITUTE(RIGHT(fCaixa[[#This Row],[Descrição]],3),"G","")*1))/1000,0)</f>
        <v>0.84</v>
      </c>
      <c r="O70" s="15">
        <f>fCaixa[[#This Row],[Qtd/Kg]]+fCaixa[[#This Row],[Qtd/Kg Perdido]]</f>
        <v>1.575</v>
      </c>
      <c r="P70" s="13">
        <f>IF(fCaixa[[#This Row],[Lançamento]]="RECEITA",(fCaixa[[#This Row],[Qtd/Kg]]*fCaixa[[#This Row],[Custo/KG.]]),0)</f>
        <v>7.7175000000000002</v>
      </c>
      <c r="Q70" s="34">
        <f>fCaixa[[#This Row],[Custoprimario]]+fCaixa[[#This Row],[Total Perdido]]</f>
        <v>16.537500000000001</v>
      </c>
      <c r="R70" s="16">
        <f>IFERROR(fCaixa[[#This Row],[Custoprimario]]/fCaixa[[#This Row],[Venda]],0)</f>
        <v>0.49</v>
      </c>
      <c r="S70" s="16">
        <f>IFERROR(fCaixa[[#This Row],[Custofinal]]/fCaixa[[#This Row],[Venda]],0)</f>
        <v>1.05</v>
      </c>
      <c r="T70" s="13">
        <f>IF(fCaixa[[#This Row],[Lançamento]]="RECEITA",fCaixa[[#This Row],[Venda]]-fCaixa[[#This Row],[Custoprimario]],0)</f>
        <v>8.0324999999999989</v>
      </c>
      <c r="U70" s="16">
        <f>IFERROR(fCaixa[[#This Row],[Lucroprimario]]/fCaixa[[#This Row],[Venda]],0)</f>
        <v>0.5099999999999999</v>
      </c>
      <c r="V7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-0.78750000000000142</v>
      </c>
      <c r="W70" s="16">
        <f>IFERROR(fCaixa[[#This Row],[Lucrofinal]]/fCaixa[[#This Row],[Venda]],0)</f>
        <v>-5.0000000000000093E-2</v>
      </c>
    </row>
    <row r="71" spans="1:23" ht="16.5" hidden="1" x14ac:dyDescent="0.25">
      <c r="A71" s="17">
        <f t="shared" si="1"/>
        <v>70</v>
      </c>
      <c r="B71" s="87">
        <v>42991</v>
      </c>
      <c r="C71" s="12" t="s">
        <v>24</v>
      </c>
      <c r="D71" s="12" t="s">
        <v>25</v>
      </c>
      <c r="E71" s="12" t="s">
        <v>26</v>
      </c>
      <c r="F71" s="12" t="s">
        <v>27</v>
      </c>
      <c r="G71" s="13">
        <v>18.75</v>
      </c>
      <c r="H71" s="13">
        <v>0.75</v>
      </c>
      <c r="I71" s="13">
        <v>10.5</v>
      </c>
      <c r="J71" s="14">
        <v>5</v>
      </c>
      <c r="K71" s="17">
        <f>IFERROR(ROUND((fCaixa[[#This Row],[Venda]]/fCaixa[[#This Row],[Preço/Un.]]),0),0)</f>
        <v>25</v>
      </c>
      <c r="L71" s="15">
        <f>IFERROR((SUBSTITUTE(RIGHT(fCaixa[[#This Row],[Descrição]],3),"G","")*1 *fCaixa[[#This Row],[Qtd/Pães]]) / 1000,0)</f>
        <v>0.875</v>
      </c>
      <c r="M71" s="13">
        <f>IFERROR((((SUBSTITUTE(RIGHT(fCaixa[[#This Row],[Descrição]],3),"G","")*1) * fCaixa[[#This Row],[QTD Perdida]])/1000) *fCaixa[[#This Row],[Custo/KG.]],0)</f>
        <v>1.8374999999999999</v>
      </c>
      <c r="N71" s="15">
        <f>IF(fCaixa[[#This Row],[Lançamento]]="RECEITA",(fCaixa[[#This Row],[QTD Perdida]]* (SUBSTITUTE(RIGHT(fCaixa[[#This Row],[Descrição]],3),"G","")*1))/1000,0)</f>
        <v>0.17499999999999999</v>
      </c>
      <c r="O71" s="15">
        <f>fCaixa[[#This Row],[Qtd/Kg]]+fCaixa[[#This Row],[Qtd/Kg Perdido]]</f>
        <v>1.05</v>
      </c>
      <c r="P71" s="13">
        <f>IF(fCaixa[[#This Row],[Lançamento]]="RECEITA",(fCaixa[[#This Row],[Qtd/Kg]]*fCaixa[[#This Row],[Custo/KG.]]),0)</f>
        <v>9.1875</v>
      </c>
      <c r="Q71" s="34">
        <f>fCaixa[[#This Row],[Custoprimario]]+fCaixa[[#This Row],[Total Perdido]]</f>
        <v>11.025</v>
      </c>
      <c r="R71" s="16">
        <f>IFERROR(fCaixa[[#This Row],[Custoprimario]]/fCaixa[[#This Row],[Venda]],0)</f>
        <v>0.49</v>
      </c>
      <c r="S71" s="16">
        <f>IFERROR(fCaixa[[#This Row],[Custofinal]]/fCaixa[[#This Row],[Venda]],0)</f>
        <v>0.58799999999999997</v>
      </c>
      <c r="T71" s="13">
        <f>IF(fCaixa[[#This Row],[Lançamento]]="RECEITA",fCaixa[[#This Row],[Venda]]-fCaixa[[#This Row],[Custoprimario]],0)</f>
        <v>9.5625</v>
      </c>
      <c r="U71" s="16">
        <f>IFERROR(fCaixa[[#This Row],[Lucroprimario]]/fCaixa[[#This Row],[Venda]],0)</f>
        <v>0.51</v>
      </c>
      <c r="V7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7.7249999999999996</v>
      </c>
      <c r="W71" s="16">
        <f>IFERROR(fCaixa[[#This Row],[Lucrofinal]]/fCaixa[[#This Row],[Venda]],0)</f>
        <v>0.41199999999999998</v>
      </c>
    </row>
    <row r="72" spans="1:23" ht="16.5" hidden="1" x14ac:dyDescent="0.25">
      <c r="A72" s="17">
        <f t="shared" si="1"/>
        <v>71</v>
      </c>
      <c r="B72" s="87">
        <v>42992</v>
      </c>
      <c r="C72" s="12" t="s">
        <v>24</v>
      </c>
      <c r="D72" s="12" t="s">
        <v>25</v>
      </c>
      <c r="E72" s="12" t="s">
        <v>26</v>
      </c>
      <c r="F72" s="12" t="s">
        <v>27</v>
      </c>
      <c r="G72" s="13">
        <f>46.7+10</f>
        <v>56.7</v>
      </c>
      <c r="H72" s="13">
        <v>0.75</v>
      </c>
      <c r="I72" s="13">
        <v>10.5</v>
      </c>
      <c r="J72" s="14">
        <v>4</v>
      </c>
      <c r="K72" s="17">
        <f>IFERROR(ROUND((fCaixa[[#This Row],[Venda]]/fCaixa[[#This Row],[Preço/Un.]]),0),0)</f>
        <v>76</v>
      </c>
      <c r="L72" s="15">
        <f>IFERROR((SUBSTITUTE(RIGHT(fCaixa[[#This Row],[Descrição]],3),"G","")*1 *fCaixa[[#This Row],[Qtd/Pães]]) / 1000,0)</f>
        <v>2.66</v>
      </c>
      <c r="M72" s="13">
        <f>IFERROR((((SUBSTITUTE(RIGHT(fCaixa[[#This Row],[Descrição]],3),"G","")*1) * fCaixa[[#This Row],[QTD Perdida]])/1000) *fCaixa[[#This Row],[Custo/KG.]],0)</f>
        <v>1.4700000000000002</v>
      </c>
      <c r="N72" s="15">
        <f>IF(fCaixa[[#This Row],[Lançamento]]="RECEITA",(fCaixa[[#This Row],[QTD Perdida]]* (SUBSTITUTE(RIGHT(fCaixa[[#This Row],[Descrição]],3),"G","")*1))/1000,0)</f>
        <v>0.14000000000000001</v>
      </c>
      <c r="O72" s="15">
        <f>fCaixa[[#This Row],[Qtd/Kg]]+fCaixa[[#This Row],[Qtd/Kg Perdido]]</f>
        <v>2.8000000000000003</v>
      </c>
      <c r="P72" s="13">
        <f>IF(fCaixa[[#This Row],[Lançamento]]="RECEITA",(fCaixa[[#This Row],[Qtd/Kg]]*fCaixa[[#This Row],[Custo/KG.]]),0)</f>
        <v>27.93</v>
      </c>
      <c r="Q72" s="34">
        <f>fCaixa[[#This Row],[Custoprimario]]+fCaixa[[#This Row],[Total Perdido]]</f>
        <v>29.4</v>
      </c>
      <c r="R72" s="16">
        <f>IFERROR(fCaixa[[#This Row],[Custoprimario]]/fCaixa[[#This Row],[Venda]],0)</f>
        <v>0.49259259259259258</v>
      </c>
      <c r="S72" s="16">
        <f>IFERROR(fCaixa[[#This Row],[Custofinal]]/fCaixa[[#This Row],[Venda]],0)</f>
        <v>0.51851851851851849</v>
      </c>
      <c r="T72" s="13">
        <f>IF(fCaixa[[#This Row],[Lançamento]]="RECEITA",fCaixa[[#This Row],[Venda]]-fCaixa[[#This Row],[Custoprimario]],0)</f>
        <v>28.770000000000003</v>
      </c>
      <c r="U72" s="16">
        <f>IFERROR(fCaixa[[#This Row],[Lucroprimario]]/fCaixa[[#This Row],[Venda]],0)</f>
        <v>0.50740740740740742</v>
      </c>
      <c r="V7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27.300000000000004</v>
      </c>
      <c r="W72" s="16">
        <f>IFERROR(fCaixa[[#This Row],[Lucrofinal]]/fCaixa[[#This Row],[Venda]],0)</f>
        <v>0.48148148148148151</v>
      </c>
    </row>
    <row r="73" spans="1:23" ht="16.5" hidden="1" x14ac:dyDescent="0.25">
      <c r="A73" s="17">
        <f t="shared" si="1"/>
        <v>72</v>
      </c>
      <c r="B73" s="87">
        <v>42993</v>
      </c>
      <c r="C73" s="12" t="s">
        <v>24</v>
      </c>
      <c r="D73" s="12" t="s">
        <v>25</v>
      </c>
      <c r="E73" s="12" t="s">
        <v>26</v>
      </c>
      <c r="F73" s="12" t="s">
        <v>27</v>
      </c>
      <c r="G73" s="13">
        <v>62.7</v>
      </c>
      <c r="H73" s="13">
        <v>0.75</v>
      </c>
      <c r="I73" s="13">
        <v>10.5</v>
      </c>
      <c r="J73" s="14">
        <v>5</v>
      </c>
      <c r="K73" s="17">
        <f>IFERROR(ROUND((fCaixa[[#This Row],[Venda]]/fCaixa[[#This Row],[Preço/Un.]]),0),0)</f>
        <v>84</v>
      </c>
      <c r="L73" s="15">
        <f>IFERROR((SUBSTITUTE(RIGHT(fCaixa[[#This Row],[Descrição]],3),"G","")*1 *fCaixa[[#This Row],[Qtd/Pães]]) / 1000,0)</f>
        <v>2.94</v>
      </c>
      <c r="M73" s="13">
        <f>IFERROR((((SUBSTITUTE(RIGHT(fCaixa[[#This Row],[Descrição]],3),"G","")*1) * fCaixa[[#This Row],[QTD Perdida]])/1000) *fCaixa[[#This Row],[Custo/KG.]],0)</f>
        <v>1.8374999999999999</v>
      </c>
      <c r="N73" s="15">
        <f>IF(fCaixa[[#This Row],[Lançamento]]="RECEITA",(fCaixa[[#This Row],[QTD Perdida]]* (SUBSTITUTE(RIGHT(fCaixa[[#This Row],[Descrição]],3),"G","")*1))/1000,0)</f>
        <v>0.17499999999999999</v>
      </c>
      <c r="O73" s="15">
        <f>fCaixa[[#This Row],[Qtd/Kg]]+fCaixa[[#This Row],[Qtd/Kg Perdido]]</f>
        <v>3.1149999999999998</v>
      </c>
      <c r="P73" s="13">
        <f>IF(fCaixa[[#This Row],[Lançamento]]="RECEITA",(fCaixa[[#This Row],[Qtd/Kg]]*fCaixa[[#This Row],[Custo/KG.]]),0)</f>
        <v>30.87</v>
      </c>
      <c r="Q73" s="34">
        <f>fCaixa[[#This Row],[Custoprimario]]+fCaixa[[#This Row],[Total Perdido]]</f>
        <v>32.707500000000003</v>
      </c>
      <c r="R73" s="16">
        <f>IFERROR(fCaixa[[#This Row],[Custoprimario]]/fCaixa[[#This Row],[Venda]],0)</f>
        <v>0.49234449760765547</v>
      </c>
      <c r="S73" s="16">
        <f>IFERROR(fCaixa[[#This Row],[Custofinal]]/fCaixa[[#This Row],[Venda]],0)</f>
        <v>0.52165071770334925</v>
      </c>
      <c r="T73" s="13">
        <f>IF(fCaixa[[#This Row],[Lançamento]]="RECEITA",fCaixa[[#This Row],[Venda]]-fCaixa[[#This Row],[Custoprimario]],0)</f>
        <v>31.830000000000002</v>
      </c>
      <c r="U73" s="16">
        <f>IFERROR(fCaixa[[#This Row],[Lucroprimario]]/fCaixa[[#This Row],[Venda]],0)</f>
        <v>0.50765550239234447</v>
      </c>
      <c r="V7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29.9925</v>
      </c>
      <c r="W73" s="16">
        <f>IFERROR(fCaixa[[#This Row],[Lucrofinal]]/fCaixa[[#This Row],[Venda]],0)</f>
        <v>0.47834928229665069</v>
      </c>
    </row>
    <row r="74" spans="1:23" ht="16.5" hidden="1" x14ac:dyDescent="0.25">
      <c r="A74" s="17">
        <f t="shared" si="1"/>
        <v>73</v>
      </c>
      <c r="B74" s="87">
        <v>42994</v>
      </c>
      <c r="C74" s="12" t="s">
        <v>24</v>
      </c>
      <c r="D74" s="12" t="s">
        <v>25</v>
      </c>
      <c r="E74" s="12" t="s">
        <v>26</v>
      </c>
      <c r="F74" s="12" t="s">
        <v>28</v>
      </c>
      <c r="G74" s="13">
        <v>131</v>
      </c>
      <c r="H74" s="13">
        <v>0.5</v>
      </c>
      <c r="I74" s="13">
        <v>8</v>
      </c>
      <c r="J74" s="14">
        <v>0</v>
      </c>
      <c r="K74" s="17">
        <f>IFERROR(ROUND((fCaixa[[#This Row],[Venda]]/fCaixa[[#This Row],[Preço/Un.]]),0),0)</f>
        <v>262</v>
      </c>
      <c r="L74" s="15">
        <f>IFERROR((SUBSTITUTE(RIGHT(fCaixa[[#This Row],[Descrição]],3),"G","")*1 *fCaixa[[#This Row],[Qtd/Pães]]) / 1000,0)</f>
        <v>9.17</v>
      </c>
      <c r="M74" s="13">
        <f>IFERROR((((SUBSTITUTE(RIGHT(fCaixa[[#This Row],[Descrição]],3),"G","")*1) * fCaixa[[#This Row],[QTD Perdida]])/1000) *fCaixa[[#This Row],[Custo/KG.]],0)</f>
        <v>0</v>
      </c>
      <c r="N74" s="15">
        <f>IF(fCaixa[[#This Row],[Lançamento]]="RECEITA",(fCaixa[[#This Row],[QTD Perdida]]* (SUBSTITUTE(RIGHT(fCaixa[[#This Row],[Descrição]],3),"G","")*1))/1000,0)</f>
        <v>0</v>
      </c>
      <c r="O74" s="15">
        <f>fCaixa[[#This Row],[Qtd/Kg]]+fCaixa[[#This Row],[Qtd/Kg Perdido]]</f>
        <v>9.17</v>
      </c>
      <c r="P74" s="13">
        <f>IF(fCaixa[[#This Row],[Lançamento]]="RECEITA",(fCaixa[[#This Row],[Qtd/Kg]]*fCaixa[[#This Row],[Custo/KG.]]),0)</f>
        <v>73.36</v>
      </c>
      <c r="Q74" s="34">
        <f>fCaixa[[#This Row],[Custoprimario]]+fCaixa[[#This Row],[Total Perdido]]</f>
        <v>73.36</v>
      </c>
      <c r="R74" s="16">
        <f>IFERROR(fCaixa[[#This Row],[Custoprimario]]/fCaixa[[#This Row],[Venda]],0)</f>
        <v>0.55999999999999994</v>
      </c>
      <c r="S74" s="16">
        <f>IFERROR(fCaixa[[#This Row],[Custofinal]]/fCaixa[[#This Row],[Venda]],0)</f>
        <v>0.55999999999999994</v>
      </c>
      <c r="T74" s="13">
        <f>IF(fCaixa[[#This Row],[Lançamento]]="RECEITA",fCaixa[[#This Row],[Venda]]-fCaixa[[#This Row],[Custoprimario]],0)</f>
        <v>57.64</v>
      </c>
      <c r="U74" s="16">
        <f>IFERROR(fCaixa[[#This Row],[Lucroprimario]]/fCaixa[[#This Row],[Venda]],0)</f>
        <v>0.44</v>
      </c>
      <c r="V7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57.64</v>
      </c>
      <c r="W74" s="16">
        <f>IFERROR(fCaixa[[#This Row],[Lucrofinal]]/fCaixa[[#This Row],[Venda]],0)</f>
        <v>0.44</v>
      </c>
    </row>
    <row r="75" spans="1:23" ht="16.5" hidden="1" x14ac:dyDescent="0.25">
      <c r="A75" s="17">
        <f t="shared" si="1"/>
        <v>74</v>
      </c>
      <c r="B75" s="87">
        <v>42996</v>
      </c>
      <c r="C75" s="12" t="s">
        <v>24</v>
      </c>
      <c r="D75" s="12" t="s">
        <v>25</v>
      </c>
      <c r="E75" s="12" t="s">
        <v>26</v>
      </c>
      <c r="F75" s="12" t="s">
        <v>27</v>
      </c>
      <c r="G75" s="13">
        <v>55.7</v>
      </c>
      <c r="H75" s="13">
        <v>0.75</v>
      </c>
      <c r="I75" s="13">
        <v>10.5</v>
      </c>
      <c r="J75" s="14">
        <v>5</v>
      </c>
      <c r="K75" s="17">
        <f>IFERROR(ROUND((fCaixa[[#This Row],[Venda]]/fCaixa[[#This Row],[Preço/Un.]]),0),0)</f>
        <v>74</v>
      </c>
      <c r="L75" s="15">
        <f>IFERROR((SUBSTITUTE(RIGHT(fCaixa[[#This Row],[Descrição]],3),"G","")*1 *fCaixa[[#This Row],[Qtd/Pães]]) / 1000,0)</f>
        <v>2.59</v>
      </c>
      <c r="M75" s="13">
        <f>IFERROR((((SUBSTITUTE(RIGHT(fCaixa[[#This Row],[Descrição]],3),"G","")*1) * fCaixa[[#This Row],[QTD Perdida]])/1000) *fCaixa[[#This Row],[Custo/KG.]],0)</f>
        <v>1.8374999999999999</v>
      </c>
      <c r="N75" s="15">
        <f>IF(fCaixa[[#This Row],[Lançamento]]="RECEITA",(fCaixa[[#This Row],[QTD Perdida]]* (SUBSTITUTE(RIGHT(fCaixa[[#This Row],[Descrição]],3),"G","")*1))/1000,0)</f>
        <v>0.17499999999999999</v>
      </c>
      <c r="O75" s="15">
        <f>fCaixa[[#This Row],[Qtd/Kg]]+fCaixa[[#This Row],[Qtd/Kg Perdido]]</f>
        <v>2.7649999999999997</v>
      </c>
      <c r="P75" s="13">
        <f>IF(fCaixa[[#This Row],[Lançamento]]="RECEITA",(fCaixa[[#This Row],[Qtd/Kg]]*fCaixa[[#This Row],[Custo/KG.]]),0)</f>
        <v>27.195</v>
      </c>
      <c r="Q75" s="34">
        <f>fCaixa[[#This Row],[Custoprimario]]+fCaixa[[#This Row],[Total Perdido]]</f>
        <v>29.032499999999999</v>
      </c>
      <c r="R75" s="16">
        <f>IFERROR(fCaixa[[#This Row],[Custoprimario]]/fCaixa[[#This Row],[Venda]],0)</f>
        <v>0.48824057450628366</v>
      </c>
      <c r="S75" s="16">
        <f>IFERROR(fCaixa[[#This Row],[Custofinal]]/fCaixa[[#This Row],[Venda]],0)</f>
        <v>0.52122980251346496</v>
      </c>
      <c r="T75" s="13">
        <f>IF(fCaixa[[#This Row],[Lançamento]]="RECEITA",fCaixa[[#This Row],[Venda]]-fCaixa[[#This Row],[Custoprimario]],0)</f>
        <v>28.505000000000003</v>
      </c>
      <c r="U75" s="16">
        <f>IFERROR(fCaixa[[#This Row],[Lucroprimario]]/fCaixa[[#This Row],[Venda]],0)</f>
        <v>0.51175942549371634</v>
      </c>
      <c r="V7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26.667500000000004</v>
      </c>
      <c r="W75" s="16">
        <f>IFERROR(fCaixa[[#This Row],[Lucrofinal]]/fCaixa[[#This Row],[Venda]],0)</f>
        <v>0.47877019748653504</v>
      </c>
    </row>
    <row r="76" spans="1:23" ht="16.5" hidden="1" x14ac:dyDescent="0.25">
      <c r="A76" s="17">
        <f t="shared" si="1"/>
        <v>75</v>
      </c>
      <c r="B76" s="87">
        <v>42997</v>
      </c>
      <c r="C76" s="12" t="s">
        <v>24</v>
      </c>
      <c r="D76" s="12" t="s">
        <v>25</v>
      </c>
      <c r="E76" s="12" t="s">
        <v>26</v>
      </c>
      <c r="F76" s="12" t="s">
        <v>27</v>
      </c>
      <c r="G76" s="13">
        <v>56.6</v>
      </c>
      <c r="H76" s="13">
        <v>0.75</v>
      </c>
      <c r="I76" s="13">
        <v>10.5</v>
      </c>
      <c r="J76" s="14">
        <v>0</v>
      </c>
      <c r="K76" s="17">
        <f>IFERROR(ROUND((fCaixa[[#This Row],[Venda]]/fCaixa[[#This Row],[Preço/Un.]]),0),0)</f>
        <v>75</v>
      </c>
      <c r="L76" s="15">
        <f>IFERROR((SUBSTITUTE(RIGHT(fCaixa[[#This Row],[Descrição]],3),"G","")*1 *fCaixa[[#This Row],[Qtd/Pães]]) / 1000,0)</f>
        <v>2.625</v>
      </c>
      <c r="M76" s="13">
        <f>IFERROR((((SUBSTITUTE(RIGHT(fCaixa[[#This Row],[Descrição]],3),"G","")*1) * fCaixa[[#This Row],[QTD Perdida]])/1000) *fCaixa[[#This Row],[Custo/KG.]],0)</f>
        <v>0</v>
      </c>
      <c r="N76" s="15">
        <f>IF(fCaixa[[#This Row],[Lançamento]]="RECEITA",(fCaixa[[#This Row],[QTD Perdida]]* (SUBSTITUTE(RIGHT(fCaixa[[#This Row],[Descrição]],3),"G","")*1))/1000,0)</f>
        <v>0</v>
      </c>
      <c r="O76" s="15">
        <f>fCaixa[[#This Row],[Qtd/Kg]]+fCaixa[[#This Row],[Qtd/Kg Perdido]]</f>
        <v>2.625</v>
      </c>
      <c r="P76" s="13">
        <f>IF(fCaixa[[#This Row],[Lançamento]]="RECEITA",(fCaixa[[#This Row],[Qtd/Kg]]*fCaixa[[#This Row],[Custo/KG.]]),0)</f>
        <v>27.5625</v>
      </c>
      <c r="Q76" s="34">
        <f>fCaixa[[#This Row],[Custoprimario]]+fCaixa[[#This Row],[Total Perdido]]</f>
        <v>27.5625</v>
      </c>
      <c r="R76" s="16">
        <f>IFERROR(fCaixa[[#This Row],[Custoprimario]]/fCaixa[[#This Row],[Venda]],0)</f>
        <v>0.48696996466431092</v>
      </c>
      <c r="S76" s="16">
        <f>IFERROR(fCaixa[[#This Row],[Custofinal]]/fCaixa[[#This Row],[Venda]],0)</f>
        <v>0.48696996466431092</v>
      </c>
      <c r="T76" s="13">
        <f>IF(fCaixa[[#This Row],[Lançamento]]="RECEITA",fCaixa[[#This Row],[Venda]]-fCaixa[[#This Row],[Custoprimario]],0)</f>
        <v>29.037500000000001</v>
      </c>
      <c r="U76" s="16">
        <f>IFERROR(fCaixa[[#This Row],[Lucroprimario]]/fCaixa[[#This Row],[Venda]],0)</f>
        <v>0.51303003533568903</v>
      </c>
      <c r="V7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29.037500000000001</v>
      </c>
      <c r="W76" s="16">
        <f>IFERROR(fCaixa[[#This Row],[Lucrofinal]]/fCaixa[[#This Row],[Venda]],0)</f>
        <v>0.51303003533568903</v>
      </c>
    </row>
    <row r="77" spans="1:23" ht="16.5" hidden="1" x14ac:dyDescent="0.25">
      <c r="A77" s="17">
        <f t="shared" si="1"/>
        <v>76</v>
      </c>
      <c r="B77" s="87">
        <v>42998</v>
      </c>
      <c r="C77" s="12" t="s">
        <v>24</v>
      </c>
      <c r="D77" s="12" t="s">
        <v>25</v>
      </c>
      <c r="E77" s="12" t="s">
        <v>26</v>
      </c>
      <c r="F77" s="12" t="s">
        <v>27</v>
      </c>
      <c r="G77" s="13">
        <v>48</v>
      </c>
      <c r="H77" s="13">
        <v>0.75</v>
      </c>
      <c r="I77" s="13">
        <v>10.5</v>
      </c>
      <c r="J77" s="14">
        <f>3+1+2</f>
        <v>6</v>
      </c>
      <c r="K77" s="17">
        <f>IFERROR(ROUND((fCaixa[[#This Row],[Venda]]/fCaixa[[#This Row],[Preço/Un.]]),0),0)</f>
        <v>64</v>
      </c>
      <c r="L77" s="15">
        <f>IFERROR((SUBSTITUTE(RIGHT(fCaixa[[#This Row],[Descrição]],3),"G","")*1 *fCaixa[[#This Row],[Qtd/Pães]]) / 1000,0)</f>
        <v>2.2400000000000002</v>
      </c>
      <c r="M77" s="13">
        <f>IFERROR((((SUBSTITUTE(RIGHT(fCaixa[[#This Row],[Descrição]],3),"G","")*1) * fCaixa[[#This Row],[QTD Perdida]])/1000) *fCaixa[[#This Row],[Custo/KG.]],0)</f>
        <v>2.2050000000000001</v>
      </c>
      <c r="N77" s="15">
        <f>IF(fCaixa[[#This Row],[Lançamento]]="RECEITA",(fCaixa[[#This Row],[QTD Perdida]]* (SUBSTITUTE(RIGHT(fCaixa[[#This Row],[Descrição]],3),"G","")*1))/1000,0)</f>
        <v>0.21</v>
      </c>
      <c r="O77" s="15">
        <f>fCaixa[[#This Row],[Qtd/Kg]]+fCaixa[[#This Row],[Qtd/Kg Perdido]]</f>
        <v>2.4500000000000002</v>
      </c>
      <c r="P77" s="13">
        <f>IF(fCaixa[[#This Row],[Lançamento]]="RECEITA",(fCaixa[[#This Row],[Qtd/Kg]]*fCaixa[[#This Row],[Custo/KG.]]),0)</f>
        <v>23.520000000000003</v>
      </c>
      <c r="Q77" s="34">
        <f>fCaixa[[#This Row],[Custoprimario]]+fCaixa[[#This Row],[Total Perdido]]</f>
        <v>25.725000000000001</v>
      </c>
      <c r="R77" s="16">
        <f>IFERROR(fCaixa[[#This Row],[Custoprimario]]/fCaixa[[#This Row],[Venda]],0)</f>
        <v>0.49000000000000005</v>
      </c>
      <c r="S77" s="16">
        <f>IFERROR(fCaixa[[#This Row],[Custofinal]]/fCaixa[[#This Row],[Venda]],0)</f>
        <v>0.53593750000000007</v>
      </c>
      <c r="T77" s="13">
        <f>IF(fCaixa[[#This Row],[Lançamento]]="RECEITA",fCaixa[[#This Row],[Venda]]-fCaixa[[#This Row],[Custoprimario]],0)</f>
        <v>24.479999999999997</v>
      </c>
      <c r="U77" s="16">
        <f>IFERROR(fCaixa[[#This Row],[Lucroprimario]]/fCaixa[[#This Row],[Venda]],0)</f>
        <v>0.5099999999999999</v>
      </c>
      <c r="V7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22.274999999999999</v>
      </c>
      <c r="W77" s="16">
        <f>IFERROR(fCaixa[[#This Row],[Lucrofinal]]/fCaixa[[#This Row],[Venda]],0)</f>
        <v>0.46406249999999999</v>
      </c>
    </row>
    <row r="78" spans="1:23" ht="16.5" hidden="1" x14ac:dyDescent="0.25">
      <c r="A78" s="17">
        <f t="shared" si="1"/>
        <v>77</v>
      </c>
      <c r="B78" s="87">
        <v>42998</v>
      </c>
      <c r="C78" s="12" t="s">
        <v>29</v>
      </c>
      <c r="D78" s="12" t="s">
        <v>25</v>
      </c>
      <c r="E78" s="12" t="s">
        <v>34</v>
      </c>
      <c r="F78" s="12" t="s">
        <v>27</v>
      </c>
      <c r="G78" s="13">
        <v>47.85</v>
      </c>
      <c r="H78" s="13">
        <v>0</v>
      </c>
      <c r="I78" s="13">
        <v>0</v>
      </c>
      <c r="J78" s="14">
        <v>0</v>
      </c>
      <c r="K78" s="17">
        <f>IFERROR(ROUND((fCaixa[[#This Row],[Venda]]/fCaixa[[#This Row],[Preço/Un.]]),0),0)</f>
        <v>0</v>
      </c>
      <c r="L78" s="15">
        <f>IFERROR((SUBSTITUTE(RIGHT(fCaixa[[#This Row],[Descrição]],3),"G","")*1 *fCaixa[[#This Row],[Qtd/Pães]]) / 1000,0)</f>
        <v>0</v>
      </c>
      <c r="M78" s="13">
        <f>IFERROR((((SUBSTITUTE(RIGHT(fCaixa[[#This Row],[Descrição]],3),"G","")*1) * fCaixa[[#This Row],[QTD Perdida]])/1000) *fCaixa[[#This Row],[Custo/KG.]],0)</f>
        <v>0</v>
      </c>
      <c r="N78" s="15">
        <f>IF(fCaixa[[#This Row],[Lançamento]]="RECEITA",(fCaixa[[#This Row],[QTD Perdida]]* (SUBSTITUTE(RIGHT(fCaixa[[#This Row],[Descrição]],3),"G","")*1))/1000,0)</f>
        <v>0</v>
      </c>
      <c r="O78" s="15">
        <f>fCaixa[[#This Row],[Qtd/Kg]]+fCaixa[[#This Row],[Qtd/Kg Perdido]]</f>
        <v>0</v>
      </c>
      <c r="P78" s="13">
        <f>IF(fCaixa[[#This Row],[Lançamento]]="RECEITA",(fCaixa[[#This Row],[Qtd/Kg]]*fCaixa[[#This Row],[Custo/KG.]]),0)</f>
        <v>0</v>
      </c>
      <c r="Q78" s="34">
        <f>fCaixa[[#This Row],[Custoprimario]]+fCaixa[[#This Row],[Total Perdido]]</f>
        <v>0</v>
      </c>
      <c r="R78" s="16">
        <f>IFERROR(fCaixa[[#This Row],[Custoprimario]]/fCaixa[[#This Row],[Venda]],0)</f>
        <v>0</v>
      </c>
      <c r="S78" s="16">
        <f>IFERROR(fCaixa[[#This Row],[Custofinal]]/fCaixa[[#This Row],[Venda]],0)</f>
        <v>0</v>
      </c>
      <c r="T78" s="13">
        <f>IF(fCaixa[[#This Row],[Lançamento]]="RECEITA",fCaixa[[#This Row],[Venda]]-fCaixa[[#This Row],[Custoprimario]],0)</f>
        <v>0</v>
      </c>
      <c r="U78" s="16">
        <f>IFERROR(fCaixa[[#This Row],[Lucroprimario]]/fCaixa[[#This Row],[Venda]],0)</f>
        <v>0</v>
      </c>
      <c r="V7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78" s="16">
        <f>IFERROR(fCaixa[[#This Row],[Lucrofinal]]/fCaixa[[#This Row],[Venda]],0)</f>
        <v>0</v>
      </c>
    </row>
    <row r="79" spans="1:23" ht="16.5" hidden="1" x14ac:dyDescent="0.25">
      <c r="A79" s="17">
        <f t="shared" si="1"/>
        <v>78</v>
      </c>
      <c r="B79" s="87">
        <v>42999</v>
      </c>
      <c r="C79" s="12" t="s">
        <v>24</v>
      </c>
      <c r="D79" s="12" t="s">
        <v>25</v>
      </c>
      <c r="E79" s="12" t="s">
        <v>26</v>
      </c>
      <c r="F79" s="12" t="s">
        <v>27</v>
      </c>
      <c r="G79" s="13">
        <v>33.1</v>
      </c>
      <c r="H79" s="13">
        <v>0.75</v>
      </c>
      <c r="I79" s="13">
        <v>10.5</v>
      </c>
      <c r="J79" s="14">
        <v>25</v>
      </c>
      <c r="K79" s="17">
        <f>IFERROR(ROUND((fCaixa[[#This Row],[Venda]]/fCaixa[[#This Row],[Preço/Un.]]),0),0)</f>
        <v>44</v>
      </c>
      <c r="L79" s="15">
        <f>IFERROR((SUBSTITUTE(RIGHT(fCaixa[[#This Row],[Descrição]],3),"G","")*1 *fCaixa[[#This Row],[Qtd/Pães]]) / 1000,0)</f>
        <v>1.54</v>
      </c>
      <c r="M79" s="13">
        <f>IFERROR((((SUBSTITUTE(RIGHT(fCaixa[[#This Row],[Descrição]],3),"G","")*1) * fCaixa[[#This Row],[QTD Perdida]])/1000) *fCaixa[[#This Row],[Custo/KG.]],0)</f>
        <v>9.1875</v>
      </c>
      <c r="N79" s="15">
        <f>IF(fCaixa[[#This Row],[Lançamento]]="RECEITA",(fCaixa[[#This Row],[QTD Perdida]]* (SUBSTITUTE(RIGHT(fCaixa[[#This Row],[Descrição]],3),"G","")*1))/1000,0)</f>
        <v>0.875</v>
      </c>
      <c r="O79" s="15">
        <f>fCaixa[[#This Row],[Qtd/Kg]]+fCaixa[[#This Row],[Qtd/Kg Perdido]]</f>
        <v>2.415</v>
      </c>
      <c r="P79" s="13">
        <f>IF(fCaixa[[#This Row],[Lançamento]]="RECEITA",(fCaixa[[#This Row],[Qtd/Kg]]*fCaixa[[#This Row],[Custo/KG.]]),0)</f>
        <v>16.170000000000002</v>
      </c>
      <c r="Q79" s="34">
        <f>fCaixa[[#This Row],[Custoprimario]]+fCaixa[[#This Row],[Total Perdido]]</f>
        <v>25.357500000000002</v>
      </c>
      <c r="R79" s="16">
        <f>IFERROR(fCaixa[[#This Row],[Custoprimario]]/fCaixa[[#This Row],[Venda]],0)</f>
        <v>0.4885196374622357</v>
      </c>
      <c r="S79" s="16">
        <f>IFERROR(fCaixa[[#This Row],[Custofinal]]/fCaixa[[#This Row],[Venda]],0)</f>
        <v>0.76608761329305142</v>
      </c>
      <c r="T79" s="13">
        <f>IF(fCaixa[[#This Row],[Lançamento]]="RECEITA",fCaixa[[#This Row],[Venda]]-fCaixa[[#This Row],[Custoprimario]],0)</f>
        <v>16.93</v>
      </c>
      <c r="U79" s="16">
        <f>IFERROR(fCaixa[[#This Row],[Lucroprimario]]/fCaixa[[#This Row],[Venda]],0)</f>
        <v>0.5114803625377643</v>
      </c>
      <c r="V7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7.7424999999999997</v>
      </c>
      <c r="W79" s="16">
        <f>IFERROR(fCaixa[[#This Row],[Lucrofinal]]/fCaixa[[#This Row],[Venda]],0)</f>
        <v>0.23391238670694861</v>
      </c>
    </row>
    <row r="80" spans="1:23" ht="16.5" hidden="1" x14ac:dyDescent="0.25">
      <c r="A80" s="17">
        <f t="shared" si="1"/>
        <v>79</v>
      </c>
      <c r="B80" s="87">
        <v>43000</v>
      </c>
      <c r="C80" s="12" t="s">
        <v>24</v>
      </c>
      <c r="D80" s="12" t="s">
        <v>25</v>
      </c>
      <c r="E80" s="12" t="s">
        <v>26</v>
      </c>
      <c r="F80" s="12" t="s">
        <v>27</v>
      </c>
      <c r="G80" s="13">
        <v>32.75</v>
      </c>
      <c r="H80" s="13">
        <v>0.75</v>
      </c>
      <c r="I80" s="13">
        <v>10.5</v>
      </c>
      <c r="J80" s="14">
        <v>0</v>
      </c>
      <c r="K80" s="17">
        <f>IFERROR(ROUND((fCaixa[[#This Row],[Venda]]/fCaixa[[#This Row],[Preço/Un.]]),0),0)</f>
        <v>44</v>
      </c>
      <c r="L80" s="15">
        <f>IFERROR((SUBSTITUTE(RIGHT(fCaixa[[#This Row],[Descrição]],3),"G","")*1 *fCaixa[[#This Row],[Qtd/Pães]]) / 1000,0)</f>
        <v>1.54</v>
      </c>
      <c r="M80" s="13">
        <f>IFERROR((((SUBSTITUTE(RIGHT(fCaixa[[#This Row],[Descrição]],3),"G","")*1) * fCaixa[[#This Row],[QTD Perdida]])/1000) *fCaixa[[#This Row],[Custo/KG.]],0)</f>
        <v>0</v>
      </c>
      <c r="N80" s="15">
        <f>IF(fCaixa[[#This Row],[Lançamento]]="RECEITA",(fCaixa[[#This Row],[QTD Perdida]]* (SUBSTITUTE(RIGHT(fCaixa[[#This Row],[Descrição]],3),"G","")*1))/1000,0)</f>
        <v>0</v>
      </c>
      <c r="O80" s="15">
        <f>fCaixa[[#This Row],[Qtd/Kg]]+fCaixa[[#This Row],[Qtd/Kg Perdido]]</f>
        <v>1.54</v>
      </c>
      <c r="P80" s="13">
        <f>IF(fCaixa[[#This Row],[Lançamento]]="RECEITA",(fCaixa[[#This Row],[Qtd/Kg]]*fCaixa[[#This Row],[Custo/KG.]]),0)</f>
        <v>16.170000000000002</v>
      </c>
      <c r="Q80" s="34">
        <f>fCaixa[[#This Row],[Custoprimario]]+fCaixa[[#This Row],[Total Perdido]]</f>
        <v>16.170000000000002</v>
      </c>
      <c r="R80" s="16">
        <f>IFERROR(fCaixa[[#This Row],[Custoprimario]]/fCaixa[[#This Row],[Venda]],0)</f>
        <v>0.49374045801526723</v>
      </c>
      <c r="S80" s="16">
        <f>IFERROR(fCaixa[[#This Row],[Custofinal]]/fCaixa[[#This Row],[Venda]],0)</f>
        <v>0.49374045801526723</v>
      </c>
      <c r="T80" s="13">
        <f>IF(fCaixa[[#This Row],[Lançamento]]="RECEITA",fCaixa[[#This Row],[Venda]]-fCaixa[[#This Row],[Custoprimario]],0)</f>
        <v>16.579999999999998</v>
      </c>
      <c r="U80" s="16">
        <f>IFERROR(fCaixa[[#This Row],[Lucroprimario]]/fCaixa[[#This Row],[Venda]],0)</f>
        <v>0.50625954198473277</v>
      </c>
      <c r="V8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16.579999999999998</v>
      </c>
      <c r="W80" s="16">
        <f>IFERROR(fCaixa[[#This Row],[Lucrofinal]]/fCaixa[[#This Row],[Venda]],0)</f>
        <v>0.50625954198473277</v>
      </c>
    </row>
    <row r="81" spans="1:23" ht="16.5" hidden="1" x14ac:dyDescent="0.25">
      <c r="A81" s="17">
        <f t="shared" si="1"/>
        <v>80</v>
      </c>
      <c r="B81" s="87">
        <v>43003</v>
      </c>
      <c r="C81" s="12" t="s">
        <v>24</v>
      </c>
      <c r="D81" s="12" t="s">
        <v>25</v>
      </c>
      <c r="E81" s="12" t="s">
        <v>26</v>
      </c>
      <c r="F81" s="12" t="s">
        <v>27</v>
      </c>
      <c r="G81" s="13">
        <v>50.7</v>
      </c>
      <c r="H81" s="13">
        <v>0.75</v>
      </c>
      <c r="I81" s="13">
        <v>10.5</v>
      </c>
      <c r="J81" s="14">
        <v>3</v>
      </c>
      <c r="K81" s="17">
        <f>IFERROR(ROUND((fCaixa[[#This Row],[Venda]]/fCaixa[[#This Row],[Preço/Un.]]),0),0)</f>
        <v>68</v>
      </c>
      <c r="L81" s="15">
        <f>IFERROR((SUBSTITUTE(RIGHT(fCaixa[[#This Row],[Descrição]],3),"G","")*1 *fCaixa[[#This Row],[Qtd/Pães]]) / 1000,0)</f>
        <v>2.38</v>
      </c>
      <c r="M81" s="13">
        <f>IFERROR((((SUBSTITUTE(RIGHT(fCaixa[[#This Row],[Descrição]],3),"G","")*1) * fCaixa[[#This Row],[QTD Perdida]])/1000) *fCaixa[[#This Row],[Custo/KG.]],0)</f>
        <v>1.1025</v>
      </c>
      <c r="N81" s="15">
        <f>IF(fCaixa[[#This Row],[Lançamento]]="RECEITA",(fCaixa[[#This Row],[QTD Perdida]]* (SUBSTITUTE(RIGHT(fCaixa[[#This Row],[Descrição]],3),"G","")*1))/1000,0)</f>
        <v>0.105</v>
      </c>
      <c r="O81" s="15">
        <f>fCaixa[[#This Row],[Qtd/Kg]]+fCaixa[[#This Row],[Qtd/Kg Perdido]]</f>
        <v>2.4849999999999999</v>
      </c>
      <c r="P81" s="13">
        <f>IF(fCaixa[[#This Row],[Lançamento]]="RECEITA",(fCaixa[[#This Row],[Qtd/Kg]]*fCaixa[[#This Row],[Custo/KG.]]),0)</f>
        <v>24.99</v>
      </c>
      <c r="Q81" s="34">
        <f>fCaixa[[#This Row],[Custoprimario]]+fCaixa[[#This Row],[Total Perdido]]</f>
        <v>26.092499999999998</v>
      </c>
      <c r="R81" s="16">
        <f>IFERROR(fCaixa[[#This Row],[Custoprimario]]/fCaixa[[#This Row],[Venda]],0)</f>
        <v>0.49289940828402362</v>
      </c>
      <c r="S81" s="16">
        <f>IFERROR(fCaixa[[#This Row],[Custofinal]]/fCaixa[[#This Row],[Venda]],0)</f>
        <v>0.5146449704142011</v>
      </c>
      <c r="T81" s="13">
        <f>IF(fCaixa[[#This Row],[Lançamento]]="RECEITA",fCaixa[[#This Row],[Venda]]-fCaixa[[#This Row],[Custoprimario]],0)</f>
        <v>25.710000000000004</v>
      </c>
      <c r="U81" s="16">
        <f>IFERROR(fCaixa[[#This Row],[Lucroprimario]]/fCaixa[[#This Row],[Venda]],0)</f>
        <v>0.50710059171597643</v>
      </c>
      <c r="V8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24.607500000000005</v>
      </c>
      <c r="W81" s="16">
        <f>IFERROR(fCaixa[[#This Row],[Lucrofinal]]/fCaixa[[#This Row],[Venda]],0)</f>
        <v>0.4853550295857989</v>
      </c>
    </row>
    <row r="82" spans="1:23" ht="16.5" hidden="1" x14ac:dyDescent="0.25">
      <c r="A82" s="17">
        <f t="shared" si="1"/>
        <v>81</v>
      </c>
      <c r="B82" s="87">
        <v>43004</v>
      </c>
      <c r="C82" s="12" t="s">
        <v>24</v>
      </c>
      <c r="D82" s="12" t="s">
        <v>25</v>
      </c>
      <c r="E82" s="12" t="s">
        <v>26</v>
      </c>
      <c r="F82" s="12" t="s">
        <v>27</v>
      </c>
      <c r="G82" s="13">
        <v>49.5</v>
      </c>
      <c r="H82" s="13">
        <v>0.75</v>
      </c>
      <c r="I82" s="13">
        <v>10.5</v>
      </c>
      <c r="J82" s="14">
        <v>28</v>
      </c>
      <c r="K82" s="17">
        <f>IFERROR(ROUND((fCaixa[[#This Row],[Venda]]/fCaixa[[#This Row],[Preço/Un.]]),0),0)</f>
        <v>66</v>
      </c>
      <c r="L82" s="15">
        <f>IFERROR((SUBSTITUTE(RIGHT(fCaixa[[#This Row],[Descrição]],3),"G","")*1 *fCaixa[[#This Row],[Qtd/Pães]]) / 1000,0)</f>
        <v>2.31</v>
      </c>
      <c r="M82" s="13">
        <f>IFERROR((((SUBSTITUTE(RIGHT(fCaixa[[#This Row],[Descrição]],3),"G","")*1) * fCaixa[[#This Row],[QTD Perdida]])/1000) *fCaixa[[#This Row],[Custo/KG.]],0)</f>
        <v>10.29</v>
      </c>
      <c r="N82" s="15">
        <f>IF(fCaixa[[#This Row],[Lançamento]]="RECEITA",(fCaixa[[#This Row],[QTD Perdida]]* (SUBSTITUTE(RIGHT(fCaixa[[#This Row],[Descrição]],3),"G","")*1))/1000,0)</f>
        <v>0.98</v>
      </c>
      <c r="O82" s="15">
        <f>fCaixa[[#This Row],[Qtd/Kg]]+fCaixa[[#This Row],[Qtd/Kg Perdido]]</f>
        <v>3.29</v>
      </c>
      <c r="P82" s="13">
        <f>IF(fCaixa[[#This Row],[Lançamento]]="RECEITA",(fCaixa[[#This Row],[Qtd/Kg]]*fCaixa[[#This Row],[Custo/KG.]]),0)</f>
        <v>24.254999999999999</v>
      </c>
      <c r="Q82" s="34">
        <f>fCaixa[[#This Row],[Custoprimario]]+fCaixa[[#This Row],[Total Perdido]]</f>
        <v>34.545000000000002</v>
      </c>
      <c r="R82" s="16">
        <f>IFERROR(fCaixa[[#This Row],[Custoprimario]]/fCaixa[[#This Row],[Venda]],0)</f>
        <v>0.49</v>
      </c>
      <c r="S82" s="16">
        <f>IFERROR(fCaixa[[#This Row],[Custofinal]]/fCaixa[[#This Row],[Venda]],0)</f>
        <v>0.69787878787878788</v>
      </c>
      <c r="T82" s="13">
        <f>IF(fCaixa[[#This Row],[Lançamento]]="RECEITA",fCaixa[[#This Row],[Venda]]-fCaixa[[#This Row],[Custoprimario]],0)</f>
        <v>25.245000000000001</v>
      </c>
      <c r="U82" s="16">
        <f>IFERROR(fCaixa[[#This Row],[Lucroprimario]]/fCaixa[[#This Row],[Venda]],0)</f>
        <v>0.51</v>
      </c>
      <c r="V8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14.954999999999998</v>
      </c>
      <c r="W82" s="16">
        <f>IFERROR(fCaixa[[#This Row],[Lucrofinal]]/fCaixa[[#This Row],[Venda]],0)</f>
        <v>0.30212121212121207</v>
      </c>
    </row>
    <row r="83" spans="1:23" ht="16.5" hidden="1" x14ac:dyDescent="0.25">
      <c r="A83" s="17">
        <f t="shared" si="1"/>
        <v>82</v>
      </c>
      <c r="B83" s="87">
        <v>43004</v>
      </c>
      <c r="C83" s="12" t="s">
        <v>24</v>
      </c>
      <c r="D83" s="12" t="s">
        <v>25</v>
      </c>
      <c r="E83" s="12" t="s">
        <v>26</v>
      </c>
      <c r="F83" s="12" t="s">
        <v>27</v>
      </c>
      <c r="G83" s="13">
        <v>20</v>
      </c>
      <c r="H83" s="13">
        <v>0.7</v>
      </c>
      <c r="I83" s="13">
        <v>10.5</v>
      </c>
      <c r="J83" s="14">
        <v>0</v>
      </c>
      <c r="K83" s="17">
        <f>IFERROR(ROUND((fCaixa[[#This Row],[Venda]]/fCaixa[[#This Row],[Preço/Un.]]),0),0)</f>
        <v>29</v>
      </c>
      <c r="L83" s="15">
        <f>IFERROR((SUBSTITUTE(RIGHT(fCaixa[[#This Row],[Descrição]],3),"G","")*1 *fCaixa[[#This Row],[Qtd/Pães]]) / 1000,0)</f>
        <v>1.0149999999999999</v>
      </c>
      <c r="M83" s="13">
        <f>IFERROR((((SUBSTITUTE(RIGHT(fCaixa[[#This Row],[Descrição]],3),"G","")*1) * fCaixa[[#This Row],[QTD Perdida]])/1000) *fCaixa[[#This Row],[Custo/KG.]],0)</f>
        <v>0</v>
      </c>
      <c r="N83" s="15">
        <f>IF(fCaixa[[#This Row],[Lançamento]]="RECEITA",(fCaixa[[#This Row],[QTD Perdida]]* (SUBSTITUTE(RIGHT(fCaixa[[#This Row],[Descrição]],3),"G","")*1))/1000,0)</f>
        <v>0</v>
      </c>
      <c r="O83" s="15">
        <f>fCaixa[[#This Row],[Qtd/Kg]]+fCaixa[[#This Row],[Qtd/Kg Perdido]]</f>
        <v>1.0149999999999999</v>
      </c>
      <c r="P83" s="13">
        <f>IF(fCaixa[[#This Row],[Lançamento]]="RECEITA",(fCaixa[[#This Row],[Qtd/Kg]]*fCaixa[[#This Row],[Custo/KG.]]),0)</f>
        <v>10.657499999999999</v>
      </c>
      <c r="Q83" s="34">
        <f>fCaixa[[#This Row],[Custoprimario]]+fCaixa[[#This Row],[Total Perdido]]</f>
        <v>10.657499999999999</v>
      </c>
      <c r="R83" s="16">
        <f>IFERROR(fCaixa[[#This Row],[Custoprimario]]/fCaixa[[#This Row],[Venda]],0)</f>
        <v>0.53287499999999999</v>
      </c>
      <c r="S83" s="16">
        <f>IFERROR(fCaixa[[#This Row],[Custofinal]]/fCaixa[[#This Row],[Venda]],0)</f>
        <v>0.53287499999999999</v>
      </c>
      <c r="T83" s="13">
        <f>IF(fCaixa[[#This Row],[Lançamento]]="RECEITA",fCaixa[[#This Row],[Venda]]-fCaixa[[#This Row],[Custoprimario]],0)</f>
        <v>9.3425000000000011</v>
      </c>
      <c r="U83" s="16">
        <f>IFERROR(fCaixa[[#This Row],[Lucroprimario]]/fCaixa[[#This Row],[Venda]],0)</f>
        <v>0.46712500000000007</v>
      </c>
      <c r="V8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9.3425000000000011</v>
      </c>
      <c r="W83" s="16">
        <f>IFERROR(fCaixa[[#This Row],[Lucrofinal]]/fCaixa[[#This Row],[Venda]],0)</f>
        <v>0.46712500000000007</v>
      </c>
    </row>
    <row r="84" spans="1:23" ht="16.5" hidden="1" x14ac:dyDescent="0.25">
      <c r="A84" s="17">
        <f t="shared" si="1"/>
        <v>83</v>
      </c>
      <c r="B84" s="87">
        <v>43005</v>
      </c>
      <c r="C84" s="12" t="s">
        <v>24</v>
      </c>
      <c r="D84" s="12" t="s">
        <v>25</v>
      </c>
      <c r="E84" s="12" t="s">
        <v>26</v>
      </c>
      <c r="F84" s="12" t="s">
        <v>27</v>
      </c>
      <c r="G84" s="13">
        <v>36</v>
      </c>
      <c r="H84" s="13">
        <v>0.75</v>
      </c>
      <c r="I84" s="13">
        <v>10.5</v>
      </c>
      <c r="J84" s="14">
        <v>12</v>
      </c>
      <c r="K84" s="17">
        <f>IFERROR(ROUND((fCaixa[[#This Row],[Venda]]/fCaixa[[#This Row],[Preço/Un.]]),0),0)</f>
        <v>48</v>
      </c>
      <c r="L84" s="15">
        <f>IFERROR((SUBSTITUTE(RIGHT(fCaixa[[#This Row],[Descrição]],3),"G","")*1 *fCaixa[[#This Row],[Qtd/Pães]]) / 1000,0)</f>
        <v>1.68</v>
      </c>
      <c r="M84" s="13">
        <f>IFERROR((((SUBSTITUTE(RIGHT(fCaixa[[#This Row],[Descrição]],3),"G","")*1) * fCaixa[[#This Row],[QTD Perdida]])/1000) *fCaixa[[#This Row],[Custo/KG.]],0)</f>
        <v>4.41</v>
      </c>
      <c r="N84" s="15">
        <f>IF(fCaixa[[#This Row],[Lançamento]]="RECEITA",(fCaixa[[#This Row],[QTD Perdida]]* (SUBSTITUTE(RIGHT(fCaixa[[#This Row],[Descrição]],3),"G","")*1))/1000,0)</f>
        <v>0.42</v>
      </c>
      <c r="O84" s="15">
        <f>fCaixa[[#This Row],[Qtd/Kg]]+fCaixa[[#This Row],[Qtd/Kg Perdido]]</f>
        <v>2.1</v>
      </c>
      <c r="P84" s="13">
        <f>IF(fCaixa[[#This Row],[Lançamento]]="RECEITA",(fCaixa[[#This Row],[Qtd/Kg]]*fCaixa[[#This Row],[Custo/KG.]]),0)</f>
        <v>17.64</v>
      </c>
      <c r="Q84" s="34">
        <f>fCaixa[[#This Row],[Custoprimario]]+fCaixa[[#This Row],[Total Perdido]]</f>
        <v>22.05</v>
      </c>
      <c r="R84" s="16">
        <f>IFERROR(fCaixa[[#This Row],[Custoprimario]]/fCaixa[[#This Row],[Venda]],0)</f>
        <v>0.49</v>
      </c>
      <c r="S84" s="16">
        <f>IFERROR(fCaixa[[#This Row],[Custofinal]]/fCaixa[[#This Row],[Venda]],0)</f>
        <v>0.61250000000000004</v>
      </c>
      <c r="T84" s="13">
        <f>IF(fCaixa[[#This Row],[Lançamento]]="RECEITA",fCaixa[[#This Row],[Venda]]-fCaixa[[#This Row],[Custoprimario]],0)</f>
        <v>18.36</v>
      </c>
      <c r="U84" s="16">
        <f>IFERROR(fCaixa[[#This Row],[Lucroprimario]]/fCaixa[[#This Row],[Venda]],0)</f>
        <v>0.51</v>
      </c>
      <c r="V8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13.95</v>
      </c>
      <c r="W84" s="16">
        <f>IFERROR(fCaixa[[#This Row],[Lucrofinal]]/fCaixa[[#This Row],[Venda]],0)</f>
        <v>0.38749999999999996</v>
      </c>
    </row>
    <row r="85" spans="1:23" ht="16.5" hidden="1" x14ac:dyDescent="0.25">
      <c r="A85" s="17">
        <f t="shared" si="1"/>
        <v>84</v>
      </c>
      <c r="B85" s="87">
        <v>43006</v>
      </c>
      <c r="C85" s="12" t="s">
        <v>24</v>
      </c>
      <c r="D85" s="12" t="s">
        <v>25</v>
      </c>
      <c r="E85" s="12" t="s">
        <v>26</v>
      </c>
      <c r="F85" s="12" t="s">
        <v>27</v>
      </c>
      <c r="G85" s="13">
        <v>58.5</v>
      </c>
      <c r="H85" s="13">
        <v>0.75</v>
      </c>
      <c r="I85" s="13">
        <v>10.5</v>
      </c>
      <c r="J85" s="14">
        <v>2</v>
      </c>
      <c r="K85" s="17">
        <f>IFERROR(ROUND((fCaixa[[#This Row],[Venda]]/fCaixa[[#This Row],[Preço/Un.]]),0),0)</f>
        <v>78</v>
      </c>
      <c r="L85" s="15">
        <f>IFERROR((SUBSTITUTE(RIGHT(fCaixa[[#This Row],[Descrição]],3),"G","")*1 *fCaixa[[#This Row],[Qtd/Pães]]) / 1000,0)</f>
        <v>2.73</v>
      </c>
      <c r="M85" s="13">
        <f>IFERROR((((SUBSTITUTE(RIGHT(fCaixa[[#This Row],[Descrição]],3),"G","")*1) * fCaixa[[#This Row],[QTD Perdida]])/1000) *fCaixa[[#This Row],[Custo/KG.]],0)</f>
        <v>0.7350000000000001</v>
      </c>
      <c r="N85" s="15">
        <f>IF(fCaixa[[#This Row],[Lançamento]]="RECEITA",(fCaixa[[#This Row],[QTD Perdida]]* (SUBSTITUTE(RIGHT(fCaixa[[#This Row],[Descrição]],3),"G","")*1))/1000,0)</f>
        <v>7.0000000000000007E-2</v>
      </c>
      <c r="O85" s="15">
        <f>fCaixa[[#This Row],[Qtd/Kg]]+fCaixa[[#This Row],[Qtd/Kg Perdido]]</f>
        <v>2.8</v>
      </c>
      <c r="P85" s="13">
        <f>IF(fCaixa[[#This Row],[Lançamento]]="RECEITA",(fCaixa[[#This Row],[Qtd/Kg]]*fCaixa[[#This Row],[Custo/KG.]]),0)</f>
        <v>28.664999999999999</v>
      </c>
      <c r="Q85" s="34">
        <f>fCaixa[[#This Row],[Custoprimario]]+fCaixa[[#This Row],[Total Perdido]]</f>
        <v>29.4</v>
      </c>
      <c r="R85" s="16">
        <f>IFERROR(fCaixa[[#This Row],[Custoprimario]]/fCaixa[[#This Row],[Venda]],0)</f>
        <v>0.49</v>
      </c>
      <c r="S85" s="16">
        <f>IFERROR(fCaixa[[#This Row],[Custofinal]]/fCaixa[[#This Row],[Venda]],0)</f>
        <v>0.50256410256410255</v>
      </c>
      <c r="T85" s="13">
        <f>IF(fCaixa[[#This Row],[Lançamento]]="RECEITA",fCaixa[[#This Row],[Venda]]-fCaixa[[#This Row],[Custoprimario]],0)</f>
        <v>29.835000000000001</v>
      </c>
      <c r="U85" s="16">
        <f>IFERROR(fCaixa[[#This Row],[Lucroprimario]]/fCaixa[[#This Row],[Venda]],0)</f>
        <v>0.51</v>
      </c>
      <c r="V8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29.1</v>
      </c>
      <c r="W85" s="16">
        <f>IFERROR(fCaixa[[#This Row],[Lucrofinal]]/fCaixa[[#This Row],[Venda]],0)</f>
        <v>0.49743589743589745</v>
      </c>
    </row>
    <row r="86" spans="1:23" ht="16.5" hidden="1" x14ac:dyDescent="0.25">
      <c r="A86" s="17">
        <f t="shared" si="1"/>
        <v>85</v>
      </c>
      <c r="B86" s="87">
        <v>43007</v>
      </c>
      <c r="C86" s="12" t="s">
        <v>24</v>
      </c>
      <c r="D86" s="12" t="s">
        <v>25</v>
      </c>
      <c r="E86" s="12" t="s">
        <v>26</v>
      </c>
      <c r="F86" s="12" t="s">
        <v>27</v>
      </c>
      <c r="G86" s="13">
        <v>43.5</v>
      </c>
      <c r="H86" s="13">
        <v>0.75</v>
      </c>
      <c r="I86" s="13">
        <v>10.5</v>
      </c>
      <c r="J86" s="14">
        <v>10</v>
      </c>
      <c r="K86" s="17">
        <f>IFERROR(ROUND((fCaixa[[#This Row],[Venda]]/fCaixa[[#This Row],[Preço/Un.]]),0),0)</f>
        <v>58</v>
      </c>
      <c r="L86" s="15">
        <f>IFERROR((SUBSTITUTE(RIGHT(fCaixa[[#This Row],[Descrição]],3),"G","")*1 *fCaixa[[#This Row],[Qtd/Pães]]) / 1000,0)</f>
        <v>2.0299999999999998</v>
      </c>
      <c r="M86" s="13">
        <f>IFERROR((((SUBSTITUTE(RIGHT(fCaixa[[#This Row],[Descrição]],3),"G","")*1) * fCaixa[[#This Row],[QTD Perdida]])/1000) *fCaixa[[#This Row],[Custo/KG.]],0)</f>
        <v>3.6749999999999998</v>
      </c>
      <c r="N86" s="15">
        <f>IF(fCaixa[[#This Row],[Lançamento]]="RECEITA",(fCaixa[[#This Row],[QTD Perdida]]* (SUBSTITUTE(RIGHT(fCaixa[[#This Row],[Descrição]],3),"G","")*1))/1000,0)</f>
        <v>0.35</v>
      </c>
      <c r="O86" s="15">
        <f>fCaixa[[#This Row],[Qtd/Kg]]+fCaixa[[#This Row],[Qtd/Kg Perdido]]</f>
        <v>2.38</v>
      </c>
      <c r="P86" s="13">
        <f>IF(fCaixa[[#This Row],[Lançamento]]="RECEITA",(fCaixa[[#This Row],[Qtd/Kg]]*fCaixa[[#This Row],[Custo/KG.]]),0)</f>
        <v>21.314999999999998</v>
      </c>
      <c r="Q86" s="34">
        <f>fCaixa[[#This Row],[Custoprimario]]+fCaixa[[#This Row],[Total Perdido]]</f>
        <v>24.99</v>
      </c>
      <c r="R86" s="16">
        <f>IFERROR(fCaixa[[#This Row],[Custoprimario]]/fCaixa[[#This Row],[Venda]],0)</f>
        <v>0.48999999999999994</v>
      </c>
      <c r="S86" s="16">
        <f>IFERROR(fCaixa[[#This Row],[Custofinal]]/fCaixa[[#This Row],[Venda]],0)</f>
        <v>0.57448275862068965</v>
      </c>
      <c r="T86" s="13">
        <f>IF(fCaixa[[#This Row],[Lançamento]]="RECEITA",fCaixa[[#This Row],[Venda]]-fCaixa[[#This Row],[Custoprimario]],0)</f>
        <v>22.185000000000002</v>
      </c>
      <c r="U86" s="16">
        <f>IFERROR(fCaixa[[#This Row],[Lucroprimario]]/fCaixa[[#This Row],[Venda]],0)</f>
        <v>0.51</v>
      </c>
      <c r="V8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18.510000000000002</v>
      </c>
      <c r="W86" s="16">
        <f>IFERROR(fCaixa[[#This Row],[Lucrofinal]]/fCaixa[[#This Row],[Venda]],0)</f>
        <v>0.42551724137931041</v>
      </c>
    </row>
    <row r="87" spans="1:23" ht="16.5" hidden="1" x14ac:dyDescent="0.25">
      <c r="A87" s="17">
        <f t="shared" si="1"/>
        <v>86</v>
      </c>
      <c r="B87" s="87">
        <v>43008</v>
      </c>
      <c r="C87" s="12" t="s">
        <v>24</v>
      </c>
      <c r="D87" s="12" t="s">
        <v>25</v>
      </c>
      <c r="E87" s="12" t="s">
        <v>26</v>
      </c>
      <c r="F87" s="12" t="s">
        <v>28</v>
      </c>
      <c r="G87" s="13">
        <v>137</v>
      </c>
      <c r="H87" s="13">
        <v>0.5</v>
      </c>
      <c r="I87" s="13">
        <v>8</v>
      </c>
      <c r="J87" s="14">
        <v>0</v>
      </c>
      <c r="K87" s="17">
        <f>IFERROR(ROUND((fCaixa[[#This Row],[Venda]]/fCaixa[[#This Row],[Preço/Un.]]),0),0)</f>
        <v>274</v>
      </c>
      <c r="L87" s="15">
        <f>IFERROR((SUBSTITUTE(RIGHT(fCaixa[[#This Row],[Descrição]],3),"G","")*1 *fCaixa[[#This Row],[Qtd/Pães]]) / 1000,0)</f>
        <v>9.59</v>
      </c>
      <c r="M87" s="13">
        <f>IFERROR((((SUBSTITUTE(RIGHT(fCaixa[[#This Row],[Descrição]],3),"G","")*1) * fCaixa[[#This Row],[QTD Perdida]])/1000) *fCaixa[[#This Row],[Custo/KG.]],0)</f>
        <v>0</v>
      </c>
      <c r="N87" s="15">
        <f>IF(fCaixa[[#This Row],[Lançamento]]="RECEITA",(fCaixa[[#This Row],[QTD Perdida]]* (SUBSTITUTE(RIGHT(fCaixa[[#This Row],[Descrição]],3),"G","")*1))/1000,0)</f>
        <v>0</v>
      </c>
      <c r="O87" s="15">
        <f>fCaixa[[#This Row],[Qtd/Kg]]+fCaixa[[#This Row],[Qtd/Kg Perdido]]</f>
        <v>9.59</v>
      </c>
      <c r="P87" s="13">
        <f>IF(fCaixa[[#This Row],[Lançamento]]="RECEITA",(fCaixa[[#This Row],[Qtd/Kg]]*fCaixa[[#This Row],[Custo/KG.]]),0)</f>
        <v>76.72</v>
      </c>
      <c r="Q87" s="34">
        <f>fCaixa[[#This Row],[Custoprimario]]+fCaixa[[#This Row],[Total Perdido]]</f>
        <v>76.72</v>
      </c>
      <c r="R87" s="16">
        <f>IFERROR(fCaixa[[#This Row],[Custoprimario]]/fCaixa[[#This Row],[Venda]],0)</f>
        <v>0.55999999999999994</v>
      </c>
      <c r="S87" s="16">
        <f>IFERROR(fCaixa[[#This Row],[Custofinal]]/fCaixa[[#This Row],[Venda]],0)</f>
        <v>0.55999999999999994</v>
      </c>
      <c r="T87" s="13">
        <f>IF(fCaixa[[#This Row],[Lançamento]]="RECEITA",fCaixa[[#This Row],[Venda]]-fCaixa[[#This Row],[Custoprimario]],0)</f>
        <v>60.28</v>
      </c>
      <c r="U87" s="16">
        <f>IFERROR(fCaixa[[#This Row],[Lucroprimario]]/fCaixa[[#This Row],[Venda]],0)</f>
        <v>0.44</v>
      </c>
      <c r="V8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60.28</v>
      </c>
      <c r="W87" s="16">
        <f>IFERROR(fCaixa[[#This Row],[Lucrofinal]]/fCaixa[[#This Row],[Venda]],0)</f>
        <v>0.44</v>
      </c>
    </row>
    <row r="88" spans="1:23" ht="16.5" hidden="1" x14ac:dyDescent="0.25">
      <c r="A88" s="17">
        <f t="shared" si="1"/>
        <v>87</v>
      </c>
      <c r="B88" s="87">
        <v>43010</v>
      </c>
      <c r="C88" s="12" t="s">
        <v>24</v>
      </c>
      <c r="D88" s="12" t="s">
        <v>25</v>
      </c>
      <c r="E88" s="12" t="s">
        <v>26</v>
      </c>
      <c r="F88" s="12" t="s">
        <v>27</v>
      </c>
      <c r="G88" s="13">
        <v>57.25</v>
      </c>
      <c r="H88" s="13">
        <v>0.75</v>
      </c>
      <c r="I88" s="13">
        <v>10.5</v>
      </c>
      <c r="J88" s="14">
        <v>0</v>
      </c>
      <c r="K88" s="17">
        <f>IFERROR(ROUND((fCaixa[[#This Row],[Venda]]/fCaixa[[#This Row],[Preço/Un.]]),0),0)</f>
        <v>76</v>
      </c>
      <c r="L88" s="15">
        <f>IFERROR((SUBSTITUTE(RIGHT(fCaixa[[#This Row],[Descrição]],3),"G","")*1 *fCaixa[[#This Row],[Qtd/Pães]]) / 1000,0)</f>
        <v>2.66</v>
      </c>
      <c r="M88" s="13">
        <f>IFERROR((((SUBSTITUTE(RIGHT(fCaixa[[#This Row],[Descrição]],3),"G","")*1) * fCaixa[[#This Row],[QTD Perdida]])/1000) *fCaixa[[#This Row],[Custo/KG.]],0)</f>
        <v>0</v>
      </c>
      <c r="N88" s="15">
        <f>IF(fCaixa[[#This Row],[Lançamento]]="RECEITA",(fCaixa[[#This Row],[QTD Perdida]]* (SUBSTITUTE(RIGHT(fCaixa[[#This Row],[Descrição]],3),"G","")*1))/1000,0)</f>
        <v>0</v>
      </c>
      <c r="O88" s="15">
        <f>fCaixa[[#This Row],[Qtd/Kg]]+fCaixa[[#This Row],[Qtd/Kg Perdido]]</f>
        <v>2.66</v>
      </c>
      <c r="P88" s="13">
        <f>IF(fCaixa[[#This Row],[Lançamento]]="RECEITA",(fCaixa[[#This Row],[Qtd/Kg]]*fCaixa[[#This Row],[Custo/KG.]]),0)</f>
        <v>27.93</v>
      </c>
      <c r="Q88" s="34">
        <f>fCaixa[[#This Row],[Custoprimario]]+fCaixa[[#This Row],[Total Perdido]]</f>
        <v>27.93</v>
      </c>
      <c r="R88" s="16">
        <f>IFERROR(fCaixa[[#This Row],[Custoprimario]]/fCaixa[[#This Row],[Venda]],0)</f>
        <v>0.48786026200873361</v>
      </c>
      <c r="S88" s="16">
        <f>IFERROR(fCaixa[[#This Row],[Custofinal]]/fCaixa[[#This Row],[Venda]],0)</f>
        <v>0.48786026200873361</v>
      </c>
      <c r="T88" s="13">
        <f>IF(fCaixa[[#This Row],[Lançamento]]="RECEITA",fCaixa[[#This Row],[Venda]]-fCaixa[[#This Row],[Custoprimario]],0)</f>
        <v>29.32</v>
      </c>
      <c r="U88" s="16">
        <f>IFERROR(fCaixa[[#This Row],[Lucroprimario]]/fCaixa[[#This Row],[Venda]],0)</f>
        <v>0.51213973799126633</v>
      </c>
      <c r="V8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29.32</v>
      </c>
      <c r="W88" s="16">
        <f>IFERROR(fCaixa[[#This Row],[Lucrofinal]]/fCaixa[[#This Row],[Venda]],0)</f>
        <v>0.51213973799126633</v>
      </c>
    </row>
    <row r="89" spans="1:23" ht="16.5" hidden="1" x14ac:dyDescent="0.25">
      <c r="A89" s="17">
        <f t="shared" si="1"/>
        <v>88</v>
      </c>
      <c r="B89" s="87">
        <v>43011</v>
      </c>
      <c r="C89" s="12" t="s">
        <v>24</v>
      </c>
      <c r="D89" s="12" t="s">
        <v>25</v>
      </c>
      <c r="E89" s="12" t="s">
        <v>26</v>
      </c>
      <c r="F89" s="12" t="s">
        <v>27</v>
      </c>
      <c r="G89" s="13">
        <v>58.5</v>
      </c>
      <c r="H89" s="13">
        <v>0.75</v>
      </c>
      <c r="I89" s="13">
        <v>10.5</v>
      </c>
      <c r="J89" s="14">
        <v>0</v>
      </c>
      <c r="K89" s="17">
        <f>IFERROR(ROUND((fCaixa[[#This Row],[Venda]]/fCaixa[[#This Row],[Preço/Un.]]),0),0)</f>
        <v>78</v>
      </c>
      <c r="L89" s="15">
        <f>IFERROR((SUBSTITUTE(RIGHT(fCaixa[[#This Row],[Descrição]],3),"G","")*1 *fCaixa[[#This Row],[Qtd/Pães]]) / 1000,0)</f>
        <v>2.73</v>
      </c>
      <c r="M89" s="13">
        <f>IFERROR((((SUBSTITUTE(RIGHT(fCaixa[[#This Row],[Descrição]],3),"G","")*1) * fCaixa[[#This Row],[QTD Perdida]])/1000) *fCaixa[[#This Row],[Custo/KG.]],0)</f>
        <v>0</v>
      </c>
      <c r="N89" s="15">
        <f>IF(fCaixa[[#This Row],[Lançamento]]="RECEITA",(fCaixa[[#This Row],[QTD Perdida]]* (SUBSTITUTE(RIGHT(fCaixa[[#This Row],[Descrição]],3),"G","")*1))/1000,0)</f>
        <v>0</v>
      </c>
      <c r="O89" s="15">
        <f>fCaixa[[#This Row],[Qtd/Kg]]+fCaixa[[#This Row],[Qtd/Kg Perdido]]</f>
        <v>2.73</v>
      </c>
      <c r="P89" s="13">
        <f>IF(fCaixa[[#This Row],[Lançamento]]="RECEITA",(fCaixa[[#This Row],[Qtd/Kg]]*fCaixa[[#This Row],[Custo/KG.]]),0)</f>
        <v>28.664999999999999</v>
      </c>
      <c r="Q89" s="34">
        <f>fCaixa[[#This Row],[Custoprimario]]+fCaixa[[#This Row],[Total Perdido]]</f>
        <v>28.664999999999999</v>
      </c>
      <c r="R89" s="16">
        <f>IFERROR(fCaixa[[#This Row],[Custoprimario]]/fCaixa[[#This Row],[Venda]],0)</f>
        <v>0.49</v>
      </c>
      <c r="S89" s="16">
        <f>IFERROR(fCaixa[[#This Row],[Custofinal]]/fCaixa[[#This Row],[Venda]],0)</f>
        <v>0.49</v>
      </c>
      <c r="T89" s="13">
        <f>IF(fCaixa[[#This Row],[Lançamento]]="RECEITA",fCaixa[[#This Row],[Venda]]-fCaixa[[#This Row],[Custoprimario]],0)</f>
        <v>29.835000000000001</v>
      </c>
      <c r="U89" s="16">
        <f>IFERROR(fCaixa[[#This Row],[Lucroprimario]]/fCaixa[[#This Row],[Venda]],0)</f>
        <v>0.51</v>
      </c>
      <c r="V8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29.835000000000001</v>
      </c>
      <c r="W89" s="16">
        <f>IFERROR(fCaixa[[#This Row],[Lucrofinal]]/fCaixa[[#This Row],[Venda]],0)</f>
        <v>0.51</v>
      </c>
    </row>
    <row r="90" spans="1:23" ht="16.5" hidden="1" x14ac:dyDescent="0.25">
      <c r="A90" s="17">
        <f t="shared" si="1"/>
        <v>89</v>
      </c>
      <c r="B90" s="87">
        <v>43012</v>
      </c>
      <c r="C90" s="12" t="s">
        <v>24</v>
      </c>
      <c r="D90" s="12" t="s">
        <v>25</v>
      </c>
      <c r="E90" s="12" t="s">
        <v>26</v>
      </c>
      <c r="F90" s="12" t="s">
        <v>27</v>
      </c>
      <c r="G90" s="13">
        <v>25.8</v>
      </c>
      <c r="H90" s="13">
        <v>0.75</v>
      </c>
      <c r="I90" s="13">
        <v>10.5</v>
      </c>
      <c r="J90" s="14">
        <v>46</v>
      </c>
      <c r="K90" s="17">
        <f>IFERROR(ROUND((fCaixa[[#This Row],[Venda]]/fCaixa[[#This Row],[Preço/Un.]]),0),0)</f>
        <v>34</v>
      </c>
      <c r="L90" s="15">
        <f>IFERROR((SUBSTITUTE(RIGHT(fCaixa[[#This Row],[Descrição]],3),"G","")*1 *fCaixa[[#This Row],[Qtd/Pães]]) / 1000,0)</f>
        <v>1.19</v>
      </c>
      <c r="M90" s="13">
        <f>IFERROR((((SUBSTITUTE(RIGHT(fCaixa[[#This Row],[Descrição]],3),"G","")*1) * fCaixa[[#This Row],[QTD Perdida]])/1000) *fCaixa[[#This Row],[Custo/KG.]],0)</f>
        <v>16.905000000000001</v>
      </c>
      <c r="N90" s="15">
        <f>IF(fCaixa[[#This Row],[Lançamento]]="RECEITA",(fCaixa[[#This Row],[QTD Perdida]]* (SUBSTITUTE(RIGHT(fCaixa[[#This Row],[Descrição]],3),"G","")*1))/1000,0)</f>
        <v>1.61</v>
      </c>
      <c r="O90" s="15">
        <f>fCaixa[[#This Row],[Qtd/Kg]]+fCaixa[[#This Row],[Qtd/Kg Perdido]]</f>
        <v>2.8</v>
      </c>
      <c r="P90" s="13">
        <f>IF(fCaixa[[#This Row],[Lançamento]]="RECEITA",(fCaixa[[#This Row],[Qtd/Kg]]*fCaixa[[#This Row],[Custo/KG.]]),0)</f>
        <v>12.494999999999999</v>
      </c>
      <c r="Q90" s="34">
        <f>fCaixa[[#This Row],[Custoprimario]]+fCaixa[[#This Row],[Total Perdido]]</f>
        <v>29.4</v>
      </c>
      <c r="R90" s="16">
        <f>IFERROR(fCaixa[[#This Row],[Custoprimario]]/fCaixa[[#This Row],[Venda]],0)</f>
        <v>0.4843023255813953</v>
      </c>
      <c r="S90" s="16">
        <f>IFERROR(fCaixa[[#This Row],[Custofinal]]/fCaixa[[#This Row],[Venda]],0)</f>
        <v>1.13953488372093</v>
      </c>
      <c r="T90" s="13">
        <f>IF(fCaixa[[#This Row],[Lançamento]]="RECEITA",fCaixa[[#This Row],[Venda]]-fCaixa[[#This Row],[Custoprimario]],0)</f>
        <v>13.305000000000001</v>
      </c>
      <c r="U90" s="16">
        <f>IFERROR(fCaixa[[#This Row],[Lucroprimario]]/fCaixa[[#This Row],[Venda]],0)</f>
        <v>0.5156976744186047</v>
      </c>
      <c r="V9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-3.5999999999999979</v>
      </c>
      <c r="W90" s="16">
        <f>IFERROR(fCaixa[[#This Row],[Lucrofinal]]/fCaixa[[#This Row],[Venda]],0)</f>
        <v>-0.13953488372093015</v>
      </c>
    </row>
    <row r="91" spans="1:23" ht="16.5" hidden="1" x14ac:dyDescent="0.25">
      <c r="A91" s="17">
        <f t="shared" si="1"/>
        <v>90</v>
      </c>
      <c r="B91" s="87">
        <v>43013</v>
      </c>
      <c r="C91" s="12" t="s">
        <v>24</v>
      </c>
      <c r="D91" s="12" t="s">
        <v>25</v>
      </c>
      <c r="E91" s="12" t="s">
        <v>26</v>
      </c>
      <c r="F91" s="12" t="s">
        <v>27</v>
      </c>
      <c r="G91" s="13">
        <v>39</v>
      </c>
      <c r="H91" s="13">
        <v>0.75</v>
      </c>
      <c r="I91" s="13">
        <v>10.5</v>
      </c>
      <c r="J91" s="14">
        <v>0</v>
      </c>
      <c r="K91" s="17">
        <f>IFERROR(ROUND((fCaixa[[#This Row],[Venda]]/fCaixa[[#This Row],[Preço/Un.]]),0),0)</f>
        <v>52</v>
      </c>
      <c r="L91" s="15">
        <f>IFERROR((SUBSTITUTE(RIGHT(fCaixa[[#This Row],[Descrição]],3),"G","")*1 *fCaixa[[#This Row],[Qtd/Pães]]) / 1000,0)</f>
        <v>1.82</v>
      </c>
      <c r="M91" s="13">
        <f>IFERROR((((SUBSTITUTE(RIGHT(fCaixa[[#This Row],[Descrição]],3),"G","")*1) * fCaixa[[#This Row],[QTD Perdida]])/1000) *fCaixa[[#This Row],[Custo/KG.]],0)</f>
        <v>0</v>
      </c>
      <c r="N91" s="15">
        <f>IF(fCaixa[[#This Row],[Lançamento]]="RECEITA",(fCaixa[[#This Row],[QTD Perdida]]* (SUBSTITUTE(RIGHT(fCaixa[[#This Row],[Descrição]],3),"G","")*1))/1000,0)</f>
        <v>0</v>
      </c>
      <c r="O91" s="15">
        <f>fCaixa[[#This Row],[Qtd/Kg]]+fCaixa[[#This Row],[Qtd/Kg Perdido]]</f>
        <v>1.82</v>
      </c>
      <c r="P91" s="13">
        <f>IF(fCaixa[[#This Row],[Lançamento]]="RECEITA",(fCaixa[[#This Row],[Qtd/Kg]]*fCaixa[[#This Row],[Custo/KG.]]),0)</f>
        <v>19.11</v>
      </c>
      <c r="Q91" s="34">
        <f>fCaixa[[#This Row],[Custoprimario]]+fCaixa[[#This Row],[Total Perdido]]</f>
        <v>19.11</v>
      </c>
      <c r="R91" s="16">
        <f>IFERROR(fCaixa[[#This Row],[Custoprimario]]/fCaixa[[#This Row],[Venda]],0)</f>
        <v>0.49</v>
      </c>
      <c r="S91" s="16">
        <f>IFERROR(fCaixa[[#This Row],[Custofinal]]/fCaixa[[#This Row],[Venda]],0)</f>
        <v>0.49</v>
      </c>
      <c r="T91" s="13">
        <f>IF(fCaixa[[#This Row],[Lançamento]]="RECEITA",fCaixa[[#This Row],[Venda]]-fCaixa[[#This Row],[Custoprimario]],0)</f>
        <v>19.89</v>
      </c>
      <c r="U91" s="16">
        <f>IFERROR(fCaixa[[#This Row],[Lucroprimario]]/fCaixa[[#This Row],[Venda]],0)</f>
        <v>0.51</v>
      </c>
      <c r="V9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19.89</v>
      </c>
      <c r="W91" s="16">
        <f>IFERROR(fCaixa[[#This Row],[Lucrofinal]]/fCaixa[[#This Row],[Venda]],0)</f>
        <v>0.51</v>
      </c>
    </row>
    <row r="92" spans="1:23" ht="16.5" hidden="1" x14ac:dyDescent="0.25">
      <c r="A92" s="17">
        <f t="shared" si="1"/>
        <v>91</v>
      </c>
      <c r="B92" s="87">
        <v>43014</v>
      </c>
      <c r="C92" s="12" t="s">
        <v>24</v>
      </c>
      <c r="D92" s="12" t="s">
        <v>25</v>
      </c>
      <c r="E92" s="12" t="s">
        <v>26</v>
      </c>
      <c r="F92" s="12" t="s">
        <v>27</v>
      </c>
      <c r="G92" s="13">
        <v>49.75</v>
      </c>
      <c r="H92" s="13">
        <f>2/3</f>
        <v>0.66666666666666663</v>
      </c>
      <c r="I92" s="13">
        <v>10.5</v>
      </c>
      <c r="J92" s="14">
        <v>3</v>
      </c>
      <c r="K92" s="17">
        <f>IFERROR(ROUND((fCaixa[[#This Row],[Venda]]/fCaixa[[#This Row],[Preço/Un.]]),0),0)</f>
        <v>75</v>
      </c>
      <c r="L92" s="15">
        <f>IFERROR((SUBSTITUTE(RIGHT(fCaixa[[#This Row],[Descrição]],3),"G","")*1 *fCaixa[[#This Row],[Qtd/Pães]]) / 1000,0)</f>
        <v>2.625</v>
      </c>
      <c r="M92" s="13">
        <f>IFERROR((((SUBSTITUTE(RIGHT(fCaixa[[#This Row],[Descrição]],3),"G","")*1) * fCaixa[[#This Row],[QTD Perdida]])/1000) *fCaixa[[#This Row],[Custo/KG.]],0)</f>
        <v>1.1025</v>
      </c>
      <c r="N92" s="15">
        <f>IF(fCaixa[[#This Row],[Lançamento]]="RECEITA",(fCaixa[[#This Row],[QTD Perdida]]* (SUBSTITUTE(RIGHT(fCaixa[[#This Row],[Descrição]],3),"G","")*1))/1000,0)</f>
        <v>0.105</v>
      </c>
      <c r="O92" s="15">
        <f>fCaixa[[#This Row],[Qtd/Kg]]+fCaixa[[#This Row],[Qtd/Kg Perdido]]</f>
        <v>2.73</v>
      </c>
      <c r="P92" s="13">
        <f>IF(fCaixa[[#This Row],[Lançamento]]="RECEITA",(fCaixa[[#This Row],[Qtd/Kg]]*fCaixa[[#This Row],[Custo/KG.]]),0)</f>
        <v>27.5625</v>
      </c>
      <c r="Q92" s="34">
        <f>fCaixa[[#This Row],[Custoprimario]]+fCaixa[[#This Row],[Total Perdido]]</f>
        <v>28.664999999999999</v>
      </c>
      <c r="R92" s="16">
        <f>IFERROR(fCaixa[[#This Row],[Custoprimario]]/fCaixa[[#This Row],[Venda]],0)</f>
        <v>0.5540201005025126</v>
      </c>
      <c r="S92" s="16">
        <f>IFERROR(fCaixa[[#This Row],[Custofinal]]/fCaixa[[#This Row],[Venda]],0)</f>
        <v>0.57618090452261306</v>
      </c>
      <c r="T92" s="13">
        <f>IF(fCaixa[[#This Row],[Lançamento]]="RECEITA",fCaixa[[#This Row],[Venda]]-fCaixa[[#This Row],[Custoprimario]],0)</f>
        <v>22.1875</v>
      </c>
      <c r="U92" s="16">
        <f>IFERROR(fCaixa[[#This Row],[Lucroprimario]]/fCaixa[[#This Row],[Venda]],0)</f>
        <v>0.44597989949748745</v>
      </c>
      <c r="V9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21.085000000000001</v>
      </c>
      <c r="W92" s="16">
        <f>IFERROR(fCaixa[[#This Row],[Lucrofinal]]/fCaixa[[#This Row],[Venda]],0)</f>
        <v>0.42381909547738694</v>
      </c>
    </row>
    <row r="93" spans="1:23" ht="16.5" hidden="1" x14ac:dyDescent="0.25">
      <c r="A93" s="17">
        <f t="shared" si="1"/>
        <v>92</v>
      </c>
      <c r="B93" s="87">
        <v>43015</v>
      </c>
      <c r="C93" s="12" t="s">
        <v>29</v>
      </c>
      <c r="D93" s="12" t="s">
        <v>25</v>
      </c>
      <c r="E93" s="12" t="s">
        <v>32</v>
      </c>
      <c r="F93" s="12" t="s">
        <v>27</v>
      </c>
      <c r="G93" s="13">
        <v>70</v>
      </c>
      <c r="H93" s="13">
        <v>0</v>
      </c>
      <c r="I93" s="13">
        <v>0</v>
      </c>
      <c r="J93" s="14">
        <v>0</v>
      </c>
      <c r="K93" s="17">
        <f>IFERROR(ROUND((fCaixa[[#This Row],[Venda]]/fCaixa[[#This Row],[Preço/Un.]]),0),0)</f>
        <v>0</v>
      </c>
      <c r="L93" s="15">
        <f>IFERROR((SUBSTITUTE(RIGHT(fCaixa[[#This Row],[Descrição]],3),"G","")*1 *fCaixa[[#This Row],[Qtd/Pães]]) / 1000,0)</f>
        <v>0</v>
      </c>
      <c r="M93" s="13">
        <f>IFERROR((((SUBSTITUTE(RIGHT(fCaixa[[#This Row],[Descrição]],3),"G","")*1) * fCaixa[[#This Row],[QTD Perdida]])/1000) *fCaixa[[#This Row],[Custo/KG.]],0)</f>
        <v>0</v>
      </c>
      <c r="N93" s="15">
        <f>IF(fCaixa[[#This Row],[Lançamento]]="RECEITA",(fCaixa[[#This Row],[QTD Perdida]]* (SUBSTITUTE(RIGHT(fCaixa[[#This Row],[Descrição]],3),"G","")*1))/1000,0)</f>
        <v>0</v>
      </c>
      <c r="O93" s="15">
        <f>fCaixa[[#This Row],[Qtd/Kg]]+fCaixa[[#This Row],[Qtd/Kg Perdido]]</f>
        <v>0</v>
      </c>
      <c r="P93" s="13">
        <f>IF(fCaixa[[#This Row],[Lançamento]]="RECEITA",(fCaixa[[#This Row],[Qtd/Kg]]*fCaixa[[#This Row],[Custo/KG.]]),0)</f>
        <v>0</v>
      </c>
      <c r="Q93" s="34">
        <f>fCaixa[[#This Row],[Custoprimario]]+fCaixa[[#This Row],[Total Perdido]]</f>
        <v>0</v>
      </c>
      <c r="R93" s="16">
        <f>IFERROR(fCaixa[[#This Row],[Custoprimario]]/fCaixa[[#This Row],[Venda]],0)</f>
        <v>0</v>
      </c>
      <c r="S93" s="16">
        <f>IFERROR(fCaixa[[#This Row],[Custofinal]]/fCaixa[[#This Row],[Venda]],0)</f>
        <v>0</v>
      </c>
      <c r="T93" s="13">
        <f>IF(fCaixa[[#This Row],[Lançamento]]="RECEITA",fCaixa[[#This Row],[Venda]]-fCaixa[[#This Row],[Custoprimario]],0)</f>
        <v>0</v>
      </c>
      <c r="U93" s="16">
        <f>IFERROR(fCaixa[[#This Row],[Lucroprimario]]/fCaixa[[#This Row],[Venda]],0)</f>
        <v>0</v>
      </c>
      <c r="V9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93" s="16">
        <f>IFERROR(fCaixa[[#This Row],[Lucrofinal]]/fCaixa[[#This Row],[Venda]],0)</f>
        <v>0</v>
      </c>
    </row>
    <row r="94" spans="1:23" ht="16.5" hidden="1" x14ac:dyDescent="0.25">
      <c r="A94" s="17">
        <f t="shared" si="1"/>
        <v>93</v>
      </c>
      <c r="B94" s="87">
        <v>43017</v>
      </c>
      <c r="C94" s="12" t="s">
        <v>24</v>
      </c>
      <c r="D94" s="12" t="s">
        <v>25</v>
      </c>
      <c r="E94" s="12" t="s">
        <v>26</v>
      </c>
      <c r="F94" s="12" t="s">
        <v>27</v>
      </c>
      <c r="G94" s="13">
        <v>48.75</v>
      </c>
      <c r="H94" s="13">
        <f>2/3</f>
        <v>0.66666666666666663</v>
      </c>
      <c r="I94" s="13">
        <v>10.5</v>
      </c>
      <c r="J94" s="14">
        <v>29</v>
      </c>
      <c r="K94" s="17">
        <f>IFERROR(ROUND((fCaixa[[#This Row],[Venda]]/fCaixa[[#This Row],[Preço/Un.]]),0),0)</f>
        <v>73</v>
      </c>
      <c r="L94" s="15">
        <f>IFERROR((SUBSTITUTE(RIGHT(fCaixa[[#This Row],[Descrição]],3),"G","")*1 *fCaixa[[#This Row],[Qtd/Pães]]) / 1000,0)</f>
        <v>2.5550000000000002</v>
      </c>
      <c r="M94" s="13">
        <f>IFERROR((((SUBSTITUTE(RIGHT(fCaixa[[#This Row],[Descrição]],3),"G","")*1) * fCaixa[[#This Row],[QTD Perdida]])/1000) *fCaixa[[#This Row],[Custo/KG.]],0)</f>
        <v>10.657499999999999</v>
      </c>
      <c r="N94" s="15">
        <f>IF(fCaixa[[#This Row],[Lançamento]]="RECEITA",(fCaixa[[#This Row],[QTD Perdida]]* (SUBSTITUTE(RIGHT(fCaixa[[#This Row],[Descrição]],3),"G","")*1))/1000,0)</f>
        <v>1.0149999999999999</v>
      </c>
      <c r="O94" s="15">
        <f>fCaixa[[#This Row],[Qtd/Kg]]+fCaixa[[#This Row],[Qtd/Kg Perdido]]</f>
        <v>3.5700000000000003</v>
      </c>
      <c r="P94" s="13">
        <f>IF(fCaixa[[#This Row],[Lançamento]]="RECEITA",(fCaixa[[#This Row],[Qtd/Kg]]*fCaixa[[#This Row],[Custo/KG.]]),0)</f>
        <v>26.827500000000001</v>
      </c>
      <c r="Q94" s="34">
        <f>fCaixa[[#This Row],[Custoprimario]]+fCaixa[[#This Row],[Total Perdido]]</f>
        <v>37.484999999999999</v>
      </c>
      <c r="R94" s="16">
        <f>IFERROR(fCaixa[[#This Row],[Custoprimario]]/fCaixa[[#This Row],[Venda]],0)</f>
        <v>0.55030769230769228</v>
      </c>
      <c r="S94" s="16">
        <f>IFERROR(fCaixa[[#This Row],[Custofinal]]/fCaixa[[#This Row],[Venda]],0)</f>
        <v>0.76892307692307693</v>
      </c>
      <c r="T94" s="13">
        <f>IF(fCaixa[[#This Row],[Lançamento]]="RECEITA",fCaixa[[#This Row],[Venda]]-fCaixa[[#This Row],[Custoprimario]],0)</f>
        <v>21.922499999999999</v>
      </c>
      <c r="U94" s="16">
        <f>IFERROR(fCaixa[[#This Row],[Lucroprimario]]/fCaixa[[#This Row],[Venda]],0)</f>
        <v>0.44969230769230767</v>
      </c>
      <c r="V9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11.265000000000001</v>
      </c>
      <c r="W94" s="16">
        <f>IFERROR(fCaixa[[#This Row],[Lucrofinal]]/fCaixa[[#This Row],[Venda]],0)</f>
        <v>0.2310769230769231</v>
      </c>
    </row>
    <row r="95" spans="1:23" ht="16.5" hidden="1" x14ac:dyDescent="0.25">
      <c r="A95" s="17">
        <f t="shared" si="1"/>
        <v>94</v>
      </c>
      <c r="B95" s="87">
        <v>43017</v>
      </c>
      <c r="C95" s="12" t="s">
        <v>29</v>
      </c>
      <c r="D95" s="12" t="s">
        <v>25</v>
      </c>
      <c r="E95" s="12" t="s">
        <v>31</v>
      </c>
      <c r="F95" s="12" t="s">
        <v>27</v>
      </c>
      <c r="G95" s="13">
        <v>60</v>
      </c>
      <c r="H95" s="13">
        <v>0</v>
      </c>
      <c r="I95" s="13">
        <v>0</v>
      </c>
      <c r="J95" s="14">
        <v>0</v>
      </c>
      <c r="K95" s="17">
        <f>IFERROR(ROUND((fCaixa[[#This Row],[Venda]]/fCaixa[[#This Row],[Preço/Un.]]),0),0)</f>
        <v>0</v>
      </c>
      <c r="L95" s="15">
        <f>IFERROR((SUBSTITUTE(RIGHT(fCaixa[[#This Row],[Descrição]],3),"G","")*1 *fCaixa[[#This Row],[Qtd/Pães]]) / 1000,0)</f>
        <v>0</v>
      </c>
      <c r="M95" s="13">
        <f>IFERROR((((SUBSTITUTE(RIGHT(fCaixa[[#This Row],[Descrição]],3),"G","")*1) * fCaixa[[#This Row],[QTD Perdida]])/1000) *fCaixa[[#This Row],[Custo/KG.]],0)</f>
        <v>0</v>
      </c>
      <c r="N95" s="15">
        <f>IF(fCaixa[[#This Row],[Lançamento]]="RECEITA",(fCaixa[[#This Row],[QTD Perdida]]* (SUBSTITUTE(RIGHT(fCaixa[[#This Row],[Descrição]],3),"G","")*1))/1000,0)</f>
        <v>0</v>
      </c>
      <c r="O95" s="15">
        <f>fCaixa[[#This Row],[Qtd/Kg]]+fCaixa[[#This Row],[Qtd/Kg Perdido]]</f>
        <v>0</v>
      </c>
      <c r="P95" s="13">
        <f>IF(fCaixa[[#This Row],[Lançamento]]="RECEITA",(fCaixa[[#This Row],[Qtd/Kg]]*fCaixa[[#This Row],[Custo/KG.]]),0)</f>
        <v>0</v>
      </c>
      <c r="Q95" s="34">
        <f>fCaixa[[#This Row],[Custoprimario]]+fCaixa[[#This Row],[Total Perdido]]</f>
        <v>0</v>
      </c>
      <c r="R95" s="16">
        <f>IFERROR(fCaixa[[#This Row],[Custoprimario]]/fCaixa[[#This Row],[Venda]],0)</f>
        <v>0</v>
      </c>
      <c r="S95" s="16">
        <f>IFERROR(fCaixa[[#This Row],[Custofinal]]/fCaixa[[#This Row],[Venda]],0)</f>
        <v>0</v>
      </c>
      <c r="T95" s="13">
        <f>IF(fCaixa[[#This Row],[Lançamento]]="RECEITA",fCaixa[[#This Row],[Venda]]-fCaixa[[#This Row],[Custoprimario]],0)</f>
        <v>0</v>
      </c>
      <c r="U95" s="16">
        <f>IFERROR(fCaixa[[#This Row],[Lucroprimario]]/fCaixa[[#This Row],[Venda]],0)</f>
        <v>0</v>
      </c>
      <c r="V9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95" s="16">
        <f>IFERROR(fCaixa[[#This Row],[Lucrofinal]]/fCaixa[[#This Row],[Venda]],0)</f>
        <v>0</v>
      </c>
    </row>
    <row r="96" spans="1:23" ht="16.5" hidden="1" x14ac:dyDescent="0.25">
      <c r="A96" s="17">
        <f t="shared" si="1"/>
        <v>95</v>
      </c>
      <c r="B96" s="87">
        <v>43018</v>
      </c>
      <c r="C96" s="12" t="s">
        <v>24</v>
      </c>
      <c r="D96" s="12" t="s">
        <v>25</v>
      </c>
      <c r="E96" s="12" t="s">
        <v>26</v>
      </c>
      <c r="F96" s="12" t="s">
        <v>27</v>
      </c>
      <c r="G96" s="13">
        <f>75-20</f>
        <v>55</v>
      </c>
      <c r="H96" s="13">
        <f>2/3</f>
        <v>0.66666666666666663</v>
      </c>
      <c r="I96" s="13">
        <v>10.5</v>
      </c>
      <c r="J96" s="14">
        <v>0</v>
      </c>
      <c r="K96" s="17">
        <f>IFERROR(ROUND((fCaixa[[#This Row],[Venda]]/fCaixa[[#This Row],[Preço/Un.]]),0),0)</f>
        <v>83</v>
      </c>
      <c r="L96" s="15">
        <f>IFERROR((SUBSTITUTE(RIGHT(fCaixa[[#This Row],[Descrição]],3),"G","")*1 *fCaixa[[#This Row],[Qtd/Pães]]) / 1000,0)</f>
        <v>2.9049999999999998</v>
      </c>
      <c r="M96" s="13">
        <f>IFERROR((((SUBSTITUTE(RIGHT(fCaixa[[#This Row],[Descrição]],3),"G","")*1) * fCaixa[[#This Row],[QTD Perdida]])/1000) *fCaixa[[#This Row],[Custo/KG.]],0)</f>
        <v>0</v>
      </c>
      <c r="N96" s="15">
        <f>IF(fCaixa[[#This Row],[Lançamento]]="RECEITA",(fCaixa[[#This Row],[QTD Perdida]]* (SUBSTITUTE(RIGHT(fCaixa[[#This Row],[Descrição]],3),"G","")*1))/1000,0)</f>
        <v>0</v>
      </c>
      <c r="O96" s="15">
        <f>fCaixa[[#This Row],[Qtd/Kg]]+fCaixa[[#This Row],[Qtd/Kg Perdido]]</f>
        <v>2.9049999999999998</v>
      </c>
      <c r="P96" s="13">
        <f>IF(fCaixa[[#This Row],[Lançamento]]="RECEITA",(fCaixa[[#This Row],[Qtd/Kg]]*fCaixa[[#This Row],[Custo/KG.]]),0)</f>
        <v>30.502499999999998</v>
      </c>
      <c r="Q96" s="34">
        <f>fCaixa[[#This Row],[Custoprimario]]+fCaixa[[#This Row],[Total Perdido]]</f>
        <v>30.502499999999998</v>
      </c>
      <c r="R96" s="16">
        <f>IFERROR(fCaixa[[#This Row],[Custoprimario]]/fCaixa[[#This Row],[Venda]],0)</f>
        <v>0.55459090909090902</v>
      </c>
      <c r="S96" s="16">
        <f>IFERROR(fCaixa[[#This Row],[Custofinal]]/fCaixa[[#This Row],[Venda]],0)</f>
        <v>0.55459090909090902</v>
      </c>
      <c r="T96" s="13">
        <f>IF(fCaixa[[#This Row],[Lançamento]]="RECEITA",fCaixa[[#This Row],[Venda]]-fCaixa[[#This Row],[Custoprimario]],0)</f>
        <v>24.497500000000002</v>
      </c>
      <c r="U96" s="16">
        <f>IFERROR(fCaixa[[#This Row],[Lucroprimario]]/fCaixa[[#This Row],[Venda]],0)</f>
        <v>0.44540909090909098</v>
      </c>
      <c r="V9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24.497500000000002</v>
      </c>
      <c r="W96" s="16">
        <f>IFERROR(fCaixa[[#This Row],[Lucrofinal]]/fCaixa[[#This Row],[Venda]],0)</f>
        <v>0.44540909090909098</v>
      </c>
    </row>
    <row r="97" spans="1:23" ht="16.5" hidden="1" x14ac:dyDescent="0.25">
      <c r="A97" s="17">
        <f t="shared" si="1"/>
        <v>96</v>
      </c>
      <c r="B97" s="87">
        <v>43018</v>
      </c>
      <c r="C97" s="12" t="s">
        <v>24</v>
      </c>
      <c r="D97" s="12" t="s">
        <v>25</v>
      </c>
      <c r="E97" s="12" t="s">
        <v>26</v>
      </c>
      <c r="F97" s="12" t="s">
        <v>27</v>
      </c>
      <c r="G97" s="13">
        <v>20</v>
      </c>
      <c r="H97" s="13">
        <v>0.69</v>
      </c>
      <c r="I97" s="13">
        <v>10.5</v>
      </c>
      <c r="J97" s="14">
        <v>0</v>
      </c>
      <c r="K97" s="17">
        <f>IFERROR(ROUND((fCaixa[[#This Row],[Venda]]/fCaixa[[#This Row],[Preço/Un.]]),0),0)</f>
        <v>29</v>
      </c>
      <c r="L97" s="15">
        <f>IFERROR((SUBSTITUTE(RIGHT(fCaixa[[#This Row],[Descrição]],3),"G","")*1 *fCaixa[[#This Row],[Qtd/Pães]]) / 1000,0)</f>
        <v>1.0149999999999999</v>
      </c>
      <c r="M97" s="13">
        <f>IFERROR((((SUBSTITUTE(RIGHT(fCaixa[[#This Row],[Descrição]],3),"G","")*1) * fCaixa[[#This Row],[QTD Perdida]])/1000) *fCaixa[[#This Row],[Custo/KG.]],0)</f>
        <v>0</v>
      </c>
      <c r="N97" s="15">
        <f>IF(fCaixa[[#This Row],[Lançamento]]="RECEITA",(fCaixa[[#This Row],[QTD Perdida]]* (SUBSTITUTE(RIGHT(fCaixa[[#This Row],[Descrição]],3),"G","")*1))/1000,0)</f>
        <v>0</v>
      </c>
      <c r="O97" s="15">
        <f>fCaixa[[#This Row],[Qtd/Kg]]+fCaixa[[#This Row],[Qtd/Kg Perdido]]</f>
        <v>1.0149999999999999</v>
      </c>
      <c r="P97" s="13">
        <f>IF(fCaixa[[#This Row],[Lançamento]]="RECEITA",(fCaixa[[#This Row],[Qtd/Kg]]*fCaixa[[#This Row],[Custo/KG.]]),0)</f>
        <v>10.657499999999999</v>
      </c>
      <c r="Q97" s="34">
        <f>fCaixa[[#This Row],[Custoprimario]]+fCaixa[[#This Row],[Total Perdido]]</f>
        <v>10.657499999999999</v>
      </c>
      <c r="R97" s="16">
        <f>IFERROR(fCaixa[[#This Row],[Custoprimario]]/fCaixa[[#This Row],[Venda]],0)</f>
        <v>0.53287499999999999</v>
      </c>
      <c r="S97" s="16">
        <f>IFERROR(fCaixa[[#This Row],[Custofinal]]/fCaixa[[#This Row],[Venda]],0)</f>
        <v>0.53287499999999999</v>
      </c>
      <c r="T97" s="13">
        <f>IF(fCaixa[[#This Row],[Lançamento]]="RECEITA",fCaixa[[#This Row],[Venda]]-fCaixa[[#This Row],[Custoprimario]],0)</f>
        <v>9.3425000000000011</v>
      </c>
      <c r="U97" s="16">
        <f>IFERROR(fCaixa[[#This Row],[Lucroprimario]]/fCaixa[[#This Row],[Venda]],0)</f>
        <v>0.46712500000000007</v>
      </c>
      <c r="V9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9.3425000000000011</v>
      </c>
      <c r="W97" s="16">
        <f>IFERROR(fCaixa[[#This Row],[Lucrofinal]]/fCaixa[[#This Row],[Venda]],0)</f>
        <v>0.46712500000000007</v>
      </c>
    </row>
    <row r="98" spans="1:23" ht="16.5" hidden="1" x14ac:dyDescent="0.25">
      <c r="A98" s="17">
        <f t="shared" si="1"/>
        <v>97</v>
      </c>
      <c r="B98" s="87">
        <v>43019</v>
      </c>
      <c r="C98" s="12" t="s">
        <v>24</v>
      </c>
      <c r="D98" s="12" t="s">
        <v>25</v>
      </c>
      <c r="E98" s="12" t="s">
        <v>26</v>
      </c>
      <c r="F98" s="12" t="s">
        <v>27</v>
      </c>
      <c r="G98" s="13">
        <v>43.550000000000004</v>
      </c>
      <c r="H98" s="13">
        <v>0.67</v>
      </c>
      <c r="I98" s="13">
        <v>10.5</v>
      </c>
      <c r="J98" s="14">
        <v>7</v>
      </c>
      <c r="K98" s="17">
        <f>IFERROR(ROUND((fCaixa[[#This Row],[Venda]]/fCaixa[[#This Row],[Preço/Un.]]),0),0)</f>
        <v>65</v>
      </c>
      <c r="L98" s="15">
        <f>IFERROR((SUBSTITUTE(RIGHT(fCaixa[[#This Row],[Descrição]],3),"G","")*1 *fCaixa[[#This Row],[Qtd/Pães]]) / 1000,0)</f>
        <v>2.2749999999999999</v>
      </c>
      <c r="M98" s="13">
        <f>IFERROR((((SUBSTITUTE(RIGHT(fCaixa[[#This Row],[Descrição]],3),"G","")*1) * fCaixa[[#This Row],[QTD Perdida]])/1000) *fCaixa[[#This Row],[Custo/KG.]],0)</f>
        <v>2.5724999999999998</v>
      </c>
      <c r="N98" s="15">
        <f>IF(fCaixa[[#This Row],[Lançamento]]="RECEITA",(fCaixa[[#This Row],[QTD Perdida]]* (SUBSTITUTE(RIGHT(fCaixa[[#This Row],[Descrição]],3),"G","")*1))/1000,0)</f>
        <v>0.245</v>
      </c>
      <c r="O98" s="15">
        <f>fCaixa[[#This Row],[Qtd/Kg]]+fCaixa[[#This Row],[Qtd/Kg Perdido]]</f>
        <v>2.52</v>
      </c>
      <c r="P98" s="13">
        <f>IF(fCaixa[[#This Row],[Lançamento]]="RECEITA",(fCaixa[[#This Row],[Qtd/Kg]]*fCaixa[[#This Row],[Custo/KG.]]),0)</f>
        <v>23.887499999999999</v>
      </c>
      <c r="Q98" s="34">
        <f>fCaixa[[#This Row],[Custoprimario]]+fCaixa[[#This Row],[Total Perdido]]</f>
        <v>26.46</v>
      </c>
      <c r="R98" s="16">
        <f>IFERROR(fCaixa[[#This Row],[Custoprimario]]/fCaixa[[#This Row],[Venda]],0)</f>
        <v>0.54850746268656714</v>
      </c>
      <c r="S98" s="16">
        <f>IFERROR(fCaixa[[#This Row],[Custofinal]]/fCaixa[[#This Row],[Venda]],0)</f>
        <v>0.60757749712973586</v>
      </c>
      <c r="T98" s="13">
        <f>IF(fCaixa[[#This Row],[Lançamento]]="RECEITA",fCaixa[[#This Row],[Venda]]-fCaixa[[#This Row],[Custoprimario]],0)</f>
        <v>19.662500000000005</v>
      </c>
      <c r="U98" s="16">
        <f>IFERROR(fCaixa[[#This Row],[Lucroprimario]]/fCaixa[[#This Row],[Venda]],0)</f>
        <v>0.45149253731343292</v>
      </c>
      <c r="V9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17.090000000000003</v>
      </c>
      <c r="W98" s="16">
        <f>IFERROR(fCaixa[[#This Row],[Lucrofinal]]/fCaixa[[#This Row],[Venda]],0)</f>
        <v>0.39242250287026409</v>
      </c>
    </row>
    <row r="99" spans="1:23" ht="16.5" hidden="1" x14ac:dyDescent="0.25">
      <c r="A99" s="17">
        <f t="shared" si="1"/>
        <v>98</v>
      </c>
      <c r="B99" s="87">
        <v>43022</v>
      </c>
      <c r="C99" s="12" t="s">
        <v>24</v>
      </c>
      <c r="D99" s="12" t="s">
        <v>25</v>
      </c>
      <c r="E99" s="12" t="s">
        <v>26</v>
      </c>
      <c r="F99" s="12" t="s">
        <v>28</v>
      </c>
      <c r="G99" s="13">
        <v>104</v>
      </c>
      <c r="H99" s="13">
        <v>0.5</v>
      </c>
      <c r="I99" s="13">
        <v>8</v>
      </c>
      <c r="J99" s="14">
        <v>0</v>
      </c>
      <c r="K99" s="17">
        <f>IFERROR(ROUND((fCaixa[[#This Row],[Venda]]/fCaixa[[#This Row],[Preço/Un.]]),0),0)</f>
        <v>208</v>
      </c>
      <c r="L99" s="15">
        <f>IFERROR((SUBSTITUTE(RIGHT(fCaixa[[#This Row],[Descrição]],3),"G","")*1 *fCaixa[[#This Row],[Qtd/Pães]]) / 1000,0)</f>
        <v>7.28</v>
      </c>
      <c r="M99" s="13">
        <f>IFERROR((((SUBSTITUTE(RIGHT(fCaixa[[#This Row],[Descrição]],3),"G","")*1) * fCaixa[[#This Row],[QTD Perdida]])/1000) *fCaixa[[#This Row],[Custo/KG.]],0)</f>
        <v>0</v>
      </c>
      <c r="N99" s="15">
        <f>IF(fCaixa[[#This Row],[Lançamento]]="RECEITA",(fCaixa[[#This Row],[QTD Perdida]]* (SUBSTITUTE(RIGHT(fCaixa[[#This Row],[Descrição]],3),"G","")*1))/1000,0)</f>
        <v>0</v>
      </c>
      <c r="O99" s="15">
        <f>fCaixa[[#This Row],[Qtd/Kg]]+fCaixa[[#This Row],[Qtd/Kg Perdido]]</f>
        <v>7.28</v>
      </c>
      <c r="P99" s="13">
        <f>IF(fCaixa[[#This Row],[Lançamento]]="RECEITA",(fCaixa[[#This Row],[Qtd/Kg]]*fCaixa[[#This Row],[Custo/KG.]]),0)</f>
        <v>58.24</v>
      </c>
      <c r="Q99" s="34">
        <f>fCaixa[[#This Row],[Custoprimario]]+fCaixa[[#This Row],[Total Perdido]]</f>
        <v>58.24</v>
      </c>
      <c r="R99" s="16">
        <f>IFERROR(fCaixa[[#This Row],[Custoprimario]]/fCaixa[[#This Row],[Venda]],0)</f>
        <v>0.56000000000000005</v>
      </c>
      <c r="S99" s="16">
        <f>IFERROR(fCaixa[[#This Row],[Custofinal]]/fCaixa[[#This Row],[Venda]],0)</f>
        <v>0.56000000000000005</v>
      </c>
      <c r="T99" s="13">
        <f>IF(fCaixa[[#This Row],[Lançamento]]="RECEITA",fCaixa[[#This Row],[Venda]]-fCaixa[[#This Row],[Custoprimario]],0)</f>
        <v>45.76</v>
      </c>
      <c r="U99" s="16">
        <f>IFERROR(fCaixa[[#This Row],[Lucroprimario]]/fCaixa[[#This Row],[Venda]],0)</f>
        <v>0.44</v>
      </c>
      <c r="V9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45.76</v>
      </c>
      <c r="W99" s="16">
        <f>IFERROR(fCaixa[[#This Row],[Lucrofinal]]/fCaixa[[#This Row],[Venda]],0)</f>
        <v>0.44</v>
      </c>
    </row>
    <row r="100" spans="1:23" ht="16.5" hidden="1" x14ac:dyDescent="0.25">
      <c r="A100" s="17">
        <f t="shared" si="1"/>
        <v>99</v>
      </c>
      <c r="B100" s="87">
        <v>43024</v>
      </c>
      <c r="C100" s="12" t="s">
        <v>24</v>
      </c>
      <c r="D100" s="12" t="s">
        <v>25</v>
      </c>
      <c r="E100" s="12" t="s">
        <v>26</v>
      </c>
      <c r="F100" s="12" t="s">
        <v>27</v>
      </c>
      <c r="G100" s="13">
        <v>66</v>
      </c>
      <c r="H100" s="13">
        <f>2/3</f>
        <v>0.66666666666666663</v>
      </c>
      <c r="I100" s="13">
        <v>10.5</v>
      </c>
      <c r="J100" s="14">
        <v>11</v>
      </c>
      <c r="K100" s="17">
        <f>IFERROR(ROUND((fCaixa[[#This Row],[Venda]]/fCaixa[[#This Row],[Preço/Un.]]),0),0)</f>
        <v>99</v>
      </c>
      <c r="L100" s="15">
        <f>IFERROR((SUBSTITUTE(RIGHT(fCaixa[[#This Row],[Descrição]],3),"G","")*1 *fCaixa[[#This Row],[Qtd/Pães]]) / 1000,0)</f>
        <v>3.4649999999999999</v>
      </c>
      <c r="M100" s="13">
        <f>IFERROR((((SUBSTITUTE(RIGHT(fCaixa[[#This Row],[Descrição]],3),"G","")*1) * fCaixa[[#This Row],[QTD Perdida]])/1000) *fCaixa[[#This Row],[Custo/KG.]],0)</f>
        <v>4.0425000000000004</v>
      </c>
      <c r="N100" s="15">
        <f>IF(fCaixa[[#This Row],[Lançamento]]="RECEITA",(fCaixa[[#This Row],[QTD Perdida]]* (SUBSTITUTE(RIGHT(fCaixa[[#This Row],[Descrição]],3),"G","")*1))/1000,0)</f>
        <v>0.38500000000000001</v>
      </c>
      <c r="O100" s="15">
        <f>fCaixa[[#This Row],[Qtd/Kg]]+fCaixa[[#This Row],[Qtd/Kg Perdido]]</f>
        <v>3.8499999999999996</v>
      </c>
      <c r="P100" s="13">
        <f>IF(fCaixa[[#This Row],[Lançamento]]="RECEITA",(fCaixa[[#This Row],[Qtd/Kg]]*fCaixa[[#This Row],[Custo/KG.]]),0)</f>
        <v>36.3825</v>
      </c>
      <c r="Q100" s="34">
        <f>fCaixa[[#This Row],[Custoprimario]]+fCaixa[[#This Row],[Total Perdido]]</f>
        <v>40.424999999999997</v>
      </c>
      <c r="R100" s="16">
        <f>IFERROR(fCaixa[[#This Row],[Custoprimario]]/fCaixa[[#This Row],[Venda]],0)</f>
        <v>0.55125000000000002</v>
      </c>
      <c r="S100" s="16">
        <f>IFERROR(fCaixa[[#This Row],[Custofinal]]/fCaixa[[#This Row],[Venda]],0)</f>
        <v>0.61249999999999993</v>
      </c>
      <c r="T100" s="13">
        <f>IF(fCaixa[[#This Row],[Lançamento]]="RECEITA",fCaixa[[#This Row],[Venda]]-fCaixa[[#This Row],[Custoprimario]],0)</f>
        <v>29.6175</v>
      </c>
      <c r="U100" s="16">
        <f>IFERROR(fCaixa[[#This Row],[Lucroprimario]]/fCaixa[[#This Row],[Venda]],0)</f>
        <v>0.44874999999999998</v>
      </c>
      <c r="V10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25.575000000000003</v>
      </c>
      <c r="W100" s="16">
        <f>IFERROR(fCaixa[[#This Row],[Lucrofinal]]/fCaixa[[#This Row],[Venda]],0)</f>
        <v>0.38750000000000007</v>
      </c>
    </row>
    <row r="101" spans="1:23" ht="16.5" hidden="1" x14ac:dyDescent="0.25">
      <c r="A101" s="17">
        <f t="shared" si="1"/>
        <v>100</v>
      </c>
      <c r="B101" s="87">
        <v>43025</v>
      </c>
      <c r="C101" s="12" t="s">
        <v>24</v>
      </c>
      <c r="D101" s="12" t="s">
        <v>25</v>
      </c>
      <c r="E101" s="12" t="s">
        <v>26</v>
      </c>
      <c r="F101" s="12" t="s">
        <v>27</v>
      </c>
      <c r="G101" s="13">
        <v>21.5</v>
      </c>
      <c r="H101" s="13">
        <v>0.67</v>
      </c>
      <c r="I101" s="13">
        <v>10.5</v>
      </c>
      <c r="J101" s="14">
        <v>17</v>
      </c>
      <c r="K101" s="17">
        <f>IFERROR(ROUND((fCaixa[[#This Row],[Venda]]/fCaixa[[#This Row],[Preço/Un.]]),0),0)</f>
        <v>32</v>
      </c>
      <c r="L101" s="15">
        <f>IFERROR((SUBSTITUTE(RIGHT(fCaixa[[#This Row],[Descrição]],3),"G","")*1 *fCaixa[[#This Row],[Qtd/Pães]]) / 1000,0)</f>
        <v>1.1200000000000001</v>
      </c>
      <c r="M101" s="13">
        <f>IFERROR((((SUBSTITUTE(RIGHT(fCaixa[[#This Row],[Descrição]],3),"G","")*1) * fCaixa[[#This Row],[QTD Perdida]])/1000) *fCaixa[[#This Row],[Custo/KG.]],0)</f>
        <v>6.2474999999999996</v>
      </c>
      <c r="N101" s="15">
        <f>IF(fCaixa[[#This Row],[Lançamento]]="RECEITA",(fCaixa[[#This Row],[QTD Perdida]]* (SUBSTITUTE(RIGHT(fCaixa[[#This Row],[Descrição]],3),"G","")*1))/1000,0)</f>
        <v>0.59499999999999997</v>
      </c>
      <c r="O101" s="15">
        <f>fCaixa[[#This Row],[Qtd/Kg]]+fCaixa[[#This Row],[Qtd/Kg Perdido]]</f>
        <v>1.7150000000000001</v>
      </c>
      <c r="P101" s="13">
        <f>IF(fCaixa[[#This Row],[Lançamento]]="RECEITA",(fCaixa[[#This Row],[Qtd/Kg]]*fCaixa[[#This Row],[Custo/KG.]]),0)</f>
        <v>11.760000000000002</v>
      </c>
      <c r="Q101" s="34">
        <f>fCaixa[[#This Row],[Custoprimario]]+fCaixa[[#This Row],[Total Perdido]]</f>
        <v>18.0075</v>
      </c>
      <c r="R101" s="16">
        <f>IFERROR(fCaixa[[#This Row],[Custoprimario]]/fCaixa[[#This Row],[Venda]],0)</f>
        <v>0.54697674418604658</v>
      </c>
      <c r="S101" s="16">
        <f>IFERROR(fCaixa[[#This Row],[Custofinal]]/fCaixa[[#This Row],[Venda]],0)</f>
        <v>0.83755813953488378</v>
      </c>
      <c r="T101" s="13">
        <f>IF(fCaixa[[#This Row],[Lançamento]]="RECEITA",fCaixa[[#This Row],[Venda]]-fCaixa[[#This Row],[Custoprimario]],0)</f>
        <v>9.7399999999999984</v>
      </c>
      <c r="U101" s="16">
        <f>IFERROR(fCaixa[[#This Row],[Lucroprimario]]/fCaixa[[#This Row],[Venda]],0)</f>
        <v>0.45302325581395342</v>
      </c>
      <c r="V10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3.4924999999999997</v>
      </c>
      <c r="W101" s="16">
        <f>IFERROR(fCaixa[[#This Row],[Lucrofinal]]/fCaixa[[#This Row],[Venda]],0)</f>
        <v>0.16244186046511627</v>
      </c>
    </row>
    <row r="102" spans="1:23" ht="16.5" hidden="1" x14ac:dyDescent="0.25">
      <c r="A102" s="17">
        <f t="shared" si="1"/>
        <v>101</v>
      </c>
      <c r="B102" s="87">
        <v>43025</v>
      </c>
      <c r="C102" s="12" t="s">
        <v>29</v>
      </c>
      <c r="D102" s="12" t="s">
        <v>25</v>
      </c>
      <c r="E102" s="12" t="s">
        <v>33</v>
      </c>
      <c r="F102" s="12" t="s">
        <v>27</v>
      </c>
      <c r="G102" s="13">
        <v>7.5</v>
      </c>
      <c r="H102" s="13">
        <v>0</v>
      </c>
      <c r="I102" s="13">
        <v>0</v>
      </c>
      <c r="J102" s="14">
        <v>0</v>
      </c>
      <c r="K102" s="17">
        <f>IFERROR(ROUND((fCaixa[[#This Row],[Venda]]/fCaixa[[#This Row],[Preço/Un.]]),0),0)</f>
        <v>0</v>
      </c>
      <c r="L102" s="15">
        <f>IFERROR((SUBSTITUTE(RIGHT(fCaixa[[#This Row],[Descrição]],3),"G","")*1 *fCaixa[[#This Row],[Qtd/Pães]]) / 1000,0)</f>
        <v>0</v>
      </c>
      <c r="M102" s="13">
        <f>IFERROR((((SUBSTITUTE(RIGHT(fCaixa[[#This Row],[Descrição]],3),"G","")*1) * fCaixa[[#This Row],[QTD Perdida]])/1000) *fCaixa[[#This Row],[Custo/KG.]],0)</f>
        <v>0</v>
      </c>
      <c r="N102" s="15">
        <f>IF(fCaixa[[#This Row],[Lançamento]]="RECEITA",(fCaixa[[#This Row],[QTD Perdida]]* (SUBSTITUTE(RIGHT(fCaixa[[#This Row],[Descrição]],3),"G","")*1))/1000,0)</f>
        <v>0</v>
      </c>
      <c r="O102" s="15">
        <f>fCaixa[[#This Row],[Qtd/Kg]]+fCaixa[[#This Row],[Qtd/Kg Perdido]]</f>
        <v>0</v>
      </c>
      <c r="P102" s="13">
        <f>IF(fCaixa[[#This Row],[Lançamento]]="RECEITA",(fCaixa[[#This Row],[Qtd/Kg]]*fCaixa[[#This Row],[Custo/KG.]]),0)</f>
        <v>0</v>
      </c>
      <c r="Q102" s="34">
        <f>fCaixa[[#This Row],[Custoprimario]]+fCaixa[[#This Row],[Total Perdido]]</f>
        <v>0</v>
      </c>
      <c r="R102" s="16">
        <f>IFERROR(fCaixa[[#This Row],[Custoprimario]]/fCaixa[[#This Row],[Venda]],0)</f>
        <v>0</v>
      </c>
      <c r="S102" s="16">
        <f>IFERROR(fCaixa[[#This Row],[Custofinal]]/fCaixa[[#This Row],[Venda]],0)</f>
        <v>0</v>
      </c>
      <c r="T102" s="13">
        <f>IF(fCaixa[[#This Row],[Lançamento]]="RECEITA",fCaixa[[#This Row],[Venda]]-fCaixa[[#This Row],[Custoprimario]],0)</f>
        <v>0</v>
      </c>
      <c r="U102" s="16">
        <f>IFERROR(fCaixa[[#This Row],[Lucroprimario]]/fCaixa[[#This Row],[Venda]],0)</f>
        <v>0</v>
      </c>
      <c r="V10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02" s="16">
        <f>IFERROR(fCaixa[[#This Row],[Lucrofinal]]/fCaixa[[#This Row],[Venda]],0)</f>
        <v>0</v>
      </c>
    </row>
    <row r="103" spans="1:23" ht="16.5" hidden="1" x14ac:dyDescent="0.25">
      <c r="A103" s="17">
        <f t="shared" si="1"/>
        <v>102</v>
      </c>
      <c r="B103" s="87">
        <v>43026</v>
      </c>
      <c r="C103" s="12" t="s">
        <v>24</v>
      </c>
      <c r="D103" s="12" t="s">
        <v>25</v>
      </c>
      <c r="E103" s="12" t="s">
        <v>26</v>
      </c>
      <c r="F103" s="12" t="s">
        <v>27</v>
      </c>
      <c r="G103" s="13">
        <v>50.25</v>
      </c>
      <c r="H103" s="13">
        <v>0.67</v>
      </c>
      <c r="I103" s="13">
        <v>10.5</v>
      </c>
      <c r="J103" s="14">
        <v>15</v>
      </c>
      <c r="K103" s="17">
        <f>IFERROR(ROUND((fCaixa[[#This Row],[Venda]]/fCaixa[[#This Row],[Preço/Un.]]),0),0)</f>
        <v>75</v>
      </c>
      <c r="L103" s="15">
        <f>IFERROR((SUBSTITUTE(RIGHT(fCaixa[[#This Row],[Descrição]],3),"G","")*1 *fCaixa[[#This Row],[Qtd/Pães]]) / 1000,0)</f>
        <v>2.625</v>
      </c>
      <c r="M103" s="13">
        <f>IFERROR((((SUBSTITUTE(RIGHT(fCaixa[[#This Row],[Descrição]],3),"G","")*1) * fCaixa[[#This Row],[QTD Perdida]])/1000) *fCaixa[[#This Row],[Custo/KG.]],0)</f>
        <v>5.5125000000000002</v>
      </c>
      <c r="N103" s="15">
        <f>IF(fCaixa[[#This Row],[Lançamento]]="RECEITA",(fCaixa[[#This Row],[QTD Perdida]]* (SUBSTITUTE(RIGHT(fCaixa[[#This Row],[Descrição]],3),"G","")*1))/1000,0)</f>
        <v>0.52500000000000002</v>
      </c>
      <c r="O103" s="15">
        <f>fCaixa[[#This Row],[Qtd/Kg]]+fCaixa[[#This Row],[Qtd/Kg Perdido]]</f>
        <v>3.15</v>
      </c>
      <c r="P103" s="13">
        <f>IF(fCaixa[[#This Row],[Lançamento]]="RECEITA",(fCaixa[[#This Row],[Qtd/Kg]]*fCaixa[[#This Row],[Custo/KG.]]),0)</f>
        <v>27.5625</v>
      </c>
      <c r="Q103" s="34">
        <f>fCaixa[[#This Row],[Custoprimario]]+fCaixa[[#This Row],[Total Perdido]]</f>
        <v>33.075000000000003</v>
      </c>
      <c r="R103" s="16">
        <f>IFERROR(fCaixa[[#This Row],[Custoprimario]]/fCaixa[[#This Row],[Venda]],0)</f>
        <v>0.54850746268656714</v>
      </c>
      <c r="S103" s="16">
        <f>IFERROR(fCaixa[[#This Row],[Custofinal]]/fCaixa[[#This Row],[Venda]],0)</f>
        <v>0.65820895522388068</v>
      </c>
      <c r="T103" s="13">
        <f>IF(fCaixa[[#This Row],[Lançamento]]="RECEITA",fCaixa[[#This Row],[Venda]]-fCaixa[[#This Row],[Custoprimario]],0)</f>
        <v>22.6875</v>
      </c>
      <c r="U103" s="16">
        <f>IFERROR(fCaixa[[#This Row],[Lucroprimario]]/fCaixa[[#This Row],[Venda]],0)</f>
        <v>0.45149253731343286</v>
      </c>
      <c r="V10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17.174999999999997</v>
      </c>
      <c r="W103" s="16">
        <f>IFERROR(fCaixa[[#This Row],[Lucrofinal]]/fCaixa[[#This Row],[Venda]],0)</f>
        <v>0.34179104477611932</v>
      </c>
    </row>
    <row r="104" spans="1:23" ht="16.5" hidden="1" x14ac:dyDescent="0.25">
      <c r="A104" s="17">
        <f t="shared" si="1"/>
        <v>103</v>
      </c>
      <c r="B104" s="87">
        <v>43028</v>
      </c>
      <c r="C104" s="12" t="s">
        <v>24</v>
      </c>
      <c r="D104" s="12" t="s">
        <v>25</v>
      </c>
      <c r="E104" s="12" t="s">
        <v>26</v>
      </c>
      <c r="F104" s="12" t="s">
        <v>27</v>
      </c>
      <c r="G104" s="13">
        <v>68</v>
      </c>
      <c r="H104" s="13">
        <v>0.67</v>
      </c>
      <c r="I104" s="13">
        <v>10.5</v>
      </c>
      <c r="J104" s="14">
        <v>10</v>
      </c>
      <c r="K104" s="17">
        <f>IFERROR(ROUND((fCaixa[[#This Row],[Venda]]/fCaixa[[#This Row],[Preço/Un.]]),0),0)</f>
        <v>101</v>
      </c>
      <c r="L104" s="15">
        <f>IFERROR((SUBSTITUTE(RIGHT(fCaixa[[#This Row],[Descrição]],3),"G","")*1 *fCaixa[[#This Row],[Qtd/Pães]]) / 1000,0)</f>
        <v>3.5350000000000001</v>
      </c>
      <c r="M104" s="13">
        <f>IFERROR((((SUBSTITUTE(RIGHT(fCaixa[[#This Row],[Descrição]],3),"G","")*1) * fCaixa[[#This Row],[QTD Perdida]])/1000) *fCaixa[[#This Row],[Custo/KG.]],0)</f>
        <v>3.6749999999999998</v>
      </c>
      <c r="N104" s="15">
        <f>IF(fCaixa[[#This Row],[Lançamento]]="RECEITA",(fCaixa[[#This Row],[QTD Perdida]]* (SUBSTITUTE(RIGHT(fCaixa[[#This Row],[Descrição]],3),"G","")*1))/1000,0)</f>
        <v>0.35</v>
      </c>
      <c r="O104" s="15">
        <f>fCaixa[[#This Row],[Qtd/Kg]]+fCaixa[[#This Row],[Qtd/Kg Perdido]]</f>
        <v>3.8850000000000002</v>
      </c>
      <c r="P104" s="13">
        <f>IF(fCaixa[[#This Row],[Lançamento]]="RECEITA",(fCaixa[[#This Row],[Qtd/Kg]]*fCaixa[[#This Row],[Custo/KG.]]),0)</f>
        <v>37.1175</v>
      </c>
      <c r="Q104" s="34">
        <f>fCaixa[[#This Row],[Custoprimario]]+fCaixa[[#This Row],[Total Perdido]]</f>
        <v>40.792499999999997</v>
      </c>
      <c r="R104" s="16">
        <f>IFERROR(fCaixa[[#This Row],[Custoprimario]]/fCaixa[[#This Row],[Venda]],0)</f>
        <v>0.54584558823529417</v>
      </c>
      <c r="S104" s="16">
        <f>IFERROR(fCaixa[[#This Row],[Custofinal]]/fCaixa[[#This Row],[Venda]],0)</f>
        <v>0.59988970588235291</v>
      </c>
      <c r="T104" s="13">
        <f>IF(fCaixa[[#This Row],[Lançamento]]="RECEITA",fCaixa[[#This Row],[Venda]]-fCaixa[[#This Row],[Custoprimario]],0)</f>
        <v>30.8825</v>
      </c>
      <c r="U104" s="16">
        <f>IFERROR(fCaixa[[#This Row],[Lucroprimario]]/fCaixa[[#This Row],[Venda]],0)</f>
        <v>0.45415441176470589</v>
      </c>
      <c r="V10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27.207500000000003</v>
      </c>
      <c r="W104" s="16">
        <f>IFERROR(fCaixa[[#This Row],[Lucrofinal]]/fCaixa[[#This Row],[Venda]],0)</f>
        <v>0.40011029411764709</v>
      </c>
    </row>
    <row r="105" spans="1:23" ht="16.5" hidden="1" x14ac:dyDescent="0.25">
      <c r="A105" s="17">
        <f t="shared" si="1"/>
        <v>104</v>
      </c>
      <c r="B105" s="87">
        <v>43029</v>
      </c>
      <c r="C105" s="12" t="s">
        <v>24</v>
      </c>
      <c r="D105" s="12" t="s">
        <v>25</v>
      </c>
      <c r="E105" s="12" t="s">
        <v>26</v>
      </c>
      <c r="F105" s="12" t="s">
        <v>27</v>
      </c>
      <c r="G105" s="13">
        <v>23.75</v>
      </c>
      <c r="H105" s="13">
        <v>0.67</v>
      </c>
      <c r="I105" s="13">
        <v>10.5</v>
      </c>
      <c r="J105" s="14">
        <v>10</v>
      </c>
      <c r="K105" s="17">
        <f>IFERROR(ROUND((fCaixa[[#This Row],[Venda]]/fCaixa[[#This Row],[Preço/Un.]]),0),0)</f>
        <v>35</v>
      </c>
      <c r="L105" s="15">
        <f>IFERROR((SUBSTITUTE(RIGHT(fCaixa[[#This Row],[Descrição]],3),"G","")*1 *fCaixa[[#This Row],[Qtd/Pães]]) / 1000,0)</f>
        <v>1.2250000000000001</v>
      </c>
      <c r="M105" s="13">
        <f>IFERROR((((SUBSTITUTE(RIGHT(fCaixa[[#This Row],[Descrição]],3),"G","")*1) * fCaixa[[#This Row],[QTD Perdida]])/1000) *fCaixa[[#This Row],[Custo/KG.]],0)</f>
        <v>3.6749999999999998</v>
      </c>
      <c r="N105" s="15">
        <f>IF(fCaixa[[#This Row],[Lançamento]]="RECEITA",(fCaixa[[#This Row],[QTD Perdida]]* (SUBSTITUTE(RIGHT(fCaixa[[#This Row],[Descrição]],3),"G","")*1))/1000,0)</f>
        <v>0.35</v>
      </c>
      <c r="O105" s="15">
        <f>fCaixa[[#This Row],[Qtd/Kg]]+fCaixa[[#This Row],[Qtd/Kg Perdido]]</f>
        <v>1.5750000000000002</v>
      </c>
      <c r="P105" s="13">
        <f>IF(fCaixa[[#This Row],[Lançamento]]="RECEITA",(fCaixa[[#This Row],[Qtd/Kg]]*fCaixa[[#This Row],[Custo/KG.]]),0)</f>
        <v>12.862500000000001</v>
      </c>
      <c r="Q105" s="34">
        <f>fCaixa[[#This Row],[Custoprimario]]+fCaixa[[#This Row],[Total Perdido]]</f>
        <v>16.537500000000001</v>
      </c>
      <c r="R105" s="16">
        <f>IFERROR(fCaixa[[#This Row],[Custoprimario]]/fCaixa[[#This Row],[Venda]],0)</f>
        <v>0.54157894736842105</v>
      </c>
      <c r="S105" s="16">
        <f>IFERROR(fCaixa[[#This Row],[Custofinal]]/fCaixa[[#This Row],[Venda]],0)</f>
        <v>0.69631578947368422</v>
      </c>
      <c r="T105" s="13">
        <f>IF(fCaixa[[#This Row],[Lançamento]]="RECEITA",fCaixa[[#This Row],[Venda]]-fCaixa[[#This Row],[Custoprimario]],0)</f>
        <v>10.887499999999999</v>
      </c>
      <c r="U105" s="16">
        <f>IFERROR(fCaixa[[#This Row],[Lucroprimario]]/fCaixa[[#This Row],[Venda]],0)</f>
        <v>0.4584210526315789</v>
      </c>
      <c r="V10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7.2124999999999986</v>
      </c>
      <c r="W105" s="16">
        <f>IFERROR(fCaixa[[#This Row],[Lucrofinal]]/fCaixa[[#This Row],[Venda]],0)</f>
        <v>0.30368421052631572</v>
      </c>
    </row>
    <row r="106" spans="1:23" ht="16.5" hidden="1" x14ac:dyDescent="0.25">
      <c r="A106" s="17">
        <f t="shared" si="1"/>
        <v>105</v>
      </c>
      <c r="B106" s="87">
        <v>43031</v>
      </c>
      <c r="C106" s="12" t="s">
        <v>24</v>
      </c>
      <c r="D106" s="12" t="s">
        <v>25</v>
      </c>
      <c r="E106" s="12" t="s">
        <v>26</v>
      </c>
      <c r="F106" s="12" t="s">
        <v>27</v>
      </c>
      <c r="G106" s="13">
        <v>56.5</v>
      </c>
      <c r="H106" s="13">
        <v>0.67</v>
      </c>
      <c r="I106" s="13">
        <v>10.5</v>
      </c>
      <c r="J106" s="14">
        <v>12</v>
      </c>
      <c r="K106" s="17">
        <f>IFERROR(ROUND((fCaixa[[#This Row],[Venda]]/fCaixa[[#This Row],[Preço/Un.]]),0),0)</f>
        <v>84</v>
      </c>
      <c r="L106" s="15">
        <f>IFERROR((SUBSTITUTE(RIGHT(fCaixa[[#This Row],[Descrição]],3),"G","")*1 *fCaixa[[#This Row],[Qtd/Pães]]) / 1000,0)</f>
        <v>2.94</v>
      </c>
      <c r="M106" s="13">
        <f>IFERROR((((SUBSTITUTE(RIGHT(fCaixa[[#This Row],[Descrição]],3),"G","")*1) * fCaixa[[#This Row],[QTD Perdida]])/1000) *fCaixa[[#This Row],[Custo/KG.]],0)</f>
        <v>4.41</v>
      </c>
      <c r="N106" s="15">
        <f>IF(fCaixa[[#This Row],[Lançamento]]="RECEITA",(fCaixa[[#This Row],[QTD Perdida]]* (SUBSTITUTE(RIGHT(fCaixa[[#This Row],[Descrição]],3),"G","")*1))/1000,0)</f>
        <v>0.42</v>
      </c>
      <c r="O106" s="15">
        <f>fCaixa[[#This Row],[Qtd/Kg]]+fCaixa[[#This Row],[Qtd/Kg Perdido]]</f>
        <v>3.36</v>
      </c>
      <c r="P106" s="13">
        <f>IF(fCaixa[[#This Row],[Lançamento]]="RECEITA",(fCaixa[[#This Row],[Qtd/Kg]]*fCaixa[[#This Row],[Custo/KG.]]),0)</f>
        <v>30.87</v>
      </c>
      <c r="Q106" s="34">
        <f>fCaixa[[#This Row],[Custoprimario]]+fCaixa[[#This Row],[Total Perdido]]</f>
        <v>35.28</v>
      </c>
      <c r="R106" s="16">
        <f>IFERROR(fCaixa[[#This Row],[Custoprimario]]/fCaixa[[#This Row],[Venda]],0)</f>
        <v>0.54637168141592918</v>
      </c>
      <c r="S106" s="16">
        <f>IFERROR(fCaixa[[#This Row],[Custofinal]]/fCaixa[[#This Row],[Venda]],0)</f>
        <v>0.62442477876106195</v>
      </c>
      <c r="T106" s="13">
        <f>IF(fCaixa[[#This Row],[Lançamento]]="RECEITA",fCaixa[[#This Row],[Venda]]-fCaixa[[#This Row],[Custoprimario]],0)</f>
        <v>25.63</v>
      </c>
      <c r="U106" s="16">
        <f>IFERROR(fCaixa[[#This Row],[Lucroprimario]]/fCaixa[[#This Row],[Venda]],0)</f>
        <v>0.45362831858407077</v>
      </c>
      <c r="V10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21.22</v>
      </c>
      <c r="W106" s="16">
        <f>IFERROR(fCaixa[[#This Row],[Lucrofinal]]/fCaixa[[#This Row],[Venda]],0)</f>
        <v>0.37557522123893805</v>
      </c>
    </row>
    <row r="107" spans="1:23" ht="16.5" hidden="1" x14ac:dyDescent="0.25">
      <c r="A107" s="17">
        <f t="shared" si="1"/>
        <v>106</v>
      </c>
      <c r="B107" s="87">
        <v>43032</v>
      </c>
      <c r="C107" s="12" t="s">
        <v>24</v>
      </c>
      <c r="D107" s="12" t="s">
        <v>25</v>
      </c>
      <c r="E107" s="12" t="s">
        <v>26</v>
      </c>
      <c r="F107" s="12" t="s">
        <v>27</v>
      </c>
      <c r="G107" s="13">
        <v>76.75</v>
      </c>
      <c r="H107" s="13">
        <v>0.67</v>
      </c>
      <c r="I107" s="13">
        <v>10.5</v>
      </c>
      <c r="J107" s="14">
        <v>0</v>
      </c>
      <c r="K107" s="17">
        <f>IFERROR(ROUND((fCaixa[[#This Row],[Venda]]/fCaixa[[#This Row],[Preço/Un.]]),0),0)</f>
        <v>115</v>
      </c>
      <c r="L107" s="15">
        <f>IFERROR((SUBSTITUTE(RIGHT(fCaixa[[#This Row],[Descrição]],3),"G","")*1 *fCaixa[[#This Row],[Qtd/Pães]]) / 1000,0)</f>
        <v>4.0250000000000004</v>
      </c>
      <c r="M107" s="13">
        <f>IFERROR((((SUBSTITUTE(RIGHT(fCaixa[[#This Row],[Descrição]],3),"G","")*1) * fCaixa[[#This Row],[QTD Perdida]])/1000) *fCaixa[[#This Row],[Custo/KG.]],0)</f>
        <v>0</v>
      </c>
      <c r="N107" s="15">
        <f>IF(fCaixa[[#This Row],[Lançamento]]="RECEITA",(fCaixa[[#This Row],[QTD Perdida]]* (SUBSTITUTE(RIGHT(fCaixa[[#This Row],[Descrição]],3),"G","")*1))/1000,0)</f>
        <v>0</v>
      </c>
      <c r="O107" s="15">
        <f>fCaixa[[#This Row],[Qtd/Kg]]+fCaixa[[#This Row],[Qtd/Kg Perdido]]</f>
        <v>4.0250000000000004</v>
      </c>
      <c r="P107" s="13">
        <f>IF(fCaixa[[#This Row],[Lançamento]]="RECEITA",(fCaixa[[#This Row],[Qtd/Kg]]*fCaixa[[#This Row],[Custo/KG.]]),0)</f>
        <v>42.262500000000003</v>
      </c>
      <c r="Q107" s="34">
        <f>fCaixa[[#This Row],[Custoprimario]]+fCaixa[[#This Row],[Total Perdido]]</f>
        <v>42.262500000000003</v>
      </c>
      <c r="R107" s="16">
        <f>IFERROR(fCaixa[[#This Row],[Custoprimario]]/fCaixa[[#This Row],[Venda]],0)</f>
        <v>0.55065146579804569</v>
      </c>
      <c r="S107" s="16">
        <f>IFERROR(fCaixa[[#This Row],[Custofinal]]/fCaixa[[#This Row],[Venda]],0)</f>
        <v>0.55065146579804569</v>
      </c>
      <c r="T107" s="13">
        <f>IF(fCaixa[[#This Row],[Lançamento]]="RECEITA",fCaixa[[#This Row],[Venda]]-fCaixa[[#This Row],[Custoprimario]],0)</f>
        <v>34.487499999999997</v>
      </c>
      <c r="U107" s="16">
        <f>IFERROR(fCaixa[[#This Row],[Lucroprimario]]/fCaixa[[#This Row],[Venda]],0)</f>
        <v>0.44934853420195436</v>
      </c>
      <c r="V10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34.487499999999997</v>
      </c>
      <c r="W107" s="16">
        <f>IFERROR(fCaixa[[#This Row],[Lucrofinal]]/fCaixa[[#This Row],[Venda]],0)</f>
        <v>0.44934853420195436</v>
      </c>
    </row>
    <row r="108" spans="1:23" ht="16.5" hidden="1" x14ac:dyDescent="0.25">
      <c r="A108" s="17">
        <f t="shared" si="1"/>
        <v>107</v>
      </c>
      <c r="B108" s="87">
        <v>43033</v>
      </c>
      <c r="C108" s="12" t="s">
        <v>24</v>
      </c>
      <c r="D108" s="12" t="s">
        <v>25</v>
      </c>
      <c r="E108" s="12" t="s">
        <v>26</v>
      </c>
      <c r="F108" s="12" t="s">
        <v>27</v>
      </c>
      <c r="G108" s="13">
        <v>22.1</v>
      </c>
      <c r="H108" s="13">
        <v>0.67</v>
      </c>
      <c r="I108" s="13">
        <v>9.5</v>
      </c>
      <c r="J108" s="14">
        <v>12</v>
      </c>
      <c r="K108" s="17">
        <f>IFERROR(ROUND((fCaixa[[#This Row],[Venda]]/fCaixa[[#This Row],[Preço/Un.]]),0),0)</f>
        <v>33</v>
      </c>
      <c r="L108" s="15">
        <f>IFERROR((SUBSTITUTE(RIGHT(fCaixa[[#This Row],[Descrição]],3),"G","")*1 *fCaixa[[#This Row],[Qtd/Pães]]) / 1000,0)</f>
        <v>1.155</v>
      </c>
      <c r="M108" s="13">
        <f>IFERROR((((SUBSTITUTE(RIGHT(fCaixa[[#This Row],[Descrição]],3),"G","")*1) * fCaixa[[#This Row],[QTD Perdida]])/1000) *fCaixa[[#This Row],[Custo/KG.]],0)</f>
        <v>3.9899999999999998</v>
      </c>
      <c r="N108" s="15">
        <f>IF(fCaixa[[#This Row],[Lançamento]]="RECEITA",(fCaixa[[#This Row],[QTD Perdida]]* (SUBSTITUTE(RIGHT(fCaixa[[#This Row],[Descrição]],3),"G","")*1))/1000,0)</f>
        <v>0.42</v>
      </c>
      <c r="O108" s="15">
        <f>fCaixa[[#This Row],[Qtd/Kg]]+fCaixa[[#This Row],[Qtd/Kg Perdido]]</f>
        <v>1.575</v>
      </c>
      <c r="P108" s="13">
        <f>IF(fCaixa[[#This Row],[Lançamento]]="RECEITA",(fCaixa[[#This Row],[Qtd/Kg]]*fCaixa[[#This Row],[Custo/KG.]]),0)</f>
        <v>10.9725</v>
      </c>
      <c r="Q108" s="34">
        <f>fCaixa[[#This Row],[Custoprimario]]+fCaixa[[#This Row],[Total Perdido]]</f>
        <v>14.9625</v>
      </c>
      <c r="R108" s="16">
        <f>IFERROR(fCaixa[[#This Row],[Custoprimario]]/fCaixa[[#This Row],[Venda]],0)</f>
        <v>0.49649321266968321</v>
      </c>
      <c r="S108" s="16">
        <f>IFERROR(fCaixa[[#This Row],[Custofinal]]/fCaixa[[#This Row],[Venda]],0)</f>
        <v>0.67703619909502255</v>
      </c>
      <c r="T108" s="13">
        <f>IF(fCaixa[[#This Row],[Lançamento]]="RECEITA",fCaixa[[#This Row],[Venda]]-fCaixa[[#This Row],[Custoprimario]],0)</f>
        <v>11.127500000000001</v>
      </c>
      <c r="U108" s="16">
        <f>IFERROR(fCaixa[[#This Row],[Lucroprimario]]/fCaixa[[#This Row],[Venda]],0)</f>
        <v>0.50350678733031673</v>
      </c>
      <c r="V10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7.1375000000000011</v>
      </c>
      <c r="W108" s="16">
        <f>IFERROR(fCaixa[[#This Row],[Lucrofinal]]/fCaixa[[#This Row],[Venda]],0)</f>
        <v>0.32296380090497739</v>
      </c>
    </row>
    <row r="109" spans="1:23" ht="16.5" hidden="1" x14ac:dyDescent="0.25">
      <c r="A109" s="17">
        <f t="shared" si="1"/>
        <v>108</v>
      </c>
      <c r="B109" s="87">
        <v>43034</v>
      </c>
      <c r="C109" s="12" t="s">
        <v>24</v>
      </c>
      <c r="D109" s="12" t="s">
        <v>25</v>
      </c>
      <c r="E109" s="12" t="s">
        <v>26</v>
      </c>
      <c r="F109" s="12" t="s">
        <v>27</v>
      </c>
      <c r="G109" s="13">
        <v>22.78</v>
      </c>
      <c r="H109" s="13">
        <v>0.67</v>
      </c>
      <c r="I109" s="13">
        <v>9.5</v>
      </c>
      <c r="J109" s="14">
        <v>11</v>
      </c>
      <c r="K109" s="17">
        <f>IFERROR(ROUND((fCaixa[[#This Row],[Venda]]/fCaixa[[#This Row],[Preço/Un.]]),0),0)</f>
        <v>34</v>
      </c>
      <c r="L109" s="15">
        <f>IFERROR((SUBSTITUTE(RIGHT(fCaixa[[#This Row],[Descrição]],3),"G","")*1 *fCaixa[[#This Row],[Qtd/Pães]]) / 1000,0)</f>
        <v>1.19</v>
      </c>
      <c r="M109" s="13">
        <f>IFERROR((((SUBSTITUTE(RIGHT(fCaixa[[#This Row],[Descrição]],3),"G","")*1) * fCaixa[[#This Row],[QTD Perdida]])/1000) *fCaixa[[#This Row],[Custo/KG.]],0)</f>
        <v>3.6575000000000002</v>
      </c>
      <c r="N109" s="15">
        <f>IF(fCaixa[[#This Row],[Lançamento]]="RECEITA",(fCaixa[[#This Row],[QTD Perdida]]* (SUBSTITUTE(RIGHT(fCaixa[[#This Row],[Descrição]],3),"G","")*1))/1000,0)</f>
        <v>0.38500000000000001</v>
      </c>
      <c r="O109" s="15">
        <f>fCaixa[[#This Row],[Qtd/Kg]]+fCaixa[[#This Row],[Qtd/Kg Perdido]]</f>
        <v>1.575</v>
      </c>
      <c r="P109" s="13">
        <f>IF(fCaixa[[#This Row],[Lançamento]]="RECEITA",(fCaixa[[#This Row],[Qtd/Kg]]*fCaixa[[#This Row],[Custo/KG.]]),0)</f>
        <v>11.305</v>
      </c>
      <c r="Q109" s="34">
        <f>fCaixa[[#This Row],[Custoprimario]]+fCaixa[[#This Row],[Total Perdido]]</f>
        <v>14.9625</v>
      </c>
      <c r="R109" s="16">
        <f>IFERROR(fCaixa[[#This Row],[Custoprimario]]/fCaixa[[#This Row],[Venda]],0)</f>
        <v>0.4962686567164179</v>
      </c>
      <c r="S109" s="16">
        <f>IFERROR(fCaixa[[#This Row],[Custofinal]]/fCaixa[[#This Row],[Venda]],0)</f>
        <v>0.6568261633011413</v>
      </c>
      <c r="T109" s="13">
        <f>IF(fCaixa[[#This Row],[Lançamento]]="RECEITA",fCaixa[[#This Row],[Venda]]-fCaixa[[#This Row],[Custoprimario]],0)</f>
        <v>11.475000000000001</v>
      </c>
      <c r="U109" s="16">
        <f>IFERROR(fCaixa[[#This Row],[Lucroprimario]]/fCaixa[[#This Row],[Venda]],0)</f>
        <v>0.50373134328358216</v>
      </c>
      <c r="V10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7.8175000000000008</v>
      </c>
      <c r="W109" s="16">
        <f>IFERROR(fCaixa[[#This Row],[Lucrofinal]]/fCaixa[[#This Row],[Venda]],0)</f>
        <v>0.34317383669885865</v>
      </c>
    </row>
    <row r="110" spans="1:23" ht="16.5" hidden="1" x14ac:dyDescent="0.25">
      <c r="A110" s="17">
        <f t="shared" si="1"/>
        <v>109</v>
      </c>
      <c r="B110" s="87">
        <v>43035</v>
      </c>
      <c r="C110" s="12" t="s">
        <v>24</v>
      </c>
      <c r="D110" s="12" t="s">
        <v>25</v>
      </c>
      <c r="E110" s="12" t="s">
        <v>26</v>
      </c>
      <c r="F110" s="12" t="s">
        <v>27</v>
      </c>
      <c r="G110" s="13">
        <v>38.200000000000003</v>
      </c>
      <c r="H110" s="13">
        <v>0.67</v>
      </c>
      <c r="I110" s="13">
        <v>9.5</v>
      </c>
      <c r="J110" s="14">
        <v>3</v>
      </c>
      <c r="K110" s="17">
        <f>IFERROR(ROUND((fCaixa[[#This Row],[Venda]]/fCaixa[[#This Row],[Preço/Un.]]),0),0)</f>
        <v>57</v>
      </c>
      <c r="L110" s="15">
        <f>IFERROR((SUBSTITUTE(RIGHT(fCaixa[[#This Row],[Descrição]],3),"G","")*1 *fCaixa[[#This Row],[Qtd/Pães]]) / 1000,0)</f>
        <v>1.9950000000000001</v>
      </c>
      <c r="M110" s="13">
        <f>IFERROR((((SUBSTITUTE(RIGHT(fCaixa[[#This Row],[Descrição]],3),"G","")*1) * fCaixa[[#This Row],[QTD Perdida]])/1000) *fCaixa[[#This Row],[Custo/KG.]],0)</f>
        <v>0.99749999999999994</v>
      </c>
      <c r="N110" s="15">
        <f>IF(fCaixa[[#This Row],[Lançamento]]="RECEITA",(fCaixa[[#This Row],[QTD Perdida]]* (SUBSTITUTE(RIGHT(fCaixa[[#This Row],[Descrição]],3),"G","")*1))/1000,0)</f>
        <v>0.105</v>
      </c>
      <c r="O110" s="15">
        <f>fCaixa[[#This Row],[Qtd/Kg]]+fCaixa[[#This Row],[Qtd/Kg Perdido]]</f>
        <v>2.1</v>
      </c>
      <c r="P110" s="13">
        <f>IF(fCaixa[[#This Row],[Lançamento]]="RECEITA",(fCaixa[[#This Row],[Qtd/Kg]]*fCaixa[[#This Row],[Custo/KG.]]),0)</f>
        <v>18.952500000000001</v>
      </c>
      <c r="Q110" s="34">
        <f>fCaixa[[#This Row],[Custoprimario]]+fCaixa[[#This Row],[Total Perdido]]</f>
        <v>19.95</v>
      </c>
      <c r="R110" s="16">
        <f>IFERROR(fCaixa[[#This Row],[Custoprimario]]/fCaixa[[#This Row],[Venda]],0)</f>
        <v>0.49613874345549736</v>
      </c>
      <c r="S110" s="16">
        <f>IFERROR(fCaixa[[#This Row],[Custofinal]]/fCaixa[[#This Row],[Venda]],0)</f>
        <v>0.52225130890052351</v>
      </c>
      <c r="T110" s="13">
        <f>IF(fCaixa[[#This Row],[Lançamento]]="RECEITA",fCaixa[[#This Row],[Venda]]-fCaixa[[#This Row],[Custoprimario]],0)</f>
        <v>19.247500000000002</v>
      </c>
      <c r="U110" s="16">
        <f>IFERROR(fCaixa[[#This Row],[Lucroprimario]]/fCaixa[[#This Row],[Venda]],0)</f>
        <v>0.50386125654450264</v>
      </c>
      <c r="V11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18.250000000000004</v>
      </c>
      <c r="W110" s="16">
        <f>IFERROR(fCaixa[[#This Row],[Lucrofinal]]/fCaixa[[#This Row],[Venda]],0)</f>
        <v>0.47774869109947649</v>
      </c>
    </row>
    <row r="111" spans="1:23" ht="16.5" hidden="1" x14ac:dyDescent="0.25">
      <c r="A111" s="17">
        <f t="shared" si="1"/>
        <v>110</v>
      </c>
      <c r="B111" s="87">
        <v>43036</v>
      </c>
      <c r="C111" s="12" t="s">
        <v>24</v>
      </c>
      <c r="D111" s="12" t="s">
        <v>25</v>
      </c>
      <c r="E111" s="12" t="s">
        <v>26</v>
      </c>
      <c r="F111" s="12" t="s">
        <v>27</v>
      </c>
      <c r="G111" s="13">
        <v>14.74</v>
      </c>
      <c r="H111" s="13">
        <v>0.67</v>
      </c>
      <c r="I111" s="13">
        <v>9.5</v>
      </c>
      <c r="J111" s="14">
        <v>21</v>
      </c>
      <c r="K111" s="17">
        <f>IFERROR(ROUND((fCaixa[[#This Row],[Venda]]/fCaixa[[#This Row],[Preço/Un.]]),0),0)</f>
        <v>22</v>
      </c>
      <c r="L111" s="15">
        <f>IFERROR((SUBSTITUTE(RIGHT(fCaixa[[#This Row],[Descrição]],3),"G","")*1 *fCaixa[[#This Row],[Qtd/Pães]]) / 1000,0)</f>
        <v>0.77</v>
      </c>
      <c r="M111" s="13">
        <f>IFERROR((((SUBSTITUTE(RIGHT(fCaixa[[#This Row],[Descrição]],3),"G","")*1) * fCaixa[[#This Row],[QTD Perdida]])/1000) *fCaixa[[#This Row],[Custo/KG.]],0)</f>
        <v>6.9824999999999999</v>
      </c>
      <c r="N111" s="15">
        <f>IF(fCaixa[[#This Row],[Lançamento]]="RECEITA",(fCaixa[[#This Row],[QTD Perdida]]* (SUBSTITUTE(RIGHT(fCaixa[[#This Row],[Descrição]],3),"G","")*1))/1000,0)</f>
        <v>0.73499999999999999</v>
      </c>
      <c r="O111" s="15">
        <f>fCaixa[[#This Row],[Qtd/Kg]]+fCaixa[[#This Row],[Qtd/Kg Perdido]]</f>
        <v>1.5049999999999999</v>
      </c>
      <c r="P111" s="13">
        <f>IF(fCaixa[[#This Row],[Lançamento]]="RECEITA",(fCaixa[[#This Row],[Qtd/Kg]]*fCaixa[[#This Row],[Custo/KG.]]),0)</f>
        <v>7.3150000000000004</v>
      </c>
      <c r="Q111" s="34">
        <f>fCaixa[[#This Row],[Custoprimario]]+fCaixa[[#This Row],[Total Perdido]]</f>
        <v>14.297499999999999</v>
      </c>
      <c r="R111" s="16">
        <f>IFERROR(fCaixa[[#This Row],[Custoprimario]]/fCaixa[[#This Row],[Venda]],0)</f>
        <v>0.49626865671641796</v>
      </c>
      <c r="S111" s="16">
        <f>IFERROR(fCaixa[[#This Row],[Custofinal]]/fCaixa[[#This Row],[Venda]],0)</f>
        <v>0.96997964721845309</v>
      </c>
      <c r="T111" s="13">
        <f>IF(fCaixa[[#This Row],[Lançamento]]="RECEITA",fCaixa[[#This Row],[Venda]]-fCaixa[[#This Row],[Custoprimario]],0)</f>
        <v>7.4249999999999998</v>
      </c>
      <c r="U111" s="16">
        <f>IFERROR(fCaixa[[#This Row],[Lucroprimario]]/fCaixa[[#This Row],[Venda]],0)</f>
        <v>0.50373134328358204</v>
      </c>
      <c r="V11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0.44250000000000078</v>
      </c>
      <c r="W111" s="16">
        <f>IFERROR(fCaixa[[#This Row],[Lucrofinal]]/fCaixa[[#This Row],[Venda]],0)</f>
        <v>3.0020352781546866E-2</v>
      </c>
    </row>
    <row r="112" spans="1:23" ht="16.5" hidden="1" x14ac:dyDescent="0.25">
      <c r="A112" s="17">
        <f t="shared" si="1"/>
        <v>111</v>
      </c>
      <c r="B112" s="87">
        <v>43038</v>
      </c>
      <c r="C112" s="12" t="s">
        <v>24</v>
      </c>
      <c r="D112" s="12" t="s">
        <v>25</v>
      </c>
      <c r="E112" s="12" t="s">
        <v>26</v>
      </c>
      <c r="F112" s="12" t="s">
        <v>27</v>
      </c>
      <c r="G112" s="13">
        <v>42</v>
      </c>
      <c r="H112" s="13">
        <v>0.67</v>
      </c>
      <c r="I112" s="13">
        <v>9.5</v>
      </c>
      <c r="J112" s="14">
        <v>0</v>
      </c>
      <c r="K112" s="17">
        <f>IFERROR(ROUND((fCaixa[[#This Row],[Venda]]/fCaixa[[#This Row],[Preço/Un.]]),0),0)</f>
        <v>63</v>
      </c>
      <c r="L112" s="15">
        <f>IFERROR((SUBSTITUTE(RIGHT(fCaixa[[#This Row],[Descrição]],3),"G","")*1 *fCaixa[[#This Row],[Qtd/Pães]]) / 1000,0)</f>
        <v>2.2050000000000001</v>
      </c>
      <c r="M112" s="13">
        <f>IFERROR((((SUBSTITUTE(RIGHT(fCaixa[[#This Row],[Descrição]],3),"G","")*1) * fCaixa[[#This Row],[QTD Perdida]])/1000) *fCaixa[[#This Row],[Custo/KG.]],0)</f>
        <v>0</v>
      </c>
      <c r="N112" s="15">
        <f>IF(fCaixa[[#This Row],[Lançamento]]="RECEITA",(fCaixa[[#This Row],[QTD Perdida]]* (SUBSTITUTE(RIGHT(fCaixa[[#This Row],[Descrição]],3),"G","")*1))/1000,0)</f>
        <v>0</v>
      </c>
      <c r="O112" s="15">
        <f>fCaixa[[#This Row],[Qtd/Kg]]+fCaixa[[#This Row],[Qtd/Kg Perdido]]</f>
        <v>2.2050000000000001</v>
      </c>
      <c r="P112" s="13">
        <f>IF(fCaixa[[#This Row],[Lançamento]]="RECEITA",(fCaixa[[#This Row],[Qtd/Kg]]*fCaixa[[#This Row],[Custo/KG.]]),0)</f>
        <v>20.947500000000002</v>
      </c>
      <c r="Q112" s="34">
        <f>fCaixa[[#This Row],[Custoprimario]]+fCaixa[[#This Row],[Total Perdido]]</f>
        <v>20.947500000000002</v>
      </c>
      <c r="R112" s="16">
        <f>IFERROR(fCaixa[[#This Row],[Custoprimario]]/fCaixa[[#This Row],[Venda]],0)</f>
        <v>0.49875000000000003</v>
      </c>
      <c r="S112" s="16">
        <f>IFERROR(fCaixa[[#This Row],[Custofinal]]/fCaixa[[#This Row],[Venda]],0)</f>
        <v>0.49875000000000003</v>
      </c>
      <c r="T112" s="13">
        <f>IF(fCaixa[[#This Row],[Lançamento]]="RECEITA",fCaixa[[#This Row],[Venda]]-fCaixa[[#This Row],[Custoprimario]],0)</f>
        <v>21.052499999999998</v>
      </c>
      <c r="U112" s="16">
        <f>IFERROR(fCaixa[[#This Row],[Lucroprimario]]/fCaixa[[#This Row],[Venda]],0)</f>
        <v>0.50124999999999997</v>
      </c>
      <c r="V11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21.052499999999998</v>
      </c>
      <c r="W112" s="16">
        <f>IFERROR(fCaixa[[#This Row],[Lucrofinal]]/fCaixa[[#This Row],[Venda]],0)</f>
        <v>0.50124999999999997</v>
      </c>
    </row>
    <row r="113" spans="1:23" ht="16.5" hidden="1" x14ac:dyDescent="0.25">
      <c r="A113" s="17">
        <f t="shared" si="1"/>
        <v>112</v>
      </c>
      <c r="B113" s="87">
        <v>43039</v>
      </c>
      <c r="C113" s="12" t="s">
        <v>24</v>
      </c>
      <c r="D113" s="12" t="s">
        <v>25</v>
      </c>
      <c r="E113" s="12" t="s">
        <v>26</v>
      </c>
      <c r="F113" s="12" t="s">
        <v>27</v>
      </c>
      <c r="G113" s="13">
        <v>46.9</v>
      </c>
      <c r="H113" s="13">
        <v>0.67</v>
      </c>
      <c r="I113" s="13">
        <v>9.5</v>
      </c>
      <c r="J113" s="14">
        <v>4</v>
      </c>
      <c r="K113" s="17">
        <f>IFERROR(ROUND((fCaixa[[#This Row],[Venda]]/fCaixa[[#This Row],[Preço/Un.]]),0),0)</f>
        <v>70</v>
      </c>
      <c r="L113" s="15">
        <f>IFERROR((SUBSTITUTE(RIGHT(fCaixa[[#This Row],[Descrição]],3),"G","")*1 *fCaixa[[#This Row],[Qtd/Pães]]) / 1000,0)</f>
        <v>2.4500000000000002</v>
      </c>
      <c r="M113" s="13">
        <f>IFERROR((((SUBSTITUTE(RIGHT(fCaixa[[#This Row],[Descrição]],3),"G","")*1) * fCaixa[[#This Row],[QTD Perdida]])/1000) *fCaixa[[#This Row],[Custo/KG.]],0)</f>
        <v>1.33</v>
      </c>
      <c r="N113" s="15">
        <f>IF(fCaixa[[#This Row],[Lançamento]]="RECEITA",(fCaixa[[#This Row],[QTD Perdida]]* (SUBSTITUTE(RIGHT(fCaixa[[#This Row],[Descrição]],3),"G","")*1))/1000,0)</f>
        <v>0.14000000000000001</v>
      </c>
      <c r="O113" s="15">
        <f>fCaixa[[#This Row],[Qtd/Kg]]+fCaixa[[#This Row],[Qtd/Kg Perdido]]</f>
        <v>2.5900000000000003</v>
      </c>
      <c r="P113" s="13">
        <f>IF(fCaixa[[#This Row],[Lançamento]]="RECEITA",(fCaixa[[#This Row],[Qtd/Kg]]*fCaixa[[#This Row],[Custo/KG.]]),0)</f>
        <v>23.275000000000002</v>
      </c>
      <c r="Q113" s="34">
        <f>fCaixa[[#This Row],[Custoprimario]]+fCaixa[[#This Row],[Total Perdido]]</f>
        <v>24.605000000000004</v>
      </c>
      <c r="R113" s="16">
        <f>IFERROR(fCaixa[[#This Row],[Custoprimario]]/fCaixa[[#This Row],[Venda]],0)</f>
        <v>0.49626865671641796</v>
      </c>
      <c r="S113" s="16">
        <f>IFERROR(fCaixa[[#This Row],[Custofinal]]/fCaixa[[#This Row],[Venda]],0)</f>
        <v>0.52462686567164185</v>
      </c>
      <c r="T113" s="13">
        <f>IF(fCaixa[[#This Row],[Lançamento]]="RECEITA",fCaixa[[#This Row],[Venda]]-fCaixa[[#This Row],[Custoprimario]],0)</f>
        <v>23.624999999999996</v>
      </c>
      <c r="U113" s="16">
        <f>IFERROR(fCaixa[[#This Row],[Lucroprimario]]/fCaixa[[#This Row],[Venda]],0)</f>
        <v>0.50373134328358204</v>
      </c>
      <c r="V11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22.294999999999995</v>
      </c>
      <c r="W113" s="16">
        <f>IFERROR(fCaixa[[#This Row],[Lucrofinal]]/fCaixa[[#This Row],[Venda]],0)</f>
        <v>0.47537313432835809</v>
      </c>
    </row>
    <row r="114" spans="1:23" ht="16.5" hidden="1" x14ac:dyDescent="0.25">
      <c r="A114" s="17">
        <f t="shared" si="1"/>
        <v>113</v>
      </c>
      <c r="B114" s="87">
        <v>43040</v>
      </c>
      <c r="C114" s="12" t="s">
        <v>24</v>
      </c>
      <c r="D114" s="12" t="s">
        <v>25</v>
      </c>
      <c r="E114" s="12" t="s">
        <v>26</v>
      </c>
      <c r="F114" s="12" t="s">
        <v>27</v>
      </c>
      <c r="G114" s="13">
        <v>67.900000000000006</v>
      </c>
      <c r="H114" s="13">
        <v>0.67</v>
      </c>
      <c r="I114" s="13">
        <v>9.5</v>
      </c>
      <c r="J114" s="14">
        <v>4</v>
      </c>
      <c r="K114" s="17">
        <f>IFERROR(ROUND((fCaixa[[#This Row],[Venda]]/fCaixa[[#This Row],[Preço/Un.]]),0),0)</f>
        <v>101</v>
      </c>
      <c r="L114" s="15">
        <f>IFERROR((SUBSTITUTE(RIGHT(fCaixa[[#This Row],[Descrição]],3),"G","")*1 *fCaixa[[#This Row],[Qtd/Pães]]) / 1000,0)</f>
        <v>3.5350000000000001</v>
      </c>
      <c r="M114" s="13">
        <f>IFERROR((((SUBSTITUTE(RIGHT(fCaixa[[#This Row],[Descrição]],3),"G","")*1) * fCaixa[[#This Row],[QTD Perdida]])/1000) *fCaixa[[#This Row],[Custo/KG.]],0)</f>
        <v>1.33</v>
      </c>
      <c r="N114" s="15">
        <f>IF(fCaixa[[#This Row],[Lançamento]]="RECEITA",(fCaixa[[#This Row],[QTD Perdida]]* (SUBSTITUTE(RIGHT(fCaixa[[#This Row],[Descrição]],3),"G","")*1))/1000,0)</f>
        <v>0.14000000000000001</v>
      </c>
      <c r="O114" s="15">
        <f>fCaixa[[#This Row],[Qtd/Kg]]+fCaixa[[#This Row],[Qtd/Kg Perdido]]</f>
        <v>3.6750000000000003</v>
      </c>
      <c r="P114" s="13">
        <f>IF(fCaixa[[#This Row],[Lançamento]]="RECEITA",(fCaixa[[#This Row],[Qtd/Kg]]*fCaixa[[#This Row],[Custo/KG.]]),0)</f>
        <v>33.582500000000003</v>
      </c>
      <c r="Q114" s="34">
        <f>fCaixa[[#This Row],[Custoprimario]]+fCaixa[[#This Row],[Total Perdido]]</f>
        <v>34.912500000000001</v>
      </c>
      <c r="R114" s="16">
        <f>IFERROR(fCaixa[[#This Row],[Custoprimario]]/fCaixa[[#This Row],[Venda]],0)</f>
        <v>0.4945876288659794</v>
      </c>
      <c r="S114" s="16">
        <f>IFERROR(fCaixa[[#This Row],[Custofinal]]/fCaixa[[#This Row],[Venda]],0)</f>
        <v>0.51417525773195871</v>
      </c>
      <c r="T114" s="13">
        <f>IF(fCaixa[[#This Row],[Lançamento]]="RECEITA",fCaixa[[#This Row],[Venda]]-fCaixa[[#This Row],[Custoprimario]],0)</f>
        <v>34.317500000000003</v>
      </c>
      <c r="U114" s="16">
        <f>IFERROR(fCaixa[[#This Row],[Lucroprimario]]/fCaixa[[#This Row],[Venda]],0)</f>
        <v>0.5054123711340206</v>
      </c>
      <c r="V11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32.987500000000004</v>
      </c>
      <c r="W114" s="16">
        <f>IFERROR(fCaixa[[#This Row],[Lucrofinal]]/fCaixa[[#This Row],[Venda]],0)</f>
        <v>0.48582474226804123</v>
      </c>
    </row>
    <row r="115" spans="1:23" ht="16.5" hidden="1" x14ac:dyDescent="0.25">
      <c r="A115" s="17">
        <f t="shared" si="1"/>
        <v>114</v>
      </c>
      <c r="B115" s="87">
        <v>43045</v>
      </c>
      <c r="C115" s="12" t="s">
        <v>24</v>
      </c>
      <c r="D115" s="12" t="s">
        <v>25</v>
      </c>
      <c r="E115" s="12" t="s">
        <v>26</v>
      </c>
      <c r="F115" s="12" t="s">
        <v>27</v>
      </c>
      <c r="G115" s="13">
        <v>51.59</v>
      </c>
      <c r="H115" s="13">
        <v>0.67</v>
      </c>
      <c r="I115" s="13">
        <v>9.5</v>
      </c>
      <c r="J115" s="14">
        <v>3</v>
      </c>
      <c r="K115" s="17">
        <f>IFERROR(ROUND((fCaixa[[#This Row],[Venda]]/fCaixa[[#This Row],[Preço/Un.]]),0),0)</f>
        <v>77</v>
      </c>
      <c r="L115" s="15">
        <f>IFERROR((SUBSTITUTE(RIGHT(fCaixa[[#This Row],[Descrição]],3),"G","")*1 *fCaixa[[#This Row],[Qtd/Pães]]) / 1000,0)</f>
        <v>2.6949999999999998</v>
      </c>
      <c r="M115" s="13">
        <f>IFERROR((((SUBSTITUTE(RIGHT(fCaixa[[#This Row],[Descrição]],3),"G","")*1) * fCaixa[[#This Row],[QTD Perdida]])/1000) *fCaixa[[#This Row],[Custo/KG.]],0)</f>
        <v>0.99749999999999994</v>
      </c>
      <c r="N115" s="15">
        <f>IF(fCaixa[[#This Row],[Lançamento]]="RECEITA",(fCaixa[[#This Row],[QTD Perdida]]* (SUBSTITUTE(RIGHT(fCaixa[[#This Row],[Descrição]],3),"G","")*1))/1000,0)</f>
        <v>0.105</v>
      </c>
      <c r="O115" s="15">
        <f>fCaixa[[#This Row],[Qtd/Kg]]+fCaixa[[#This Row],[Qtd/Kg Perdido]]</f>
        <v>2.8</v>
      </c>
      <c r="P115" s="13">
        <f>IF(fCaixa[[#This Row],[Lançamento]]="RECEITA",(fCaixa[[#This Row],[Qtd/Kg]]*fCaixa[[#This Row],[Custo/KG.]]),0)</f>
        <v>25.602499999999999</v>
      </c>
      <c r="Q115" s="34">
        <f>fCaixa[[#This Row],[Custoprimario]]+fCaixa[[#This Row],[Total Perdido]]</f>
        <v>26.599999999999998</v>
      </c>
      <c r="R115" s="16">
        <f>IFERROR(fCaixa[[#This Row],[Custoprimario]]/fCaixa[[#This Row],[Venda]],0)</f>
        <v>0.49626865671641784</v>
      </c>
      <c r="S115" s="16">
        <f>IFERROR(fCaixa[[#This Row],[Custofinal]]/fCaixa[[#This Row],[Venda]],0)</f>
        <v>0.51560379918588861</v>
      </c>
      <c r="T115" s="13">
        <f>IF(fCaixa[[#This Row],[Lançamento]]="RECEITA",fCaixa[[#This Row],[Venda]]-fCaixa[[#This Row],[Custoprimario]],0)</f>
        <v>25.987500000000004</v>
      </c>
      <c r="U115" s="16">
        <f>IFERROR(fCaixa[[#This Row],[Lucroprimario]]/fCaixa[[#This Row],[Venda]],0)</f>
        <v>0.50373134328358216</v>
      </c>
      <c r="V11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24.990000000000006</v>
      </c>
      <c r="W115" s="16">
        <f>IFERROR(fCaixa[[#This Row],[Lucrofinal]]/fCaixa[[#This Row],[Venda]],0)</f>
        <v>0.48439620081411133</v>
      </c>
    </row>
    <row r="116" spans="1:23" ht="16.5" hidden="1" x14ac:dyDescent="0.25">
      <c r="A116" s="17">
        <f t="shared" si="1"/>
        <v>115</v>
      </c>
      <c r="B116" s="87">
        <v>43046</v>
      </c>
      <c r="C116" s="12" t="s">
        <v>24</v>
      </c>
      <c r="D116" s="12" t="s">
        <v>25</v>
      </c>
      <c r="E116" s="12" t="s">
        <v>26</v>
      </c>
      <c r="F116" s="12" t="s">
        <v>27</v>
      </c>
      <c r="G116" s="13">
        <v>36</v>
      </c>
      <c r="H116" s="13">
        <v>0.67</v>
      </c>
      <c r="I116" s="13">
        <v>9.5</v>
      </c>
      <c r="J116" s="14">
        <v>38</v>
      </c>
      <c r="K116" s="17">
        <f>IFERROR(ROUND((fCaixa[[#This Row],[Venda]]/fCaixa[[#This Row],[Preço/Un.]]),0),0)</f>
        <v>54</v>
      </c>
      <c r="L116" s="15">
        <f>IFERROR((SUBSTITUTE(RIGHT(fCaixa[[#This Row],[Descrição]],3),"G","")*1 *fCaixa[[#This Row],[Qtd/Pães]]) / 1000,0)</f>
        <v>1.89</v>
      </c>
      <c r="M116" s="13">
        <f>IFERROR((((SUBSTITUTE(RIGHT(fCaixa[[#This Row],[Descrição]],3),"G","")*1) * fCaixa[[#This Row],[QTD Perdida]])/1000) *fCaixa[[#This Row],[Custo/KG.]],0)</f>
        <v>12.635000000000002</v>
      </c>
      <c r="N116" s="15">
        <f>IF(fCaixa[[#This Row],[Lançamento]]="RECEITA",(fCaixa[[#This Row],[QTD Perdida]]* (SUBSTITUTE(RIGHT(fCaixa[[#This Row],[Descrição]],3),"G","")*1))/1000,0)</f>
        <v>1.33</v>
      </c>
      <c r="O116" s="15">
        <f>fCaixa[[#This Row],[Qtd/Kg]]+fCaixa[[#This Row],[Qtd/Kg Perdido]]</f>
        <v>3.2199999999999998</v>
      </c>
      <c r="P116" s="13">
        <f>IF(fCaixa[[#This Row],[Lançamento]]="RECEITA",(fCaixa[[#This Row],[Qtd/Kg]]*fCaixa[[#This Row],[Custo/KG.]]),0)</f>
        <v>17.954999999999998</v>
      </c>
      <c r="Q116" s="34">
        <f>fCaixa[[#This Row],[Custoprimario]]+fCaixa[[#This Row],[Total Perdido]]</f>
        <v>30.59</v>
      </c>
      <c r="R116" s="16">
        <f>IFERROR(fCaixa[[#This Row],[Custoprimario]]/fCaixa[[#This Row],[Venda]],0)</f>
        <v>0.49874999999999997</v>
      </c>
      <c r="S116" s="16">
        <f>IFERROR(fCaixa[[#This Row],[Custofinal]]/fCaixa[[#This Row],[Venda]],0)</f>
        <v>0.84972222222222227</v>
      </c>
      <c r="T116" s="13">
        <f>IF(fCaixa[[#This Row],[Lançamento]]="RECEITA",fCaixa[[#This Row],[Venda]]-fCaixa[[#This Row],[Custoprimario]],0)</f>
        <v>18.045000000000002</v>
      </c>
      <c r="U116" s="16">
        <f>IFERROR(fCaixa[[#This Row],[Lucroprimario]]/fCaixa[[#This Row],[Venda]],0)</f>
        <v>0.50125000000000008</v>
      </c>
      <c r="V11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5.41</v>
      </c>
      <c r="W116" s="16">
        <f>IFERROR(fCaixa[[#This Row],[Lucrofinal]]/fCaixa[[#This Row],[Venda]],0)</f>
        <v>0.15027777777777779</v>
      </c>
    </row>
    <row r="117" spans="1:23" ht="16.5" hidden="1" x14ac:dyDescent="0.25">
      <c r="A117" s="17">
        <f t="shared" si="1"/>
        <v>116</v>
      </c>
      <c r="B117" s="87">
        <v>43046</v>
      </c>
      <c r="C117" s="12" t="s">
        <v>29</v>
      </c>
      <c r="D117" s="12" t="s">
        <v>25</v>
      </c>
      <c r="E117" s="12" t="s">
        <v>32</v>
      </c>
      <c r="F117" s="12" t="s">
        <v>27</v>
      </c>
      <c r="G117" s="13">
        <v>70</v>
      </c>
      <c r="H117" s="13">
        <v>0</v>
      </c>
      <c r="I117" s="13">
        <v>0</v>
      </c>
      <c r="J117" s="14">
        <v>0</v>
      </c>
      <c r="K117" s="17">
        <f>IFERROR(ROUND((fCaixa[[#This Row],[Venda]]/fCaixa[[#This Row],[Preço/Un.]]),0),0)</f>
        <v>0</v>
      </c>
      <c r="L117" s="15">
        <f>IFERROR((SUBSTITUTE(RIGHT(fCaixa[[#This Row],[Descrição]],3),"G","")*1 *fCaixa[[#This Row],[Qtd/Pães]]) / 1000,0)</f>
        <v>0</v>
      </c>
      <c r="M117" s="13">
        <f>IFERROR((((SUBSTITUTE(RIGHT(fCaixa[[#This Row],[Descrição]],3),"G","")*1) * fCaixa[[#This Row],[QTD Perdida]])/1000) *fCaixa[[#This Row],[Custo/KG.]],0)</f>
        <v>0</v>
      </c>
      <c r="N117" s="15">
        <f>IF(fCaixa[[#This Row],[Lançamento]]="RECEITA",(fCaixa[[#This Row],[QTD Perdida]]* (SUBSTITUTE(RIGHT(fCaixa[[#This Row],[Descrição]],3),"G","")*1))/1000,0)</f>
        <v>0</v>
      </c>
      <c r="O117" s="15">
        <f>fCaixa[[#This Row],[Qtd/Kg]]+fCaixa[[#This Row],[Qtd/Kg Perdido]]</f>
        <v>0</v>
      </c>
      <c r="P117" s="13">
        <f>IF(fCaixa[[#This Row],[Lançamento]]="RECEITA",(fCaixa[[#This Row],[Qtd/Kg]]*fCaixa[[#This Row],[Custo/KG.]]),0)</f>
        <v>0</v>
      </c>
      <c r="Q117" s="34">
        <f>fCaixa[[#This Row],[Custoprimario]]+fCaixa[[#This Row],[Total Perdido]]</f>
        <v>0</v>
      </c>
      <c r="R117" s="16">
        <f>IFERROR(fCaixa[[#This Row],[Custoprimario]]/fCaixa[[#This Row],[Venda]],0)</f>
        <v>0</v>
      </c>
      <c r="S117" s="16">
        <f>IFERROR(fCaixa[[#This Row],[Custofinal]]/fCaixa[[#This Row],[Venda]],0)</f>
        <v>0</v>
      </c>
      <c r="T117" s="13">
        <f>IF(fCaixa[[#This Row],[Lançamento]]="RECEITA",fCaixa[[#This Row],[Venda]]-fCaixa[[#This Row],[Custoprimario]],0)</f>
        <v>0</v>
      </c>
      <c r="U117" s="16">
        <f>IFERROR(fCaixa[[#This Row],[Lucroprimario]]/fCaixa[[#This Row],[Venda]],0)</f>
        <v>0</v>
      </c>
      <c r="V11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17" s="16">
        <f>IFERROR(fCaixa[[#This Row],[Lucrofinal]]/fCaixa[[#This Row],[Venda]],0)</f>
        <v>0</v>
      </c>
    </row>
    <row r="118" spans="1:23" ht="16.5" hidden="1" x14ac:dyDescent="0.25">
      <c r="A118" s="17">
        <f t="shared" si="1"/>
        <v>117</v>
      </c>
      <c r="B118" s="87">
        <v>43047</v>
      </c>
      <c r="C118" s="12" t="s">
        <v>24</v>
      </c>
      <c r="D118" s="12" t="s">
        <v>25</v>
      </c>
      <c r="E118" s="12" t="s">
        <v>26</v>
      </c>
      <c r="F118" s="12" t="s">
        <v>27</v>
      </c>
      <c r="G118" s="13">
        <v>46.6</v>
      </c>
      <c r="H118" s="13">
        <v>0.67</v>
      </c>
      <c r="I118" s="13">
        <v>9.5</v>
      </c>
      <c r="J118" s="14">
        <v>6</v>
      </c>
      <c r="K118" s="17">
        <f>IFERROR(ROUND((fCaixa[[#This Row],[Venda]]/fCaixa[[#This Row],[Preço/Un.]]),0),0)</f>
        <v>70</v>
      </c>
      <c r="L118" s="15">
        <f>IFERROR((SUBSTITUTE(RIGHT(fCaixa[[#This Row],[Descrição]],3),"G","")*1 *fCaixa[[#This Row],[Qtd/Pães]]) / 1000,0)</f>
        <v>2.4500000000000002</v>
      </c>
      <c r="M118" s="13">
        <f>IFERROR((((SUBSTITUTE(RIGHT(fCaixa[[#This Row],[Descrição]],3),"G","")*1) * fCaixa[[#This Row],[QTD Perdida]])/1000) *fCaixa[[#This Row],[Custo/KG.]],0)</f>
        <v>1.9949999999999999</v>
      </c>
      <c r="N118" s="15">
        <f>IF(fCaixa[[#This Row],[Lançamento]]="RECEITA",(fCaixa[[#This Row],[QTD Perdida]]* (SUBSTITUTE(RIGHT(fCaixa[[#This Row],[Descrição]],3),"G","")*1))/1000,0)</f>
        <v>0.21</v>
      </c>
      <c r="O118" s="15">
        <f>fCaixa[[#This Row],[Qtd/Kg]]+fCaixa[[#This Row],[Qtd/Kg Perdido]]</f>
        <v>2.66</v>
      </c>
      <c r="P118" s="13">
        <f>IF(fCaixa[[#This Row],[Lançamento]]="RECEITA",(fCaixa[[#This Row],[Qtd/Kg]]*fCaixa[[#This Row],[Custo/KG.]]),0)</f>
        <v>23.275000000000002</v>
      </c>
      <c r="Q118" s="34">
        <f>fCaixa[[#This Row],[Custoprimario]]+fCaixa[[#This Row],[Total Perdido]]</f>
        <v>25.270000000000003</v>
      </c>
      <c r="R118" s="16">
        <f>IFERROR(fCaixa[[#This Row],[Custoprimario]]/fCaixa[[#This Row],[Venda]],0)</f>
        <v>0.49946351931330474</v>
      </c>
      <c r="S118" s="16">
        <f>IFERROR(fCaixa[[#This Row],[Custofinal]]/fCaixa[[#This Row],[Venda]],0)</f>
        <v>0.54227467811158803</v>
      </c>
      <c r="T118" s="13">
        <f>IF(fCaixa[[#This Row],[Lançamento]]="RECEITA",fCaixa[[#This Row],[Venda]]-fCaixa[[#This Row],[Custoprimario]],0)</f>
        <v>23.324999999999999</v>
      </c>
      <c r="U118" s="16">
        <f>IFERROR(fCaixa[[#This Row],[Lucroprimario]]/fCaixa[[#This Row],[Venda]],0)</f>
        <v>0.50053648068669521</v>
      </c>
      <c r="V11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21.33</v>
      </c>
      <c r="W118" s="16">
        <f>IFERROR(fCaixa[[#This Row],[Lucrofinal]]/fCaixa[[#This Row],[Venda]],0)</f>
        <v>0.45772532188841197</v>
      </c>
    </row>
    <row r="119" spans="1:23" ht="16.5" hidden="1" x14ac:dyDescent="0.25">
      <c r="A119" s="17">
        <f t="shared" si="1"/>
        <v>118</v>
      </c>
      <c r="B119" s="87">
        <v>43048</v>
      </c>
      <c r="C119" s="12" t="s">
        <v>24</v>
      </c>
      <c r="D119" s="12" t="s">
        <v>25</v>
      </c>
      <c r="E119" s="12" t="s">
        <v>26</v>
      </c>
      <c r="F119" s="12" t="s">
        <v>27</v>
      </c>
      <c r="G119" s="13">
        <v>43.25</v>
      </c>
      <c r="H119" s="13">
        <v>0.67</v>
      </c>
      <c r="I119" s="13">
        <v>9.5</v>
      </c>
      <c r="J119" s="14">
        <v>15</v>
      </c>
      <c r="K119" s="17">
        <f>IFERROR(ROUND((fCaixa[[#This Row],[Venda]]/fCaixa[[#This Row],[Preço/Un.]]),0),0)</f>
        <v>65</v>
      </c>
      <c r="L119" s="15">
        <f>IFERROR((SUBSTITUTE(RIGHT(fCaixa[[#This Row],[Descrição]],3),"G","")*1 *fCaixa[[#This Row],[Qtd/Pães]]) / 1000,0)</f>
        <v>2.2749999999999999</v>
      </c>
      <c r="M119" s="13">
        <f>IFERROR((((SUBSTITUTE(RIGHT(fCaixa[[#This Row],[Descrição]],3),"G","")*1) * fCaixa[[#This Row],[QTD Perdida]])/1000) *fCaixa[[#This Row],[Custo/KG.]],0)</f>
        <v>4.9874999999999998</v>
      </c>
      <c r="N119" s="15">
        <f>IF(fCaixa[[#This Row],[Lançamento]]="RECEITA",(fCaixa[[#This Row],[QTD Perdida]]* (SUBSTITUTE(RIGHT(fCaixa[[#This Row],[Descrição]],3),"G","")*1))/1000,0)</f>
        <v>0.52500000000000002</v>
      </c>
      <c r="O119" s="15">
        <f>fCaixa[[#This Row],[Qtd/Kg]]+fCaixa[[#This Row],[Qtd/Kg Perdido]]</f>
        <v>2.8</v>
      </c>
      <c r="P119" s="13">
        <f>IF(fCaixa[[#This Row],[Lançamento]]="RECEITA",(fCaixa[[#This Row],[Qtd/Kg]]*fCaixa[[#This Row],[Custo/KG.]]),0)</f>
        <v>21.612500000000001</v>
      </c>
      <c r="Q119" s="34">
        <f>fCaixa[[#This Row],[Custoprimario]]+fCaixa[[#This Row],[Total Perdido]]</f>
        <v>26.6</v>
      </c>
      <c r="R119" s="16">
        <f>IFERROR(fCaixa[[#This Row],[Custoprimario]]/fCaixa[[#This Row],[Venda]],0)</f>
        <v>0.49971098265895958</v>
      </c>
      <c r="S119" s="16">
        <f>IFERROR(fCaixa[[#This Row],[Custofinal]]/fCaixa[[#This Row],[Venda]],0)</f>
        <v>0.61502890173410407</v>
      </c>
      <c r="T119" s="13">
        <f>IF(fCaixa[[#This Row],[Lançamento]]="RECEITA",fCaixa[[#This Row],[Venda]]-fCaixa[[#This Row],[Custoprimario]],0)</f>
        <v>21.637499999999999</v>
      </c>
      <c r="U119" s="16">
        <f>IFERROR(fCaixa[[#This Row],[Lucroprimario]]/fCaixa[[#This Row],[Venda]],0)</f>
        <v>0.50028901734104048</v>
      </c>
      <c r="V11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16.649999999999999</v>
      </c>
      <c r="W119" s="16">
        <f>IFERROR(fCaixa[[#This Row],[Lucrofinal]]/fCaixa[[#This Row],[Venda]],0)</f>
        <v>0.38497109826589593</v>
      </c>
    </row>
    <row r="120" spans="1:23" ht="16.5" hidden="1" x14ac:dyDescent="0.25">
      <c r="A120" s="17">
        <f t="shared" si="1"/>
        <v>119</v>
      </c>
      <c r="B120" s="87">
        <v>43052</v>
      </c>
      <c r="C120" s="12" t="s">
        <v>24</v>
      </c>
      <c r="D120" s="12" t="s">
        <v>25</v>
      </c>
      <c r="E120" s="12" t="s">
        <v>26</v>
      </c>
      <c r="F120" s="12" t="s">
        <v>27</v>
      </c>
      <c r="G120" s="13">
        <v>52</v>
      </c>
      <c r="H120" s="13">
        <f>2/3</f>
        <v>0.66666666666666663</v>
      </c>
      <c r="I120" s="13">
        <v>0</v>
      </c>
      <c r="J120" s="14">
        <v>0</v>
      </c>
      <c r="K120" s="17">
        <f>IFERROR(ROUND((fCaixa[[#This Row],[Venda]]/fCaixa[[#This Row],[Preço/Un.]]),0),0)</f>
        <v>78</v>
      </c>
      <c r="L120" s="15">
        <f>IFERROR((SUBSTITUTE(RIGHT(fCaixa[[#This Row],[Descrição]],3),"G","")*1 *fCaixa[[#This Row],[Qtd/Pães]]) / 1000,0)</f>
        <v>2.73</v>
      </c>
      <c r="M120" s="13">
        <f>IFERROR((((SUBSTITUTE(RIGHT(fCaixa[[#This Row],[Descrição]],3),"G","")*1) * fCaixa[[#This Row],[QTD Perdida]])/1000) *fCaixa[[#This Row],[Custo/KG.]],0)</f>
        <v>0</v>
      </c>
      <c r="N120" s="15">
        <f>IF(fCaixa[[#This Row],[Lançamento]]="RECEITA",(fCaixa[[#This Row],[QTD Perdida]]* (SUBSTITUTE(RIGHT(fCaixa[[#This Row],[Descrição]],3),"G","")*1))/1000,0)</f>
        <v>0</v>
      </c>
      <c r="O120" s="15">
        <f>fCaixa[[#This Row],[Qtd/Kg]]+fCaixa[[#This Row],[Qtd/Kg Perdido]]</f>
        <v>2.73</v>
      </c>
      <c r="P120" s="13">
        <f>IF(fCaixa[[#This Row],[Lançamento]]="RECEITA",(fCaixa[[#This Row],[Qtd/Kg]]*fCaixa[[#This Row],[Custo/KG.]]),0)</f>
        <v>0</v>
      </c>
      <c r="Q120" s="34">
        <f>fCaixa[[#This Row],[Custoprimario]]+fCaixa[[#This Row],[Total Perdido]]</f>
        <v>0</v>
      </c>
      <c r="R120" s="16">
        <f>IFERROR(fCaixa[[#This Row],[Custoprimario]]/fCaixa[[#This Row],[Venda]],0)</f>
        <v>0</v>
      </c>
      <c r="S120" s="16">
        <f>IFERROR(fCaixa[[#This Row],[Custofinal]]/fCaixa[[#This Row],[Venda]],0)</f>
        <v>0</v>
      </c>
      <c r="T120" s="13">
        <f>IF(fCaixa[[#This Row],[Lançamento]]="RECEITA",fCaixa[[#This Row],[Venda]]-fCaixa[[#This Row],[Custoprimario]],0)</f>
        <v>52</v>
      </c>
      <c r="U120" s="16">
        <f>IFERROR(fCaixa[[#This Row],[Lucroprimario]]/fCaixa[[#This Row],[Venda]],0)</f>
        <v>1</v>
      </c>
      <c r="V12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52</v>
      </c>
      <c r="W120" s="16">
        <f>IFERROR(fCaixa[[#This Row],[Lucrofinal]]/fCaixa[[#This Row],[Venda]],0)</f>
        <v>1</v>
      </c>
    </row>
    <row r="121" spans="1:23" ht="16.5" hidden="1" x14ac:dyDescent="0.25">
      <c r="A121" s="17">
        <f t="shared" si="1"/>
        <v>120</v>
      </c>
      <c r="B121" s="87">
        <v>43053</v>
      </c>
      <c r="C121" s="12" t="s">
        <v>24</v>
      </c>
      <c r="D121" s="12" t="s">
        <v>25</v>
      </c>
      <c r="E121" s="12" t="s">
        <v>26</v>
      </c>
      <c r="F121" s="12" t="s">
        <v>27</v>
      </c>
      <c r="G121" s="13">
        <v>24</v>
      </c>
      <c r="H121" s="13">
        <f>2/3</f>
        <v>0.66666666666666663</v>
      </c>
      <c r="I121" s="13">
        <v>9.5</v>
      </c>
      <c r="J121" s="14">
        <v>0</v>
      </c>
      <c r="K121" s="17">
        <f>IFERROR(ROUND((fCaixa[[#This Row],[Venda]]/fCaixa[[#This Row],[Preço/Un.]]),0),0)</f>
        <v>36</v>
      </c>
      <c r="L121" s="15">
        <f>IFERROR((SUBSTITUTE(RIGHT(fCaixa[[#This Row],[Descrição]],3),"G","")*1 *fCaixa[[#This Row],[Qtd/Pães]]) / 1000,0)</f>
        <v>1.26</v>
      </c>
      <c r="M121" s="13">
        <f>IFERROR((((SUBSTITUTE(RIGHT(fCaixa[[#This Row],[Descrição]],3),"G","")*1) * fCaixa[[#This Row],[QTD Perdida]])/1000) *fCaixa[[#This Row],[Custo/KG.]],0)</f>
        <v>0</v>
      </c>
      <c r="N121" s="15">
        <f>IF(fCaixa[[#This Row],[Lançamento]]="RECEITA",(fCaixa[[#This Row],[QTD Perdida]]* (SUBSTITUTE(RIGHT(fCaixa[[#This Row],[Descrição]],3),"G","")*1))/1000,0)</f>
        <v>0</v>
      </c>
      <c r="O121" s="15">
        <f>fCaixa[[#This Row],[Qtd/Kg]]+fCaixa[[#This Row],[Qtd/Kg Perdido]]</f>
        <v>1.26</v>
      </c>
      <c r="P121" s="13">
        <f>IF(fCaixa[[#This Row],[Lançamento]]="RECEITA",(fCaixa[[#This Row],[Qtd/Kg]]*fCaixa[[#This Row],[Custo/KG.]]),0)</f>
        <v>11.97</v>
      </c>
      <c r="Q121" s="34">
        <f>fCaixa[[#This Row],[Custoprimario]]+fCaixa[[#This Row],[Total Perdido]]</f>
        <v>11.97</v>
      </c>
      <c r="R121" s="16">
        <f>IFERROR(fCaixa[[#This Row],[Custoprimario]]/fCaixa[[#This Row],[Venda]],0)</f>
        <v>0.49875000000000003</v>
      </c>
      <c r="S121" s="16">
        <f>IFERROR(fCaixa[[#This Row],[Custofinal]]/fCaixa[[#This Row],[Venda]],0)</f>
        <v>0.49875000000000003</v>
      </c>
      <c r="T121" s="13">
        <f>IF(fCaixa[[#This Row],[Lançamento]]="RECEITA",fCaixa[[#This Row],[Venda]]-fCaixa[[#This Row],[Custoprimario]],0)</f>
        <v>12.03</v>
      </c>
      <c r="U121" s="16">
        <f>IFERROR(fCaixa[[#This Row],[Lucroprimario]]/fCaixa[[#This Row],[Venda]],0)</f>
        <v>0.50124999999999997</v>
      </c>
      <c r="V12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12.03</v>
      </c>
      <c r="W121" s="16">
        <f>IFERROR(fCaixa[[#This Row],[Lucrofinal]]/fCaixa[[#This Row],[Venda]],0)</f>
        <v>0.50124999999999997</v>
      </c>
    </row>
    <row r="122" spans="1:23" ht="16.5" hidden="1" x14ac:dyDescent="0.25">
      <c r="A122" s="17">
        <f t="shared" si="1"/>
        <v>121</v>
      </c>
      <c r="B122" s="87">
        <v>43055</v>
      </c>
      <c r="C122" s="12" t="s">
        <v>24</v>
      </c>
      <c r="D122" s="12" t="s">
        <v>25</v>
      </c>
      <c r="E122" s="12" t="s">
        <v>26</v>
      </c>
      <c r="F122" s="12" t="s">
        <v>27</v>
      </c>
      <c r="G122" s="13">
        <v>32</v>
      </c>
      <c r="H122" s="13">
        <f>2/3</f>
        <v>0.66666666666666663</v>
      </c>
      <c r="I122" s="13">
        <v>9.5</v>
      </c>
      <c r="J122" s="14">
        <v>0</v>
      </c>
      <c r="K122" s="17">
        <f>IFERROR(ROUND((fCaixa[[#This Row],[Venda]]/fCaixa[[#This Row],[Preço/Un.]]),0),0)</f>
        <v>48</v>
      </c>
      <c r="L122" s="15">
        <f>IFERROR((SUBSTITUTE(RIGHT(fCaixa[[#This Row],[Descrição]],3),"G","")*1 *fCaixa[[#This Row],[Qtd/Pães]]) / 1000,0)</f>
        <v>1.68</v>
      </c>
      <c r="M122" s="13">
        <f>IFERROR((((SUBSTITUTE(RIGHT(fCaixa[[#This Row],[Descrição]],3),"G","")*1) * fCaixa[[#This Row],[QTD Perdida]])/1000) *fCaixa[[#This Row],[Custo/KG.]],0)</f>
        <v>0</v>
      </c>
      <c r="N122" s="15">
        <f>IF(fCaixa[[#This Row],[Lançamento]]="RECEITA",(fCaixa[[#This Row],[QTD Perdida]]* (SUBSTITUTE(RIGHT(fCaixa[[#This Row],[Descrição]],3),"G","")*1))/1000,0)</f>
        <v>0</v>
      </c>
      <c r="O122" s="15">
        <f>fCaixa[[#This Row],[Qtd/Kg]]+fCaixa[[#This Row],[Qtd/Kg Perdido]]</f>
        <v>1.68</v>
      </c>
      <c r="P122" s="13">
        <f>IF(fCaixa[[#This Row],[Lançamento]]="RECEITA",(fCaixa[[#This Row],[Qtd/Kg]]*fCaixa[[#This Row],[Custo/KG.]]),0)</f>
        <v>15.959999999999999</v>
      </c>
      <c r="Q122" s="34">
        <f>fCaixa[[#This Row],[Custoprimario]]+fCaixa[[#This Row],[Total Perdido]]</f>
        <v>15.959999999999999</v>
      </c>
      <c r="R122" s="16">
        <f>IFERROR(fCaixa[[#This Row],[Custoprimario]]/fCaixa[[#This Row],[Venda]],0)</f>
        <v>0.49874999999999997</v>
      </c>
      <c r="S122" s="16">
        <f>IFERROR(fCaixa[[#This Row],[Custofinal]]/fCaixa[[#This Row],[Venda]],0)</f>
        <v>0.49874999999999997</v>
      </c>
      <c r="T122" s="13">
        <f>IF(fCaixa[[#This Row],[Lançamento]]="RECEITA",fCaixa[[#This Row],[Venda]]-fCaixa[[#This Row],[Custoprimario]],0)</f>
        <v>16.04</v>
      </c>
      <c r="U122" s="16">
        <f>IFERROR(fCaixa[[#This Row],[Lucroprimario]]/fCaixa[[#This Row],[Venda]],0)</f>
        <v>0.50124999999999997</v>
      </c>
      <c r="V12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16.04</v>
      </c>
      <c r="W122" s="16">
        <f>IFERROR(fCaixa[[#This Row],[Lucrofinal]]/fCaixa[[#This Row],[Venda]],0)</f>
        <v>0.50124999999999997</v>
      </c>
    </row>
    <row r="123" spans="1:23" ht="16.5" hidden="1" x14ac:dyDescent="0.25">
      <c r="A123" s="17">
        <f t="shared" si="1"/>
        <v>122</v>
      </c>
      <c r="B123" s="87">
        <v>43056</v>
      </c>
      <c r="C123" s="12" t="s">
        <v>24</v>
      </c>
      <c r="D123" s="12" t="s">
        <v>25</v>
      </c>
      <c r="E123" s="12" t="s">
        <v>26</v>
      </c>
      <c r="F123" s="12" t="s">
        <v>27</v>
      </c>
      <c r="G123" s="13">
        <v>20</v>
      </c>
      <c r="H123" s="13">
        <f>2/3</f>
        <v>0.66666666666666663</v>
      </c>
      <c r="I123" s="13">
        <v>9.5</v>
      </c>
      <c r="J123" s="14">
        <v>3</v>
      </c>
      <c r="K123" s="17">
        <f>IFERROR(ROUND((fCaixa[[#This Row],[Venda]]/fCaixa[[#This Row],[Preço/Un.]]),0),0)</f>
        <v>30</v>
      </c>
      <c r="L123" s="15">
        <f>IFERROR((SUBSTITUTE(RIGHT(fCaixa[[#This Row],[Descrição]],3),"G","")*1 *fCaixa[[#This Row],[Qtd/Pães]]) / 1000,0)</f>
        <v>1.05</v>
      </c>
      <c r="M123" s="13">
        <f>IFERROR((((SUBSTITUTE(RIGHT(fCaixa[[#This Row],[Descrição]],3),"G","")*1) * fCaixa[[#This Row],[QTD Perdida]])/1000) *fCaixa[[#This Row],[Custo/KG.]],0)</f>
        <v>0.99749999999999994</v>
      </c>
      <c r="N123" s="15">
        <f>IF(fCaixa[[#This Row],[Lançamento]]="RECEITA",(fCaixa[[#This Row],[QTD Perdida]]* (SUBSTITUTE(RIGHT(fCaixa[[#This Row],[Descrição]],3),"G","")*1))/1000,0)</f>
        <v>0.105</v>
      </c>
      <c r="O123" s="15">
        <f>fCaixa[[#This Row],[Qtd/Kg]]+fCaixa[[#This Row],[Qtd/Kg Perdido]]</f>
        <v>1.155</v>
      </c>
      <c r="P123" s="13">
        <f>IF(fCaixa[[#This Row],[Lançamento]]="RECEITA",(fCaixa[[#This Row],[Qtd/Kg]]*fCaixa[[#This Row],[Custo/KG.]]),0)</f>
        <v>9.9749999999999996</v>
      </c>
      <c r="Q123" s="34">
        <f>fCaixa[[#This Row],[Custoprimario]]+fCaixa[[#This Row],[Total Perdido]]</f>
        <v>10.9725</v>
      </c>
      <c r="R123" s="16">
        <f>IFERROR(fCaixa[[#This Row],[Custoprimario]]/fCaixa[[#This Row],[Venda]],0)</f>
        <v>0.49874999999999997</v>
      </c>
      <c r="S123" s="16">
        <f>IFERROR(fCaixa[[#This Row],[Custofinal]]/fCaixa[[#This Row],[Venda]],0)</f>
        <v>0.54862500000000003</v>
      </c>
      <c r="T123" s="13">
        <f>IF(fCaixa[[#This Row],[Lançamento]]="RECEITA",fCaixa[[#This Row],[Venda]]-fCaixa[[#This Row],[Custoprimario]],0)</f>
        <v>10.025</v>
      </c>
      <c r="U123" s="16">
        <f>IFERROR(fCaixa[[#This Row],[Lucroprimario]]/fCaixa[[#This Row],[Venda]],0)</f>
        <v>0.50124999999999997</v>
      </c>
      <c r="V12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9.0274999999999999</v>
      </c>
      <c r="W123" s="16">
        <f>IFERROR(fCaixa[[#This Row],[Lucrofinal]]/fCaixa[[#This Row],[Venda]],0)</f>
        <v>0.45137499999999997</v>
      </c>
    </row>
    <row r="124" spans="1:23" ht="16.5" hidden="1" x14ac:dyDescent="0.25">
      <c r="A124" s="17">
        <f t="shared" si="1"/>
        <v>123</v>
      </c>
      <c r="B124" s="87">
        <v>43060</v>
      </c>
      <c r="C124" s="12" t="s">
        <v>29</v>
      </c>
      <c r="D124" s="12" t="s">
        <v>25</v>
      </c>
      <c r="E124" s="12" t="s">
        <v>33</v>
      </c>
      <c r="F124" s="12" t="s">
        <v>27</v>
      </c>
      <c r="G124" s="13">
        <v>5</v>
      </c>
      <c r="H124" s="13">
        <v>0</v>
      </c>
      <c r="I124" s="13">
        <v>0</v>
      </c>
      <c r="J124" s="14">
        <v>0</v>
      </c>
      <c r="K124" s="17">
        <f>IFERROR(ROUND((fCaixa[[#This Row],[Venda]]/fCaixa[[#This Row],[Preço/Un.]]),0),0)</f>
        <v>0</v>
      </c>
      <c r="L124" s="15">
        <f>IFERROR((SUBSTITUTE(RIGHT(fCaixa[[#This Row],[Descrição]],3),"G","")*1 *fCaixa[[#This Row],[Qtd/Pães]]) / 1000,0)</f>
        <v>0</v>
      </c>
      <c r="M124" s="13">
        <f>IFERROR((((SUBSTITUTE(RIGHT(fCaixa[[#This Row],[Descrição]],3),"G","")*1) * fCaixa[[#This Row],[QTD Perdida]])/1000) *fCaixa[[#This Row],[Custo/KG.]],0)</f>
        <v>0</v>
      </c>
      <c r="N124" s="15">
        <f>IF(fCaixa[[#This Row],[Lançamento]]="RECEITA",(fCaixa[[#This Row],[QTD Perdida]]* (SUBSTITUTE(RIGHT(fCaixa[[#This Row],[Descrição]],3),"G","")*1))/1000,0)</f>
        <v>0</v>
      </c>
      <c r="O124" s="15">
        <f>fCaixa[[#This Row],[Qtd/Kg]]+fCaixa[[#This Row],[Qtd/Kg Perdido]]</f>
        <v>0</v>
      </c>
      <c r="P124" s="13">
        <f>IF(fCaixa[[#This Row],[Lançamento]]="RECEITA",(fCaixa[[#This Row],[Qtd/Kg]]*fCaixa[[#This Row],[Custo/KG.]]),0)</f>
        <v>0</v>
      </c>
      <c r="Q124" s="34">
        <f>fCaixa[[#This Row],[Custoprimario]]+fCaixa[[#This Row],[Total Perdido]]</f>
        <v>0</v>
      </c>
      <c r="R124" s="16">
        <f>IFERROR(fCaixa[[#This Row],[Custoprimario]]/fCaixa[[#This Row],[Venda]],0)</f>
        <v>0</v>
      </c>
      <c r="S124" s="16">
        <f>IFERROR(fCaixa[[#This Row],[Custofinal]]/fCaixa[[#This Row],[Venda]],0)</f>
        <v>0</v>
      </c>
      <c r="T124" s="13">
        <f>IF(fCaixa[[#This Row],[Lançamento]]="RECEITA",fCaixa[[#This Row],[Venda]]-fCaixa[[#This Row],[Custoprimario]],0)</f>
        <v>0</v>
      </c>
      <c r="U124" s="16">
        <f>IFERROR(fCaixa[[#This Row],[Lucroprimario]]/fCaixa[[#This Row],[Venda]],0)</f>
        <v>0</v>
      </c>
      <c r="V12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24" s="16">
        <f>IFERROR(fCaixa[[#This Row],[Lucrofinal]]/fCaixa[[#This Row],[Venda]],0)</f>
        <v>0</v>
      </c>
    </row>
    <row r="125" spans="1:23" ht="16.5" hidden="1" x14ac:dyDescent="0.25">
      <c r="A125" s="17">
        <f t="shared" si="1"/>
        <v>124</v>
      </c>
      <c r="B125" s="87">
        <v>43060</v>
      </c>
      <c r="C125" s="12" t="s">
        <v>24</v>
      </c>
      <c r="D125" s="12" t="s">
        <v>25</v>
      </c>
      <c r="E125" s="12" t="s">
        <v>26</v>
      </c>
      <c r="F125" s="12" t="s">
        <v>27</v>
      </c>
      <c r="G125" s="13">
        <v>42.8</v>
      </c>
      <c r="H125" s="13">
        <f>2/3</f>
        <v>0.66666666666666663</v>
      </c>
      <c r="I125" s="13">
        <v>9.5</v>
      </c>
      <c r="J125" s="14">
        <v>19</v>
      </c>
      <c r="K125" s="17">
        <f>IFERROR(ROUND((fCaixa[[#This Row],[Venda]]/fCaixa[[#This Row],[Preço/Un.]]),0),0)</f>
        <v>64</v>
      </c>
      <c r="L125" s="15">
        <f>IFERROR((SUBSTITUTE(RIGHT(fCaixa[[#This Row],[Descrição]],3),"G","")*1 *fCaixa[[#This Row],[Qtd/Pães]]) / 1000,0)</f>
        <v>2.2400000000000002</v>
      </c>
      <c r="M125" s="13">
        <f>IFERROR((((SUBSTITUTE(RIGHT(fCaixa[[#This Row],[Descrição]],3),"G","")*1) * fCaixa[[#This Row],[QTD Perdida]])/1000) *fCaixa[[#This Row],[Custo/KG.]],0)</f>
        <v>6.3175000000000008</v>
      </c>
      <c r="N125" s="15">
        <f>IF(fCaixa[[#This Row],[Lançamento]]="RECEITA",(fCaixa[[#This Row],[QTD Perdida]]* (SUBSTITUTE(RIGHT(fCaixa[[#This Row],[Descrição]],3),"G","")*1))/1000,0)</f>
        <v>0.66500000000000004</v>
      </c>
      <c r="O125" s="15">
        <f>fCaixa[[#This Row],[Qtd/Kg]]+fCaixa[[#This Row],[Qtd/Kg Perdido]]</f>
        <v>2.9050000000000002</v>
      </c>
      <c r="P125" s="13">
        <f>IF(fCaixa[[#This Row],[Lançamento]]="RECEITA",(fCaixa[[#This Row],[Qtd/Kg]]*fCaixa[[#This Row],[Custo/KG.]]),0)</f>
        <v>21.28</v>
      </c>
      <c r="Q125" s="34">
        <f>fCaixa[[#This Row],[Custoprimario]]+fCaixa[[#This Row],[Total Perdido]]</f>
        <v>27.597500000000004</v>
      </c>
      <c r="R125" s="16">
        <f>IFERROR(fCaixa[[#This Row],[Custoprimario]]/fCaixa[[#This Row],[Venda]],0)</f>
        <v>0.49719626168224307</v>
      </c>
      <c r="S125" s="16">
        <f>IFERROR(fCaixa[[#This Row],[Custofinal]]/fCaixa[[#This Row],[Venda]],0)</f>
        <v>0.64480140186915902</v>
      </c>
      <c r="T125" s="13">
        <f>IF(fCaixa[[#This Row],[Lançamento]]="RECEITA",fCaixa[[#This Row],[Venda]]-fCaixa[[#This Row],[Custoprimario]],0)</f>
        <v>21.519999999999996</v>
      </c>
      <c r="U125" s="16">
        <f>IFERROR(fCaixa[[#This Row],[Lucroprimario]]/fCaixa[[#This Row],[Venda]],0)</f>
        <v>0.50280373831775693</v>
      </c>
      <c r="V12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15.202499999999993</v>
      </c>
      <c r="W125" s="16">
        <f>IFERROR(fCaixa[[#This Row],[Lucrofinal]]/fCaixa[[#This Row],[Venda]],0)</f>
        <v>0.35519859813084098</v>
      </c>
    </row>
    <row r="126" spans="1:23" ht="16.5" hidden="1" x14ac:dyDescent="0.25">
      <c r="A126" s="17">
        <f t="shared" si="1"/>
        <v>125</v>
      </c>
      <c r="B126" s="87">
        <v>43061</v>
      </c>
      <c r="C126" s="12" t="s">
        <v>24</v>
      </c>
      <c r="D126" s="12" t="s">
        <v>25</v>
      </c>
      <c r="E126" s="12" t="s">
        <v>26</v>
      </c>
      <c r="F126" s="12" t="s">
        <v>27</v>
      </c>
      <c r="G126" s="13">
        <v>50.25</v>
      </c>
      <c r="H126" s="13">
        <f>2/3</f>
        <v>0.66666666666666663</v>
      </c>
      <c r="I126" s="13">
        <v>9.5</v>
      </c>
      <c r="J126" s="14">
        <v>0</v>
      </c>
      <c r="K126" s="17">
        <f>IFERROR(ROUND((fCaixa[[#This Row],[Venda]]/fCaixa[[#This Row],[Preço/Un.]]),0),0)</f>
        <v>75</v>
      </c>
      <c r="L126" s="15">
        <f>IFERROR((SUBSTITUTE(RIGHT(fCaixa[[#This Row],[Descrição]],3),"G","")*1 *fCaixa[[#This Row],[Qtd/Pães]]) / 1000,0)</f>
        <v>2.625</v>
      </c>
      <c r="M126" s="13">
        <f>IFERROR((((SUBSTITUTE(RIGHT(fCaixa[[#This Row],[Descrição]],3),"G","")*1) * fCaixa[[#This Row],[QTD Perdida]])/1000) *fCaixa[[#This Row],[Custo/KG.]],0)</f>
        <v>0</v>
      </c>
      <c r="N126" s="15">
        <f>IF(fCaixa[[#This Row],[Lançamento]]="RECEITA",(fCaixa[[#This Row],[QTD Perdida]]* (SUBSTITUTE(RIGHT(fCaixa[[#This Row],[Descrição]],3),"G","")*1))/1000,0)</f>
        <v>0</v>
      </c>
      <c r="O126" s="15">
        <f>fCaixa[[#This Row],[Qtd/Kg]]+fCaixa[[#This Row],[Qtd/Kg Perdido]]</f>
        <v>2.625</v>
      </c>
      <c r="P126" s="13">
        <f>IF(fCaixa[[#This Row],[Lançamento]]="RECEITA",(fCaixa[[#This Row],[Qtd/Kg]]*fCaixa[[#This Row],[Custo/KG.]]),0)</f>
        <v>24.9375</v>
      </c>
      <c r="Q126" s="34">
        <f>fCaixa[[#This Row],[Custoprimario]]+fCaixa[[#This Row],[Total Perdido]]</f>
        <v>24.9375</v>
      </c>
      <c r="R126" s="16">
        <f>IFERROR(fCaixa[[#This Row],[Custoprimario]]/fCaixa[[#This Row],[Venda]],0)</f>
        <v>0.4962686567164179</v>
      </c>
      <c r="S126" s="16">
        <f>IFERROR(fCaixa[[#This Row],[Custofinal]]/fCaixa[[#This Row],[Venda]],0)</f>
        <v>0.4962686567164179</v>
      </c>
      <c r="T126" s="13">
        <f>IF(fCaixa[[#This Row],[Lançamento]]="RECEITA",fCaixa[[#This Row],[Venda]]-fCaixa[[#This Row],[Custoprimario]],0)</f>
        <v>25.3125</v>
      </c>
      <c r="U126" s="16">
        <f>IFERROR(fCaixa[[#This Row],[Lucroprimario]]/fCaixa[[#This Row],[Venda]],0)</f>
        <v>0.50373134328358204</v>
      </c>
      <c r="V12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25.3125</v>
      </c>
      <c r="W126" s="16">
        <f>IFERROR(fCaixa[[#This Row],[Lucrofinal]]/fCaixa[[#This Row],[Venda]],0)</f>
        <v>0.50373134328358204</v>
      </c>
    </row>
    <row r="127" spans="1:23" ht="16.5" hidden="1" x14ac:dyDescent="0.25">
      <c r="A127" s="17">
        <f t="shared" si="1"/>
        <v>126</v>
      </c>
      <c r="B127" s="87">
        <v>43062</v>
      </c>
      <c r="C127" s="12" t="s">
        <v>24</v>
      </c>
      <c r="D127" s="12" t="s">
        <v>25</v>
      </c>
      <c r="E127" s="12" t="s">
        <v>26</v>
      </c>
      <c r="F127" s="12" t="s">
        <v>27</v>
      </c>
      <c r="G127" s="13">
        <v>67</v>
      </c>
      <c r="H127" s="13">
        <v>0.67</v>
      </c>
      <c r="I127" s="13">
        <v>9.5</v>
      </c>
      <c r="J127" s="14">
        <v>11</v>
      </c>
      <c r="K127" s="17">
        <f>IFERROR(ROUND((fCaixa[[#This Row],[Venda]]/fCaixa[[#This Row],[Preço/Un.]]),0),0)</f>
        <v>100</v>
      </c>
      <c r="L127" s="15">
        <f>IFERROR((SUBSTITUTE(RIGHT(fCaixa[[#This Row],[Descrição]],3),"G","")*1 *fCaixa[[#This Row],[Qtd/Pães]]) / 1000,0)</f>
        <v>3.5</v>
      </c>
      <c r="M127" s="13">
        <f>IFERROR((((SUBSTITUTE(RIGHT(fCaixa[[#This Row],[Descrição]],3),"G","")*1) * fCaixa[[#This Row],[QTD Perdida]])/1000) *fCaixa[[#This Row],[Custo/KG.]],0)</f>
        <v>3.6575000000000002</v>
      </c>
      <c r="N127" s="15">
        <f>IF(fCaixa[[#This Row],[Lançamento]]="RECEITA",(fCaixa[[#This Row],[QTD Perdida]]* (SUBSTITUTE(RIGHT(fCaixa[[#This Row],[Descrição]],3),"G","")*1))/1000,0)</f>
        <v>0.38500000000000001</v>
      </c>
      <c r="O127" s="15">
        <f>fCaixa[[#This Row],[Qtd/Kg]]+fCaixa[[#This Row],[Qtd/Kg Perdido]]</f>
        <v>3.8849999999999998</v>
      </c>
      <c r="P127" s="13">
        <f>IF(fCaixa[[#This Row],[Lançamento]]="RECEITA",(fCaixa[[#This Row],[Qtd/Kg]]*fCaixa[[#This Row],[Custo/KG.]]),0)</f>
        <v>33.25</v>
      </c>
      <c r="Q127" s="34">
        <f>fCaixa[[#This Row],[Custoprimario]]+fCaixa[[#This Row],[Total Perdido]]</f>
        <v>36.907499999999999</v>
      </c>
      <c r="R127" s="16">
        <f>IFERROR(fCaixa[[#This Row],[Custoprimario]]/fCaixa[[#This Row],[Venda]],0)</f>
        <v>0.4962686567164179</v>
      </c>
      <c r="S127" s="16">
        <f>IFERROR(fCaixa[[#This Row],[Custofinal]]/fCaixa[[#This Row],[Venda]],0)</f>
        <v>0.55085820895522386</v>
      </c>
      <c r="T127" s="13">
        <f>IF(fCaixa[[#This Row],[Lançamento]]="RECEITA",fCaixa[[#This Row],[Venda]]-fCaixa[[#This Row],[Custoprimario]],0)</f>
        <v>33.75</v>
      </c>
      <c r="U127" s="16">
        <f>IFERROR(fCaixa[[#This Row],[Lucroprimario]]/fCaixa[[#This Row],[Venda]],0)</f>
        <v>0.50373134328358204</v>
      </c>
      <c r="V12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30.092500000000001</v>
      </c>
      <c r="W127" s="16">
        <f>IFERROR(fCaixa[[#This Row],[Lucrofinal]]/fCaixa[[#This Row],[Venda]],0)</f>
        <v>0.44914179104477614</v>
      </c>
    </row>
    <row r="128" spans="1:23" ht="16.5" hidden="1" x14ac:dyDescent="0.25">
      <c r="A128" s="17">
        <f t="shared" si="1"/>
        <v>127</v>
      </c>
      <c r="B128" s="87">
        <v>43063</v>
      </c>
      <c r="C128" s="12" t="s">
        <v>24</v>
      </c>
      <c r="D128" s="12" t="s">
        <v>25</v>
      </c>
      <c r="E128" s="12" t="s">
        <v>26</v>
      </c>
      <c r="F128" s="12" t="s">
        <v>27</v>
      </c>
      <c r="G128" s="13">
        <v>20</v>
      </c>
      <c r="H128" s="13">
        <v>0.67</v>
      </c>
      <c r="I128" s="13">
        <v>9.5</v>
      </c>
      <c r="J128" s="14">
        <v>17</v>
      </c>
      <c r="K128" s="17">
        <f>IFERROR(ROUND((fCaixa[[#This Row],[Venda]]/fCaixa[[#This Row],[Preço/Un.]]),0),0)</f>
        <v>30</v>
      </c>
      <c r="L128" s="15">
        <f>IFERROR((SUBSTITUTE(RIGHT(fCaixa[[#This Row],[Descrição]],3),"G","")*1 *fCaixa[[#This Row],[Qtd/Pães]]) / 1000,0)</f>
        <v>1.05</v>
      </c>
      <c r="M128" s="13">
        <f>IFERROR((((SUBSTITUTE(RIGHT(fCaixa[[#This Row],[Descrição]],3),"G","")*1) * fCaixa[[#This Row],[QTD Perdida]])/1000) *fCaixa[[#This Row],[Custo/KG.]],0)</f>
        <v>5.6524999999999999</v>
      </c>
      <c r="N128" s="15">
        <f>IF(fCaixa[[#This Row],[Lançamento]]="RECEITA",(fCaixa[[#This Row],[QTD Perdida]]* (SUBSTITUTE(RIGHT(fCaixa[[#This Row],[Descrição]],3),"G","")*1))/1000,0)</f>
        <v>0.59499999999999997</v>
      </c>
      <c r="O128" s="15">
        <f>fCaixa[[#This Row],[Qtd/Kg]]+fCaixa[[#This Row],[Qtd/Kg Perdido]]</f>
        <v>1.645</v>
      </c>
      <c r="P128" s="13">
        <f>IF(fCaixa[[#This Row],[Lançamento]]="RECEITA",(fCaixa[[#This Row],[Qtd/Kg]]*fCaixa[[#This Row],[Custo/KG.]]),0)</f>
        <v>9.9749999999999996</v>
      </c>
      <c r="Q128" s="34">
        <f>fCaixa[[#This Row],[Custoprimario]]+fCaixa[[#This Row],[Total Perdido]]</f>
        <v>15.6275</v>
      </c>
      <c r="R128" s="16">
        <f>IFERROR(fCaixa[[#This Row],[Custoprimario]]/fCaixa[[#This Row],[Venda]],0)</f>
        <v>0.49874999999999997</v>
      </c>
      <c r="S128" s="16">
        <f>IFERROR(fCaixa[[#This Row],[Custofinal]]/fCaixa[[#This Row],[Venda]],0)</f>
        <v>0.78137499999999993</v>
      </c>
      <c r="T128" s="13">
        <f>IF(fCaixa[[#This Row],[Lançamento]]="RECEITA",fCaixa[[#This Row],[Venda]]-fCaixa[[#This Row],[Custoprimario]],0)</f>
        <v>10.025</v>
      </c>
      <c r="U128" s="16">
        <f>IFERROR(fCaixa[[#This Row],[Lucroprimario]]/fCaixa[[#This Row],[Venda]],0)</f>
        <v>0.50124999999999997</v>
      </c>
      <c r="V12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4.3725000000000005</v>
      </c>
      <c r="W128" s="16">
        <f>IFERROR(fCaixa[[#This Row],[Lucrofinal]]/fCaixa[[#This Row],[Venda]],0)</f>
        <v>0.21862500000000001</v>
      </c>
    </row>
    <row r="129" spans="1:23" ht="16.5" hidden="1" x14ac:dyDescent="0.25">
      <c r="A129" s="17">
        <f t="shared" si="1"/>
        <v>128</v>
      </c>
      <c r="B129" s="87">
        <v>43066</v>
      </c>
      <c r="C129" s="12" t="s">
        <v>24</v>
      </c>
      <c r="D129" s="12" t="s">
        <v>25</v>
      </c>
      <c r="E129" s="12" t="s">
        <v>26</v>
      </c>
      <c r="F129" s="12" t="s">
        <v>27</v>
      </c>
      <c r="G129" s="13">
        <v>25.4</v>
      </c>
      <c r="H129" s="13">
        <v>0.67</v>
      </c>
      <c r="I129" s="13">
        <v>9.5</v>
      </c>
      <c r="J129" s="14">
        <v>2</v>
      </c>
      <c r="K129" s="17">
        <f>IFERROR(ROUND((fCaixa[[#This Row],[Venda]]/fCaixa[[#This Row],[Preço/Un.]]),0),0)</f>
        <v>38</v>
      </c>
      <c r="L129" s="15">
        <f>IFERROR((SUBSTITUTE(RIGHT(fCaixa[[#This Row],[Descrição]],3),"G","")*1 *fCaixa[[#This Row],[Qtd/Pães]]) / 1000,0)</f>
        <v>1.33</v>
      </c>
      <c r="M129" s="13">
        <f>IFERROR((((SUBSTITUTE(RIGHT(fCaixa[[#This Row],[Descrição]],3),"G","")*1) * fCaixa[[#This Row],[QTD Perdida]])/1000) *fCaixa[[#This Row],[Custo/KG.]],0)</f>
        <v>0.66500000000000004</v>
      </c>
      <c r="N129" s="15">
        <f>IF(fCaixa[[#This Row],[Lançamento]]="RECEITA",(fCaixa[[#This Row],[QTD Perdida]]* (SUBSTITUTE(RIGHT(fCaixa[[#This Row],[Descrição]],3),"G","")*1))/1000,0)</f>
        <v>7.0000000000000007E-2</v>
      </c>
      <c r="O129" s="15">
        <f>fCaixa[[#This Row],[Qtd/Kg]]+fCaixa[[#This Row],[Qtd/Kg Perdido]]</f>
        <v>1.4000000000000001</v>
      </c>
      <c r="P129" s="13">
        <f>IF(fCaixa[[#This Row],[Lançamento]]="RECEITA",(fCaixa[[#This Row],[Qtd/Kg]]*fCaixa[[#This Row],[Custo/KG.]]),0)</f>
        <v>12.635000000000002</v>
      </c>
      <c r="Q129" s="34">
        <f>fCaixa[[#This Row],[Custoprimario]]+fCaixa[[#This Row],[Total Perdido]]</f>
        <v>13.3</v>
      </c>
      <c r="R129" s="16">
        <f>IFERROR(fCaixa[[#This Row],[Custoprimario]]/fCaixa[[#This Row],[Venda]],0)</f>
        <v>0.49744094488188983</v>
      </c>
      <c r="S129" s="16">
        <f>IFERROR(fCaixa[[#This Row],[Custofinal]]/fCaixa[[#This Row],[Venda]],0)</f>
        <v>0.52362204724409456</v>
      </c>
      <c r="T129" s="13">
        <f>IF(fCaixa[[#This Row],[Lançamento]]="RECEITA",fCaixa[[#This Row],[Venda]]-fCaixa[[#This Row],[Custoprimario]],0)</f>
        <v>12.764999999999997</v>
      </c>
      <c r="U129" s="16">
        <f>IFERROR(fCaixa[[#This Row],[Lucroprimario]]/fCaixa[[#This Row],[Venda]],0)</f>
        <v>0.50255905511811017</v>
      </c>
      <c r="V12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12.099999999999998</v>
      </c>
      <c r="W129" s="16">
        <f>IFERROR(fCaixa[[#This Row],[Lucrofinal]]/fCaixa[[#This Row],[Venda]],0)</f>
        <v>0.47637795275590544</v>
      </c>
    </row>
    <row r="130" spans="1:23" ht="16.5" hidden="1" x14ac:dyDescent="0.25">
      <c r="A130" s="17">
        <f t="shared" ref="A130:A193" si="2">ROW($A129)</f>
        <v>129</v>
      </c>
      <c r="B130" s="87">
        <v>43066</v>
      </c>
      <c r="C130" s="12" t="s">
        <v>24</v>
      </c>
      <c r="D130" s="12" t="s">
        <v>25</v>
      </c>
      <c r="E130" s="12" t="s">
        <v>26</v>
      </c>
      <c r="F130" s="12" t="s">
        <v>27</v>
      </c>
      <c r="G130" s="13">
        <v>18</v>
      </c>
      <c r="H130" s="13">
        <v>0.6</v>
      </c>
      <c r="I130" s="13">
        <v>9.5</v>
      </c>
      <c r="J130" s="14">
        <v>0</v>
      </c>
      <c r="K130" s="17">
        <f>IFERROR(ROUND((fCaixa[[#This Row],[Venda]]/fCaixa[[#This Row],[Preço/Un.]]),0),0)</f>
        <v>30</v>
      </c>
      <c r="L130" s="15">
        <f>IFERROR((SUBSTITUTE(RIGHT(fCaixa[[#This Row],[Descrição]],3),"G","")*1 *fCaixa[[#This Row],[Qtd/Pães]]) / 1000,0)</f>
        <v>1.05</v>
      </c>
      <c r="M130" s="13">
        <f>IFERROR((((SUBSTITUTE(RIGHT(fCaixa[[#This Row],[Descrição]],3),"G","")*1) * fCaixa[[#This Row],[QTD Perdida]])/1000) *fCaixa[[#This Row],[Custo/KG.]],0)</f>
        <v>0</v>
      </c>
      <c r="N130" s="15">
        <f>IF(fCaixa[[#This Row],[Lançamento]]="RECEITA",(fCaixa[[#This Row],[QTD Perdida]]* (SUBSTITUTE(RIGHT(fCaixa[[#This Row],[Descrição]],3),"G","")*1))/1000,0)</f>
        <v>0</v>
      </c>
      <c r="O130" s="15">
        <f>fCaixa[[#This Row],[Qtd/Kg]]+fCaixa[[#This Row],[Qtd/Kg Perdido]]</f>
        <v>1.05</v>
      </c>
      <c r="P130" s="13">
        <f>IF(fCaixa[[#This Row],[Lançamento]]="RECEITA",(fCaixa[[#This Row],[Qtd/Kg]]*fCaixa[[#This Row],[Custo/KG.]]),0)</f>
        <v>9.9749999999999996</v>
      </c>
      <c r="Q130" s="34">
        <f>fCaixa[[#This Row],[Custoprimario]]+fCaixa[[#This Row],[Total Perdido]]</f>
        <v>9.9749999999999996</v>
      </c>
      <c r="R130" s="16">
        <f>IFERROR(fCaixa[[#This Row],[Custoprimario]]/fCaixa[[#This Row],[Venda]],0)</f>
        <v>0.5541666666666667</v>
      </c>
      <c r="S130" s="16">
        <f>IFERROR(fCaixa[[#This Row],[Custofinal]]/fCaixa[[#This Row],[Venda]],0)</f>
        <v>0.5541666666666667</v>
      </c>
      <c r="T130" s="13">
        <f>IF(fCaixa[[#This Row],[Lançamento]]="RECEITA",fCaixa[[#This Row],[Venda]]-fCaixa[[#This Row],[Custoprimario]],0)</f>
        <v>8.0250000000000004</v>
      </c>
      <c r="U130" s="16">
        <f>IFERROR(fCaixa[[#This Row],[Lucroprimario]]/fCaixa[[#This Row],[Venda]],0)</f>
        <v>0.44583333333333336</v>
      </c>
      <c r="V13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8.0250000000000004</v>
      </c>
      <c r="W130" s="16">
        <f>IFERROR(fCaixa[[#This Row],[Lucrofinal]]/fCaixa[[#This Row],[Venda]],0)</f>
        <v>0.44583333333333336</v>
      </c>
    </row>
    <row r="131" spans="1:23" ht="16.5" hidden="1" x14ac:dyDescent="0.25">
      <c r="A131" s="17">
        <f t="shared" si="2"/>
        <v>130</v>
      </c>
      <c r="B131" s="87">
        <v>43067</v>
      </c>
      <c r="C131" s="12" t="s">
        <v>24</v>
      </c>
      <c r="D131" s="12" t="s">
        <v>25</v>
      </c>
      <c r="E131" s="12" t="s">
        <v>26</v>
      </c>
      <c r="F131" s="12" t="s">
        <v>27</v>
      </c>
      <c r="G131" s="13">
        <v>40</v>
      </c>
      <c r="H131" s="13">
        <v>0.67</v>
      </c>
      <c r="I131" s="13">
        <v>9.5</v>
      </c>
      <c r="J131" s="14">
        <v>11</v>
      </c>
      <c r="K131" s="17">
        <f>IFERROR(ROUND((fCaixa[[#This Row],[Venda]]/fCaixa[[#This Row],[Preço/Un.]]),0),0)</f>
        <v>60</v>
      </c>
      <c r="L131" s="15">
        <f>IFERROR((SUBSTITUTE(RIGHT(fCaixa[[#This Row],[Descrição]],3),"G","")*1 *fCaixa[[#This Row],[Qtd/Pães]]) / 1000,0)</f>
        <v>2.1</v>
      </c>
      <c r="M131" s="13">
        <f>IFERROR((((SUBSTITUTE(RIGHT(fCaixa[[#This Row],[Descrição]],3),"G","")*1) * fCaixa[[#This Row],[QTD Perdida]])/1000) *fCaixa[[#This Row],[Custo/KG.]],0)</f>
        <v>3.6575000000000002</v>
      </c>
      <c r="N131" s="15">
        <f>IF(fCaixa[[#This Row],[Lançamento]]="RECEITA",(fCaixa[[#This Row],[QTD Perdida]]* (SUBSTITUTE(RIGHT(fCaixa[[#This Row],[Descrição]],3),"G","")*1))/1000,0)</f>
        <v>0.38500000000000001</v>
      </c>
      <c r="O131" s="15">
        <f>fCaixa[[#This Row],[Qtd/Kg]]+fCaixa[[#This Row],[Qtd/Kg Perdido]]</f>
        <v>2.4850000000000003</v>
      </c>
      <c r="P131" s="13">
        <f>IF(fCaixa[[#This Row],[Lançamento]]="RECEITA",(fCaixa[[#This Row],[Qtd/Kg]]*fCaixa[[#This Row],[Custo/KG.]]),0)</f>
        <v>19.95</v>
      </c>
      <c r="Q131" s="34">
        <f>fCaixa[[#This Row],[Custoprimario]]+fCaixa[[#This Row],[Total Perdido]]</f>
        <v>23.607499999999998</v>
      </c>
      <c r="R131" s="16">
        <f>IFERROR(fCaixa[[#This Row],[Custoprimario]]/fCaixa[[#This Row],[Venda]],0)</f>
        <v>0.49874999999999997</v>
      </c>
      <c r="S131" s="16">
        <f>IFERROR(fCaixa[[#This Row],[Custofinal]]/fCaixa[[#This Row],[Venda]],0)</f>
        <v>0.59018749999999998</v>
      </c>
      <c r="T131" s="13">
        <f>IF(fCaixa[[#This Row],[Lançamento]]="RECEITA",fCaixa[[#This Row],[Venda]]-fCaixa[[#This Row],[Custoprimario]],0)</f>
        <v>20.05</v>
      </c>
      <c r="U131" s="16">
        <f>IFERROR(fCaixa[[#This Row],[Lucroprimario]]/fCaixa[[#This Row],[Venda]],0)</f>
        <v>0.50124999999999997</v>
      </c>
      <c r="V13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16.392500000000002</v>
      </c>
      <c r="W131" s="16">
        <f>IFERROR(fCaixa[[#This Row],[Lucrofinal]]/fCaixa[[#This Row],[Venda]],0)</f>
        <v>0.40981250000000002</v>
      </c>
    </row>
    <row r="132" spans="1:23" ht="16.5" hidden="1" x14ac:dyDescent="0.25">
      <c r="A132" s="17">
        <f t="shared" si="2"/>
        <v>131</v>
      </c>
      <c r="B132" s="87">
        <v>43067</v>
      </c>
      <c r="C132" s="12" t="s">
        <v>24</v>
      </c>
      <c r="D132" s="12" t="s">
        <v>25</v>
      </c>
      <c r="E132" s="12" t="s">
        <v>26</v>
      </c>
      <c r="F132" s="12" t="s">
        <v>27</v>
      </c>
      <c r="G132" s="13">
        <v>19</v>
      </c>
      <c r="H132" s="13">
        <v>0.65</v>
      </c>
      <c r="I132" s="13">
        <v>9.5</v>
      </c>
      <c r="J132" s="14">
        <v>0</v>
      </c>
      <c r="K132" s="17">
        <f>IFERROR(ROUND((fCaixa[[#This Row],[Venda]]/fCaixa[[#This Row],[Preço/Un.]]),0),0)</f>
        <v>29</v>
      </c>
      <c r="L132" s="15">
        <f>IFERROR((SUBSTITUTE(RIGHT(fCaixa[[#This Row],[Descrição]],3),"G","")*1 *fCaixa[[#This Row],[Qtd/Pães]]) / 1000,0)</f>
        <v>1.0149999999999999</v>
      </c>
      <c r="M132" s="13">
        <f>IFERROR((((SUBSTITUTE(RIGHT(fCaixa[[#This Row],[Descrição]],3),"G","")*1) * fCaixa[[#This Row],[QTD Perdida]])/1000) *fCaixa[[#This Row],[Custo/KG.]],0)</f>
        <v>0</v>
      </c>
      <c r="N132" s="15">
        <f>IF(fCaixa[[#This Row],[Lançamento]]="RECEITA",(fCaixa[[#This Row],[QTD Perdida]]* (SUBSTITUTE(RIGHT(fCaixa[[#This Row],[Descrição]],3),"G","")*1))/1000,0)</f>
        <v>0</v>
      </c>
      <c r="O132" s="15">
        <f>fCaixa[[#This Row],[Qtd/Kg]]+fCaixa[[#This Row],[Qtd/Kg Perdido]]</f>
        <v>1.0149999999999999</v>
      </c>
      <c r="P132" s="13">
        <f>IF(fCaixa[[#This Row],[Lançamento]]="RECEITA",(fCaixa[[#This Row],[Qtd/Kg]]*fCaixa[[#This Row],[Custo/KG.]]),0)</f>
        <v>9.6424999999999983</v>
      </c>
      <c r="Q132" s="34">
        <f>fCaixa[[#This Row],[Custoprimario]]+fCaixa[[#This Row],[Total Perdido]]</f>
        <v>9.6424999999999983</v>
      </c>
      <c r="R132" s="16">
        <f>IFERROR(fCaixa[[#This Row],[Custoprimario]]/fCaixa[[#This Row],[Venda]],0)</f>
        <v>0.50749999999999995</v>
      </c>
      <c r="S132" s="16">
        <f>IFERROR(fCaixa[[#This Row],[Custofinal]]/fCaixa[[#This Row],[Venda]],0)</f>
        <v>0.50749999999999995</v>
      </c>
      <c r="T132" s="13">
        <f>IF(fCaixa[[#This Row],[Lançamento]]="RECEITA",fCaixa[[#This Row],[Venda]]-fCaixa[[#This Row],[Custoprimario]],0)</f>
        <v>9.3575000000000017</v>
      </c>
      <c r="U132" s="16">
        <f>IFERROR(fCaixa[[#This Row],[Lucroprimario]]/fCaixa[[#This Row],[Venda]],0)</f>
        <v>0.4925000000000001</v>
      </c>
      <c r="V13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9.3575000000000017</v>
      </c>
      <c r="W132" s="16">
        <f>IFERROR(fCaixa[[#This Row],[Lucrofinal]]/fCaixa[[#This Row],[Venda]],0)</f>
        <v>0.4925000000000001</v>
      </c>
    </row>
    <row r="133" spans="1:23" ht="16.5" hidden="1" x14ac:dyDescent="0.25">
      <c r="A133" s="17">
        <f t="shared" si="2"/>
        <v>132</v>
      </c>
      <c r="B133" s="87">
        <v>43068</v>
      </c>
      <c r="C133" s="12" t="s">
        <v>24</v>
      </c>
      <c r="D133" s="12" t="s">
        <v>25</v>
      </c>
      <c r="E133" s="12" t="s">
        <v>26</v>
      </c>
      <c r="F133" s="12" t="s">
        <v>27</v>
      </c>
      <c r="G133" s="13">
        <v>52.2</v>
      </c>
      <c r="H133" s="13">
        <v>0.67</v>
      </c>
      <c r="I133" s="13">
        <v>9.5</v>
      </c>
      <c r="J133" s="14">
        <v>13</v>
      </c>
      <c r="K133" s="17">
        <f>IFERROR(ROUND((fCaixa[[#This Row],[Venda]]/fCaixa[[#This Row],[Preço/Un.]]),0),0)</f>
        <v>78</v>
      </c>
      <c r="L133" s="15">
        <f>IFERROR((SUBSTITUTE(RIGHT(fCaixa[[#This Row],[Descrição]],3),"G","")*1 *fCaixa[[#This Row],[Qtd/Pães]]) / 1000,0)</f>
        <v>2.73</v>
      </c>
      <c r="M133" s="13">
        <f>IFERROR((((SUBSTITUTE(RIGHT(fCaixa[[#This Row],[Descrição]],3),"G","")*1) * fCaixa[[#This Row],[QTD Perdida]])/1000) *fCaixa[[#This Row],[Custo/KG.]],0)</f>
        <v>4.3224999999999998</v>
      </c>
      <c r="N133" s="15">
        <f>IF(fCaixa[[#This Row],[Lançamento]]="RECEITA",(fCaixa[[#This Row],[QTD Perdida]]* (SUBSTITUTE(RIGHT(fCaixa[[#This Row],[Descrição]],3),"G","")*1))/1000,0)</f>
        <v>0.45500000000000002</v>
      </c>
      <c r="O133" s="15">
        <f>fCaixa[[#This Row],[Qtd/Kg]]+fCaixa[[#This Row],[Qtd/Kg Perdido]]</f>
        <v>3.1850000000000001</v>
      </c>
      <c r="P133" s="13">
        <f>IF(fCaixa[[#This Row],[Lançamento]]="RECEITA",(fCaixa[[#This Row],[Qtd/Kg]]*fCaixa[[#This Row],[Custo/KG.]]),0)</f>
        <v>25.934999999999999</v>
      </c>
      <c r="Q133" s="34">
        <f>fCaixa[[#This Row],[Custoprimario]]+fCaixa[[#This Row],[Total Perdido]]</f>
        <v>30.2575</v>
      </c>
      <c r="R133" s="16">
        <f>IFERROR(fCaixa[[#This Row],[Custoprimario]]/fCaixa[[#This Row],[Venda]],0)</f>
        <v>0.49683908045977004</v>
      </c>
      <c r="S133" s="16">
        <f>IFERROR(fCaixa[[#This Row],[Custofinal]]/fCaixa[[#This Row],[Venda]],0)</f>
        <v>0.5796455938697318</v>
      </c>
      <c r="T133" s="13">
        <f>IF(fCaixa[[#This Row],[Lançamento]]="RECEITA",fCaixa[[#This Row],[Venda]]-fCaixa[[#This Row],[Custoprimario]],0)</f>
        <v>26.265000000000004</v>
      </c>
      <c r="U133" s="16">
        <f>IFERROR(fCaixa[[#This Row],[Lucroprimario]]/fCaixa[[#This Row],[Venda]],0)</f>
        <v>0.5031609195402299</v>
      </c>
      <c r="V13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21.942500000000003</v>
      </c>
      <c r="W133" s="16">
        <f>IFERROR(fCaixa[[#This Row],[Lucrofinal]]/fCaixa[[#This Row],[Venda]],0)</f>
        <v>0.4203544061302682</v>
      </c>
    </row>
    <row r="134" spans="1:23" ht="16.5" hidden="1" x14ac:dyDescent="0.25">
      <c r="A134" s="17">
        <f t="shared" si="2"/>
        <v>133</v>
      </c>
      <c r="B134" s="87">
        <v>43069</v>
      </c>
      <c r="C134" s="12" t="s">
        <v>24</v>
      </c>
      <c r="D134" s="12" t="s">
        <v>25</v>
      </c>
      <c r="E134" s="12" t="s">
        <v>26</v>
      </c>
      <c r="F134" s="12" t="s">
        <v>27</v>
      </c>
      <c r="G134" s="13">
        <v>107.8</v>
      </c>
      <c r="H134" s="13">
        <v>0.67</v>
      </c>
      <c r="I134" s="13">
        <v>9.5</v>
      </c>
      <c r="J134" s="14">
        <v>14</v>
      </c>
      <c r="K134" s="17">
        <f>IFERROR(ROUND((fCaixa[[#This Row],[Venda]]/fCaixa[[#This Row],[Preço/Un.]]),0),0)</f>
        <v>161</v>
      </c>
      <c r="L134" s="15">
        <f>IFERROR((SUBSTITUTE(RIGHT(fCaixa[[#This Row],[Descrição]],3),"G","")*1 *fCaixa[[#This Row],[Qtd/Pães]]) / 1000,0)</f>
        <v>5.6349999999999998</v>
      </c>
      <c r="M134" s="13">
        <f>IFERROR((((SUBSTITUTE(RIGHT(fCaixa[[#This Row],[Descrição]],3),"G","")*1) * fCaixa[[#This Row],[QTD Perdida]])/1000) *fCaixa[[#This Row],[Custo/KG.]],0)</f>
        <v>4.6550000000000002</v>
      </c>
      <c r="N134" s="15">
        <f>IF(fCaixa[[#This Row],[Lançamento]]="RECEITA",(fCaixa[[#This Row],[QTD Perdida]]* (SUBSTITUTE(RIGHT(fCaixa[[#This Row],[Descrição]],3),"G","")*1))/1000,0)</f>
        <v>0.49</v>
      </c>
      <c r="O134" s="15">
        <f>fCaixa[[#This Row],[Qtd/Kg]]+fCaixa[[#This Row],[Qtd/Kg Perdido]]</f>
        <v>6.125</v>
      </c>
      <c r="P134" s="13">
        <f>IF(fCaixa[[#This Row],[Lançamento]]="RECEITA",(fCaixa[[#This Row],[Qtd/Kg]]*fCaixa[[#This Row],[Custo/KG.]]),0)</f>
        <v>53.532499999999999</v>
      </c>
      <c r="Q134" s="34">
        <f>fCaixa[[#This Row],[Custoprimario]]+fCaixa[[#This Row],[Total Perdido]]</f>
        <v>58.1875</v>
      </c>
      <c r="R134" s="16">
        <f>IFERROR(fCaixa[[#This Row],[Custoprimario]]/fCaixa[[#This Row],[Venda]],0)</f>
        <v>0.49659090909090908</v>
      </c>
      <c r="S134" s="16">
        <f>IFERROR(fCaixa[[#This Row],[Custofinal]]/fCaixa[[#This Row],[Venda]],0)</f>
        <v>0.53977272727272729</v>
      </c>
      <c r="T134" s="13">
        <f>IF(fCaixa[[#This Row],[Lançamento]]="RECEITA",fCaixa[[#This Row],[Venda]]-fCaixa[[#This Row],[Custoprimario]],0)</f>
        <v>54.267499999999998</v>
      </c>
      <c r="U134" s="16">
        <f>IFERROR(fCaixa[[#This Row],[Lucroprimario]]/fCaixa[[#This Row],[Venda]],0)</f>
        <v>0.50340909090909092</v>
      </c>
      <c r="V13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49.612499999999997</v>
      </c>
      <c r="W134" s="16">
        <f>IFERROR(fCaixa[[#This Row],[Lucrofinal]]/fCaixa[[#This Row],[Venda]],0)</f>
        <v>0.46022727272727271</v>
      </c>
    </row>
    <row r="135" spans="1:23" ht="16.5" hidden="1" x14ac:dyDescent="0.25">
      <c r="A135" s="17">
        <f t="shared" si="2"/>
        <v>134</v>
      </c>
      <c r="B135" s="87">
        <v>43074</v>
      </c>
      <c r="C135" s="12" t="s">
        <v>24</v>
      </c>
      <c r="D135" s="12" t="s">
        <v>25</v>
      </c>
      <c r="E135" s="12" t="s">
        <v>35</v>
      </c>
      <c r="F135" s="12" t="s">
        <v>28</v>
      </c>
      <c r="G135" s="13">
        <v>220</v>
      </c>
      <c r="H135" s="13">
        <v>1</v>
      </c>
      <c r="I135" s="13">
        <v>10</v>
      </c>
      <c r="J135" s="14">
        <v>0</v>
      </c>
      <c r="K135" s="17">
        <f>IFERROR(ROUND((fCaixa[[#This Row],[Venda]]/fCaixa[[#This Row],[Preço/Un.]]),0),0)</f>
        <v>220</v>
      </c>
      <c r="L135" s="15">
        <f>IFERROR((SUBSTITUTE(RIGHT(fCaixa[[#This Row],[Descrição]],3),"G","")*1 *fCaixa[[#This Row],[Qtd/Pães]]) / 1000,0)</f>
        <v>11</v>
      </c>
      <c r="M135" s="13">
        <f>IFERROR((((SUBSTITUTE(RIGHT(fCaixa[[#This Row],[Descrição]],3),"G","")*1) * fCaixa[[#This Row],[QTD Perdida]])/1000) *fCaixa[[#This Row],[Custo/KG.]],0)</f>
        <v>0</v>
      </c>
      <c r="N135" s="15">
        <f>IF(fCaixa[[#This Row],[Lançamento]]="RECEITA",(fCaixa[[#This Row],[QTD Perdida]]* (SUBSTITUTE(RIGHT(fCaixa[[#This Row],[Descrição]],3),"G","")*1))/1000,0)</f>
        <v>0</v>
      </c>
      <c r="O135" s="15">
        <f>fCaixa[[#This Row],[Qtd/Kg]]+fCaixa[[#This Row],[Qtd/Kg Perdido]]</f>
        <v>11</v>
      </c>
      <c r="P135" s="13">
        <f>IF(fCaixa[[#This Row],[Lançamento]]="RECEITA",(fCaixa[[#This Row],[Qtd/Kg]]*fCaixa[[#This Row],[Custo/KG.]]),0)</f>
        <v>110</v>
      </c>
      <c r="Q135" s="34">
        <f>fCaixa[[#This Row],[Custoprimario]]+fCaixa[[#This Row],[Total Perdido]]</f>
        <v>110</v>
      </c>
      <c r="R135" s="16">
        <f>IFERROR(fCaixa[[#This Row],[Custoprimario]]/fCaixa[[#This Row],[Venda]],0)</f>
        <v>0.5</v>
      </c>
      <c r="S135" s="16">
        <f>IFERROR(fCaixa[[#This Row],[Custofinal]]/fCaixa[[#This Row],[Venda]],0)</f>
        <v>0.5</v>
      </c>
      <c r="T135" s="13">
        <f>IF(fCaixa[[#This Row],[Lançamento]]="RECEITA",fCaixa[[#This Row],[Venda]]-fCaixa[[#This Row],[Custoprimario]],0)</f>
        <v>110</v>
      </c>
      <c r="U135" s="16">
        <f>IFERROR(fCaixa[[#This Row],[Lucroprimario]]/fCaixa[[#This Row],[Venda]],0)</f>
        <v>0.5</v>
      </c>
      <c r="V13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110</v>
      </c>
      <c r="W135" s="16">
        <f>IFERROR(fCaixa[[#This Row],[Lucrofinal]]/fCaixa[[#This Row],[Venda]],0)</f>
        <v>0.5</v>
      </c>
    </row>
    <row r="136" spans="1:23" ht="16.5" hidden="1" x14ac:dyDescent="0.25">
      <c r="A136" s="17">
        <f t="shared" si="2"/>
        <v>135</v>
      </c>
      <c r="B136" s="87">
        <v>43075</v>
      </c>
      <c r="C136" s="12" t="s">
        <v>24</v>
      </c>
      <c r="D136" s="12" t="s">
        <v>25</v>
      </c>
      <c r="E136" s="12" t="s">
        <v>35</v>
      </c>
      <c r="F136" s="12" t="s">
        <v>28</v>
      </c>
      <c r="G136" s="13">
        <v>200</v>
      </c>
      <c r="H136" s="13">
        <v>1</v>
      </c>
      <c r="I136" s="13">
        <v>10</v>
      </c>
      <c r="J136" s="14">
        <v>0</v>
      </c>
      <c r="K136" s="17">
        <f>IFERROR(ROUND((fCaixa[[#This Row],[Venda]]/fCaixa[[#This Row],[Preço/Un.]]),0),0)</f>
        <v>200</v>
      </c>
      <c r="L136" s="15">
        <f>IFERROR((SUBSTITUTE(RIGHT(fCaixa[[#This Row],[Descrição]],3),"G","")*1 *fCaixa[[#This Row],[Qtd/Pães]]) / 1000,0)</f>
        <v>10</v>
      </c>
      <c r="M136" s="13">
        <f>IFERROR((((SUBSTITUTE(RIGHT(fCaixa[[#This Row],[Descrição]],3),"G","")*1) * fCaixa[[#This Row],[QTD Perdida]])/1000) *fCaixa[[#This Row],[Custo/KG.]],0)</f>
        <v>0</v>
      </c>
      <c r="N136" s="15">
        <f>IF(fCaixa[[#This Row],[Lançamento]]="RECEITA",(fCaixa[[#This Row],[QTD Perdida]]* (SUBSTITUTE(RIGHT(fCaixa[[#This Row],[Descrição]],3),"G","")*1))/1000,0)</f>
        <v>0</v>
      </c>
      <c r="O136" s="15">
        <f>fCaixa[[#This Row],[Qtd/Kg]]+fCaixa[[#This Row],[Qtd/Kg Perdido]]</f>
        <v>10</v>
      </c>
      <c r="P136" s="13">
        <f>IF(fCaixa[[#This Row],[Lançamento]]="RECEITA",(fCaixa[[#This Row],[Qtd/Kg]]*fCaixa[[#This Row],[Custo/KG.]]),0)</f>
        <v>100</v>
      </c>
      <c r="Q136" s="34">
        <f>fCaixa[[#This Row],[Custoprimario]]+fCaixa[[#This Row],[Total Perdido]]</f>
        <v>100</v>
      </c>
      <c r="R136" s="16">
        <f>IFERROR(fCaixa[[#This Row],[Custoprimario]]/fCaixa[[#This Row],[Venda]],0)</f>
        <v>0.5</v>
      </c>
      <c r="S136" s="16">
        <f>IFERROR(fCaixa[[#This Row],[Custofinal]]/fCaixa[[#This Row],[Venda]],0)</f>
        <v>0.5</v>
      </c>
      <c r="T136" s="13">
        <f>IF(fCaixa[[#This Row],[Lançamento]]="RECEITA",fCaixa[[#This Row],[Venda]]-fCaixa[[#This Row],[Custoprimario]],0)</f>
        <v>100</v>
      </c>
      <c r="U136" s="16">
        <f>IFERROR(fCaixa[[#This Row],[Lucroprimario]]/fCaixa[[#This Row],[Venda]],0)</f>
        <v>0.5</v>
      </c>
      <c r="V13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100</v>
      </c>
      <c r="W136" s="16">
        <f>IFERROR(fCaixa[[#This Row],[Lucrofinal]]/fCaixa[[#This Row],[Venda]],0)</f>
        <v>0.5</v>
      </c>
    </row>
    <row r="137" spans="1:23" ht="16.5" hidden="1" x14ac:dyDescent="0.25">
      <c r="A137" s="17">
        <f t="shared" si="2"/>
        <v>136</v>
      </c>
      <c r="B137" s="87">
        <v>43076</v>
      </c>
      <c r="C137" s="12" t="s">
        <v>24</v>
      </c>
      <c r="D137" s="12" t="s">
        <v>25</v>
      </c>
      <c r="E137" s="12" t="s">
        <v>35</v>
      </c>
      <c r="F137" s="12" t="s">
        <v>28</v>
      </c>
      <c r="G137" s="13">
        <v>252</v>
      </c>
      <c r="H137" s="13">
        <v>1</v>
      </c>
      <c r="I137" s="13">
        <v>10</v>
      </c>
      <c r="J137" s="14">
        <v>0</v>
      </c>
      <c r="K137" s="17">
        <f>IFERROR(ROUND((fCaixa[[#This Row],[Venda]]/fCaixa[[#This Row],[Preço/Un.]]),0),0)</f>
        <v>252</v>
      </c>
      <c r="L137" s="15">
        <f>IFERROR((SUBSTITUTE(RIGHT(fCaixa[[#This Row],[Descrição]],3),"G","")*1 *fCaixa[[#This Row],[Qtd/Pães]]) / 1000,0)</f>
        <v>12.6</v>
      </c>
      <c r="M137" s="13">
        <f>IFERROR((((SUBSTITUTE(RIGHT(fCaixa[[#This Row],[Descrição]],3),"G","")*1) * fCaixa[[#This Row],[QTD Perdida]])/1000) *fCaixa[[#This Row],[Custo/KG.]],0)</f>
        <v>0</v>
      </c>
      <c r="N137" s="15">
        <f>IF(fCaixa[[#This Row],[Lançamento]]="RECEITA",(fCaixa[[#This Row],[QTD Perdida]]* (SUBSTITUTE(RIGHT(fCaixa[[#This Row],[Descrição]],3),"G","")*1))/1000,0)</f>
        <v>0</v>
      </c>
      <c r="O137" s="15">
        <f>fCaixa[[#This Row],[Qtd/Kg]]+fCaixa[[#This Row],[Qtd/Kg Perdido]]</f>
        <v>12.6</v>
      </c>
      <c r="P137" s="13">
        <f>IF(fCaixa[[#This Row],[Lançamento]]="RECEITA",(fCaixa[[#This Row],[Qtd/Kg]]*fCaixa[[#This Row],[Custo/KG.]]),0)</f>
        <v>126</v>
      </c>
      <c r="Q137" s="34">
        <f>fCaixa[[#This Row],[Custoprimario]]+fCaixa[[#This Row],[Total Perdido]]</f>
        <v>126</v>
      </c>
      <c r="R137" s="16">
        <f>IFERROR(fCaixa[[#This Row],[Custoprimario]]/fCaixa[[#This Row],[Venda]],0)</f>
        <v>0.5</v>
      </c>
      <c r="S137" s="16">
        <f>IFERROR(fCaixa[[#This Row],[Custofinal]]/fCaixa[[#This Row],[Venda]],0)</f>
        <v>0.5</v>
      </c>
      <c r="T137" s="13">
        <f>IF(fCaixa[[#This Row],[Lançamento]]="RECEITA",fCaixa[[#This Row],[Venda]]-fCaixa[[#This Row],[Custoprimario]],0)</f>
        <v>126</v>
      </c>
      <c r="U137" s="16">
        <f>IFERROR(fCaixa[[#This Row],[Lucroprimario]]/fCaixa[[#This Row],[Venda]],0)</f>
        <v>0.5</v>
      </c>
      <c r="V13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126</v>
      </c>
      <c r="W137" s="16">
        <f>IFERROR(fCaixa[[#This Row],[Lucrofinal]]/fCaixa[[#This Row],[Venda]],0)</f>
        <v>0.5</v>
      </c>
    </row>
    <row r="138" spans="1:23" ht="16.5" hidden="1" x14ac:dyDescent="0.25">
      <c r="A138" s="17">
        <f t="shared" si="2"/>
        <v>137</v>
      </c>
      <c r="B138" s="87">
        <v>43077</v>
      </c>
      <c r="C138" s="12" t="s">
        <v>24</v>
      </c>
      <c r="D138" s="12" t="s">
        <v>25</v>
      </c>
      <c r="E138" s="12" t="s">
        <v>35</v>
      </c>
      <c r="F138" s="12" t="s">
        <v>28</v>
      </c>
      <c r="G138" s="13">
        <v>300</v>
      </c>
      <c r="H138" s="13">
        <v>1</v>
      </c>
      <c r="I138" s="13">
        <v>10</v>
      </c>
      <c r="J138" s="14">
        <v>0</v>
      </c>
      <c r="K138" s="17">
        <f>IFERROR(ROUND((fCaixa[[#This Row],[Venda]]/fCaixa[[#This Row],[Preço/Un.]]),0),0)</f>
        <v>300</v>
      </c>
      <c r="L138" s="15">
        <f>IFERROR((SUBSTITUTE(RIGHT(fCaixa[[#This Row],[Descrição]],3),"G","")*1 *fCaixa[[#This Row],[Qtd/Pães]]) / 1000,0)</f>
        <v>15</v>
      </c>
      <c r="M138" s="13">
        <f>IFERROR((((SUBSTITUTE(RIGHT(fCaixa[[#This Row],[Descrição]],3),"G","")*1) * fCaixa[[#This Row],[QTD Perdida]])/1000) *fCaixa[[#This Row],[Custo/KG.]],0)</f>
        <v>0</v>
      </c>
      <c r="N138" s="15">
        <f>IF(fCaixa[[#This Row],[Lançamento]]="RECEITA",(fCaixa[[#This Row],[QTD Perdida]]* (SUBSTITUTE(RIGHT(fCaixa[[#This Row],[Descrição]],3),"G","")*1))/1000,0)</f>
        <v>0</v>
      </c>
      <c r="O138" s="15">
        <f>fCaixa[[#This Row],[Qtd/Kg]]+fCaixa[[#This Row],[Qtd/Kg Perdido]]</f>
        <v>15</v>
      </c>
      <c r="P138" s="13">
        <f>IF(fCaixa[[#This Row],[Lançamento]]="RECEITA",(fCaixa[[#This Row],[Qtd/Kg]]*fCaixa[[#This Row],[Custo/KG.]]),0)</f>
        <v>150</v>
      </c>
      <c r="Q138" s="34">
        <f>fCaixa[[#This Row],[Custoprimario]]+fCaixa[[#This Row],[Total Perdido]]</f>
        <v>150</v>
      </c>
      <c r="R138" s="16">
        <f>IFERROR(fCaixa[[#This Row],[Custoprimario]]/fCaixa[[#This Row],[Venda]],0)</f>
        <v>0.5</v>
      </c>
      <c r="S138" s="16">
        <f>IFERROR(fCaixa[[#This Row],[Custofinal]]/fCaixa[[#This Row],[Venda]],0)</f>
        <v>0.5</v>
      </c>
      <c r="T138" s="13">
        <f>IF(fCaixa[[#This Row],[Lançamento]]="RECEITA",fCaixa[[#This Row],[Venda]]-fCaixa[[#This Row],[Custoprimario]],0)</f>
        <v>150</v>
      </c>
      <c r="U138" s="16">
        <f>IFERROR(fCaixa[[#This Row],[Lucroprimario]]/fCaixa[[#This Row],[Venda]],0)</f>
        <v>0.5</v>
      </c>
      <c r="V13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150</v>
      </c>
      <c r="W138" s="16">
        <f>IFERROR(fCaixa[[#This Row],[Lucrofinal]]/fCaixa[[#This Row],[Venda]],0)</f>
        <v>0.5</v>
      </c>
    </row>
    <row r="139" spans="1:23" ht="16.5" hidden="1" x14ac:dyDescent="0.25">
      <c r="A139" s="17">
        <f t="shared" si="2"/>
        <v>138</v>
      </c>
      <c r="B139" s="87">
        <v>43080</v>
      </c>
      <c r="C139" s="12" t="s">
        <v>24</v>
      </c>
      <c r="D139" s="12" t="s">
        <v>25</v>
      </c>
      <c r="E139" s="12" t="s">
        <v>35</v>
      </c>
      <c r="F139" s="12" t="s">
        <v>28</v>
      </c>
      <c r="G139" s="13">
        <v>205</v>
      </c>
      <c r="H139" s="13">
        <v>1</v>
      </c>
      <c r="I139" s="13">
        <v>10</v>
      </c>
      <c r="J139" s="14">
        <v>15</v>
      </c>
      <c r="K139" s="17">
        <f>IFERROR(ROUND((fCaixa[[#This Row],[Venda]]/fCaixa[[#This Row],[Preço/Un.]]),0),0)</f>
        <v>205</v>
      </c>
      <c r="L139" s="15">
        <f>IFERROR((SUBSTITUTE(RIGHT(fCaixa[[#This Row],[Descrição]],3),"G","")*1 *fCaixa[[#This Row],[Qtd/Pães]]) / 1000,0)</f>
        <v>10.25</v>
      </c>
      <c r="M139" s="13">
        <f>IFERROR((((SUBSTITUTE(RIGHT(fCaixa[[#This Row],[Descrição]],3),"G","")*1) * fCaixa[[#This Row],[QTD Perdida]])/1000) *fCaixa[[#This Row],[Custo/KG.]],0)</f>
        <v>7.5</v>
      </c>
      <c r="N139" s="15">
        <f>IF(fCaixa[[#This Row],[Lançamento]]="RECEITA",(fCaixa[[#This Row],[QTD Perdida]]* (SUBSTITUTE(RIGHT(fCaixa[[#This Row],[Descrição]],3),"G","")*1))/1000,0)</f>
        <v>0.75</v>
      </c>
      <c r="O139" s="15">
        <f>fCaixa[[#This Row],[Qtd/Kg]]+fCaixa[[#This Row],[Qtd/Kg Perdido]]</f>
        <v>11</v>
      </c>
      <c r="P139" s="13">
        <f>IF(fCaixa[[#This Row],[Lançamento]]="RECEITA",(fCaixa[[#This Row],[Qtd/Kg]]*fCaixa[[#This Row],[Custo/KG.]]),0)</f>
        <v>102.5</v>
      </c>
      <c r="Q139" s="34">
        <f>fCaixa[[#This Row],[Custoprimario]]+fCaixa[[#This Row],[Total Perdido]]</f>
        <v>110</v>
      </c>
      <c r="R139" s="16">
        <f>IFERROR(fCaixa[[#This Row],[Custoprimario]]/fCaixa[[#This Row],[Venda]],0)</f>
        <v>0.5</v>
      </c>
      <c r="S139" s="16">
        <f>IFERROR(fCaixa[[#This Row],[Custofinal]]/fCaixa[[#This Row],[Venda]],0)</f>
        <v>0.53658536585365857</v>
      </c>
      <c r="T139" s="13">
        <f>IF(fCaixa[[#This Row],[Lançamento]]="RECEITA",fCaixa[[#This Row],[Venda]]-fCaixa[[#This Row],[Custoprimario]],0)</f>
        <v>102.5</v>
      </c>
      <c r="U139" s="16">
        <f>IFERROR(fCaixa[[#This Row],[Lucroprimario]]/fCaixa[[#This Row],[Venda]],0)</f>
        <v>0.5</v>
      </c>
      <c r="V13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95</v>
      </c>
      <c r="W139" s="16">
        <f>IFERROR(fCaixa[[#This Row],[Lucrofinal]]/fCaixa[[#This Row],[Venda]],0)</f>
        <v>0.46341463414634149</v>
      </c>
    </row>
    <row r="140" spans="1:23" ht="16.5" hidden="1" x14ac:dyDescent="0.25">
      <c r="A140" s="17">
        <f t="shared" si="2"/>
        <v>139</v>
      </c>
      <c r="B140" s="87">
        <v>43081</v>
      </c>
      <c r="C140" s="12" t="s">
        <v>24</v>
      </c>
      <c r="D140" s="12" t="s">
        <v>25</v>
      </c>
      <c r="E140" s="12" t="s">
        <v>35</v>
      </c>
      <c r="F140" s="12" t="s">
        <v>28</v>
      </c>
      <c r="G140" s="13">
        <v>345</v>
      </c>
      <c r="H140" s="13">
        <v>1</v>
      </c>
      <c r="I140" s="13">
        <v>10</v>
      </c>
      <c r="J140" s="14">
        <v>3</v>
      </c>
      <c r="K140" s="17">
        <f>IFERROR(ROUND((fCaixa[[#This Row],[Venda]]/fCaixa[[#This Row],[Preço/Un.]]),0),0)</f>
        <v>345</v>
      </c>
      <c r="L140" s="15">
        <f>IFERROR((SUBSTITUTE(RIGHT(fCaixa[[#This Row],[Descrição]],3),"G","")*1 *fCaixa[[#This Row],[Qtd/Pães]]) / 1000,0)</f>
        <v>17.25</v>
      </c>
      <c r="M140" s="13">
        <f>IFERROR((((SUBSTITUTE(RIGHT(fCaixa[[#This Row],[Descrição]],3),"G","")*1) * fCaixa[[#This Row],[QTD Perdida]])/1000) *fCaixa[[#This Row],[Custo/KG.]],0)</f>
        <v>1.5</v>
      </c>
      <c r="N140" s="15">
        <f>IF(fCaixa[[#This Row],[Lançamento]]="RECEITA",(fCaixa[[#This Row],[QTD Perdida]]* (SUBSTITUTE(RIGHT(fCaixa[[#This Row],[Descrição]],3),"G","")*1))/1000,0)</f>
        <v>0.15</v>
      </c>
      <c r="O140" s="15">
        <f>fCaixa[[#This Row],[Qtd/Kg]]+fCaixa[[#This Row],[Qtd/Kg Perdido]]</f>
        <v>17.399999999999999</v>
      </c>
      <c r="P140" s="13">
        <f>IF(fCaixa[[#This Row],[Lançamento]]="RECEITA",(fCaixa[[#This Row],[Qtd/Kg]]*fCaixa[[#This Row],[Custo/KG.]]),0)</f>
        <v>172.5</v>
      </c>
      <c r="Q140" s="34">
        <f>fCaixa[[#This Row],[Custoprimario]]+fCaixa[[#This Row],[Total Perdido]]</f>
        <v>174</v>
      </c>
      <c r="R140" s="16">
        <f>IFERROR(fCaixa[[#This Row],[Custoprimario]]/fCaixa[[#This Row],[Venda]],0)</f>
        <v>0.5</v>
      </c>
      <c r="S140" s="16">
        <f>IFERROR(fCaixa[[#This Row],[Custofinal]]/fCaixa[[#This Row],[Venda]],0)</f>
        <v>0.5043478260869565</v>
      </c>
      <c r="T140" s="13">
        <f>IF(fCaixa[[#This Row],[Lançamento]]="RECEITA",fCaixa[[#This Row],[Venda]]-fCaixa[[#This Row],[Custoprimario]],0)</f>
        <v>172.5</v>
      </c>
      <c r="U140" s="16">
        <f>IFERROR(fCaixa[[#This Row],[Lucroprimario]]/fCaixa[[#This Row],[Venda]],0)</f>
        <v>0.5</v>
      </c>
      <c r="V14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171</v>
      </c>
      <c r="W140" s="16">
        <f>IFERROR(fCaixa[[#This Row],[Lucrofinal]]/fCaixa[[#This Row],[Venda]],0)</f>
        <v>0.4956521739130435</v>
      </c>
    </row>
    <row r="141" spans="1:23" ht="16.5" hidden="1" x14ac:dyDescent="0.25">
      <c r="A141" s="17">
        <f t="shared" si="2"/>
        <v>140</v>
      </c>
      <c r="B141" s="87">
        <v>43082</v>
      </c>
      <c r="C141" s="12" t="s">
        <v>24</v>
      </c>
      <c r="D141" s="12" t="s">
        <v>25</v>
      </c>
      <c r="E141" s="12" t="s">
        <v>35</v>
      </c>
      <c r="F141" s="12" t="s">
        <v>28</v>
      </c>
      <c r="G141" s="13">
        <v>215</v>
      </c>
      <c r="H141" s="13">
        <v>1</v>
      </c>
      <c r="I141" s="13">
        <v>10</v>
      </c>
      <c r="J141" s="14">
        <v>6</v>
      </c>
      <c r="K141" s="17">
        <f>IFERROR(ROUND((fCaixa[[#This Row],[Venda]]/fCaixa[[#This Row],[Preço/Un.]]),0),0)</f>
        <v>215</v>
      </c>
      <c r="L141" s="15">
        <f>IFERROR((SUBSTITUTE(RIGHT(fCaixa[[#This Row],[Descrição]],3),"G","")*1 *fCaixa[[#This Row],[Qtd/Pães]]) / 1000,0)</f>
        <v>10.75</v>
      </c>
      <c r="M141" s="13">
        <f>IFERROR((((SUBSTITUTE(RIGHT(fCaixa[[#This Row],[Descrição]],3),"G","")*1) * fCaixa[[#This Row],[QTD Perdida]])/1000) *fCaixa[[#This Row],[Custo/KG.]],0)</f>
        <v>3</v>
      </c>
      <c r="N141" s="15">
        <f>IF(fCaixa[[#This Row],[Lançamento]]="RECEITA",(fCaixa[[#This Row],[QTD Perdida]]* (SUBSTITUTE(RIGHT(fCaixa[[#This Row],[Descrição]],3),"G","")*1))/1000,0)</f>
        <v>0.3</v>
      </c>
      <c r="O141" s="15">
        <f>fCaixa[[#This Row],[Qtd/Kg]]+fCaixa[[#This Row],[Qtd/Kg Perdido]]</f>
        <v>11.05</v>
      </c>
      <c r="P141" s="13">
        <f>IF(fCaixa[[#This Row],[Lançamento]]="RECEITA",(fCaixa[[#This Row],[Qtd/Kg]]*fCaixa[[#This Row],[Custo/KG.]]),0)</f>
        <v>107.5</v>
      </c>
      <c r="Q141" s="34">
        <f>fCaixa[[#This Row],[Custoprimario]]+fCaixa[[#This Row],[Total Perdido]]</f>
        <v>110.5</v>
      </c>
      <c r="R141" s="16">
        <f>IFERROR(fCaixa[[#This Row],[Custoprimario]]/fCaixa[[#This Row],[Venda]],0)</f>
        <v>0.5</v>
      </c>
      <c r="S141" s="16">
        <f>IFERROR(fCaixa[[#This Row],[Custofinal]]/fCaixa[[#This Row],[Venda]],0)</f>
        <v>0.51395348837209298</v>
      </c>
      <c r="T141" s="13">
        <f>IF(fCaixa[[#This Row],[Lançamento]]="RECEITA",fCaixa[[#This Row],[Venda]]-fCaixa[[#This Row],[Custoprimario]],0)</f>
        <v>107.5</v>
      </c>
      <c r="U141" s="16">
        <f>IFERROR(fCaixa[[#This Row],[Lucroprimario]]/fCaixa[[#This Row],[Venda]],0)</f>
        <v>0.5</v>
      </c>
      <c r="V14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104.5</v>
      </c>
      <c r="W141" s="16">
        <f>IFERROR(fCaixa[[#This Row],[Lucrofinal]]/fCaixa[[#This Row],[Venda]],0)</f>
        <v>0.48604651162790696</v>
      </c>
    </row>
    <row r="142" spans="1:23" ht="16.5" hidden="1" x14ac:dyDescent="0.25">
      <c r="A142" s="17">
        <f t="shared" si="2"/>
        <v>141</v>
      </c>
      <c r="B142" s="87">
        <v>43083</v>
      </c>
      <c r="C142" s="12" t="s">
        <v>24</v>
      </c>
      <c r="D142" s="12" t="s">
        <v>25</v>
      </c>
      <c r="E142" s="12" t="s">
        <v>35</v>
      </c>
      <c r="F142" s="12" t="s">
        <v>28</v>
      </c>
      <c r="G142" s="13">
        <v>110</v>
      </c>
      <c r="H142" s="13">
        <v>1</v>
      </c>
      <c r="I142" s="13">
        <v>10</v>
      </c>
      <c r="J142" s="14">
        <v>9</v>
      </c>
      <c r="K142" s="17">
        <f>IFERROR(ROUND((fCaixa[[#This Row],[Venda]]/fCaixa[[#This Row],[Preço/Un.]]),0),0)</f>
        <v>110</v>
      </c>
      <c r="L142" s="15">
        <f>IFERROR((SUBSTITUTE(RIGHT(fCaixa[[#This Row],[Descrição]],3),"G","")*1 *fCaixa[[#This Row],[Qtd/Pães]]) / 1000,0)</f>
        <v>5.5</v>
      </c>
      <c r="M142" s="13">
        <f>IFERROR((((SUBSTITUTE(RIGHT(fCaixa[[#This Row],[Descrição]],3),"G","")*1) * fCaixa[[#This Row],[QTD Perdida]])/1000) *fCaixa[[#This Row],[Custo/KG.]],0)</f>
        <v>4.5</v>
      </c>
      <c r="N142" s="15">
        <f>IF(fCaixa[[#This Row],[Lançamento]]="RECEITA",(fCaixa[[#This Row],[QTD Perdida]]* (SUBSTITUTE(RIGHT(fCaixa[[#This Row],[Descrição]],3),"G","")*1))/1000,0)</f>
        <v>0.45</v>
      </c>
      <c r="O142" s="15">
        <f>fCaixa[[#This Row],[Qtd/Kg]]+fCaixa[[#This Row],[Qtd/Kg Perdido]]</f>
        <v>5.95</v>
      </c>
      <c r="P142" s="13">
        <f>IF(fCaixa[[#This Row],[Lançamento]]="RECEITA",(fCaixa[[#This Row],[Qtd/Kg]]*fCaixa[[#This Row],[Custo/KG.]]),0)</f>
        <v>55</v>
      </c>
      <c r="Q142" s="34">
        <f>fCaixa[[#This Row],[Custoprimario]]+fCaixa[[#This Row],[Total Perdido]]</f>
        <v>59.5</v>
      </c>
      <c r="R142" s="16">
        <f>IFERROR(fCaixa[[#This Row],[Custoprimario]]/fCaixa[[#This Row],[Venda]],0)</f>
        <v>0.5</v>
      </c>
      <c r="S142" s="16">
        <f>IFERROR(fCaixa[[#This Row],[Custofinal]]/fCaixa[[#This Row],[Venda]],0)</f>
        <v>0.54090909090909089</v>
      </c>
      <c r="T142" s="13">
        <f>IF(fCaixa[[#This Row],[Lançamento]]="RECEITA",fCaixa[[#This Row],[Venda]]-fCaixa[[#This Row],[Custoprimario]],0)</f>
        <v>55</v>
      </c>
      <c r="U142" s="16">
        <f>IFERROR(fCaixa[[#This Row],[Lucroprimario]]/fCaixa[[#This Row],[Venda]],0)</f>
        <v>0.5</v>
      </c>
      <c r="V14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50.5</v>
      </c>
      <c r="W142" s="16">
        <f>IFERROR(fCaixa[[#This Row],[Lucrofinal]]/fCaixa[[#This Row],[Venda]],0)</f>
        <v>0.45909090909090911</v>
      </c>
    </row>
    <row r="143" spans="1:23" ht="16.5" hidden="1" x14ac:dyDescent="0.25">
      <c r="A143" s="17">
        <f t="shared" si="2"/>
        <v>142</v>
      </c>
      <c r="B143" s="87">
        <v>43084</v>
      </c>
      <c r="C143" s="12" t="s">
        <v>24</v>
      </c>
      <c r="D143" s="12" t="s">
        <v>25</v>
      </c>
      <c r="E143" s="12" t="s">
        <v>35</v>
      </c>
      <c r="F143" s="12" t="s">
        <v>28</v>
      </c>
      <c r="G143" s="13">
        <v>135</v>
      </c>
      <c r="H143" s="13">
        <v>1</v>
      </c>
      <c r="I143" s="13">
        <v>10</v>
      </c>
      <c r="J143" s="14">
        <v>0</v>
      </c>
      <c r="K143" s="17">
        <f>IFERROR(ROUND((fCaixa[[#This Row],[Venda]]/fCaixa[[#This Row],[Preço/Un.]]),0),0)</f>
        <v>135</v>
      </c>
      <c r="L143" s="15">
        <f>IFERROR((SUBSTITUTE(RIGHT(fCaixa[[#This Row],[Descrição]],3),"G","")*1 *fCaixa[[#This Row],[Qtd/Pães]]) / 1000,0)</f>
        <v>6.75</v>
      </c>
      <c r="M143" s="13">
        <f>IFERROR((((SUBSTITUTE(RIGHT(fCaixa[[#This Row],[Descrição]],3),"G","")*1) * fCaixa[[#This Row],[QTD Perdida]])/1000) *fCaixa[[#This Row],[Custo/KG.]],0)</f>
        <v>0</v>
      </c>
      <c r="N143" s="15">
        <f>IF(fCaixa[[#This Row],[Lançamento]]="RECEITA",(fCaixa[[#This Row],[QTD Perdida]]* (SUBSTITUTE(RIGHT(fCaixa[[#This Row],[Descrição]],3),"G","")*1))/1000,0)</f>
        <v>0</v>
      </c>
      <c r="O143" s="15">
        <f>fCaixa[[#This Row],[Qtd/Kg]]+fCaixa[[#This Row],[Qtd/Kg Perdido]]</f>
        <v>6.75</v>
      </c>
      <c r="P143" s="13">
        <f>IF(fCaixa[[#This Row],[Lançamento]]="RECEITA",(fCaixa[[#This Row],[Qtd/Kg]]*fCaixa[[#This Row],[Custo/KG.]]),0)</f>
        <v>67.5</v>
      </c>
      <c r="Q143" s="34">
        <f>fCaixa[[#This Row],[Custoprimario]]+fCaixa[[#This Row],[Total Perdido]]</f>
        <v>67.5</v>
      </c>
      <c r="R143" s="16">
        <f>IFERROR(fCaixa[[#This Row],[Custoprimario]]/fCaixa[[#This Row],[Venda]],0)</f>
        <v>0.5</v>
      </c>
      <c r="S143" s="16">
        <f>IFERROR(fCaixa[[#This Row],[Custofinal]]/fCaixa[[#This Row],[Venda]],0)</f>
        <v>0.5</v>
      </c>
      <c r="T143" s="13">
        <f>IF(fCaixa[[#This Row],[Lançamento]]="RECEITA",fCaixa[[#This Row],[Venda]]-fCaixa[[#This Row],[Custoprimario]],0)</f>
        <v>67.5</v>
      </c>
      <c r="U143" s="16">
        <f>IFERROR(fCaixa[[#This Row],[Lucroprimario]]/fCaixa[[#This Row],[Venda]],0)</f>
        <v>0.5</v>
      </c>
      <c r="V14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67.5</v>
      </c>
      <c r="W143" s="16">
        <f>IFERROR(fCaixa[[#This Row],[Lucrofinal]]/fCaixa[[#This Row],[Venda]],0)</f>
        <v>0.5</v>
      </c>
    </row>
    <row r="144" spans="1:23" ht="16.5" hidden="1" x14ac:dyDescent="0.25">
      <c r="A144" s="17">
        <f t="shared" si="2"/>
        <v>143</v>
      </c>
      <c r="B144" s="87">
        <v>43084</v>
      </c>
      <c r="C144" s="12" t="s">
        <v>29</v>
      </c>
      <c r="D144" s="12" t="s">
        <v>25</v>
      </c>
      <c r="E144" s="12" t="s">
        <v>33</v>
      </c>
      <c r="F144" s="12" t="s">
        <v>28</v>
      </c>
      <c r="G144" s="13">
        <v>136</v>
      </c>
      <c r="H144" s="13">
        <v>0</v>
      </c>
      <c r="I144" s="13">
        <v>0</v>
      </c>
      <c r="J144" s="14">
        <v>0</v>
      </c>
      <c r="K144" s="17">
        <f>IFERROR(ROUND((fCaixa[[#This Row],[Venda]]/fCaixa[[#This Row],[Preço/Un.]]),0),0)</f>
        <v>0</v>
      </c>
      <c r="L144" s="15">
        <f>IFERROR((SUBSTITUTE(RIGHT(fCaixa[[#This Row],[Descrição]],3),"G","")*1 *fCaixa[[#This Row],[Qtd/Pães]]) / 1000,0)</f>
        <v>0</v>
      </c>
      <c r="M144" s="13">
        <f>IFERROR((((SUBSTITUTE(RIGHT(fCaixa[[#This Row],[Descrição]],3),"G","")*1) * fCaixa[[#This Row],[QTD Perdida]])/1000) *fCaixa[[#This Row],[Custo/KG.]],0)</f>
        <v>0</v>
      </c>
      <c r="N144" s="15">
        <f>IF(fCaixa[[#This Row],[Lançamento]]="RECEITA",(fCaixa[[#This Row],[QTD Perdida]]* (SUBSTITUTE(RIGHT(fCaixa[[#This Row],[Descrição]],3),"G","")*1))/1000,0)</f>
        <v>0</v>
      </c>
      <c r="O144" s="15">
        <f>fCaixa[[#This Row],[Qtd/Kg]]+fCaixa[[#This Row],[Qtd/Kg Perdido]]</f>
        <v>0</v>
      </c>
      <c r="P144" s="13">
        <f>IF(fCaixa[[#This Row],[Lançamento]]="RECEITA",(fCaixa[[#This Row],[Qtd/Kg]]*fCaixa[[#This Row],[Custo/KG.]]),0)</f>
        <v>0</v>
      </c>
      <c r="Q144" s="34">
        <f>fCaixa[[#This Row],[Custoprimario]]+fCaixa[[#This Row],[Total Perdido]]</f>
        <v>0</v>
      </c>
      <c r="R144" s="16">
        <f>IFERROR(fCaixa[[#This Row],[Custoprimario]]/fCaixa[[#This Row],[Venda]],0)</f>
        <v>0</v>
      </c>
      <c r="S144" s="16">
        <f>IFERROR(fCaixa[[#This Row],[Custofinal]]/fCaixa[[#This Row],[Venda]],0)</f>
        <v>0</v>
      </c>
      <c r="T144" s="13">
        <f>IF(fCaixa[[#This Row],[Lançamento]]="RECEITA",fCaixa[[#This Row],[Venda]]-fCaixa[[#This Row],[Custoprimario]],0)</f>
        <v>0</v>
      </c>
      <c r="U144" s="16">
        <f>IFERROR(fCaixa[[#This Row],[Lucroprimario]]/fCaixa[[#This Row],[Venda]],0)</f>
        <v>0</v>
      </c>
      <c r="V14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44" s="16">
        <f>IFERROR(fCaixa[[#This Row],[Lucrofinal]]/fCaixa[[#This Row],[Venda]],0)</f>
        <v>0</v>
      </c>
    </row>
    <row r="145" spans="1:23" ht="16.5" hidden="1" x14ac:dyDescent="0.25">
      <c r="A145" s="17">
        <f t="shared" si="2"/>
        <v>144</v>
      </c>
      <c r="B145" s="87">
        <v>43087</v>
      </c>
      <c r="C145" s="12" t="s">
        <v>24</v>
      </c>
      <c r="D145" s="12" t="s">
        <v>25</v>
      </c>
      <c r="E145" s="12" t="s">
        <v>35</v>
      </c>
      <c r="F145" s="12" t="s">
        <v>28</v>
      </c>
      <c r="G145" s="13">
        <v>180</v>
      </c>
      <c r="H145" s="13">
        <v>1</v>
      </c>
      <c r="I145" s="13">
        <v>10</v>
      </c>
      <c r="J145" s="14">
        <v>2</v>
      </c>
      <c r="K145" s="17">
        <f>IFERROR(ROUND((fCaixa[[#This Row],[Venda]]/fCaixa[[#This Row],[Preço/Un.]]),0),0)</f>
        <v>180</v>
      </c>
      <c r="L145" s="15">
        <f>IFERROR((SUBSTITUTE(RIGHT(fCaixa[[#This Row],[Descrição]],3),"G","")*1 *fCaixa[[#This Row],[Qtd/Pães]]) / 1000,0)</f>
        <v>9</v>
      </c>
      <c r="M145" s="13">
        <f>IFERROR((((SUBSTITUTE(RIGHT(fCaixa[[#This Row],[Descrição]],3),"G","")*1) * fCaixa[[#This Row],[QTD Perdida]])/1000) *fCaixa[[#This Row],[Custo/KG.]],0)</f>
        <v>1</v>
      </c>
      <c r="N145" s="15">
        <f>IF(fCaixa[[#This Row],[Lançamento]]="RECEITA",(fCaixa[[#This Row],[QTD Perdida]]* (SUBSTITUTE(RIGHT(fCaixa[[#This Row],[Descrição]],3),"G","")*1))/1000,0)</f>
        <v>0.1</v>
      </c>
      <c r="O145" s="15">
        <f>fCaixa[[#This Row],[Qtd/Kg]]+fCaixa[[#This Row],[Qtd/Kg Perdido]]</f>
        <v>9.1</v>
      </c>
      <c r="P145" s="13">
        <f>IF(fCaixa[[#This Row],[Lançamento]]="RECEITA",(fCaixa[[#This Row],[Qtd/Kg]]*fCaixa[[#This Row],[Custo/KG.]]),0)</f>
        <v>90</v>
      </c>
      <c r="Q145" s="34">
        <f>fCaixa[[#This Row],[Custoprimario]]+fCaixa[[#This Row],[Total Perdido]]</f>
        <v>91</v>
      </c>
      <c r="R145" s="16">
        <f>IFERROR(fCaixa[[#This Row],[Custoprimario]]/fCaixa[[#This Row],[Venda]],0)</f>
        <v>0.5</v>
      </c>
      <c r="S145" s="16">
        <f>IFERROR(fCaixa[[#This Row],[Custofinal]]/fCaixa[[#This Row],[Venda]],0)</f>
        <v>0.50555555555555554</v>
      </c>
      <c r="T145" s="13">
        <f>IF(fCaixa[[#This Row],[Lançamento]]="RECEITA",fCaixa[[#This Row],[Venda]]-fCaixa[[#This Row],[Custoprimario]],0)</f>
        <v>90</v>
      </c>
      <c r="U145" s="16">
        <f>IFERROR(fCaixa[[#This Row],[Lucroprimario]]/fCaixa[[#This Row],[Venda]],0)</f>
        <v>0.5</v>
      </c>
      <c r="V14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89</v>
      </c>
      <c r="W145" s="16">
        <f>IFERROR(fCaixa[[#This Row],[Lucrofinal]]/fCaixa[[#This Row],[Venda]],0)</f>
        <v>0.49444444444444446</v>
      </c>
    </row>
    <row r="146" spans="1:23" ht="16.5" hidden="1" x14ac:dyDescent="0.25">
      <c r="A146" s="17">
        <f t="shared" si="2"/>
        <v>145</v>
      </c>
      <c r="B146" s="87">
        <v>43088</v>
      </c>
      <c r="C146" s="12" t="s">
        <v>24</v>
      </c>
      <c r="D146" s="12" t="s">
        <v>25</v>
      </c>
      <c r="E146" s="12" t="s">
        <v>35</v>
      </c>
      <c r="F146" s="12" t="s">
        <v>28</v>
      </c>
      <c r="G146" s="13">
        <v>110</v>
      </c>
      <c r="H146" s="13">
        <v>1</v>
      </c>
      <c r="I146" s="13">
        <v>10</v>
      </c>
      <c r="J146" s="14">
        <v>25</v>
      </c>
      <c r="K146" s="17">
        <f>IFERROR(ROUND((fCaixa[[#This Row],[Venda]]/fCaixa[[#This Row],[Preço/Un.]]),0),0)</f>
        <v>110</v>
      </c>
      <c r="L146" s="15">
        <f>IFERROR((SUBSTITUTE(RIGHT(fCaixa[[#This Row],[Descrição]],3),"G","")*1 *fCaixa[[#This Row],[Qtd/Pães]]) / 1000,0)</f>
        <v>5.5</v>
      </c>
      <c r="M146" s="13">
        <f>IFERROR((((SUBSTITUTE(RIGHT(fCaixa[[#This Row],[Descrição]],3),"G","")*1) * fCaixa[[#This Row],[QTD Perdida]])/1000) *fCaixa[[#This Row],[Custo/KG.]],0)</f>
        <v>12.5</v>
      </c>
      <c r="N146" s="15">
        <f>IF(fCaixa[[#This Row],[Lançamento]]="RECEITA",(fCaixa[[#This Row],[QTD Perdida]]* (SUBSTITUTE(RIGHT(fCaixa[[#This Row],[Descrição]],3),"G","")*1))/1000,0)</f>
        <v>1.25</v>
      </c>
      <c r="O146" s="15">
        <f>fCaixa[[#This Row],[Qtd/Kg]]+fCaixa[[#This Row],[Qtd/Kg Perdido]]</f>
        <v>6.75</v>
      </c>
      <c r="P146" s="13">
        <f>IF(fCaixa[[#This Row],[Lançamento]]="RECEITA",(fCaixa[[#This Row],[Qtd/Kg]]*fCaixa[[#This Row],[Custo/KG.]]),0)</f>
        <v>55</v>
      </c>
      <c r="Q146" s="34">
        <f>fCaixa[[#This Row],[Custoprimario]]+fCaixa[[#This Row],[Total Perdido]]</f>
        <v>67.5</v>
      </c>
      <c r="R146" s="16">
        <f>IFERROR(fCaixa[[#This Row],[Custoprimario]]/fCaixa[[#This Row],[Venda]],0)</f>
        <v>0.5</v>
      </c>
      <c r="S146" s="16">
        <f>IFERROR(fCaixa[[#This Row],[Custofinal]]/fCaixa[[#This Row],[Venda]],0)</f>
        <v>0.61363636363636365</v>
      </c>
      <c r="T146" s="13">
        <f>IF(fCaixa[[#This Row],[Lançamento]]="RECEITA",fCaixa[[#This Row],[Venda]]-fCaixa[[#This Row],[Custoprimario]],0)</f>
        <v>55</v>
      </c>
      <c r="U146" s="16">
        <f>IFERROR(fCaixa[[#This Row],[Lucroprimario]]/fCaixa[[#This Row],[Venda]],0)</f>
        <v>0.5</v>
      </c>
      <c r="V14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42.5</v>
      </c>
      <c r="W146" s="16">
        <f>IFERROR(fCaixa[[#This Row],[Lucrofinal]]/fCaixa[[#This Row],[Venda]],0)</f>
        <v>0.38636363636363635</v>
      </c>
    </row>
    <row r="147" spans="1:23" ht="16.5" hidden="1" x14ac:dyDescent="0.25">
      <c r="A147" s="17">
        <f t="shared" si="2"/>
        <v>146</v>
      </c>
      <c r="B147" s="87">
        <v>43089</v>
      </c>
      <c r="C147" s="12" t="s">
        <v>24</v>
      </c>
      <c r="D147" s="12" t="s">
        <v>25</v>
      </c>
      <c r="E147" s="12" t="s">
        <v>35</v>
      </c>
      <c r="F147" s="12" t="s">
        <v>28</v>
      </c>
      <c r="G147" s="13">
        <v>74</v>
      </c>
      <c r="H147" s="13">
        <v>1</v>
      </c>
      <c r="I147" s="13">
        <v>10</v>
      </c>
      <c r="J147" s="14">
        <v>6</v>
      </c>
      <c r="K147" s="17">
        <f>IFERROR(ROUND((fCaixa[[#This Row],[Venda]]/fCaixa[[#This Row],[Preço/Un.]]),0),0)</f>
        <v>74</v>
      </c>
      <c r="L147" s="15">
        <f>IFERROR((SUBSTITUTE(RIGHT(fCaixa[[#This Row],[Descrição]],3),"G","")*1 *fCaixa[[#This Row],[Qtd/Pães]]) / 1000,0)</f>
        <v>3.7</v>
      </c>
      <c r="M147" s="13">
        <f>IFERROR((((SUBSTITUTE(RIGHT(fCaixa[[#This Row],[Descrição]],3),"G","")*1) * fCaixa[[#This Row],[QTD Perdida]])/1000) *fCaixa[[#This Row],[Custo/KG.]],0)</f>
        <v>3</v>
      </c>
      <c r="N147" s="15">
        <f>IF(fCaixa[[#This Row],[Lançamento]]="RECEITA",(fCaixa[[#This Row],[QTD Perdida]]* (SUBSTITUTE(RIGHT(fCaixa[[#This Row],[Descrição]],3),"G","")*1))/1000,0)</f>
        <v>0.3</v>
      </c>
      <c r="O147" s="15">
        <f>fCaixa[[#This Row],[Qtd/Kg]]+fCaixa[[#This Row],[Qtd/Kg Perdido]]</f>
        <v>4</v>
      </c>
      <c r="P147" s="13">
        <f>IF(fCaixa[[#This Row],[Lançamento]]="RECEITA",(fCaixa[[#This Row],[Qtd/Kg]]*fCaixa[[#This Row],[Custo/KG.]]),0)</f>
        <v>37</v>
      </c>
      <c r="Q147" s="34">
        <f>fCaixa[[#This Row],[Custoprimario]]+fCaixa[[#This Row],[Total Perdido]]</f>
        <v>40</v>
      </c>
      <c r="R147" s="16">
        <f>IFERROR(fCaixa[[#This Row],[Custoprimario]]/fCaixa[[#This Row],[Venda]],0)</f>
        <v>0.5</v>
      </c>
      <c r="S147" s="16">
        <f>IFERROR(fCaixa[[#This Row],[Custofinal]]/fCaixa[[#This Row],[Venda]],0)</f>
        <v>0.54054054054054057</v>
      </c>
      <c r="T147" s="13">
        <f>IF(fCaixa[[#This Row],[Lançamento]]="RECEITA",fCaixa[[#This Row],[Venda]]-fCaixa[[#This Row],[Custoprimario]],0)</f>
        <v>37</v>
      </c>
      <c r="U147" s="16">
        <f>IFERROR(fCaixa[[#This Row],[Lucroprimario]]/fCaixa[[#This Row],[Venda]],0)</f>
        <v>0.5</v>
      </c>
      <c r="V14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34</v>
      </c>
      <c r="W147" s="16">
        <f>IFERROR(fCaixa[[#This Row],[Lucrofinal]]/fCaixa[[#This Row],[Venda]],0)</f>
        <v>0.45945945945945948</v>
      </c>
    </row>
    <row r="148" spans="1:23" ht="16.5" hidden="1" x14ac:dyDescent="0.25">
      <c r="A148" s="17">
        <f t="shared" si="2"/>
        <v>147</v>
      </c>
      <c r="B148" s="87">
        <v>43091</v>
      </c>
      <c r="C148" s="12" t="s">
        <v>24</v>
      </c>
      <c r="D148" s="12" t="s">
        <v>25</v>
      </c>
      <c r="E148" s="12" t="s">
        <v>35</v>
      </c>
      <c r="F148" s="12" t="s">
        <v>28</v>
      </c>
      <c r="G148" s="13">
        <v>231</v>
      </c>
      <c r="H148" s="13">
        <v>1</v>
      </c>
      <c r="I148" s="13">
        <v>10</v>
      </c>
      <c r="J148" s="14">
        <v>0</v>
      </c>
      <c r="K148" s="17">
        <f>IFERROR(ROUND((fCaixa[[#This Row],[Venda]]/fCaixa[[#This Row],[Preço/Un.]]),0),0)</f>
        <v>231</v>
      </c>
      <c r="L148" s="15">
        <f>IFERROR((SUBSTITUTE(RIGHT(fCaixa[[#This Row],[Descrição]],3),"G","")*1 *fCaixa[[#This Row],[Qtd/Pães]]) / 1000,0)</f>
        <v>11.55</v>
      </c>
      <c r="M148" s="13">
        <f>IFERROR((((SUBSTITUTE(RIGHT(fCaixa[[#This Row],[Descrição]],3),"G","")*1) * fCaixa[[#This Row],[QTD Perdida]])/1000) *fCaixa[[#This Row],[Custo/KG.]],0)</f>
        <v>0</v>
      </c>
      <c r="N148" s="15">
        <f>IF(fCaixa[[#This Row],[Lançamento]]="RECEITA",(fCaixa[[#This Row],[QTD Perdida]]* (SUBSTITUTE(RIGHT(fCaixa[[#This Row],[Descrição]],3),"G","")*1))/1000,0)</f>
        <v>0</v>
      </c>
      <c r="O148" s="15">
        <f>fCaixa[[#This Row],[Qtd/Kg]]+fCaixa[[#This Row],[Qtd/Kg Perdido]]</f>
        <v>11.55</v>
      </c>
      <c r="P148" s="13">
        <f>IF(fCaixa[[#This Row],[Lançamento]]="RECEITA",(fCaixa[[#This Row],[Qtd/Kg]]*fCaixa[[#This Row],[Custo/KG.]]),0)</f>
        <v>115.5</v>
      </c>
      <c r="Q148" s="34">
        <f>fCaixa[[#This Row],[Custoprimario]]+fCaixa[[#This Row],[Total Perdido]]</f>
        <v>115.5</v>
      </c>
      <c r="R148" s="16">
        <f>IFERROR(fCaixa[[#This Row],[Custoprimario]]/fCaixa[[#This Row],[Venda]],0)</f>
        <v>0.5</v>
      </c>
      <c r="S148" s="16">
        <f>IFERROR(fCaixa[[#This Row],[Custofinal]]/fCaixa[[#This Row],[Venda]],0)</f>
        <v>0.5</v>
      </c>
      <c r="T148" s="13">
        <f>IF(fCaixa[[#This Row],[Lançamento]]="RECEITA",fCaixa[[#This Row],[Venda]]-fCaixa[[#This Row],[Custoprimario]],0)</f>
        <v>115.5</v>
      </c>
      <c r="U148" s="16">
        <f>IFERROR(fCaixa[[#This Row],[Lucroprimario]]/fCaixa[[#This Row],[Venda]],0)</f>
        <v>0.5</v>
      </c>
      <c r="V14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115.5</v>
      </c>
      <c r="W148" s="16">
        <f>IFERROR(fCaixa[[#This Row],[Lucrofinal]]/fCaixa[[#This Row],[Venda]],0)</f>
        <v>0.5</v>
      </c>
    </row>
    <row r="149" spans="1:23" ht="16.5" hidden="1" x14ac:dyDescent="0.25">
      <c r="A149" s="17">
        <f t="shared" si="2"/>
        <v>148</v>
      </c>
      <c r="B149" s="87">
        <v>43095</v>
      </c>
      <c r="C149" s="12" t="s">
        <v>24</v>
      </c>
      <c r="D149" s="12" t="s">
        <v>25</v>
      </c>
      <c r="E149" s="12" t="s">
        <v>35</v>
      </c>
      <c r="F149" s="12" t="s">
        <v>28</v>
      </c>
      <c r="G149" s="13">
        <v>135</v>
      </c>
      <c r="H149" s="13">
        <v>1</v>
      </c>
      <c r="I149" s="13">
        <v>10</v>
      </c>
      <c r="J149" s="14">
        <v>0</v>
      </c>
      <c r="K149" s="17">
        <f>IFERROR(ROUND((fCaixa[[#This Row],[Venda]]/fCaixa[[#This Row],[Preço/Un.]]),0),0)</f>
        <v>135</v>
      </c>
      <c r="L149" s="15">
        <f>IFERROR((SUBSTITUTE(RIGHT(fCaixa[[#This Row],[Descrição]],3),"G","")*1 *fCaixa[[#This Row],[Qtd/Pães]]) / 1000,0)</f>
        <v>6.75</v>
      </c>
      <c r="M149" s="13">
        <f>IFERROR((((SUBSTITUTE(RIGHT(fCaixa[[#This Row],[Descrição]],3),"G","")*1) * fCaixa[[#This Row],[QTD Perdida]])/1000) *fCaixa[[#This Row],[Custo/KG.]],0)</f>
        <v>0</v>
      </c>
      <c r="N149" s="15">
        <f>IF(fCaixa[[#This Row],[Lançamento]]="RECEITA",(fCaixa[[#This Row],[QTD Perdida]]* (SUBSTITUTE(RIGHT(fCaixa[[#This Row],[Descrição]],3),"G","")*1))/1000,0)</f>
        <v>0</v>
      </c>
      <c r="O149" s="15">
        <f>fCaixa[[#This Row],[Qtd/Kg]]+fCaixa[[#This Row],[Qtd/Kg Perdido]]</f>
        <v>6.75</v>
      </c>
      <c r="P149" s="13">
        <f>IF(fCaixa[[#This Row],[Lançamento]]="RECEITA",(fCaixa[[#This Row],[Qtd/Kg]]*fCaixa[[#This Row],[Custo/KG.]]),0)</f>
        <v>67.5</v>
      </c>
      <c r="Q149" s="34">
        <f>fCaixa[[#This Row],[Custoprimario]]+fCaixa[[#This Row],[Total Perdido]]</f>
        <v>67.5</v>
      </c>
      <c r="R149" s="16">
        <f>IFERROR(fCaixa[[#This Row],[Custoprimario]]/fCaixa[[#This Row],[Venda]],0)</f>
        <v>0.5</v>
      </c>
      <c r="S149" s="16">
        <f>IFERROR(fCaixa[[#This Row],[Custofinal]]/fCaixa[[#This Row],[Venda]],0)</f>
        <v>0.5</v>
      </c>
      <c r="T149" s="13">
        <f>IF(fCaixa[[#This Row],[Lançamento]]="RECEITA",fCaixa[[#This Row],[Venda]]-fCaixa[[#This Row],[Custoprimario]],0)</f>
        <v>67.5</v>
      </c>
      <c r="U149" s="16">
        <f>IFERROR(fCaixa[[#This Row],[Lucroprimario]]/fCaixa[[#This Row],[Venda]],0)</f>
        <v>0.5</v>
      </c>
      <c r="V14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67.5</v>
      </c>
      <c r="W149" s="16">
        <f>IFERROR(fCaixa[[#This Row],[Lucrofinal]]/fCaixa[[#This Row],[Venda]],0)</f>
        <v>0.5</v>
      </c>
    </row>
    <row r="150" spans="1:23" ht="16.5" hidden="1" x14ac:dyDescent="0.25">
      <c r="A150" s="17">
        <f t="shared" si="2"/>
        <v>149</v>
      </c>
      <c r="B150" s="87">
        <v>43096</v>
      </c>
      <c r="C150" s="12" t="s">
        <v>24</v>
      </c>
      <c r="D150" s="12" t="s">
        <v>25</v>
      </c>
      <c r="E150" s="12" t="s">
        <v>35</v>
      </c>
      <c r="F150" s="12" t="s">
        <v>28</v>
      </c>
      <c r="G150" s="13">
        <v>120</v>
      </c>
      <c r="H150" s="13">
        <v>1</v>
      </c>
      <c r="I150" s="13">
        <v>10</v>
      </c>
      <c r="J150" s="14">
        <v>0</v>
      </c>
      <c r="K150" s="17">
        <f>IFERROR(ROUND((fCaixa[[#This Row],[Venda]]/fCaixa[[#This Row],[Preço/Un.]]),0),0)</f>
        <v>120</v>
      </c>
      <c r="L150" s="15">
        <f>IFERROR((SUBSTITUTE(RIGHT(fCaixa[[#This Row],[Descrição]],3),"G","")*1 *fCaixa[[#This Row],[Qtd/Pães]]) / 1000,0)</f>
        <v>6</v>
      </c>
      <c r="M150" s="13">
        <f>IFERROR((((SUBSTITUTE(RIGHT(fCaixa[[#This Row],[Descrição]],3),"G","")*1) * fCaixa[[#This Row],[QTD Perdida]])/1000) *fCaixa[[#This Row],[Custo/KG.]],0)</f>
        <v>0</v>
      </c>
      <c r="N150" s="15">
        <f>IF(fCaixa[[#This Row],[Lançamento]]="RECEITA",(fCaixa[[#This Row],[QTD Perdida]]* (SUBSTITUTE(RIGHT(fCaixa[[#This Row],[Descrição]],3),"G","")*1))/1000,0)</f>
        <v>0</v>
      </c>
      <c r="O150" s="15">
        <f>fCaixa[[#This Row],[Qtd/Kg]]+fCaixa[[#This Row],[Qtd/Kg Perdido]]</f>
        <v>6</v>
      </c>
      <c r="P150" s="13">
        <f>IF(fCaixa[[#This Row],[Lançamento]]="RECEITA",(fCaixa[[#This Row],[Qtd/Kg]]*fCaixa[[#This Row],[Custo/KG.]]),0)</f>
        <v>60</v>
      </c>
      <c r="Q150" s="34">
        <f>fCaixa[[#This Row],[Custoprimario]]+fCaixa[[#This Row],[Total Perdido]]</f>
        <v>60</v>
      </c>
      <c r="R150" s="16">
        <f>IFERROR(fCaixa[[#This Row],[Custoprimario]]/fCaixa[[#This Row],[Venda]],0)</f>
        <v>0.5</v>
      </c>
      <c r="S150" s="16">
        <f>IFERROR(fCaixa[[#This Row],[Custofinal]]/fCaixa[[#This Row],[Venda]],0)</f>
        <v>0.5</v>
      </c>
      <c r="T150" s="13">
        <f>IF(fCaixa[[#This Row],[Lançamento]]="RECEITA",fCaixa[[#This Row],[Venda]]-fCaixa[[#This Row],[Custoprimario]],0)</f>
        <v>60</v>
      </c>
      <c r="U150" s="16">
        <f>IFERROR(fCaixa[[#This Row],[Lucroprimario]]/fCaixa[[#This Row],[Venda]],0)</f>
        <v>0.5</v>
      </c>
      <c r="V15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60</v>
      </c>
      <c r="W150" s="16">
        <f>IFERROR(fCaixa[[#This Row],[Lucrofinal]]/fCaixa[[#This Row],[Venda]],0)</f>
        <v>0.5</v>
      </c>
    </row>
    <row r="151" spans="1:23" ht="16.5" hidden="1" x14ac:dyDescent="0.25">
      <c r="A151" s="17">
        <f t="shared" si="2"/>
        <v>150</v>
      </c>
      <c r="B151" s="87">
        <v>43102</v>
      </c>
      <c r="C151" s="12" t="s">
        <v>24</v>
      </c>
      <c r="D151" s="12" t="s">
        <v>25</v>
      </c>
      <c r="E151" s="12" t="s">
        <v>35</v>
      </c>
      <c r="F151" s="12" t="s">
        <v>28</v>
      </c>
      <c r="G151" s="13">
        <v>172</v>
      </c>
      <c r="H151" s="13">
        <v>1</v>
      </c>
      <c r="I151" s="13">
        <v>10</v>
      </c>
      <c r="J151" s="14">
        <v>3</v>
      </c>
      <c r="K151" s="17">
        <f>IFERROR(ROUND((fCaixa[[#This Row],[Venda]]/fCaixa[[#This Row],[Preço/Un.]]),0),0)</f>
        <v>172</v>
      </c>
      <c r="L151" s="15">
        <f>IFERROR((SUBSTITUTE(RIGHT(fCaixa[[#This Row],[Descrição]],3),"G","")*1 *fCaixa[[#This Row],[Qtd/Pães]]) / 1000,0)</f>
        <v>8.6</v>
      </c>
      <c r="M151" s="13">
        <f>IFERROR((((SUBSTITUTE(RIGHT(fCaixa[[#This Row],[Descrição]],3),"G","")*1) * fCaixa[[#This Row],[QTD Perdida]])/1000) *fCaixa[[#This Row],[Custo/KG.]],0)</f>
        <v>1.5</v>
      </c>
      <c r="N151" s="15">
        <f>IF(fCaixa[[#This Row],[Lançamento]]="RECEITA",(fCaixa[[#This Row],[QTD Perdida]]* (SUBSTITUTE(RIGHT(fCaixa[[#This Row],[Descrição]],3),"G","")*1))/1000,0)</f>
        <v>0.15</v>
      </c>
      <c r="O151" s="15">
        <f>fCaixa[[#This Row],[Qtd/Kg]]+fCaixa[[#This Row],[Qtd/Kg Perdido]]</f>
        <v>8.75</v>
      </c>
      <c r="P151" s="13">
        <f>IF(fCaixa[[#This Row],[Lançamento]]="RECEITA",(fCaixa[[#This Row],[Qtd/Kg]]*fCaixa[[#This Row],[Custo/KG.]]),0)</f>
        <v>86</v>
      </c>
      <c r="Q151" s="34">
        <f>fCaixa[[#This Row],[Custoprimario]]+fCaixa[[#This Row],[Total Perdido]]</f>
        <v>87.5</v>
      </c>
      <c r="R151" s="16">
        <f>IFERROR(fCaixa[[#This Row],[Custoprimario]]/fCaixa[[#This Row],[Venda]],0)</f>
        <v>0.5</v>
      </c>
      <c r="S151" s="16">
        <f>IFERROR(fCaixa[[#This Row],[Custofinal]]/fCaixa[[#This Row],[Venda]],0)</f>
        <v>0.50872093023255816</v>
      </c>
      <c r="T151" s="13">
        <f>IF(fCaixa[[#This Row],[Lançamento]]="RECEITA",fCaixa[[#This Row],[Venda]]-fCaixa[[#This Row],[Custoprimario]],0)</f>
        <v>86</v>
      </c>
      <c r="U151" s="16">
        <f>IFERROR(fCaixa[[#This Row],[Lucroprimario]]/fCaixa[[#This Row],[Venda]],0)</f>
        <v>0.5</v>
      </c>
      <c r="V15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84.5</v>
      </c>
      <c r="W151" s="16">
        <f>IFERROR(fCaixa[[#This Row],[Lucrofinal]]/fCaixa[[#This Row],[Venda]],0)</f>
        <v>0.49127906976744184</v>
      </c>
    </row>
    <row r="152" spans="1:23" ht="16.5" hidden="1" x14ac:dyDescent="0.25">
      <c r="A152" s="17">
        <f t="shared" si="2"/>
        <v>151</v>
      </c>
      <c r="B152" s="87">
        <v>43103</v>
      </c>
      <c r="C152" s="12" t="s">
        <v>24</v>
      </c>
      <c r="D152" s="12" t="s">
        <v>25</v>
      </c>
      <c r="E152" s="12" t="s">
        <v>35</v>
      </c>
      <c r="F152" s="12" t="s">
        <v>28</v>
      </c>
      <c r="G152" s="13">
        <v>136</v>
      </c>
      <c r="H152" s="13">
        <v>1</v>
      </c>
      <c r="I152" s="13">
        <v>10</v>
      </c>
      <c r="J152" s="14">
        <v>0</v>
      </c>
      <c r="K152" s="17">
        <f>IFERROR(ROUND((fCaixa[[#This Row],[Venda]]/fCaixa[[#This Row],[Preço/Un.]]),0),0)</f>
        <v>136</v>
      </c>
      <c r="L152" s="15">
        <f>IFERROR((SUBSTITUTE(RIGHT(fCaixa[[#This Row],[Descrição]],3),"G","")*1 *fCaixa[[#This Row],[Qtd/Pães]]) / 1000,0)</f>
        <v>6.8</v>
      </c>
      <c r="M152" s="13">
        <f>IFERROR((((SUBSTITUTE(RIGHT(fCaixa[[#This Row],[Descrição]],3),"G","")*1) * fCaixa[[#This Row],[QTD Perdida]])/1000) *fCaixa[[#This Row],[Custo/KG.]],0)</f>
        <v>0</v>
      </c>
      <c r="N152" s="15">
        <f>IF(fCaixa[[#This Row],[Lançamento]]="RECEITA",(fCaixa[[#This Row],[QTD Perdida]]* (SUBSTITUTE(RIGHT(fCaixa[[#This Row],[Descrição]],3),"G","")*1))/1000,0)</f>
        <v>0</v>
      </c>
      <c r="O152" s="15">
        <f>fCaixa[[#This Row],[Qtd/Kg]]+fCaixa[[#This Row],[Qtd/Kg Perdido]]</f>
        <v>6.8</v>
      </c>
      <c r="P152" s="13">
        <f>IF(fCaixa[[#This Row],[Lançamento]]="RECEITA",(fCaixa[[#This Row],[Qtd/Kg]]*fCaixa[[#This Row],[Custo/KG.]]),0)</f>
        <v>68</v>
      </c>
      <c r="Q152" s="34">
        <f>fCaixa[[#This Row],[Custoprimario]]+fCaixa[[#This Row],[Total Perdido]]</f>
        <v>68</v>
      </c>
      <c r="R152" s="16">
        <f>IFERROR(fCaixa[[#This Row],[Custoprimario]]/fCaixa[[#This Row],[Venda]],0)</f>
        <v>0.5</v>
      </c>
      <c r="S152" s="16">
        <f>IFERROR(fCaixa[[#This Row],[Custofinal]]/fCaixa[[#This Row],[Venda]],0)</f>
        <v>0.5</v>
      </c>
      <c r="T152" s="13">
        <f>IF(fCaixa[[#This Row],[Lançamento]]="RECEITA",fCaixa[[#This Row],[Venda]]-fCaixa[[#This Row],[Custoprimario]],0)</f>
        <v>68</v>
      </c>
      <c r="U152" s="16">
        <f>IFERROR(fCaixa[[#This Row],[Lucroprimario]]/fCaixa[[#This Row],[Venda]],0)</f>
        <v>0.5</v>
      </c>
      <c r="V15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68</v>
      </c>
      <c r="W152" s="16">
        <f>IFERROR(fCaixa[[#This Row],[Lucrofinal]]/fCaixa[[#This Row],[Venda]],0)</f>
        <v>0.5</v>
      </c>
    </row>
    <row r="153" spans="1:23" ht="16.5" hidden="1" x14ac:dyDescent="0.25">
      <c r="A153" s="17">
        <f t="shared" si="2"/>
        <v>152</v>
      </c>
      <c r="B153" s="87">
        <v>43104</v>
      </c>
      <c r="C153" s="12" t="s">
        <v>24</v>
      </c>
      <c r="D153" s="12" t="s">
        <v>25</v>
      </c>
      <c r="E153" s="12" t="s">
        <v>35</v>
      </c>
      <c r="F153" s="12" t="s">
        <v>28</v>
      </c>
      <c r="G153" s="13">
        <v>106</v>
      </c>
      <c r="H153" s="13">
        <v>1</v>
      </c>
      <c r="I153" s="13">
        <v>10</v>
      </c>
      <c r="J153" s="14">
        <v>0</v>
      </c>
      <c r="K153" s="17">
        <f>IFERROR(ROUND((fCaixa[[#This Row],[Venda]]/fCaixa[[#This Row],[Preço/Un.]]),0),0)</f>
        <v>106</v>
      </c>
      <c r="L153" s="15">
        <f>IFERROR((SUBSTITUTE(RIGHT(fCaixa[[#This Row],[Descrição]],3),"G","")*1 *fCaixa[[#This Row],[Qtd/Pães]]) / 1000,0)</f>
        <v>5.3</v>
      </c>
      <c r="M153" s="13">
        <f>IFERROR((((SUBSTITUTE(RIGHT(fCaixa[[#This Row],[Descrição]],3),"G","")*1) * fCaixa[[#This Row],[QTD Perdida]])/1000) *fCaixa[[#This Row],[Custo/KG.]],0)</f>
        <v>0</v>
      </c>
      <c r="N153" s="15">
        <f>IF(fCaixa[[#This Row],[Lançamento]]="RECEITA",(fCaixa[[#This Row],[QTD Perdida]]* (SUBSTITUTE(RIGHT(fCaixa[[#This Row],[Descrição]],3),"G","")*1))/1000,0)</f>
        <v>0</v>
      </c>
      <c r="O153" s="15">
        <f>fCaixa[[#This Row],[Qtd/Kg]]+fCaixa[[#This Row],[Qtd/Kg Perdido]]</f>
        <v>5.3</v>
      </c>
      <c r="P153" s="13">
        <f>IF(fCaixa[[#This Row],[Lançamento]]="RECEITA",(fCaixa[[#This Row],[Qtd/Kg]]*fCaixa[[#This Row],[Custo/KG.]]),0)</f>
        <v>53</v>
      </c>
      <c r="Q153" s="34">
        <f>fCaixa[[#This Row],[Custoprimario]]+fCaixa[[#This Row],[Total Perdido]]</f>
        <v>53</v>
      </c>
      <c r="R153" s="16">
        <f>IFERROR(fCaixa[[#This Row],[Custoprimario]]/fCaixa[[#This Row],[Venda]],0)</f>
        <v>0.5</v>
      </c>
      <c r="S153" s="16">
        <f>IFERROR(fCaixa[[#This Row],[Custofinal]]/fCaixa[[#This Row],[Venda]],0)</f>
        <v>0.5</v>
      </c>
      <c r="T153" s="13">
        <f>IF(fCaixa[[#This Row],[Lançamento]]="RECEITA",fCaixa[[#This Row],[Venda]]-fCaixa[[#This Row],[Custoprimario]],0)</f>
        <v>53</v>
      </c>
      <c r="U153" s="16">
        <f>IFERROR(fCaixa[[#This Row],[Lucroprimario]]/fCaixa[[#This Row],[Venda]],0)</f>
        <v>0.5</v>
      </c>
      <c r="V15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53</v>
      </c>
      <c r="W153" s="16">
        <f>IFERROR(fCaixa[[#This Row],[Lucrofinal]]/fCaixa[[#This Row],[Venda]],0)</f>
        <v>0.5</v>
      </c>
    </row>
    <row r="154" spans="1:23" ht="16.5" hidden="1" x14ac:dyDescent="0.25">
      <c r="A154" s="17">
        <f t="shared" si="2"/>
        <v>153</v>
      </c>
      <c r="B154" s="87">
        <v>43105</v>
      </c>
      <c r="C154" s="12" t="s">
        <v>24</v>
      </c>
      <c r="D154" s="12" t="s">
        <v>25</v>
      </c>
      <c r="E154" s="12" t="s">
        <v>35</v>
      </c>
      <c r="F154" s="12" t="s">
        <v>28</v>
      </c>
      <c r="G154" s="13">
        <v>130</v>
      </c>
      <c r="H154" s="13">
        <v>1</v>
      </c>
      <c r="I154" s="13">
        <v>10</v>
      </c>
      <c r="J154" s="14">
        <v>2</v>
      </c>
      <c r="K154" s="17">
        <f>IFERROR(ROUND((fCaixa[[#This Row],[Venda]]/fCaixa[[#This Row],[Preço/Un.]]),0),0)</f>
        <v>130</v>
      </c>
      <c r="L154" s="15">
        <f>IFERROR((SUBSTITUTE(RIGHT(fCaixa[[#This Row],[Descrição]],3),"G","")*1 *fCaixa[[#This Row],[Qtd/Pães]]) / 1000,0)</f>
        <v>6.5</v>
      </c>
      <c r="M154" s="13">
        <f>IFERROR((((SUBSTITUTE(RIGHT(fCaixa[[#This Row],[Descrição]],3),"G","")*1) * fCaixa[[#This Row],[QTD Perdida]])/1000) *fCaixa[[#This Row],[Custo/KG.]],0)</f>
        <v>1</v>
      </c>
      <c r="N154" s="15">
        <f>IF(fCaixa[[#This Row],[Lançamento]]="RECEITA",(fCaixa[[#This Row],[QTD Perdida]]* (SUBSTITUTE(RIGHT(fCaixa[[#This Row],[Descrição]],3),"G","")*1))/1000,0)</f>
        <v>0.1</v>
      </c>
      <c r="O154" s="15">
        <f>fCaixa[[#This Row],[Qtd/Kg]]+fCaixa[[#This Row],[Qtd/Kg Perdido]]</f>
        <v>6.6</v>
      </c>
      <c r="P154" s="13">
        <f>IF(fCaixa[[#This Row],[Lançamento]]="RECEITA",(fCaixa[[#This Row],[Qtd/Kg]]*fCaixa[[#This Row],[Custo/KG.]]),0)</f>
        <v>65</v>
      </c>
      <c r="Q154" s="34">
        <f>fCaixa[[#This Row],[Custoprimario]]+fCaixa[[#This Row],[Total Perdido]]</f>
        <v>66</v>
      </c>
      <c r="R154" s="16">
        <f>IFERROR(fCaixa[[#This Row],[Custoprimario]]/fCaixa[[#This Row],[Venda]],0)</f>
        <v>0.5</v>
      </c>
      <c r="S154" s="16">
        <f>IFERROR(fCaixa[[#This Row],[Custofinal]]/fCaixa[[#This Row],[Venda]],0)</f>
        <v>0.50769230769230766</v>
      </c>
      <c r="T154" s="13">
        <f>IF(fCaixa[[#This Row],[Lançamento]]="RECEITA",fCaixa[[#This Row],[Venda]]-fCaixa[[#This Row],[Custoprimario]],0)</f>
        <v>65</v>
      </c>
      <c r="U154" s="16">
        <f>IFERROR(fCaixa[[#This Row],[Lucroprimario]]/fCaixa[[#This Row],[Venda]],0)</f>
        <v>0.5</v>
      </c>
      <c r="V15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64</v>
      </c>
      <c r="W154" s="16">
        <f>IFERROR(fCaixa[[#This Row],[Lucrofinal]]/fCaixa[[#This Row],[Venda]],0)</f>
        <v>0.49230769230769234</v>
      </c>
    </row>
    <row r="155" spans="1:23" ht="16.5" hidden="1" x14ac:dyDescent="0.25">
      <c r="A155" s="17">
        <f t="shared" si="2"/>
        <v>154</v>
      </c>
      <c r="B155" s="87">
        <v>43105</v>
      </c>
      <c r="C155" s="12" t="s">
        <v>29</v>
      </c>
      <c r="D155" s="12" t="s">
        <v>25</v>
      </c>
      <c r="E155" s="12" t="s">
        <v>32</v>
      </c>
      <c r="F155" s="12" t="s">
        <v>28</v>
      </c>
      <c r="G155" s="13">
        <v>30</v>
      </c>
      <c r="H155" s="13">
        <v>0</v>
      </c>
      <c r="I155" s="13">
        <v>0</v>
      </c>
      <c r="J155" s="14">
        <v>0</v>
      </c>
      <c r="K155" s="17">
        <f>IFERROR(ROUND((fCaixa[[#This Row],[Venda]]/fCaixa[[#This Row],[Preço/Un.]]),0),0)</f>
        <v>0</v>
      </c>
      <c r="L155" s="15">
        <f>IFERROR((SUBSTITUTE(RIGHT(fCaixa[[#This Row],[Descrição]],3),"G","")*1 *fCaixa[[#This Row],[Qtd/Pães]]) / 1000,0)</f>
        <v>0</v>
      </c>
      <c r="M155" s="13">
        <f>IFERROR((((SUBSTITUTE(RIGHT(fCaixa[[#This Row],[Descrição]],3),"G","")*1) * fCaixa[[#This Row],[QTD Perdida]])/1000) *fCaixa[[#This Row],[Custo/KG.]],0)</f>
        <v>0</v>
      </c>
      <c r="N155" s="15">
        <f>IF(fCaixa[[#This Row],[Lançamento]]="RECEITA",(fCaixa[[#This Row],[QTD Perdida]]* (SUBSTITUTE(RIGHT(fCaixa[[#This Row],[Descrição]],3),"G","")*1))/1000,0)</f>
        <v>0</v>
      </c>
      <c r="O155" s="15">
        <f>fCaixa[[#This Row],[Qtd/Kg]]+fCaixa[[#This Row],[Qtd/Kg Perdido]]</f>
        <v>0</v>
      </c>
      <c r="P155" s="13">
        <f>IF(fCaixa[[#This Row],[Lançamento]]="RECEITA",(fCaixa[[#This Row],[Qtd/Kg]]*fCaixa[[#This Row],[Custo/KG.]]),0)</f>
        <v>0</v>
      </c>
      <c r="Q155" s="34">
        <f>fCaixa[[#This Row],[Custoprimario]]+fCaixa[[#This Row],[Total Perdido]]</f>
        <v>0</v>
      </c>
      <c r="R155" s="16">
        <f>IFERROR(fCaixa[[#This Row],[Custoprimario]]/fCaixa[[#This Row],[Venda]],0)</f>
        <v>0</v>
      </c>
      <c r="S155" s="16">
        <f>IFERROR(fCaixa[[#This Row],[Custofinal]]/fCaixa[[#This Row],[Venda]],0)</f>
        <v>0</v>
      </c>
      <c r="T155" s="13">
        <f>IF(fCaixa[[#This Row],[Lançamento]]="RECEITA",fCaixa[[#This Row],[Venda]]-fCaixa[[#This Row],[Custoprimario]],0)</f>
        <v>0</v>
      </c>
      <c r="U155" s="16">
        <f>IFERROR(fCaixa[[#This Row],[Lucroprimario]]/fCaixa[[#This Row],[Venda]],0)</f>
        <v>0</v>
      </c>
      <c r="V15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55" s="16">
        <f>IFERROR(fCaixa[[#This Row],[Lucrofinal]]/fCaixa[[#This Row],[Venda]],0)</f>
        <v>0</v>
      </c>
    </row>
    <row r="156" spans="1:23" ht="16.5" hidden="1" x14ac:dyDescent="0.25">
      <c r="A156" s="17">
        <f t="shared" si="2"/>
        <v>155</v>
      </c>
      <c r="B156" s="87">
        <v>43108</v>
      </c>
      <c r="C156" s="12" t="s">
        <v>24</v>
      </c>
      <c r="D156" s="12" t="s">
        <v>25</v>
      </c>
      <c r="E156" s="12" t="s">
        <v>35</v>
      </c>
      <c r="F156" s="12" t="s">
        <v>28</v>
      </c>
      <c r="G156" s="13">
        <v>135</v>
      </c>
      <c r="H156" s="13">
        <v>1</v>
      </c>
      <c r="I156" s="13">
        <v>10</v>
      </c>
      <c r="J156" s="14">
        <v>6</v>
      </c>
      <c r="K156" s="17">
        <f>IFERROR(ROUND((fCaixa[[#This Row],[Venda]]/fCaixa[[#This Row],[Preço/Un.]]),0),0)</f>
        <v>135</v>
      </c>
      <c r="L156" s="15">
        <f>IFERROR((SUBSTITUTE(RIGHT(fCaixa[[#This Row],[Descrição]],3),"G","")*1 *fCaixa[[#This Row],[Qtd/Pães]]) / 1000,0)</f>
        <v>6.75</v>
      </c>
      <c r="M156" s="13">
        <f>IFERROR((((SUBSTITUTE(RIGHT(fCaixa[[#This Row],[Descrição]],3),"G","")*1) * fCaixa[[#This Row],[QTD Perdida]])/1000) *fCaixa[[#This Row],[Custo/KG.]],0)</f>
        <v>3</v>
      </c>
      <c r="N156" s="15">
        <f>IF(fCaixa[[#This Row],[Lançamento]]="RECEITA",(fCaixa[[#This Row],[QTD Perdida]]* (SUBSTITUTE(RIGHT(fCaixa[[#This Row],[Descrição]],3),"G","")*1))/1000,0)</f>
        <v>0.3</v>
      </c>
      <c r="O156" s="15">
        <f>fCaixa[[#This Row],[Qtd/Kg]]+fCaixa[[#This Row],[Qtd/Kg Perdido]]</f>
        <v>7.05</v>
      </c>
      <c r="P156" s="13">
        <f>IF(fCaixa[[#This Row],[Lançamento]]="RECEITA",(fCaixa[[#This Row],[Qtd/Kg]]*fCaixa[[#This Row],[Custo/KG.]]),0)</f>
        <v>67.5</v>
      </c>
      <c r="Q156" s="34">
        <f>fCaixa[[#This Row],[Custoprimario]]+fCaixa[[#This Row],[Total Perdido]]</f>
        <v>70.5</v>
      </c>
      <c r="R156" s="16">
        <f>IFERROR(fCaixa[[#This Row],[Custoprimario]]/fCaixa[[#This Row],[Venda]],0)</f>
        <v>0.5</v>
      </c>
      <c r="S156" s="16">
        <f>IFERROR(fCaixa[[#This Row],[Custofinal]]/fCaixa[[#This Row],[Venda]],0)</f>
        <v>0.52222222222222225</v>
      </c>
      <c r="T156" s="13">
        <f>IF(fCaixa[[#This Row],[Lançamento]]="RECEITA",fCaixa[[#This Row],[Venda]]-fCaixa[[#This Row],[Custoprimario]],0)</f>
        <v>67.5</v>
      </c>
      <c r="U156" s="16">
        <f>IFERROR(fCaixa[[#This Row],[Lucroprimario]]/fCaixa[[#This Row],[Venda]],0)</f>
        <v>0.5</v>
      </c>
      <c r="V15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64.5</v>
      </c>
      <c r="W156" s="16">
        <f>IFERROR(fCaixa[[#This Row],[Lucrofinal]]/fCaixa[[#This Row],[Venda]],0)</f>
        <v>0.4777777777777778</v>
      </c>
    </row>
    <row r="157" spans="1:23" ht="16.5" hidden="1" x14ac:dyDescent="0.25">
      <c r="A157" s="17">
        <f t="shared" si="2"/>
        <v>156</v>
      </c>
      <c r="B157" s="87">
        <v>43109</v>
      </c>
      <c r="C157" s="12" t="s">
        <v>24</v>
      </c>
      <c r="D157" s="12" t="s">
        <v>25</v>
      </c>
      <c r="E157" s="12" t="s">
        <v>35</v>
      </c>
      <c r="F157" s="12" t="s">
        <v>28</v>
      </c>
      <c r="G157" s="13">
        <v>130</v>
      </c>
      <c r="H157" s="13">
        <v>1</v>
      </c>
      <c r="I157" s="13">
        <v>10</v>
      </c>
      <c r="J157" s="14">
        <v>5</v>
      </c>
      <c r="K157" s="17">
        <f>IFERROR(ROUND((fCaixa[[#This Row],[Venda]]/fCaixa[[#This Row],[Preço/Un.]]),0),0)</f>
        <v>130</v>
      </c>
      <c r="L157" s="15">
        <f>IFERROR((SUBSTITUTE(RIGHT(fCaixa[[#This Row],[Descrição]],3),"G","")*1 *fCaixa[[#This Row],[Qtd/Pães]]) / 1000,0)</f>
        <v>6.5</v>
      </c>
      <c r="M157" s="13">
        <f>IFERROR((((SUBSTITUTE(RIGHT(fCaixa[[#This Row],[Descrição]],3),"G","")*1) * fCaixa[[#This Row],[QTD Perdida]])/1000) *fCaixa[[#This Row],[Custo/KG.]],0)</f>
        <v>2.5</v>
      </c>
      <c r="N157" s="15">
        <f>IF(fCaixa[[#This Row],[Lançamento]]="RECEITA",(fCaixa[[#This Row],[QTD Perdida]]* (SUBSTITUTE(RIGHT(fCaixa[[#This Row],[Descrição]],3),"G","")*1))/1000,0)</f>
        <v>0.25</v>
      </c>
      <c r="O157" s="15">
        <f>fCaixa[[#This Row],[Qtd/Kg]]+fCaixa[[#This Row],[Qtd/Kg Perdido]]</f>
        <v>6.75</v>
      </c>
      <c r="P157" s="13">
        <f>IF(fCaixa[[#This Row],[Lançamento]]="RECEITA",(fCaixa[[#This Row],[Qtd/Kg]]*fCaixa[[#This Row],[Custo/KG.]]),0)</f>
        <v>65</v>
      </c>
      <c r="Q157" s="34">
        <f>fCaixa[[#This Row],[Custoprimario]]+fCaixa[[#This Row],[Total Perdido]]</f>
        <v>67.5</v>
      </c>
      <c r="R157" s="16">
        <f>IFERROR(fCaixa[[#This Row],[Custoprimario]]/fCaixa[[#This Row],[Venda]],0)</f>
        <v>0.5</v>
      </c>
      <c r="S157" s="16">
        <f>IFERROR(fCaixa[[#This Row],[Custofinal]]/fCaixa[[#This Row],[Venda]],0)</f>
        <v>0.51923076923076927</v>
      </c>
      <c r="T157" s="13">
        <f>IF(fCaixa[[#This Row],[Lançamento]]="RECEITA",fCaixa[[#This Row],[Venda]]-fCaixa[[#This Row],[Custoprimario]],0)</f>
        <v>65</v>
      </c>
      <c r="U157" s="16">
        <f>IFERROR(fCaixa[[#This Row],[Lucroprimario]]/fCaixa[[#This Row],[Venda]],0)</f>
        <v>0.5</v>
      </c>
      <c r="V15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62.5</v>
      </c>
      <c r="W157" s="16">
        <f>IFERROR(fCaixa[[#This Row],[Lucrofinal]]/fCaixa[[#This Row],[Venda]],0)</f>
        <v>0.48076923076923078</v>
      </c>
    </row>
    <row r="158" spans="1:23" ht="16.5" hidden="1" x14ac:dyDescent="0.25">
      <c r="A158" s="17">
        <f t="shared" si="2"/>
        <v>157</v>
      </c>
      <c r="B158" s="87">
        <v>43110</v>
      </c>
      <c r="C158" s="12" t="s">
        <v>24</v>
      </c>
      <c r="D158" s="12" t="s">
        <v>25</v>
      </c>
      <c r="E158" s="12" t="s">
        <v>35</v>
      </c>
      <c r="F158" s="12" t="s">
        <v>28</v>
      </c>
      <c r="G158" s="13">
        <v>113</v>
      </c>
      <c r="H158" s="13">
        <v>1</v>
      </c>
      <c r="I158" s="13">
        <v>10</v>
      </c>
      <c r="J158" s="14">
        <v>7</v>
      </c>
      <c r="K158" s="17">
        <f>IFERROR(ROUND((fCaixa[[#This Row],[Venda]]/fCaixa[[#This Row],[Preço/Un.]]),0),0)</f>
        <v>113</v>
      </c>
      <c r="L158" s="15">
        <f>IFERROR((SUBSTITUTE(RIGHT(fCaixa[[#This Row],[Descrição]],3),"G","")*1 *fCaixa[[#This Row],[Qtd/Pães]]) / 1000,0)</f>
        <v>5.65</v>
      </c>
      <c r="M158" s="13">
        <f>IFERROR((((SUBSTITUTE(RIGHT(fCaixa[[#This Row],[Descrição]],3),"G","")*1) * fCaixa[[#This Row],[QTD Perdida]])/1000) *fCaixa[[#This Row],[Custo/KG.]],0)</f>
        <v>3.5</v>
      </c>
      <c r="N158" s="15">
        <f>IF(fCaixa[[#This Row],[Lançamento]]="RECEITA",(fCaixa[[#This Row],[QTD Perdida]]* (SUBSTITUTE(RIGHT(fCaixa[[#This Row],[Descrição]],3),"G","")*1))/1000,0)</f>
        <v>0.35</v>
      </c>
      <c r="O158" s="15">
        <f>fCaixa[[#This Row],[Qtd/Kg]]+fCaixa[[#This Row],[Qtd/Kg Perdido]]</f>
        <v>6</v>
      </c>
      <c r="P158" s="13">
        <f>IF(fCaixa[[#This Row],[Lançamento]]="RECEITA",(fCaixa[[#This Row],[Qtd/Kg]]*fCaixa[[#This Row],[Custo/KG.]]),0)</f>
        <v>56.5</v>
      </c>
      <c r="Q158" s="34">
        <f>fCaixa[[#This Row],[Custoprimario]]+fCaixa[[#This Row],[Total Perdido]]</f>
        <v>60</v>
      </c>
      <c r="R158" s="16">
        <f>IFERROR(fCaixa[[#This Row],[Custoprimario]]/fCaixa[[#This Row],[Venda]],0)</f>
        <v>0.5</v>
      </c>
      <c r="S158" s="16">
        <f>IFERROR(fCaixa[[#This Row],[Custofinal]]/fCaixa[[#This Row],[Venda]],0)</f>
        <v>0.53097345132743368</v>
      </c>
      <c r="T158" s="13">
        <f>IF(fCaixa[[#This Row],[Lançamento]]="RECEITA",fCaixa[[#This Row],[Venda]]-fCaixa[[#This Row],[Custoprimario]],0)</f>
        <v>56.5</v>
      </c>
      <c r="U158" s="16">
        <f>IFERROR(fCaixa[[#This Row],[Lucroprimario]]/fCaixa[[#This Row],[Venda]],0)</f>
        <v>0.5</v>
      </c>
      <c r="V15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53</v>
      </c>
      <c r="W158" s="16">
        <f>IFERROR(fCaixa[[#This Row],[Lucrofinal]]/fCaixa[[#This Row],[Venda]],0)</f>
        <v>0.46902654867256638</v>
      </c>
    </row>
    <row r="159" spans="1:23" ht="16.5" hidden="1" x14ac:dyDescent="0.25">
      <c r="A159" s="17">
        <f t="shared" si="2"/>
        <v>158</v>
      </c>
      <c r="B159" s="87">
        <v>43112</v>
      </c>
      <c r="C159" s="12" t="s">
        <v>24</v>
      </c>
      <c r="D159" s="12" t="s">
        <v>25</v>
      </c>
      <c r="E159" s="12" t="s">
        <v>35</v>
      </c>
      <c r="F159" s="12" t="s">
        <v>28</v>
      </c>
      <c r="G159" s="13">
        <v>138</v>
      </c>
      <c r="H159" s="13">
        <v>1</v>
      </c>
      <c r="I159" s="13">
        <v>10</v>
      </c>
      <c r="J159" s="14">
        <v>2</v>
      </c>
      <c r="K159" s="17">
        <f>IFERROR(ROUND((fCaixa[[#This Row],[Venda]]/fCaixa[[#This Row],[Preço/Un.]]),0),0)</f>
        <v>138</v>
      </c>
      <c r="L159" s="15">
        <f>IFERROR((SUBSTITUTE(RIGHT(fCaixa[[#This Row],[Descrição]],3),"G","")*1 *fCaixa[[#This Row],[Qtd/Pães]]) / 1000,0)</f>
        <v>6.9</v>
      </c>
      <c r="M159" s="13">
        <f>IFERROR((((SUBSTITUTE(RIGHT(fCaixa[[#This Row],[Descrição]],3),"G","")*1) * fCaixa[[#This Row],[QTD Perdida]])/1000) *fCaixa[[#This Row],[Custo/KG.]],0)</f>
        <v>1</v>
      </c>
      <c r="N159" s="15">
        <f>IF(fCaixa[[#This Row],[Lançamento]]="RECEITA",(fCaixa[[#This Row],[QTD Perdida]]* (SUBSTITUTE(RIGHT(fCaixa[[#This Row],[Descrição]],3),"G","")*1))/1000,0)</f>
        <v>0.1</v>
      </c>
      <c r="O159" s="15">
        <f>fCaixa[[#This Row],[Qtd/Kg]]+fCaixa[[#This Row],[Qtd/Kg Perdido]]</f>
        <v>7</v>
      </c>
      <c r="P159" s="13">
        <f>IF(fCaixa[[#This Row],[Lançamento]]="RECEITA",(fCaixa[[#This Row],[Qtd/Kg]]*fCaixa[[#This Row],[Custo/KG.]]),0)</f>
        <v>69</v>
      </c>
      <c r="Q159" s="34">
        <f>fCaixa[[#This Row],[Custoprimario]]+fCaixa[[#This Row],[Total Perdido]]</f>
        <v>70</v>
      </c>
      <c r="R159" s="16">
        <f>IFERROR(fCaixa[[#This Row],[Custoprimario]]/fCaixa[[#This Row],[Venda]],0)</f>
        <v>0.5</v>
      </c>
      <c r="S159" s="16">
        <f>IFERROR(fCaixa[[#This Row],[Custofinal]]/fCaixa[[#This Row],[Venda]],0)</f>
        <v>0.50724637681159424</v>
      </c>
      <c r="T159" s="13">
        <f>IF(fCaixa[[#This Row],[Lançamento]]="RECEITA",fCaixa[[#This Row],[Venda]]-fCaixa[[#This Row],[Custoprimario]],0)</f>
        <v>69</v>
      </c>
      <c r="U159" s="16">
        <f>IFERROR(fCaixa[[#This Row],[Lucroprimario]]/fCaixa[[#This Row],[Venda]],0)</f>
        <v>0.5</v>
      </c>
      <c r="V15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68</v>
      </c>
      <c r="W159" s="16">
        <f>IFERROR(fCaixa[[#This Row],[Lucrofinal]]/fCaixa[[#This Row],[Venda]],0)</f>
        <v>0.49275362318840582</v>
      </c>
    </row>
    <row r="160" spans="1:23" ht="16.5" hidden="1" x14ac:dyDescent="0.25">
      <c r="A160" s="17">
        <f t="shared" si="2"/>
        <v>159</v>
      </c>
      <c r="B160" s="87">
        <v>43115</v>
      </c>
      <c r="C160" s="12" t="s">
        <v>24</v>
      </c>
      <c r="D160" s="12" t="s">
        <v>25</v>
      </c>
      <c r="E160" s="12" t="s">
        <v>35</v>
      </c>
      <c r="F160" s="12" t="s">
        <v>28</v>
      </c>
      <c r="G160" s="13">
        <v>176</v>
      </c>
      <c r="H160" s="13">
        <v>1</v>
      </c>
      <c r="I160" s="13">
        <v>10</v>
      </c>
      <c r="J160" s="14">
        <v>4</v>
      </c>
      <c r="K160" s="17">
        <f>IFERROR(ROUND((fCaixa[[#This Row],[Venda]]/fCaixa[[#This Row],[Preço/Un.]]),0),0)</f>
        <v>176</v>
      </c>
      <c r="L160" s="15">
        <f>IFERROR((SUBSTITUTE(RIGHT(fCaixa[[#This Row],[Descrição]],3),"G","")*1 *fCaixa[[#This Row],[Qtd/Pães]]) / 1000,0)</f>
        <v>8.8000000000000007</v>
      </c>
      <c r="M160" s="13">
        <f>IFERROR((((SUBSTITUTE(RIGHT(fCaixa[[#This Row],[Descrição]],3),"G","")*1) * fCaixa[[#This Row],[QTD Perdida]])/1000) *fCaixa[[#This Row],[Custo/KG.]],0)</f>
        <v>2</v>
      </c>
      <c r="N160" s="15">
        <f>IF(fCaixa[[#This Row],[Lançamento]]="RECEITA",(fCaixa[[#This Row],[QTD Perdida]]* (SUBSTITUTE(RIGHT(fCaixa[[#This Row],[Descrição]],3),"G","")*1))/1000,0)</f>
        <v>0.2</v>
      </c>
      <c r="O160" s="15">
        <f>fCaixa[[#This Row],[Qtd/Kg]]+fCaixa[[#This Row],[Qtd/Kg Perdido]]</f>
        <v>9</v>
      </c>
      <c r="P160" s="13">
        <f>IF(fCaixa[[#This Row],[Lançamento]]="RECEITA",(fCaixa[[#This Row],[Qtd/Kg]]*fCaixa[[#This Row],[Custo/KG.]]),0)</f>
        <v>88</v>
      </c>
      <c r="Q160" s="34">
        <f>fCaixa[[#This Row],[Custoprimario]]+fCaixa[[#This Row],[Total Perdido]]</f>
        <v>90</v>
      </c>
      <c r="R160" s="16">
        <f>IFERROR(fCaixa[[#This Row],[Custoprimario]]/fCaixa[[#This Row],[Venda]],0)</f>
        <v>0.5</v>
      </c>
      <c r="S160" s="16">
        <f>IFERROR(fCaixa[[#This Row],[Custofinal]]/fCaixa[[#This Row],[Venda]],0)</f>
        <v>0.51136363636363635</v>
      </c>
      <c r="T160" s="13">
        <f>IF(fCaixa[[#This Row],[Lançamento]]="RECEITA",fCaixa[[#This Row],[Venda]]-fCaixa[[#This Row],[Custoprimario]],0)</f>
        <v>88</v>
      </c>
      <c r="U160" s="16">
        <f>IFERROR(fCaixa[[#This Row],[Lucroprimario]]/fCaixa[[#This Row],[Venda]],0)</f>
        <v>0.5</v>
      </c>
      <c r="V16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86</v>
      </c>
      <c r="W160" s="16">
        <f>IFERROR(fCaixa[[#This Row],[Lucrofinal]]/fCaixa[[#This Row],[Venda]],0)</f>
        <v>0.48863636363636365</v>
      </c>
    </row>
    <row r="161" spans="1:23" ht="16.5" hidden="1" x14ac:dyDescent="0.25">
      <c r="A161" s="17">
        <f t="shared" si="2"/>
        <v>160</v>
      </c>
      <c r="B161" s="87">
        <v>43116</v>
      </c>
      <c r="C161" s="12" t="s">
        <v>24</v>
      </c>
      <c r="D161" s="12" t="s">
        <v>25</v>
      </c>
      <c r="E161" s="12" t="s">
        <v>35</v>
      </c>
      <c r="F161" s="12" t="s">
        <v>28</v>
      </c>
      <c r="G161" s="13">
        <v>111</v>
      </c>
      <c r="H161" s="13">
        <v>1</v>
      </c>
      <c r="I161" s="13">
        <v>10</v>
      </c>
      <c r="J161" s="14">
        <v>27</v>
      </c>
      <c r="K161" s="17">
        <f>IFERROR(ROUND((fCaixa[[#This Row],[Venda]]/fCaixa[[#This Row],[Preço/Un.]]),0),0)</f>
        <v>111</v>
      </c>
      <c r="L161" s="15">
        <f>IFERROR((SUBSTITUTE(RIGHT(fCaixa[[#This Row],[Descrição]],3),"G","")*1 *fCaixa[[#This Row],[Qtd/Pães]]) / 1000,0)</f>
        <v>5.55</v>
      </c>
      <c r="M161" s="13">
        <f>IFERROR((((SUBSTITUTE(RIGHT(fCaixa[[#This Row],[Descrição]],3),"G","")*1) * fCaixa[[#This Row],[QTD Perdida]])/1000) *fCaixa[[#This Row],[Custo/KG.]],0)</f>
        <v>13.5</v>
      </c>
      <c r="N161" s="15">
        <f>IF(fCaixa[[#This Row],[Lançamento]]="RECEITA",(fCaixa[[#This Row],[QTD Perdida]]* (SUBSTITUTE(RIGHT(fCaixa[[#This Row],[Descrição]],3),"G","")*1))/1000,0)</f>
        <v>1.35</v>
      </c>
      <c r="O161" s="15">
        <f>fCaixa[[#This Row],[Qtd/Kg]]+fCaixa[[#This Row],[Qtd/Kg Perdido]]</f>
        <v>6.9</v>
      </c>
      <c r="P161" s="13">
        <f>IF(fCaixa[[#This Row],[Lançamento]]="RECEITA",(fCaixa[[#This Row],[Qtd/Kg]]*fCaixa[[#This Row],[Custo/KG.]]),0)</f>
        <v>55.5</v>
      </c>
      <c r="Q161" s="34">
        <f>fCaixa[[#This Row],[Custoprimario]]+fCaixa[[#This Row],[Total Perdido]]</f>
        <v>69</v>
      </c>
      <c r="R161" s="16">
        <f>IFERROR(fCaixa[[#This Row],[Custoprimario]]/fCaixa[[#This Row],[Venda]],0)</f>
        <v>0.5</v>
      </c>
      <c r="S161" s="16">
        <f>IFERROR(fCaixa[[#This Row],[Custofinal]]/fCaixa[[#This Row],[Venda]],0)</f>
        <v>0.6216216216216216</v>
      </c>
      <c r="T161" s="13">
        <f>IF(fCaixa[[#This Row],[Lançamento]]="RECEITA",fCaixa[[#This Row],[Venda]]-fCaixa[[#This Row],[Custoprimario]],0)</f>
        <v>55.5</v>
      </c>
      <c r="U161" s="16">
        <f>IFERROR(fCaixa[[#This Row],[Lucroprimario]]/fCaixa[[#This Row],[Venda]],0)</f>
        <v>0.5</v>
      </c>
      <c r="V16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42</v>
      </c>
      <c r="W161" s="16">
        <f>IFERROR(fCaixa[[#This Row],[Lucrofinal]]/fCaixa[[#This Row],[Venda]],0)</f>
        <v>0.3783783783783784</v>
      </c>
    </row>
    <row r="162" spans="1:23" ht="16.5" hidden="1" x14ac:dyDescent="0.25">
      <c r="A162" s="17">
        <f t="shared" si="2"/>
        <v>161</v>
      </c>
      <c r="B162" s="87">
        <v>43117</v>
      </c>
      <c r="C162" s="12" t="s">
        <v>24</v>
      </c>
      <c r="D162" s="12" t="s">
        <v>25</v>
      </c>
      <c r="E162" s="12" t="s">
        <v>35</v>
      </c>
      <c r="F162" s="12" t="s">
        <v>28</v>
      </c>
      <c r="G162" s="13">
        <v>85</v>
      </c>
      <c r="H162" s="13">
        <v>1</v>
      </c>
      <c r="I162" s="13">
        <v>10</v>
      </c>
      <c r="J162" s="14">
        <v>5</v>
      </c>
      <c r="K162" s="17">
        <f>IFERROR(ROUND((fCaixa[[#This Row],[Venda]]/fCaixa[[#This Row],[Preço/Un.]]),0),0)</f>
        <v>85</v>
      </c>
      <c r="L162" s="15">
        <f>IFERROR((SUBSTITUTE(RIGHT(fCaixa[[#This Row],[Descrição]],3),"G","")*1 *fCaixa[[#This Row],[Qtd/Pães]]) / 1000,0)</f>
        <v>4.25</v>
      </c>
      <c r="M162" s="13">
        <f>IFERROR((((SUBSTITUTE(RIGHT(fCaixa[[#This Row],[Descrição]],3),"G","")*1) * fCaixa[[#This Row],[QTD Perdida]])/1000) *fCaixa[[#This Row],[Custo/KG.]],0)</f>
        <v>2.5</v>
      </c>
      <c r="N162" s="15">
        <f>IF(fCaixa[[#This Row],[Lançamento]]="RECEITA",(fCaixa[[#This Row],[QTD Perdida]]* (SUBSTITUTE(RIGHT(fCaixa[[#This Row],[Descrição]],3),"G","")*1))/1000,0)</f>
        <v>0.25</v>
      </c>
      <c r="O162" s="15">
        <f>fCaixa[[#This Row],[Qtd/Kg]]+fCaixa[[#This Row],[Qtd/Kg Perdido]]</f>
        <v>4.5</v>
      </c>
      <c r="P162" s="13">
        <f>IF(fCaixa[[#This Row],[Lançamento]]="RECEITA",(fCaixa[[#This Row],[Qtd/Kg]]*fCaixa[[#This Row],[Custo/KG.]]),0)</f>
        <v>42.5</v>
      </c>
      <c r="Q162" s="34">
        <f>fCaixa[[#This Row],[Custoprimario]]+fCaixa[[#This Row],[Total Perdido]]</f>
        <v>45</v>
      </c>
      <c r="R162" s="16">
        <f>IFERROR(fCaixa[[#This Row],[Custoprimario]]/fCaixa[[#This Row],[Venda]],0)</f>
        <v>0.5</v>
      </c>
      <c r="S162" s="16">
        <f>IFERROR(fCaixa[[#This Row],[Custofinal]]/fCaixa[[#This Row],[Venda]],0)</f>
        <v>0.52941176470588236</v>
      </c>
      <c r="T162" s="13">
        <f>IF(fCaixa[[#This Row],[Lançamento]]="RECEITA",fCaixa[[#This Row],[Venda]]-fCaixa[[#This Row],[Custoprimario]],0)</f>
        <v>42.5</v>
      </c>
      <c r="U162" s="16">
        <f>IFERROR(fCaixa[[#This Row],[Lucroprimario]]/fCaixa[[#This Row],[Venda]],0)</f>
        <v>0.5</v>
      </c>
      <c r="V16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40</v>
      </c>
      <c r="W162" s="16">
        <f>IFERROR(fCaixa[[#This Row],[Lucrofinal]]/fCaixa[[#This Row],[Venda]],0)</f>
        <v>0.47058823529411764</v>
      </c>
    </row>
    <row r="163" spans="1:23" ht="16.5" hidden="1" x14ac:dyDescent="0.25">
      <c r="A163" s="17">
        <f t="shared" si="2"/>
        <v>162</v>
      </c>
      <c r="B163" s="87">
        <v>43118</v>
      </c>
      <c r="C163" s="12" t="s">
        <v>24</v>
      </c>
      <c r="D163" s="12" t="s">
        <v>25</v>
      </c>
      <c r="E163" s="12" t="s">
        <v>35</v>
      </c>
      <c r="F163" s="12" t="s">
        <v>28</v>
      </c>
      <c r="G163" s="13">
        <v>82</v>
      </c>
      <c r="H163" s="13">
        <v>1</v>
      </c>
      <c r="I163" s="13">
        <v>10</v>
      </c>
      <c r="J163" s="14">
        <v>8</v>
      </c>
      <c r="K163" s="17">
        <f>IFERROR(ROUND((fCaixa[[#This Row],[Venda]]/fCaixa[[#This Row],[Preço/Un.]]),0),0)</f>
        <v>82</v>
      </c>
      <c r="L163" s="15">
        <f>IFERROR((SUBSTITUTE(RIGHT(fCaixa[[#This Row],[Descrição]],3),"G","")*1 *fCaixa[[#This Row],[Qtd/Pães]]) / 1000,0)</f>
        <v>4.0999999999999996</v>
      </c>
      <c r="M163" s="13">
        <f>IFERROR((((SUBSTITUTE(RIGHT(fCaixa[[#This Row],[Descrição]],3),"G","")*1) * fCaixa[[#This Row],[QTD Perdida]])/1000) *fCaixa[[#This Row],[Custo/KG.]],0)</f>
        <v>4</v>
      </c>
      <c r="N163" s="15">
        <f>IF(fCaixa[[#This Row],[Lançamento]]="RECEITA",(fCaixa[[#This Row],[QTD Perdida]]* (SUBSTITUTE(RIGHT(fCaixa[[#This Row],[Descrição]],3),"G","")*1))/1000,0)</f>
        <v>0.4</v>
      </c>
      <c r="O163" s="15">
        <f>fCaixa[[#This Row],[Qtd/Kg]]+fCaixa[[#This Row],[Qtd/Kg Perdido]]</f>
        <v>4.5</v>
      </c>
      <c r="P163" s="13">
        <f>IF(fCaixa[[#This Row],[Lançamento]]="RECEITA",(fCaixa[[#This Row],[Qtd/Kg]]*fCaixa[[#This Row],[Custo/KG.]]),0)</f>
        <v>41</v>
      </c>
      <c r="Q163" s="34">
        <f>fCaixa[[#This Row],[Custoprimario]]+fCaixa[[#This Row],[Total Perdido]]</f>
        <v>45</v>
      </c>
      <c r="R163" s="16">
        <f>IFERROR(fCaixa[[#This Row],[Custoprimario]]/fCaixa[[#This Row],[Venda]],0)</f>
        <v>0.5</v>
      </c>
      <c r="S163" s="16">
        <f>IFERROR(fCaixa[[#This Row],[Custofinal]]/fCaixa[[#This Row],[Venda]],0)</f>
        <v>0.54878048780487809</v>
      </c>
      <c r="T163" s="13">
        <f>IF(fCaixa[[#This Row],[Lançamento]]="RECEITA",fCaixa[[#This Row],[Venda]]-fCaixa[[#This Row],[Custoprimario]],0)</f>
        <v>41</v>
      </c>
      <c r="U163" s="16">
        <f>IFERROR(fCaixa[[#This Row],[Lucroprimario]]/fCaixa[[#This Row],[Venda]],0)</f>
        <v>0.5</v>
      </c>
      <c r="V16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37</v>
      </c>
      <c r="W163" s="16">
        <f>IFERROR(fCaixa[[#This Row],[Lucrofinal]]/fCaixa[[#This Row],[Venda]],0)</f>
        <v>0.45121951219512196</v>
      </c>
    </row>
    <row r="164" spans="1:23" ht="16.5" hidden="1" x14ac:dyDescent="0.25">
      <c r="A164" s="17">
        <f t="shared" si="2"/>
        <v>163</v>
      </c>
      <c r="B164" s="87">
        <v>43119</v>
      </c>
      <c r="C164" s="12" t="s">
        <v>24</v>
      </c>
      <c r="D164" s="12" t="s">
        <v>25</v>
      </c>
      <c r="E164" s="12" t="s">
        <v>35</v>
      </c>
      <c r="F164" s="12" t="s">
        <v>28</v>
      </c>
      <c r="G164" s="13">
        <v>158</v>
      </c>
      <c r="H164" s="13">
        <v>1</v>
      </c>
      <c r="I164" s="13">
        <v>10</v>
      </c>
      <c r="J164" s="14">
        <v>2</v>
      </c>
      <c r="K164" s="17">
        <f>IFERROR(ROUND((fCaixa[[#This Row],[Venda]]/fCaixa[[#This Row],[Preço/Un.]]),0),0)</f>
        <v>158</v>
      </c>
      <c r="L164" s="15">
        <f>IFERROR((SUBSTITUTE(RIGHT(fCaixa[[#This Row],[Descrição]],3),"G","")*1 *fCaixa[[#This Row],[Qtd/Pães]]) / 1000,0)</f>
        <v>7.9</v>
      </c>
      <c r="M164" s="13">
        <f>IFERROR((((SUBSTITUTE(RIGHT(fCaixa[[#This Row],[Descrição]],3),"G","")*1) * fCaixa[[#This Row],[QTD Perdida]])/1000) *fCaixa[[#This Row],[Custo/KG.]],0)</f>
        <v>1</v>
      </c>
      <c r="N164" s="15">
        <f>IF(fCaixa[[#This Row],[Lançamento]]="RECEITA",(fCaixa[[#This Row],[QTD Perdida]]* (SUBSTITUTE(RIGHT(fCaixa[[#This Row],[Descrição]],3),"G","")*1))/1000,0)</f>
        <v>0.1</v>
      </c>
      <c r="O164" s="15">
        <f>fCaixa[[#This Row],[Qtd/Kg]]+fCaixa[[#This Row],[Qtd/Kg Perdido]]</f>
        <v>8</v>
      </c>
      <c r="P164" s="13">
        <f>IF(fCaixa[[#This Row],[Lançamento]]="RECEITA",(fCaixa[[#This Row],[Qtd/Kg]]*fCaixa[[#This Row],[Custo/KG.]]),0)</f>
        <v>79</v>
      </c>
      <c r="Q164" s="34">
        <f>fCaixa[[#This Row],[Custoprimario]]+fCaixa[[#This Row],[Total Perdido]]</f>
        <v>80</v>
      </c>
      <c r="R164" s="16">
        <f>IFERROR(fCaixa[[#This Row],[Custoprimario]]/fCaixa[[#This Row],[Venda]],0)</f>
        <v>0.5</v>
      </c>
      <c r="S164" s="16">
        <f>IFERROR(fCaixa[[#This Row],[Custofinal]]/fCaixa[[#This Row],[Venda]],0)</f>
        <v>0.50632911392405067</v>
      </c>
      <c r="T164" s="13">
        <f>IF(fCaixa[[#This Row],[Lançamento]]="RECEITA",fCaixa[[#This Row],[Venda]]-fCaixa[[#This Row],[Custoprimario]],0)</f>
        <v>79</v>
      </c>
      <c r="U164" s="16">
        <f>IFERROR(fCaixa[[#This Row],[Lucroprimario]]/fCaixa[[#This Row],[Venda]],0)</f>
        <v>0.5</v>
      </c>
      <c r="V16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78</v>
      </c>
      <c r="W164" s="16">
        <f>IFERROR(fCaixa[[#This Row],[Lucrofinal]]/fCaixa[[#This Row],[Venda]],0)</f>
        <v>0.49367088607594939</v>
      </c>
    </row>
    <row r="165" spans="1:23" ht="16.5" hidden="1" x14ac:dyDescent="0.25">
      <c r="A165" s="17">
        <f t="shared" si="2"/>
        <v>164</v>
      </c>
      <c r="B165" s="87">
        <v>43122</v>
      </c>
      <c r="C165" s="12" t="s">
        <v>24</v>
      </c>
      <c r="D165" s="12" t="s">
        <v>25</v>
      </c>
      <c r="E165" s="12" t="s">
        <v>35</v>
      </c>
      <c r="F165" s="12" t="s">
        <v>28</v>
      </c>
      <c r="G165" s="13">
        <v>139</v>
      </c>
      <c r="H165" s="13">
        <v>1</v>
      </c>
      <c r="I165" s="13">
        <v>10</v>
      </c>
      <c r="J165" s="14">
        <v>1</v>
      </c>
      <c r="K165" s="17">
        <f>IFERROR(ROUND((fCaixa[[#This Row],[Venda]]/fCaixa[[#This Row],[Preço/Un.]]),0),0)</f>
        <v>139</v>
      </c>
      <c r="L165" s="15">
        <f>IFERROR((SUBSTITUTE(RIGHT(fCaixa[[#This Row],[Descrição]],3),"G","")*1 *fCaixa[[#This Row],[Qtd/Pães]]) / 1000,0)</f>
        <v>6.95</v>
      </c>
      <c r="M165" s="13">
        <f>IFERROR((((SUBSTITUTE(RIGHT(fCaixa[[#This Row],[Descrição]],3),"G","")*1) * fCaixa[[#This Row],[QTD Perdida]])/1000) *fCaixa[[#This Row],[Custo/KG.]],0)</f>
        <v>0.5</v>
      </c>
      <c r="N165" s="15">
        <f>IF(fCaixa[[#This Row],[Lançamento]]="RECEITA",(fCaixa[[#This Row],[QTD Perdida]]* (SUBSTITUTE(RIGHT(fCaixa[[#This Row],[Descrição]],3),"G","")*1))/1000,0)</f>
        <v>0.05</v>
      </c>
      <c r="O165" s="15">
        <f>fCaixa[[#This Row],[Qtd/Kg]]+fCaixa[[#This Row],[Qtd/Kg Perdido]]</f>
        <v>7</v>
      </c>
      <c r="P165" s="13">
        <f>IF(fCaixa[[#This Row],[Lançamento]]="RECEITA",(fCaixa[[#This Row],[Qtd/Kg]]*fCaixa[[#This Row],[Custo/KG.]]),0)</f>
        <v>69.5</v>
      </c>
      <c r="Q165" s="34">
        <f>fCaixa[[#This Row],[Custoprimario]]+fCaixa[[#This Row],[Total Perdido]]</f>
        <v>70</v>
      </c>
      <c r="R165" s="16">
        <f>IFERROR(fCaixa[[#This Row],[Custoprimario]]/fCaixa[[#This Row],[Venda]],0)</f>
        <v>0.5</v>
      </c>
      <c r="S165" s="16">
        <f>IFERROR(fCaixa[[#This Row],[Custofinal]]/fCaixa[[#This Row],[Venda]],0)</f>
        <v>0.50359712230215825</v>
      </c>
      <c r="T165" s="13">
        <f>IF(fCaixa[[#This Row],[Lançamento]]="RECEITA",fCaixa[[#This Row],[Venda]]-fCaixa[[#This Row],[Custoprimario]],0)</f>
        <v>69.5</v>
      </c>
      <c r="U165" s="16">
        <f>IFERROR(fCaixa[[#This Row],[Lucroprimario]]/fCaixa[[#This Row],[Venda]],0)</f>
        <v>0.5</v>
      </c>
      <c r="V16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69</v>
      </c>
      <c r="W165" s="16">
        <f>IFERROR(fCaixa[[#This Row],[Lucrofinal]]/fCaixa[[#This Row],[Venda]],0)</f>
        <v>0.49640287769784175</v>
      </c>
    </row>
    <row r="166" spans="1:23" ht="16.5" hidden="1" x14ac:dyDescent="0.25">
      <c r="A166" s="17">
        <f t="shared" si="2"/>
        <v>165</v>
      </c>
      <c r="B166" s="87">
        <v>43123</v>
      </c>
      <c r="C166" s="12" t="s">
        <v>24</v>
      </c>
      <c r="D166" s="12" t="s">
        <v>25</v>
      </c>
      <c r="E166" s="12" t="s">
        <v>35</v>
      </c>
      <c r="F166" s="12" t="s">
        <v>28</v>
      </c>
      <c r="G166" s="13">
        <v>75</v>
      </c>
      <c r="H166" s="13">
        <v>1</v>
      </c>
      <c r="I166" s="13">
        <v>10</v>
      </c>
      <c r="J166" s="14">
        <v>5</v>
      </c>
      <c r="K166" s="17">
        <f>IFERROR(ROUND((fCaixa[[#This Row],[Venda]]/fCaixa[[#This Row],[Preço/Un.]]),0),0)</f>
        <v>75</v>
      </c>
      <c r="L166" s="15">
        <f>IFERROR((SUBSTITUTE(RIGHT(fCaixa[[#This Row],[Descrição]],3),"G","")*1 *fCaixa[[#This Row],[Qtd/Pães]]) / 1000,0)</f>
        <v>3.75</v>
      </c>
      <c r="M166" s="13">
        <f>IFERROR((((SUBSTITUTE(RIGHT(fCaixa[[#This Row],[Descrição]],3),"G","")*1) * fCaixa[[#This Row],[QTD Perdida]])/1000) *fCaixa[[#This Row],[Custo/KG.]],0)</f>
        <v>2.5</v>
      </c>
      <c r="N166" s="15">
        <f>IF(fCaixa[[#This Row],[Lançamento]]="RECEITA",(fCaixa[[#This Row],[QTD Perdida]]* (SUBSTITUTE(RIGHT(fCaixa[[#This Row],[Descrição]],3),"G","")*1))/1000,0)</f>
        <v>0.25</v>
      </c>
      <c r="O166" s="15">
        <f>fCaixa[[#This Row],[Qtd/Kg]]+fCaixa[[#This Row],[Qtd/Kg Perdido]]</f>
        <v>4</v>
      </c>
      <c r="P166" s="13">
        <f>IF(fCaixa[[#This Row],[Lançamento]]="RECEITA",(fCaixa[[#This Row],[Qtd/Kg]]*fCaixa[[#This Row],[Custo/KG.]]),0)</f>
        <v>37.5</v>
      </c>
      <c r="Q166" s="34">
        <f>fCaixa[[#This Row],[Custoprimario]]+fCaixa[[#This Row],[Total Perdido]]</f>
        <v>40</v>
      </c>
      <c r="R166" s="16">
        <f>IFERROR(fCaixa[[#This Row],[Custoprimario]]/fCaixa[[#This Row],[Venda]],0)</f>
        <v>0.5</v>
      </c>
      <c r="S166" s="16">
        <f>IFERROR(fCaixa[[#This Row],[Custofinal]]/fCaixa[[#This Row],[Venda]],0)</f>
        <v>0.53333333333333333</v>
      </c>
      <c r="T166" s="13">
        <f>IF(fCaixa[[#This Row],[Lançamento]]="RECEITA",fCaixa[[#This Row],[Venda]]-fCaixa[[#This Row],[Custoprimario]],0)</f>
        <v>37.5</v>
      </c>
      <c r="U166" s="16">
        <f>IFERROR(fCaixa[[#This Row],[Lucroprimario]]/fCaixa[[#This Row],[Venda]],0)</f>
        <v>0.5</v>
      </c>
      <c r="V16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35</v>
      </c>
      <c r="W166" s="16">
        <f>IFERROR(fCaixa[[#This Row],[Lucrofinal]]/fCaixa[[#This Row],[Venda]],0)</f>
        <v>0.46666666666666667</v>
      </c>
    </row>
    <row r="167" spans="1:23" ht="16.5" hidden="1" x14ac:dyDescent="0.25">
      <c r="A167" s="17">
        <f t="shared" si="2"/>
        <v>166</v>
      </c>
      <c r="B167" s="87">
        <v>43124</v>
      </c>
      <c r="C167" s="12" t="s">
        <v>24</v>
      </c>
      <c r="D167" s="12" t="s">
        <v>25</v>
      </c>
      <c r="E167" s="12" t="s">
        <v>35</v>
      </c>
      <c r="F167" s="12" t="s">
        <v>28</v>
      </c>
      <c r="G167" s="13">
        <v>157</v>
      </c>
      <c r="H167" s="13">
        <v>1</v>
      </c>
      <c r="I167" s="13">
        <v>10</v>
      </c>
      <c r="J167" s="14">
        <v>3</v>
      </c>
      <c r="K167" s="17">
        <f>IFERROR(ROUND((fCaixa[[#This Row],[Venda]]/fCaixa[[#This Row],[Preço/Un.]]),0),0)</f>
        <v>157</v>
      </c>
      <c r="L167" s="15">
        <f>IFERROR((SUBSTITUTE(RIGHT(fCaixa[[#This Row],[Descrição]],3),"G","")*1 *fCaixa[[#This Row],[Qtd/Pães]]) / 1000,0)</f>
        <v>7.85</v>
      </c>
      <c r="M167" s="13">
        <f>IFERROR((((SUBSTITUTE(RIGHT(fCaixa[[#This Row],[Descrição]],3),"G","")*1) * fCaixa[[#This Row],[QTD Perdida]])/1000) *fCaixa[[#This Row],[Custo/KG.]],0)</f>
        <v>1.5</v>
      </c>
      <c r="N167" s="15">
        <f>IF(fCaixa[[#This Row],[Lançamento]]="RECEITA",(fCaixa[[#This Row],[QTD Perdida]]* (SUBSTITUTE(RIGHT(fCaixa[[#This Row],[Descrição]],3),"G","")*1))/1000,0)</f>
        <v>0.15</v>
      </c>
      <c r="O167" s="15">
        <f>fCaixa[[#This Row],[Qtd/Kg]]+fCaixa[[#This Row],[Qtd/Kg Perdido]]</f>
        <v>8</v>
      </c>
      <c r="P167" s="13">
        <f>IF(fCaixa[[#This Row],[Lançamento]]="RECEITA",(fCaixa[[#This Row],[Qtd/Kg]]*fCaixa[[#This Row],[Custo/KG.]]),0)</f>
        <v>78.5</v>
      </c>
      <c r="Q167" s="34">
        <f>fCaixa[[#This Row],[Custoprimario]]+fCaixa[[#This Row],[Total Perdido]]</f>
        <v>80</v>
      </c>
      <c r="R167" s="16">
        <f>IFERROR(fCaixa[[#This Row],[Custoprimario]]/fCaixa[[#This Row],[Venda]],0)</f>
        <v>0.5</v>
      </c>
      <c r="S167" s="16">
        <f>IFERROR(fCaixa[[#This Row],[Custofinal]]/fCaixa[[#This Row],[Venda]],0)</f>
        <v>0.50955414012738853</v>
      </c>
      <c r="T167" s="13">
        <f>IF(fCaixa[[#This Row],[Lançamento]]="RECEITA",fCaixa[[#This Row],[Venda]]-fCaixa[[#This Row],[Custoprimario]],0)</f>
        <v>78.5</v>
      </c>
      <c r="U167" s="16">
        <f>IFERROR(fCaixa[[#This Row],[Lucroprimario]]/fCaixa[[#This Row],[Venda]],0)</f>
        <v>0.5</v>
      </c>
      <c r="V16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77</v>
      </c>
      <c r="W167" s="16">
        <f>IFERROR(fCaixa[[#This Row],[Lucrofinal]]/fCaixa[[#This Row],[Venda]],0)</f>
        <v>0.49044585987261147</v>
      </c>
    </row>
    <row r="168" spans="1:23" ht="16.5" hidden="1" x14ac:dyDescent="0.25">
      <c r="A168" s="17">
        <f t="shared" si="2"/>
        <v>167</v>
      </c>
      <c r="B168" s="87">
        <v>43125</v>
      </c>
      <c r="C168" s="12" t="s">
        <v>24</v>
      </c>
      <c r="D168" s="12" t="s">
        <v>25</v>
      </c>
      <c r="E168" s="12" t="s">
        <v>35</v>
      </c>
      <c r="F168" s="12" t="s">
        <v>28</v>
      </c>
      <c r="G168" s="13">
        <v>92</v>
      </c>
      <c r="H168" s="13">
        <v>1</v>
      </c>
      <c r="I168" s="13">
        <v>10</v>
      </c>
      <c r="J168" s="14">
        <v>8</v>
      </c>
      <c r="K168" s="17">
        <f>IFERROR(ROUND((fCaixa[[#This Row],[Venda]]/fCaixa[[#This Row],[Preço/Un.]]),0),0)</f>
        <v>92</v>
      </c>
      <c r="L168" s="15">
        <f>IFERROR((SUBSTITUTE(RIGHT(fCaixa[[#This Row],[Descrição]],3),"G","")*1 *fCaixa[[#This Row],[Qtd/Pães]]) / 1000,0)</f>
        <v>4.5999999999999996</v>
      </c>
      <c r="M168" s="13">
        <f>IFERROR((((SUBSTITUTE(RIGHT(fCaixa[[#This Row],[Descrição]],3),"G","")*1) * fCaixa[[#This Row],[QTD Perdida]])/1000) *fCaixa[[#This Row],[Custo/KG.]],0)</f>
        <v>4</v>
      </c>
      <c r="N168" s="15">
        <f>IF(fCaixa[[#This Row],[Lançamento]]="RECEITA",(fCaixa[[#This Row],[QTD Perdida]]* (SUBSTITUTE(RIGHT(fCaixa[[#This Row],[Descrição]],3),"G","")*1))/1000,0)</f>
        <v>0.4</v>
      </c>
      <c r="O168" s="15">
        <f>fCaixa[[#This Row],[Qtd/Kg]]+fCaixa[[#This Row],[Qtd/Kg Perdido]]</f>
        <v>5</v>
      </c>
      <c r="P168" s="13">
        <f>IF(fCaixa[[#This Row],[Lançamento]]="RECEITA",(fCaixa[[#This Row],[Qtd/Kg]]*fCaixa[[#This Row],[Custo/KG.]]),0)</f>
        <v>46</v>
      </c>
      <c r="Q168" s="34">
        <f>fCaixa[[#This Row],[Custoprimario]]+fCaixa[[#This Row],[Total Perdido]]</f>
        <v>50</v>
      </c>
      <c r="R168" s="16">
        <f>IFERROR(fCaixa[[#This Row],[Custoprimario]]/fCaixa[[#This Row],[Venda]],0)</f>
        <v>0.5</v>
      </c>
      <c r="S168" s="16">
        <f>IFERROR(fCaixa[[#This Row],[Custofinal]]/fCaixa[[#This Row],[Venda]],0)</f>
        <v>0.54347826086956519</v>
      </c>
      <c r="T168" s="13">
        <f>IF(fCaixa[[#This Row],[Lançamento]]="RECEITA",fCaixa[[#This Row],[Venda]]-fCaixa[[#This Row],[Custoprimario]],0)</f>
        <v>46</v>
      </c>
      <c r="U168" s="16">
        <f>IFERROR(fCaixa[[#This Row],[Lucroprimario]]/fCaixa[[#This Row],[Venda]],0)</f>
        <v>0.5</v>
      </c>
      <c r="V16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42</v>
      </c>
      <c r="W168" s="16">
        <f>IFERROR(fCaixa[[#This Row],[Lucrofinal]]/fCaixa[[#This Row],[Venda]],0)</f>
        <v>0.45652173913043476</v>
      </c>
    </row>
    <row r="169" spans="1:23" ht="16.5" hidden="1" x14ac:dyDescent="0.25">
      <c r="A169" s="17">
        <f t="shared" si="2"/>
        <v>168</v>
      </c>
      <c r="B169" s="87">
        <v>43126</v>
      </c>
      <c r="C169" s="12" t="s">
        <v>24</v>
      </c>
      <c r="D169" s="12" t="s">
        <v>25</v>
      </c>
      <c r="E169" s="12" t="s">
        <v>35</v>
      </c>
      <c r="F169" s="12" t="s">
        <v>28</v>
      </c>
      <c r="G169" s="13">
        <v>84</v>
      </c>
      <c r="H169" s="13">
        <v>1</v>
      </c>
      <c r="I169" s="13">
        <v>10</v>
      </c>
      <c r="J169" s="14">
        <v>6</v>
      </c>
      <c r="K169" s="17">
        <f>IFERROR(ROUND((fCaixa[[#This Row],[Venda]]/fCaixa[[#This Row],[Preço/Un.]]),0),0)</f>
        <v>84</v>
      </c>
      <c r="L169" s="15">
        <f>IFERROR((SUBSTITUTE(RIGHT(fCaixa[[#This Row],[Descrição]],3),"G","")*1 *fCaixa[[#This Row],[Qtd/Pães]]) / 1000,0)</f>
        <v>4.2</v>
      </c>
      <c r="M169" s="13">
        <f>IFERROR((((SUBSTITUTE(RIGHT(fCaixa[[#This Row],[Descrição]],3),"G","")*1) * fCaixa[[#This Row],[QTD Perdida]])/1000) *fCaixa[[#This Row],[Custo/KG.]],0)</f>
        <v>3</v>
      </c>
      <c r="N169" s="15">
        <f>IF(fCaixa[[#This Row],[Lançamento]]="RECEITA",(fCaixa[[#This Row],[QTD Perdida]]* (SUBSTITUTE(RIGHT(fCaixa[[#This Row],[Descrição]],3),"G","")*1))/1000,0)</f>
        <v>0.3</v>
      </c>
      <c r="O169" s="15">
        <f>fCaixa[[#This Row],[Qtd/Kg]]+fCaixa[[#This Row],[Qtd/Kg Perdido]]</f>
        <v>4.5</v>
      </c>
      <c r="P169" s="13">
        <f>IF(fCaixa[[#This Row],[Lançamento]]="RECEITA",(fCaixa[[#This Row],[Qtd/Kg]]*fCaixa[[#This Row],[Custo/KG.]]),0)</f>
        <v>42</v>
      </c>
      <c r="Q169" s="34">
        <f>fCaixa[[#This Row],[Custoprimario]]+fCaixa[[#This Row],[Total Perdido]]</f>
        <v>45</v>
      </c>
      <c r="R169" s="16">
        <f>IFERROR(fCaixa[[#This Row],[Custoprimario]]/fCaixa[[#This Row],[Venda]],0)</f>
        <v>0.5</v>
      </c>
      <c r="S169" s="16">
        <f>IFERROR(fCaixa[[#This Row],[Custofinal]]/fCaixa[[#This Row],[Venda]],0)</f>
        <v>0.5357142857142857</v>
      </c>
      <c r="T169" s="13">
        <f>IF(fCaixa[[#This Row],[Lançamento]]="RECEITA",fCaixa[[#This Row],[Venda]]-fCaixa[[#This Row],[Custoprimario]],0)</f>
        <v>42</v>
      </c>
      <c r="U169" s="16">
        <f>IFERROR(fCaixa[[#This Row],[Lucroprimario]]/fCaixa[[#This Row],[Venda]],0)</f>
        <v>0.5</v>
      </c>
      <c r="V16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39</v>
      </c>
      <c r="W169" s="16">
        <f>IFERROR(fCaixa[[#This Row],[Lucrofinal]]/fCaixa[[#This Row],[Venda]],0)</f>
        <v>0.4642857142857143</v>
      </c>
    </row>
    <row r="170" spans="1:23" ht="16.5" hidden="1" x14ac:dyDescent="0.25">
      <c r="A170" s="17">
        <f t="shared" si="2"/>
        <v>169</v>
      </c>
      <c r="B170" s="87">
        <v>43129</v>
      </c>
      <c r="C170" s="12" t="s">
        <v>24</v>
      </c>
      <c r="D170" s="12" t="s">
        <v>25</v>
      </c>
      <c r="E170" s="12" t="s">
        <v>35</v>
      </c>
      <c r="F170" s="12" t="s">
        <v>28</v>
      </c>
      <c r="G170" s="13">
        <v>135</v>
      </c>
      <c r="H170" s="13">
        <v>1</v>
      </c>
      <c r="I170" s="13">
        <v>10</v>
      </c>
      <c r="J170" s="14">
        <v>5</v>
      </c>
      <c r="K170" s="17">
        <f>IFERROR(ROUND((fCaixa[[#This Row],[Venda]]/fCaixa[[#This Row],[Preço/Un.]]),0),0)</f>
        <v>135</v>
      </c>
      <c r="L170" s="15">
        <f>IFERROR((SUBSTITUTE(RIGHT(fCaixa[[#This Row],[Descrição]],3),"G","")*1 *fCaixa[[#This Row],[Qtd/Pães]]) / 1000,0)</f>
        <v>6.75</v>
      </c>
      <c r="M170" s="13">
        <f>IFERROR((((SUBSTITUTE(RIGHT(fCaixa[[#This Row],[Descrição]],3),"G","")*1) * fCaixa[[#This Row],[QTD Perdida]])/1000) *fCaixa[[#This Row],[Custo/KG.]],0)</f>
        <v>2.5</v>
      </c>
      <c r="N170" s="15">
        <f>IF(fCaixa[[#This Row],[Lançamento]]="RECEITA",(fCaixa[[#This Row],[QTD Perdida]]* (SUBSTITUTE(RIGHT(fCaixa[[#This Row],[Descrição]],3),"G","")*1))/1000,0)</f>
        <v>0.25</v>
      </c>
      <c r="O170" s="15">
        <f>fCaixa[[#This Row],[Qtd/Kg]]+fCaixa[[#This Row],[Qtd/Kg Perdido]]</f>
        <v>7</v>
      </c>
      <c r="P170" s="13">
        <f>IF(fCaixa[[#This Row],[Lançamento]]="RECEITA",(fCaixa[[#This Row],[Qtd/Kg]]*fCaixa[[#This Row],[Custo/KG.]]),0)</f>
        <v>67.5</v>
      </c>
      <c r="Q170" s="34">
        <f>fCaixa[[#This Row],[Custoprimario]]+fCaixa[[#This Row],[Total Perdido]]</f>
        <v>70</v>
      </c>
      <c r="R170" s="16">
        <f>IFERROR(fCaixa[[#This Row],[Custoprimario]]/fCaixa[[#This Row],[Venda]],0)</f>
        <v>0.5</v>
      </c>
      <c r="S170" s="16">
        <f>IFERROR(fCaixa[[#This Row],[Custofinal]]/fCaixa[[#This Row],[Venda]],0)</f>
        <v>0.51851851851851849</v>
      </c>
      <c r="T170" s="13">
        <f>IF(fCaixa[[#This Row],[Lançamento]]="RECEITA",fCaixa[[#This Row],[Venda]]-fCaixa[[#This Row],[Custoprimario]],0)</f>
        <v>67.5</v>
      </c>
      <c r="U170" s="16">
        <f>IFERROR(fCaixa[[#This Row],[Lucroprimario]]/fCaixa[[#This Row],[Venda]],0)</f>
        <v>0.5</v>
      </c>
      <c r="V17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65</v>
      </c>
      <c r="W170" s="16">
        <f>IFERROR(fCaixa[[#This Row],[Lucrofinal]]/fCaixa[[#This Row],[Venda]],0)</f>
        <v>0.48148148148148145</v>
      </c>
    </row>
    <row r="171" spans="1:23" ht="16.5" hidden="1" x14ac:dyDescent="0.25">
      <c r="A171" s="17">
        <f t="shared" si="2"/>
        <v>170</v>
      </c>
      <c r="B171" s="87">
        <v>43129</v>
      </c>
      <c r="C171" s="12" t="s">
        <v>29</v>
      </c>
      <c r="D171" s="12" t="s">
        <v>25</v>
      </c>
      <c r="E171" s="12" t="s">
        <v>36</v>
      </c>
      <c r="F171" s="12" t="s">
        <v>28</v>
      </c>
      <c r="G171" s="13">
        <v>100</v>
      </c>
      <c r="H171" s="13">
        <v>0</v>
      </c>
      <c r="I171" s="13">
        <v>0</v>
      </c>
      <c r="J171" s="14">
        <v>0</v>
      </c>
      <c r="K171" s="17">
        <f>IFERROR(ROUND((fCaixa[[#This Row],[Venda]]/fCaixa[[#This Row],[Preço/Un.]]),0),0)</f>
        <v>0</v>
      </c>
      <c r="L171" s="15">
        <f>IFERROR((SUBSTITUTE(RIGHT(fCaixa[[#This Row],[Descrição]],3),"G","")*1 *fCaixa[[#This Row],[Qtd/Pães]]) / 1000,0)</f>
        <v>0</v>
      </c>
      <c r="M171" s="13">
        <f>IFERROR((((SUBSTITUTE(RIGHT(fCaixa[[#This Row],[Descrição]],3),"G","")*1) * fCaixa[[#This Row],[QTD Perdida]])/1000) *fCaixa[[#This Row],[Custo/KG.]],0)</f>
        <v>0</v>
      </c>
      <c r="N171" s="15">
        <f>IF(fCaixa[[#This Row],[Lançamento]]="RECEITA",(fCaixa[[#This Row],[QTD Perdida]]* (SUBSTITUTE(RIGHT(fCaixa[[#This Row],[Descrição]],3),"G","")*1))/1000,0)</f>
        <v>0</v>
      </c>
      <c r="O171" s="15">
        <f>fCaixa[[#This Row],[Qtd/Kg]]+fCaixa[[#This Row],[Qtd/Kg Perdido]]</f>
        <v>0</v>
      </c>
      <c r="P171" s="13">
        <f>IF(fCaixa[[#This Row],[Lançamento]]="RECEITA",(fCaixa[[#This Row],[Qtd/Kg]]*fCaixa[[#This Row],[Custo/KG.]]),0)</f>
        <v>0</v>
      </c>
      <c r="Q171" s="34">
        <f>fCaixa[[#This Row],[Custoprimario]]+fCaixa[[#This Row],[Total Perdido]]</f>
        <v>0</v>
      </c>
      <c r="R171" s="16">
        <f>IFERROR(fCaixa[[#This Row],[Custoprimario]]/fCaixa[[#This Row],[Venda]],0)</f>
        <v>0</v>
      </c>
      <c r="S171" s="16">
        <f>IFERROR(fCaixa[[#This Row],[Custofinal]]/fCaixa[[#This Row],[Venda]],0)</f>
        <v>0</v>
      </c>
      <c r="T171" s="13">
        <f>IF(fCaixa[[#This Row],[Lançamento]]="RECEITA",fCaixa[[#This Row],[Venda]]-fCaixa[[#This Row],[Custoprimario]],0)</f>
        <v>0</v>
      </c>
      <c r="U171" s="16">
        <f>IFERROR(fCaixa[[#This Row],[Lucroprimario]]/fCaixa[[#This Row],[Venda]],0)</f>
        <v>0</v>
      </c>
      <c r="V17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71" s="16">
        <f>IFERROR(fCaixa[[#This Row],[Lucrofinal]]/fCaixa[[#This Row],[Venda]],0)</f>
        <v>0</v>
      </c>
    </row>
    <row r="172" spans="1:23" ht="16.5" hidden="1" x14ac:dyDescent="0.25">
      <c r="A172" s="17">
        <f t="shared" si="2"/>
        <v>171</v>
      </c>
      <c r="B172" s="87">
        <v>43130</v>
      </c>
      <c r="C172" s="12" t="s">
        <v>24</v>
      </c>
      <c r="D172" s="12" t="s">
        <v>25</v>
      </c>
      <c r="E172" s="12" t="s">
        <v>35</v>
      </c>
      <c r="F172" s="12" t="s">
        <v>28</v>
      </c>
      <c r="G172" s="13">
        <v>146</v>
      </c>
      <c r="H172" s="13">
        <v>1</v>
      </c>
      <c r="I172" s="13">
        <v>10</v>
      </c>
      <c r="J172" s="14">
        <v>4</v>
      </c>
      <c r="K172" s="17">
        <f>IFERROR(ROUND((fCaixa[[#This Row],[Venda]]/fCaixa[[#This Row],[Preço/Un.]]),0),0)</f>
        <v>146</v>
      </c>
      <c r="L172" s="15">
        <f>IFERROR((SUBSTITUTE(RIGHT(fCaixa[[#This Row],[Descrição]],3),"G","")*1 *fCaixa[[#This Row],[Qtd/Pães]]) / 1000,0)</f>
        <v>7.3</v>
      </c>
      <c r="M172" s="13">
        <f>IFERROR((((SUBSTITUTE(RIGHT(fCaixa[[#This Row],[Descrição]],3),"G","")*1) * fCaixa[[#This Row],[QTD Perdida]])/1000) *fCaixa[[#This Row],[Custo/KG.]],0)</f>
        <v>2</v>
      </c>
      <c r="N172" s="15">
        <f>IF(fCaixa[[#This Row],[Lançamento]]="RECEITA",(fCaixa[[#This Row],[QTD Perdida]]* (SUBSTITUTE(RIGHT(fCaixa[[#This Row],[Descrição]],3),"G","")*1))/1000,0)</f>
        <v>0.2</v>
      </c>
      <c r="O172" s="15">
        <f>fCaixa[[#This Row],[Qtd/Kg]]+fCaixa[[#This Row],[Qtd/Kg Perdido]]</f>
        <v>7.5</v>
      </c>
      <c r="P172" s="13">
        <f>IF(fCaixa[[#This Row],[Lançamento]]="RECEITA",(fCaixa[[#This Row],[Qtd/Kg]]*fCaixa[[#This Row],[Custo/KG.]]),0)</f>
        <v>73</v>
      </c>
      <c r="Q172" s="34">
        <f>fCaixa[[#This Row],[Custoprimario]]+fCaixa[[#This Row],[Total Perdido]]</f>
        <v>75</v>
      </c>
      <c r="R172" s="16">
        <f>IFERROR(fCaixa[[#This Row],[Custoprimario]]/fCaixa[[#This Row],[Venda]],0)</f>
        <v>0.5</v>
      </c>
      <c r="S172" s="16">
        <f>IFERROR(fCaixa[[#This Row],[Custofinal]]/fCaixa[[#This Row],[Venda]],0)</f>
        <v>0.51369863013698636</v>
      </c>
      <c r="T172" s="13">
        <f>IF(fCaixa[[#This Row],[Lançamento]]="RECEITA",fCaixa[[#This Row],[Venda]]-fCaixa[[#This Row],[Custoprimario]],0)</f>
        <v>73</v>
      </c>
      <c r="U172" s="16">
        <f>IFERROR(fCaixa[[#This Row],[Lucroprimario]]/fCaixa[[#This Row],[Venda]],0)</f>
        <v>0.5</v>
      </c>
      <c r="V17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71</v>
      </c>
      <c r="W172" s="16">
        <f>IFERROR(fCaixa[[#This Row],[Lucrofinal]]/fCaixa[[#This Row],[Venda]],0)</f>
        <v>0.4863013698630137</v>
      </c>
    </row>
    <row r="173" spans="1:23" ht="16.5" hidden="1" x14ac:dyDescent="0.25">
      <c r="A173" s="17">
        <f t="shared" si="2"/>
        <v>172</v>
      </c>
      <c r="B173" s="87">
        <v>43131</v>
      </c>
      <c r="C173" s="12" t="s">
        <v>24</v>
      </c>
      <c r="D173" s="12" t="s">
        <v>25</v>
      </c>
      <c r="E173" s="12" t="s">
        <v>35</v>
      </c>
      <c r="F173" s="12" t="s">
        <v>28</v>
      </c>
      <c r="G173" s="13">
        <v>100</v>
      </c>
      <c r="H173" s="13">
        <v>1</v>
      </c>
      <c r="I173" s="13">
        <v>10</v>
      </c>
      <c r="J173" s="14">
        <v>10</v>
      </c>
      <c r="K173" s="17">
        <f>IFERROR(ROUND((fCaixa[[#This Row],[Venda]]/fCaixa[[#This Row],[Preço/Un.]]),0),0)</f>
        <v>100</v>
      </c>
      <c r="L173" s="15">
        <f>IFERROR((SUBSTITUTE(RIGHT(fCaixa[[#This Row],[Descrição]],3),"G","")*1 *fCaixa[[#This Row],[Qtd/Pães]]) / 1000,0)</f>
        <v>5</v>
      </c>
      <c r="M173" s="13">
        <f>IFERROR((((SUBSTITUTE(RIGHT(fCaixa[[#This Row],[Descrição]],3),"G","")*1) * fCaixa[[#This Row],[QTD Perdida]])/1000) *fCaixa[[#This Row],[Custo/KG.]],0)</f>
        <v>5</v>
      </c>
      <c r="N173" s="15">
        <f>IF(fCaixa[[#This Row],[Lançamento]]="RECEITA",(fCaixa[[#This Row],[QTD Perdida]]* (SUBSTITUTE(RIGHT(fCaixa[[#This Row],[Descrição]],3),"G","")*1))/1000,0)</f>
        <v>0.5</v>
      </c>
      <c r="O173" s="15">
        <f>fCaixa[[#This Row],[Qtd/Kg]]+fCaixa[[#This Row],[Qtd/Kg Perdido]]</f>
        <v>5.5</v>
      </c>
      <c r="P173" s="13">
        <f>IF(fCaixa[[#This Row],[Lançamento]]="RECEITA",(fCaixa[[#This Row],[Qtd/Kg]]*fCaixa[[#This Row],[Custo/KG.]]),0)</f>
        <v>50</v>
      </c>
      <c r="Q173" s="34">
        <f>fCaixa[[#This Row],[Custoprimario]]+fCaixa[[#This Row],[Total Perdido]]</f>
        <v>55</v>
      </c>
      <c r="R173" s="16">
        <f>IFERROR(fCaixa[[#This Row],[Custoprimario]]/fCaixa[[#This Row],[Venda]],0)</f>
        <v>0.5</v>
      </c>
      <c r="S173" s="16">
        <f>IFERROR(fCaixa[[#This Row],[Custofinal]]/fCaixa[[#This Row],[Venda]],0)</f>
        <v>0.55000000000000004</v>
      </c>
      <c r="T173" s="13">
        <f>IF(fCaixa[[#This Row],[Lançamento]]="RECEITA",fCaixa[[#This Row],[Venda]]-fCaixa[[#This Row],[Custoprimario]],0)</f>
        <v>50</v>
      </c>
      <c r="U173" s="16">
        <f>IFERROR(fCaixa[[#This Row],[Lucroprimario]]/fCaixa[[#This Row],[Venda]],0)</f>
        <v>0.5</v>
      </c>
      <c r="V17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45</v>
      </c>
      <c r="W173" s="16">
        <f>IFERROR(fCaixa[[#This Row],[Lucrofinal]]/fCaixa[[#This Row],[Venda]],0)</f>
        <v>0.45</v>
      </c>
    </row>
    <row r="174" spans="1:23" ht="16.5" hidden="1" x14ac:dyDescent="0.25">
      <c r="A174" s="17">
        <f t="shared" si="2"/>
        <v>173</v>
      </c>
      <c r="B174" s="87">
        <v>43132</v>
      </c>
      <c r="C174" s="12" t="s">
        <v>24</v>
      </c>
      <c r="D174" s="12" t="s">
        <v>25</v>
      </c>
      <c r="E174" s="12" t="s">
        <v>35</v>
      </c>
      <c r="F174" s="12" t="s">
        <v>28</v>
      </c>
      <c r="G174" s="13">
        <v>158</v>
      </c>
      <c r="H174" s="13">
        <v>1</v>
      </c>
      <c r="I174" s="13">
        <v>10</v>
      </c>
      <c r="J174" s="14">
        <v>22</v>
      </c>
      <c r="K174" s="17">
        <f>IFERROR(ROUND((fCaixa[[#This Row],[Venda]]/fCaixa[[#This Row],[Preço/Un.]]),0),0)</f>
        <v>158</v>
      </c>
      <c r="L174" s="15">
        <f>IFERROR((SUBSTITUTE(RIGHT(fCaixa[[#This Row],[Descrição]],3),"G","")*1 *fCaixa[[#This Row],[Qtd/Pães]]) / 1000,0)</f>
        <v>7.9</v>
      </c>
      <c r="M174" s="13">
        <f>IFERROR((((SUBSTITUTE(RIGHT(fCaixa[[#This Row],[Descrição]],3),"G","")*1) * fCaixa[[#This Row],[QTD Perdida]])/1000) *fCaixa[[#This Row],[Custo/KG.]],0)</f>
        <v>11</v>
      </c>
      <c r="N174" s="15">
        <f>IF(fCaixa[[#This Row],[Lançamento]]="RECEITA",(fCaixa[[#This Row],[QTD Perdida]]* (SUBSTITUTE(RIGHT(fCaixa[[#This Row],[Descrição]],3),"G","")*1))/1000,0)</f>
        <v>1.1000000000000001</v>
      </c>
      <c r="O174" s="15">
        <f>fCaixa[[#This Row],[Qtd/Kg]]+fCaixa[[#This Row],[Qtd/Kg Perdido]]</f>
        <v>9</v>
      </c>
      <c r="P174" s="13">
        <f>IF(fCaixa[[#This Row],[Lançamento]]="RECEITA",(fCaixa[[#This Row],[Qtd/Kg]]*fCaixa[[#This Row],[Custo/KG.]]),0)</f>
        <v>79</v>
      </c>
      <c r="Q174" s="34">
        <f>fCaixa[[#This Row],[Custoprimario]]+fCaixa[[#This Row],[Total Perdido]]</f>
        <v>90</v>
      </c>
      <c r="R174" s="16">
        <f>IFERROR(fCaixa[[#This Row],[Custoprimario]]/fCaixa[[#This Row],[Venda]],0)</f>
        <v>0.5</v>
      </c>
      <c r="S174" s="16">
        <f>IFERROR(fCaixa[[#This Row],[Custofinal]]/fCaixa[[#This Row],[Venda]],0)</f>
        <v>0.569620253164557</v>
      </c>
      <c r="T174" s="13">
        <f>IF(fCaixa[[#This Row],[Lançamento]]="RECEITA",fCaixa[[#This Row],[Venda]]-fCaixa[[#This Row],[Custoprimario]],0)</f>
        <v>79</v>
      </c>
      <c r="U174" s="16">
        <f>IFERROR(fCaixa[[#This Row],[Lucroprimario]]/fCaixa[[#This Row],[Venda]],0)</f>
        <v>0.5</v>
      </c>
      <c r="V17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68</v>
      </c>
      <c r="W174" s="16">
        <f>IFERROR(fCaixa[[#This Row],[Lucrofinal]]/fCaixa[[#This Row],[Venda]],0)</f>
        <v>0.43037974683544306</v>
      </c>
    </row>
    <row r="175" spans="1:23" ht="16.5" hidden="1" x14ac:dyDescent="0.25">
      <c r="A175" s="17">
        <f t="shared" si="2"/>
        <v>174</v>
      </c>
      <c r="B175" s="87">
        <v>43133</v>
      </c>
      <c r="C175" s="12" t="s">
        <v>24</v>
      </c>
      <c r="D175" s="12" t="s">
        <v>25</v>
      </c>
      <c r="E175" s="12" t="s">
        <v>35</v>
      </c>
      <c r="F175" s="12" t="s">
        <v>28</v>
      </c>
      <c r="G175" s="13">
        <v>120</v>
      </c>
      <c r="H175" s="13">
        <v>1</v>
      </c>
      <c r="I175" s="13">
        <v>10</v>
      </c>
      <c r="J175" s="14">
        <v>0</v>
      </c>
      <c r="K175" s="17">
        <f>IFERROR(ROUND((fCaixa[[#This Row],[Venda]]/fCaixa[[#This Row],[Preço/Un.]]),0),0)</f>
        <v>120</v>
      </c>
      <c r="L175" s="15">
        <f>IFERROR((SUBSTITUTE(RIGHT(fCaixa[[#This Row],[Descrição]],3),"G","")*1 *fCaixa[[#This Row],[Qtd/Pães]]) / 1000,0)</f>
        <v>6</v>
      </c>
      <c r="M175" s="13">
        <f>IFERROR((((SUBSTITUTE(RIGHT(fCaixa[[#This Row],[Descrição]],3),"G","")*1) * fCaixa[[#This Row],[QTD Perdida]])/1000) *fCaixa[[#This Row],[Custo/KG.]],0)</f>
        <v>0</v>
      </c>
      <c r="N175" s="15">
        <f>IF(fCaixa[[#This Row],[Lançamento]]="RECEITA",(fCaixa[[#This Row],[QTD Perdida]]* (SUBSTITUTE(RIGHT(fCaixa[[#This Row],[Descrição]],3),"G","")*1))/1000,0)</f>
        <v>0</v>
      </c>
      <c r="O175" s="15">
        <f>fCaixa[[#This Row],[Qtd/Kg]]+fCaixa[[#This Row],[Qtd/Kg Perdido]]</f>
        <v>6</v>
      </c>
      <c r="P175" s="13">
        <f>IF(fCaixa[[#This Row],[Lançamento]]="RECEITA",(fCaixa[[#This Row],[Qtd/Kg]]*fCaixa[[#This Row],[Custo/KG.]]),0)</f>
        <v>60</v>
      </c>
      <c r="Q175" s="34">
        <f>fCaixa[[#This Row],[Custoprimario]]+fCaixa[[#This Row],[Total Perdido]]</f>
        <v>60</v>
      </c>
      <c r="R175" s="16">
        <f>IFERROR(fCaixa[[#This Row],[Custoprimario]]/fCaixa[[#This Row],[Venda]],0)</f>
        <v>0.5</v>
      </c>
      <c r="S175" s="16">
        <f>IFERROR(fCaixa[[#This Row],[Custofinal]]/fCaixa[[#This Row],[Venda]],0)</f>
        <v>0.5</v>
      </c>
      <c r="T175" s="13">
        <f>IF(fCaixa[[#This Row],[Lançamento]]="RECEITA",fCaixa[[#This Row],[Venda]]-fCaixa[[#This Row],[Custoprimario]],0)</f>
        <v>60</v>
      </c>
      <c r="U175" s="16">
        <f>IFERROR(fCaixa[[#This Row],[Lucroprimario]]/fCaixa[[#This Row],[Venda]],0)</f>
        <v>0.5</v>
      </c>
      <c r="V17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60</v>
      </c>
      <c r="W175" s="16">
        <f>IFERROR(fCaixa[[#This Row],[Lucrofinal]]/fCaixa[[#This Row],[Venda]],0)</f>
        <v>0.5</v>
      </c>
    </row>
    <row r="176" spans="1:23" ht="16.5" hidden="1" x14ac:dyDescent="0.25">
      <c r="A176" s="17">
        <f t="shared" si="2"/>
        <v>175</v>
      </c>
      <c r="B176" s="87">
        <v>43135</v>
      </c>
      <c r="C176" s="12" t="s">
        <v>29</v>
      </c>
      <c r="D176" s="12" t="s">
        <v>25</v>
      </c>
      <c r="E176" s="12" t="s">
        <v>32</v>
      </c>
      <c r="F176" s="12" t="s">
        <v>28</v>
      </c>
      <c r="G176" s="13">
        <v>250</v>
      </c>
      <c r="H176" s="13">
        <v>0</v>
      </c>
      <c r="I176" s="13">
        <v>0</v>
      </c>
      <c r="J176" s="14">
        <v>0</v>
      </c>
      <c r="K176" s="17">
        <f>IFERROR(ROUND((fCaixa[[#This Row],[Venda]]/fCaixa[[#This Row],[Preço/Un.]]),0),0)</f>
        <v>0</v>
      </c>
      <c r="L176" s="15">
        <f>IFERROR((SUBSTITUTE(RIGHT(fCaixa[[#This Row],[Descrição]],3),"G","")*1 *fCaixa[[#This Row],[Qtd/Pães]]) / 1000,0)</f>
        <v>0</v>
      </c>
      <c r="M176" s="13">
        <f>IFERROR((((SUBSTITUTE(RIGHT(fCaixa[[#This Row],[Descrição]],3),"G","")*1) * fCaixa[[#This Row],[QTD Perdida]])/1000) *fCaixa[[#This Row],[Custo/KG.]],0)</f>
        <v>0</v>
      </c>
      <c r="N176" s="15">
        <f>IF(fCaixa[[#This Row],[Lançamento]]="RECEITA",(fCaixa[[#This Row],[QTD Perdida]]* (SUBSTITUTE(RIGHT(fCaixa[[#This Row],[Descrição]],3),"G","")*1))/1000,0)</f>
        <v>0</v>
      </c>
      <c r="O176" s="15">
        <f>fCaixa[[#This Row],[Qtd/Kg]]+fCaixa[[#This Row],[Qtd/Kg Perdido]]</f>
        <v>0</v>
      </c>
      <c r="P176" s="13">
        <f>IF(fCaixa[[#This Row],[Lançamento]]="RECEITA",(fCaixa[[#This Row],[Qtd/Kg]]*fCaixa[[#This Row],[Custo/KG.]]),0)</f>
        <v>0</v>
      </c>
      <c r="Q176" s="34">
        <f>fCaixa[[#This Row],[Custoprimario]]+fCaixa[[#This Row],[Total Perdido]]</f>
        <v>0</v>
      </c>
      <c r="R176" s="16">
        <f>IFERROR(fCaixa[[#This Row],[Custoprimario]]/fCaixa[[#This Row],[Venda]],0)</f>
        <v>0</v>
      </c>
      <c r="S176" s="16">
        <f>IFERROR(fCaixa[[#This Row],[Custofinal]]/fCaixa[[#This Row],[Venda]],0)</f>
        <v>0</v>
      </c>
      <c r="T176" s="13">
        <f>IF(fCaixa[[#This Row],[Lançamento]]="RECEITA",fCaixa[[#This Row],[Venda]]-fCaixa[[#This Row],[Custoprimario]],0)</f>
        <v>0</v>
      </c>
      <c r="U176" s="16">
        <f>IFERROR(fCaixa[[#This Row],[Lucroprimario]]/fCaixa[[#This Row],[Venda]],0)</f>
        <v>0</v>
      </c>
      <c r="V17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76" s="16">
        <f>IFERROR(fCaixa[[#This Row],[Lucrofinal]]/fCaixa[[#This Row],[Venda]],0)</f>
        <v>0</v>
      </c>
    </row>
    <row r="177" spans="1:23" ht="16.5" hidden="1" x14ac:dyDescent="0.25">
      <c r="A177" s="17">
        <f t="shared" si="2"/>
        <v>176</v>
      </c>
      <c r="B177" s="87">
        <v>43136</v>
      </c>
      <c r="C177" s="12" t="s">
        <v>24</v>
      </c>
      <c r="D177" s="12" t="s">
        <v>25</v>
      </c>
      <c r="E177" s="12" t="s">
        <v>35</v>
      </c>
      <c r="F177" s="12" t="s">
        <v>28</v>
      </c>
      <c r="G177" s="13">
        <v>140</v>
      </c>
      <c r="H177" s="13">
        <v>1</v>
      </c>
      <c r="I177" s="13">
        <v>10</v>
      </c>
      <c r="J177" s="14">
        <v>0</v>
      </c>
      <c r="K177" s="17">
        <f>IFERROR(ROUND((fCaixa[[#This Row],[Venda]]/fCaixa[[#This Row],[Preço/Un.]]),0),0)</f>
        <v>140</v>
      </c>
      <c r="L177" s="15">
        <f>IFERROR((SUBSTITUTE(RIGHT(fCaixa[[#This Row],[Descrição]],3),"G","")*1 *fCaixa[[#This Row],[Qtd/Pães]]) / 1000,0)</f>
        <v>7</v>
      </c>
      <c r="M177" s="13">
        <f>IFERROR((((SUBSTITUTE(RIGHT(fCaixa[[#This Row],[Descrição]],3),"G","")*1) * fCaixa[[#This Row],[QTD Perdida]])/1000) *fCaixa[[#This Row],[Custo/KG.]],0)</f>
        <v>0</v>
      </c>
      <c r="N177" s="15">
        <f>IF(fCaixa[[#This Row],[Lançamento]]="RECEITA",(fCaixa[[#This Row],[QTD Perdida]]* (SUBSTITUTE(RIGHT(fCaixa[[#This Row],[Descrição]],3),"G","")*1))/1000,0)</f>
        <v>0</v>
      </c>
      <c r="O177" s="15">
        <f>fCaixa[[#This Row],[Qtd/Kg]]+fCaixa[[#This Row],[Qtd/Kg Perdido]]</f>
        <v>7</v>
      </c>
      <c r="P177" s="13">
        <f>IF(fCaixa[[#This Row],[Lançamento]]="RECEITA",(fCaixa[[#This Row],[Qtd/Kg]]*fCaixa[[#This Row],[Custo/KG.]]),0)</f>
        <v>70</v>
      </c>
      <c r="Q177" s="34">
        <f>fCaixa[[#This Row],[Custoprimario]]+fCaixa[[#This Row],[Total Perdido]]</f>
        <v>70</v>
      </c>
      <c r="R177" s="16">
        <f>IFERROR(fCaixa[[#This Row],[Custoprimario]]/fCaixa[[#This Row],[Venda]],0)</f>
        <v>0.5</v>
      </c>
      <c r="S177" s="16">
        <f>IFERROR(fCaixa[[#This Row],[Custofinal]]/fCaixa[[#This Row],[Venda]],0)</f>
        <v>0.5</v>
      </c>
      <c r="T177" s="13">
        <f>IF(fCaixa[[#This Row],[Lançamento]]="RECEITA",fCaixa[[#This Row],[Venda]]-fCaixa[[#This Row],[Custoprimario]],0)</f>
        <v>70</v>
      </c>
      <c r="U177" s="16">
        <f>IFERROR(fCaixa[[#This Row],[Lucroprimario]]/fCaixa[[#This Row],[Venda]],0)</f>
        <v>0.5</v>
      </c>
      <c r="V17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70</v>
      </c>
      <c r="W177" s="16">
        <f>IFERROR(fCaixa[[#This Row],[Lucrofinal]]/fCaixa[[#This Row],[Venda]],0)</f>
        <v>0.5</v>
      </c>
    </row>
    <row r="178" spans="1:23" ht="16.5" hidden="1" x14ac:dyDescent="0.25">
      <c r="A178" s="17">
        <f t="shared" si="2"/>
        <v>177</v>
      </c>
      <c r="B178" s="87">
        <v>43137</v>
      </c>
      <c r="C178" s="12" t="s">
        <v>24</v>
      </c>
      <c r="D178" s="12" t="s">
        <v>25</v>
      </c>
      <c r="E178" s="12" t="s">
        <v>35</v>
      </c>
      <c r="F178" s="12" t="s">
        <v>28</v>
      </c>
      <c r="G178" s="13">
        <v>200</v>
      </c>
      <c r="H178" s="13">
        <v>1</v>
      </c>
      <c r="I178" s="13">
        <v>10</v>
      </c>
      <c r="J178" s="14">
        <v>1</v>
      </c>
      <c r="K178" s="17">
        <f>IFERROR(ROUND((fCaixa[[#This Row],[Venda]]/fCaixa[[#This Row],[Preço/Un.]]),0),0)</f>
        <v>200</v>
      </c>
      <c r="L178" s="15">
        <f>IFERROR((SUBSTITUTE(RIGHT(fCaixa[[#This Row],[Descrição]],3),"G","")*1 *fCaixa[[#This Row],[Qtd/Pães]]) / 1000,0)</f>
        <v>10</v>
      </c>
      <c r="M178" s="13">
        <f>IFERROR((((SUBSTITUTE(RIGHT(fCaixa[[#This Row],[Descrição]],3),"G","")*1) * fCaixa[[#This Row],[QTD Perdida]])/1000) *fCaixa[[#This Row],[Custo/KG.]],0)</f>
        <v>0.5</v>
      </c>
      <c r="N178" s="15">
        <f>IF(fCaixa[[#This Row],[Lançamento]]="RECEITA",(fCaixa[[#This Row],[QTD Perdida]]* (SUBSTITUTE(RIGHT(fCaixa[[#This Row],[Descrição]],3),"G","")*1))/1000,0)</f>
        <v>0.05</v>
      </c>
      <c r="O178" s="15">
        <f>fCaixa[[#This Row],[Qtd/Kg]]+fCaixa[[#This Row],[Qtd/Kg Perdido]]</f>
        <v>10.050000000000001</v>
      </c>
      <c r="P178" s="13">
        <f>IF(fCaixa[[#This Row],[Lançamento]]="RECEITA",(fCaixa[[#This Row],[Qtd/Kg]]*fCaixa[[#This Row],[Custo/KG.]]),0)</f>
        <v>100</v>
      </c>
      <c r="Q178" s="34">
        <f>fCaixa[[#This Row],[Custoprimario]]+fCaixa[[#This Row],[Total Perdido]]</f>
        <v>100.5</v>
      </c>
      <c r="R178" s="16">
        <f>IFERROR(fCaixa[[#This Row],[Custoprimario]]/fCaixa[[#This Row],[Venda]],0)</f>
        <v>0.5</v>
      </c>
      <c r="S178" s="16">
        <f>IFERROR(fCaixa[[#This Row],[Custofinal]]/fCaixa[[#This Row],[Venda]],0)</f>
        <v>0.50249999999999995</v>
      </c>
      <c r="T178" s="13">
        <f>IF(fCaixa[[#This Row],[Lançamento]]="RECEITA",fCaixa[[#This Row],[Venda]]-fCaixa[[#This Row],[Custoprimario]],0)</f>
        <v>100</v>
      </c>
      <c r="U178" s="16">
        <f>IFERROR(fCaixa[[#This Row],[Lucroprimario]]/fCaixa[[#This Row],[Venda]],0)</f>
        <v>0.5</v>
      </c>
      <c r="V17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99.5</v>
      </c>
      <c r="W178" s="16">
        <f>IFERROR(fCaixa[[#This Row],[Lucrofinal]]/fCaixa[[#This Row],[Venda]],0)</f>
        <v>0.4975</v>
      </c>
    </row>
    <row r="179" spans="1:23" ht="16.5" hidden="1" x14ac:dyDescent="0.25">
      <c r="A179" s="17">
        <f t="shared" si="2"/>
        <v>178</v>
      </c>
      <c r="B179" s="87">
        <v>43138</v>
      </c>
      <c r="C179" s="12" t="s">
        <v>24</v>
      </c>
      <c r="D179" s="12" t="s">
        <v>25</v>
      </c>
      <c r="E179" s="12" t="s">
        <v>35</v>
      </c>
      <c r="F179" s="12" t="s">
        <v>28</v>
      </c>
      <c r="G179" s="13">
        <v>135</v>
      </c>
      <c r="H179" s="13">
        <v>1</v>
      </c>
      <c r="I179" s="13">
        <v>10</v>
      </c>
      <c r="J179" s="14">
        <v>0</v>
      </c>
      <c r="K179" s="17">
        <f>IFERROR(ROUND((fCaixa[[#This Row],[Venda]]/fCaixa[[#This Row],[Preço/Un.]]),0),0)</f>
        <v>135</v>
      </c>
      <c r="L179" s="15">
        <f>IFERROR((SUBSTITUTE(RIGHT(fCaixa[[#This Row],[Descrição]],3),"G","")*1 *fCaixa[[#This Row],[Qtd/Pães]]) / 1000,0)</f>
        <v>6.75</v>
      </c>
      <c r="M179" s="13">
        <f>IFERROR((((SUBSTITUTE(RIGHT(fCaixa[[#This Row],[Descrição]],3),"G","")*1) * fCaixa[[#This Row],[QTD Perdida]])/1000) *fCaixa[[#This Row],[Custo/KG.]],0)</f>
        <v>0</v>
      </c>
      <c r="N179" s="15">
        <f>IF(fCaixa[[#This Row],[Lançamento]]="RECEITA",(fCaixa[[#This Row],[QTD Perdida]]* (SUBSTITUTE(RIGHT(fCaixa[[#This Row],[Descrição]],3),"G","")*1))/1000,0)</f>
        <v>0</v>
      </c>
      <c r="O179" s="15">
        <f>fCaixa[[#This Row],[Qtd/Kg]]+fCaixa[[#This Row],[Qtd/Kg Perdido]]</f>
        <v>6.75</v>
      </c>
      <c r="P179" s="13">
        <f>IF(fCaixa[[#This Row],[Lançamento]]="RECEITA",(fCaixa[[#This Row],[Qtd/Kg]]*fCaixa[[#This Row],[Custo/KG.]]),0)</f>
        <v>67.5</v>
      </c>
      <c r="Q179" s="34">
        <f>fCaixa[[#This Row],[Custoprimario]]+fCaixa[[#This Row],[Total Perdido]]</f>
        <v>67.5</v>
      </c>
      <c r="R179" s="16">
        <f>IFERROR(fCaixa[[#This Row],[Custoprimario]]/fCaixa[[#This Row],[Venda]],0)</f>
        <v>0.5</v>
      </c>
      <c r="S179" s="16">
        <f>IFERROR(fCaixa[[#This Row],[Custofinal]]/fCaixa[[#This Row],[Venda]],0)</f>
        <v>0.5</v>
      </c>
      <c r="T179" s="13">
        <f>IF(fCaixa[[#This Row],[Lançamento]]="RECEITA",fCaixa[[#This Row],[Venda]]-fCaixa[[#This Row],[Custoprimario]],0)</f>
        <v>67.5</v>
      </c>
      <c r="U179" s="16">
        <f>IFERROR(fCaixa[[#This Row],[Lucroprimario]]/fCaixa[[#This Row],[Venda]],0)</f>
        <v>0.5</v>
      </c>
      <c r="V17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67.5</v>
      </c>
      <c r="W179" s="16">
        <f>IFERROR(fCaixa[[#This Row],[Lucrofinal]]/fCaixa[[#This Row],[Venda]],0)</f>
        <v>0.5</v>
      </c>
    </row>
    <row r="180" spans="1:23" ht="16.5" hidden="1" x14ac:dyDescent="0.25">
      <c r="A180" s="17">
        <f t="shared" si="2"/>
        <v>179</v>
      </c>
      <c r="B180" s="87">
        <v>43139</v>
      </c>
      <c r="C180" s="12" t="s">
        <v>24</v>
      </c>
      <c r="D180" s="12" t="s">
        <v>25</v>
      </c>
      <c r="E180" s="12" t="s">
        <v>35</v>
      </c>
      <c r="F180" s="12" t="s">
        <v>28</v>
      </c>
      <c r="G180" s="13">
        <v>117</v>
      </c>
      <c r="H180" s="13">
        <v>1</v>
      </c>
      <c r="I180" s="13">
        <v>10</v>
      </c>
      <c r="J180" s="14">
        <v>3</v>
      </c>
      <c r="K180" s="17">
        <f>IFERROR(ROUND((fCaixa[[#This Row],[Venda]]/fCaixa[[#This Row],[Preço/Un.]]),0),0)</f>
        <v>117</v>
      </c>
      <c r="L180" s="15">
        <f>IFERROR((SUBSTITUTE(RIGHT(fCaixa[[#This Row],[Descrição]],3),"G","")*1 *fCaixa[[#This Row],[Qtd/Pães]]) / 1000,0)</f>
        <v>5.85</v>
      </c>
      <c r="M180" s="13">
        <f>IFERROR((((SUBSTITUTE(RIGHT(fCaixa[[#This Row],[Descrição]],3),"G","")*1) * fCaixa[[#This Row],[QTD Perdida]])/1000) *fCaixa[[#This Row],[Custo/KG.]],0)</f>
        <v>1.5</v>
      </c>
      <c r="N180" s="15">
        <f>IF(fCaixa[[#This Row],[Lançamento]]="RECEITA",(fCaixa[[#This Row],[QTD Perdida]]* (SUBSTITUTE(RIGHT(fCaixa[[#This Row],[Descrição]],3),"G","")*1))/1000,0)</f>
        <v>0.15</v>
      </c>
      <c r="O180" s="15">
        <f>fCaixa[[#This Row],[Qtd/Kg]]+fCaixa[[#This Row],[Qtd/Kg Perdido]]</f>
        <v>6</v>
      </c>
      <c r="P180" s="13">
        <f>IF(fCaixa[[#This Row],[Lançamento]]="RECEITA",(fCaixa[[#This Row],[Qtd/Kg]]*fCaixa[[#This Row],[Custo/KG.]]),0)</f>
        <v>58.5</v>
      </c>
      <c r="Q180" s="34">
        <f>fCaixa[[#This Row],[Custoprimario]]+fCaixa[[#This Row],[Total Perdido]]</f>
        <v>60</v>
      </c>
      <c r="R180" s="16">
        <f>IFERROR(fCaixa[[#This Row],[Custoprimario]]/fCaixa[[#This Row],[Venda]],0)</f>
        <v>0.5</v>
      </c>
      <c r="S180" s="16">
        <f>IFERROR(fCaixa[[#This Row],[Custofinal]]/fCaixa[[#This Row],[Venda]],0)</f>
        <v>0.51282051282051277</v>
      </c>
      <c r="T180" s="13">
        <f>IF(fCaixa[[#This Row],[Lançamento]]="RECEITA",fCaixa[[#This Row],[Venda]]-fCaixa[[#This Row],[Custoprimario]],0)</f>
        <v>58.5</v>
      </c>
      <c r="U180" s="16">
        <f>IFERROR(fCaixa[[#This Row],[Lucroprimario]]/fCaixa[[#This Row],[Venda]],0)</f>
        <v>0.5</v>
      </c>
      <c r="V18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57</v>
      </c>
      <c r="W180" s="16">
        <f>IFERROR(fCaixa[[#This Row],[Lucrofinal]]/fCaixa[[#This Row],[Venda]],0)</f>
        <v>0.48717948717948717</v>
      </c>
    </row>
    <row r="181" spans="1:23" ht="16.5" hidden="1" x14ac:dyDescent="0.25">
      <c r="A181" s="17">
        <f t="shared" si="2"/>
        <v>180</v>
      </c>
      <c r="B181" s="87">
        <v>43140</v>
      </c>
      <c r="C181" s="12" t="s">
        <v>24</v>
      </c>
      <c r="D181" s="12" t="s">
        <v>25</v>
      </c>
      <c r="E181" s="12" t="s">
        <v>35</v>
      </c>
      <c r="F181" s="12" t="s">
        <v>28</v>
      </c>
      <c r="G181" s="13">
        <v>110</v>
      </c>
      <c r="H181" s="13">
        <v>1</v>
      </c>
      <c r="I181" s="13">
        <v>10</v>
      </c>
      <c r="J181" s="14">
        <v>0</v>
      </c>
      <c r="K181" s="17">
        <f>IFERROR(ROUND((fCaixa[[#This Row],[Venda]]/fCaixa[[#This Row],[Preço/Un.]]),0),0)</f>
        <v>110</v>
      </c>
      <c r="L181" s="15">
        <f>IFERROR((SUBSTITUTE(RIGHT(fCaixa[[#This Row],[Descrição]],3),"G","")*1 *fCaixa[[#This Row],[Qtd/Pães]]) / 1000,0)</f>
        <v>5.5</v>
      </c>
      <c r="M181" s="13">
        <f>IFERROR((((SUBSTITUTE(RIGHT(fCaixa[[#This Row],[Descrição]],3),"G","")*1) * fCaixa[[#This Row],[QTD Perdida]])/1000) *fCaixa[[#This Row],[Custo/KG.]],0)</f>
        <v>0</v>
      </c>
      <c r="N181" s="15">
        <f>IF(fCaixa[[#This Row],[Lançamento]]="RECEITA",(fCaixa[[#This Row],[QTD Perdida]]* (SUBSTITUTE(RIGHT(fCaixa[[#This Row],[Descrição]],3),"G","")*1))/1000,0)</f>
        <v>0</v>
      </c>
      <c r="O181" s="15">
        <f>fCaixa[[#This Row],[Qtd/Kg]]+fCaixa[[#This Row],[Qtd/Kg Perdido]]</f>
        <v>5.5</v>
      </c>
      <c r="P181" s="13">
        <f>IF(fCaixa[[#This Row],[Lançamento]]="RECEITA",(fCaixa[[#This Row],[Qtd/Kg]]*fCaixa[[#This Row],[Custo/KG.]]),0)</f>
        <v>55</v>
      </c>
      <c r="Q181" s="34">
        <f>fCaixa[[#This Row],[Custoprimario]]+fCaixa[[#This Row],[Total Perdido]]</f>
        <v>55</v>
      </c>
      <c r="R181" s="16">
        <f>IFERROR(fCaixa[[#This Row],[Custoprimario]]/fCaixa[[#This Row],[Venda]],0)</f>
        <v>0.5</v>
      </c>
      <c r="S181" s="16">
        <f>IFERROR(fCaixa[[#This Row],[Custofinal]]/fCaixa[[#This Row],[Venda]],0)</f>
        <v>0.5</v>
      </c>
      <c r="T181" s="13">
        <f>IF(fCaixa[[#This Row],[Lançamento]]="RECEITA",fCaixa[[#This Row],[Venda]]-fCaixa[[#This Row],[Custoprimario]],0)</f>
        <v>55</v>
      </c>
      <c r="U181" s="16">
        <f>IFERROR(fCaixa[[#This Row],[Lucroprimario]]/fCaixa[[#This Row],[Venda]],0)</f>
        <v>0.5</v>
      </c>
      <c r="V18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55</v>
      </c>
      <c r="W181" s="16">
        <f>IFERROR(fCaixa[[#This Row],[Lucrofinal]]/fCaixa[[#This Row],[Venda]],0)</f>
        <v>0.5</v>
      </c>
    </row>
    <row r="182" spans="1:23" ht="16.5" hidden="1" x14ac:dyDescent="0.25">
      <c r="A182" s="17">
        <f t="shared" si="2"/>
        <v>181</v>
      </c>
      <c r="B182" s="87">
        <v>43143</v>
      </c>
      <c r="C182" s="12" t="s">
        <v>24</v>
      </c>
      <c r="D182" s="12" t="s">
        <v>25</v>
      </c>
      <c r="E182" s="12" t="s">
        <v>35</v>
      </c>
      <c r="F182" s="12" t="s">
        <v>28</v>
      </c>
      <c r="G182" s="13">
        <v>41</v>
      </c>
      <c r="H182" s="13">
        <v>1</v>
      </c>
      <c r="I182" s="13">
        <v>10</v>
      </c>
      <c r="J182" s="14">
        <v>4</v>
      </c>
      <c r="K182" s="17">
        <f>IFERROR(ROUND((fCaixa[[#This Row],[Venda]]/fCaixa[[#This Row],[Preço/Un.]]),0),0)</f>
        <v>41</v>
      </c>
      <c r="L182" s="15">
        <f>IFERROR((SUBSTITUTE(RIGHT(fCaixa[[#This Row],[Descrição]],3),"G","")*1 *fCaixa[[#This Row],[Qtd/Pães]]) / 1000,0)</f>
        <v>2.0499999999999998</v>
      </c>
      <c r="M182" s="13">
        <f>IFERROR((((SUBSTITUTE(RIGHT(fCaixa[[#This Row],[Descrição]],3),"G","")*1) * fCaixa[[#This Row],[QTD Perdida]])/1000) *fCaixa[[#This Row],[Custo/KG.]],0)</f>
        <v>2</v>
      </c>
      <c r="N182" s="15">
        <f>IF(fCaixa[[#This Row],[Lançamento]]="RECEITA",(fCaixa[[#This Row],[QTD Perdida]]* (SUBSTITUTE(RIGHT(fCaixa[[#This Row],[Descrição]],3),"G","")*1))/1000,0)</f>
        <v>0.2</v>
      </c>
      <c r="O182" s="15">
        <f>fCaixa[[#This Row],[Qtd/Kg]]+fCaixa[[#This Row],[Qtd/Kg Perdido]]</f>
        <v>2.25</v>
      </c>
      <c r="P182" s="13">
        <f>IF(fCaixa[[#This Row],[Lançamento]]="RECEITA",(fCaixa[[#This Row],[Qtd/Kg]]*fCaixa[[#This Row],[Custo/KG.]]),0)</f>
        <v>20.5</v>
      </c>
      <c r="Q182" s="34">
        <f>fCaixa[[#This Row],[Custoprimario]]+fCaixa[[#This Row],[Total Perdido]]</f>
        <v>22.5</v>
      </c>
      <c r="R182" s="16">
        <f>IFERROR(fCaixa[[#This Row],[Custoprimario]]/fCaixa[[#This Row],[Venda]],0)</f>
        <v>0.5</v>
      </c>
      <c r="S182" s="16">
        <f>IFERROR(fCaixa[[#This Row],[Custofinal]]/fCaixa[[#This Row],[Venda]],0)</f>
        <v>0.54878048780487809</v>
      </c>
      <c r="T182" s="13">
        <f>IF(fCaixa[[#This Row],[Lançamento]]="RECEITA",fCaixa[[#This Row],[Venda]]-fCaixa[[#This Row],[Custoprimario]],0)</f>
        <v>20.5</v>
      </c>
      <c r="U182" s="16">
        <f>IFERROR(fCaixa[[#This Row],[Lucroprimario]]/fCaixa[[#This Row],[Venda]],0)</f>
        <v>0.5</v>
      </c>
      <c r="V18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18.5</v>
      </c>
      <c r="W182" s="16">
        <f>IFERROR(fCaixa[[#This Row],[Lucrofinal]]/fCaixa[[#This Row],[Venda]],0)</f>
        <v>0.45121951219512196</v>
      </c>
    </row>
    <row r="183" spans="1:23" ht="16.5" hidden="1" x14ac:dyDescent="0.25">
      <c r="A183" s="17">
        <f t="shared" si="2"/>
        <v>182</v>
      </c>
      <c r="B183" s="87">
        <v>43146</v>
      </c>
      <c r="C183" s="12" t="s">
        <v>24</v>
      </c>
      <c r="D183" s="12" t="s">
        <v>25</v>
      </c>
      <c r="E183" s="12" t="s">
        <v>35</v>
      </c>
      <c r="F183" s="12" t="s">
        <v>28</v>
      </c>
      <c r="G183" s="13">
        <v>200</v>
      </c>
      <c r="H183" s="13">
        <v>1</v>
      </c>
      <c r="I183" s="13">
        <v>10</v>
      </c>
      <c r="J183" s="14">
        <v>0</v>
      </c>
      <c r="K183" s="17">
        <f>IFERROR(ROUND((fCaixa[[#This Row],[Venda]]/fCaixa[[#This Row],[Preço/Un.]]),0),0)</f>
        <v>200</v>
      </c>
      <c r="L183" s="15">
        <f>IFERROR((SUBSTITUTE(RIGHT(fCaixa[[#This Row],[Descrição]],3),"G","")*1 *fCaixa[[#This Row],[Qtd/Pães]]) / 1000,0)</f>
        <v>10</v>
      </c>
      <c r="M183" s="13">
        <f>IFERROR((((SUBSTITUTE(RIGHT(fCaixa[[#This Row],[Descrição]],3),"G","")*1) * fCaixa[[#This Row],[QTD Perdida]])/1000) *fCaixa[[#This Row],[Custo/KG.]],0)</f>
        <v>0</v>
      </c>
      <c r="N183" s="15">
        <f>IF(fCaixa[[#This Row],[Lançamento]]="RECEITA",(fCaixa[[#This Row],[QTD Perdida]]* (SUBSTITUTE(RIGHT(fCaixa[[#This Row],[Descrição]],3),"G","")*1))/1000,0)</f>
        <v>0</v>
      </c>
      <c r="O183" s="15">
        <f>fCaixa[[#This Row],[Qtd/Kg]]+fCaixa[[#This Row],[Qtd/Kg Perdido]]</f>
        <v>10</v>
      </c>
      <c r="P183" s="13">
        <f>IF(fCaixa[[#This Row],[Lançamento]]="RECEITA",(fCaixa[[#This Row],[Qtd/Kg]]*fCaixa[[#This Row],[Custo/KG.]]),0)</f>
        <v>100</v>
      </c>
      <c r="Q183" s="34">
        <f>fCaixa[[#This Row],[Custoprimario]]+fCaixa[[#This Row],[Total Perdido]]</f>
        <v>100</v>
      </c>
      <c r="R183" s="16">
        <f>IFERROR(fCaixa[[#This Row],[Custoprimario]]/fCaixa[[#This Row],[Venda]],0)</f>
        <v>0.5</v>
      </c>
      <c r="S183" s="16">
        <f>IFERROR(fCaixa[[#This Row],[Custofinal]]/fCaixa[[#This Row],[Venda]],0)</f>
        <v>0.5</v>
      </c>
      <c r="T183" s="13">
        <f>IF(fCaixa[[#This Row],[Lançamento]]="RECEITA",fCaixa[[#This Row],[Venda]]-fCaixa[[#This Row],[Custoprimario]],0)</f>
        <v>100</v>
      </c>
      <c r="U183" s="16">
        <f>IFERROR(fCaixa[[#This Row],[Lucroprimario]]/fCaixa[[#This Row],[Venda]],0)</f>
        <v>0.5</v>
      </c>
      <c r="V18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100</v>
      </c>
      <c r="W183" s="16">
        <f>IFERROR(fCaixa[[#This Row],[Lucrofinal]]/fCaixa[[#This Row],[Venda]],0)</f>
        <v>0.5</v>
      </c>
    </row>
    <row r="184" spans="1:23" ht="16.5" hidden="1" x14ac:dyDescent="0.25">
      <c r="A184" s="17">
        <f t="shared" si="2"/>
        <v>183</v>
      </c>
      <c r="B184" s="87">
        <v>43147</v>
      </c>
      <c r="C184" s="12" t="s">
        <v>24</v>
      </c>
      <c r="D184" s="12" t="s">
        <v>25</v>
      </c>
      <c r="E184" s="12" t="s">
        <v>35</v>
      </c>
      <c r="F184" s="12" t="s">
        <v>28</v>
      </c>
      <c r="G184" s="13">
        <v>140</v>
      </c>
      <c r="H184" s="13">
        <v>1</v>
      </c>
      <c r="I184" s="13">
        <v>10</v>
      </c>
      <c r="J184" s="14">
        <v>10</v>
      </c>
      <c r="K184" s="17">
        <f>IFERROR(ROUND((fCaixa[[#This Row],[Venda]]/fCaixa[[#This Row],[Preço/Un.]]),0),0)</f>
        <v>140</v>
      </c>
      <c r="L184" s="15">
        <f>IFERROR((SUBSTITUTE(RIGHT(fCaixa[[#This Row],[Descrição]],3),"G","")*1 *fCaixa[[#This Row],[Qtd/Pães]]) / 1000,0)</f>
        <v>7</v>
      </c>
      <c r="M184" s="13">
        <f>IFERROR((((SUBSTITUTE(RIGHT(fCaixa[[#This Row],[Descrição]],3),"G","")*1) * fCaixa[[#This Row],[QTD Perdida]])/1000) *fCaixa[[#This Row],[Custo/KG.]],0)</f>
        <v>5</v>
      </c>
      <c r="N184" s="15">
        <f>IF(fCaixa[[#This Row],[Lançamento]]="RECEITA",(fCaixa[[#This Row],[QTD Perdida]]* (SUBSTITUTE(RIGHT(fCaixa[[#This Row],[Descrição]],3),"G","")*1))/1000,0)</f>
        <v>0.5</v>
      </c>
      <c r="O184" s="15">
        <f>fCaixa[[#This Row],[Qtd/Kg]]+fCaixa[[#This Row],[Qtd/Kg Perdido]]</f>
        <v>7.5</v>
      </c>
      <c r="P184" s="13">
        <f>IF(fCaixa[[#This Row],[Lançamento]]="RECEITA",(fCaixa[[#This Row],[Qtd/Kg]]*fCaixa[[#This Row],[Custo/KG.]]),0)</f>
        <v>70</v>
      </c>
      <c r="Q184" s="34">
        <f>fCaixa[[#This Row],[Custoprimario]]+fCaixa[[#This Row],[Total Perdido]]</f>
        <v>75</v>
      </c>
      <c r="R184" s="16">
        <f>IFERROR(fCaixa[[#This Row],[Custoprimario]]/fCaixa[[#This Row],[Venda]],0)</f>
        <v>0.5</v>
      </c>
      <c r="S184" s="16">
        <f>IFERROR(fCaixa[[#This Row],[Custofinal]]/fCaixa[[#This Row],[Venda]],0)</f>
        <v>0.5357142857142857</v>
      </c>
      <c r="T184" s="13">
        <f>IF(fCaixa[[#This Row],[Lançamento]]="RECEITA",fCaixa[[#This Row],[Venda]]-fCaixa[[#This Row],[Custoprimario]],0)</f>
        <v>70</v>
      </c>
      <c r="U184" s="16">
        <f>IFERROR(fCaixa[[#This Row],[Lucroprimario]]/fCaixa[[#This Row],[Venda]],0)</f>
        <v>0.5</v>
      </c>
      <c r="V18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65</v>
      </c>
      <c r="W184" s="16">
        <f>IFERROR(fCaixa[[#This Row],[Lucrofinal]]/fCaixa[[#This Row],[Venda]],0)</f>
        <v>0.4642857142857143</v>
      </c>
    </row>
    <row r="185" spans="1:23" ht="16.5" hidden="1" x14ac:dyDescent="0.25">
      <c r="A185" s="17">
        <f t="shared" si="2"/>
        <v>184</v>
      </c>
      <c r="B185" s="87">
        <v>43150</v>
      </c>
      <c r="C185" s="12" t="s">
        <v>29</v>
      </c>
      <c r="D185" s="12" t="s">
        <v>25</v>
      </c>
      <c r="E185" s="12" t="s">
        <v>32</v>
      </c>
      <c r="F185" s="12" t="s">
        <v>28</v>
      </c>
      <c r="G185" s="13">
        <v>95</v>
      </c>
      <c r="H185" s="13">
        <v>0</v>
      </c>
      <c r="I185" s="13">
        <v>0</v>
      </c>
      <c r="J185" s="14">
        <v>0</v>
      </c>
      <c r="K185" s="17">
        <f>IFERROR(ROUND((fCaixa[[#This Row],[Venda]]/fCaixa[[#This Row],[Preço/Un.]]),0),0)</f>
        <v>0</v>
      </c>
      <c r="L185" s="15">
        <f>IFERROR((SUBSTITUTE(RIGHT(fCaixa[[#This Row],[Descrição]],3),"G","")*1 *fCaixa[[#This Row],[Qtd/Pães]]) / 1000,0)</f>
        <v>0</v>
      </c>
      <c r="M185" s="13">
        <f>IFERROR((((SUBSTITUTE(RIGHT(fCaixa[[#This Row],[Descrição]],3),"G","")*1) * fCaixa[[#This Row],[QTD Perdida]])/1000) *fCaixa[[#This Row],[Custo/KG.]],0)</f>
        <v>0</v>
      </c>
      <c r="N185" s="15">
        <f>IF(fCaixa[[#This Row],[Lançamento]]="RECEITA",(fCaixa[[#This Row],[QTD Perdida]]* (SUBSTITUTE(RIGHT(fCaixa[[#This Row],[Descrição]],3),"G","")*1))/1000,0)</f>
        <v>0</v>
      </c>
      <c r="O185" s="15">
        <f>fCaixa[[#This Row],[Qtd/Kg]]+fCaixa[[#This Row],[Qtd/Kg Perdido]]</f>
        <v>0</v>
      </c>
      <c r="P185" s="13">
        <f>IF(fCaixa[[#This Row],[Lançamento]]="RECEITA",(fCaixa[[#This Row],[Qtd/Kg]]*fCaixa[[#This Row],[Custo/KG.]]),0)</f>
        <v>0</v>
      </c>
      <c r="Q185" s="34">
        <f>fCaixa[[#This Row],[Custoprimario]]+fCaixa[[#This Row],[Total Perdido]]</f>
        <v>0</v>
      </c>
      <c r="R185" s="16">
        <f>IFERROR(fCaixa[[#This Row],[Custoprimario]]/fCaixa[[#This Row],[Venda]],0)</f>
        <v>0</v>
      </c>
      <c r="S185" s="16">
        <f>IFERROR(fCaixa[[#This Row],[Custofinal]]/fCaixa[[#This Row],[Venda]],0)</f>
        <v>0</v>
      </c>
      <c r="T185" s="13">
        <f>IF(fCaixa[[#This Row],[Lançamento]]="RECEITA",fCaixa[[#This Row],[Venda]]-fCaixa[[#This Row],[Custoprimario]],0)</f>
        <v>0</v>
      </c>
      <c r="U185" s="16">
        <f>IFERROR(fCaixa[[#This Row],[Lucroprimario]]/fCaixa[[#This Row],[Venda]],0)</f>
        <v>0</v>
      </c>
      <c r="V18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85" s="16">
        <f>IFERROR(fCaixa[[#This Row],[Lucrofinal]]/fCaixa[[#This Row],[Venda]],0)</f>
        <v>0</v>
      </c>
    </row>
    <row r="186" spans="1:23" ht="16.5" hidden="1" x14ac:dyDescent="0.25">
      <c r="A186" s="17">
        <f t="shared" si="2"/>
        <v>185</v>
      </c>
      <c r="B186" s="87">
        <v>43150</v>
      </c>
      <c r="C186" s="12" t="s">
        <v>24</v>
      </c>
      <c r="D186" s="12" t="s">
        <v>25</v>
      </c>
      <c r="E186" s="12" t="s">
        <v>35</v>
      </c>
      <c r="F186" s="12" t="s">
        <v>28</v>
      </c>
      <c r="G186" s="13">
        <v>115</v>
      </c>
      <c r="H186" s="13">
        <v>1</v>
      </c>
      <c r="I186" s="13">
        <v>10</v>
      </c>
      <c r="J186" s="14">
        <v>5</v>
      </c>
      <c r="K186" s="17">
        <f>IFERROR(ROUND((fCaixa[[#This Row],[Venda]]/fCaixa[[#This Row],[Preço/Un.]]),0),0)</f>
        <v>115</v>
      </c>
      <c r="L186" s="15">
        <f>IFERROR((SUBSTITUTE(RIGHT(fCaixa[[#This Row],[Descrição]],3),"G","")*1 *fCaixa[[#This Row],[Qtd/Pães]]) / 1000,0)</f>
        <v>5.75</v>
      </c>
      <c r="M186" s="13">
        <f>IFERROR((((SUBSTITUTE(RIGHT(fCaixa[[#This Row],[Descrição]],3),"G","")*1) * fCaixa[[#This Row],[QTD Perdida]])/1000) *fCaixa[[#This Row],[Custo/KG.]],0)</f>
        <v>2.5</v>
      </c>
      <c r="N186" s="15">
        <f>IF(fCaixa[[#This Row],[Lançamento]]="RECEITA",(fCaixa[[#This Row],[QTD Perdida]]* (SUBSTITUTE(RIGHT(fCaixa[[#This Row],[Descrição]],3),"G","")*1))/1000,0)</f>
        <v>0.25</v>
      </c>
      <c r="O186" s="15">
        <f>fCaixa[[#This Row],[Qtd/Kg]]+fCaixa[[#This Row],[Qtd/Kg Perdido]]</f>
        <v>6</v>
      </c>
      <c r="P186" s="13">
        <f>IF(fCaixa[[#This Row],[Lançamento]]="RECEITA",(fCaixa[[#This Row],[Qtd/Kg]]*fCaixa[[#This Row],[Custo/KG.]]),0)</f>
        <v>57.5</v>
      </c>
      <c r="Q186" s="34">
        <f>fCaixa[[#This Row],[Custoprimario]]+fCaixa[[#This Row],[Total Perdido]]</f>
        <v>60</v>
      </c>
      <c r="R186" s="16">
        <f>IFERROR(fCaixa[[#This Row],[Custoprimario]]/fCaixa[[#This Row],[Venda]],0)</f>
        <v>0.5</v>
      </c>
      <c r="S186" s="16">
        <f>IFERROR(fCaixa[[#This Row],[Custofinal]]/fCaixa[[#This Row],[Venda]],0)</f>
        <v>0.52173913043478259</v>
      </c>
      <c r="T186" s="13">
        <f>IF(fCaixa[[#This Row],[Lançamento]]="RECEITA",fCaixa[[#This Row],[Venda]]-fCaixa[[#This Row],[Custoprimario]],0)</f>
        <v>57.5</v>
      </c>
      <c r="U186" s="16">
        <f>IFERROR(fCaixa[[#This Row],[Lucroprimario]]/fCaixa[[#This Row],[Venda]],0)</f>
        <v>0.5</v>
      </c>
      <c r="V18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55</v>
      </c>
      <c r="W186" s="16">
        <f>IFERROR(fCaixa[[#This Row],[Lucrofinal]]/fCaixa[[#This Row],[Venda]],0)</f>
        <v>0.47826086956521741</v>
      </c>
    </row>
    <row r="187" spans="1:23" ht="16.5" hidden="1" x14ac:dyDescent="0.25">
      <c r="A187" s="17">
        <f t="shared" si="2"/>
        <v>186</v>
      </c>
      <c r="B187" s="87">
        <v>43151</v>
      </c>
      <c r="C187" s="12" t="s">
        <v>24</v>
      </c>
      <c r="D187" s="12" t="s">
        <v>25</v>
      </c>
      <c r="E187" s="12" t="s">
        <v>35</v>
      </c>
      <c r="F187" s="12" t="s">
        <v>28</v>
      </c>
      <c r="G187" s="13">
        <v>154</v>
      </c>
      <c r="H187" s="13">
        <v>1</v>
      </c>
      <c r="I187" s="13">
        <v>10</v>
      </c>
      <c r="J187" s="14">
        <v>6</v>
      </c>
      <c r="K187" s="17">
        <f>IFERROR(ROUND((fCaixa[[#This Row],[Venda]]/fCaixa[[#This Row],[Preço/Un.]]),0),0)</f>
        <v>154</v>
      </c>
      <c r="L187" s="15">
        <f>IFERROR((SUBSTITUTE(RIGHT(fCaixa[[#This Row],[Descrição]],3),"G","")*1 *fCaixa[[#This Row],[Qtd/Pães]]) / 1000,0)</f>
        <v>7.7</v>
      </c>
      <c r="M187" s="13">
        <f>IFERROR((((SUBSTITUTE(RIGHT(fCaixa[[#This Row],[Descrição]],3),"G","")*1) * fCaixa[[#This Row],[QTD Perdida]])/1000) *fCaixa[[#This Row],[Custo/KG.]],0)</f>
        <v>3</v>
      </c>
      <c r="N187" s="15">
        <f>IF(fCaixa[[#This Row],[Lançamento]]="RECEITA",(fCaixa[[#This Row],[QTD Perdida]]* (SUBSTITUTE(RIGHT(fCaixa[[#This Row],[Descrição]],3),"G","")*1))/1000,0)</f>
        <v>0.3</v>
      </c>
      <c r="O187" s="15">
        <f>fCaixa[[#This Row],[Qtd/Kg]]+fCaixa[[#This Row],[Qtd/Kg Perdido]]</f>
        <v>8</v>
      </c>
      <c r="P187" s="13">
        <f>IF(fCaixa[[#This Row],[Lançamento]]="RECEITA",(fCaixa[[#This Row],[Qtd/Kg]]*fCaixa[[#This Row],[Custo/KG.]]),0)</f>
        <v>77</v>
      </c>
      <c r="Q187" s="34">
        <f>fCaixa[[#This Row],[Custoprimario]]+fCaixa[[#This Row],[Total Perdido]]</f>
        <v>80</v>
      </c>
      <c r="R187" s="16">
        <f>IFERROR(fCaixa[[#This Row],[Custoprimario]]/fCaixa[[#This Row],[Venda]],0)</f>
        <v>0.5</v>
      </c>
      <c r="S187" s="16">
        <f>IFERROR(fCaixa[[#This Row],[Custofinal]]/fCaixa[[#This Row],[Venda]],0)</f>
        <v>0.51948051948051943</v>
      </c>
      <c r="T187" s="13">
        <f>IF(fCaixa[[#This Row],[Lançamento]]="RECEITA",fCaixa[[#This Row],[Venda]]-fCaixa[[#This Row],[Custoprimario]],0)</f>
        <v>77</v>
      </c>
      <c r="U187" s="16">
        <f>IFERROR(fCaixa[[#This Row],[Lucroprimario]]/fCaixa[[#This Row],[Venda]],0)</f>
        <v>0.5</v>
      </c>
      <c r="V18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74</v>
      </c>
      <c r="W187" s="16">
        <f>IFERROR(fCaixa[[#This Row],[Lucrofinal]]/fCaixa[[#This Row],[Venda]],0)</f>
        <v>0.48051948051948051</v>
      </c>
    </row>
    <row r="188" spans="1:23" ht="16.5" hidden="1" x14ac:dyDescent="0.25">
      <c r="A188" s="17">
        <f t="shared" si="2"/>
        <v>187</v>
      </c>
      <c r="B188" s="87">
        <v>43151</v>
      </c>
      <c r="C188" s="12" t="s">
        <v>24</v>
      </c>
      <c r="D188" s="12" t="s">
        <v>25</v>
      </c>
      <c r="E188" s="12" t="s">
        <v>35</v>
      </c>
      <c r="F188" s="12" t="s">
        <v>28</v>
      </c>
      <c r="G188" s="13">
        <v>87</v>
      </c>
      <c r="H188" s="13">
        <v>0.87</v>
      </c>
      <c r="I188" s="13">
        <v>10</v>
      </c>
      <c r="J188" s="14">
        <v>0</v>
      </c>
      <c r="K188" s="17">
        <f>IFERROR(ROUND((fCaixa[[#This Row],[Venda]]/fCaixa[[#This Row],[Preço/Un.]]),0),0)</f>
        <v>100</v>
      </c>
      <c r="L188" s="15">
        <f>IFERROR((SUBSTITUTE(RIGHT(fCaixa[[#This Row],[Descrição]],3),"G","")*1 *fCaixa[[#This Row],[Qtd/Pães]]) / 1000,0)</f>
        <v>5</v>
      </c>
      <c r="M188" s="13">
        <f>IFERROR((((SUBSTITUTE(RIGHT(fCaixa[[#This Row],[Descrição]],3),"G","")*1) * fCaixa[[#This Row],[QTD Perdida]])/1000) *fCaixa[[#This Row],[Custo/KG.]],0)</f>
        <v>0</v>
      </c>
      <c r="N188" s="15">
        <f>IF(fCaixa[[#This Row],[Lançamento]]="RECEITA",(fCaixa[[#This Row],[QTD Perdida]]* (SUBSTITUTE(RIGHT(fCaixa[[#This Row],[Descrição]],3),"G","")*1))/1000,0)</f>
        <v>0</v>
      </c>
      <c r="O188" s="15">
        <f>fCaixa[[#This Row],[Qtd/Kg]]+fCaixa[[#This Row],[Qtd/Kg Perdido]]</f>
        <v>5</v>
      </c>
      <c r="P188" s="13">
        <f>IF(fCaixa[[#This Row],[Lançamento]]="RECEITA",(fCaixa[[#This Row],[Qtd/Kg]]*fCaixa[[#This Row],[Custo/KG.]]),0)</f>
        <v>50</v>
      </c>
      <c r="Q188" s="34">
        <f>fCaixa[[#This Row],[Custoprimario]]+fCaixa[[#This Row],[Total Perdido]]</f>
        <v>50</v>
      </c>
      <c r="R188" s="16">
        <f>IFERROR(fCaixa[[#This Row],[Custoprimario]]/fCaixa[[#This Row],[Venda]],0)</f>
        <v>0.57471264367816088</v>
      </c>
      <c r="S188" s="16">
        <f>IFERROR(fCaixa[[#This Row],[Custofinal]]/fCaixa[[#This Row],[Venda]],0)</f>
        <v>0.57471264367816088</v>
      </c>
      <c r="T188" s="13">
        <f>IF(fCaixa[[#This Row],[Lançamento]]="RECEITA",fCaixa[[#This Row],[Venda]]-fCaixa[[#This Row],[Custoprimario]],0)</f>
        <v>37</v>
      </c>
      <c r="U188" s="16">
        <f>IFERROR(fCaixa[[#This Row],[Lucroprimario]]/fCaixa[[#This Row],[Venda]],0)</f>
        <v>0.42528735632183906</v>
      </c>
      <c r="V18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37</v>
      </c>
      <c r="W188" s="16">
        <f>IFERROR(fCaixa[[#This Row],[Lucrofinal]]/fCaixa[[#This Row],[Venda]],0)</f>
        <v>0.42528735632183906</v>
      </c>
    </row>
    <row r="189" spans="1:23" ht="16.5" hidden="1" x14ac:dyDescent="0.25">
      <c r="A189" s="17">
        <f t="shared" si="2"/>
        <v>188</v>
      </c>
      <c r="B189" s="87">
        <v>43152</v>
      </c>
      <c r="C189" s="12" t="s">
        <v>24</v>
      </c>
      <c r="D189" s="12" t="s">
        <v>25</v>
      </c>
      <c r="E189" s="12" t="s">
        <v>35</v>
      </c>
      <c r="F189" s="12" t="s">
        <v>28</v>
      </c>
      <c r="G189" s="13">
        <v>120</v>
      </c>
      <c r="H189" s="13">
        <v>1</v>
      </c>
      <c r="I189" s="13">
        <v>10</v>
      </c>
      <c r="J189" s="14">
        <v>2</v>
      </c>
      <c r="K189" s="17">
        <f>IFERROR(ROUND((fCaixa[[#This Row],[Venda]]/fCaixa[[#This Row],[Preço/Un.]]),0),0)</f>
        <v>120</v>
      </c>
      <c r="L189" s="15">
        <f>IFERROR((SUBSTITUTE(RIGHT(fCaixa[[#This Row],[Descrição]],3),"G","")*1 *fCaixa[[#This Row],[Qtd/Pães]]) / 1000,0)</f>
        <v>6</v>
      </c>
      <c r="M189" s="13">
        <f>IFERROR((((SUBSTITUTE(RIGHT(fCaixa[[#This Row],[Descrição]],3),"G","")*1) * fCaixa[[#This Row],[QTD Perdida]])/1000) *fCaixa[[#This Row],[Custo/KG.]],0)</f>
        <v>1</v>
      </c>
      <c r="N189" s="15">
        <f>IF(fCaixa[[#This Row],[Lançamento]]="RECEITA",(fCaixa[[#This Row],[QTD Perdida]]* (SUBSTITUTE(RIGHT(fCaixa[[#This Row],[Descrição]],3),"G","")*1))/1000,0)</f>
        <v>0.1</v>
      </c>
      <c r="O189" s="15">
        <f>fCaixa[[#This Row],[Qtd/Kg]]+fCaixa[[#This Row],[Qtd/Kg Perdido]]</f>
        <v>6.1</v>
      </c>
      <c r="P189" s="13">
        <f>IF(fCaixa[[#This Row],[Lançamento]]="RECEITA",(fCaixa[[#This Row],[Qtd/Kg]]*fCaixa[[#This Row],[Custo/KG.]]),0)</f>
        <v>60</v>
      </c>
      <c r="Q189" s="34">
        <f>fCaixa[[#This Row],[Custoprimario]]+fCaixa[[#This Row],[Total Perdido]]</f>
        <v>61</v>
      </c>
      <c r="R189" s="16">
        <f>IFERROR(fCaixa[[#This Row],[Custoprimario]]/fCaixa[[#This Row],[Venda]],0)</f>
        <v>0.5</v>
      </c>
      <c r="S189" s="16">
        <f>IFERROR(fCaixa[[#This Row],[Custofinal]]/fCaixa[[#This Row],[Venda]],0)</f>
        <v>0.5083333333333333</v>
      </c>
      <c r="T189" s="13">
        <f>IF(fCaixa[[#This Row],[Lançamento]]="RECEITA",fCaixa[[#This Row],[Venda]]-fCaixa[[#This Row],[Custoprimario]],0)</f>
        <v>60</v>
      </c>
      <c r="U189" s="16">
        <f>IFERROR(fCaixa[[#This Row],[Lucroprimario]]/fCaixa[[#This Row],[Venda]],0)</f>
        <v>0.5</v>
      </c>
      <c r="V18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59</v>
      </c>
      <c r="W189" s="16">
        <f>IFERROR(fCaixa[[#This Row],[Lucrofinal]]/fCaixa[[#This Row],[Venda]],0)</f>
        <v>0.49166666666666664</v>
      </c>
    </row>
    <row r="190" spans="1:23" ht="16.5" hidden="1" x14ac:dyDescent="0.25">
      <c r="A190" s="17">
        <f t="shared" si="2"/>
        <v>189</v>
      </c>
      <c r="B190" s="87">
        <v>43153</v>
      </c>
      <c r="C190" s="12" t="s">
        <v>24</v>
      </c>
      <c r="D190" s="12" t="s">
        <v>25</v>
      </c>
      <c r="E190" s="12" t="s">
        <v>35</v>
      </c>
      <c r="F190" s="12" t="s">
        <v>28</v>
      </c>
      <c r="G190" s="13">
        <v>95</v>
      </c>
      <c r="H190" s="13">
        <v>1</v>
      </c>
      <c r="I190" s="13">
        <v>10</v>
      </c>
      <c r="J190" s="14">
        <v>5</v>
      </c>
      <c r="K190" s="17">
        <f>IFERROR(ROUND((fCaixa[[#This Row],[Venda]]/fCaixa[[#This Row],[Preço/Un.]]),0),0)</f>
        <v>95</v>
      </c>
      <c r="L190" s="15">
        <f>IFERROR((SUBSTITUTE(RIGHT(fCaixa[[#This Row],[Descrição]],3),"G","")*1 *fCaixa[[#This Row],[Qtd/Pães]]) / 1000,0)</f>
        <v>4.75</v>
      </c>
      <c r="M190" s="13">
        <f>IFERROR((((SUBSTITUTE(RIGHT(fCaixa[[#This Row],[Descrição]],3),"G","")*1) * fCaixa[[#This Row],[QTD Perdida]])/1000) *fCaixa[[#This Row],[Custo/KG.]],0)</f>
        <v>2.5</v>
      </c>
      <c r="N190" s="15">
        <f>IF(fCaixa[[#This Row],[Lançamento]]="RECEITA",(fCaixa[[#This Row],[QTD Perdida]]* (SUBSTITUTE(RIGHT(fCaixa[[#This Row],[Descrição]],3),"G","")*1))/1000,0)</f>
        <v>0.25</v>
      </c>
      <c r="O190" s="15">
        <f>fCaixa[[#This Row],[Qtd/Kg]]+fCaixa[[#This Row],[Qtd/Kg Perdido]]</f>
        <v>5</v>
      </c>
      <c r="P190" s="13">
        <f>IF(fCaixa[[#This Row],[Lançamento]]="RECEITA",(fCaixa[[#This Row],[Qtd/Kg]]*fCaixa[[#This Row],[Custo/KG.]]),0)</f>
        <v>47.5</v>
      </c>
      <c r="Q190" s="34">
        <f>fCaixa[[#This Row],[Custoprimario]]+fCaixa[[#This Row],[Total Perdido]]</f>
        <v>50</v>
      </c>
      <c r="R190" s="16">
        <f>IFERROR(fCaixa[[#This Row],[Custoprimario]]/fCaixa[[#This Row],[Venda]],0)</f>
        <v>0.5</v>
      </c>
      <c r="S190" s="16">
        <f>IFERROR(fCaixa[[#This Row],[Custofinal]]/fCaixa[[#This Row],[Venda]],0)</f>
        <v>0.52631578947368418</v>
      </c>
      <c r="T190" s="13">
        <f>IF(fCaixa[[#This Row],[Lançamento]]="RECEITA",fCaixa[[#This Row],[Venda]]-fCaixa[[#This Row],[Custoprimario]],0)</f>
        <v>47.5</v>
      </c>
      <c r="U190" s="16">
        <f>IFERROR(fCaixa[[#This Row],[Lucroprimario]]/fCaixa[[#This Row],[Venda]],0)</f>
        <v>0.5</v>
      </c>
      <c r="V19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45</v>
      </c>
      <c r="W190" s="16">
        <f>IFERROR(fCaixa[[#This Row],[Lucrofinal]]/fCaixa[[#This Row],[Venda]],0)</f>
        <v>0.47368421052631576</v>
      </c>
    </row>
    <row r="191" spans="1:23" ht="16.5" hidden="1" x14ac:dyDescent="0.25">
      <c r="A191" s="17">
        <f t="shared" si="2"/>
        <v>190</v>
      </c>
      <c r="B191" s="87">
        <v>43154</v>
      </c>
      <c r="C191" s="12" t="s">
        <v>24</v>
      </c>
      <c r="D191" s="12" t="s">
        <v>25</v>
      </c>
      <c r="E191" s="12" t="s">
        <v>35</v>
      </c>
      <c r="F191" s="12" t="s">
        <v>28</v>
      </c>
      <c r="G191" s="13">
        <v>155</v>
      </c>
      <c r="H191" s="13">
        <v>1</v>
      </c>
      <c r="I191" s="13">
        <v>10.5</v>
      </c>
      <c r="J191" s="14">
        <v>5</v>
      </c>
      <c r="K191" s="17">
        <f>IFERROR(ROUND((fCaixa[[#This Row],[Venda]]/fCaixa[[#This Row],[Preço/Un.]]),0),0)</f>
        <v>155</v>
      </c>
      <c r="L191" s="15">
        <f>IFERROR((SUBSTITUTE(RIGHT(fCaixa[[#This Row],[Descrição]],3),"G","")*1 *fCaixa[[#This Row],[Qtd/Pães]]) / 1000,0)</f>
        <v>7.75</v>
      </c>
      <c r="M191" s="13">
        <f>IFERROR((((SUBSTITUTE(RIGHT(fCaixa[[#This Row],[Descrição]],3),"G","")*1) * fCaixa[[#This Row],[QTD Perdida]])/1000) *fCaixa[[#This Row],[Custo/KG.]],0)</f>
        <v>2.625</v>
      </c>
      <c r="N191" s="15">
        <f>IF(fCaixa[[#This Row],[Lançamento]]="RECEITA",(fCaixa[[#This Row],[QTD Perdida]]* (SUBSTITUTE(RIGHT(fCaixa[[#This Row],[Descrição]],3),"G","")*1))/1000,0)</f>
        <v>0.25</v>
      </c>
      <c r="O191" s="15">
        <f>fCaixa[[#This Row],[Qtd/Kg]]+fCaixa[[#This Row],[Qtd/Kg Perdido]]</f>
        <v>8</v>
      </c>
      <c r="P191" s="13">
        <f>IF(fCaixa[[#This Row],[Lançamento]]="RECEITA",(fCaixa[[#This Row],[Qtd/Kg]]*fCaixa[[#This Row],[Custo/KG.]]),0)</f>
        <v>81.375</v>
      </c>
      <c r="Q191" s="34">
        <f>fCaixa[[#This Row],[Custoprimario]]+fCaixa[[#This Row],[Total Perdido]]</f>
        <v>84</v>
      </c>
      <c r="R191" s="16">
        <f>IFERROR(fCaixa[[#This Row],[Custoprimario]]/fCaixa[[#This Row],[Venda]],0)</f>
        <v>0.52500000000000002</v>
      </c>
      <c r="S191" s="16">
        <f>IFERROR(fCaixa[[#This Row],[Custofinal]]/fCaixa[[#This Row],[Venda]],0)</f>
        <v>0.54193548387096779</v>
      </c>
      <c r="T191" s="13">
        <f>IF(fCaixa[[#This Row],[Lançamento]]="RECEITA",fCaixa[[#This Row],[Venda]]-fCaixa[[#This Row],[Custoprimario]],0)</f>
        <v>73.625</v>
      </c>
      <c r="U191" s="16">
        <f>IFERROR(fCaixa[[#This Row],[Lucroprimario]]/fCaixa[[#This Row],[Venda]],0)</f>
        <v>0.47499999999999998</v>
      </c>
      <c r="V19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71</v>
      </c>
      <c r="W191" s="16">
        <f>IFERROR(fCaixa[[#This Row],[Lucrofinal]]/fCaixa[[#This Row],[Venda]],0)</f>
        <v>0.45806451612903226</v>
      </c>
    </row>
    <row r="192" spans="1:23" ht="16.5" hidden="1" x14ac:dyDescent="0.25">
      <c r="A192" s="17">
        <f t="shared" si="2"/>
        <v>191</v>
      </c>
      <c r="B192" s="87">
        <v>43157</v>
      </c>
      <c r="C192" s="12" t="s">
        <v>24</v>
      </c>
      <c r="D192" s="12" t="s">
        <v>25</v>
      </c>
      <c r="E192" s="12" t="s">
        <v>35</v>
      </c>
      <c r="F192" s="12" t="s">
        <v>28</v>
      </c>
      <c r="G192" s="13">
        <v>66</v>
      </c>
      <c r="H192" s="13">
        <v>1</v>
      </c>
      <c r="I192" s="13">
        <v>10.5</v>
      </c>
      <c r="J192" s="14">
        <v>24</v>
      </c>
      <c r="K192" s="17">
        <f>IFERROR(ROUND((fCaixa[[#This Row],[Venda]]/fCaixa[[#This Row],[Preço/Un.]]),0),0)</f>
        <v>66</v>
      </c>
      <c r="L192" s="15">
        <f>IFERROR((SUBSTITUTE(RIGHT(fCaixa[[#This Row],[Descrição]],3),"G","")*1 *fCaixa[[#This Row],[Qtd/Pães]]) / 1000,0)</f>
        <v>3.3</v>
      </c>
      <c r="M192" s="13">
        <f>IFERROR((((SUBSTITUTE(RIGHT(fCaixa[[#This Row],[Descrição]],3),"G","")*1) * fCaixa[[#This Row],[QTD Perdida]])/1000) *fCaixa[[#This Row],[Custo/KG.]],0)</f>
        <v>12.6</v>
      </c>
      <c r="N192" s="15">
        <f>IF(fCaixa[[#This Row],[Lançamento]]="RECEITA",(fCaixa[[#This Row],[QTD Perdida]]* (SUBSTITUTE(RIGHT(fCaixa[[#This Row],[Descrição]],3),"G","")*1))/1000,0)</f>
        <v>1.2</v>
      </c>
      <c r="O192" s="15">
        <f>fCaixa[[#This Row],[Qtd/Kg]]+fCaixa[[#This Row],[Qtd/Kg Perdido]]</f>
        <v>4.5</v>
      </c>
      <c r="P192" s="13">
        <f>IF(fCaixa[[#This Row],[Lançamento]]="RECEITA",(fCaixa[[#This Row],[Qtd/Kg]]*fCaixa[[#This Row],[Custo/KG.]]),0)</f>
        <v>34.65</v>
      </c>
      <c r="Q192" s="34">
        <f>fCaixa[[#This Row],[Custoprimario]]+fCaixa[[#This Row],[Total Perdido]]</f>
        <v>47.25</v>
      </c>
      <c r="R192" s="16">
        <f>IFERROR(fCaixa[[#This Row],[Custoprimario]]/fCaixa[[#This Row],[Venda]],0)</f>
        <v>0.52500000000000002</v>
      </c>
      <c r="S192" s="16">
        <f>IFERROR(fCaixa[[#This Row],[Custofinal]]/fCaixa[[#This Row],[Venda]],0)</f>
        <v>0.71590909090909094</v>
      </c>
      <c r="T192" s="13">
        <f>IF(fCaixa[[#This Row],[Lançamento]]="RECEITA",fCaixa[[#This Row],[Venda]]-fCaixa[[#This Row],[Custoprimario]],0)</f>
        <v>31.35</v>
      </c>
      <c r="U192" s="16">
        <f>IFERROR(fCaixa[[#This Row],[Lucroprimario]]/fCaixa[[#This Row],[Venda]],0)</f>
        <v>0.47500000000000003</v>
      </c>
      <c r="V19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18.75</v>
      </c>
      <c r="W192" s="16">
        <f>IFERROR(fCaixa[[#This Row],[Lucrofinal]]/fCaixa[[#This Row],[Venda]],0)</f>
        <v>0.28409090909090912</v>
      </c>
    </row>
    <row r="193" spans="1:23" ht="16.5" hidden="1" x14ac:dyDescent="0.25">
      <c r="A193" s="17">
        <f t="shared" si="2"/>
        <v>192</v>
      </c>
      <c r="B193" s="87">
        <v>43158</v>
      </c>
      <c r="C193" s="12" t="s">
        <v>24</v>
      </c>
      <c r="D193" s="12" t="s">
        <v>25</v>
      </c>
      <c r="E193" s="12" t="s">
        <v>35</v>
      </c>
      <c r="F193" s="12" t="s">
        <v>28</v>
      </c>
      <c r="G193" s="13">
        <v>112</v>
      </c>
      <c r="H193" s="13">
        <v>1</v>
      </c>
      <c r="I193" s="13">
        <v>10.5</v>
      </c>
      <c r="J193" s="14">
        <v>8</v>
      </c>
      <c r="K193" s="17">
        <f>IFERROR(ROUND((fCaixa[[#This Row],[Venda]]/fCaixa[[#This Row],[Preço/Un.]]),0),0)</f>
        <v>112</v>
      </c>
      <c r="L193" s="15">
        <f>IFERROR((SUBSTITUTE(RIGHT(fCaixa[[#This Row],[Descrição]],3),"G","")*1 *fCaixa[[#This Row],[Qtd/Pães]]) / 1000,0)</f>
        <v>5.6</v>
      </c>
      <c r="M193" s="13">
        <f>IFERROR((((SUBSTITUTE(RIGHT(fCaixa[[#This Row],[Descrição]],3),"G","")*1) * fCaixa[[#This Row],[QTD Perdida]])/1000) *fCaixa[[#This Row],[Custo/KG.]],0)</f>
        <v>4.2</v>
      </c>
      <c r="N193" s="15">
        <f>IF(fCaixa[[#This Row],[Lançamento]]="RECEITA",(fCaixa[[#This Row],[QTD Perdida]]* (SUBSTITUTE(RIGHT(fCaixa[[#This Row],[Descrição]],3),"G","")*1))/1000,0)</f>
        <v>0.4</v>
      </c>
      <c r="O193" s="15">
        <f>fCaixa[[#This Row],[Qtd/Kg]]+fCaixa[[#This Row],[Qtd/Kg Perdido]]</f>
        <v>6</v>
      </c>
      <c r="P193" s="13">
        <f>IF(fCaixa[[#This Row],[Lançamento]]="RECEITA",(fCaixa[[#This Row],[Qtd/Kg]]*fCaixa[[#This Row],[Custo/KG.]]),0)</f>
        <v>58.8</v>
      </c>
      <c r="Q193" s="34">
        <f>fCaixa[[#This Row],[Custoprimario]]+fCaixa[[#This Row],[Total Perdido]]</f>
        <v>63</v>
      </c>
      <c r="R193" s="16">
        <f>IFERROR(fCaixa[[#This Row],[Custoprimario]]/fCaixa[[#This Row],[Venda]],0)</f>
        <v>0.52500000000000002</v>
      </c>
      <c r="S193" s="16">
        <f>IFERROR(fCaixa[[#This Row],[Custofinal]]/fCaixa[[#This Row],[Venda]],0)</f>
        <v>0.5625</v>
      </c>
      <c r="T193" s="13">
        <f>IF(fCaixa[[#This Row],[Lançamento]]="RECEITA",fCaixa[[#This Row],[Venda]]-fCaixa[[#This Row],[Custoprimario]],0)</f>
        <v>53.2</v>
      </c>
      <c r="U193" s="16">
        <f>IFERROR(fCaixa[[#This Row],[Lucroprimario]]/fCaixa[[#This Row],[Venda]],0)</f>
        <v>0.47500000000000003</v>
      </c>
      <c r="V19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49</v>
      </c>
      <c r="W193" s="16">
        <f>IFERROR(fCaixa[[#This Row],[Lucrofinal]]/fCaixa[[#This Row],[Venda]],0)</f>
        <v>0.4375</v>
      </c>
    </row>
    <row r="194" spans="1:23" ht="16.5" hidden="1" x14ac:dyDescent="0.25">
      <c r="A194" s="17">
        <f t="shared" ref="A194:A257" si="3">ROW($A193)</f>
        <v>193</v>
      </c>
      <c r="B194" s="87">
        <v>43159</v>
      </c>
      <c r="C194" s="12" t="s">
        <v>29</v>
      </c>
      <c r="D194" s="12" t="s">
        <v>25</v>
      </c>
      <c r="E194" s="12" t="s">
        <v>36</v>
      </c>
      <c r="F194" s="12" t="s">
        <v>28</v>
      </c>
      <c r="G194" s="13">
        <v>88</v>
      </c>
      <c r="H194" s="13">
        <v>0</v>
      </c>
      <c r="I194" s="13">
        <v>0</v>
      </c>
      <c r="J194" s="14">
        <v>0</v>
      </c>
      <c r="K194" s="17">
        <f>IFERROR(ROUND((fCaixa[[#This Row],[Venda]]/fCaixa[[#This Row],[Preço/Un.]]),0),0)</f>
        <v>0</v>
      </c>
      <c r="L194" s="15">
        <f>IFERROR((SUBSTITUTE(RIGHT(fCaixa[[#This Row],[Descrição]],3),"G","")*1 *fCaixa[[#This Row],[Qtd/Pães]]) / 1000,0)</f>
        <v>0</v>
      </c>
      <c r="M194" s="13">
        <f>IFERROR((((SUBSTITUTE(RIGHT(fCaixa[[#This Row],[Descrição]],3),"G","")*1) * fCaixa[[#This Row],[QTD Perdida]])/1000) *fCaixa[[#This Row],[Custo/KG.]],0)</f>
        <v>0</v>
      </c>
      <c r="N194" s="15">
        <f>IF(fCaixa[[#This Row],[Lançamento]]="RECEITA",(fCaixa[[#This Row],[QTD Perdida]]* (SUBSTITUTE(RIGHT(fCaixa[[#This Row],[Descrição]],3),"G","")*1))/1000,0)</f>
        <v>0</v>
      </c>
      <c r="O194" s="15">
        <f>fCaixa[[#This Row],[Qtd/Kg]]+fCaixa[[#This Row],[Qtd/Kg Perdido]]</f>
        <v>0</v>
      </c>
      <c r="P194" s="13">
        <f>IF(fCaixa[[#This Row],[Lançamento]]="RECEITA",(fCaixa[[#This Row],[Qtd/Kg]]*fCaixa[[#This Row],[Custo/KG.]]),0)</f>
        <v>0</v>
      </c>
      <c r="Q194" s="34">
        <f>fCaixa[[#This Row],[Custoprimario]]+fCaixa[[#This Row],[Total Perdido]]</f>
        <v>0</v>
      </c>
      <c r="R194" s="16">
        <f>IFERROR(fCaixa[[#This Row],[Custoprimario]]/fCaixa[[#This Row],[Venda]],0)</f>
        <v>0</v>
      </c>
      <c r="S194" s="16">
        <f>IFERROR(fCaixa[[#This Row],[Custofinal]]/fCaixa[[#This Row],[Venda]],0)</f>
        <v>0</v>
      </c>
      <c r="T194" s="13">
        <f>IF(fCaixa[[#This Row],[Lançamento]]="RECEITA",fCaixa[[#This Row],[Venda]]-fCaixa[[#This Row],[Custoprimario]],0)</f>
        <v>0</v>
      </c>
      <c r="U194" s="16">
        <f>IFERROR(fCaixa[[#This Row],[Lucroprimario]]/fCaixa[[#This Row],[Venda]],0)</f>
        <v>0</v>
      </c>
      <c r="V19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94" s="16">
        <f>IFERROR(fCaixa[[#This Row],[Lucrofinal]]/fCaixa[[#This Row],[Venda]],0)</f>
        <v>0</v>
      </c>
    </row>
    <row r="195" spans="1:23" ht="16.5" hidden="1" x14ac:dyDescent="0.25">
      <c r="A195" s="17">
        <f t="shared" si="3"/>
        <v>194</v>
      </c>
      <c r="B195" s="87">
        <v>43159</v>
      </c>
      <c r="C195" s="12" t="s">
        <v>24</v>
      </c>
      <c r="D195" s="12" t="s">
        <v>25</v>
      </c>
      <c r="E195" s="12" t="s">
        <v>35</v>
      </c>
      <c r="F195" s="12" t="s">
        <v>28</v>
      </c>
      <c r="G195" s="13">
        <v>86</v>
      </c>
      <c r="H195" s="13">
        <v>1</v>
      </c>
      <c r="I195" s="13">
        <v>10.5</v>
      </c>
      <c r="J195" s="14">
        <v>4</v>
      </c>
      <c r="K195" s="17">
        <f>IFERROR(ROUND((fCaixa[[#This Row],[Venda]]/fCaixa[[#This Row],[Preço/Un.]]),0),0)</f>
        <v>86</v>
      </c>
      <c r="L195" s="15">
        <f>IFERROR((SUBSTITUTE(RIGHT(fCaixa[[#This Row],[Descrição]],3),"G","")*1 *fCaixa[[#This Row],[Qtd/Pães]]) / 1000,0)</f>
        <v>4.3</v>
      </c>
      <c r="M195" s="13">
        <f>IFERROR((((SUBSTITUTE(RIGHT(fCaixa[[#This Row],[Descrição]],3),"G","")*1) * fCaixa[[#This Row],[QTD Perdida]])/1000) *fCaixa[[#This Row],[Custo/KG.]],0)</f>
        <v>2.1</v>
      </c>
      <c r="N195" s="15">
        <f>IF(fCaixa[[#This Row],[Lançamento]]="RECEITA",(fCaixa[[#This Row],[QTD Perdida]]* (SUBSTITUTE(RIGHT(fCaixa[[#This Row],[Descrição]],3),"G","")*1))/1000,0)</f>
        <v>0.2</v>
      </c>
      <c r="O195" s="15">
        <f>fCaixa[[#This Row],[Qtd/Kg]]+fCaixa[[#This Row],[Qtd/Kg Perdido]]</f>
        <v>4.5</v>
      </c>
      <c r="P195" s="13">
        <f>IF(fCaixa[[#This Row],[Lançamento]]="RECEITA",(fCaixa[[#This Row],[Qtd/Kg]]*fCaixa[[#This Row],[Custo/KG.]]),0)</f>
        <v>45.15</v>
      </c>
      <c r="Q195" s="34">
        <f>fCaixa[[#This Row],[Custoprimario]]+fCaixa[[#This Row],[Total Perdido]]</f>
        <v>47.25</v>
      </c>
      <c r="R195" s="16">
        <f>IFERROR(fCaixa[[#This Row],[Custoprimario]]/fCaixa[[#This Row],[Venda]],0)</f>
        <v>0.52500000000000002</v>
      </c>
      <c r="S195" s="16">
        <f>IFERROR(fCaixa[[#This Row],[Custofinal]]/fCaixa[[#This Row],[Venda]],0)</f>
        <v>0.54941860465116277</v>
      </c>
      <c r="T195" s="13">
        <f>IF(fCaixa[[#This Row],[Lançamento]]="RECEITA",fCaixa[[#This Row],[Venda]]-fCaixa[[#This Row],[Custoprimario]],0)</f>
        <v>40.85</v>
      </c>
      <c r="U195" s="16">
        <f>IFERROR(fCaixa[[#This Row],[Lucroprimario]]/fCaixa[[#This Row],[Venda]],0)</f>
        <v>0.47500000000000003</v>
      </c>
      <c r="V19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38.75</v>
      </c>
      <c r="W195" s="16">
        <f>IFERROR(fCaixa[[#This Row],[Lucrofinal]]/fCaixa[[#This Row],[Venda]],0)</f>
        <v>0.45058139534883723</v>
      </c>
    </row>
    <row r="196" spans="1:23" ht="16.5" hidden="1" x14ac:dyDescent="0.25">
      <c r="A196" s="17">
        <f t="shared" si="3"/>
        <v>195</v>
      </c>
      <c r="B196" s="87">
        <v>43159</v>
      </c>
      <c r="C196" s="12" t="s">
        <v>29</v>
      </c>
      <c r="D196" s="12" t="s">
        <v>25</v>
      </c>
      <c r="E196" s="12" t="s">
        <v>36</v>
      </c>
      <c r="F196" s="12" t="s">
        <v>28</v>
      </c>
      <c r="G196" s="13">
        <v>29.39</v>
      </c>
      <c r="H196" s="13">
        <v>0</v>
      </c>
      <c r="I196" s="13">
        <v>0</v>
      </c>
      <c r="J196" s="14">
        <v>0</v>
      </c>
      <c r="K196" s="17">
        <f>IFERROR(ROUND((fCaixa[[#This Row],[Venda]]/fCaixa[[#This Row],[Preço/Un.]]),0),0)</f>
        <v>0</v>
      </c>
      <c r="L196" s="15">
        <f>IFERROR((SUBSTITUTE(RIGHT(fCaixa[[#This Row],[Descrição]],3),"G","")*1 *fCaixa[[#This Row],[Qtd/Pães]]) / 1000,0)</f>
        <v>0</v>
      </c>
      <c r="M196" s="13">
        <f>IFERROR((((SUBSTITUTE(RIGHT(fCaixa[[#This Row],[Descrição]],3),"G","")*1) * fCaixa[[#This Row],[QTD Perdida]])/1000) *fCaixa[[#This Row],[Custo/KG.]],0)</f>
        <v>0</v>
      </c>
      <c r="N196" s="15">
        <f>IF(fCaixa[[#This Row],[Lançamento]]="RECEITA",(fCaixa[[#This Row],[QTD Perdida]]* (SUBSTITUTE(RIGHT(fCaixa[[#This Row],[Descrição]],3),"G","")*1))/1000,0)</f>
        <v>0</v>
      </c>
      <c r="O196" s="15">
        <f>fCaixa[[#This Row],[Qtd/Kg]]+fCaixa[[#This Row],[Qtd/Kg Perdido]]</f>
        <v>0</v>
      </c>
      <c r="P196" s="13">
        <f>IF(fCaixa[[#This Row],[Lançamento]]="RECEITA",(fCaixa[[#This Row],[Qtd/Kg]]*fCaixa[[#This Row],[Custo/KG.]]),0)</f>
        <v>0</v>
      </c>
      <c r="Q196" s="34">
        <f>fCaixa[[#This Row],[Custoprimario]]+fCaixa[[#This Row],[Total Perdido]]</f>
        <v>0</v>
      </c>
      <c r="R196" s="16">
        <f>IFERROR(fCaixa[[#This Row],[Custoprimario]]/fCaixa[[#This Row],[Venda]],0)</f>
        <v>0</v>
      </c>
      <c r="S196" s="16">
        <f>IFERROR(fCaixa[[#This Row],[Custofinal]]/fCaixa[[#This Row],[Venda]],0)</f>
        <v>0</v>
      </c>
      <c r="T196" s="13">
        <f>IF(fCaixa[[#This Row],[Lançamento]]="RECEITA",fCaixa[[#This Row],[Venda]]-fCaixa[[#This Row],[Custoprimario]],0)</f>
        <v>0</v>
      </c>
      <c r="U196" s="16">
        <f>IFERROR(fCaixa[[#This Row],[Lucroprimario]]/fCaixa[[#This Row],[Venda]],0)</f>
        <v>0</v>
      </c>
      <c r="V19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196" s="16">
        <f>IFERROR(fCaixa[[#This Row],[Lucrofinal]]/fCaixa[[#This Row],[Venda]],0)</f>
        <v>0</v>
      </c>
    </row>
    <row r="197" spans="1:23" ht="16.5" hidden="1" x14ac:dyDescent="0.25">
      <c r="A197" s="17">
        <f t="shared" si="3"/>
        <v>196</v>
      </c>
      <c r="B197" s="87">
        <v>43160</v>
      </c>
      <c r="C197" s="12" t="s">
        <v>24</v>
      </c>
      <c r="D197" s="12" t="s">
        <v>25</v>
      </c>
      <c r="E197" s="12" t="s">
        <v>35</v>
      </c>
      <c r="F197" s="12" t="s">
        <v>28</v>
      </c>
      <c r="G197" s="13">
        <v>90</v>
      </c>
      <c r="H197" s="13">
        <v>0.9</v>
      </c>
      <c r="I197" s="13">
        <v>10.5</v>
      </c>
      <c r="J197" s="14">
        <v>0</v>
      </c>
      <c r="K197" s="17">
        <f>IFERROR(ROUND((fCaixa[[#This Row],[Venda]]/fCaixa[[#This Row],[Preço/Un.]]),0),0)</f>
        <v>100</v>
      </c>
      <c r="L197" s="15">
        <f>IFERROR((SUBSTITUTE(RIGHT(fCaixa[[#This Row],[Descrição]],3),"G","")*1 *fCaixa[[#This Row],[Qtd/Pães]]) / 1000,0)</f>
        <v>5</v>
      </c>
      <c r="M197" s="13">
        <f>IFERROR((((SUBSTITUTE(RIGHT(fCaixa[[#This Row],[Descrição]],3),"G","")*1) * fCaixa[[#This Row],[QTD Perdida]])/1000) *fCaixa[[#This Row],[Custo/KG.]],0)</f>
        <v>0</v>
      </c>
      <c r="N197" s="15">
        <f>IF(fCaixa[[#This Row],[Lançamento]]="RECEITA",(fCaixa[[#This Row],[QTD Perdida]]* (SUBSTITUTE(RIGHT(fCaixa[[#This Row],[Descrição]],3),"G","")*1))/1000,0)</f>
        <v>0</v>
      </c>
      <c r="O197" s="15">
        <f>fCaixa[[#This Row],[Qtd/Kg]]+fCaixa[[#This Row],[Qtd/Kg Perdido]]</f>
        <v>5</v>
      </c>
      <c r="P197" s="13">
        <f>IF(fCaixa[[#This Row],[Lançamento]]="RECEITA",(fCaixa[[#This Row],[Qtd/Kg]]*fCaixa[[#This Row],[Custo/KG.]]),0)</f>
        <v>52.5</v>
      </c>
      <c r="Q197" s="34">
        <f>fCaixa[[#This Row],[Custoprimario]]+fCaixa[[#This Row],[Total Perdido]]</f>
        <v>52.5</v>
      </c>
      <c r="R197" s="16">
        <f>IFERROR(fCaixa[[#This Row],[Custoprimario]]/fCaixa[[#This Row],[Venda]],0)</f>
        <v>0.58333333333333337</v>
      </c>
      <c r="S197" s="16">
        <f>IFERROR(fCaixa[[#This Row],[Custofinal]]/fCaixa[[#This Row],[Venda]],0)</f>
        <v>0.58333333333333337</v>
      </c>
      <c r="T197" s="13">
        <f>IF(fCaixa[[#This Row],[Lançamento]]="RECEITA",fCaixa[[#This Row],[Venda]]-fCaixa[[#This Row],[Custoprimario]],0)</f>
        <v>37.5</v>
      </c>
      <c r="U197" s="16">
        <f>IFERROR(fCaixa[[#This Row],[Lucroprimario]]/fCaixa[[#This Row],[Venda]],0)</f>
        <v>0.41666666666666669</v>
      </c>
      <c r="V19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37.5</v>
      </c>
      <c r="W197" s="16">
        <f>IFERROR(fCaixa[[#This Row],[Lucrofinal]]/fCaixa[[#This Row],[Venda]],0)</f>
        <v>0.41666666666666669</v>
      </c>
    </row>
    <row r="198" spans="1:23" ht="16.5" hidden="1" x14ac:dyDescent="0.25">
      <c r="A198" s="17">
        <f t="shared" si="3"/>
        <v>197</v>
      </c>
      <c r="B198" s="87">
        <v>43160</v>
      </c>
      <c r="C198" s="12" t="s">
        <v>24</v>
      </c>
      <c r="D198" s="12" t="s">
        <v>25</v>
      </c>
      <c r="E198" s="12" t="s">
        <v>35</v>
      </c>
      <c r="F198" s="12" t="s">
        <v>28</v>
      </c>
      <c r="G198" s="13">
        <v>120</v>
      </c>
      <c r="H198" s="13">
        <v>1</v>
      </c>
      <c r="I198" s="13">
        <v>10.5</v>
      </c>
      <c r="J198" s="14">
        <v>1</v>
      </c>
      <c r="K198" s="17">
        <f>IFERROR(ROUND((fCaixa[[#This Row],[Venda]]/fCaixa[[#This Row],[Preço/Un.]]),0),0)</f>
        <v>120</v>
      </c>
      <c r="L198" s="15">
        <f>IFERROR((SUBSTITUTE(RIGHT(fCaixa[[#This Row],[Descrição]],3),"G","")*1 *fCaixa[[#This Row],[Qtd/Pães]]) / 1000,0)</f>
        <v>6</v>
      </c>
      <c r="M198" s="13">
        <f>IFERROR((((SUBSTITUTE(RIGHT(fCaixa[[#This Row],[Descrição]],3),"G","")*1) * fCaixa[[#This Row],[QTD Perdida]])/1000) *fCaixa[[#This Row],[Custo/KG.]],0)</f>
        <v>0.52500000000000002</v>
      </c>
      <c r="N198" s="15">
        <f>IF(fCaixa[[#This Row],[Lançamento]]="RECEITA",(fCaixa[[#This Row],[QTD Perdida]]* (SUBSTITUTE(RIGHT(fCaixa[[#This Row],[Descrição]],3),"G","")*1))/1000,0)</f>
        <v>0.05</v>
      </c>
      <c r="O198" s="15">
        <f>fCaixa[[#This Row],[Qtd/Kg]]+fCaixa[[#This Row],[Qtd/Kg Perdido]]</f>
        <v>6.05</v>
      </c>
      <c r="P198" s="13">
        <f>IF(fCaixa[[#This Row],[Lançamento]]="RECEITA",(fCaixa[[#This Row],[Qtd/Kg]]*fCaixa[[#This Row],[Custo/KG.]]),0)</f>
        <v>63</v>
      </c>
      <c r="Q198" s="34">
        <f>fCaixa[[#This Row],[Custoprimario]]+fCaixa[[#This Row],[Total Perdido]]</f>
        <v>63.524999999999999</v>
      </c>
      <c r="R198" s="16">
        <f>IFERROR(fCaixa[[#This Row],[Custoprimario]]/fCaixa[[#This Row],[Venda]],0)</f>
        <v>0.52500000000000002</v>
      </c>
      <c r="S198" s="16">
        <f>IFERROR(fCaixa[[#This Row],[Custofinal]]/fCaixa[[#This Row],[Venda]],0)</f>
        <v>0.52937500000000004</v>
      </c>
      <c r="T198" s="13">
        <f>IF(fCaixa[[#This Row],[Lançamento]]="RECEITA",fCaixa[[#This Row],[Venda]]-fCaixa[[#This Row],[Custoprimario]],0)</f>
        <v>57</v>
      </c>
      <c r="U198" s="16">
        <f>IFERROR(fCaixa[[#This Row],[Lucroprimario]]/fCaixa[[#This Row],[Venda]],0)</f>
        <v>0.47499999999999998</v>
      </c>
      <c r="V19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56.475000000000001</v>
      </c>
      <c r="W198" s="16">
        <f>IFERROR(fCaixa[[#This Row],[Lucrofinal]]/fCaixa[[#This Row],[Venda]],0)</f>
        <v>0.47062500000000002</v>
      </c>
    </row>
    <row r="199" spans="1:23" ht="16.5" hidden="1" x14ac:dyDescent="0.25">
      <c r="A199" s="17">
        <f t="shared" si="3"/>
        <v>198</v>
      </c>
      <c r="B199" s="87">
        <v>43161</v>
      </c>
      <c r="C199" s="12" t="s">
        <v>24</v>
      </c>
      <c r="D199" s="12" t="s">
        <v>25</v>
      </c>
      <c r="E199" s="12" t="s">
        <v>35</v>
      </c>
      <c r="F199" s="12" t="s">
        <v>28</v>
      </c>
      <c r="G199" s="13">
        <v>127</v>
      </c>
      <c r="H199" s="13">
        <v>1</v>
      </c>
      <c r="I199" s="13">
        <v>10.5</v>
      </c>
      <c r="J199" s="14">
        <v>13</v>
      </c>
      <c r="K199" s="17">
        <f>IFERROR(ROUND((fCaixa[[#This Row],[Venda]]/fCaixa[[#This Row],[Preço/Un.]]),0),0)</f>
        <v>127</v>
      </c>
      <c r="L199" s="15">
        <f>IFERROR((SUBSTITUTE(RIGHT(fCaixa[[#This Row],[Descrição]],3),"G","")*1 *fCaixa[[#This Row],[Qtd/Pães]]) / 1000,0)</f>
        <v>6.35</v>
      </c>
      <c r="M199" s="13">
        <f>IFERROR((((SUBSTITUTE(RIGHT(fCaixa[[#This Row],[Descrição]],3),"G","")*1) * fCaixa[[#This Row],[QTD Perdida]])/1000) *fCaixa[[#This Row],[Custo/KG.]],0)</f>
        <v>6.8250000000000002</v>
      </c>
      <c r="N199" s="15">
        <f>IF(fCaixa[[#This Row],[Lançamento]]="RECEITA",(fCaixa[[#This Row],[QTD Perdida]]* (SUBSTITUTE(RIGHT(fCaixa[[#This Row],[Descrição]],3),"G","")*1))/1000,0)</f>
        <v>0.65</v>
      </c>
      <c r="O199" s="15">
        <f>fCaixa[[#This Row],[Qtd/Kg]]+fCaixa[[#This Row],[Qtd/Kg Perdido]]</f>
        <v>7</v>
      </c>
      <c r="P199" s="13">
        <f>IF(fCaixa[[#This Row],[Lançamento]]="RECEITA",(fCaixa[[#This Row],[Qtd/Kg]]*fCaixa[[#This Row],[Custo/KG.]]),0)</f>
        <v>66.674999999999997</v>
      </c>
      <c r="Q199" s="34">
        <f>fCaixa[[#This Row],[Custoprimario]]+fCaixa[[#This Row],[Total Perdido]]</f>
        <v>73.5</v>
      </c>
      <c r="R199" s="16">
        <f>IFERROR(fCaixa[[#This Row],[Custoprimario]]/fCaixa[[#This Row],[Venda]],0)</f>
        <v>0.52500000000000002</v>
      </c>
      <c r="S199" s="16">
        <f>IFERROR(fCaixa[[#This Row],[Custofinal]]/fCaixa[[#This Row],[Venda]],0)</f>
        <v>0.57874015748031493</v>
      </c>
      <c r="T199" s="13">
        <f>IF(fCaixa[[#This Row],[Lançamento]]="RECEITA",fCaixa[[#This Row],[Venda]]-fCaixa[[#This Row],[Custoprimario]],0)</f>
        <v>60.325000000000003</v>
      </c>
      <c r="U199" s="16">
        <f>IFERROR(fCaixa[[#This Row],[Lucroprimario]]/fCaixa[[#This Row],[Venda]],0)</f>
        <v>0.47500000000000003</v>
      </c>
      <c r="V19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53.5</v>
      </c>
      <c r="W199" s="16">
        <f>IFERROR(fCaixa[[#This Row],[Lucrofinal]]/fCaixa[[#This Row],[Venda]],0)</f>
        <v>0.42125984251968501</v>
      </c>
    </row>
    <row r="200" spans="1:23" ht="16.5" hidden="1" x14ac:dyDescent="0.25">
      <c r="A200" s="17">
        <f t="shared" si="3"/>
        <v>199</v>
      </c>
      <c r="B200" s="87">
        <v>43164</v>
      </c>
      <c r="C200" s="12" t="s">
        <v>24</v>
      </c>
      <c r="D200" s="12" t="s">
        <v>25</v>
      </c>
      <c r="E200" s="12" t="s">
        <v>35</v>
      </c>
      <c r="F200" s="12" t="s">
        <v>28</v>
      </c>
      <c r="G200" s="13">
        <v>89</v>
      </c>
      <c r="H200" s="13">
        <v>1</v>
      </c>
      <c r="I200" s="13">
        <v>10.5</v>
      </c>
      <c r="J200" s="14">
        <v>1</v>
      </c>
      <c r="K200" s="17">
        <f>IFERROR(ROUND((fCaixa[[#This Row],[Venda]]/fCaixa[[#This Row],[Preço/Un.]]),0),0)</f>
        <v>89</v>
      </c>
      <c r="L200" s="15">
        <f>IFERROR((SUBSTITUTE(RIGHT(fCaixa[[#This Row],[Descrição]],3),"G","")*1 *fCaixa[[#This Row],[Qtd/Pães]]) / 1000,0)</f>
        <v>4.45</v>
      </c>
      <c r="M200" s="13">
        <f>IFERROR((((SUBSTITUTE(RIGHT(fCaixa[[#This Row],[Descrição]],3),"G","")*1) * fCaixa[[#This Row],[QTD Perdida]])/1000) *fCaixa[[#This Row],[Custo/KG.]],0)</f>
        <v>0.52500000000000002</v>
      </c>
      <c r="N200" s="15">
        <f>IF(fCaixa[[#This Row],[Lançamento]]="RECEITA",(fCaixa[[#This Row],[QTD Perdida]]* (SUBSTITUTE(RIGHT(fCaixa[[#This Row],[Descrição]],3),"G","")*1))/1000,0)</f>
        <v>0.05</v>
      </c>
      <c r="O200" s="15">
        <f>fCaixa[[#This Row],[Qtd/Kg]]+fCaixa[[#This Row],[Qtd/Kg Perdido]]</f>
        <v>4.5</v>
      </c>
      <c r="P200" s="13">
        <f>IF(fCaixa[[#This Row],[Lançamento]]="RECEITA",(fCaixa[[#This Row],[Qtd/Kg]]*fCaixa[[#This Row],[Custo/KG.]]),0)</f>
        <v>46.725000000000001</v>
      </c>
      <c r="Q200" s="34">
        <f>fCaixa[[#This Row],[Custoprimario]]+fCaixa[[#This Row],[Total Perdido]]</f>
        <v>47.25</v>
      </c>
      <c r="R200" s="16">
        <f>IFERROR(fCaixa[[#This Row],[Custoprimario]]/fCaixa[[#This Row],[Venda]],0)</f>
        <v>0.52500000000000002</v>
      </c>
      <c r="S200" s="16">
        <f>IFERROR(fCaixa[[#This Row],[Custofinal]]/fCaixa[[#This Row],[Venda]],0)</f>
        <v>0.5308988764044944</v>
      </c>
      <c r="T200" s="13">
        <f>IF(fCaixa[[#This Row],[Lançamento]]="RECEITA",fCaixa[[#This Row],[Venda]]-fCaixa[[#This Row],[Custoprimario]],0)</f>
        <v>42.274999999999999</v>
      </c>
      <c r="U200" s="16">
        <f>IFERROR(fCaixa[[#This Row],[Lucroprimario]]/fCaixa[[#This Row],[Venda]],0)</f>
        <v>0.47499999999999998</v>
      </c>
      <c r="V20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41.75</v>
      </c>
      <c r="W200" s="16">
        <f>IFERROR(fCaixa[[#This Row],[Lucrofinal]]/fCaixa[[#This Row],[Venda]],0)</f>
        <v>0.4691011235955056</v>
      </c>
    </row>
    <row r="201" spans="1:23" ht="16.5" hidden="1" x14ac:dyDescent="0.25">
      <c r="A201" s="17">
        <f t="shared" si="3"/>
        <v>200</v>
      </c>
      <c r="B201" s="87">
        <v>43165</v>
      </c>
      <c r="C201" s="12" t="s">
        <v>24</v>
      </c>
      <c r="D201" s="12" t="s">
        <v>25</v>
      </c>
      <c r="E201" s="12" t="s">
        <v>35</v>
      </c>
      <c r="F201" s="12" t="s">
        <v>28</v>
      </c>
      <c r="G201" s="13">
        <v>89</v>
      </c>
      <c r="H201" s="13">
        <v>1</v>
      </c>
      <c r="I201" s="13">
        <v>10.5</v>
      </c>
      <c r="J201" s="14">
        <v>1</v>
      </c>
      <c r="K201" s="17">
        <f>IFERROR(ROUND((fCaixa[[#This Row],[Venda]]/fCaixa[[#This Row],[Preço/Un.]]),0),0)</f>
        <v>89</v>
      </c>
      <c r="L201" s="15">
        <f>IFERROR((SUBSTITUTE(RIGHT(fCaixa[[#This Row],[Descrição]],3),"G","")*1 *fCaixa[[#This Row],[Qtd/Pães]]) / 1000,0)</f>
        <v>4.45</v>
      </c>
      <c r="M201" s="13">
        <f>IFERROR((((SUBSTITUTE(RIGHT(fCaixa[[#This Row],[Descrição]],3),"G","")*1) * fCaixa[[#This Row],[QTD Perdida]])/1000) *fCaixa[[#This Row],[Custo/KG.]],0)</f>
        <v>0.52500000000000002</v>
      </c>
      <c r="N201" s="15">
        <f>IF(fCaixa[[#This Row],[Lançamento]]="RECEITA",(fCaixa[[#This Row],[QTD Perdida]]* (SUBSTITUTE(RIGHT(fCaixa[[#This Row],[Descrição]],3),"G","")*1))/1000,0)</f>
        <v>0.05</v>
      </c>
      <c r="O201" s="15">
        <f>fCaixa[[#This Row],[Qtd/Kg]]+fCaixa[[#This Row],[Qtd/Kg Perdido]]</f>
        <v>4.5</v>
      </c>
      <c r="P201" s="13">
        <f>IF(fCaixa[[#This Row],[Lançamento]]="RECEITA",(fCaixa[[#This Row],[Qtd/Kg]]*fCaixa[[#This Row],[Custo/KG.]]),0)</f>
        <v>46.725000000000001</v>
      </c>
      <c r="Q201" s="34">
        <f>fCaixa[[#This Row],[Custoprimario]]+fCaixa[[#This Row],[Total Perdido]]</f>
        <v>47.25</v>
      </c>
      <c r="R201" s="16">
        <f>IFERROR(fCaixa[[#This Row],[Custoprimario]]/fCaixa[[#This Row],[Venda]],0)</f>
        <v>0.52500000000000002</v>
      </c>
      <c r="S201" s="16">
        <f>IFERROR(fCaixa[[#This Row],[Custofinal]]/fCaixa[[#This Row],[Venda]],0)</f>
        <v>0.5308988764044944</v>
      </c>
      <c r="T201" s="13">
        <f>IF(fCaixa[[#This Row],[Lançamento]]="RECEITA",fCaixa[[#This Row],[Venda]]-fCaixa[[#This Row],[Custoprimario]],0)</f>
        <v>42.274999999999999</v>
      </c>
      <c r="U201" s="16">
        <f>IFERROR(fCaixa[[#This Row],[Lucroprimario]]/fCaixa[[#This Row],[Venda]],0)</f>
        <v>0.47499999999999998</v>
      </c>
      <c r="V20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41.75</v>
      </c>
      <c r="W201" s="16">
        <f>IFERROR(fCaixa[[#This Row],[Lucrofinal]]/fCaixa[[#This Row],[Venda]],0)</f>
        <v>0.4691011235955056</v>
      </c>
    </row>
    <row r="202" spans="1:23" ht="16.5" hidden="1" x14ac:dyDescent="0.25">
      <c r="A202" s="17">
        <f t="shared" si="3"/>
        <v>201</v>
      </c>
      <c r="B202" s="87">
        <v>43166</v>
      </c>
      <c r="C202" s="12" t="s">
        <v>24</v>
      </c>
      <c r="D202" s="12" t="s">
        <v>25</v>
      </c>
      <c r="E202" s="12" t="s">
        <v>35</v>
      </c>
      <c r="F202" s="12" t="s">
        <v>28</v>
      </c>
      <c r="G202" s="13">
        <v>130</v>
      </c>
      <c r="H202" s="13">
        <v>1</v>
      </c>
      <c r="I202" s="13">
        <v>10.5</v>
      </c>
      <c r="J202" s="14">
        <v>5</v>
      </c>
      <c r="K202" s="17">
        <f>IFERROR(ROUND((fCaixa[[#This Row],[Venda]]/fCaixa[[#This Row],[Preço/Un.]]),0),0)</f>
        <v>130</v>
      </c>
      <c r="L202" s="15">
        <f>IFERROR((SUBSTITUTE(RIGHT(fCaixa[[#This Row],[Descrição]],3),"G","")*1 *fCaixa[[#This Row],[Qtd/Pães]]) / 1000,0)</f>
        <v>6.5</v>
      </c>
      <c r="M202" s="13">
        <f>IFERROR((((SUBSTITUTE(RIGHT(fCaixa[[#This Row],[Descrição]],3),"G","")*1) * fCaixa[[#This Row],[QTD Perdida]])/1000) *fCaixa[[#This Row],[Custo/KG.]],0)</f>
        <v>2.625</v>
      </c>
      <c r="N202" s="15">
        <f>IF(fCaixa[[#This Row],[Lançamento]]="RECEITA",(fCaixa[[#This Row],[QTD Perdida]]* (SUBSTITUTE(RIGHT(fCaixa[[#This Row],[Descrição]],3),"G","")*1))/1000,0)</f>
        <v>0.25</v>
      </c>
      <c r="O202" s="15">
        <f>fCaixa[[#This Row],[Qtd/Kg]]+fCaixa[[#This Row],[Qtd/Kg Perdido]]</f>
        <v>6.75</v>
      </c>
      <c r="P202" s="13">
        <f>IF(fCaixa[[#This Row],[Lançamento]]="RECEITA",(fCaixa[[#This Row],[Qtd/Kg]]*fCaixa[[#This Row],[Custo/KG.]]),0)</f>
        <v>68.25</v>
      </c>
      <c r="Q202" s="34">
        <f>fCaixa[[#This Row],[Custoprimario]]+fCaixa[[#This Row],[Total Perdido]]</f>
        <v>70.875</v>
      </c>
      <c r="R202" s="16">
        <f>IFERROR(fCaixa[[#This Row],[Custoprimario]]/fCaixa[[#This Row],[Venda]],0)</f>
        <v>0.52500000000000002</v>
      </c>
      <c r="S202" s="16">
        <f>IFERROR(fCaixa[[#This Row],[Custofinal]]/fCaixa[[#This Row],[Venda]],0)</f>
        <v>0.54519230769230764</v>
      </c>
      <c r="T202" s="13">
        <f>IF(fCaixa[[#This Row],[Lançamento]]="RECEITA",fCaixa[[#This Row],[Venda]]-fCaixa[[#This Row],[Custoprimario]],0)</f>
        <v>61.75</v>
      </c>
      <c r="U202" s="16">
        <f>IFERROR(fCaixa[[#This Row],[Lucroprimario]]/fCaixa[[#This Row],[Venda]],0)</f>
        <v>0.47499999999999998</v>
      </c>
      <c r="V20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59.125</v>
      </c>
      <c r="W202" s="16">
        <f>IFERROR(fCaixa[[#This Row],[Lucrofinal]]/fCaixa[[#This Row],[Venda]],0)</f>
        <v>0.4548076923076923</v>
      </c>
    </row>
    <row r="203" spans="1:23" ht="16.5" hidden="1" x14ac:dyDescent="0.25">
      <c r="A203" s="17">
        <f t="shared" si="3"/>
        <v>202</v>
      </c>
      <c r="B203" s="87">
        <v>43167</v>
      </c>
      <c r="C203" s="12" t="s">
        <v>24</v>
      </c>
      <c r="D203" s="12" t="s">
        <v>25</v>
      </c>
      <c r="E203" s="12" t="s">
        <v>35</v>
      </c>
      <c r="F203" s="12" t="s">
        <v>28</v>
      </c>
      <c r="G203" s="13">
        <v>144</v>
      </c>
      <c r="H203" s="13">
        <v>1</v>
      </c>
      <c r="I203" s="13">
        <v>10.5</v>
      </c>
      <c r="J203" s="14">
        <v>1</v>
      </c>
      <c r="K203" s="17">
        <f>IFERROR(ROUND((fCaixa[[#This Row],[Venda]]/fCaixa[[#This Row],[Preço/Un.]]),0),0)</f>
        <v>144</v>
      </c>
      <c r="L203" s="15">
        <f>IFERROR((SUBSTITUTE(RIGHT(fCaixa[[#This Row],[Descrição]],3),"G","")*1 *fCaixa[[#This Row],[Qtd/Pães]]) / 1000,0)</f>
        <v>7.2</v>
      </c>
      <c r="M203" s="13">
        <f>IFERROR((((SUBSTITUTE(RIGHT(fCaixa[[#This Row],[Descrição]],3),"G","")*1) * fCaixa[[#This Row],[QTD Perdida]])/1000) *fCaixa[[#This Row],[Custo/KG.]],0)</f>
        <v>0.52500000000000002</v>
      </c>
      <c r="N203" s="15">
        <f>IF(fCaixa[[#This Row],[Lançamento]]="RECEITA",(fCaixa[[#This Row],[QTD Perdida]]* (SUBSTITUTE(RIGHT(fCaixa[[#This Row],[Descrição]],3),"G","")*1))/1000,0)</f>
        <v>0.05</v>
      </c>
      <c r="O203" s="15">
        <f>fCaixa[[#This Row],[Qtd/Kg]]+fCaixa[[#This Row],[Qtd/Kg Perdido]]</f>
        <v>7.25</v>
      </c>
      <c r="P203" s="13">
        <f>IF(fCaixa[[#This Row],[Lançamento]]="RECEITA",(fCaixa[[#This Row],[Qtd/Kg]]*fCaixa[[#This Row],[Custo/KG.]]),0)</f>
        <v>75.600000000000009</v>
      </c>
      <c r="Q203" s="34">
        <f>fCaixa[[#This Row],[Custoprimario]]+fCaixa[[#This Row],[Total Perdido]]</f>
        <v>76.125000000000014</v>
      </c>
      <c r="R203" s="16">
        <f>IFERROR(fCaixa[[#This Row],[Custoprimario]]/fCaixa[[#This Row],[Venda]],0)</f>
        <v>0.52500000000000002</v>
      </c>
      <c r="S203" s="16">
        <f>IFERROR(fCaixa[[#This Row],[Custofinal]]/fCaixa[[#This Row],[Venda]],0)</f>
        <v>0.52864583333333348</v>
      </c>
      <c r="T203" s="13">
        <f>IF(fCaixa[[#This Row],[Lançamento]]="RECEITA",fCaixa[[#This Row],[Venda]]-fCaixa[[#This Row],[Custoprimario]],0)</f>
        <v>68.399999999999991</v>
      </c>
      <c r="U203" s="16">
        <f>IFERROR(fCaixa[[#This Row],[Lucroprimario]]/fCaixa[[#This Row],[Venda]],0)</f>
        <v>0.47499999999999992</v>
      </c>
      <c r="V20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67.874999999999986</v>
      </c>
      <c r="W203" s="16">
        <f>IFERROR(fCaixa[[#This Row],[Lucrofinal]]/fCaixa[[#This Row],[Venda]],0)</f>
        <v>0.47135416666666657</v>
      </c>
    </row>
    <row r="204" spans="1:23" ht="16.5" hidden="1" x14ac:dyDescent="0.25">
      <c r="A204" s="17">
        <f t="shared" si="3"/>
        <v>203</v>
      </c>
      <c r="B204" s="87">
        <v>43167</v>
      </c>
      <c r="C204" s="12" t="s">
        <v>24</v>
      </c>
      <c r="D204" s="12" t="s">
        <v>25</v>
      </c>
      <c r="E204" s="12" t="s">
        <v>35</v>
      </c>
      <c r="F204" s="12" t="s">
        <v>28</v>
      </c>
      <c r="G204" s="13">
        <v>18.899999999999999</v>
      </c>
      <c r="H204" s="13">
        <v>0.95</v>
      </c>
      <c r="I204" s="13">
        <v>10.5</v>
      </c>
      <c r="J204" s="14">
        <v>0</v>
      </c>
      <c r="K204" s="17">
        <f>IFERROR(ROUND((fCaixa[[#This Row],[Venda]]/fCaixa[[#This Row],[Preço/Un.]]),0),0)</f>
        <v>20</v>
      </c>
      <c r="L204" s="15">
        <f>IFERROR((SUBSTITUTE(RIGHT(fCaixa[[#This Row],[Descrição]],3),"G","")*1 *fCaixa[[#This Row],[Qtd/Pães]]) / 1000,0)</f>
        <v>1</v>
      </c>
      <c r="M204" s="13">
        <f>IFERROR((((SUBSTITUTE(RIGHT(fCaixa[[#This Row],[Descrição]],3),"G","")*1) * fCaixa[[#This Row],[QTD Perdida]])/1000) *fCaixa[[#This Row],[Custo/KG.]],0)</f>
        <v>0</v>
      </c>
      <c r="N204" s="15">
        <f>IF(fCaixa[[#This Row],[Lançamento]]="RECEITA",(fCaixa[[#This Row],[QTD Perdida]]* (SUBSTITUTE(RIGHT(fCaixa[[#This Row],[Descrição]],3),"G","")*1))/1000,0)</f>
        <v>0</v>
      </c>
      <c r="O204" s="15">
        <f>fCaixa[[#This Row],[Qtd/Kg]]+fCaixa[[#This Row],[Qtd/Kg Perdido]]</f>
        <v>1</v>
      </c>
      <c r="P204" s="13">
        <f>IF(fCaixa[[#This Row],[Lançamento]]="RECEITA",(fCaixa[[#This Row],[Qtd/Kg]]*fCaixa[[#This Row],[Custo/KG.]]),0)</f>
        <v>10.5</v>
      </c>
      <c r="Q204" s="34">
        <f>fCaixa[[#This Row],[Custoprimario]]+fCaixa[[#This Row],[Total Perdido]]</f>
        <v>10.5</v>
      </c>
      <c r="R204" s="16">
        <f>IFERROR(fCaixa[[#This Row],[Custoprimario]]/fCaixa[[#This Row],[Venda]],0)</f>
        <v>0.55555555555555558</v>
      </c>
      <c r="S204" s="16">
        <f>IFERROR(fCaixa[[#This Row],[Custofinal]]/fCaixa[[#This Row],[Venda]],0)</f>
        <v>0.55555555555555558</v>
      </c>
      <c r="T204" s="13">
        <f>IF(fCaixa[[#This Row],[Lançamento]]="RECEITA",fCaixa[[#This Row],[Venda]]-fCaixa[[#This Row],[Custoprimario]],0)</f>
        <v>8.3999999999999986</v>
      </c>
      <c r="U204" s="16">
        <f>IFERROR(fCaixa[[#This Row],[Lucroprimario]]/fCaixa[[#This Row],[Venda]],0)</f>
        <v>0.44444444444444442</v>
      </c>
      <c r="V20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8.3999999999999986</v>
      </c>
      <c r="W204" s="16">
        <f>IFERROR(fCaixa[[#This Row],[Lucrofinal]]/fCaixa[[#This Row],[Venda]],0)</f>
        <v>0.44444444444444442</v>
      </c>
    </row>
    <row r="205" spans="1:23" ht="16.5" hidden="1" x14ac:dyDescent="0.25">
      <c r="A205" s="17">
        <f t="shared" si="3"/>
        <v>204</v>
      </c>
      <c r="B205" s="87">
        <v>43167</v>
      </c>
      <c r="C205" s="12" t="s">
        <v>24</v>
      </c>
      <c r="D205" s="12" t="s">
        <v>37</v>
      </c>
      <c r="E205" s="12" t="s">
        <v>35</v>
      </c>
      <c r="F205" s="12" t="s">
        <v>28</v>
      </c>
      <c r="G205" s="13">
        <v>5</v>
      </c>
      <c r="H205" s="13">
        <v>1</v>
      </c>
      <c r="I205" s="13">
        <v>10.5</v>
      </c>
      <c r="J205" s="14">
        <v>0</v>
      </c>
      <c r="K205" s="17">
        <f>IFERROR(ROUND((fCaixa[[#This Row],[Venda]]/fCaixa[[#This Row],[Preço/Un.]]),0),0)</f>
        <v>5</v>
      </c>
      <c r="L205" s="15">
        <f>IFERROR((SUBSTITUTE(RIGHT(fCaixa[[#This Row],[Descrição]],3),"G","")*1 *fCaixa[[#This Row],[Qtd/Pães]]) / 1000,0)</f>
        <v>0.25</v>
      </c>
      <c r="M205" s="13">
        <f>IFERROR((((SUBSTITUTE(RIGHT(fCaixa[[#This Row],[Descrição]],3),"G","")*1) * fCaixa[[#This Row],[QTD Perdida]])/1000) *fCaixa[[#This Row],[Custo/KG.]],0)</f>
        <v>0</v>
      </c>
      <c r="N205" s="15">
        <f>IF(fCaixa[[#This Row],[Lançamento]]="RECEITA",(fCaixa[[#This Row],[QTD Perdida]]* (SUBSTITUTE(RIGHT(fCaixa[[#This Row],[Descrição]],3),"G","")*1))/1000,0)</f>
        <v>0</v>
      </c>
      <c r="O205" s="15">
        <f>fCaixa[[#This Row],[Qtd/Kg]]+fCaixa[[#This Row],[Qtd/Kg Perdido]]</f>
        <v>0.25</v>
      </c>
      <c r="P205" s="13">
        <f>IF(fCaixa[[#This Row],[Lançamento]]="RECEITA",(fCaixa[[#This Row],[Qtd/Kg]]*fCaixa[[#This Row],[Custo/KG.]]),0)</f>
        <v>2.625</v>
      </c>
      <c r="Q205" s="34">
        <f>fCaixa[[#This Row],[Custoprimario]]+fCaixa[[#This Row],[Total Perdido]]</f>
        <v>2.625</v>
      </c>
      <c r="R205" s="16">
        <f>IFERROR(fCaixa[[#This Row],[Custoprimario]]/fCaixa[[#This Row],[Venda]],0)</f>
        <v>0.52500000000000002</v>
      </c>
      <c r="S205" s="16">
        <f>IFERROR(fCaixa[[#This Row],[Custofinal]]/fCaixa[[#This Row],[Venda]],0)</f>
        <v>0.52500000000000002</v>
      </c>
      <c r="T205" s="13">
        <f>IF(fCaixa[[#This Row],[Lançamento]]="RECEITA",fCaixa[[#This Row],[Venda]]-fCaixa[[#This Row],[Custoprimario]],0)</f>
        <v>2.375</v>
      </c>
      <c r="U205" s="16">
        <f>IFERROR(fCaixa[[#This Row],[Lucroprimario]]/fCaixa[[#This Row],[Venda]],0)</f>
        <v>0.47499999999999998</v>
      </c>
      <c r="V20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2.2605</v>
      </c>
      <c r="W205" s="16">
        <f>IFERROR(fCaixa[[#This Row],[Lucrofinal]]/fCaixa[[#This Row],[Venda]],0)</f>
        <v>0.4521</v>
      </c>
    </row>
    <row r="206" spans="1:23" ht="16.5" hidden="1" x14ac:dyDescent="0.25">
      <c r="A206" s="17">
        <f t="shared" si="3"/>
        <v>205</v>
      </c>
      <c r="B206" s="87">
        <v>43168</v>
      </c>
      <c r="C206" s="12" t="s">
        <v>24</v>
      </c>
      <c r="D206" s="12" t="s">
        <v>25</v>
      </c>
      <c r="E206" s="12" t="s">
        <v>35</v>
      </c>
      <c r="F206" s="12" t="s">
        <v>28</v>
      </c>
      <c r="G206" s="13">
        <v>103</v>
      </c>
      <c r="H206" s="13">
        <v>1</v>
      </c>
      <c r="I206" s="13">
        <v>10.5</v>
      </c>
      <c r="J206" s="14">
        <v>0</v>
      </c>
      <c r="K206" s="17">
        <f>IFERROR(ROUND((fCaixa[[#This Row],[Venda]]/fCaixa[[#This Row],[Preço/Un.]]),0),0)</f>
        <v>103</v>
      </c>
      <c r="L206" s="15">
        <f>IFERROR((SUBSTITUTE(RIGHT(fCaixa[[#This Row],[Descrição]],3),"G","")*1 *fCaixa[[#This Row],[Qtd/Pães]]) / 1000,0)</f>
        <v>5.15</v>
      </c>
      <c r="M206" s="13">
        <f>IFERROR((((SUBSTITUTE(RIGHT(fCaixa[[#This Row],[Descrição]],3),"G","")*1) * fCaixa[[#This Row],[QTD Perdida]])/1000) *fCaixa[[#This Row],[Custo/KG.]],0)</f>
        <v>0</v>
      </c>
      <c r="N206" s="15">
        <f>IF(fCaixa[[#This Row],[Lançamento]]="RECEITA",(fCaixa[[#This Row],[QTD Perdida]]* (SUBSTITUTE(RIGHT(fCaixa[[#This Row],[Descrição]],3),"G","")*1))/1000,0)</f>
        <v>0</v>
      </c>
      <c r="O206" s="15">
        <f>fCaixa[[#This Row],[Qtd/Kg]]+fCaixa[[#This Row],[Qtd/Kg Perdido]]</f>
        <v>5.15</v>
      </c>
      <c r="P206" s="13">
        <f>IF(fCaixa[[#This Row],[Lançamento]]="RECEITA",(fCaixa[[#This Row],[Qtd/Kg]]*fCaixa[[#This Row],[Custo/KG.]]),0)</f>
        <v>54.075000000000003</v>
      </c>
      <c r="Q206" s="34">
        <f>fCaixa[[#This Row],[Custoprimario]]+fCaixa[[#This Row],[Total Perdido]]</f>
        <v>54.075000000000003</v>
      </c>
      <c r="R206" s="16">
        <f>IFERROR(fCaixa[[#This Row],[Custoprimario]]/fCaixa[[#This Row],[Venda]],0)</f>
        <v>0.52500000000000002</v>
      </c>
      <c r="S206" s="16">
        <f>IFERROR(fCaixa[[#This Row],[Custofinal]]/fCaixa[[#This Row],[Venda]],0)</f>
        <v>0.52500000000000002</v>
      </c>
      <c r="T206" s="13">
        <f>IF(fCaixa[[#This Row],[Lançamento]]="RECEITA",fCaixa[[#This Row],[Venda]]-fCaixa[[#This Row],[Custoprimario]],0)</f>
        <v>48.924999999999997</v>
      </c>
      <c r="U206" s="16">
        <f>IFERROR(fCaixa[[#This Row],[Lucroprimario]]/fCaixa[[#This Row],[Venda]],0)</f>
        <v>0.47499999999999998</v>
      </c>
      <c r="V20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48.924999999999997</v>
      </c>
      <c r="W206" s="16">
        <f>IFERROR(fCaixa[[#This Row],[Lucrofinal]]/fCaixa[[#This Row],[Venda]],0)</f>
        <v>0.47499999999999998</v>
      </c>
    </row>
    <row r="207" spans="1:23" ht="16.5" hidden="1" x14ac:dyDescent="0.25">
      <c r="A207" s="17">
        <f t="shared" si="3"/>
        <v>206</v>
      </c>
      <c r="B207" s="87">
        <v>43171</v>
      </c>
      <c r="C207" s="12" t="s">
        <v>24</v>
      </c>
      <c r="D207" s="12" t="s">
        <v>25</v>
      </c>
      <c r="E207" s="12" t="s">
        <v>35</v>
      </c>
      <c r="F207" s="12" t="s">
        <v>28</v>
      </c>
      <c r="G207" s="13">
        <v>18.899999999999999</v>
      </c>
      <c r="H207" s="13">
        <v>0.95</v>
      </c>
      <c r="I207" s="13">
        <v>10.5</v>
      </c>
      <c r="J207" s="14">
        <v>0</v>
      </c>
      <c r="K207" s="17">
        <f>IFERROR(ROUND((fCaixa[[#This Row],[Venda]]/fCaixa[[#This Row],[Preço/Un.]]),0),0)</f>
        <v>20</v>
      </c>
      <c r="L207" s="15">
        <f>IFERROR((SUBSTITUTE(RIGHT(fCaixa[[#This Row],[Descrição]],3),"G","")*1 *fCaixa[[#This Row],[Qtd/Pães]]) / 1000,0)</f>
        <v>1</v>
      </c>
      <c r="M207" s="13">
        <f>IFERROR((((SUBSTITUTE(RIGHT(fCaixa[[#This Row],[Descrição]],3),"G","")*1) * fCaixa[[#This Row],[QTD Perdida]])/1000) *fCaixa[[#This Row],[Custo/KG.]],0)</f>
        <v>0</v>
      </c>
      <c r="N207" s="15">
        <f>IF(fCaixa[[#This Row],[Lançamento]]="RECEITA",(fCaixa[[#This Row],[QTD Perdida]]* (SUBSTITUTE(RIGHT(fCaixa[[#This Row],[Descrição]],3),"G","")*1))/1000,0)</f>
        <v>0</v>
      </c>
      <c r="O207" s="15">
        <f>fCaixa[[#This Row],[Qtd/Kg]]+fCaixa[[#This Row],[Qtd/Kg Perdido]]</f>
        <v>1</v>
      </c>
      <c r="P207" s="13">
        <f>IF(fCaixa[[#This Row],[Lançamento]]="RECEITA",(fCaixa[[#This Row],[Qtd/Kg]]*fCaixa[[#This Row],[Custo/KG.]]),0)</f>
        <v>10.5</v>
      </c>
      <c r="Q207" s="34">
        <f>fCaixa[[#This Row],[Custoprimario]]+fCaixa[[#This Row],[Total Perdido]]</f>
        <v>10.5</v>
      </c>
      <c r="R207" s="16">
        <f>IFERROR(fCaixa[[#This Row],[Custoprimario]]/fCaixa[[#This Row],[Venda]],0)</f>
        <v>0.55555555555555558</v>
      </c>
      <c r="S207" s="16">
        <f>IFERROR(fCaixa[[#This Row],[Custofinal]]/fCaixa[[#This Row],[Venda]],0)</f>
        <v>0.55555555555555558</v>
      </c>
      <c r="T207" s="13">
        <f>IF(fCaixa[[#This Row],[Lançamento]]="RECEITA",fCaixa[[#This Row],[Venda]]-fCaixa[[#This Row],[Custoprimario]],0)</f>
        <v>8.3999999999999986</v>
      </c>
      <c r="U207" s="16">
        <f>IFERROR(fCaixa[[#This Row],[Lucroprimario]]/fCaixa[[#This Row],[Venda]],0)</f>
        <v>0.44444444444444442</v>
      </c>
      <c r="V20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8.3999999999999986</v>
      </c>
      <c r="W207" s="16">
        <f>IFERROR(fCaixa[[#This Row],[Lucrofinal]]/fCaixa[[#This Row],[Venda]],0)</f>
        <v>0.44444444444444442</v>
      </c>
    </row>
    <row r="208" spans="1:23" ht="16.5" hidden="1" x14ac:dyDescent="0.25">
      <c r="A208" s="17">
        <f t="shared" si="3"/>
        <v>207</v>
      </c>
      <c r="B208" s="87">
        <v>43171</v>
      </c>
      <c r="C208" s="12" t="s">
        <v>24</v>
      </c>
      <c r="D208" s="12" t="s">
        <v>25</v>
      </c>
      <c r="E208" s="12" t="s">
        <v>35</v>
      </c>
      <c r="F208" s="12" t="s">
        <v>28</v>
      </c>
      <c r="G208" s="13">
        <v>186</v>
      </c>
      <c r="H208" s="13">
        <v>1</v>
      </c>
      <c r="I208" s="13">
        <v>10.5</v>
      </c>
      <c r="J208" s="14">
        <v>5</v>
      </c>
      <c r="K208" s="17">
        <f>IFERROR(ROUND((fCaixa[[#This Row],[Venda]]/fCaixa[[#This Row],[Preço/Un.]]),0),0)</f>
        <v>186</v>
      </c>
      <c r="L208" s="15">
        <f>IFERROR((SUBSTITUTE(RIGHT(fCaixa[[#This Row],[Descrição]],3),"G","")*1 *fCaixa[[#This Row],[Qtd/Pães]]) / 1000,0)</f>
        <v>9.3000000000000007</v>
      </c>
      <c r="M208" s="13">
        <f>IFERROR((((SUBSTITUTE(RIGHT(fCaixa[[#This Row],[Descrição]],3),"G","")*1) * fCaixa[[#This Row],[QTD Perdida]])/1000) *fCaixa[[#This Row],[Custo/KG.]],0)</f>
        <v>2.625</v>
      </c>
      <c r="N208" s="15">
        <f>IF(fCaixa[[#This Row],[Lançamento]]="RECEITA",(fCaixa[[#This Row],[QTD Perdida]]* (SUBSTITUTE(RIGHT(fCaixa[[#This Row],[Descrição]],3),"G","")*1))/1000,0)</f>
        <v>0.25</v>
      </c>
      <c r="O208" s="15">
        <f>fCaixa[[#This Row],[Qtd/Kg]]+fCaixa[[#This Row],[Qtd/Kg Perdido]]</f>
        <v>9.5500000000000007</v>
      </c>
      <c r="P208" s="13">
        <f>IF(fCaixa[[#This Row],[Lançamento]]="RECEITA",(fCaixa[[#This Row],[Qtd/Kg]]*fCaixa[[#This Row],[Custo/KG.]]),0)</f>
        <v>97.65</v>
      </c>
      <c r="Q208" s="34">
        <f>fCaixa[[#This Row],[Custoprimario]]+fCaixa[[#This Row],[Total Perdido]]</f>
        <v>100.27500000000001</v>
      </c>
      <c r="R208" s="16">
        <f>IFERROR(fCaixa[[#This Row],[Custoprimario]]/fCaixa[[#This Row],[Venda]],0)</f>
        <v>0.52500000000000002</v>
      </c>
      <c r="S208" s="16">
        <f>IFERROR(fCaixa[[#This Row],[Custofinal]]/fCaixa[[#This Row],[Venda]],0)</f>
        <v>0.53911290322580652</v>
      </c>
      <c r="T208" s="13">
        <f>IF(fCaixa[[#This Row],[Lançamento]]="RECEITA",fCaixa[[#This Row],[Venda]]-fCaixa[[#This Row],[Custoprimario]],0)</f>
        <v>88.35</v>
      </c>
      <c r="U208" s="16">
        <f>IFERROR(fCaixa[[#This Row],[Lucroprimario]]/fCaixa[[#This Row],[Venda]],0)</f>
        <v>0.47499999999999998</v>
      </c>
      <c r="V20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85.724999999999994</v>
      </c>
      <c r="W208" s="16">
        <f>IFERROR(fCaixa[[#This Row],[Lucrofinal]]/fCaixa[[#This Row],[Venda]],0)</f>
        <v>0.46088709677419354</v>
      </c>
    </row>
    <row r="209" spans="1:23" ht="16.5" hidden="1" x14ac:dyDescent="0.25">
      <c r="A209" s="17">
        <f t="shared" si="3"/>
        <v>208</v>
      </c>
      <c r="B209" s="87">
        <v>43172</v>
      </c>
      <c r="C209" s="12" t="s">
        <v>24</v>
      </c>
      <c r="D209" s="12" t="s">
        <v>37</v>
      </c>
      <c r="E209" s="12" t="s">
        <v>35</v>
      </c>
      <c r="F209" s="12" t="s">
        <v>28</v>
      </c>
      <c r="G209" s="13">
        <v>5</v>
      </c>
      <c r="H209" s="13">
        <v>1</v>
      </c>
      <c r="I209" s="13">
        <v>10.5</v>
      </c>
      <c r="J209" s="14">
        <v>0</v>
      </c>
      <c r="K209" s="17">
        <f>IFERROR(ROUND((fCaixa[[#This Row],[Venda]]/fCaixa[[#This Row],[Preço/Un.]]),0),0)</f>
        <v>5</v>
      </c>
      <c r="L209" s="15">
        <f>IFERROR((SUBSTITUTE(RIGHT(fCaixa[[#This Row],[Descrição]],3),"G","")*1 *fCaixa[[#This Row],[Qtd/Pães]]) / 1000,0)</f>
        <v>0.25</v>
      </c>
      <c r="M209" s="13">
        <f>IFERROR((((SUBSTITUTE(RIGHT(fCaixa[[#This Row],[Descrição]],3),"G","")*1) * fCaixa[[#This Row],[QTD Perdida]])/1000) *fCaixa[[#This Row],[Custo/KG.]],0)</f>
        <v>0</v>
      </c>
      <c r="N209" s="15">
        <f>IF(fCaixa[[#This Row],[Lançamento]]="RECEITA",(fCaixa[[#This Row],[QTD Perdida]]* (SUBSTITUTE(RIGHT(fCaixa[[#This Row],[Descrição]],3),"G","")*1))/1000,0)</f>
        <v>0</v>
      </c>
      <c r="O209" s="15">
        <f>fCaixa[[#This Row],[Qtd/Kg]]+fCaixa[[#This Row],[Qtd/Kg Perdido]]</f>
        <v>0.25</v>
      </c>
      <c r="P209" s="13">
        <f>IF(fCaixa[[#This Row],[Lançamento]]="RECEITA",(fCaixa[[#This Row],[Qtd/Kg]]*fCaixa[[#This Row],[Custo/KG.]]),0)</f>
        <v>2.625</v>
      </c>
      <c r="Q209" s="34">
        <f>fCaixa[[#This Row],[Custoprimario]]+fCaixa[[#This Row],[Total Perdido]]</f>
        <v>2.625</v>
      </c>
      <c r="R209" s="16">
        <f>IFERROR(fCaixa[[#This Row],[Custoprimario]]/fCaixa[[#This Row],[Venda]],0)</f>
        <v>0.52500000000000002</v>
      </c>
      <c r="S209" s="16">
        <f>IFERROR(fCaixa[[#This Row],[Custofinal]]/fCaixa[[#This Row],[Venda]],0)</f>
        <v>0.52500000000000002</v>
      </c>
      <c r="T209" s="13">
        <f>IF(fCaixa[[#This Row],[Lançamento]]="RECEITA",fCaixa[[#This Row],[Venda]]-fCaixa[[#This Row],[Custoprimario]],0)</f>
        <v>2.375</v>
      </c>
      <c r="U209" s="16">
        <f>IFERROR(fCaixa[[#This Row],[Lucroprimario]]/fCaixa[[#This Row],[Venda]],0)</f>
        <v>0.47499999999999998</v>
      </c>
      <c r="V20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2.2605</v>
      </c>
      <c r="W209" s="16">
        <f>IFERROR(fCaixa[[#This Row],[Lucrofinal]]/fCaixa[[#This Row],[Venda]],0)</f>
        <v>0.4521</v>
      </c>
    </row>
    <row r="210" spans="1:23" ht="16.5" hidden="1" x14ac:dyDescent="0.25">
      <c r="A210" s="17">
        <f t="shared" si="3"/>
        <v>209</v>
      </c>
      <c r="B210" s="87">
        <v>43172</v>
      </c>
      <c r="C210" s="12" t="s">
        <v>24</v>
      </c>
      <c r="D210" s="12" t="s">
        <v>25</v>
      </c>
      <c r="E210" s="12" t="s">
        <v>35</v>
      </c>
      <c r="F210" s="12" t="s">
        <v>28</v>
      </c>
      <c r="G210" s="13">
        <v>180</v>
      </c>
      <c r="H210" s="13">
        <v>1</v>
      </c>
      <c r="I210" s="13">
        <v>10.5</v>
      </c>
      <c r="J210" s="14">
        <v>15</v>
      </c>
      <c r="K210" s="17">
        <f>IFERROR(ROUND((fCaixa[[#This Row],[Venda]]/fCaixa[[#This Row],[Preço/Un.]]),0),0)</f>
        <v>180</v>
      </c>
      <c r="L210" s="15">
        <f>IFERROR((SUBSTITUTE(RIGHT(fCaixa[[#This Row],[Descrição]],3),"G","")*1 *fCaixa[[#This Row],[Qtd/Pães]]) / 1000,0)</f>
        <v>9</v>
      </c>
      <c r="M210" s="13">
        <f>IFERROR((((SUBSTITUTE(RIGHT(fCaixa[[#This Row],[Descrição]],3),"G","")*1) * fCaixa[[#This Row],[QTD Perdida]])/1000) *fCaixa[[#This Row],[Custo/KG.]],0)</f>
        <v>7.875</v>
      </c>
      <c r="N210" s="15">
        <f>IF(fCaixa[[#This Row],[Lançamento]]="RECEITA",(fCaixa[[#This Row],[QTD Perdida]]* (SUBSTITUTE(RIGHT(fCaixa[[#This Row],[Descrição]],3),"G","")*1))/1000,0)</f>
        <v>0.75</v>
      </c>
      <c r="O210" s="15">
        <f>fCaixa[[#This Row],[Qtd/Kg]]+fCaixa[[#This Row],[Qtd/Kg Perdido]]</f>
        <v>9.75</v>
      </c>
      <c r="P210" s="13">
        <f>IF(fCaixa[[#This Row],[Lançamento]]="RECEITA",(fCaixa[[#This Row],[Qtd/Kg]]*fCaixa[[#This Row],[Custo/KG.]]),0)</f>
        <v>94.5</v>
      </c>
      <c r="Q210" s="34">
        <f>fCaixa[[#This Row],[Custoprimario]]+fCaixa[[#This Row],[Total Perdido]]</f>
        <v>102.375</v>
      </c>
      <c r="R210" s="16">
        <f>IFERROR(fCaixa[[#This Row],[Custoprimario]]/fCaixa[[#This Row],[Venda]],0)</f>
        <v>0.52500000000000002</v>
      </c>
      <c r="S210" s="16">
        <f>IFERROR(fCaixa[[#This Row],[Custofinal]]/fCaixa[[#This Row],[Venda]],0)</f>
        <v>0.56874999999999998</v>
      </c>
      <c r="T210" s="13">
        <f>IF(fCaixa[[#This Row],[Lançamento]]="RECEITA",fCaixa[[#This Row],[Venda]]-fCaixa[[#This Row],[Custoprimario]],0)</f>
        <v>85.5</v>
      </c>
      <c r="U210" s="16">
        <f>IFERROR(fCaixa[[#This Row],[Lucroprimario]]/fCaixa[[#This Row],[Venda]],0)</f>
        <v>0.47499999999999998</v>
      </c>
      <c r="V21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77.625</v>
      </c>
      <c r="W210" s="16">
        <f>IFERROR(fCaixa[[#This Row],[Lucrofinal]]/fCaixa[[#This Row],[Venda]],0)</f>
        <v>0.43125000000000002</v>
      </c>
    </row>
    <row r="211" spans="1:23" ht="16.5" hidden="1" x14ac:dyDescent="0.25">
      <c r="A211" s="17">
        <f t="shared" si="3"/>
        <v>210</v>
      </c>
      <c r="B211" s="87">
        <v>43173</v>
      </c>
      <c r="C211" s="12" t="s">
        <v>24</v>
      </c>
      <c r="D211" s="12" t="s">
        <v>25</v>
      </c>
      <c r="E211" s="12" t="s">
        <v>35</v>
      </c>
      <c r="F211" s="12" t="s">
        <v>28</v>
      </c>
      <c r="G211" s="13">
        <v>107</v>
      </c>
      <c r="H211" s="13">
        <v>1</v>
      </c>
      <c r="I211" s="13">
        <v>10.5</v>
      </c>
      <c r="J211" s="14">
        <v>13</v>
      </c>
      <c r="K211" s="17">
        <f>IFERROR(ROUND((fCaixa[[#This Row],[Venda]]/fCaixa[[#This Row],[Preço/Un.]]),0),0)</f>
        <v>107</v>
      </c>
      <c r="L211" s="15">
        <f>IFERROR((SUBSTITUTE(RIGHT(fCaixa[[#This Row],[Descrição]],3),"G","")*1 *fCaixa[[#This Row],[Qtd/Pães]]) / 1000,0)</f>
        <v>5.35</v>
      </c>
      <c r="M211" s="13">
        <f>IFERROR((((SUBSTITUTE(RIGHT(fCaixa[[#This Row],[Descrição]],3),"G","")*1) * fCaixa[[#This Row],[QTD Perdida]])/1000) *fCaixa[[#This Row],[Custo/KG.]],0)</f>
        <v>6.8250000000000002</v>
      </c>
      <c r="N211" s="15">
        <f>IF(fCaixa[[#This Row],[Lançamento]]="RECEITA",(fCaixa[[#This Row],[QTD Perdida]]* (SUBSTITUTE(RIGHT(fCaixa[[#This Row],[Descrição]],3),"G","")*1))/1000,0)</f>
        <v>0.65</v>
      </c>
      <c r="O211" s="15">
        <f>fCaixa[[#This Row],[Qtd/Kg]]+fCaixa[[#This Row],[Qtd/Kg Perdido]]</f>
        <v>6</v>
      </c>
      <c r="P211" s="13">
        <f>IF(fCaixa[[#This Row],[Lançamento]]="RECEITA",(fCaixa[[#This Row],[Qtd/Kg]]*fCaixa[[#This Row],[Custo/KG.]]),0)</f>
        <v>56.174999999999997</v>
      </c>
      <c r="Q211" s="34">
        <f>fCaixa[[#This Row],[Custoprimario]]+fCaixa[[#This Row],[Total Perdido]]</f>
        <v>63</v>
      </c>
      <c r="R211" s="16">
        <f>IFERROR(fCaixa[[#This Row],[Custoprimario]]/fCaixa[[#This Row],[Venda]],0)</f>
        <v>0.52500000000000002</v>
      </c>
      <c r="S211" s="16">
        <f>IFERROR(fCaixa[[#This Row],[Custofinal]]/fCaixa[[#This Row],[Venda]],0)</f>
        <v>0.58878504672897192</v>
      </c>
      <c r="T211" s="13">
        <f>IF(fCaixa[[#This Row],[Lançamento]]="RECEITA",fCaixa[[#This Row],[Venda]]-fCaixa[[#This Row],[Custoprimario]],0)</f>
        <v>50.825000000000003</v>
      </c>
      <c r="U211" s="16">
        <f>IFERROR(fCaixa[[#This Row],[Lucroprimario]]/fCaixa[[#This Row],[Venda]],0)</f>
        <v>0.47500000000000003</v>
      </c>
      <c r="V21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44</v>
      </c>
      <c r="W211" s="16">
        <f>IFERROR(fCaixa[[#This Row],[Lucrofinal]]/fCaixa[[#This Row],[Venda]],0)</f>
        <v>0.41121495327102803</v>
      </c>
    </row>
    <row r="212" spans="1:23" ht="16.5" hidden="1" x14ac:dyDescent="0.25">
      <c r="A212" s="17">
        <f t="shared" si="3"/>
        <v>211</v>
      </c>
      <c r="B212" s="87">
        <v>43174</v>
      </c>
      <c r="C212" s="12" t="s">
        <v>24</v>
      </c>
      <c r="D212" s="12" t="s">
        <v>37</v>
      </c>
      <c r="E212" s="12" t="s">
        <v>35</v>
      </c>
      <c r="F212" s="12" t="s">
        <v>28</v>
      </c>
      <c r="G212" s="13">
        <v>6</v>
      </c>
      <c r="H212" s="13">
        <v>1</v>
      </c>
      <c r="I212" s="13">
        <v>10.5</v>
      </c>
      <c r="J212" s="14">
        <v>0</v>
      </c>
      <c r="K212" s="17">
        <f>IFERROR(ROUND((fCaixa[[#This Row],[Venda]]/fCaixa[[#This Row],[Preço/Un.]]),0),0)</f>
        <v>6</v>
      </c>
      <c r="L212" s="15">
        <f>IFERROR((SUBSTITUTE(RIGHT(fCaixa[[#This Row],[Descrição]],3),"G","")*1 *fCaixa[[#This Row],[Qtd/Pães]]) / 1000,0)</f>
        <v>0.3</v>
      </c>
      <c r="M212" s="13">
        <f>IFERROR((((SUBSTITUTE(RIGHT(fCaixa[[#This Row],[Descrição]],3),"G","")*1) * fCaixa[[#This Row],[QTD Perdida]])/1000) *fCaixa[[#This Row],[Custo/KG.]],0)</f>
        <v>0</v>
      </c>
      <c r="N212" s="15">
        <f>IF(fCaixa[[#This Row],[Lançamento]]="RECEITA",(fCaixa[[#This Row],[QTD Perdida]]* (SUBSTITUTE(RIGHT(fCaixa[[#This Row],[Descrição]],3),"G","")*1))/1000,0)</f>
        <v>0</v>
      </c>
      <c r="O212" s="15">
        <f>fCaixa[[#This Row],[Qtd/Kg]]+fCaixa[[#This Row],[Qtd/Kg Perdido]]</f>
        <v>0.3</v>
      </c>
      <c r="P212" s="13">
        <f>IF(fCaixa[[#This Row],[Lançamento]]="RECEITA",(fCaixa[[#This Row],[Qtd/Kg]]*fCaixa[[#This Row],[Custo/KG.]]),0)</f>
        <v>3.15</v>
      </c>
      <c r="Q212" s="34">
        <f>fCaixa[[#This Row],[Custoprimario]]+fCaixa[[#This Row],[Total Perdido]]</f>
        <v>3.15</v>
      </c>
      <c r="R212" s="16">
        <f>IFERROR(fCaixa[[#This Row],[Custoprimario]]/fCaixa[[#This Row],[Venda]],0)</f>
        <v>0.52500000000000002</v>
      </c>
      <c r="S212" s="16">
        <f>IFERROR(fCaixa[[#This Row],[Custofinal]]/fCaixa[[#This Row],[Venda]],0)</f>
        <v>0.52500000000000002</v>
      </c>
      <c r="T212" s="13">
        <f>IF(fCaixa[[#This Row],[Lançamento]]="RECEITA",fCaixa[[#This Row],[Venda]]-fCaixa[[#This Row],[Custoprimario]],0)</f>
        <v>2.85</v>
      </c>
      <c r="U212" s="16">
        <f>IFERROR(fCaixa[[#This Row],[Lucroprimario]]/fCaixa[[#This Row],[Venda]],0)</f>
        <v>0.47500000000000003</v>
      </c>
      <c r="V21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2.7126000000000001</v>
      </c>
      <c r="W212" s="16">
        <f>IFERROR(fCaixa[[#This Row],[Lucrofinal]]/fCaixa[[#This Row],[Venda]],0)</f>
        <v>0.4521</v>
      </c>
    </row>
    <row r="213" spans="1:23" ht="16.5" hidden="1" x14ac:dyDescent="0.25">
      <c r="A213" s="17">
        <f t="shared" si="3"/>
        <v>212</v>
      </c>
      <c r="B213" s="87">
        <v>43174</v>
      </c>
      <c r="C213" s="12" t="s">
        <v>24</v>
      </c>
      <c r="D213" s="12" t="s">
        <v>25</v>
      </c>
      <c r="E213" s="12" t="s">
        <v>35</v>
      </c>
      <c r="F213" s="12" t="s">
        <v>28</v>
      </c>
      <c r="G213" s="13">
        <v>82</v>
      </c>
      <c r="H213" s="13">
        <v>1</v>
      </c>
      <c r="I213" s="13">
        <v>10.5</v>
      </c>
      <c r="J213" s="14">
        <v>2</v>
      </c>
      <c r="K213" s="17">
        <f>IFERROR(ROUND((fCaixa[[#This Row],[Venda]]/fCaixa[[#This Row],[Preço/Un.]]),0),0)</f>
        <v>82</v>
      </c>
      <c r="L213" s="15">
        <f>IFERROR((SUBSTITUTE(RIGHT(fCaixa[[#This Row],[Descrição]],3),"G","")*1 *fCaixa[[#This Row],[Qtd/Pães]]) / 1000,0)</f>
        <v>4.0999999999999996</v>
      </c>
      <c r="M213" s="13">
        <f>IFERROR((((SUBSTITUTE(RIGHT(fCaixa[[#This Row],[Descrição]],3),"G","")*1) * fCaixa[[#This Row],[QTD Perdida]])/1000) *fCaixa[[#This Row],[Custo/KG.]],0)</f>
        <v>1.05</v>
      </c>
      <c r="N213" s="15">
        <f>IF(fCaixa[[#This Row],[Lançamento]]="RECEITA",(fCaixa[[#This Row],[QTD Perdida]]* (SUBSTITUTE(RIGHT(fCaixa[[#This Row],[Descrição]],3),"G","")*1))/1000,0)</f>
        <v>0.1</v>
      </c>
      <c r="O213" s="15">
        <f>fCaixa[[#This Row],[Qtd/Kg]]+fCaixa[[#This Row],[Qtd/Kg Perdido]]</f>
        <v>4.1999999999999993</v>
      </c>
      <c r="P213" s="13">
        <f>IF(fCaixa[[#This Row],[Lançamento]]="RECEITA",(fCaixa[[#This Row],[Qtd/Kg]]*fCaixa[[#This Row],[Custo/KG.]]),0)</f>
        <v>43.05</v>
      </c>
      <c r="Q213" s="34">
        <f>fCaixa[[#This Row],[Custoprimario]]+fCaixa[[#This Row],[Total Perdido]]</f>
        <v>44.099999999999994</v>
      </c>
      <c r="R213" s="16">
        <f>IFERROR(fCaixa[[#This Row],[Custoprimario]]/fCaixa[[#This Row],[Venda]],0)</f>
        <v>0.52499999999999991</v>
      </c>
      <c r="S213" s="16">
        <f>IFERROR(fCaixa[[#This Row],[Custofinal]]/fCaixa[[#This Row],[Venda]],0)</f>
        <v>0.53780487804878041</v>
      </c>
      <c r="T213" s="13">
        <f>IF(fCaixa[[#This Row],[Lançamento]]="RECEITA",fCaixa[[#This Row],[Venda]]-fCaixa[[#This Row],[Custoprimario]],0)</f>
        <v>38.950000000000003</v>
      </c>
      <c r="U213" s="16">
        <f>IFERROR(fCaixa[[#This Row],[Lucroprimario]]/fCaixa[[#This Row],[Venda]],0)</f>
        <v>0.47500000000000003</v>
      </c>
      <c r="V21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37.900000000000006</v>
      </c>
      <c r="W213" s="16">
        <f>IFERROR(fCaixa[[#This Row],[Lucrofinal]]/fCaixa[[#This Row],[Venda]],0)</f>
        <v>0.46219512195121959</v>
      </c>
    </row>
    <row r="214" spans="1:23" ht="16.5" hidden="1" x14ac:dyDescent="0.25">
      <c r="A214" s="17">
        <f t="shared" si="3"/>
        <v>213</v>
      </c>
      <c r="B214" s="87">
        <v>43175</v>
      </c>
      <c r="C214" s="12" t="s">
        <v>24</v>
      </c>
      <c r="D214" s="12" t="s">
        <v>37</v>
      </c>
      <c r="E214" s="12" t="s">
        <v>35</v>
      </c>
      <c r="F214" s="12" t="s">
        <v>28</v>
      </c>
      <c r="G214" s="13">
        <v>5</v>
      </c>
      <c r="H214" s="13">
        <v>1</v>
      </c>
      <c r="I214" s="13">
        <v>10.5</v>
      </c>
      <c r="J214" s="14">
        <v>0</v>
      </c>
      <c r="K214" s="17">
        <f>IFERROR(ROUND((fCaixa[[#This Row],[Venda]]/fCaixa[[#This Row],[Preço/Un.]]),0),0)</f>
        <v>5</v>
      </c>
      <c r="L214" s="15">
        <f>IFERROR((SUBSTITUTE(RIGHT(fCaixa[[#This Row],[Descrição]],3),"G","")*1 *fCaixa[[#This Row],[Qtd/Pães]]) / 1000,0)</f>
        <v>0.25</v>
      </c>
      <c r="M214" s="13">
        <f>IFERROR((((SUBSTITUTE(RIGHT(fCaixa[[#This Row],[Descrição]],3),"G","")*1) * fCaixa[[#This Row],[QTD Perdida]])/1000) *fCaixa[[#This Row],[Custo/KG.]],0)</f>
        <v>0</v>
      </c>
      <c r="N214" s="15">
        <f>IF(fCaixa[[#This Row],[Lançamento]]="RECEITA",(fCaixa[[#This Row],[QTD Perdida]]* (SUBSTITUTE(RIGHT(fCaixa[[#This Row],[Descrição]],3),"G","")*1))/1000,0)</f>
        <v>0</v>
      </c>
      <c r="O214" s="15">
        <f>fCaixa[[#This Row],[Qtd/Kg]]+fCaixa[[#This Row],[Qtd/Kg Perdido]]</f>
        <v>0.25</v>
      </c>
      <c r="P214" s="13">
        <f>IF(fCaixa[[#This Row],[Lançamento]]="RECEITA",(fCaixa[[#This Row],[Qtd/Kg]]*fCaixa[[#This Row],[Custo/KG.]]),0)</f>
        <v>2.625</v>
      </c>
      <c r="Q214" s="34">
        <f>fCaixa[[#This Row],[Custoprimario]]+fCaixa[[#This Row],[Total Perdido]]</f>
        <v>2.625</v>
      </c>
      <c r="R214" s="16">
        <f>IFERROR(fCaixa[[#This Row],[Custoprimario]]/fCaixa[[#This Row],[Venda]],0)</f>
        <v>0.52500000000000002</v>
      </c>
      <c r="S214" s="16">
        <f>IFERROR(fCaixa[[#This Row],[Custofinal]]/fCaixa[[#This Row],[Venda]],0)</f>
        <v>0.52500000000000002</v>
      </c>
      <c r="T214" s="13">
        <f>IF(fCaixa[[#This Row],[Lançamento]]="RECEITA",fCaixa[[#This Row],[Venda]]-fCaixa[[#This Row],[Custoprimario]],0)</f>
        <v>2.375</v>
      </c>
      <c r="U214" s="16">
        <f>IFERROR(fCaixa[[#This Row],[Lucroprimario]]/fCaixa[[#This Row],[Venda]],0)</f>
        <v>0.47499999999999998</v>
      </c>
      <c r="V21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2.2605</v>
      </c>
      <c r="W214" s="16">
        <f>IFERROR(fCaixa[[#This Row],[Lucrofinal]]/fCaixa[[#This Row],[Venda]],0)</f>
        <v>0.4521</v>
      </c>
    </row>
    <row r="215" spans="1:23" ht="16.5" hidden="1" x14ac:dyDescent="0.25">
      <c r="A215" s="17">
        <f t="shared" si="3"/>
        <v>214</v>
      </c>
      <c r="B215" s="87">
        <v>43175</v>
      </c>
      <c r="C215" s="12" t="s">
        <v>24</v>
      </c>
      <c r="D215" s="12" t="s">
        <v>25</v>
      </c>
      <c r="E215" s="12" t="s">
        <v>35</v>
      </c>
      <c r="F215" s="12" t="s">
        <v>28</v>
      </c>
      <c r="G215" s="13">
        <v>111</v>
      </c>
      <c r="H215" s="13">
        <v>1</v>
      </c>
      <c r="I215" s="13">
        <v>10.5</v>
      </c>
      <c r="J215" s="14">
        <v>4</v>
      </c>
      <c r="K215" s="17">
        <f>IFERROR(ROUND((fCaixa[[#This Row],[Venda]]/fCaixa[[#This Row],[Preço/Un.]]),0),0)</f>
        <v>111</v>
      </c>
      <c r="L215" s="15">
        <f>IFERROR((SUBSTITUTE(RIGHT(fCaixa[[#This Row],[Descrição]],3),"G","")*1 *fCaixa[[#This Row],[Qtd/Pães]]) / 1000,0)</f>
        <v>5.55</v>
      </c>
      <c r="M215" s="13">
        <f>IFERROR((((SUBSTITUTE(RIGHT(fCaixa[[#This Row],[Descrição]],3),"G","")*1) * fCaixa[[#This Row],[QTD Perdida]])/1000) *fCaixa[[#This Row],[Custo/KG.]],0)</f>
        <v>2.1</v>
      </c>
      <c r="N215" s="15">
        <f>IF(fCaixa[[#This Row],[Lançamento]]="RECEITA",(fCaixa[[#This Row],[QTD Perdida]]* (SUBSTITUTE(RIGHT(fCaixa[[#This Row],[Descrição]],3),"G","")*1))/1000,0)</f>
        <v>0.2</v>
      </c>
      <c r="O215" s="15">
        <f>fCaixa[[#This Row],[Qtd/Kg]]+fCaixa[[#This Row],[Qtd/Kg Perdido]]</f>
        <v>5.75</v>
      </c>
      <c r="P215" s="13">
        <f>IF(fCaixa[[#This Row],[Lançamento]]="RECEITA",(fCaixa[[#This Row],[Qtd/Kg]]*fCaixa[[#This Row],[Custo/KG.]]),0)</f>
        <v>58.274999999999999</v>
      </c>
      <c r="Q215" s="34">
        <f>fCaixa[[#This Row],[Custoprimario]]+fCaixa[[#This Row],[Total Perdido]]</f>
        <v>60.375</v>
      </c>
      <c r="R215" s="16">
        <f>IFERROR(fCaixa[[#This Row],[Custoprimario]]/fCaixa[[#This Row],[Venda]],0)</f>
        <v>0.52500000000000002</v>
      </c>
      <c r="S215" s="16">
        <f>IFERROR(fCaixa[[#This Row],[Custofinal]]/fCaixa[[#This Row],[Venda]],0)</f>
        <v>0.54391891891891897</v>
      </c>
      <c r="T215" s="13">
        <f>IF(fCaixa[[#This Row],[Lançamento]]="RECEITA",fCaixa[[#This Row],[Venda]]-fCaixa[[#This Row],[Custoprimario]],0)</f>
        <v>52.725000000000001</v>
      </c>
      <c r="U215" s="16">
        <f>IFERROR(fCaixa[[#This Row],[Lucroprimario]]/fCaixa[[#This Row],[Venda]],0)</f>
        <v>0.47500000000000003</v>
      </c>
      <c r="V21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50.625</v>
      </c>
      <c r="W215" s="16">
        <f>IFERROR(fCaixa[[#This Row],[Lucrofinal]]/fCaixa[[#This Row],[Venda]],0)</f>
        <v>0.45608108108108109</v>
      </c>
    </row>
    <row r="216" spans="1:23" ht="16.5" hidden="1" x14ac:dyDescent="0.25">
      <c r="A216" s="17">
        <f t="shared" si="3"/>
        <v>215</v>
      </c>
      <c r="B216" s="87">
        <v>43178</v>
      </c>
      <c r="C216" s="12" t="s">
        <v>29</v>
      </c>
      <c r="D216" s="12" t="s">
        <v>25</v>
      </c>
      <c r="E216" s="12" t="s">
        <v>32</v>
      </c>
      <c r="F216" s="12" t="s">
        <v>28</v>
      </c>
      <c r="G216" s="13">
        <v>300</v>
      </c>
      <c r="H216" s="13">
        <v>0</v>
      </c>
      <c r="I216" s="13">
        <v>0</v>
      </c>
      <c r="J216" s="14">
        <v>0</v>
      </c>
      <c r="K216" s="17">
        <f>IFERROR(ROUND((fCaixa[[#This Row],[Venda]]/fCaixa[[#This Row],[Preço/Un.]]),0),0)</f>
        <v>0</v>
      </c>
      <c r="L216" s="15">
        <f>IFERROR((SUBSTITUTE(RIGHT(fCaixa[[#This Row],[Descrição]],3),"G","")*1 *fCaixa[[#This Row],[Qtd/Pães]]) / 1000,0)</f>
        <v>0</v>
      </c>
      <c r="M216" s="13">
        <f>IFERROR((((SUBSTITUTE(RIGHT(fCaixa[[#This Row],[Descrição]],3),"G","")*1) * fCaixa[[#This Row],[QTD Perdida]])/1000) *fCaixa[[#This Row],[Custo/KG.]],0)</f>
        <v>0</v>
      </c>
      <c r="N216" s="15">
        <f>IF(fCaixa[[#This Row],[Lançamento]]="RECEITA",(fCaixa[[#This Row],[QTD Perdida]]* (SUBSTITUTE(RIGHT(fCaixa[[#This Row],[Descrição]],3),"G","")*1))/1000,0)</f>
        <v>0</v>
      </c>
      <c r="O216" s="15">
        <f>fCaixa[[#This Row],[Qtd/Kg]]+fCaixa[[#This Row],[Qtd/Kg Perdido]]</f>
        <v>0</v>
      </c>
      <c r="P216" s="13">
        <f>IF(fCaixa[[#This Row],[Lançamento]]="RECEITA",(fCaixa[[#This Row],[Qtd/Kg]]*fCaixa[[#This Row],[Custo/KG.]]),0)</f>
        <v>0</v>
      </c>
      <c r="Q216" s="34">
        <f>fCaixa[[#This Row],[Custoprimario]]+fCaixa[[#This Row],[Total Perdido]]</f>
        <v>0</v>
      </c>
      <c r="R216" s="16">
        <f>IFERROR(fCaixa[[#This Row],[Custoprimario]]/fCaixa[[#This Row],[Venda]],0)</f>
        <v>0</v>
      </c>
      <c r="S216" s="16">
        <f>IFERROR(fCaixa[[#This Row],[Custofinal]]/fCaixa[[#This Row],[Venda]],0)</f>
        <v>0</v>
      </c>
      <c r="T216" s="13">
        <f>IF(fCaixa[[#This Row],[Lançamento]]="RECEITA",fCaixa[[#This Row],[Venda]]-fCaixa[[#This Row],[Custoprimario]],0)</f>
        <v>0</v>
      </c>
      <c r="U216" s="16">
        <f>IFERROR(fCaixa[[#This Row],[Lucroprimario]]/fCaixa[[#This Row],[Venda]],0)</f>
        <v>0</v>
      </c>
      <c r="V21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16" s="16">
        <f>IFERROR(fCaixa[[#This Row],[Lucrofinal]]/fCaixa[[#This Row],[Venda]],0)</f>
        <v>0</v>
      </c>
    </row>
    <row r="217" spans="1:23" ht="16.5" hidden="1" x14ac:dyDescent="0.25">
      <c r="A217" s="17">
        <f t="shared" si="3"/>
        <v>216</v>
      </c>
      <c r="B217" s="87">
        <v>43178</v>
      </c>
      <c r="C217" s="12" t="s">
        <v>24</v>
      </c>
      <c r="D217" s="12" t="s">
        <v>25</v>
      </c>
      <c r="E217" s="12" t="s">
        <v>35</v>
      </c>
      <c r="F217" s="12" t="s">
        <v>28</v>
      </c>
      <c r="G217" s="13">
        <v>118</v>
      </c>
      <c r="H217" s="13">
        <v>1</v>
      </c>
      <c r="I217" s="13">
        <v>10.5</v>
      </c>
      <c r="J217" s="14">
        <v>2</v>
      </c>
      <c r="K217" s="17">
        <f>IFERROR(ROUND((fCaixa[[#This Row],[Venda]]/fCaixa[[#This Row],[Preço/Un.]]),0),0)</f>
        <v>118</v>
      </c>
      <c r="L217" s="15">
        <f>IFERROR((SUBSTITUTE(RIGHT(fCaixa[[#This Row],[Descrição]],3),"G","")*1 *fCaixa[[#This Row],[Qtd/Pães]]) / 1000,0)</f>
        <v>5.9</v>
      </c>
      <c r="M217" s="13">
        <f>IFERROR((((SUBSTITUTE(RIGHT(fCaixa[[#This Row],[Descrição]],3),"G","")*1) * fCaixa[[#This Row],[QTD Perdida]])/1000) *fCaixa[[#This Row],[Custo/KG.]],0)</f>
        <v>1.05</v>
      </c>
      <c r="N217" s="15">
        <f>IF(fCaixa[[#This Row],[Lançamento]]="RECEITA",(fCaixa[[#This Row],[QTD Perdida]]* (SUBSTITUTE(RIGHT(fCaixa[[#This Row],[Descrição]],3),"G","")*1))/1000,0)</f>
        <v>0.1</v>
      </c>
      <c r="O217" s="15">
        <f>fCaixa[[#This Row],[Qtd/Kg]]+fCaixa[[#This Row],[Qtd/Kg Perdido]]</f>
        <v>6</v>
      </c>
      <c r="P217" s="13">
        <f>IF(fCaixa[[#This Row],[Lançamento]]="RECEITA",(fCaixa[[#This Row],[Qtd/Kg]]*fCaixa[[#This Row],[Custo/KG.]]),0)</f>
        <v>61.95</v>
      </c>
      <c r="Q217" s="34">
        <f>fCaixa[[#This Row],[Custoprimario]]+fCaixa[[#This Row],[Total Perdido]]</f>
        <v>63</v>
      </c>
      <c r="R217" s="16">
        <f>IFERROR(fCaixa[[#This Row],[Custoprimario]]/fCaixa[[#This Row],[Venda]],0)</f>
        <v>0.52500000000000002</v>
      </c>
      <c r="S217" s="16">
        <f>IFERROR(fCaixa[[#This Row],[Custofinal]]/fCaixa[[#This Row],[Venda]],0)</f>
        <v>0.53389830508474578</v>
      </c>
      <c r="T217" s="13">
        <f>IF(fCaixa[[#This Row],[Lançamento]]="RECEITA",fCaixa[[#This Row],[Venda]]-fCaixa[[#This Row],[Custoprimario]],0)</f>
        <v>56.05</v>
      </c>
      <c r="U217" s="16">
        <f>IFERROR(fCaixa[[#This Row],[Lucroprimario]]/fCaixa[[#This Row],[Venda]],0)</f>
        <v>0.47499999999999998</v>
      </c>
      <c r="V21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55</v>
      </c>
      <c r="W217" s="16">
        <f>IFERROR(fCaixa[[#This Row],[Lucrofinal]]/fCaixa[[#This Row],[Venda]],0)</f>
        <v>0.46610169491525422</v>
      </c>
    </row>
    <row r="218" spans="1:23" ht="16.5" hidden="1" x14ac:dyDescent="0.25">
      <c r="A218" s="17">
        <f t="shared" si="3"/>
        <v>217</v>
      </c>
      <c r="B218" s="87">
        <v>43179</v>
      </c>
      <c r="C218" s="12" t="s">
        <v>24</v>
      </c>
      <c r="D218" s="12" t="s">
        <v>25</v>
      </c>
      <c r="E218" s="12" t="s">
        <v>35</v>
      </c>
      <c r="F218" s="12" t="s">
        <v>28</v>
      </c>
      <c r="G218" s="13">
        <v>114</v>
      </c>
      <c r="H218" s="13">
        <v>1</v>
      </c>
      <c r="I218" s="13">
        <v>10.5</v>
      </c>
      <c r="J218" s="14">
        <v>6</v>
      </c>
      <c r="K218" s="17">
        <f>IFERROR(ROUND((fCaixa[[#This Row],[Venda]]/fCaixa[[#This Row],[Preço/Un.]]),0),0)</f>
        <v>114</v>
      </c>
      <c r="L218" s="15">
        <f>IFERROR((SUBSTITUTE(RIGHT(fCaixa[[#This Row],[Descrição]],3),"G","")*1 *fCaixa[[#This Row],[Qtd/Pães]]) / 1000,0)</f>
        <v>5.7</v>
      </c>
      <c r="M218" s="13">
        <f>IFERROR((((SUBSTITUTE(RIGHT(fCaixa[[#This Row],[Descrição]],3),"G","")*1) * fCaixa[[#This Row],[QTD Perdida]])/1000) *fCaixa[[#This Row],[Custo/KG.]],0)</f>
        <v>3.15</v>
      </c>
      <c r="N218" s="15">
        <f>IF(fCaixa[[#This Row],[Lançamento]]="RECEITA",(fCaixa[[#This Row],[QTD Perdida]]* (SUBSTITUTE(RIGHT(fCaixa[[#This Row],[Descrição]],3),"G","")*1))/1000,0)</f>
        <v>0.3</v>
      </c>
      <c r="O218" s="15">
        <f>fCaixa[[#This Row],[Qtd/Kg]]+fCaixa[[#This Row],[Qtd/Kg Perdido]]</f>
        <v>6</v>
      </c>
      <c r="P218" s="13">
        <f>IF(fCaixa[[#This Row],[Lançamento]]="RECEITA",(fCaixa[[#This Row],[Qtd/Kg]]*fCaixa[[#This Row],[Custo/KG.]]),0)</f>
        <v>59.85</v>
      </c>
      <c r="Q218" s="34">
        <f>fCaixa[[#This Row],[Custoprimario]]+fCaixa[[#This Row],[Total Perdido]]</f>
        <v>63</v>
      </c>
      <c r="R218" s="16">
        <f>IFERROR(fCaixa[[#This Row],[Custoprimario]]/fCaixa[[#This Row],[Venda]],0)</f>
        <v>0.52500000000000002</v>
      </c>
      <c r="S218" s="16">
        <f>IFERROR(fCaixa[[#This Row],[Custofinal]]/fCaixa[[#This Row],[Venda]],0)</f>
        <v>0.55263157894736847</v>
      </c>
      <c r="T218" s="13">
        <f>IF(fCaixa[[#This Row],[Lançamento]]="RECEITA",fCaixa[[#This Row],[Venda]]-fCaixa[[#This Row],[Custoprimario]],0)</f>
        <v>54.15</v>
      </c>
      <c r="U218" s="16">
        <f>IFERROR(fCaixa[[#This Row],[Lucroprimario]]/fCaixa[[#This Row],[Venda]],0)</f>
        <v>0.47499999999999998</v>
      </c>
      <c r="V21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51</v>
      </c>
      <c r="W218" s="16">
        <f>IFERROR(fCaixa[[#This Row],[Lucrofinal]]/fCaixa[[#This Row],[Venda]],0)</f>
        <v>0.44736842105263158</v>
      </c>
    </row>
    <row r="219" spans="1:23" ht="16.5" hidden="1" x14ac:dyDescent="0.25">
      <c r="A219" s="17">
        <f t="shared" si="3"/>
        <v>218</v>
      </c>
      <c r="B219" s="87">
        <v>43180</v>
      </c>
      <c r="C219" s="12" t="s">
        <v>24</v>
      </c>
      <c r="D219" s="12" t="s">
        <v>37</v>
      </c>
      <c r="E219" s="12" t="s">
        <v>35</v>
      </c>
      <c r="F219" s="12" t="s">
        <v>28</v>
      </c>
      <c r="G219" s="13">
        <v>5</v>
      </c>
      <c r="H219" s="13">
        <v>1</v>
      </c>
      <c r="I219" s="13">
        <v>10.5</v>
      </c>
      <c r="J219" s="14">
        <v>0</v>
      </c>
      <c r="K219" s="17">
        <f>IFERROR(ROUND((fCaixa[[#This Row],[Venda]]/fCaixa[[#This Row],[Preço/Un.]]),0),0)</f>
        <v>5</v>
      </c>
      <c r="L219" s="15">
        <f>IFERROR((SUBSTITUTE(RIGHT(fCaixa[[#This Row],[Descrição]],3),"G","")*1 *fCaixa[[#This Row],[Qtd/Pães]]) / 1000,0)</f>
        <v>0.25</v>
      </c>
      <c r="M219" s="13">
        <f>IFERROR((((SUBSTITUTE(RIGHT(fCaixa[[#This Row],[Descrição]],3),"G","")*1) * fCaixa[[#This Row],[QTD Perdida]])/1000) *fCaixa[[#This Row],[Custo/KG.]],0)</f>
        <v>0</v>
      </c>
      <c r="N219" s="15">
        <f>IF(fCaixa[[#This Row],[Lançamento]]="RECEITA",(fCaixa[[#This Row],[QTD Perdida]]* (SUBSTITUTE(RIGHT(fCaixa[[#This Row],[Descrição]],3),"G","")*1))/1000,0)</f>
        <v>0</v>
      </c>
      <c r="O219" s="15">
        <f>fCaixa[[#This Row],[Qtd/Kg]]+fCaixa[[#This Row],[Qtd/Kg Perdido]]</f>
        <v>0.25</v>
      </c>
      <c r="P219" s="13">
        <f>IF(fCaixa[[#This Row],[Lançamento]]="RECEITA",(fCaixa[[#This Row],[Qtd/Kg]]*fCaixa[[#This Row],[Custo/KG.]]),0)</f>
        <v>2.625</v>
      </c>
      <c r="Q219" s="34">
        <f>fCaixa[[#This Row],[Custoprimario]]+fCaixa[[#This Row],[Total Perdido]]</f>
        <v>2.625</v>
      </c>
      <c r="R219" s="16">
        <f>IFERROR(fCaixa[[#This Row],[Custoprimario]]/fCaixa[[#This Row],[Venda]],0)</f>
        <v>0.52500000000000002</v>
      </c>
      <c r="S219" s="16">
        <f>IFERROR(fCaixa[[#This Row],[Custofinal]]/fCaixa[[#This Row],[Venda]],0)</f>
        <v>0.52500000000000002</v>
      </c>
      <c r="T219" s="13">
        <f>IF(fCaixa[[#This Row],[Lançamento]]="RECEITA",fCaixa[[#This Row],[Venda]]-fCaixa[[#This Row],[Custoprimario]],0)</f>
        <v>2.375</v>
      </c>
      <c r="U219" s="16">
        <f>IFERROR(fCaixa[[#This Row],[Lucroprimario]]/fCaixa[[#This Row],[Venda]],0)</f>
        <v>0.47499999999999998</v>
      </c>
      <c r="V21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2.2605</v>
      </c>
      <c r="W219" s="16">
        <f>IFERROR(fCaixa[[#This Row],[Lucrofinal]]/fCaixa[[#This Row],[Venda]],0)</f>
        <v>0.4521</v>
      </c>
    </row>
    <row r="220" spans="1:23" ht="16.5" hidden="1" x14ac:dyDescent="0.25">
      <c r="A220" s="17">
        <f t="shared" si="3"/>
        <v>219</v>
      </c>
      <c r="B220" s="87">
        <v>43180</v>
      </c>
      <c r="C220" s="12" t="s">
        <v>24</v>
      </c>
      <c r="D220" s="12" t="s">
        <v>25</v>
      </c>
      <c r="E220" s="12" t="s">
        <v>35</v>
      </c>
      <c r="F220" s="12" t="s">
        <v>28</v>
      </c>
      <c r="G220" s="13">
        <v>151</v>
      </c>
      <c r="H220" s="13">
        <v>1</v>
      </c>
      <c r="I220" s="13">
        <v>10.5</v>
      </c>
      <c r="J220" s="14">
        <v>4</v>
      </c>
      <c r="K220" s="17">
        <f>IFERROR(ROUND((fCaixa[[#This Row],[Venda]]/fCaixa[[#This Row],[Preço/Un.]]),0),0)</f>
        <v>151</v>
      </c>
      <c r="L220" s="15">
        <f>IFERROR((SUBSTITUTE(RIGHT(fCaixa[[#This Row],[Descrição]],3),"G","")*1 *fCaixa[[#This Row],[Qtd/Pães]]) / 1000,0)</f>
        <v>7.55</v>
      </c>
      <c r="M220" s="13">
        <f>IFERROR((((SUBSTITUTE(RIGHT(fCaixa[[#This Row],[Descrição]],3),"G","")*1) * fCaixa[[#This Row],[QTD Perdida]])/1000) *fCaixa[[#This Row],[Custo/KG.]],0)</f>
        <v>2.1</v>
      </c>
      <c r="N220" s="15">
        <f>IF(fCaixa[[#This Row],[Lançamento]]="RECEITA",(fCaixa[[#This Row],[QTD Perdida]]* (SUBSTITUTE(RIGHT(fCaixa[[#This Row],[Descrição]],3),"G","")*1))/1000,0)</f>
        <v>0.2</v>
      </c>
      <c r="O220" s="15">
        <f>fCaixa[[#This Row],[Qtd/Kg]]+fCaixa[[#This Row],[Qtd/Kg Perdido]]</f>
        <v>7.75</v>
      </c>
      <c r="P220" s="13">
        <f>IF(fCaixa[[#This Row],[Lançamento]]="RECEITA",(fCaixa[[#This Row],[Qtd/Kg]]*fCaixa[[#This Row],[Custo/KG.]]),0)</f>
        <v>79.274999999999991</v>
      </c>
      <c r="Q220" s="34">
        <f>fCaixa[[#This Row],[Custoprimario]]+fCaixa[[#This Row],[Total Perdido]]</f>
        <v>81.374999999999986</v>
      </c>
      <c r="R220" s="16">
        <f>IFERROR(fCaixa[[#This Row],[Custoprimario]]/fCaixa[[#This Row],[Venda]],0)</f>
        <v>0.52499999999999991</v>
      </c>
      <c r="S220" s="16">
        <f>IFERROR(fCaixa[[#This Row],[Custofinal]]/fCaixa[[#This Row],[Venda]],0)</f>
        <v>0.53890728476821181</v>
      </c>
      <c r="T220" s="13">
        <f>IF(fCaixa[[#This Row],[Lançamento]]="RECEITA",fCaixa[[#This Row],[Venda]]-fCaixa[[#This Row],[Custoprimario]],0)</f>
        <v>71.725000000000009</v>
      </c>
      <c r="U220" s="16">
        <f>IFERROR(fCaixa[[#This Row],[Lucroprimario]]/fCaixa[[#This Row],[Venda]],0)</f>
        <v>0.47500000000000003</v>
      </c>
      <c r="V22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69.625000000000014</v>
      </c>
      <c r="W220" s="16">
        <f>IFERROR(fCaixa[[#This Row],[Lucrofinal]]/fCaixa[[#This Row],[Venda]],0)</f>
        <v>0.46109271523178819</v>
      </c>
    </row>
    <row r="221" spans="1:23" ht="16.5" hidden="1" x14ac:dyDescent="0.25">
      <c r="A221" s="17">
        <f t="shared" si="3"/>
        <v>220</v>
      </c>
      <c r="B221" s="87">
        <v>43181</v>
      </c>
      <c r="C221" s="12" t="s">
        <v>24</v>
      </c>
      <c r="D221" s="12" t="s">
        <v>25</v>
      </c>
      <c r="E221" s="12" t="s">
        <v>35</v>
      </c>
      <c r="F221" s="12" t="s">
        <v>28</v>
      </c>
      <c r="G221" s="13">
        <v>114</v>
      </c>
      <c r="H221" s="13">
        <v>1</v>
      </c>
      <c r="I221" s="13">
        <v>10.5</v>
      </c>
      <c r="J221" s="14">
        <v>4</v>
      </c>
      <c r="K221" s="17">
        <f>IFERROR(ROUND((fCaixa[[#This Row],[Venda]]/fCaixa[[#This Row],[Preço/Un.]]),0),0)</f>
        <v>114</v>
      </c>
      <c r="L221" s="15">
        <f>IFERROR((SUBSTITUTE(RIGHT(fCaixa[[#This Row],[Descrição]],3),"G","")*1 *fCaixa[[#This Row],[Qtd/Pães]]) / 1000,0)</f>
        <v>5.7</v>
      </c>
      <c r="M221" s="13">
        <f>IFERROR((((SUBSTITUTE(RIGHT(fCaixa[[#This Row],[Descrição]],3),"G","")*1) * fCaixa[[#This Row],[QTD Perdida]])/1000) *fCaixa[[#This Row],[Custo/KG.]],0)</f>
        <v>2.1</v>
      </c>
      <c r="N221" s="15">
        <f>IF(fCaixa[[#This Row],[Lançamento]]="RECEITA",(fCaixa[[#This Row],[QTD Perdida]]* (SUBSTITUTE(RIGHT(fCaixa[[#This Row],[Descrição]],3),"G","")*1))/1000,0)</f>
        <v>0.2</v>
      </c>
      <c r="O221" s="15">
        <f>fCaixa[[#This Row],[Qtd/Kg]]+fCaixa[[#This Row],[Qtd/Kg Perdido]]</f>
        <v>5.9</v>
      </c>
      <c r="P221" s="13">
        <f>IF(fCaixa[[#This Row],[Lançamento]]="RECEITA",(fCaixa[[#This Row],[Qtd/Kg]]*fCaixa[[#This Row],[Custo/KG.]]),0)</f>
        <v>59.85</v>
      </c>
      <c r="Q221" s="34">
        <f>fCaixa[[#This Row],[Custoprimario]]+fCaixa[[#This Row],[Total Perdido]]</f>
        <v>61.95</v>
      </c>
      <c r="R221" s="16">
        <f>IFERROR(fCaixa[[#This Row],[Custoprimario]]/fCaixa[[#This Row],[Venda]],0)</f>
        <v>0.52500000000000002</v>
      </c>
      <c r="S221" s="16">
        <f>IFERROR(fCaixa[[#This Row],[Custofinal]]/fCaixa[[#This Row],[Venda]],0)</f>
        <v>0.54342105263157903</v>
      </c>
      <c r="T221" s="13">
        <f>IF(fCaixa[[#This Row],[Lançamento]]="RECEITA",fCaixa[[#This Row],[Venda]]-fCaixa[[#This Row],[Custoprimario]],0)</f>
        <v>54.15</v>
      </c>
      <c r="U221" s="16">
        <f>IFERROR(fCaixa[[#This Row],[Lucroprimario]]/fCaixa[[#This Row],[Venda]],0)</f>
        <v>0.47499999999999998</v>
      </c>
      <c r="V22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52.05</v>
      </c>
      <c r="W221" s="16">
        <f>IFERROR(fCaixa[[#This Row],[Lucrofinal]]/fCaixa[[#This Row],[Venda]],0)</f>
        <v>0.45657894736842103</v>
      </c>
    </row>
    <row r="222" spans="1:23" ht="16.5" hidden="1" x14ac:dyDescent="0.25">
      <c r="A222" s="17">
        <f t="shared" si="3"/>
        <v>221</v>
      </c>
      <c r="B222" s="87">
        <v>43181</v>
      </c>
      <c r="C222" s="12" t="s">
        <v>24</v>
      </c>
      <c r="D222" s="12" t="s">
        <v>37</v>
      </c>
      <c r="E222" s="12" t="s">
        <v>35</v>
      </c>
      <c r="F222" s="12" t="s">
        <v>28</v>
      </c>
      <c r="G222" s="13">
        <v>7</v>
      </c>
      <c r="H222" s="13">
        <v>1</v>
      </c>
      <c r="I222" s="13">
        <v>10.5</v>
      </c>
      <c r="J222" s="14">
        <v>0</v>
      </c>
      <c r="K222" s="17">
        <f>IFERROR(ROUND((fCaixa[[#This Row],[Venda]]/fCaixa[[#This Row],[Preço/Un.]]),0),0)</f>
        <v>7</v>
      </c>
      <c r="L222" s="15">
        <f>IFERROR((SUBSTITUTE(RIGHT(fCaixa[[#This Row],[Descrição]],3),"G","")*1 *fCaixa[[#This Row],[Qtd/Pães]]) / 1000,0)</f>
        <v>0.35</v>
      </c>
      <c r="M222" s="13">
        <f>IFERROR((((SUBSTITUTE(RIGHT(fCaixa[[#This Row],[Descrição]],3),"G","")*1) * fCaixa[[#This Row],[QTD Perdida]])/1000) *fCaixa[[#This Row],[Custo/KG.]],0)</f>
        <v>0</v>
      </c>
      <c r="N222" s="15">
        <f>IF(fCaixa[[#This Row],[Lançamento]]="RECEITA",(fCaixa[[#This Row],[QTD Perdida]]* (SUBSTITUTE(RIGHT(fCaixa[[#This Row],[Descrição]],3),"G","")*1))/1000,0)</f>
        <v>0</v>
      </c>
      <c r="O222" s="15">
        <f>fCaixa[[#This Row],[Qtd/Kg]]+fCaixa[[#This Row],[Qtd/Kg Perdido]]</f>
        <v>0.35</v>
      </c>
      <c r="P222" s="13">
        <f>IF(fCaixa[[#This Row],[Lançamento]]="RECEITA",(fCaixa[[#This Row],[Qtd/Kg]]*fCaixa[[#This Row],[Custo/KG.]]),0)</f>
        <v>3.6749999999999998</v>
      </c>
      <c r="Q222" s="34">
        <f>fCaixa[[#This Row],[Custoprimario]]+fCaixa[[#This Row],[Total Perdido]]</f>
        <v>3.6749999999999998</v>
      </c>
      <c r="R222" s="16">
        <f>IFERROR(fCaixa[[#This Row],[Custoprimario]]/fCaixa[[#This Row],[Venda]],0)</f>
        <v>0.52500000000000002</v>
      </c>
      <c r="S222" s="16">
        <f>IFERROR(fCaixa[[#This Row],[Custofinal]]/fCaixa[[#This Row],[Venda]],0)</f>
        <v>0.52500000000000002</v>
      </c>
      <c r="T222" s="13">
        <f>IF(fCaixa[[#This Row],[Lançamento]]="RECEITA",fCaixa[[#This Row],[Venda]]-fCaixa[[#This Row],[Custoprimario]],0)</f>
        <v>3.3250000000000002</v>
      </c>
      <c r="U222" s="16">
        <f>IFERROR(fCaixa[[#This Row],[Lucroprimario]]/fCaixa[[#This Row],[Venda]],0)</f>
        <v>0.47500000000000003</v>
      </c>
      <c r="V22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3.1647000000000003</v>
      </c>
      <c r="W222" s="16">
        <f>IFERROR(fCaixa[[#This Row],[Lucrofinal]]/fCaixa[[#This Row],[Venda]],0)</f>
        <v>0.45210000000000006</v>
      </c>
    </row>
    <row r="223" spans="1:23" ht="16.5" hidden="1" x14ac:dyDescent="0.25">
      <c r="A223" s="17">
        <f t="shared" si="3"/>
        <v>222</v>
      </c>
      <c r="B223" s="87">
        <v>43181</v>
      </c>
      <c r="C223" s="12" t="s">
        <v>24</v>
      </c>
      <c r="D223" s="12" t="s">
        <v>38</v>
      </c>
      <c r="E223" s="12" t="s">
        <v>35</v>
      </c>
      <c r="F223" s="12" t="s">
        <v>28</v>
      </c>
      <c r="G223" s="13">
        <v>10</v>
      </c>
      <c r="H223" s="13">
        <v>1</v>
      </c>
      <c r="I223" s="13">
        <v>10.5</v>
      </c>
      <c r="J223" s="14">
        <v>0</v>
      </c>
      <c r="K223" s="17">
        <f>IFERROR(ROUND((fCaixa[[#This Row],[Venda]]/fCaixa[[#This Row],[Preço/Un.]]),0),0)</f>
        <v>10</v>
      </c>
      <c r="L223" s="15">
        <f>IFERROR((SUBSTITUTE(RIGHT(fCaixa[[#This Row],[Descrição]],3),"G","")*1 *fCaixa[[#This Row],[Qtd/Pães]]) / 1000,0)</f>
        <v>0.5</v>
      </c>
      <c r="M223" s="13">
        <f>IFERROR((((SUBSTITUTE(RIGHT(fCaixa[[#This Row],[Descrição]],3),"G","")*1) * fCaixa[[#This Row],[QTD Perdida]])/1000) *fCaixa[[#This Row],[Custo/KG.]],0)</f>
        <v>0</v>
      </c>
      <c r="N223" s="15">
        <f>IF(fCaixa[[#This Row],[Lançamento]]="RECEITA",(fCaixa[[#This Row],[QTD Perdida]]* (SUBSTITUTE(RIGHT(fCaixa[[#This Row],[Descrição]],3),"G","")*1))/1000,0)</f>
        <v>0</v>
      </c>
      <c r="O223" s="15">
        <f>fCaixa[[#This Row],[Qtd/Kg]]+fCaixa[[#This Row],[Qtd/Kg Perdido]]</f>
        <v>0.5</v>
      </c>
      <c r="P223" s="13">
        <f>IF(fCaixa[[#This Row],[Lançamento]]="RECEITA",(fCaixa[[#This Row],[Qtd/Kg]]*fCaixa[[#This Row],[Custo/KG.]]),0)</f>
        <v>5.25</v>
      </c>
      <c r="Q223" s="34">
        <f>fCaixa[[#This Row],[Custoprimario]]+fCaixa[[#This Row],[Total Perdido]]</f>
        <v>5.25</v>
      </c>
      <c r="R223" s="16">
        <f>IFERROR(fCaixa[[#This Row],[Custoprimario]]/fCaixa[[#This Row],[Venda]],0)</f>
        <v>0.52500000000000002</v>
      </c>
      <c r="S223" s="16">
        <f>IFERROR(fCaixa[[#This Row],[Custofinal]]/fCaixa[[#This Row],[Venda]],0)</f>
        <v>0.52500000000000002</v>
      </c>
      <c r="T223" s="13">
        <f>IF(fCaixa[[#This Row],[Lançamento]]="RECEITA",fCaixa[[#This Row],[Venda]]-fCaixa[[#This Row],[Custoprimario]],0)</f>
        <v>4.75</v>
      </c>
      <c r="U223" s="16">
        <f>IFERROR(fCaixa[[#This Row],[Lucroprimario]]/fCaixa[[#This Row],[Venda]],0)</f>
        <v>0.47499999999999998</v>
      </c>
      <c r="V22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4.2699999999999996</v>
      </c>
      <c r="W223" s="16">
        <f>IFERROR(fCaixa[[#This Row],[Lucrofinal]]/fCaixa[[#This Row],[Venda]],0)</f>
        <v>0.42699999999999994</v>
      </c>
    </row>
    <row r="224" spans="1:23" ht="16.5" hidden="1" x14ac:dyDescent="0.25">
      <c r="A224" s="17">
        <f t="shared" si="3"/>
        <v>223</v>
      </c>
      <c r="B224" s="87">
        <v>43182</v>
      </c>
      <c r="C224" s="12" t="s">
        <v>24</v>
      </c>
      <c r="D224" s="12" t="s">
        <v>25</v>
      </c>
      <c r="E224" s="12" t="s">
        <v>35</v>
      </c>
      <c r="F224" s="12" t="s">
        <v>28</v>
      </c>
      <c r="G224" s="13">
        <v>88</v>
      </c>
      <c r="H224" s="13">
        <v>1</v>
      </c>
      <c r="I224" s="13">
        <v>10.5</v>
      </c>
      <c r="J224" s="14">
        <v>2</v>
      </c>
      <c r="K224" s="17">
        <f>IFERROR(ROUND((fCaixa[[#This Row],[Venda]]/fCaixa[[#This Row],[Preço/Un.]]),0),0)</f>
        <v>88</v>
      </c>
      <c r="L224" s="15">
        <f>IFERROR((SUBSTITUTE(RIGHT(fCaixa[[#This Row],[Descrição]],3),"G","")*1 *fCaixa[[#This Row],[Qtd/Pães]]) / 1000,0)</f>
        <v>4.4000000000000004</v>
      </c>
      <c r="M224" s="13">
        <f>IFERROR((((SUBSTITUTE(RIGHT(fCaixa[[#This Row],[Descrição]],3),"G","")*1) * fCaixa[[#This Row],[QTD Perdida]])/1000) *fCaixa[[#This Row],[Custo/KG.]],0)</f>
        <v>1.05</v>
      </c>
      <c r="N224" s="15">
        <f>IF(fCaixa[[#This Row],[Lançamento]]="RECEITA",(fCaixa[[#This Row],[QTD Perdida]]* (SUBSTITUTE(RIGHT(fCaixa[[#This Row],[Descrição]],3),"G","")*1))/1000,0)</f>
        <v>0.1</v>
      </c>
      <c r="O224" s="15">
        <f>fCaixa[[#This Row],[Qtd/Kg]]+fCaixa[[#This Row],[Qtd/Kg Perdido]]</f>
        <v>4.5</v>
      </c>
      <c r="P224" s="13">
        <f>IF(fCaixa[[#This Row],[Lançamento]]="RECEITA",(fCaixa[[#This Row],[Qtd/Kg]]*fCaixa[[#This Row],[Custo/KG.]]),0)</f>
        <v>46.2</v>
      </c>
      <c r="Q224" s="34">
        <f>fCaixa[[#This Row],[Custoprimario]]+fCaixa[[#This Row],[Total Perdido]]</f>
        <v>47.25</v>
      </c>
      <c r="R224" s="16">
        <f>IFERROR(fCaixa[[#This Row],[Custoprimario]]/fCaixa[[#This Row],[Venda]],0)</f>
        <v>0.52500000000000002</v>
      </c>
      <c r="S224" s="16">
        <f>IFERROR(fCaixa[[#This Row],[Custofinal]]/fCaixa[[#This Row],[Venda]],0)</f>
        <v>0.53693181818181823</v>
      </c>
      <c r="T224" s="13">
        <f>IF(fCaixa[[#This Row],[Lançamento]]="RECEITA",fCaixa[[#This Row],[Venda]]-fCaixa[[#This Row],[Custoprimario]],0)</f>
        <v>41.8</v>
      </c>
      <c r="U224" s="16">
        <f>IFERROR(fCaixa[[#This Row],[Lucroprimario]]/fCaixa[[#This Row],[Venda]],0)</f>
        <v>0.47499999999999998</v>
      </c>
      <c r="V22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40.75</v>
      </c>
      <c r="W224" s="16">
        <f>IFERROR(fCaixa[[#This Row],[Lucrofinal]]/fCaixa[[#This Row],[Venda]],0)</f>
        <v>0.46306818181818182</v>
      </c>
    </row>
    <row r="225" spans="1:23" ht="16.5" hidden="1" x14ac:dyDescent="0.25">
      <c r="A225" s="17">
        <f t="shared" si="3"/>
        <v>224</v>
      </c>
      <c r="B225" s="87">
        <v>43182</v>
      </c>
      <c r="C225" s="12" t="s">
        <v>29</v>
      </c>
      <c r="D225" s="12" t="s">
        <v>25</v>
      </c>
      <c r="E225" s="12" t="s">
        <v>33</v>
      </c>
      <c r="F225" s="12" t="s">
        <v>28</v>
      </c>
      <c r="G225" s="13">
        <v>9</v>
      </c>
      <c r="H225" s="13">
        <v>0</v>
      </c>
      <c r="I225" s="13">
        <v>0</v>
      </c>
      <c r="J225" s="14">
        <v>0</v>
      </c>
      <c r="K225" s="17">
        <f>IFERROR(ROUND((fCaixa[[#This Row],[Venda]]/fCaixa[[#This Row],[Preço/Un.]]),0),0)</f>
        <v>0</v>
      </c>
      <c r="L225" s="15">
        <f>IFERROR((SUBSTITUTE(RIGHT(fCaixa[[#This Row],[Descrição]],3),"G","")*1 *fCaixa[[#This Row],[Qtd/Pães]]) / 1000,0)</f>
        <v>0</v>
      </c>
      <c r="M225" s="13">
        <f>IFERROR((((SUBSTITUTE(RIGHT(fCaixa[[#This Row],[Descrição]],3),"G","")*1) * fCaixa[[#This Row],[QTD Perdida]])/1000) *fCaixa[[#This Row],[Custo/KG.]],0)</f>
        <v>0</v>
      </c>
      <c r="N225" s="15">
        <f>IF(fCaixa[[#This Row],[Lançamento]]="RECEITA",(fCaixa[[#This Row],[QTD Perdida]]* (SUBSTITUTE(RIGHT(fCaixa[[#This Row],[Descrição]],3),"G","")*1))/1000,0)</f>
        <v>0</v>
      </c>
      <c r="O225" s="15">
        <f>fCaixa[[#This Row],[Qtd/Kg]]+fCaixa[[#This Row],[Qtd/Kg Perdido]]</f>
        <v>0</v>
      </c>
      <c r="P225" s="13">
        <f>IF(fCaixa[[#This Row],[Lançamento]]="RECEITA",(fCaixa[[#This Row],[Qtd/Kg]]*fCaixa[[#This Row],[Custo/KG.]]),0)</f>
        <v>0</v>
      </c>
      <c r="Q225" s="34">
        <f>fCaixa[[#This Row],[Custoprimario]]+fCaixa[[#This Row],[Total Perdido]]</f>
        <v>0</v>
      </c>
      <c r="R225" s="16">
        <f>IFERROR(fCaixa[[#This Row],[Custoprimario]]/fCaixa[[#This Row],[Venda]],0)</f>
        <v>0</v>
      </c>
      <c r="S225" s="16">
        <f>IFERROR(fCaixa[[#This Row],[Custofinal]]/fCaixa[[#This Row],[Venda]],0)</f>
        <v>0</v>
      </c>
      <c r="T225" s="13">
        <f>IF(fCaixa[[#This Row],[Lançamento]]="RECEITA",fCaixa[[#This Row],[Venda]]-fCaixa[[#This Row],[Custoprimario]],0)</f>
        <v>0</v>
      </c>
      <c r="U225" s="16">
        <f>IFERROR(fCaixa[[#This Row],[Lucroprimario]]/fCaixa[[#This Row],[Venda]],0)</f>
        <v>0</v>
      </c>
      <c r="V22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25" s="16">
        <f>IFERROR(fCaixa[[#This Row],[Lucrofinal]]/fCaixa[[#This Row],[Venda]],0)</f>
        <v>0</v>
      </c>
    </row>
    <row r="226" spans="1:23" ht="16.5" hidden="1" x14ac:dyDescent="0.25">
      <c r="A226" s="17">
        <f t="shared" si="3"/>
        <v>225</v>
      </c>
      <c r="B226" s="87">
        <v>43185</v>
      </c>
      <c r="C226" s="12" t="s">
        <v>24</v>
      </c>
      <c r="D226" s="12" t="s">
        <v>25</v>
      </c>
      <c r="E226" s="12" t="s">
        <v>35</v>
      </c>
      <c r="F226" s="12" t="s">
        <v>28</v>
      </c>
      <c r="G226" s="13">
        <v>156</v>
      </c>
      <c r="H226" s="13">
        <v>1</v>
      </c>
      <c r="I226" s="13">
        <v>10.5</v>
      </c>
      <c r="J226" s="14">
        <v>4</v>
      </c>
      <c r="K226" s="17">
        <f>IFERROR(ROUND((fCaixa[[#This Row],[Venda]]/fCaixa[[#This Row],[Preço/Un.]]),0),0)</f>
        <v>156</v>
      </c>
      <c r="L226" s="15">
        <f>IFERROR((SUBSTITUTE(RIGHT(fCaixa[[#This Row],[Descrição]],3),"G","")*1 *fCaixa[[#This Row],[Qtd/Pães]]) / 1000,0)</f>
        <v>7.8</v>
      </c>
      <c r="M226" s="13">
        <f>IFERROR((((SUBSTITUTE(RIGHT(fCaixa[[#This Row],[Descrição]],3),"G","")*1) * fCaixa[[#This Row],[QTD Perdida]])/1000) *fCaixa[[#This Row],[Custo/KG.]],0)</f>
        <v>2.1</v>
      </c>
      <c r="N226" s="15">
        <f>IF(fCaixa[[#This Row],[Lançamento]]="RECEITA",(fCaixa[[#This Row],[QTD Perdida]]* (SUBSTITUTE(RIGHT(fCaixa[[#This Row],[Descrição]],3),"G","")*1))/1000,0)</f>
        <v>0.2</v>
      </c>
      <c r="O226" s="15">
        <f>fCaixa[[#This Row],[Qtd/Kg]]+fCaixa[[#This Row],[Qtd/Kg Perdido]]</f>
        <v>8</v>
      </c>
      <c r="P226" s="13">
        <f>IF(fCaixa[[#This Row],[Lançamento]]="RECEITA",(fCaixa[[#This Row],[Qtd/Kg]]*fCaixa[[#This Row],[Custo/KG.]]),0)</f>
        <v>81.899999999999991</v>
      </c>
      <c r="Q226" s="34">
        <f>fCaixa[[#This Row],[Custoprimario]]+fCaixa[[#This Row],[Total Perdido]]</f>
        <v>83.999999999999986</v>
      </c>
      <c r="R226" s="16">
        <f>IFERROR(fCaixa[[#This Row],[Custoprimario]]/fCaixa[[#This Row],[Venda]],0)</f>
        <v>0.52499999999999991</v>
      </c>
      <c r="S226" s="16">
        <f>IFERROR(fCaixa[[#This Row],[Custofinal]]/fCaixa[[#This Row],[Venda]],0)</f>
        <v>0.53846153846153832</v>
      </c>
      <c r="T226" s="13">
        <f>IF(fCaixa[[#This Row],[Lançamento]]="RECEITA",fCaixa[[#This Row],[Venda]]-fCaixa[[#This Row],[Custoprimario]],0)</f>
        <v>74.100000000000009</v>
      </c>
      <c r="U226" s="16">
        <f>IFERROR(fCaixa[[#This Row],[Lucroprimario]]/fCaixa[[#This Row],[Venda]],0)</f>
        <v>0.47500000000000003</v>
      </c>
      <c r="V22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72.000000000000014</v>
      </c>
      <c r="W226" s="16">
        <f>IFERROR(fCaixa[[#This Row],[Lucrofinal]]/fCaixa[[#This Row],[Venda]],0)</f>
        <v>0.46153846153846162</v>
      </c>
    </row>
    <row r="227" spans="1:23" ht="16.5" hidden="1" x14ac:dyDescent="0.25">
      <c r="A227" s="17">
        <f t="shared" si="3"/>
        <v>226</v>
      </c>
      <c r="B227" s="87">
        <v>43186</v>
      </c>
      <c r="C227" s="12" t="s">
        <v>24</v>
      </c>
      <c r="D227" s="12" t="s">
        <v>25</v>
      </c>
      <c r="E227" s="12" t="s">
        <v>35</v>
      </c>
      <c r="F227" s="12" t="s">
        <v>28</v>
      </c>
      <c r="G227" s="13">
        <v>179</v>
      </c>
      <c r="H227" s="13">
        <v>1</v>
      </c>
      <c r="I227" s="13">
        <v>10.5</v>
      </c>
      <c r="J227" s="14">
        <v>1</v>
      </c>
      <c r="K227" s="17">
        <f>IFERROR(ROUND((fCaixa[[#This Row],[Venda]]/fCaixa[[#This Row],[Preço/Un.]]),0),0)</f>
        <v>179</v>
      </c>
      <c r="L227" s="15">
        <f>IFERROR((SUBSTITUTE(RIGHT(fCaixa[[#This Row],[Descrição]],3),"G","")*1 *fCaixa[[#This Row],[Qtd/Pães]]) / 1000,0)</f>
        <v>8.9499999999999993</v>
      </c>
      <c r="M227" s="13">
        <f>IFERROR((((SUBSTITUTE(RIGHT(fCaixa[[#This Row],[Descrição]],3),"G","")*1) * fCaixa[[#This Row],[QTD Perdida]])/1000) *fCaixa[[#This Row],[Custo/KG.]],0)</f>
        <v>0.52500000000000002</v>
      </c>
      <c r="N227" s="15">
        <f>IF(fCaixa[[#This Row],[Lançamento]]="RECEITA",(fCaixa[[#This Row],[QTD Perdida]]* (SUBSTITUTE(RIGHT(fCaixa[[#This Row],[Descrição]],3),"G","")*1))/1000,0)</f>
        <v>0.05</v>
      </c>
      <c r="O227" s="15">
        <f>fCaixa[[#This Row],[Qtd/Kg]]+fCaixa[[#This Row],[Qtd/Kg Perdido]]</f>
        <v>9</v>
      </c>
      <c r="P227" s="13">
        <f>IF(fCaixa[[#This Row],[Lançamento]]="RECEITA",(fCaixa[[#This Row],[Qtd/Kg]]*fCaixa[[#This Row],[Custo/KG.]]),0)</f>
        <v>93.974999999999994</v>
      </c>
      <c r="Q227" s="34">
        <f>fCaixa[[#This Row],[Custoprimario]]+fCaixa[[#This Row],[Total Perdido]]</f>
        <v>94.5</v>
      </c>
      <c r="R227" s="16">
        <f>IFERROR(fCaixa[[#This Row],[Custoprimario]]/fCaixa[[#This Row],[Venda]],0)</f>
        <v>0.52500000000000002</v>
      </c>
      <c r="S227" s="16">
        <f>IFERROR(fCaixa[[#This Row],[Custofinal]]/fCaixa[[#This Row],[Venda]],0)</f>
        <v>0.52793296089385477</v>
      </c>
      <c r="T227" s="13">
        <f>IF(fCaixa[[#This Row],[Lançamento]]="RECEITA",fCaixa[[#This Row],[Venda]]-fCaixa[[#This Row],[Custoprimario]],0)</f>
        <v>85.025000000000006</v>
      </c>
      <c r="U227" s="16">
        <f>IFERROR(fCaixa[[#This Row],[Lucroprimario]]/fCaixa[[#This Row],[Venda]],0)</f>
        <v>0.47500000000000003</v>
      </c>
      <c r="V22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84.5</v>
      </c>
      <c r="W227" s="16">
        <f>IFERROR(fCaixa[[#This Row],[Lucrofinal]]/fCaixa[[#This Row],[Venda]],0)</f>
        <v>0.47206703910614523</v>
      </c>
    </row>
    <row r="228" spans="1:23" ht="16.5" hidden="1" x14ac:dyDescent="0.25">
      <c r="A228" s="17">
        <f t="shared" si="3"/>
        <v>227</v>
      </c>
      <c r="B228" s="87">
        <v>43187</v>
      </c>
      <c r="C228" s="12" t="s">
        <v>24</v>
      </c>
      <c r="D228" s="12" t="s">
        <v>25</v>
      </c>
      <c r="E228" s="12" t="s">
        <v>35</v>
      </c>
      <c r="F228" s="12" t="s">
        <v>28</v>
      </c>
      <c r="G228" s="13">
        <v>43</v>
      </c>
      <c r="H228" s="13">
        <v>1</v>
      </c>
      <c r="I228" s="13">
        <v>10.5</v>
      </c>
      <c r="J228" s="14">
        <v>2</v>
      </c>
      <c r="K228" s="17">
        <f>IFERROR(ROUND((fCaixa[[#This Row],[Venda]]/fCaixa[[#This Row],[Preço/Un.]]),0),0)</f>
        <v>43</v>
      </c>
      <c r="L228" s="15">
        <f>IFERROR((SUBSTITUTE(RIGHT(fCaixa[[#This Row],[Descrição]],3),"G","")*1 *fCaixa[[#This Row],[Qtd/Pães]]) / 1000,0)</f>
        <v>2.15</v>
      </c>
      <c r="M228" s="13">
        <f>IFERROR((((SUBSTITUTE(RIGHT(fCaixa[[#This Row],[Descrição]],3),"G","")*1) * fCaixa[[#This Row],[QTD Perdida]])/1000) *fCaixa[[#This Row],[Custo/KG.]],0)</f>
        <v>1.05</v>
      </c>
      <c r="N228" s="15">
        <f>IF(fCaixa[[#This Row],[Lançamento]]="RECEITA",(fCaixa[[#This Row],[QTD Perdida]]* (SUBSTITUTE(RIGHT(fCaixa[[#This Row],[Descrição]],3),"G","")*1))/1000,0)</f>
        <v>0.1</v>
      </c>
      <c r="O228" s="15">
        <f>fCaixa[[#This Row],[Qtd/Kg]]+fCaixa[[#This Row],[Qtd/Kg Perdido]]</f>
        <v>2.25</v>
      </c>
      <c r="P228" s="13">
        <f>IF(fCaixa[[#This Row],[Lançamento]]="RECEITA",(fCaixa[[#This Row],[Qtd/Kg]]*fCaixa[[#This Row],[Custo/KG.]]),0)</f>
        <v>22.574999999999999</v>
      </c>
      <c r="Q228" s="34">
        <f>fCaixa[[#This Row],[Custoprimario]]+fCaixa[[#This Row],[Total Perdido]]</f>
        <v>23.625</v>
      </c>
      <c r="R228" s="16">
        <f>IFERROR(fCaixa[[#This Row],[Custoprimario]]/fCaixa[[#This Row],[Venda]],0)</f>
        <v>0.52500000000000002</v>
      </c>
      <c r="S228" s="16">
        <f>IFERROR(fCaixa[[#This Row],[Custofinal]]/fCaixa[[#This Row],[Venda]],0)</f>
        <v>0.54941860465116277</v>
      </c>
      <c r="T228" s="13">
        <f>IF(fCaixa[[#This Row],[Lançamento]]="RECEITA",fCaixa[[#This Row],[Venda]]-fCaixa[[#This Row],[Custoprimario]],0)</f>
        <v>20.425000000000001</v>
      </c>
      <c r="U228" s="16">
        <f>IFERROR(fCaixa[[#This Row],[Lucroprimario]]/fCaixa[[#This Row],[Venda]],0)</f>
        <v>0.47500000000000003</v>
      </c>
      <c r="V22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19.375</v>
      </c>
      <c r="W228" s="16">
        <f>IFERROR(fCaixa[[#This Row],[Lucrofinal]]/fCaixa[[#This Row],[Venda]],0)</f>
        <v>0.45058139534883723</v>
      </c>
    </row>
    <row r="229" spans="1:23" ht="16.5" hidden="1" x14ac:dyDescent="0.25">
      <c r="A229" s="17">
        <f t="shared" si="3"/>
        <v>228</v>
      </c>
      <c r="B229" s="87">
        <v>43187</v>
      </c>
      <c r="C229" s="12" t="s">
        <v>29</v>
      </c>
      <c r="D229" s="12" t="s">
        <v>25</v>
      </c>
      <c r="E229" s="12" t="s">
        <v>36</v>
      </c>
      <c r="F229" s="12" t="s">
        <v>28</v>
      </c>
      <c r="G229" s="13">
        <v>91.5</v>
      </c>
      <c r="H229" s="13">
        <v>0</v>
      </c>
      <c r="I229" s="13">
        <v>0</v>
      </c>
      <c r="J229" s="14">
        <v>0</v>
      </c>
      <c r="K229" s="17">
        <f>IFERROR(ROUND((fCaixa[[#This Row],[Venda]]/fCaixa[[#This Row],[Preço/Un.]]),0),0)</f>
        <v>0</v>
      </c>
      <c r="L229" s="15">
        <f>IFERROR((SUBSTITUTE(RIGHT(fCaixa[[#This Row],[Descrição]],3),"G","")*1 *fCaixa[[#This Row],[Qtd/Pães]]) / 1000,0)</f>
        <v>0</v>
      </c>
      <c r="M229" s="13">
        <f>IFERROR((((SUBSTITUTE(RIGHT(fCaixa[[#This Row],[Descrição]],3),"G","")*1) * fCaixa[[#This Row],[QTD Perdida]])/1000) *fCaixa[[#This Row],[Custo/KG.]],0)</f>
        <v>0</v>
      </c>
      <c r="N229" s="15">
        <f>IF(fCaixa[[#This Row],[Lançamento]]="RECEITA",(fCaixa[[#This Row],[QTD Perdida]]* (SUBSTITUTE(RIGHT(fCaixa[[#This Row],[Descrição]],3),"G","")*1))/1000,0)</f>
        <v>0</v>
      </c>
      <c r="O229" s="15">
        <f>fCaixa[[#This Row],[Qtd/Kg]]+fCaixa[[#This Row],[Qtd/Kg Perdido]]</f>
        <v>0</v>
      </c>
      <c r="P229" s="13">
        <f>IF(fCaixa[[#This Row],[Lançamento]]="RECEITA",(fCaixa[[#This Row],[Qtd/Kg]]*fCaixa[[#This Row],[Custo/KG.]]),0)</f>
        <v>0</v>
      </c>
      <c r="Q229" s="34">
        <f>fCaixa[[#This Row],[Custoprimario]]+fCaixa[[#This Row],[Total Perdido]]</f>
        <v>0</v>
      </c>
      <c r="R229" s="16">
        <f>IFERROR(fCaixa[[#This Row],[Custoprimario]]/fCaixa[[#This Row],[Venda]],0)</f>
        <v>0</v>
      </c>
      <c r="S229" s="16">
        <f>IFERROR(fCaixa[[#This Row],[Custofinal]]/fCaixa[[#This Row],[Venda]],0)</f>
        <v>0</v>
      </c>
      <c r="T229" s="13">
        <f>IF(fCaixa[[#This Row],[Lançamento]]="RECEITA",fCaixa[[#This Row],[Venda]]-fCaixa[[#This Row],[Custoprimario]],0)</f>
        <v>0</v>
      </c>
      <c r="U229" s="16">
        <f>IFERROR(fCaixa[[#This Row],[Lucroprimario]]/fCaixa[[#This Row],[Venda]],0)</f>
        <v>0</v>
      </c>
      <c r="V22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29" s="16">
        <f>IFERROR(fCaixa[[#This Row],[Lucrofinal]]/fCaixa[[#This Row],[Venda]],0)</f>
        <v>0</v>
      </c>
    </row>
    <row r="230" spans="1:23" ht="16.5" hidden="1" x14ac:dyDescent="0.25">
      <c r="A230" s="17">
        <f t="shared" si="3"/>
        <v>229</v>
      </c>
      <c r="B230" s="87">
        <v>43187</v>
      </c>
      <c r="C230" s="12" t="s">
        <v>29</v>
      </c>
      <c r="D230" s="12" t="s">
        <v>25</v>
      </c>
      <c r="E230" s="12" t="s">
        <v>36</v>
      </c>
      <c r="F230" s="12" t="s">
        <v>28</v>
      </c>
      <c r="G230" s="13">
        <v>18.77</v>
      </c>
      <c r="H230" s="13">
        <v>0</v>
      </c>
      <c r="I230" s="13">
        <v>0</v>
      </c>
      <c r="J230" s="14">
        <v>0</v>
      </c>
      <c r="K230" s="17">
        <f>IFERROR(ROUND((fCaixa[[#This Row],[Venda]]/fCaixa[[#This Row],[Preço/Un.]]),0),0)</f>
        <v>0</v>
      </c>
      <c r="L230" s="15">
        <f>IFERROR((SUBSTITUTE(RIGHT(fCaixa[[#This Row],[Descrição]],3),"G","")*1 *fCaixa[[#This Row],[Qtd/Pães]]) / 1000,0)</f>
        <v>0</v>
      </c>
      <c r="M230" s="13">
        <f>IFERROR((((SUBSTITUTE(RIGHT(fCaixa[[#This Row],[Descrição]],3),"G","")*1) * fCaixa[[#This Row],[QTD Perdida]])/1000) *fCaixa[[#This Row],[Custo/KG.]],0)</f>
        <v>0</v>
      </c>
      <c r="N230" s="15">
        <f>IF(fCaixa[[#This Row],[Lançamento]]="RECEITA",(fCaixa[[#This Row],[QTD Perdida]]* (SUBSTITUTE(RIGHT(fCaixa[[#This Row],[Descrição]],3),"G","")*1))/1000,0)</f>
        <v>0</v>
      </c>
      <c r="O230" s="15">
        <f>fCaixa[[#This Row],[Qtd/Kg]]+fCaixa[[#This Row],[Qtd/Kg Perdido]]</f>
        <v>0</v>
      </c>
      <c r="P230" s="13">
        <f>IF(fCaixa[[#This Row],[Lançamento]]="RECEITA",(fCaixa[[#This Row],[Qtd/Kg]]*fCaixa[[#This Row],[Custo/KG.]]),0)</f>
        <v>0</v>
      </c>
      <c r="Q230" s="34">
        <f>fCaixa[[#This Row],[Custoprimario]]+fCaixa[[#This Row],[Total Perdido]]</f>
        <v>0</v>
      </c>
      <c r="R230" s="16">
        <f>IFERROR(fCaixa[[#This Row],[Custoprimario]]/fCaixa[[#This Row],[Venda]],0)</f>
        <v>0</v>
      </c>
      <c r="S230" s="16">
        <f>IFERROR(fCaixa[[#This Row],[Custofinal]]/fCaixa[[#This Row],[Venda]],0)</f>
        <v>0</v>
      </c>
      <c r="T230" s="13">
        <f>IF(fCaixa[[#This Row],[Lançamento]]="RECEITA",fCaixa[[#This Row],[Venda]]-fCaixa[[#This Row],[Custoprimario]],0)</f>
        <v>0</v>
      </c>
      <c r="U230" s="16">
        <f>IFERROR(fCaixa[[#This Row],[Lucroprimario]]/fCaixa[[#This Row],[Venda]],0)</f>
        <v>0</v>
      </c>
      <c r="V23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30" s="16">
        <f>IFERROR(fCaixa[[#This Row],[Lucrofinal]]/fCaixa[[#This Row],[Venda]],0)</f>
        <v>0</v>
      </c>
    </row>
    <row r="231" spans="1:23" ht="16.5" hidden="1" x14ac:dyDescent="0.25">
      <c r="A231" s="17">
        <f t="shared" si="3"/>
        <v>230</v>
      </c>
      <c r="B231" s="87">
        <v>43188</v>
      </c>
      <c r="C231" s="12" t="s">
        <v>24</v>
      </c>
      <c r="D231" s="12" t="s">
        <v>25</v>
      </c>
      <c r="E231" s="12" t="s">
        <v>35</v>
      </c>
      <c r="F231" s="12" t="s">
        <v>28</v>
      </c>
      <c r="G231" s="13">
        <v>195</v>
      </c>
      <c r="H231" s="13">
        <v>1</v>
      </c>
      <c r="I231" s="13">
        <v>10.5</v>
      </c>
      <c r="J231" s="14">
        <v>5</v>
      </c>
      <c r="K231" s="17">
        <f>IFERROR(ROUND((fCaixa[[#This Row],[Venda]]/fCaixa[[#This Row],[Preço/Un.]]),0),0)</f>
        <v>195</v>
      </c>
      <c r="L231" s="15">
        <f>IFERROR((SUBSTITUTE(RIGHT(fCaixa[[#This Row],[Descrição]],3),"G","")*1 *fCaixa[[#This Row],[Qtd/Pães]]) / 1000,0)</f>
        <v>9.75</v>
      </c>
      <c r="M231" s="13">
        <f>IFERROR((((SUBSTITUTE(RIGHT(fCaixa[[#This Row],[Descrição]],3),"G","")*1) * fCaixa[[#This Row],[QTD Perdida]])/1000) *fCaixa[[#This Row],[Custo/KG.]],0)</f>
        <v>2.625</v>
      </c>
      <c r="N231" s="15">
        <f>IF(fCaixa[[#This Row],[Lançamento]]="RECEITA",(fCaixa[[#This Row],[QTD Perdida]]* (SUBSTITUTE(RIGHT(fCaixa[[#This Row],[Descrição]],3),"G","")*1))/1000,0)</f>
        <v>0.25</v>
      </c>
      <c r="O231" s="15">
        <f>fCaixa[[#This Row],[Qtd/Kg]]+fCaixa[[#This Row],[Qtd/Kg Perdido]]</f>
        <v>10</v>
      </c>
      <c r="P231" s="13">
        <f>IF(fCaixa[[#This Row],[Lançamento]]="RECEITA",(fCaixa[[#This Row],[Qtd/Kg]]*fCaixa[[#This Row],[Custo/KG.]]),0)</f>
        <v>102.375</v>
      </c>
      <c r="Q231" s="34">
        <f>fCaixa[[#This Row],[Custoprimario]]+fCaixa[[#This Row],[Total Perdido]]</f>
        <v>105</v>
      </c>
      <c r="R231" s="16">
        <f>IFERROR(fCaixa[[#This Row],[Custoprimario]]/fCaixa[[#This Row],[Venda]],0)</f>
        <v>0.52500000000000002</v>
      </c>
      <c r="S231" s="16">
        <f>IFERROR(fCaixa[[#This Row],[Custofinal]]/fCaixa[[#This Row],[Venda]],0)</f>
        <v>0.53846153846153844</v>
      </c>
      <c r="T231" s="13">
        <f>IF(fCaixa[[#This Row],[Lançamento]]="RECEITA",fCaixa[[#This Row],[Venda]]-fCaixa[[#This Row],[Custoprimario]],0)</f>
        <v>92.625</v>
      </c>
      <c r="U231" s="16">
        <f>IFERROR(fCaixa[[#This Row],[Lucroprimario]]/fCaixa[[#This Row],[Venda]],0)</f>
        <v>0.47499999999999998</v>
      </c>
      <c r="V23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90</v>
      </c>
      <c r="W231" s="16">
        <f>IFERROR(fCaixa[[#This Row],[Lucrofinal]]/fCaixa[[#This Row],[Venda]],0)</f>
        <v>0.46153846153846156</v>
      </c>
    </row>
    <row r="232" spans="1:23" ht="16.5" hidden="1" x14ac:dyDescent="0.25">
      <c r="A232" s="17">
        <f t="shared" si="3"/>
        <v>231</v>
      </c>
      <c r="B232" s="87">
        <v>43192</v>
      </c>
      <c r="C232" s="12" t="s">
        <v>24</v>
      </c>
      <c r="D232" s="12" t="s">
        <v>37</v>
      </c>
      <c r="E232" s="12" t="s">
        <v>35</v>
      </c>
      <c r="F232" s="12" t="s">
        <v>28</v>
      </c>
      <c r="G232" s="13">
        <v>10</v>
      </c>
      <c r="H232" s="13">
        <v>1</v>
      </c>
      <c r="I232" s="13">
        <v>10.5</v>
      </c>
      <c r="J232" s="14">
        <v>0</v>
      </c>
      <c r="K232" s="17">
        <f>IFERROR(ROUND((fCaixa[[#This Row],[Venda]]/fCaixa[[#This Row],[Preço/Un.]]),0),0)</f>
        <v>10</v>
      </c>
      <c r="L232" s="15">
        <f>IFERROR((SUBSTITUTE(RIGHT(fCaixa[[#This Row],[Descrição]],3),"G","")*1 *fCaixa[[#This Row],[Qtd/Pães]]) / 1000,0)</f>
        <v>0.5</v>
      </c>
      <c r="M232" s="13">
        <f>IFERROR((((SUBSTITUTE(RIGHT(fCaixa[[#This Row],[Descrição]],3),"G","")*1) * fCaixa[[#This Row],[QTD Perdida]])/1000) *fCaixa[[#This Row],[Custo/KG.]],0)</f>
        <v>0</v>
      </c>
      <c r="N232" s="15">
        <f>IF(fCaixa[[#This Row],[Lançamento]]="RECEITA",(fCaixa[[#This Row],[QTD Perdida]]* (SUBSTITUTE(RIGHT(fCaixa[[#This Row],[Descrição]],3),"G","")*1))/1000,0)</f>
        <v>0</v>
      </c>
      <c r="O232" s="15">
        <f>fCaixa[[#This Row],[Qtd/Kg]]+fCaixa[[#This Row],[Qtd/Kg Perdido]]</f>
        <v>0.5</v>
      </c>
      <c r="P232" s="13">
        <f>IF(fCaixa[[#This Row],[Lançamento]]="RECEITA",(fCaixa[[#This Row],[Qtd/Kg]]*fCaixa[[#This Row],[Custo/KG.]]),0)</f>
        <v>5.25</v>
      </c>
      <c r="Q232" s="34">
        <f>fCaixa[[#This Row],[Custoprimario]]+fCaixa[[#This Row],[Total Perdido]]</f>
        <v>5.25</v>
      </c>
      <c r="R232" s="16">
        <f>IFERROR(fCaixa[[#This Row],[Custoprimario]]/fCaixa[[#This Row],[Venda]],0)</f>
        <v>0.52500000000000002</v>
      </c>
      <c r="S232" s="16">
        <f>IFERROR(fCaixa[[#This Row],[Custofinal]]/fCaixa[[#This Row],[Venda]],0)</f>
        <v>0.52500000000000002</v>
      </c>
      <c r="T232" s="13">
        <f>IF(fCaixa[[#This Row],[Lançamento]]="RECEITA",fCaixa[[#This Row],[Venda]]-fCaixa[[#This Row],[Custoprimario]],0)</f>
        <v>4.75</v>
      </c>
      <c r="U232" s="16">
        <f>IFERROR(fCaixa[[#This Row],[Lucroprimario]]/fCaixa[[#This Row],[Venda]],0)</f>
        <v>0.47499999999999998</v>
      </c>
      <c r="V23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4.5209999999999999</v>
      </c>
      <c r="W232" s="16">
        <f>IFERROR(fCaixa[[#This Row],[Lucrofinal]]/fCaixa[[#This Row],[Venda]],0)</f>
        <v>0.4521</v>
      </c>
    </row>
    <row r="233" spans="1:23" ht="16.5" hidden="1" x14ac:dyDescent="0.25">
      <c r="A233" s="17">
        <f t="shared" si="3"/>
        <v>232</v>
      </c>
      <c r="B233" s="87">
        <v>43192</v>
      </c>
      <c r="C233" s="12" t="s">
        <v>24</v>
      </c>
      <c r="D233" s="12" t="s">
        <v>25</v>
      </c>
      <c r="E233" s="12" t="s">
        <v>35</v>
      </c>
      <c r="F233" s="12" t="s">
        <v>28</v>
      </c>
      <c r="G233" s="13">
        <v>75</v>
      </c>
      <c r="H233" s="13">
        <v>1</v>
      </c>
      <c r="I233" s="13">
        <v>10.5</v>
      </c>
      <c r="J233" s="14">
        <v>5</v>
      </c>
      <c r="K233" s="17">
        <f>IFERROR(ROUND((fCaixa[[#This Row],[Venda]]/fCaixa[[#This Row],[Preço/Un.]]),0),0)</f>
        <v>75</v>
      </c>
      <c r="L233" s="15">
        <f>IFERROR((SUBSTITUTE(RIGHT(fCaixa[[#This Row],[Descrição]],3),"G","")*1 *fCaixa[[#This Row],[Qtd/Pães]]) / 1000,0)</f>
        <v>3.75</v>
      </c>
      <c r="M233" s="13">
        <f>IFERROR((((SUBSTITUTE(RIGHT(fCaixa[[#This Row],[Descrição]],3),"G","")*1) * fCaixa[[#This Row],[QTD Perdida]])/1000) *fCaixa[[#This Row],[Custo/KG.]],0)</f>
        <v>2.625</v>
      </c>
      <c r="N233" s="15">
        <f>IF(fCaixa[[#This Row],[Lançamento]]="RECEITA",(fCaixa[[#This Row],[QTD Perdida]]* (SUBSTITUTE(RIGHT(fCaixa[[#This Row],[Descrição]],3),"G","")*1))/1000,0)</f>
        <v>0.25</v>
      </c>
      <c r="O233" s="15">
        <f>fCaixa[[#This Row],[Qtd/Kg]]+fCaixa[[#This Row],[Qtd/Kg Perdido]]</f>
        <v>4</v>
      </c>
      <c r="P233" s="13">
        <f>IF(fCaixa[[#This Row],[Lançamento]]="RECEITA",(fCaixa[[#This Row],[Qtd/Kg]]*fCaixa[[#This Row],[Custo/KG.]]),0)</f>
        <v>39.375</v>
      </c>
      <c r="Q233" s="34">
        <f>fCaixa[[#This Row],[Custoprimario]]+fCaixa[[#This Row],[Total Perdido]]</f>
        <v>42</v>
      </c>
      <c r="R233" s="16">
        <f>IFERROR(fCaixa[[#This Row],[Custoprimario]]/fCaixa[[#This Row],[Venda]],0)</f>
        <v>0.52500000000000002</v>
      </c>
      <c r="S233" s="16">
        <f>IFERROR(fCaixa[[#This Row],[Custofinal]]/fCaixa[[#This Row],[Venda]],0)</f>
        <v>0.56000000000000005</v>
      </c>
      <c r="T233" s="13">
        <f>IF(fCaixa[[#This Row],[Lançamento]]="RECEITA",fCaixa[[#This Row],[Venda]]-fCaixa[[#This Row],[Custoprimario]],0)</f>
        <v>35.625</v>
      </c>
      <c r="U233" s="16">
        <f>IFERROR(fCaixa[[#This Row],[Lucroprimario]]/fCaixa[[#This Row],[Venda]],0)</f>
        <v>0.47499999999999998</v>
      </c>
      <c r="V23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33</v>
      </c>
      <c r="W233" s="16">
        <f>IFERROR(fCaixa[[#This Row],[Lucrofinal]]/fCaixa[[#This Row],[Venda]],0)</f>
        <v>0.44</v>
      </c>
    </row>
    <row r="234" spans="1:23" ht="16.5" hidden="1" x14ac:dyDescent="0.25">
      <c r="A234" s="17">
        <f t="shared" si="3"/>
        <v>233</v>
      </c>
      <c r="B234" s="87">
        <v>43192</v>
      </c>
      <c r="C234" s="12" t="s">
        <v>24</v>
      </c>
      <c r="D234" s="12" t="s">
        <v>37</v>
      </c>
      <c r="E234" s="12" t="s">
        <v>35</v>
      </c>
      <c r="F234" s="12" t="s">
        <v>28</v>
      </c>
      <c r="G234" s="13">
        <v>18.899999999999999</v>
      </c>
      <c r="H234" s="13">
        <v>0.95</v>
      </c>
      <c r="I234" s="13">
        <v>10.5</v>
      </c>
      <c r="J234" s="14">
        <v>0</v>
      </c>
      <c r="K234" s="17">
        <f>IFERROR(ROUND((fCaixa[[#This Row],[Venda]]/fCaixa[[#This Row],[Preço/Un.]]),0),0)</f>
        <v>20</v>
      </c>
      <c r="L234" s="15">
        <f>IFERROR((SUBSTITUTE(RIGHT(fCaixa[[#This Row],[Descrição]],3),"G","")*1 *fCaixa[[#This Row],[Qtd/Pães]]) / 1000,0)</f>
        <v>1</v>
      </c>
      <c r="M234" s="13">
        <f>IFERROR((((SUBSTITUTE(RIGHT(fCaixa[[#This Row],[Descrição]],3),"G","")*1) * fCaixa[[#This Row],[QTD Perdida]])/1000) *fCaixa[[#This Row],[Custo/KG.]],0)</f>
        <v>0</v>
      </c>
      <c r="N234" s="15">
        <f>IF(fCaixa[[#This Row],[Lançamento]]="RECEITA",(fCaixa[[#This Row],[QTD Perdida]]* (SUBSTITUTE(RIGHT(fCaixa[[#This Row],[Descrição]],3),"G","")*1))/1000,0)</f>
        <v>0</v>
      </c>
      <c r="O234" s="15">
        <f>fCaixa[[#This Row],[Qtd/Kg]]+fCaixa[[#This Row],[Qtd/Kg Perdido]]</f>
        <v>1</v>
      </c>
      <c r="P234" s="13">
        <f>IF(fCaixa[[#This Row],[Lançamento]]="RECEITA",(fCaixa[[#This Row],[Qtd/Kg]]*fCaixa[[#This Row],[Custo/KG.]]),0)</f>
        <v>10.5</v>
      </c>
      <c r="Q234" s="34">
        <f>fCaixa[[#This Row],[Custoprimario]]+fCaixa[[#This Row],[Total Perdido]]</f>
        <v>10.5</v>
      </c>
      <c r="R234" s="16">
        <f>IFERROR(fCaixa[[#This Row],[Custoprimario]]/fCaixa[[#This Row],[Venda]],0)</f>
        <v>0.55555555555555558</v>
      </c>
      <c r="S234" s="16">
        <f>IFERROR(fCaixa[[#This Row],[Custofinal]]/fCaixa[[#This Row],[Venda]],0)</f>
        <v>0.55555555555555558</v>
      </c>
      <c r="T234" s="13">
        <f>IF(fCaixa[[#This Row],[Lançamento]]="RECEITA",fCaixa[[#This Row],[Venda]]-fCaixa[[#This Row],[Custoprimario]],0)</f>
        <v>8.3999999999999986</v>
      </c>
      <c r="U234" s="16">
        <f>IFERROR(fCaixa[[#This Row],[Lucroprimario]]/fCaixa[[#This Row],[Venda]],0)</f>
        <v>0.44444444444444442</v>
      </c>
      <c r="V23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7.9671899999999987</v>
      </c>
      <c r="W234" s="16">
        <f>IFERROR(fCaixa[[#This Row],[Lucrofinal]]/fCaixa[[#This Row],[Venda]],0)</f>
        <v>0.42154444444444439</v>
      </c>
    </row>
    <row r="235" spans="1:23" ht="16.5" hidden="1" x14ac:dyDescent="0.25">
      <c r="A235" s="17">
        <f t="shared" si="3"/>
        <v>234</v>
      </c>
      <c r="B235" s="87">
        <v>43193</v>
      </c>
      <c r="C235" s="12" t="s">
        <v>24</v>
      </c>
      <c r="D235" s="12" t="s">
        <v>37</v>
      </c>
      <c r="E235" s="12" t="s">
        <v>35</v>
      </c>
      <c r="F235" s="12" t="s">
        <v>28</v>
      </c>
      <c r="G235" s="13">
        <v>5</v>
      </c>
      <c r="H235" s="13">
        <v>1</v>
      </c>
      <c r="I235" s="13">
        <v>10.5</v>
      </c>
      <c r="J235" s="14">
        <v>0</v>
      </c>
      <c r="K235" s="17">
        <f>IFERROR(ROUND((fCaixa[[#This Row],[Venda]]/fCaixa[[#This Row],[Preço/Un.]]),0),0)</f>
        <v>5</v>
      </c>
      <c r="L235" s="15">
        <f>IFERROR((SUBSTITUTE(RIGHT(fCaixa[[#This Row],[Descrição]],3),"G","")*1 *fCaixa[[#This Row],[Qtd/Pães]]) / 1000,0)</f>
        <v>0.25</v>
      </c>
      <c r="M235" s="13">
        <f>IFERROR((((SUBSTITUTE(RIGHT(fCaixa[[#This Row],[Descrição]],3),"G","")*1) * fCaixa[[#This Row],[QTD Perdida]])/1000) *fCaixa[[#This Row],[Custo/KG.]],0)</f>
        <v>0</v>
      </c>
      <c r="N235" s="15">
        <f>IF(fCaixa[[#This Row],[Lançamento]]="RECEITA",(fCaixa[[#This Row],[QTD Perdida]]* (SUBSTITUTE(RIGHT(fCaixa[[#This Row],[Descrição]],3),"G","")*1))/1000,0)</f>
        <v>0</v>
      </c>
      <c r="O235" s="15">
        <f>fCaixa[[#This Row],[Qtd/Kg]]+fCaixa[[#This Row],[Qtd/Kg Perdido]]</f>
        <v>0.25</v>
      </c>
      <c r="P235" s="13">
        <f>IF(fCaixa[[#This Row],[Lançamento]]="RECEITA",(fCaixa[[#This Row],[Qtd/Kg]]*fCaixa[[#This Row],[Custo/KG.]]),0)</f>
        <v>2.625</v>
      </c>
      <c r="Q235" s="34">
        <f>fCaixa[[#This Row],[Custoprimario]]+fCaixa[[#This Row],[Total Perdido]]</f>
        <v>2.625</v>
      </c>
      <c r="R235" s="16">
        <f>IFERROR(fCaixa[[#This Row],[Custoprimario]]/fCaixa[[#This Row],[Venda]],0)</f>
        <v>0.52500000000000002</v>
      </c>
      <c r="S235" s="16">
        <f>IFERROR(fCaixa[[#This Row],[Custofinal]]/fCaixa[[#This Row],[Venda]],0)</f>
        <v>0.52500000000000002</v>
      </c>
      <c r="T235" s="13">
        <f>IF(fCaixa[[#This Row],[Lançamento]]="RECEITA",fCaixa[[#This Row],[Venda]]-fCaixa[[#This Row],[Custoprimario]],0)</f>
        <v>2.375</v>
      </c>
      <c r="U235" s="16">
        <f>IFERROR(fCaixa[[#This Row],[Lucroprimario]]/fCaixa[[#This Row],[Venda]],0)</f>
        <v>0.47499999999999998</v>
      </c>
      <c r="V23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2.2605</v>
      </c>
      <c r="W235" s="16">
        <f>IFERROR(fCaixa[[#This Row],[Lucrofinal]]/fCaixa[[#This Row],[Venda]],0)</f>
        <v>0.4521</v>
      </c>
    </row>
    <row r="236" spans="1:23" ht="16.5" hidden="1" x14ac:dyDescent="0.25">
      <c r="A236" s="17">
        <f t="shared" si="3"/>
        <v>235</v>
      </c>
      <c r="B236" s="87">
        <v>43193</v>
      </c>
      <c r="C236" s="12" t="s">
        <v>24</v>
      </c>
      <c r="D236" s="12" t="s">
        <v>25</v>
      </c>
      <c r="E236" s="12" t="s">
        <v>35</v>
      </c>
      <c r="F236" s="12" t="s">
        <v>28</v>
      </c>
      <c r="G236" s="13">
        <v>150</v>
      </c>
      <c r="H236" s="13">
        <v>1</v>
      </c>
      <c r="I236" s="13">
        <v>10.5</v>
      </c>
      <c r="J236" s="14">
        <v>5</v>
      </c>
      <c r="K236" s="17">
        <f>IFERROR(ROUND((fCaixa[[#This Row],[Venda]]/fCaixa[[#This Row],[Preço/Un.]]),0),0)</f>
        <v>150</v>
      </c>
      <c r="L236" s="15">
        <f>IFERROR((SUBSTITUTE(RIGHT(fCaixa[[#This Row],[Descrição]],3),"G","")*1 *fCaixa[[#This Row],[Qtd/Pães]]) / 1000,0)</f>
        <v>7.5</v>
      </c>
      <c r="M236" s="13">
        <f>IFERROR((((SUBSTITUTE(RIGHT(fCaixa[[#This Row],[Descrição]],3),"G","")*1) * fCaixa[[#This Row],[QTD Perdida]])/1000) *fCaixa[[#This Row],[Custo/KG.]],0)</f>
        <v>2.625</v>
      </c>
      <c r="N236" s="15">
        <f>IF(fCaixa[[#This Row],[Lançamento]]="RECEITA",(fCaixa[[#This Row],[QTD Perdida]]* (SUBSTITUTE(RIGHT(fCaixa[[#This Row],[Descrição]],3),"G","")*1))/1000,0)</f>
        <v>0.25</v>
      </c>
      <c r="O236" s="15">
        <f>fCaixa[[#This Row],[Qtd/Kg]]+fCaixa[[#This Row],[Qtd/Kg Perdido]]</f>
        <v>7.75</v>
      </c>
      <c r="P236" s="13">
        <f>IF(fCaixa[[#This Row],[Lançamento]]="RECEITA",(fCaixa[[#This Row],[Qtd/Kg]]*fCaixa[[#This Row],[Custo/KG.]]),0)</f>
        <v>78.75</v>
      </c>
      <c r="Q236" s="34">
        <f>fCaixa[[#This Row],[Custoprimario]]+fCaixa[[#This Row],[Total Perdido]]</f>
        <v>81.375</v>
      </c>
      <c r="R236" s="16">
        <f>IFERROR(fCaixa[[#This Row],[Custoprimario]]/fCaixa[[#This Row],[Venda]],0)</f>
        <v>0.52500000000000002</v>
      </c>
      <c r="S236" s="16">
        <f>IFERROR(fCaixa[[#This Row],[Custofinal]]/fCaixa[[#This Row],[Venda]],0)</f>
        <v>0.54249999999999998</v>
      </c>
      <c r="T236" s="13">
        <f>IF(fCaixa[[#This Row],[Lançamento]]="RECEITA",fCaixa[[#This Row],[Venda]]-fCaixa[[#This Row],[Custoprimario]],0)</f>
        <v>71.25</v>
      </c>
      <c r="U236" s="16">
        <f>IFERROR(fCaixa[[#This Row],[Lucroprimario]]/fCaixa[[#This Row],[Venda]],0)</f>
        <v>0.47499999999999998</v>
      </c>
      <c r="V23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68.625</v>
      </c>
      <c r="W236" s="16">
        <f>IFERROR(fCaixa[[#This Row],[Lucrofinal]]/fCaixa[[#This Row],[Venda]],0)</f>
        <v>0.45750000000000002</v>
      </c>
    </row>
    <row r="237" spans="1:23" ht="16.5" hidden="1" x14ac:dyDescent="0.25">
      <c r="A237" s="17">
        <f t="shared" si="3"/>
        <v>236</v>
      </c>
      <c r="B237" s="87">
        <v>43194</v>
      </c>
      <c r="C237" s="12" t="s">
        <v>24</v>
      </c>
      <c r="D237" s="12" t="s">
        <v>25</v>
      </c>
      <c r="E237" s="12" t="s">
        <v>35</v>
      </c>
      <c r="F237" s="12" t="s">
        <v>28</v>
      </c>
      <c r="G237" s="13">
        <v>113</v>
      </c>
      <c r="H237" s="13">
        <v>1</v>
      </c>
      <c r="I237" s="13">
        <v>10.5</v>
      </c>
      <c r="J237" s="14">
        <v>7</v>
      </c>
      <c r="K237" s="17">
        <f>IFERROR(ROUND((fCaixa[[#This Row],[Venda]]/fCaixa[[#This Row],[Preço/Un.]]),0),0)</f>
        <v>113</v>
      </c>
      <c r="L237" s="15">
        <f>IFERROR((SUBSTITUTE(RIGHT(fCaixa[[#This Row],[Descrição]],3),"G","")*1 *fCaixa[[#This Row],[Qtd/Pães]]) / 1000,0)</f>
        <v>5.65</v>
      </c>
      <c r="M237" s="13">
        <f>IFERROR((((SUBSTITUTE(RIGHT(fCaixa[[#This Row],[Descrição]],3),"G","")*1) * fCaixa[[#This Row],[QTD Perdida]])/1000) *fCaixa[[#This Row],[Custo/KG.]],0)</f>
        <v>3.6749999999999998</v>
      </c>
      <c r="N237" s="15">
        <f>IF(fCaixa[[#This Row],[Lançamento]]="RECEITA",(fCaixa[[#This Row],[QTD Perdida]]* (SUBSTITUTE(RIGHT(fCaixa[[#This Row],[Descrição]],3),"G","")*1))/1000,0)</f>
        <v>0.35</v>
      </c>
      <c r="O237" s="15">
        <f>fCaixa[[#This Row],[Qtd/Kg]]+fCaixa[[#This Row],[Qtd/Kg Perdido]]</f>
        <v>6</v>
      </c>
      <c r="P237" s="13">
        <f>IF(fCaixa[[#This Row],[Lançamento]]="RECEITA",(fCaixa[[#This Row],[Qtd/Kg]]*fCaixa[[#This Row],[Custo/KG.]]),0)</f>
        <v>59.325000000000003</v>
      </c>
      <c r="Q237" s="34">
        <f>fCaixa[[#This Row],[Custoprimario]]+fCaixa[[#This Row],[Total Perdido]]</f>
        <v>63</v>
      </c>
      <c r="R237" s="16">
        <f>IFERROR(fCaixa[[#This Row],[Custoprimario]]/fCaixa[[#This Row],[Venda]],0)</f>
        <v>0.52500000000000002</v>
      </c>
      <c r="S237" s="16">
        <f>IFERROR(fCaixa[[#This Row],[Custofinal]]/fCaixa[[#This Row],[Venda]],0)</f>
        <v>0.55752212389380529</v>
      </c>
      <c r="T237" s="13">
        <f>IF(fCaixa[[#This Row],[Lançamento]]="RECEITA",fCaixa[[#This Row],[Venda]]-fCaixa[[#This Row],[Custoprimario]],0)</f>
        <v>53.674999999999997</v>
      </c>
      <c r="U237" s="16">
        <f>IFERROR(fCaixa[[#This Row],[Lucroprimario]]/fCaixa[[#This Row],[Venda]],0)</f>
        <v>0.47499999999999998</v>
      </c>
      <c r="V23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50</v>
      </c>
      <c r="W237" s="16">
        <f>IFERROR(fCaixa[[#This Row],[Lucrofinal]]/fCaixa[[#This Row],[Venda]],0)</f>
        <v>0.44247787610619471</v>
      </c>
    </row>
    <row r="238" spans="1:23" ht="16.5" hidden="1" x14ac:dyDescent="0.25">
      <c r="A238" s="17">
        <f t="shared" si="3"/>
        <v>237</v>
      </c>
      <c r="B238" s="87">
        <v>43194</v>
      </c>
      <c r="C238" s="12" t="s">
        <v>24</v>
      </c>
      <c r="D238" s="12" t="s">
        <v>25</v>
      </c>
      <c r="E238" s="12" t="s">
        <v>35</v>
      </c>
      <c r="F238" s="12" t="s">
        <v>28</v>
      </c>
      <c r="G238" s="13">
        <v>90</v>
      </c>
      <c r="H238" s="13">
        <v>0.9</v>
      </c>
      <c r="I238" s="13">
        <v>10.5</v>
      </c>
      <c r="J238" s="14">
        <v>0</v>
      </c>
      <c r="K238" s="17">
        <f>IFERROR(ROUND((fCaixa[[#This Row],[Venda]]/fCaixa[[#This Row],[Preço/Un.]]),0),0)</f>
        <v>100</v>
      </c>
      <c r="L238" s="15">
        <f>IFERROR((SUBSTITUTE(RIGHT(fCaixa[[#This Row],[Descrição]],3),"G","")*1 *fCaixa[[#This Row],[Qtd/Pães]]) / 1000,0)</f>
        <v>5</v>
      </c>
      <c r="M238" s="13">
        <f>IFERROR((((SUBSTITUTE(RIGHT(fCaixa[[#This Row],[Descrição]],3),"G","")*1) * fCaixa[[#This Row],[QTD Perdida]])/1000) *fCaixa[[#This Row],[Custo/KG.]],0)</f>
        <v>0</v>
      </c>
      <c r="N238" s="15">
        <f>IF(fCaixa[[#This Row],[Lançamento]]="RECEITA",(fCaixa[[#This Row],[QTD Perdida]]* (SUBSTITUTE(RIGHT(fCaixa[[#This Row],[Descrição]],3),"G","")*1))/1000,0)</f>
        <v>0</v>
      </c>
      <c r="O238" s="15">
        <f>fCaixa[[#This Row],[Qtd/Kg]]+fCaixa[[#This Row],[Qtd/Kg Perdido]]</f>
        <v>5</v>
      </c>
      <c r="P238" s="13">
        <f>IF(fCaixa[[#This Row],[Lançamento]]="RECEITA",(fCaixa[[#This Row],[Qtd/Kg]]*fCaixa[[#This Row],[Custo/KG.]]),0)</f>
        <v>52.5</v>
      </c>
      <c r="Q238" s="34">
        <f>fCaixa[[#This Row],[Custoprimario]]+fCaixa[[#This Row],[Total Perdido]]</f>
        <v>52.5</v>
      </c>
      <c r="R238" s="16">
        <f>IFERROR(fCaixa[[#This Row],[Custoprimario]]/fCaixa[[#This Row],[Venda]],0)</f>
        <v>0.58333333333333337</v>
      </c>
      <c r="S238" s="16">
        <f>IFERROR(fCaixa[[#This Row],[Custofinal]]/fCaixa[[#This Row],[Venda]],0)</f>
        <v>0.58333333333333337</v>
      </c>
      <c r="T238" s="13">
        <f>IF(fCaixa[[#This Row],[Lançamento]]="RECEITA",fCaixa[[#This Row],[Venda]]-fCaixa[[#This Row],[Custoprimario]],0)</f>
        <v>37.5</v>
      </c>
      <c r="U238" s="16">
        <f>IFERROR(fCaixa[[#This Row],[Lucroprimario]]/fCaixa[[#This Row],[Venda]],0)</f>
        <v>0.41666666666666669</v>
      </c>
      <c r="V23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37.5</v>
      </c>
      <c r="W238" s="16">
        <f>IFERROR(fCaixa[[#This Row],[Lucrofinal]]/fCaixa[[#This Row],[Venda]],0)</f>
        <v>0.41666666666666669</v>
      </c>
    </row>
    <row r="239" spans="1:23" ht="16.5" hidden="1" x14ac:dyDescent="0.25">
      <c r="A239" s="17">
        <f t="shared" si="3"/>
        <v>238</v>
      </c>
      <c r="B239" s="87">
        <v>43195</v>
      </c>
      <c r="C239" s="12" t="s">
        <v>24</v>
      </c>
      <c r="D239" s="12" t="s">
        <v>25</v>
      </c>
      <c r="E239" s="12" t="s">
        <v>35</v>
      </c>
      <c r="F239" s="12" t="s">
        <v>28</v>
      </c>
      <c r="G239" s="13">
        <v>82</v>
      </c>
      <c r="H239" s="13">
        <v>1</v>
      </c>
      <c r="I239" s="13">
        <v>10.5</v>
      </c>
      <c r="J239" s="14">
        <v>6</v>
      </c>
      <c r="K239" s="17">
        <f>IFERROR(ROUND((fCaixa[[#This Row],[Venda]]/fCaixa[[#This Row],[Preço/Un.]]),0),0)</f>
        <v>82</v>
      </c>
      <c r="L239" s="15">
        <f>IFERROR((SUBSTITUTE(RIGHT(fCaixa[[#This Row],[Descrição]],3),"G","")*1 *fCaixa[[#This Row],[Qtd/Pães]]) / 1000,0)</f>
        <v>4.0999999999999996</v>
      </c>
      <c r="M239" s="13">
        <f>IFERROR((((SUBSTITUTE(RIGHT(fCaixa[[#This Row],[Descrição]],3),"G","")*1) * fCaixa[[#This Row],[QTD Perdida]])/1000) *fCaixa[[#This Row],[Custo/KG.]],0)</f>
        <v>3.15</v>
      </c>
      <c r="N239" s="15">
        <f>IF(fCaixa[[#This Row],[Lançamento]]="RECEITA",(fCaixa[[#This Row],[QTD Perdida]]* (SUBSTITUTE(RIGHT(fCaixa[[#This Row],[Descrição]],3),"G","")*1))/1000,0)</f>
        <v>0.3</v>
      </c>
      <c r="O239" s="15">
        <f>fCaixa[[#This Row],[Qtd/Kg]]+fCaixa[[#This Row],[Qtd/Kg Perdido]]</f>
        <v>4.3999999999999995</v>
      </c>
      <c r="P239" s="13">
        <f>IF(fCaixa[[#This Row],[Lançamento]]="RECEITA",(fCaixa[[#This Row],[Qtd/Kg]]*fCaixa[[#This Row],[Custo/KG.]]),0)</f>
        <v>43.05</v>
      </c>
      <c r="Q239" s="34">
        <f>fCaixa[[#This Row],[Custoprimario]]+fCaixa[[#This Row],[Total Perdido]]</f>
        <v>46.199999999999996</v>
      </c>
      <c r="R239" s="16">
        <f>IFERROR(fCaixa[[#This Row],[Custoprimario]]/fCaixa[[#This Row],[Venda]],0)</f>
        <v>0.52499999999999991</v>
      </c>
      <c r="S239" s="16">
        <f>IFERROR(fCaixa[[#This Row],[Custofinal]]/fCaixa[[#This Row],[Venda]],0)</f>
        <v>0.56341463414634141</v>
      </c>
      <c r="T239" s="13">
        <f>IF(fCaixa[[#This Row],[Lançamento]]="RECEITA",fCaixa[[#This Row],[Venda]]-fCaixa[[#This Row],[Custoprimario]],0)</f>
        <v>38.950000000000003</v>
      </c>
      <c r="U239" s="16">
        <f>IFERROR(fCaixa[[#This Row],[Lucroprimario]]/fCaixa[[#This Row],[Venda]],0)</f>
        <v>0.47500000000000003</v>
      </c>
      <c r="V23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35.800000000000004</v>
      </c>
      <c r="W239" s="16">
        <f>IFERROR(fCaixa[[#This Row],[Lucrofinal]]/fCaixa[[#This Row],[Venda]],0)</f>
        <v>0.43658536585365859</v>
      </c>
    </row>
    <row r="240" spans="1:23" ht="16.5" hidden="1" x14ac:dyDescent="0.25">
      <c r="A240" s="17">
        <f t="shared" si="3"/>
        <v>239</v>
      </c>
      <c r="B240" s="87">
        <v>43195</v>
      </c>
      <c r="C240" s="12" t="s">
        <v>24</v>
      </c>
      <c r="D240" s="12" t="s">
        <v>25</v>
      </c>
      <c r="E240" s="12" t="s">
        <v>35</v>
      </c>
      <c r="F240" s="12" t="s">
        <v>28</v>
      </c>
      <c r="G240" s="13">
        <v>19.5</v>
      </c>
      <c r="H240" s="13">
        <v>0.98</v>
      </c>
      <c r="I240" s="13">
        <v>10.5</v>
      </c>
      <c r="J240" s="14">
        <v>0</v>
      </c>
      <c r="K240" s="17">
        <f>IFERROR(ROUND((fCaixa[[#This Row],[Venda]]/fCaixa[[#This Row],[Preço/Un.]]),0),0)</f>
        <v>20</v>
      </c>
      <c r="L240" s="15">
        <f>IFERROR((SUBSTITUTE(RIGHT(fCaixa[[#This Row],[Descrição]],3),"G","")*1 *fCaixa[[#This Row],[Qtd/Pães]]) / 1000,0)</f>
        <v>1</v>
      </c>
      <c r="M240" s="13">
        <f>IFERROR((((SUBSTITUTE(RIGHT(fCaixa[[#This Row],[Descrição]],3),"G","")*1) * fCaixa[[#This Row],[QTD Perdida]])/1000) *fCaixa[[#This Row],[Custo/KG.]],0)</f>
        <v>0</v>
      </c>
      <c r="N240" s="15">
        <f>IF(fCaixa[[#This Row],[Lançamento]]="RECEITA",(fCaixa[[#This Row],[QTD Perdida]]* (SUBSTITUTE(RIGHT(fCaixa[[#This Row],[Descrição]],3),"G","")*1))/1000,0)</f>
        <v>0</v>
      </c>
      <c r="O240" s="15">
        <f>fCaixa[[#This Row],[Qtd/Kg]]+fCaixa[[#This Row],[Qtd/Kg Perdido]]</f>
        <v>1</v>
      </c>
      <c r="P240" s="13">
        <f>IF(fCaixa[[#This Row],[Lançamento]]="RECEITA",(fCaixa[[#This Row],[Qtd/Kg]]*fCaixa[[#This Row],[Custo/KG.]]),0)</f>
        <v>10.5</v>
      </c>
      <c r="Q240" s="34">
        <f>fCaixa[[#This Row],[Custoprimario]]+fCaixa[[#This Row],[Total Perdido]]</f>
        <v>10.5</v>
      </c>
      <c r="R240" s="16">
        <f>IFERROR(fCaixa[[#This Row],[Custoprimario]]/fCaixa[[#This Row],[Venda]],0)</f>
        <v>0.53846153846153844</v>
      </c>
      <c r="S240" s="16">
        <f>IFERROR(fCaixa[[#This Row],[Custofinal]]/fCaixa[[#This Row],[Venda]],0)</f>
        <v>0.53846153846153844</v>
      </c>
      <c r="T240" s="13">
        <f>IF(fCaixa[[#This Row],[Lançamento]]="RECEITA",fCaixa[[#This Row],[Venda]]-fCaixa[[#This Row],[Custoprimario]],0)</f>
        <v>9</v>
      </c>
      <c r="U240" s="16">
        <f>IFERROR(fCaixa[[#This Row],[Lucroprimario]]/fCaixa[[#This Row],[Venda]],0)</f>
        <v>0.46153846153846156</v>
      </c>
      <c r="V24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</v>
      </c>
      <c r="W240" s="16">
        <f>IFERROR(fCaixa[[#This Row],[Lucrofinal]]/fCaixa[[#This Row],[Venda]],0)</f>
        <v>0.46153846153846156</v>
      </c>
    </row>
    <row r="241" spans="1:23" ht="16.5" hidden="1" x14ac:dyDescent="0.25">
      <c r="A241" s="17">
        <f t="shared" si="3"/>
        <v>240</v>
      </c>
      <c r="B241" s="87">
        <v>43196</v>
      </c>
      <c r="C241" s="12" t="s">
        <v>24</v>
      </c>
      <c r="D241" s="12" t="s">
        <v>37</v>
      </c>
      <c r="E241" s="12" t="s">
        <v>35</v>
      </c>
      <c r="F241" s="12" t="s">
        <v>28</v>
      </c>
      <c r="G241" s="13">
        <v>15</v>
      </c>
      <c r="H241" s="13">
        <v>1</v>
      </c>
      <c r="I241" s="13">
        <v>10.5</v>
      </c>
      <c r="J241" s="14">
        <v>0</v>
      </c>
      <c r="K241" s="17">
        <f>IFERROR(ROUND((fCaixa[[#This Row],[Venda]]/fCaixa[[#This Row],[Preço/Un.]]),0),0)</f>
        <v>15</v>
      </c>
      <c r="L241" s="15">
        <f>IFERROR((SUBSTITUTE(RIGHT(fCaixa[[#This Row],[Descrição]],3),"G","")*1 *fCaixa[[#This Row],[Qtd/Pães]]) / 1000,0)</f>
        <v>0.75</v>
      </c>
      <c r="M241" s="13">
        <f>IFERROR((((SUBSTITUTE(RIGHT(fCaixa[[#This Row],[Descrição]],3),"G","")*1) * fCaixa[[#This Row],[QTD Perdida]])/1000) *fCaixa[[#This Row],[Custo/KG.]],0)</f>
        <v>0</v>
      </c>
      <c r="N241" s="15">
        <f>IF(fCaixa[[#This Row],[Lançamento]]="RECEITA",(fCaixa[[#This Row],[QTD Perdida]]* (SUBSTITUTE(RIGHT(fCaixa[[#This Row],[Descrição]],3),"G","")*1))/1000,0)</f>
        <v>0</v>
      </c>
      <c r="O241" s="15">
        <f>fCaixa[[#This Row],[Qtd/Kg]]+fCaixa[[#This Row],[Qtd/Kg Perdido]]</f>
        <v>0.75</v>
      </c>
      <c r="P241" s="13">
        <f>IF(fCaixa[[#This Row],[Lançamento]]="RECEITA",(fCaixa[[#This Row],[Qtd/Kg]]*fCaixa[[#This Row],[Custo/KG.]]),0)</f>
        <v>7.875</v>
      </c>
      <c r="Q241" s="34">
        <f>fCaixa[[#This Row],[Custoprimario]]+fCaixa[[#This Row],[Total Perdido]]</f>
        <v>7.875</v>
      </c>
      <c r="R241" s="16">
        <f>IFERROR(fCaixa[[#This Row],[Custoprimario]]/fCaixa[[#This Row],[Venda]],0)</f>
        <v>0.52500000000000002</v>
      </c>
      <c r="S241" s="16">
        <f>IFERROR(fCaixa[[#This Row],[Custofinal]]/fCaixa[[#This Row],[Venda]],0)</f>
        <v>0.52500000000000002</v>
      </c>
      <c r="T241" s="13">
        <f>IF(fCaixa[[#This Row],[Lançamento]]="RECEITA",fCaixa[[#This Row],[Venda]]-fCaixa[[#This Row],[Custoprimario]],0)</f>
        <v>7.125</v>
      </c>
      <c r="U241" s="16">
        <f>IFERROR(fCaixa[[#This Row],[Lucroprimario]]/fCaixa[[#This Row],[Venda]],0)</f>
        <v>0.47499999999999998</v>
      </c>
      <c r="V24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6.7815000000000003</v>
      </c>
      <c r="W241" s="16">
        <f>IFERROR(fCaixa[[#This Row],[Lucrofinal]]/fCaixa[[#This Row],[Venda]],0)</f>
        <v>0.4521</v>
      </c>
    </row>
    <row r="242" spans="1:23" ht="16.5" hidden="1" x14ac:dyDescent="0.25">
      <c r="A242" s="17">
        <f t="shared" si="3"/>
        <v>241</v>
      </c>
      <c r="B242" s="87">
        <v>43196</v>
      </c>
      <c r="C242" s="12" t="s">
        <v>24</v>
      </c>
      <c r="D242" s="12" t="s">
        <v>25</v>
      </c>
      <c r="E242" s="12" t="s">
        <v>35</v>
      </c>
      <c r="F242" s="12" t="s">
        <v>28</v>
      </c>
      <c r="G242" s="13">
        <v>126</v>
      </c>
      <c r="H242" s="13">
        <v>1</v>
      </c>
      <c r="I242" s="13">
        <v>10.5</v>
      </c>
      <c r="J242" s="14">
        <v>6</v>
      </c>
      <c r="K242" s="17">
        <f>IFERROR(ROUND((fCaixa[[#This Row],[Venda]]/fCaixa[[#This Row],[Preço/Un.]]),0),0)</f>
        <v>126</v>
      </c>
      <c r="L242" s="15">
        <f>IFERROR((SUBSTITUTE(RIGHT(fCaixa[[#This Row],[Descrição]],3),"G","")*1 *fCaixa[[#This Row],[Qtd/Pães]]) / 1000,0)</f>
        <v>6.3</v>
      </c>
      <c r="M242" s="13">
        <f>IFERROR((((SUBSTITUTE(RIGHT(fCaixa[[#This Row],[Descrição]],3),"G","")*1) * fCaixa[[#This Row],[QTD Perdida]])/1000) *fCaixa[[#This Row],[Custo/KG.]],0)</f>
        <v>3.15</v>
      </c>
      <c r="N242" s="15">
        <f>IF(fCaixa[[#This Row],[Lançamento]]="RECEITA",(fCaixa[[#This Row],[QTD Perdida]]* (SUBSTITUTE(RIGHT(fCaixa[[#This Row],[Descrição]],3),"G","")*1))/1000,0)</f>
        <v>0.3</v>
      </c>
      <c r="O242" s="15">
        <f>fCaixa[[#This Row],[Qtd/Kg]]+fCaixa[[#This Row],[Qtd/Kg Perdido]]</f>
        <v>6.6</v>
      </c>
      <c r="P242" s="13">
        <f>IF(fCaixa[[#This Row],[Lançamento]]="RECEITA",(fCaixa[[#This Row],[Qtd/Kg]]*fCaixa[[#This Row],[Custo/KG.]]),0)</f>
        <v>66.149999999999991</v>
      </c>
      <c r="Q242" s="34">
        <f>fCaixa[[#This Row],[Custoprimario]]+fCaixa[[#This Row],[Total Perdido]]</f>
        <v>69.3</v>
      </c>
      <c r="R242" s="16">
        <f>IFERROR(fCaixa[[#This Row],[Custoprimario]]/fCaixa[[#This Row],[Venda]],0)</f>
        <v>0.52499999999999991</v>
      </c>
      <c r="S242" s="16">
        <f>IFERROR(fCaixa[[#This Row],[Custofinal]]/fCaixa[[#This Row],[Venda]],0)</f>
        <v>0.54999999999999993</v>
      </c>
      <c r="T242" s="13">
        <f>IF(fCaixa[[#This Row],[Lançamento]]="RECEITA",fCaixa[[#This Row],[Venda]]-fCaixa[[#This Row],[Custoprimario]],0)</f>
        <v>59.850000000000009</v>
      </c>
      <c r="U242" s="16">
        <f>IFERROR(fCaixa[[#This Row],[Lucroprimario]]/fCaixa[[#This Row],[Venda]],0)</f>
        <v>0.47500000000000009</v>
      </c>
      <c r="V24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56.7</v>
      </c>
      <c r="W242" s="16">
        <f>IFERROR(fCaixa[[#This Row],[Lucrofinal]]/fCaixa[[#This Row],[Venda]],0)</f>
        <v>0.45</v>
      </c>
    </row>
    <row r="243" spans="1:23" ht="16.5" hidden="1" x14ac:dyDescent="0.25">
      <c r="A243" s="17">
        <f t="shared" si="3"/>
        <v>242</v>
      </c>
      <c r="B243" s="87">
        <v>43199</v>
      </c>
      <c r="C243" s="12" t="s">
        <v>24</v>
      </c>
      <c r="D243" s="12" t="s">
        <v>37</v>
      </c>
      <c r="E243" s="12" t="s">
        <v>35</v>
      </c>
      <c r="F243" s="12" t="s">
        <v>28</v>
      </c>
      <c r="G243" s="13">
        <v>4</v>
      </c>
      <c r="H243" s="13">
        <v>1</v>
      </c>
      <c r="I243" s="13">
        <v>10.5</v>
      </c>
      <c r="J243" s="14">
        <v>0</v>
      </c>
      <c r="K243" s="17">
        <f>IFERROR(ROUND((fCaixa[[#This Row],[Venda]]/fCaixa[[#This Row],[Preço/Un.]]),0),0)</f>
        <v>4</v>
      </c>
      <c r="L243" s="15">
        <f>IFERROR((SUBSTITUTE(RIGHT(fCaixa[[#This Row],[Descrição]],3),"G","")*1 *fCaixa[[#This Row],[Qtd/Pães]]) / 1000,0)</f>
        <v>0.2</v>
      </c>
      <c r="M243" s="13">
        <f>IFERROR((((SUBSTITUTE(RIGHT(fCaixa[[#This Row],[Descrição]],3),"G","")*1) * fCaixa[[#This Row],[QTD Perdida]])/1000) *fCaixa[[#This Row],[Custo/KG.]],0)</f>
        <v>0</v>
      </c>
      <c r="N243" s="15">
        <f>IF(fCaixa[[#This Row],[Lançamento]]="RECEITA",(fCaixa[[#This Row],[QTD Perdida]]* (SUBSTITUTE(RIGHT(fCaixa[[#This Row],[Descrição]],3),"G","")*1))/1000,0)</f>
        <v>0</v>
      </c>
      <c r="O243" s="15">
        <f>fCaixa[[#This Row],[Qtd/Kg]]+fCaixa[[#This Row],[Qtd/Kg Perdido]]</f>
        <v>0.2</v>
      </c>
      <c r="P243" s="13">
        <f>IF(fCaixa[[#This Row],[Lançamento]]="RECEITA",(fCaixa[[#This Row],[Qtd/Kg]]*fCaixa[[#This Row],[Custo/KG.]]),0)</f>
        <v>2.1</v>
      </c>
      <c r="Q243" s="34">
        <f>fCaixa[[#This Row],[Custoprimario]]+fCaixa[[#This Row],[Total Perdido]]</f>
        <v>2.1</v>
      </c>
      <c r="R243" s="16">
        <f>IFERROR(fCaixa[[#This Row],[Custoprimario]]/fCaixa[[#This Row],[Venda]],0)</f>
        <v>0.52500000000000002</v>
      </c>
      <c r="S243" s="16">
        <f>IFERROR(fCaixa[[#This Row],[Custofinal]]/fCaixa[[#This Row],[Venda]],0)</f>
        <v>0.52500000000000002</v>
      </c>
      <c r="T243" s="13">
        <f>IF(fCaixa[[#This Row],[Lançamento]]="RECEITA",fCaixa[[#This Row],[Venda]]-fCaixa[[#This Row],[Custoprimario]],0)</f>
        <v>1.9</v>
      </c>
      <c r="U243" s="16">
        <f>IFERROR(fCaixa[[#This Row],[Lucroprimario]]/fCaixa[[#This Row],[Venda]],0)</f>
        <v>0.47499999999999998</v>
      </c>
      <c r="V24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1.8084</v>
      </c>
      <c r="W243" s="16">
        <f>IFERROR(fCaixa[[#This Row],[Lucrofinal]]/fCaixa[[#This Row],[Venda]],0)</f>
        <v>0.4521</v>
      </c>
    </row>
    <row r="244" spans="1:23" ht="16.5" hidden="1" x14ac:dyDescent="0.25">
      <c r="A244" s="17">
        <f t="shared" si="3"/>
        <v>243</v>
      </c>
      <c r="B244" s="87">
        <v>43199</v>
      </c>
      <c r="C244" s="12" t="s">
        <v>24</v>
      </c>
      <c r="D244" s="12" t="s">
        <v>25</v>
      </c>
      <c r="E244" s="12" t="s">
        <v>35</v>
      </c>
      <c r="F244" s="12" t="s">
        <v>28</v>
      </c>
      <c r="G244" s="13">
        <v>231</v>
      </c>
      <c r="H244" s="13">
        <v>1</v>
      </c>
      <c r="I244" s="13">
        <v>10.5</v>
      </c>
      <c r="J244" s="14">
        <v>15</v>
      </c>
      <c r="K244" s="17">
        <f>IFERROR(ROUND((fCaixa[[#This Row],[Venda]]/fCaixa[[#This Row],[Preço/Un.]]),0),0)</f>
        <v>231</v>
      </c>
      <c r="L244" s="15">
        <f>IFERROR((SUBSTITUTE(RIGHT(fCaixa[[#This Row],[Descrição]],3),"G","")*1 *fCaixa[[#This Row],[Qtd/Pães]]) / 1000,0)</f>
        <v>11.55</v>
      </c>
      <c r="M244" s="13">
        <f>IFERROR((((SUBSTITUTE(RIGHT(fCaixa[[#This Row],[Descrição]],3),"G","")*1) * fCaixa[[#This Row],[QTD Perdida]])/1000) *fCaixa[[#This Row],[Custo/KG.]],0)</f>
        <v>7.875</v>
      </c>
      <c r="N244" s="15">
        <f>IF(fCaixa[[#This Row],[Lançamento]]="RECEITA",(fCaixa[[#This Row],[QTD Perdida]]* (SUBSTITUTE(RIGHT(fCaixa[[#This Row],[Descrição]],3),"G","")*1))/1000,0)</f>
        <v>0.75</v>
      </c>
      <c r="O244" s="15">
        <f>fCaixa[[#This Row],[Qtd/Kg]]+fCaixa[[#This Row],[Qtd/Kg Perdido]]</f>
        <v>12.3</v>
      </c>
      <c r="P244" s="13">
        <f>IF(fCaixa[[#This Row],[Lançamento]]="RECEITA",(fCaixa[[#This Row],[Qtd/Kg]]*fCaixa[[#This Row],[Custo/KG.]]),0)</f>
        <v>121.27500000000001</v>
      </c>
      <c r="Q244" s="34">
        <f>fCaixa[[#This Row],[Custoprimario]]+fCaixa[[#This Row],[Total Perdido]]</f>
        <v>129.15</v>
      </c>
      <c r="R244" s="16">
        <f>IFERROR(fCaixa[[#This Row],[Custoprimario]]/fCaixa[[#This Row],[Venda]],0)</f>
        <v>0.52500000000000002</v>
      </c>
      <c r="S244" s="16">
        <f>IFERROR(fCaixa[[#This Row],[Custofinal]]/fCaixa[[#This Row],[Venda]],0)</f>
        <v>0.55909090909090908</v>
      </c>
      <c r="T244" s="13">
        <f>IF(fCaixa[[#This Row],[Lançamento]]="RECEITA",fCaixa[[#This Row],[Venda]]-fCaixa[[#This Row],[Custoprimario]],0)</f>
        <v>109.72499999999999</v>
      </c>
      <c r="U244" s="16">
        <f>IFERROR(fCaixa[[#This Row],[Lucroprimario]]/fCaixa[[#This Row],[Venda]],0)</f>
        <v>0.47499999999999998</v>
      </c>
      <c r="V24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101.85</v>
      </c>
      <c r="W244" s="16">
        <f>IFERROR(fCaixa[[#This Row],[Lucrofinal]]/fCaixa[[#This Row],[Venda]],0)</f>
        <v>0.44090909090909086</v>
      </c>
    </row>
    <row r="245" spans="1:23" ht="16.5" hidden="1" x14ac:dyDescent="0.25">
      <c r="A245" s="17">
        <f t="shared" si="3"/>
        <v>244</v>
      </c>
      <c r="B245" s="87">
        <v>43200</v>
      </c>
      <c r="C245" s="12" t="s">
        <v>24</v>
      </c>
      <c r="D245" s="12" t="s">
        <v>25</v>
      </c>
      <c r="E245" s="12" t="s">
        <v>35</v>
      </c>
      <c r="F245" s="12" t="s">
        <v>28</v>
      </c>
      <c r="G245" s="13">
        <v>162</v>
      </c>
      <c r="H245" s="13">
        <v>1</v>
      </c>
      <c r="I245" s="13">
        <v>10.5</v>
      </c>
      <c r="J245" s="14">
        <v>8</v>
      </c>
      <c r="K245" s="17">
        <f>IFERROR(ROUND((fCaixa[[#This Row],[Venda]]/fCaixa[[#This Row],[Preço/Un.]]),0),0)</f>
        <v>162</v>
      </c>
      <c r="L245" s="15">
        <f>IFERROR((SUBSTITUTE(RIGHT(fCaixa[[#This Row],[Descrição]],3),"G","")*1 *fCaixa[[#This Row],[Qtd/Pães]]) / 1000,0)</f>
        <v>8.1</v>
      </c>
      <c r="M245" s="13">
        <f>IFERROR((((SUBSTITUTE(RIGHT(fCaixa[[#This Row],[Descrição]],3),"G","")*1) * fCaixa[[#This Row],[QTD Perdida]])/1000) *fCaixa[[#This Row],[Custo/KG.]],0)</f>
        <v>4.2</v>
      </c>
      <c r="N245" s="15">
        <f>IF(fCaixa[[#This Row],[Lançamento]]="RECEITA",(fCaixa[[#This Row],[QTD Perdida]]* (SUBSTITUTE(RIGHT(fCaixa[[#This Row],[Descrição]],3),"G","")*1))/1000,0)</f>
        <v>0.4</v>
      </c>
      <c r="O245" s="15">
        <f>fCaixa[[#This Row],[Qtd/Kg]]+fCaixa[[#This Row],[Qtd/Kg Perdido]]</f>
        <v>8.5</v>
      </c>
      <c r="P245" s="13">
        <f>IF(fCaixa[[#This Row],[Lançamento]]="RECEITA",(fCaixa[[#This Row],[Qtd/Kg]]*fCaixa[[#This Row],[Custo/KG.]]),0)</f>
        <v>85.05</v>
      </c>
      <c r="Q245" s="34">
        <f>fCaixa[[#This Row],[Custoprimario]]+fCaixa[[#This Row],[Total Perdido]]</f>
        <v>89.25</v>
      </c>
      <c r="R245" s="16">
        <f>IFERROR(fCaixa[[#This Row],[Custoprimario]]/fCaixa[[#This Row],[Venda]],0)</f>
        <v>0.52500000000000002</v>
      </c>
      <c r="S245" s="16">
        <f>IFERROR(fCaixa[[#This Row],[Custofinal]]/fCaixa[[#This Row],[Venda]],0)</f>
        <v>0.55092592592592593</v>
      </c>
      <c r="T245" s="13">
        <f>IF(fCaixa[[#This Row],[Lançamento]]="RECEITA",fCaixa[[#This Row],[Venda]]-fCaixa[[#This Row],[Custoprimario]],0)</f>
        <v>76.95</v>
      </c>
      <c r="U245" s="16">
        <f>IFERROR(fCaixa[[#This Row],[Lucroprimario]]/fCaixa[[#This Row],[Venda]],0)</f>
        <v>0.47500000000000003</v>
      </c>
      <c r="V24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72.75</v>
      </c>
      <c r="W245" s="16">
        <f>IFERROR(fCaixa[[#This Row],[Lucrofinal]]/fCaixa[[#This Row],[Venda]],0)</f>
        <v>0.44907407407407407</v>
      </c>
    </row>
    <row r="246" spans="1:23" ht="16.5" hidden="1" x14ac:dyDescent="0.25">
      <c r="A246" s="17">
        <f t="shared" si="3"/>
        <v>245</v>
      </c>
      <c r="B246" s="87">
        <v>43201</v>
      </c>
      <c r="C246" s="12" t="s">
        <v>24</v>
      </c>
      <c r="D246" s="12" t="s">
        <v>25</v>
      </c>
      <c r="E246" s="12" t="s">
        <v>35</v>
      </c>
      <c r="F246" s="12" t="s">
        <v>28</v>
      </c>
      <c r="G246" s="13">
        <v>215</v>
      </c>
      <c r="H246" s="13">
        <v>1</v>
      </c>
      <c r="I246" s="13">
        <v>10.5</v>
      </c>
      <c r="J246" s="14">
        <v>3</v>
      </c>
      <c r="K246" s="17">
        <f>IFERROR(ROUND((fCaixa[[#This Row],[Venda]]/fCaixa[[#This Row],[Preço/Un.]]),0),0)</f>
        <v>215</v>
      </c>
      <c r="L246" s="15">
        <f>IFERROR((SUBSTITUTE(RIGHT(fCaixa[[#This Row],[Descrição]],3),"G","")*1 *fCaixa[[#This Row],[Qtd/Pães]]) / 1000,0)</f>
        <v>10.75</v>
      </c>
      <c r="M246" s="13">
        <f>IFERROR((((SUBSTITUTE(RIGHT(fCaixa[[#This Row],[Descrição]],3),"G","")*1) * fCaixa[[#This Row],[QTD Perdida]])/1000) *fCaixa[[#This Row],[Custo/KG.]],0)</f>
        <v>1.575</v>
      </c>
      <c r="N246" s="15">
        <f>IF(fCaixa[[#This Row],[Lançamento]]="RECEITA",(fCaixa[[#This Row],[QTD Perdida]]* (SUBSTITUTE(RIGHT(fCaixa[[#This Row],[Descrição]],3),"G","")*1))/1000,0)</f>
        <v>0.15</v>
      </c>
      <c r="O246" s="15">
        <f>fCaixa[[#This Row],[Qtd/Kg]]+fCaixa[[#This Row],[Qtd/Kg Perdido]]</f>
        <v>10.9</v>
      </c>
      <c r="P246" s="13">
        <f>IF(fCaixa[[#This Row],[Lançamento]]="RECEITA",(fCaixa[[#This Row],[Qtd/Kg]]*fCaixa[[#This Row],[Custo/KG.]]),0)</f>
        <v>112.875</v>
      </c>
      <c r="Q246" s="34">
        <f>fCaixa[[#This Row],[Custoprimario]]+fCaixa[[#This Row],[Total Perdido]]</f>
        <v>114.45</v>
      </c>
      <c r="R246" s="16">
        <f>IFERROR(fCaixa[[#This Row],[Custoprimario]]/fCaixa[[#This Row],[Venda]],0)</f>
        <v>0.52500000000000002</v>
      </c>
      <c r="S246" s="16">
        <f>IFERROR(fCaixa[[#This Row],[Custofinal]]/fCaixa[[#This Row],[Venda]],0)</f>
        <v>0.5323255813953488</v>
      </c>
      <c r="T246" s="13">
        <f>IF(fCaixa[[#This Row],[Lançamento]]="RECEITA",fCaixa[[#This Row],[Venda]]-fCaixa[[#This Row],[Custoprimario]],0)</f>
        <v>102.125</v>
      </c>
      <c r="U246" s="16">
        <f>IFERROR(fCaixa[[#This Row],[Lucroprimario]]/fCaixa[[#This Row],[Venda]],0)</f>
        <v>0.47499999999999998</v>
      </c>
      <c r="V24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100.55</v>
      </c>
      <c r="W246" s="16">
        <f>IFERROR(fCaixa[[#This Row],[Lucrofinal]]/fCaixa[[#This Row],[Venda]],0)</f>
        <v>0.46767441860465114</v>
      </c>
    </row>
    <row r="247" spans="1:23" ht="16.5" hidden="1" x14ac:dyDescent="0.25">
      <c r="A247" s="17">
        <f t="shared" si="3"/>
        <v>246</v>
      </c>
      <c r="B247" s="87">
        <v>43202</v>
      </c>
      <c r="C247" s="12" t="s">
        <v>24</v>
      </c>
      <c r="D247" s="12" t="s">
        <v>25</v>
      </c>
      <c r="E247" s="12" t="s">
        <v>35</v>
      </c>
      <c r="F247" s="12" t="s">
        <v>28</v>
      </c>
      <c r="G247" s="13">
        <v>116</v>
      </c>
      <c r="H247" s="13">
        <v>1</v>
      </c>
      <c r="I247" s="13">
        <v>10.5</v>
      </c>
      <c r="J247" s="14">
        <v>7</v>
      </c>
      <c r="K247" s="17">
        <f>IFERROR(ROUND((fCaixa[[#This Row],[Venda]]/fCaixa[[#This Row],[Preço/Un.]]),0),0)</f>
        <v>116</v>
      </c>
      <c r="L247" s="15">
        <f>IFERROR((SUBSTITUTE(RIGHT(fCaixa[[#This Row],[Descrição]],3),"G","")*1 *fCaixa[[#This Row],[Qtd/Pães]]) / 1000,0)</f>
        <v>5.8</v>
      </c>
      <c r="M247" s="13">
        <f>IFERROR((((SUBSTITUTE(RIGHT(fCaixa[[#This Row],[Descrição]],3),"G","")*1) * fCaixa[[#This Row],[QTD Perdida]])/1000) *fCaixa[[#This Row],[Custo/KG.]],0)</f>
        <v>3.6749999999999998</v>
      </c>
      <c r="N247" s="15">
        <f>IF(fCaixa[[#This Row],[Lançamento]]="RECEITA",(fCaixa[[#This Row],[QTD Perdida]]* (SUBSTITUTE(RIGHT(fCaixa[[#This Row],[Descrição]],3),"G","")*1))/1000,0)</f>
        <v>0.35</v>
      </c>
      <c r="O247" s="15">
        <f>fCaixa[[#This Row],[Qtd/Kg]]+fCaixa[[#This Row],[Qtd/Kg Perdido]]</f>
        <v>6.1499999999999995</v>
      </c>
      <c r="P247" s="13">
        <f>IF(fCaixa[[#This Row],[Lançamento]]="RECEITA",(fCaixa[[#This Row],[Qtd/Kg]]*fCaixa[[#This Row],[Custo/KG.]]),0)</f>
        <v>60.9</v>
      </c>
      <c r="Q247" s="34">
        <f>fCaixa[[#This Row],[Custoprimario]]+fCaixa[[#This Row],[Total Perdido]]</f>
        <v>64.575000000000003</v>
      </c>
      <c r="R247" s="16">
        <f>IFERROR(fCaixa[[#This Row],[Custoprimario]]/fCaixa[[#This Row],[Venda]],0)</f>
        <v>0.52500000000000002</v>
      </c>
      <c r="S247" s="16">
        <f>IFERROR(fCaixa[[#This Row],[Custofinal]]/fCaixa[[#This Row],[Venda]],0)</f>
        <v>0.55668103448275863</v>
      </c>
      <c r="T247" s="13">
        <f>IF(fCaixa[[#This Row],[Lançamento]]="RECEITA",fCaixa[[#This Row],[Venda]]-fCaixa[[#This Row],[Custoprimario]],0)</f>
        <v>55.1</v>
      </c>
      <c r="U247" s="16">
        <f>IFERROR(fCaixa[[#This Row],[Lucroprimario]]/fCaixa[[#This Row],[Venda]],0)</f>
        <v>0.47500000000000003</v>
      </c>
      <c r="V24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51.424999999999997</v>
      </c>
      <c r="W247" s="16">
        <f>IFERROR(fCaixa[[#This Row],[Lucrofinal]]/fCaixa[[#This Row],[Venda]],0)</f>
        <v>0.44331896551724137</v>
      </c>
    </row>
    <row r="248" spans="1:23" ht="16.5" hidden="1" x14ac:dyDescent="0.25">
      <c r="A248" s="17">
        <f t="shared" si="3"/>
        <v>247</v>
      </c>
      <c r="B248" s="87">
        <v>43203</v>
      </c>
      <c r="C248" s="12" t="s">
        <v>24</v>
      </c>
      <c r="D248" s="12" t="s">
        <v>25</v>
      </c>
      <c r="E248" s="12" t="s">
        <v>35</v>
      </c>
      <c r="F248" s="12" t="s">
        <v>28</v>
      </c>
      <c r="G248" s="13">
        <v>162</v>
      </c>
      <c r="H248" s="13">
        <v>1</v>
      </c>
      <c r="I248" s="13">
        <v>10.5</v>
      </c>
      <c r="J248" s="14">
        <v>3</v>
      </c>
      <c r="K248" s="17">
        <f>IFERROR(ROUND((fCaixa[[#This Row],[Venda]]/fCaixa[[#This Row],[Preço/Un.]]),0),0)</f>
        <v>162</v>
      </c>
      <c r="L248" s="15">
        <f>IFERROR((SUBSTITUTE(RIGHT(fCaixa[[#This Row],[Descrição]],3),"G","")*1 *fCaixa[[#This Row],[Qtd/Pães]]) / 1000,0)</f>
        <v>8.1</v>
      </c>
      <c r="M248" s="13">
        <f>IFERROR((((SUBSTITUTE(RIGHT(fCaixa[[#This Row],[Descrição]],3),"G","")*1) * fCaixa[[#This Row],[QTD Perdida]])/1000) *fCaixa[[#This Row],[Custo/KG.]],0)</f>
        <v>1.575</v>
      </c>
      <c r="N248" s="15">
        <f>IF(fCaixa[[#This Row],[Lançamento]]="RECEITA",(fCaixa[[#This Row],[QTD Perdida]]* (SUBSTITUTE(RIGHT(fCaixa[[#This Row],[Descrição]],3),"G","")*1))/1000,0)</f>
        <v>0.15</v>
      </c>
      <c r="O248" s="15">
        <f>fCaixa[[#This Row],[Qtd/Kg]]+fCaixa[[#This Row],[Qtd/Kg Perdido]]</f>
        <v>8.25</v>
      </c>
      <c r="P248" s="13">
        <f>IF(fCaixa[[#This Row],[Lançamento]]="RECEITA",(fCaixa[[#This Row],[Qtd/Kg]]*fCaixa[[#This Row],[Custo/KG.]]),0)</f>
        <v>85.05</v>
      </c>
      <c r="Q248" s="34">
        <f>fCaixa[[#This Row],[Custoprimario]]+fCaixa[[#This Row],[Total Perdido]]</f>
        <v>86.625</v>
      </c>
      <c r="R248" s="16">
        <f>IFERROR(fCaixa[[#This Row],[Custoprimario]]/fCaixa[[#This Row],[Venda]],0)</f>
        <v>0.52500000000000002</v>
      </c>
      <c r="S248" s="16">
        <f>IFERROR(fCaixa[[#This Row],[Custofinal]]/fCaixa[[#This Row],[Venda]],0)</f>
        <v>0.53472222222222221</v>
      </c>
      <c r="T248" s="13">
        <f>IF(fCaixa[[#This Row],[Lançamento]]="RECEITA",fCaixa[[#This Row],[Venda]]-fCaixa[[#This Row],[Custoprimario]],0)</f>
        <v>76.95</v>
      </c>
      <c r="U248" s="16">
        <f>IFERROR(fCaixa[[#This Row],[Lucroprimario]]/fCaixa[[#This Row],[Venda]],0)</f>
        <v>0.47500000000000003</v>
      </c>
      <c r="V24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75.375</v>
      </c>
      <c r="W248" s="16">
        <f>IFERROR(fCaixa[[#This Row],[Lucrofinal]]/fCaixa[[#This Row],[Venda]],0)</f>
        <v>0.46527777777777779</v>
      </c>
    </row>
    <row r="249" spans="1:23" ht="16.5" hidden="1" x14ac:dyDescent="0.25">
      <c r="A249" s="17">
        <f t="shared" si="3"/>
        <v>248</v>
      </c>
      <c r="B249" s="87">
        <v>43205</v>
      </c>
      <c r="C249" s="12" t="s">
        <v>29</v>
      </c>
      <c r="D249" s="12" t="s">
        <v>25</v>
      </c>
      <c r="E249" s="12" t="s">
        <v>32</v>
      </c>
      <c r="F249" s="12" t="s">
        <v>28</v>
      </c>
      <c r="G249" s="13">
        <v>275</v>
      </c>
      <c r="H249" s="13">
        <v>0</v>
      </c>
      <c r="I249" s="13">
        <v>0</v>
      </c>
      <c r="J249" s="14">
        <v>0</v>
      </c>
      <c r="K249" s="17">
        <f>IFERROR(ROUND((fCaixa[[#This Row],[Venda]]/fCaixa[[#This Row],[Preço/Un.]]),0),0)</f>
        <v>0</v>
      </c>
      <c r="L249" s="15">
        <f>IFERROR((SUBSTITUTE(RIGHT(fCaixa[[#This Row],[Descrição]],3),"G","")*1 *fCaixa[[#This Row],[Qtd/Pães]]) / 1000,0)</f>
        <v>0</v>
      </c>
      <c r="M249" s="13">
        <f>IFERROR((((SUBSTITUTE(RIGHT(fCaixa[[#This Row],[Descrição]],3),"G","")*1) * fCaixa[[#This Row],[QTD Perdida]])/1000) *fCaixa[[#This Row],[Custo/KG.]],0)</f>
        <v>0</v>
      </c>
      <c r="N249" s="15">
        <f>IF(fCaixa[[#This Row],[Lançamento]]="RECEITA",(fCaixa[[#This Row],[QTD Perdida]]* (SUBSTITUTE(RIGHT(fCaixa[[#This Row],[Descrição]],3),"G","")*1))/1000,0)</f>
        <v>0</v>
      </c>
      <c r="O249" s="15">
        <f>fCaixa[[#This Row],[Qtd/Kg]]+fCaixa[[#This Row],[Qtd/Kg Perdido]]</f>
        <v>0</v>
      </c>
      <c r="P249" s="13">
        <f>IF(fCaixa[[#This Row],[Lançamento]]="RECEITA",(fCaixa[[#This Row],[Qtd/Kg]]*fCaixa[[#This Row],[Custo/KG.]]),0)</f>
        <v>0</v>
      </c>
      <c r="Q249" s="34">
        <f>fCaixa[[#This Row],[Custoprimario]]+fCaixa[[#This Row],[Total Perdido]]</f>
        <v>0</v>
      </c>
      <c r="R249" s="16">
        <f>IFERROR(fCaixa[[#This Row],[Custoprimario]]/fCaixa[[#This Row],[Venda]],0)</f>
        <v>0</v>
      </c>
      <c r="S249" s="16">
        <f>IFERROR(fCaixa[[#This Row],[Custofinal]]/fCaixa[[#This Row],[Venda]],0)</f>
        <v>0</v>
      </c>
      <c r="T249" s="13">
        <f>IF(fCaixa[[#This Row],[Lançamento]]="RECEITA",fCaixa[[#This Row],[Venda]]-fCaixa[[#This Row],[Custoprimario]],0)</f>
        <v>0</v>
      </c>
      <c r="U249" s="16">
        <f>IFERROR(fCaixa[[#This Row],[Lucroprimario]]/fCaixa[[#This Row],[Venda]],0)</f>
        <v>0</v>
      </c>
      <c r="V24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49" s="16">
        <f>IFERROR(fCaixa[[#This Row],[Lucrofinal]]/fCaixa[[#This Row],[Venda]],0)</f>
        <v>0</v>
      </c>
    </row>
    <row r="250" spans="1:23" ht="16.5" hidden="1" x14ac:dyDescent="0.25">
      <c r="A250" s="17">
        <f t="shared" si="3"/>
        <v>249</v>
      </c>
      <c r="B250" s="87">
        <v>43206</v>
      </c>
      <c r="C250" s="12" t="s">
        <v>24</v>
      </c>
      <c r="D250" s="12" t="s">
        <v>25</v>
      </c>
      <c r="E250" s="12" t="s">
        <v>35</v>
      </c>
      <c r="F250" s="12" t="s">
        <v>28</v>
      </c>
      <c r="G250" s="13">
        <v>157</v>
      </c>
      <c r="H250" s="13">
        <v>1</v>
      </c>
      <c r="I250" s="13">
        <v>10.5</v>
      </c>
      <c r="J250" s="14">
        <v>10</v>
      </c>
      <c r="K250" s="17">
        <f>IFERROR(ROUND((fCaixa[[#This Row],[Venda]]/fCaixa[[#This Row],[Preço/Un.]]),0),0)</f>
        <v>157</v>
      </c>
      <c r="L250" s="15">
        <f>IFERROR((SUBSTITUTE(RIGHT(fCaixa[[#This Row],[Descrição]],3),"G","")*1 *fCaixa[[#This Row],[Qtd/Pães]]) / 1000,0)</f>
        <v>7.85</v>
      </c>
      <c r="M250" s="13">
        <f>IFERROR((((SUBSTITUTE(RIGHT(fCaixa[[#This Row],[Descrição]],3),"G","")*1) * fCaixa[[#This Row],[QTD Perdida]])/1000) *fCaixa[[#This Row],[Custo/KG.]],0)</f>
        <v>5.25</v>
      </c>
      <c r="N250" s="15">
        <f>IF(fCaixa[[#This Row],[Lançamento]]="RECEITA",(fCaixa[[#This Row],[QTD Perdida]]* (SUBSTITUTE(RIGHT(fCaixa[[#This Row],[Descrição]],3),"G","")*1))/1000,0)</f>
        <v>0.5</v>
      </c>
      <c r="O250" s="15">
        <f>fCaixa[[#This Row],[Qtd/Kg]]+fCaixa[[#This Row],[Qtd/Kg Perdido]]</f>
        <v>8.35</v>
      </c>
      <c r="P250" s="13">
        <f>IF(fCaixa[[#This Row],[Lançamento]]="RECEITA",(fCaixa[[#This Row],[Qtd/Kg]]*fCaixa[[#This Row],[Custo/KG.]]),0)</f>
        <v>82.424999999999997</v>
      </c>
      <c r="Q250" s="34">
        <f>fCaixa[[#This Row],[Custoprimario]]+fCaixa[[#This Row],[Total Perdido]]</f>
        <v>87.674999999999997</v>
      </c>
      <c r="R250" s="16">
        <f>IFERROR(fCaixa[[#This Row],[Custoprimario]]/fCaixa[[#This Row],[Venda]],0)</f>
        <v>0.52500000000000002</v>
      </c>
      <c r="S250" s="16">
        <f>IFERROR(fCaixa[[#This Row],[Custofinal]]/fCaixa[[#This Row],[Venda]],0)</f>
        <v>0.55843949044585983</v>
      </c>
      <c r="T250" s="13">
        <f>IF(fCaixa[[#This Row],[Lançamento]]="RECEITA",fCaixa[[#This Row],[Venda]]-fCaixa[[#This Row],[Custoprimario]],0)</f>
        <v>74.575000000000003</v>
      </c>
      <c r="U250" s="16">
        <f>IFERROR(fCaixa[[#This Row],[Lucroprimario]]/fCaixa[[#This Row],[Venda]],0)</f>
        <v>0.47500000000000003</v>
      </c>
      <c r="V25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69.325000000000003</v>
      </c>
      <c r="W250" s="16">
        <f>IFERROR(fCaixa[[#This Row],[Lucrofinal]]/fCaixa[[#This Row],[Venda]],0)</f>
        <v>0.44156050955414017</v>
      </c>
    </row>
    <row r="251" spans="1:23" ht="16.5" hidden="1" x14ac:dyDescent="0.25">
      <c r="A251" s="17">
        <f t="shared" si="3"/>
        <v>250</v>
      </c>
      <c r="B251" s="87">
        <v>43206</v>
      </c>
      <c r="C251" s="12" t="s">
        <v>24</v>
      </c>
      <c r="D251" s="12" t="s">
        <v>25</v>
      </c>
      <c r="E251" s="12" t="s">
        <v>35</v>
      </c>
      <c r="F251" s="12" t="s">
        <v>28</v>
      </c>
      <c r="G251" s="13">
        <v>19.5</v>
      </c>
      <c r="H251" s="13">
        <v>0.98</v>
      </c>
      <c r="I251" s="13">
        <v>10.5</v>
      </c>
      <c r="J251" s="14">
        <v>0</v>
      </c>
      <c r="K251" s="17">
        <f>IFERROR(ROUND((fCaixa[[#This Row],[Venda]]/fCaixa[[#This Row],[Preço/Un.]]),0),0)</f>
        <v>20</v>
      </c>
      <c r="L251" s="15">
        <f>IFERROR((SUBSTITUTE(RIGHT(fCaixa[[#This Row],[Descrição]],3),"G","")*1 *fCaixa[[#This Row],[Qtd/Pães]]) / 1000,0)</f>
        <v>1</v>
      </c>
      <c r="M251" s="13">
        <f>IFERROR((((SUBSTITUTE(RIGHT(fCaixa[[#This Row],[Descrição]],3),"G","")*1) * fCaixa[[#This Row],[QTD Perdida]])/1000) *fCaixa[[#This Row],[Custo/KG.]],0)</f>
        <v>0</v>
      </c>
      <c r="N251" s="15">
        <f>IF(fCaixa[[#This Row],[Lançamento]]="RECEITA",(fCaixa[[#This Row],[QTD Perdida]]* (SUBSTITUTE(RIGHT(fCaixa[[#This Row],[Descrição]],3),"G","")*1))/1000,0)</f>
        <v>0</v>
      </c>
      <c r="O251" s="15">
        <f>fCaixa[[#This Row],[Qtd/Kg]]+fCaixa[[#This Row],[Qtd/Kg Perdido]]</f>
        <v>1</v>
      </c>
      <c r="P251" s="13">
        <f>IF(fCaixa[[#This Row],[Lançamento]]="RECEITA",(fCaixa[[#This Row],[Qtd/Kg]]*fCaixa[[#This Row],[Custo/KG.]]),0)</f>
        <v>10.5</v>
      </c>
      <c r="Q251" s="34">
        <f>fCaixa[[#This Row],[Custoprimario]]+fCaixa[[#This Row],[Total Perdido]]</f>
        <v>10.5</v>
      </c>
      <c r="R251" s="16">
        <f>IFERROR(fCaixa[[#This Row],[Custoprimario]]/fCaixa[[#This Row],[Venda]],0)</f>
        <v>0.53846153846153844</v>
      </c>
      <c r="S251" s="16">
        <f>IFERROR(fCaixa[[#This Row],[Custofinal]]/fCaixa[[#This Row],[Venda]],0)</f>
        <v>0.53846153846153844</v>
      </c>
      <c r="T251" s="13">
        <f>IF(fCaixa[[#This Row],[Lançamento]]="RECEITA",fCaixa[[#This Row],[Venda]]-fCaixa[[#This Row],[Custoprimario]],0)</f>
        <v>9</v>
      </c>
      <c r="U251" s="16">
        <f>IFERROR(fCaixa[[#This Row],[Lucroprimario]]/fCaixa[[#This Row],[Venda]],0)</f>
        <v>0.46153846153846156</v>
      </c>
      <c r="V25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</v>
      </c>
      <c r="W251" s="16">
        <f>IFERROR(fCaixa[[#This Row],[Lucrofinal]]/fCaixa[[#This Row],[Venda]],0)</f>
        <v>0.46153846153846156</v>
      </c>
    </row>
    <row r="252" spans="1:23" ht="16.5" hidden="1" x14ac:dyDescent="0.25">
      <c r="A252" s="17">
        <f t="shared" si="3"/>
        <v>251</v>
      </c>
      <c r="B252" s="87">
        <v>43207</v>
      </c>
      <c r="C252" s="12" t="s">
        <v>24</v>
      </c>
      <c r="D252" s="12" t="s">
        <v>25</v>
      </c>
      <c r="E252" s="12" t="s">
        <v>35</v>
      </c>
      <c r="F252" s="12" t="s">
        <v>28</v>
      </c>
      <c r="G252" s="13">
        <v>202</v>
      </c>
      <c r="H252" s="13">
        <v>1</v>
      </c>
      <c r="I252" s="13">
        <v>11.5</v>
      </c>
      <c r="J252" s="14">
        <v>5</v>
      </c>
      <c r="K252" s="17">
        <f>IFERROR(ROUND((fCaixa[[#This Row],[Venda]]/fCaixa[[#This Row],[Preço/Un.]]),0),0)</f>
        <v>202</v>
      </c>
      <c r="L252" s="15">
        <f>IFERROR((SUBSTITUTE(RIGHT(fCaixa[[#This Row],[Descrição]],3),"G","")*1 *fCaixa[[#This Row],[Qtd/Pães]]) / 1000,0)</f>
        <v>10.1</v>
      </c>
      <c r="M252" s="13">
        <f>IFERROR((((SUBSTITUTE(RIGHT(fCaixa[[#This Row],[Descrição]],3),"G","")*1) * fCaixa[[#This Row],[QTD Perdida]])/1000) *fCaixa[[#This Row],[Custo/KG.]],0)</f>
        <v>2.875</v>
      </c>
      <c r="N252" s="15">
        <f>IF(fCaixa[[#This Row],[Lançamento]]="RECEITA",(fCaixa[[#This Row],[QTD Perdida]]* (SUBSTITUTE(RIGHT(fCaixa[[#This Row],[Descrição]],3),"G","")*1))/1000,0)</f>
        <v>0.25</v>
      </c>
      <c r="O252" s="15">
        <f>fCaixa[[#This Row],[Qtd/Kg]]+fCaixa[[#This Row],[Qtd/Kg Perdido]]</f>
        <v>10.35</v>
      </c>
      <c r="P252" s="13">
        <f>IF(fCaixa[[#This Row],[Lançamento]]="RECEITA",(fCaixa[[#This Row],[Qtd/Kg]]*fCaixa[[#This Row],[Custo/KG.]]),0)</f>
        <v>116.14999999999999</v>
      </c>
      <c r="Q252" s="34">
        <f>fCaixa[[#This Row],[Custoprimario]]+fCaixa[[#This Row],[Total Perdido]]</f>
        <v>119.02499999999999</v>
      </c>
      <c r="R252" s="16">
        <f>IFERROR(fCaixa[[#This Row],[Custoprimario]]/fCaixa[[#This Row],[Venda]],0)</f>
        <v>0.57499999999999996</v>
      </c>
      <c r="S252" s="16">
        <f>IFERROR(fCaixa[[#This Row],[Custofinal]]/fCaixa[[#This Row],[Venda]],0)</f>
        <v>0.58923267326732665</v>
      </c>
      <c r="T252" s="13">
        <f>IF(fCaixa[[#This Row],[Lançamento]]="RECEITA",fCaixa[[#This Row],[Venda]]-fCaixa[[#This Row],[Custoprimario]],0)</f>
        <v>85.850000000000009</v>
      </c>
      <c r="U252" s="16">
        <f>IFERROR(fCaixa[[#This Row],[Lucroprimario]]/fCaixa[[#This Row],[Venda]],0)</f>
        <v>0.42500000000000004</v>
      </c>
      <c r="V25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82.975000000000009</v>
      </c>
      <c r="W252" s="16">
        <f>IFERROR(fCaixa[[#This Row],[Lucrofinal]]/fCaixa[[#This Row],[Venda]],0)</f>
        <v>0.4107673267326733</v>
      </c>
    </row>
    <row r="253" spans="1:23" ht="16.5" hidden="1" x14ac:dyDescent="0.25">
      <c r="A253" s="17">
        <f t="shared" si="3"/>
        <v>252</v>
      </c>
      <c r="B253" s="87">
        <v>43208</v>
      </c>
      <c r="C253" s="12" t="s">
        <v>24</v>
      </c>
      <c r="D253" s="12" t="s">
        <v>25</v>
      </c>
      <c r="E253" s="12" t="s">
        <v>35</v>
      </c>
      <c r="F253" s="12" t="s">
        <v>28</v>
      </c>
      <c r="G253" s="13">
        <v>123</v>
      </c>
      <c r="H253" s="13">
        <v>1</v>
      </c>
      <c r="I253" s="13">
        <v>11.5</v>
      </c>
      <c r="J253" s="14">
        <v>3</v>
      </c>
      <c r="K253" s="17">
        <f>IFERROR(ROUND((fCaixa[[#This Row],[Venda]]/fCaixa[[#This Row],[Preço/Un.]]),0),0)</f>
        <v>123</v>
      </c>
      <c r="L253" s="15">
        <f>IFERROR((SUBSTITUTE(RIGHT(fCaixa[[#This Row],[Descrição]],3),"G","")*1 *fCaixa[[#This Row],[Qtd/Pães]]) / 1000,0)</f>
        <v>6.15</v>
      </c>
      <c r="M253" s="13">
        <f>IFERROR((((SUBSTITUTE(RIGHT(fCaixa[[#This Row],[Descrição]],3),"G","")*1) * fCaixa[[#This Row],[QTD Perdida]])/1000) *fCaixa[[#This Row],[Custo/KG.]],0)</f>
        <v>1.7249999999999999</v>
      </c>
      <c r="N253" s="15">
        <f>IF(fCaixa[[#This Row],[Lançamento]]="RECEITA",(fCaixa[[#This Row],[QTD Perdida]]* (SUBSTITUTE(RIGHT(fCaixa[[#This Row],[Descrição]],3),"G","")*1))/1000,0)</f>
        <v>0.15</v>
      </c>
      <c r="O253" s="15">
        <f>fCaixa[[#This Row],[Qtd/Kg]]+fCaixa[[#This Row],[Qtd/Kg Perdido]]</f>
        <v>6.3000000000000007</v>
      </c>
      <c r="P253" s="13">
        <f>IF(fCaixa[[#This Row],[Lançamento]]="RECEITA",(fCaixa[[#This Row],[Qtd/Kg]]*fCaixa[[#This Row],[Custo/KG.]]),0)</f>
        <v>70.725000000000009</v>
      </c>
      <c r="Q253" s="34">
        <f>fCaixa[[#This Row],[Custoprimario]]+fCaixa[[#This Row],[Total Perdido]]</f>
        <v>72.45</v>
      </c>
      <c r="R253" s="16">
        <f>IFERROR(fCaixa[[#This Row],[Custoprimario]]/fCaixa[[#This Row],[Venda]],0)</f>
        <v>0.57500000000000007</v>
      </c>
      <c r="S253" s="16">
        <f>IFERROR(fCaixa[[#This Row],[Custofinal]]/fCaixa[[#This Row],[Venda]],0)</f>
        <v>0.58902439024390241</v>
      </c>
      <c r="T253" s="13">
        <f>IF(fCaixa[[#This Row],[Lançamento]]="RECEITA",fCaixa[[#This Row],[Venda]]-fCaixa[[#This Row],[Custoprimario]],0)</f>
        <v>52.274999999999991</v>
      </c>
      <c r="U253" s="16">
        <f>IFERROR(fCaixa[[#This Row],[Lucroprimario]]/fCaixa[[#This Row],[Venda]],0)</f>
        <v>0.42499999999999993</v>
      </c>
      <c r="V25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50.55</v>
      </c>
      <c r="W253" s="16">
        <f>IFERROR(fCaixa[[#This Row],[Lucrofinal]]/fCaixa[[#This Row],[Venda]],0)</f>
        <v>0.41097560975609754</v>
      </c>
    </row>
    <row r="254" spans="1:23" ht="16.5" hidden="1" x14ac:dyDescent="0.25">
      <c r="A254" s="17">
        <f t="shared" si="3"/>
        <v>253</v>
      </c>
      <c r="B254" s="87">
        <v>43208</v>
      </c>
      <c r="C254" s="12" t="s">
        <v>24</v>
      </c>
      <c r="D254" s="12" t="s">
        <v>37</v>
      </c>
      <c r="E254" s="12" t="s">
        <v>35</v>
      </c>
      <c r="F254" s="12" t="s">
        <v>28</v>
      </c>
      <c r="G254" s="13">
        <v>2</v>
      </c>
      <c r="H254" s="13">
        <v>1</v>
      </c>
      <c r="I254" s="13">
        <v>11.5</v>
      </c>
      <c r="J254" s="14">
        <v>0</v>
      </c>
      <c r="K254" s="17">
        <f>IFERROR(ROUND((fCaixa[[#This Row],[Venda]]/fCaixa[[#This Row],[Preço/Un.]]),0),0)</f>
        <v>2</v>
      </c>
      <c r="L254" s="15">
        <f>IFERROR((SUBSTITUTE(RIGHT(fCaixa[[#This Row],[Descrição]],3),"G","")*1 *fCaixa[[#This Row],[Qtd/Pães]]) / 1000,0)</f>
        <v>0.1</v>
      </c>
      <c r="M254" s="13">
        <f>IFERROR((((SUBSTITUTE(RIGHT(fCaixa[[#This Row],[Descrição]],3),"G","")*1) * fCaixa[[#This Row],[QTD Perdida]])/1000) *fCaixa[[#This Row],[Custo/KG.]],0)</f>
        <v>0</v>
      </c>
      <c r="N254" s="15">
        <f>IF(fCaixa[[#This Row],[Lançamento]]="RECEITA",(fCaixa[[#This Row],[QTD Perdida]]* (SUBSTITUTE(RIGHT(fCaixa[[#This Row],[Descrição]],3),"G","")*1))/1000,0)</f>
        <v>0</v>
      </c>
      <c r="O254" s="15">
        <f>fCaixa[[#This Row],[Qtd/Kg]]+fCaixa[[#This Row],[Qtd/Kg Perdido]]</f>
        <v>0.1</v>
      </c>
      <c r="P254" s="13">
        <f>IF(fCaixa[[#This Row],[Lançamento]]="RECEITA",(fCaixa[[#This Row],[Qtd/Kg]]*fCaixa[[#This Row],[Custo/KG.]]),0)</f>
        <v>1.1500000000000001</v>
      </c>
      <c r="Q254" s="34">
        <f>fCaixa[[#This Row],[Custoprimario]]+fCaixa[[#This Row],[Total Perdido]]</f>
        <v>1.1500000000000001</v>
      </c>
      <c r="R254" s="16">
        <f>IFERROR(fCaixa[[#This Row],[Custoprimario]]/fCaixa[[#This Row],[Venda]],0)</f>
        <v>0.57500000000000007</v>
      </c>
      <c r="S254" s="16">
        <f>IFERROR(fCaixa[[#This Row],[Custofinal]]/fCaixa[[#This Row],[Venda]],0)</f>
        <v>0.57500000000000007</v>
      </c>
      <c r="T254" s="13">
        <f>IF(fCaixa[[#This Row],[Lançamento]]="RECEITA",fCaixa[[#This Row],[Venda]]-fCaixa[[#This Row],[Custoprimario]],0)</f>
        <v>0.84999999999999987</v>
      </c>
      <c r="U254" s="16">
        <f>IFERROR(fCaixa[[#This Row],[Lucroprimario]]/fCaixa[[#This Row],[Venda]],0)</f>
        <v>0.42499999999999993</v>
      </c>
      <c r="V25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0.80419999999999991</v>
      </c>
      <c r="W254" s="16">
        <f>IFERROR(fCaixa[[#This Row],[Lucrofinal]]/fCaixa[[#This Row],[Venda]],0)</f>
        <v>0.40209999999999996</v>
      </c>
    </row>
    <row r="255" spans="1:23" ht="16.5" hidden="1" x14ac:dyDescent="0.25">
      <c r="A255" s="17">
        <f t="shared" si="3"/>
        <v>254</v>
      </c>
      <c r="B255" s="87">
        <v>43208</v>
      </c>
      <c r="C255" s="12" t="s">
        <v>24</v>
      </c>
      <c r="D255" s="12" t="s">
        <v>37</v>
      </c>
      <c r="E255" s="12" t="s">
        <v>35</v>
      </c>
      <c r="F255" s="12" t="s">
        <v>28</v>
      </c>
      <c r="G255" s="13">
        <v>19.5</v>
      </c>
      <c r="H255" s="13">
        <v>0.98</v>
      </c>
      <c r="I255" s="13">
        <v>11.5</v>
      </c>
      <c r="J255" s="14">
        <v>0</v>
      </c>
      <c r="K255" s="17">
        <f>IFERROR(ROUND((fCaixa[[#This Row],[Venda]]/fCaixa[[#This Row],[Preço/Un.]]),0),0)</f>
        <v>20</v>
      </c>
      <c r="L255" s="15">
        <f>IFERROR((SUBSTITUTE(RIGHT(fCaixa[[#This Row],[Descrição]],3),"G","")*1 *fCaixa[[#This Row],[Qtd/Pães]]) / 1000,0)</f>
        <v>1</v>
      </c>
      <c r="M255" s="13">
        <f>IFERROR((((SUBSTITUTE(RIGHT(fCaixa[[#This Row],[Descrição]],3),"G","")*1) * fCaixa[[#This Row],[QTD Perdida]])/1000) *fCaixa[[#This Row],[Custo/KG.]],0)</f>
        <v>0</v>
      </c>
      <c r="N255" s="15">
        <f>IF(fCaixa[[#This Row],[Lançamento]]="RECEITA",(fCaixa[[#This Row],[QTD Perdida]]* (SUBSTITUTE(RIGHT(fCaixa[[#This Row],[Descrição]],3),"G","")*1))/1000,0)</f>
        <v>0</v>
      </c>
      <c r="O255" s="15">
        <f>fCaixa[[#This Row],[Qtd/Kg]]+fCaixa[[#This Row],[Qtd/Kg Perdido]]</f>
        <v>1</v>
      </c>
      <c r="P255" s="13">
        <f>IF(fCaixa[[#This Row],[Lançamento]]="RECEITA",(fCaixa[[#This Row],[Qtd/Kg]]*fCaixa[[#This Row],[Custo/KG.]]),0)</f>
        <v>11.5</v>
      </c>
      <c r="Q255" s="34">
        <f>fCaixa[[#This Row],[Custoprimario]]+fCaixa[[#This Row],[Total Perdido]]</f>
        <v>11.5</v>
      </c>
      <c r="R255" s="16">
        <f>IFERROR(fCaixa[[#This Row],[Custoprimario]]/fCaixa[[#This Row],[Venda]],0)</f>
        <v>0.58974358974358976</v>
      </c>
      <c r="S255" s="16">
        <f>IFERROR(fCaixa[[#This Row],[Custofinal]]/fCaixa[[#This Row],[Venda]],0)</f>
        <v>0.58974358974358976</v>
      </c>
      <c r="T255" s="13">
        <f>IF(fCaixa[[#This Row],[Lançamento]]="RECEITA",fCaixa[[#This Row],[Venda]]-fCaixa[[#This Row],[Custoprimario]],0)</f>
        <v>8</v>
      </c>
      <c r="U255" s="16">
        <f>IFERROR(fCaixa[[#This Row],[Lucroprimario]]/fCaixa[[#This Row],[Venda]],0)</f>
        <v>0.41025641025641024</v>
      </c>
      <c r="V25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7.5534499999999998</v>
      </c>
      <c r="W255" s="16">
        <f>IFERROR(fCaixa[[#This Row],[Lucrofinal]]/fCaixa[[#This Row],[Venda]],0)</f>
        <v>0.38735641025641027</v>
      </c>
    </row>
    <row r="256" spans="1:23" ht="16.5" hidden="1" x14ac:dyDescent="0.25">
      <c r="A256" s="17">
        <f t="shared" si="3"/>
        <v>255</v>
      </c>
      <c r="B256" s="87">
        <v>43209</v>
      </c>
      <c r="C256" s="12" t="s">
        <v>24</v>
      </c>
      <c r="D256" s="12" t="s">
        <v>25</v>
      </c>
      <c r="E256" s="12" t="s">
        <v>35</v>
      </c>
      <c r="F256" s="12" t="s">
        <v>28</v>
      </c>
      <c r="G256" s="13">
        <v>158</v>
      </c>
      <c r="H256" s="13">
        <v>1</v>
      </c>
      <c r="I256" s="13">
        <v>11.5</v>
      </c>
      <c r="J256" s="14">
        <v>6</v>
      </c>
      <c r="K256" s="17">
        <f>IFERROR(ROUND((fCaixa[[#This Row],[Venda]]/fCaixa[[#This Row],[Preço/Un.]]),0),0)</f>
        <v>158</v>
      </c>
      <c r="L256" s="15">
        <f>IFERROR((SUBSTITUTE(RIGHT(fCaixa[[#This Row],[Descrição]],3),"G","")*1 *fCaixa[[#This Row],[Qtd/Pães]]) / 1000,0)</f>
        <v>7.9</v>
      </c>
      <c r="M256" s="13">
        <f>IFERROR((((SUBSTITUTE(RIGHT(fCaixa[[#This Row],[Descrição]],3),"G","")*1) * fCaixa[[#This Row],[QTD Perdida]])/1000) *fCaixa[[#This Row],[Custo/KG.]],0)</f>
        <v>3.4499999999999997</v>
      </c>
      <c r="N256" s="15">
        <f>IF(fCaixa[[#This Row],[Lançamento]]="RECEITA",(fCaixa[[#This Row],[QTD Perdida]]* (SUBSTITUTE(RIGHT(fCaixa[[#This Row],[Descrição]],3),"G","")*1))/1000,0)</f>
        <v>0.3</v>
      </c>
      <c r="O256" s="15">
        <f>fCaixa[[#This Row],[Qtd/Kg]]+fCaixa[[#This Row],[Qtd/Kg Perdido]]</f>
        <v>8.2000000000000011</v>
      </c>
      <c r="P256" s="13">
        <f>IF(fCaixa[[#This Row],[Lançamento]]="RECEITA",(fCaixa[[#This Row],[Qtd/Kg]]*fCaixa[[#This Row],[Custo/KG.]]),0)</f>
        <v>90.850000000000009</v>
      </c>
      <c r="Q256" s="34">
        <f>fCaixa[[#This Row],[Custoprimario]]+fCaixa[[#This Row],[Total Perdido]]</f>
        <v>94.300000000000011</v>
      </c>
      <c r="R256" s="16">
        <f>IFERROR(fCaixa[[#This Row],[Custoprimario]]/fCaixa[[#This Row],[Venda]],0)</f>
        <v>0.57500000000000007</v>
      </c>
      <c r="S256" s="16">
        <f>IFERROR(fCaixa[[#This Row],[Custofinal]]/fCaixa[[#This Row],[Venda]],0)</f>
        <v>0.59683544303797476</v>
      </c>
      <c r="T256" s="13">
        <f>IF(fCaixa[[#This Row],[Lançamento]]="RECEITA",fCaixa[[#This Row],[Venda]]-fCaixa[[#This Row],[Custoprimario]],0)</f>
        <v>67.149999999999991</v>
      </c>
      <c r="U256" s="16">
        <f>IFERROR(fCaixa[[#This Row],[Lucroprimario]]/fCaixa[[#This Row],[Venda]],0)</f>
        <v>0.42499999999999993</v>
      </c>
      <c r="V25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63.699999999999989</v>
      </c>
      <c r="W256" s="16">
        <f>IFERROR(fCaixa[[#This Row],[Lucrofinal]]/fCaixa[[#This Row],[Venda]],0)</f>
        <v>0.40316455696202524</v>
      </c>
    </row>
    <row r="257" spans="1:23" ht="16.5" hidden="1" x14ac:dyDescent="0.25">
      <c r="A257" s="17">
        <f t="shared" si="3"/>
        <v>256</v>
      </c>
      <c r="B257" s="87">
        <v>43210</v>
      </c>
      <c r="C257" s="12" t="s">
        <v>24</v>
      </c>
      <c r="D257" s="12" t="s">
        <v>25</v>
      </c>
      <c r="E257" s="12" t="s">
        <v>35</v>
      </c>
      <c r="F257" s="12" t="s">
        <v>28</v>
      </c>
      <c r="G257" s="13">
        <v>178</v>
      </c>
      <c r="H257" s="13">
        <v>1</v>
      </c>
      <c r="I257" s="13">
        <v>11.5</v>
      </c>
      <c r="J257" s="14">
        <v>8</v>
      </c>
      <c r="K257" s="17">
        <f>IFERROR(ROUND((fCaixa[[#This Row],[Venda]]/fCaixa[[#This Row],[Preço/Un.]]),0),0)</f>
        <v>178</v>
      </c>
      <c r="L257" s="15">
        <f>IFERROR((SUBSTITUTE(RIGHT(fCaixa[[#This Row],[Descrição]],3),"G","")*1 *fCaixa[[#This Row],[Qtd/Pães]]) / 1000,0)</f>
        <v>8.9</v>
      </c>
      <c r="M257" s="13">
        <f>IFERROR((((SUBSTITUTE(RIGHT(fCaixa[[#This Row],[Descrição]],3),"G","")*1) * fCaixa[[#This Row],[QTD Perdida]])/1000) *fCaixa[[#This Row],[Custo/KG.]],0)</f>
        <v>4.6000000000000005</v>
      </c>
      <c r="N257" s="15">
        <f>IF(fCaixa[[#This Row],[Lançamento]]="RECEITA",(fCaixa[[#This Row],[QTD Perdida]]* (SUBSTITUTE(RIGHT(fCaixa[[#This Row],[Descrição]],3),"G","")*1))/1000,0)</f>
        <v>0.4</v>
      </c>
      <c r="O257" s="15">
        <f>fCaixa[[#This Row],[Qtd/Kg]]+fCaixa[[#This Row],[Qtd/Kg Perdido]]</f>
        <v>9.3000000000000007</v>
      </c>
      <c r="P257" s="13">
        <f>IF(fCaixa[[#This Row],[Lançamento]]="RECEITA",(fCaixa[[#This Row],[Qtd/Kg]]*fCaixa[[#This Row],[Custo/KG.]]),0)</f>
        <v>102.35000000000001</v>
      </c>
      <c r="Q257" s="34">
        <f>fCaixa[[#This Row],[Custoprimario]]+fCaixa[[#This Row],[Total Perdido]]</f>
        <v>106.95</v>
      </c>
      <c r="R257" s="16">
        <f>IFERROR(fCaixa[[#This Row],[Custoprimario]]/fCaixa[[#This Row],[Venda]],0)</f>
        <v>0.57500000000000007</v>
      </c>
      <c r="S257" s="16">
        <f>IFERROR(fCaixa[[#This Row],[Custofinal]]/fCaixa[[#This Row],[Venda]],0)</f>
        <v>0.60084269662921352</v>
      </c>
      <c r="T257" s="13">
        <f>IF(fCaixa[[#This Row],[Lançamento]]="RECEITA",fCaixa[[#This Row],[Venda]]-fCaixa[[#This Row],[Custoprimario]],0)</f>
        <v>75.649999999999991</v>
      </c>
      <c r="U257" s="16">
        <f>IFERROR(fCaixa[[#This Row],[Lucroprimario]]/fCaixa[[#This Row],[Venda]],0)</f>
        <v>0.42499999999999993</v>
      </c>
      <c r="V25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71.05</v>
      </c>
      <c r="W257" s="16">
        <f>IFERROR(fCaixa[[#This Row],[Lucrofinal]]/fCaixa[[#This Row],[Venda]],0)</f>
        <v>0.39915730337078648</v>
      </c>
    </row>
    <row r="258" spans="1:23" ht="16.5" hidden="1" x14ac:dyDescent="0.25">
      <c r="A258" s="17">
        <f t="shared" ref="A258:A321" si="4">ROW($A257)</f>
        <v>257</v>
      </c>
      <c r="B258" s="87">
        <v>43213</v>
      </c>
      <c r="C258" s="12" t="s">
        <v>24</v>
      </c>
      <c r="D258" s="12" t="s">
        <v>25</v>
      </c>
      <c r="E258" s="12" t="s">
        <v>35</v>
      </c>
      <c r="F258" s="12" t="s">
        <v>28</v>
      </c>
      <c r="G258" s="13">
        <v>19.5</v>
      </c>
      <c r="H258" s="13">
        <v>0.98</v>
      </c>
      <c r="I258" s="13">
        <v>11.5</v>
      </c>
      <c r="J258" s="14">
        <v>0</v>
      </c>
      <c r="K258" s="17">
        <f>IFERROR(ROUND((fCaixa[[#This Row],[Venda]]/fCaixa[[#This Row],[Preço/Un.]]),0),0)</f>
        <v>20</v>
      </c>
      <c r="L258" s="15">
        <f>IFERROR((SUBSTITUTE(RIGHT(fCaixa[[#This Row],[Descrição]],3),"G","")*1 *fCaixa[[#This Row],[Qtd/Pães]]) / 1000,0)</f>
        <v>1</v>
      </c>
      <c r="M258" s="13">
        <f>IFERROR((((SUBSTITUTE(RIGHT(fCaixa[[#This Row],[Descrição]],3),"G","")*1) * fCaixa[[#This Row],[QTD Perdida]])/1000) *fCaixa[[#This Row],[Custo/KG.]],0)</f>
        <v>0</v>
      </c>
      <c r="N258" s="15">
        <f>IF(fCaixa[[#This Row],[Lançamento]]="RECEITA",(fCaixa[[#This Row],[QTD Perdida]]* (SUBSTITUTE(RIGHT(fCaixa[[#This Row],[Descrição]],3),"G","")*1))/1000,0)</f>
        <v>0</v>
      </c>
      <c r="O258" s="15">
        <f>fCaixa[[#This Row],[Qtd/Kg]]+fCaixa[[#This Row],[Qtd/Kg Perdido]]</f>
        <v>1</v>
      </c>
      <c r="P258" s="13">
        <f>IF(fCaixa[[#This Row],[Lançamento]]="RECEITA",(fCaixa[[#This Row],[Qtd/Kg]]*fCaixa[[#This Row],[Custo/KG.]]),0)</f>
        <v>11.5</v>
      </c>
      <c r="Q258" s="34">
        <f>fCaixa[[#This Row],[Custoprimario]]+fCaixa[[#This Row],[Total Perdido]]</f>
        <v>11.5</v>
      </c>
      <c r="R258" s="16">
        <f>IFERROR(fCaixa[[#This Row],[Custoprimario]]/fCaixa[[#This Row],[Venda]],0)</f>
        <v>0.58974358974358976</v>
      </c>
      <c r="S258" s="16">
        <f>IFERROR(fCaixa[[#This Row],[Custofinal]]/fCaixa[[#This Row],[Venda]],0)</f>
        <v>0.58974358974358976</v>
      </c>
      <c r="T258" s="13">
        <f>IF(fCaixa[[#This Row],[Lançamento]]="RECEITA",fCaixa[[#This Row],[Venda]]-fCaixa[[#This Row],[Custoprimario]],0)</f>
        <v>8</v>
      </c>
      <c r="U258" s="16">
        <f>IFERROR(fCaixa[[#This Row],[Lucroprimario]]/fCaixa[[#This Row],[Venda]],0)</f>
        <v>0.41025641025641024</v>
      </c>
      <c r="V25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</v>
      </c>
      <c r="W258" s="16">
        <f>IFERROR(fCaixa[[#This Row],[Lucrofinal]]/fCaixa[[#This Row],[Venda]],0)</f>
        <v>0.41025641025641024</v>
      </c>
    </row>
    <row r="259" spans="1:23" ht="16.5" hidden="1" x14ac:dyDescent="0.25">
      <c r="A259" s="17">
        <f t="shared" si="4"/>
        <v>258</v>
      </c>
      <c r="B259" s="87">
        <v>43213</v>
      </c>
      <c r="C259" s="12" t="s">
        <v>24</v>
      </c>
      <c r="D259" s="12" t="s">
        <v>37</v>
      </c>
      <c r="E259" s="12" t="s">
        <v>35</v>
      </c>
      <c r="F259" s="12" t="s">
        <v>28</v>
      </c>
      <c r="G259" s="13">
        <v>10</v>
      </c>
      <c r="H259" s="13">
        <v>0.98</v>
      </c>
      <c r="I259" s="13">
        <v>11.5</v>
      </c>
      <c r="J259" s="14">
        <v>0</v>
      </c>
      <c r="K259" s="17">
        <f>IFERROR(ROUND((fCaixa[[#This Row],[Venda]]/fCaixa[[#This Row],[Preço/Un.]]),0),0)</f>
        <v>10</v>
      </c>
      <c r="L259" s="15">
        <f>IFERROR((SUBSTITUTE(RIGHT(fCaixa[[#This Row],[Descrição]],3),"G","")*1 *fCaixa[[#This Row],[Qtd/Pães]]) / 1000,0)</f>
        <v>0.5</v>
      </c>
      <c r="M259" s="13">
        <f>IFERROR((((SUBSTITUTE(RIGHT(fCaixa[[#This Row],[Descrição]],3),"G","")*1) * fCaixa[[#This Row],[QTD Perdida]])/1000) *fCaixa[[#This Row],[Custo/KG.]],0)</f>
        <v>0</v>
      </c>
      <c r="N259" s="15">
        <f>IF(fCaixa[[#This Row],[Lançamento]]="RECEITA",(fCaixa[[#This Row],[QTD Perdida]]* (SUBSTITUTE(RIGHT(fCaixa[[#This Row],[Descrição]],3),"G","")*1))/1000,0)</f>
        <v>0</v>
      </c>
      <c r="O259" s="15">
        <f>fCaixa[[#This Row],[Qtd/Kg]]+fCaixa[[#This Row],[Qtd/Kg Perdido]]</f>
        <v>0.5</v>
      </c>
      <c r="P259" s="13">
        <f>IF(fCaixa[[#This Row],[Lançamento]]="RECEITA",(fCaixa[[#This Row],[Qtd/Kg]]*fCaixa[[#This Row],[Custo/KG.]]),0)</f>
        <v>5.75</v>
      </c>
      <c r="Q259" s="34">
        <f>fCaixa[[#This Row],[Custoprimario]]+fCaixa[[#This Row],[Total Perdido]]</f>
        <v>5.75</v>
      </c>
      <c r="R259" s="16">
        <f>IFERROR(fCaixa[[#This Row],[Custoprimario]]/fCaixa[[#This Row],[Venda]],0)</f>
        <v>0.57499999999999996</v>
      </c>
      <c r="S259" s="16">
        <f>IFERROR(fCaixa[[#This Row],[Custofinal]]/fCaixa[[#This Row],[Venda]],0)</f>
        <v>0.57499999999999996</v>
      </c>
      <c r="T259" s="13">
        <f>IF(fCaixa[[#This Row],[Lançamento]]="RECEITA",fCaixa[[#This Row],[Venda]]-fCaixa[[#This Row],[Custoprimario]],0)</f>
        <v>4.25</v>
      </c>
      <c r="U259" s="16">
        <f>IFERROR(fCaixa[[#This Row],[Lucroprimario]]/fCaixa[[#This Row],[Venda]],0)</f>
        <v>0.42499999999999999</v>
      </c>
      <c r="V25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4.0209999999999999</v>
      </c>
      <c r="W259" s="16">
        <f>IFERROR(fCaixa[[#This Row],[Lucrofinal]]/fCaixa[[#This Row],[Venda]],0)</f>
        <v>0.40210000000000001</v>
      </c>
    </row>
    <row r="260" spans="1:23" ht="16.5" hidden="1" x14ac:dyDescent="0.25">
      <c r="A260" s="17">
        <f t="shared" si="4"/>
        <v>259</v>
      </c>
      <c r="B260" s="87">
        <v>43213</v>
      </c>
      <c r="C260" s="12" t="s">
        <v>24</v>
      </c>
      <c r="D260" s="12" t="s">
        <v>25</v>
      </c>
      <c r="E260" s="12" t="s">
        <v>35</v>
      </c>
      <c r="F260" s="12" t="s">
        <v>28</v>
      </c>
      <c r="G260" s="13">
        <v>9.5</v>
      </c>
      <c r="H260" s="13">
        <v>0.98</v>
      </c>
      <c r="I260" s="13">
        <v>11.5</v>
      </c>
      <c r="J260" s="14">
        <v>0</v>
      </c>
      <c r="K260" s="17">
        <f>IFERROR(ROUND((fCaixa[[#This Row],[Venda]]/fCaixa[[#This Row],[Preço/Un.]]),0),0)</f>
        <v>10</v>
      </c>
      <c r="L260" s="15">
        <f>IFERROR((SUBSTITUTE(RIGHT(fCaixa[[#This Row],[Descrição]],3),"G","")*1 *fCaixa[[#This Row],[Qtd/Pães]]) / 1000,0)</f>
        <v>0.5</v>
      </c>
      <c r="M260" s="13">
        <f>IFERROR((((SUBSTITUTE(RIGHT(fCaixa[[#This Row],[Descrição]],3),"G","")*1) * fCaixa[[#This Row],[QTD Perdida]])/1000) *fCaixa[[#This Row],[Custo/KG.]],0)</f>
        <v>0</v>
      </c>
      <c r="N260" s="15">
        <f>IF(fCaixa[[#This Row],[Lançamento]]="RECEITA",(fCaixa[[#This Row],[QTD Perdida]]* (SUBSTITUTE(RIGHT(fCaixa[[#This Row],[Descrição]],3),"G","")*1))/1000,0)</f>
        <v>0</v>
      </c>
      <c r="O260" s="15">
        <f>fCaixa[[#This Row],[Qtd/Kg]]+fCaixa[[#This Row],[Qtd/Kg Perdido]]</f>
        <v>0.5</v>
      </c>
      <c r="P260" s="13">
        <f>IF(fCaixa[[#This Row],[Lançamento]]="RECEITA",(fCaixa[[#This Row],[Qtd/Kg]]*fCaixa[[#This Row],[Custo/KG.]]),0)</f>
        <v>5.75</v>
      </c>
      <c r="Q260" s="34">
        <f>fCaixa[[#This Row],[Custoprimario]]+fCaixa[[#This Row],[Total Perdido]]</f>
        <v>5.75</v>
      </c>
      <c r="R260" s="16">
        <f>IFERROR(fCaixa[[#This Row],[Custoprimario]]/fCaixa[[#This Row],[Venda]],0)</f>
        <v>0.60526315789473684</v>
      </c>
      <c r="S260" s="16">
        <f>IFERROR(fCaixa[[#This Row],[Custofinal]]/fCaixa[[#This Row],[Venda]],0)</f>
        <v>0.60526315789473684</v>
      </c>
      <c r="T260" s="13">
        <f>IF(fCaixa[[#This Row],[Lançamento]]="RECEITA",fCaixa[[#This Row],[Venda]]-fCaixa[[#This Row],[Custoprimario]],0)</f>
        <v>3.75</v>
      </c>
      <c r="U260" s="16">
        <f>IFERROR(fCaixa[[#This Row],[Lucroprimario]]/fCaixa[[#This Row],[Venda]],0)</f>
        <v>0.39473684210526316</v>
      </c>
      <c r="V26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3.75</v>
      </c>
      <c r="W260" s="16">
        <f>IFERROR(fCaixa[[#This Row],[Lucrofinal]]/fCaixa[[#This Row],[Venda]],0)</f>
        <v>0.39473684210526316</v>
      </c>
    </row>
    <row r="261" spans="1:23" ht="16.5" hidden="1" x14ac:dyDescent="0.25">
      <c r="A261" s="17">
        <f t="shared" si="4"/>
        <v>260</v>
      </c>
      <c r="B261" s="87">
        <v>43213</v>
      </c>
      <c r="C261" s="12" t="s">
        <v>24</v>
      </c>
      <c r="D261" s="12" t="s">
        <v>25</v>
      </c>
      <c r="E261" s="12" t="s">
        <v>35</v>
      </c>
      <c r="F261" s="12" t="s">
        <v>28</v>
      </c>
      <c r="G261" s="13">
        <v>123</v>
      </c>
      <c r="H261" s="13">
        <v>1</v>
      </c>
      <c r="I261" s="13">
        <v>11.5</v>
      </c>
      <c r="J261" s="14">
        <v>5</v>
      </c>
      <c r="K261" s="17">
        <f>IFERROR(ROUND((fCaixa[[#This Row],[Venda]]/fCaixa[[#This Row],[Preço/Un.]]),0),0)</f>
        <v>123</v>
      </c>
      <c r="L261" s="15">
        <f>IFERROR((SUBSTITUTE(RIGHT(fCaixa[[#This Row],[Descrição]],3),"G","")*1 *fCaixa[[#This Row],[Qtd/Pães]]) / 1000,0)</f>
        <v>6.15</v>
      </c>
      <c r="M261" s="13">
        <f>IFERROR((((SUBSTITUTE(RIGHT(fCaixa[[#This Row],[Descrição]],3),"G","")*1) * fCaixa[[#This Row],[QTD Perdida]])/1000) *fCaixa[[#This Row],[Custo/KG.]],0)</f>
        <v>2.875</v>
      </c>
      <c r="N261" s="15">
        <f>IF(fCaixa[[#This Row],[Lançamento]]="RECEITA",(fCaixa[[#This Row],[QTD Perdida]]* (SUBSTITUTE(RIGHT(fCaixa[[#This Row],[Descrição]],3),"G","")*1))/1000,0)</f>
        <v>0.25</v>
      </c>
      <c r="O261" s="15">
        <f>fCaixa[[#This Row],[Qtd/Kg]]+fCaixa[[#This Row],[Qtd/Kg Perdido]]</f>
        <v>6.4</v>
      </c>
      <c r="P261" s="13">
        <f>IF(fCaixa[[#This Row],[Lançamento]]="RECEITA",(fCaixa[[#This Row],[Qtd/Kg]]*fCaixa[[#This Row],[Custo/KG.]]),0)</f>
        <v>70.725000000000009</v>
      </c>
      <c r="Q261" s="34">
        <f>fCaixa[[#This Row],[Custoprimario]]+fCaixa[[#This Row],[Total Perdido]]</f>
        <v>73.600000000000009</v>
      </c>
      <c r="R261" s="16">
        <f>IFERROR(fCaixa[[#This Row],[Custoprimario]]/fCaixa[[#This Row],[Venda]],0)</f>
        <v>0.57500000000000007</v>
      </c>
      <c r="S261" s="16">
        <f>IFERROR(fCaixa[[#This Row],[Custofinal]]/fCaixa[[#This Row],[Venda]],0)</f>
        <v>0.59837398373983752</v>
      </c>
      <c r="T261" s="13">
        <f>IF(fCaixa[[#This Row],[Lançamento]]="RECEITA",fCaixa[[#This Row],[Venda]]-fCaixa[[#This Row],[Custoprimario]],0)</f>
        <v>52.274999999999991</v>
      </c>
      <c r="U261" s="16">
        <f>IFERROR(fCaixa[[#This Row],[Lucroprimario]]/fCaixa[[#This Row],[Venda]],0)</f>
        <v>0.42499999999999993</v>
      </c>
      <c r="V26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49.399999999999991</v>
      </c>
      <c r="W261" s="16">
        <f>IFERROR(fCaixa[[#This Row],[Lucrofinal]]/fCaixa[[#This Row],[Venda]],0)</f>
        <v>0.40162601626016253</v>
      </c>
    </row>
    <row r="262" spans="1:23" ht="16.5" hidden="1" x14ac:dyDescent="0.25">
      <c r="A262" s="17">
        <f t="shared" si="4"/>
        <v>261</v>
      </c>
      <c r="B262" s="87">
        <v>43214</v>
      </c>
      <c r="C262" s="12" t="s">
        <v>24</v>
      </c>
      <c r="D262" s="12" t="s">
        <v>25</v>
      </c>
      <c r="E262" s="12" t="s">
        <v>35</v>
      </c>
      <c r="F262" s="12" t="s">
        <v>28</v>
      </c>
      <c r="G262" s="13">
        <v>142</v>
      </c>
      <c r="H262" s="13">
        <v>1</v>
      </c>
      <c r="I262" s="13">
        <v>11.5</v>
      </c>
      <c r="J262" s="14">
        <v>16</v>
      </c>
      <c r="K262" s="17">
        <f>IFERROR(ROUND((fCaixa[[#This Row],[Venda]]/fCaixa[[#This Row],[Preço/Un.]]),0),0)</f>
        <v>142</v>
      </c>
      <c r="L262" s="15">
        <f>IFERROR((SUBSTITUTE(RIGHT(fCaixa[[#This Row],[Descrição]],3),"G","")*1 *fCaixa[[#This Row],[Qtd/Pães]]) / 1000,0)</f>
        <v>7.1</v>
      </c>
      <c r="M262" s="13">
        <f>IFERROR((((SUBSTITUTE(RIGHT(fCaixa[[#This Row],[Descrição]],3),"G","")*1) * fCaixa[[#This Row],[QTD Perdida]])/1000) *fCaixa[[#This Row],[Custo/KG.]],0)</f>
        <v>9.2000000000000011</v>
      </c>
      <c r="N262" s="15">
        <f>IF(fCaixa[[#This Row],[Lançamento]]="RECEITA",(fCaixa[[#This Row],[QTD Perdida]]* (SUBSTITUTE(RIGHT(fCaixa[[#This Row],[Descrição]],3),"G","")*1))/1000,0)</f>
        <v>0.8</v>
      </c>
      <c r="O262" s="15">
        <f>fCaixa[[#This Row],[Qtd/Kg]]+fCaixa[[#This Row],[Qtd/Kg Perdido]]</f>
        <v>7.8999999999999995</v>
      </c>
      <c r="P262" s="13">
        <f>IF(fCaixa[[#This Row],[Lançamento]]="RECEITA",(fCaixa[[#This Row],[Qtd/Kg]]*fCaixa[[#This Row],[Custo/KG.]]),0)</f>
        <v>81.649999999999991</v>
      </c>
      <c r="Q262" s="34">
        <f>fCaixa[[#This Row],[Custoprimario]]+fCaixa[[#This Row],[Total Perdido]]</f>
        <v>90.85</v>
      </c>
      <c r="R262" s="16">
        <f>IFERROR(fCaixa[[#This Row],[Custoprimario]]/fCaixa[[#This Row],[Venda]],0)</f>
        <v>0.57499999999999996</v>
      </c>
      <c r="S262" s="16">
        <f>IFERROR(fCaixa[[#This Row],[Custofinal]]/fCaixa[[#This Row],[Venda]],0)</f>
        <v>0.63978873239436618</v>
      </c>
      <c r="T262" s="13">
        <f>IF(fCaixa[[#This Row],[Lançamento]]="RECEITA",fCaixa[[#This Row],[Venda]]-fCaixa[[#This Row],[Custoprimario]],0)</f>
        <v>60.350000000000009</v>
      </c>
      <c r="U262" s="16">
        <f>IFERROR(fCaixa[[#This Row],[Lucroprimario]]/fCaixa[[#This Row],[Venda]],0)</f>
        <v>0.42500000000000004</v>
      </c>
      <c r="V26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51.150000000000006</v>
      </c>
      <c r="W262" s="16">
        <f>IFERROR(fCaixa[[#This Row],[Lucrofinal]]/fCaixa[[#This Row],[Venda]],0)</f>
        <v>0.36021126760563382</v>
      </c>
    </row>
    <row r="263" spans="1:23" ht="16.5" hidden="1" x14ac:dyDescent="0.25">
      <c r="A263" s="17">
        <f t="shared" si="4"/>
        <v>262</v>
      </c>
      <c r="B263" s="87">
        <v>43214</v>
      </c>
      <c r="C263" s="12" t="s">
        <v>24</v>
      </c>
      <c r="D263" s="12" t="s">
        <v>37</v>
      </c>
      <c r="E263" s="12" t="s">
        <v>35</v>
      </c>
      <c r="F263" s="12" t="s">
        <v>28</v>
      </c>
      <c r="G263" s="13">
        <v>3</v>
      </c>
      <c r="H263" s="13">
        <v>1</v>
      </c>
      <c r="I263" s="13">
        <v>11.5</v>
      </c>
      <c r="J263" s="14">
        <v>0</v>
      </c>
      <c r="K263" s="17">
        <f>IFERROR(ROUND((fCaixa[[#This Row],[Venda]]/fCaixa[[#This Row],[Preço/Un.]]),0),0)</f>
        <v>3</v>
      </c>
      <c r="L263" s="15">
        <f>IFERROR((SUBSTITUTE(RIGHT(fCaixa[[#This Row],[Descrição]],3),"G","")*1 *fCaixa[[#This Row],[Qtd/Pães]]) / 1000,0)</f>
        <v>0.15</v>
      </c>
      <c r="M263" s="13">
        <f>IFERROR((((SUBSTITUTE(RIGHT(fCaixa[[#This Row],[Descrição]],3),"G","")*1) * fCaixa[[#This Row],[QTD Perdida]])/1000) *fCaixa[[#This Row],[Custo/KG.]],0)</f>
        <v>0</v>
      </c>
      <c r="N263" s="15">
        <f>IF(fCaixa[[#This Row],[Lançamento]]="RECEITA",(fCaixa[[#This Row],[QTD Perdida]]* (SUBSTITUTE(RIGHT(fCaixa[[#This Row],[Descrição]],3),"G","")*1))/1000,0)</f>
        <v>0</v>
      </c>
      <c r="O263" s="15">
        <f>fCaixa[[#This Row],[Qtd/Kg]]+fCaixa[[#This Row],[Qtd/Kg Perdido]]</f>
        <v>0.15</v>
      </c>
      <c r="P263" s="13">
        <f>IF(fCaixa[[#This Row],[Lançamento]]="RECEITA",(fCaixa[[#This Row],[Qtd/Kg]]*fCaixa[[#This Row],[Custo/KG.]]),0)</f>
        <v>1.7249999999999999</v>
      </c>
      <c r="Q263" s="34">
        <f>fCaixa[[#This Row],[Custoprimario]]+fCaixa[[#This Row],[Total Perdido]]</f>
        <v>1.7249999999999999</v>
      </c>
      <c r="R263" s="16">
        <f>IFERROR(fCaixa[[#This Row],[Custoprimario]]/fCaixa[[#This Row],[Venda]],0)</f>
        <v>0.57499999999999996</v>
      </c>
      <c r="S263" s="16">
        <f>IFERROR(fCaixa[[#This Row],[Custofinal]]/fCaixa[[#This Row],[Venda]],0)</f>
        <v>0.57499999999999996</v>
      </c>
      <c r="T263" s="13">
        <f>IF(fCaixa[[#This Row],[Lançamento]]="RECEITA",fCaixa[[#This Row],[Venda]]-fCaixa[[#This Row],[Custoprimario]],0)</f>
        <v>1.2750000000000001</v>
      </c>
      <c r="U263" s="16">
        <f>IFERROR(fCaixa[[#This Row],[Lucroprimario]]/fCaixa[[#This Row],[Venda]],0)</f>
        <v>0.42500000000000004</v>
      </c>
      <c r="V26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1.2063000000000001</v>
      </c>
      <c r="W263" s="16">
        <f>IFERROR(fCaixa[[#This Row],[Lucrofinal]]/fCaixa[[#This Row],[Venda]],0)</f>
        <v>0.40210000000000007</v>
      </c>
    </row>
    <row r="264" spans="1:23" ht="16.5" hidden="1" x14ac:dyDescent="0.25">
      <c r="A264" s="17">
        <f t="shared" si="4"/>
        <v>263</v>
      </c>
      <c r="B264" s="87">
        <v>43215</v>
      </c>
      <c r="C264" s="12" t="s">
        <v>24</v>
      </c>
      <c r="D264" s="12" t="s">
        <v>25</v>
      </c>
      <c r="E264" s="12" t="s">
        <v>35</v>
      </c>
      <c r="F264" s="12" t="s">
        <v>28</v>
      </c>
      <c r="G264" s="13">
        <v>155</v>
      </c>
      <c r="H264" s="13">
        <v>1</v>
      </c>
      <c r="I264" s="13">
        <v>11.5</v>
      </c>
      <c r="J264" s="14">
        <v>5</v>
      </c>
      <c r="K264" s="17">
        <f>IFERROR(ROUND((fCaixa[[#This Row],[Venda]]/fCaixa[[#This Row],[Preço/Un.]]),0),0)</f>
        <v>155</v>
      </c>
      <c r="L264" s="15">
        <f>IFERROR((SUBSTITUTE(RIGHT(fCaixa[[#This Row],[Descrição]],3),"G","")*1 *fCaixa[[#This Row],[Qtd/Pães]]) / 1000,0)</f>
        <v>7.75</v>
      </c>
      <c r="M264" s="13">
        <f>IFERROR((((SUBSTITUTE(RIGHT(fCaixa[[#This Row],[Descrição]],3),"G","")*1) * fCaixa[[#This Row],[QTD Perdida]])/1000) *fCaixa[[#This Row],[Custo/KG.]],0)</f>
        <v>2.875</v>
      </c>
      <c r="N264" s="15">
        <f>IF(fCaixa[[#This Row],[Lançamento]]="RECEITA",(fCaixa[[#This Row],[QTD Perdida]]* (SUBSTITUTE(RIGHT(fCaixa[[#This Row],[Descrição]],3),"G","")*1))/1000,0)</f>
        <v>0.25</v>
      </c>
      <c r="O264" s="15">
        <f>fCaixa[[#This Row],[Qtd/Kg]]+fCaixa[[#This Row],[Qtd/Kg Perdido]]</f>
        <v>8</v>
      </c>
      <c r="P264" s="13">
        <f>IF(fCaixa[[#This Row],[Lançamento]]="RECEITA",(fCaixa[[#This Row],[Qtd/Kg]]*fCaixa[[#This Row],[Custo/KG.]]),0)</f>
        <v>89.125</v>
      </c>
      <c r="Q264" s="34">
        <f>fCaixa[[#This Row],[Custoprimario]]+fCaixa[[#This Row],[Total Perdido]]</f>
        <v>92</v>
      </c>
      <c r="R264" s="16">
        <f>IFERROR(fCaixa[[#This Row],[Custoprimario]]/fCaixa[[#This Row],[Venda]],0)</f>
        <v>0.57499999999999996</v>
      </c>
      <c r="S264" s="16">
        <f>IFERROR(fCaixa[[#This Row],[Custofinal]]/fCaixa[[#This Row],[Venda]],0)</f>
        <v>0.59354838709677415</v>
      </c>
      <c r="T264" s="13">
        <f>IF(fCaixa[[#This Row],[Lançamento]]="RECEITA",fCaixa[[#This Row],[Venda]]-fCaixa[[#This Row],[Custoprimario]],0)</f>
        <v>65.875</v>
      </c>
      <c r="U264" s="16">
        <f>IFERROR(fCaixa[[#This Row],[Lucroprimario]]/fCaixa[[#This Row],[Venda]],0)</f>
        <v>0.42499999999999999</v>
      </c>
      <c r="V26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63</v>
      </c>
      <c r="W264" s="16">
        <f>IFERROR(fCaixa[[#This Row],[Lucrofinal]]/fCaixa[[#This Row],[Venda]],0)</f>
        <v>0.40645161290322579</v>
      </c>
    </row>
    <row r="265" spans="1:23" ht="16.5" hidden="1" x14ac:dyDescent="0.25">
      <c r="A265" s="17">
        <f t="shared" si="4"/>
        <v>264</v>
      </c>
      <c r="B265" s="87">
        <v>43216</v>
      </c>
      <c r="C265" s="12" t="s">
        <v>24</v>
      </c>
      <c r="D265" s="12" t="s">
        <v>25</v>
      </c>
      <c r="E265" s="12" t="s">
        <v>35</v>
      </c>
      <c r="F265" s="12" t="s">
        <v>28</v>
      </c>
      <c r="G265" s="13">
        <v>123</v>
      </c>
      <c r="H265" s="13">
        <v>1</v>
      </c>
      <c r="I265" s="13">
        <v>11.5</v>
      </c>
      <c r="J265" s="14">
        <v>2</v>
      </c>
      <c r="K265" s="17">
        <f>IFERROR(ROUND((fCaixa[[#This Row],[Venda]]/fCaixa[[#This Row],[Preço/Un.]]),0),0)</f>
        <v>123</v>
      </c>
      <c r="L265" s="15">
        <f>IFERROR((SUBSTITUTE(RIGHT(fCaixa[[#This Row],[Descrição]],3),"G","")*1 *fCaixa[[#This Row],[Qtd/Pães]]) / 1000,0)</f>
        <v>6.15</v>
      </c>
      <c r="M265" s="13">
        <f>IFERROR((((SUBSTITUTE(RIGHT(fCaixa[[#This Row],[Descrição]],3),"G","")*1) * fCaixa[[#This Row],[QTD Perdida]])/1000) *fCaixa[[#This Row],[Custo/KG.]],0)</f>
        <v>1.1500000000000001</v>
      </c>
      <c r="N265" s="15">
        <f>IF(fCaixa[[#This Row],[Lançamento]]="RECEITA",(fCaixa[[#This Row],[QTD Perdida]]* (SUBSTITUTE(RIGHT(fCaixa[[#This Row],[Descrição]],3),"G","")*1))/1000,0)</f>
        <v>0.1</v>
      </c>
      <c r="O265" s="15">
        <f>fCaixa[[#This Row],[Qtd/Kg]]+fCaixa[[#This Row],[Qtd/Kg Perdido]]</f>
        <v>6.25</v>
      </c>
      <c r="P265" s="13">
        <f>IF(fCaixa[[#This Row],[Lançamento]]="RECEITA",(fCaixa[[#This Row],[Qtd/Kg]]*fCaixa[[#This Row],[Custo/KG.]]),0)</f>
        <v>70.725000000000009</v>
      </c>
      <c r="Q265" s="34">
        <f>fCaixa[[#This Row],[Custoprimario]]+fCaixa[[#This Row],[Total Perdido]]</f>
        <v>71.875000000000014</v>
      </c>
      <c r="R265" s="16">
        <f>IFERROR(fCaixa[[#This Row],[Custoprimario]]/fCaixa[[#This Row],[Venda]],0)</f>
        <v>0.57500000000000007</v>
      </c>
      <c r="S265" s="16">
        <f>IFERROR(fCaixa[[#This Row],[Custofinal]]/fCaixa[[#This Row],[Venda]],0)</f>
        <v>0.58434959349593507</v>
      </c>
      <c r="T265" s="13">
        <f>IF(fCaixa[[#This Row],[Lançamento]]="RECEITA",fCaixa[[#This Row],[Venda]]-fCaixa[[#This Row],[Custoprimario]],0)</f>
        <v>52.274999999999991</v>
      </c>
      <c r="U265" s="16">
        <f>IFERROR(fCaixa[[#This Row],[Lucroprimario]]/fCaixa[[#This Row],[Venda]],0)</f>
        <v>0.42499999999999993</v>
      </c>
      <c r="V26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51.124999999999986</v>
      </c>
      <c r="W265" s="16">
        <f>IFERROR(fCaixa[[#This Row],[Lucrofinal]]/fCaixa[[#This Row],[Venda]],0)</f>
        <v>0.41565040650406493</v>
      </c>
    </row>
    <row r="266" spans="1:23" ht="16.5" hidden="1" x14ac:dyDescent="0.25">
      <c r="A266" s="17">
        <f t="shared" si="4"/>
        <v>265</v>
      </c>
      <c r="B266" s="87">
        <v>43216</v>
      </c>
      <c r="C266" s="12" t="s">
        <v>24</v>
      </c>
      <c r="D266" s="12" t="s">
        <v>25</v>
      </c>
      <c r="E266" s="12" t="s">
        <v>35</v>
      </c>
      <c r="F266" s="12" t="s">
        <v>28</v>
      </c>
      <c r="G266" s="13">
        <v>26</v>
      </c>
      <c r="H266" s="13">
        <v>0.65</v>
      </c>
      <c r="I266" s="13">
        <v>11.5</v>
      </c>
      <c r="J266" s="14">
        <v>0</v>
      </c>
      <c r="K266" s="17">
        <f>IFERROR(ROUND((fCaixa[[#This Row],[Venda]]/fCaixa[[#This Row],[Preço/Un.]]),0),0)</f>
        <v>40</v>
      </c>
      <c r="L266" s="15">
        <f>IFERROR((SUBSTITUTE(RIGHT(fCaixa[[#This Row],[Descrição]],3),"G","")*1 *fCaixa[[#This Row],[Qtd/Pães]]) / 1000,0)</f>
        <v>2</v>
      </c>
      <c r="M266" s="13">
        <f>IFERROR((((SUBSTITUTE(RIGHT(fCaixa[[#This Row],[Descrição]],3),"G","")*1) * fCaixa[[#This Row],[QTD Perdida]])/1000) *fCaixa[[#This Row],[Custo/KG.]],0)</f>
        <v>0</v>
      </c>
      <c r="N266" s="15">
        <f>IF(fCaixa[[#This Row],[Lançamento]]="RECEITA",(fCaixa[[#This Row],[QTD Perdida]]* (SUBSTITUTE(RIGHT(fCaixa[[#This Row],[Descrição]],3),"G","")*1))/1000,0)</f>
        <v>0</v>
      </c>
      <c r="O266" s="15">
        <f>fCaixa[[#This Row],[Qtd/Kg]]+fCaixa[[#This Row],[Qtd/Kg Perdido]]</f>
        <v>2</v>
      </c>
      <c r="P266" s="13">
        <f>IF(fCaixa[[#This Row],[Lançamento]]="RECEITA",(fCaixa[[#This Row],[Qtd/Kg]]*fCaixa[[#This Row],[Custo/KG.]]),0)</f>
        <v>23</v>
      </c>
      <c r="Q266" s="34">
        <f>fCaixa[[#This Row],[Custoprimario]]+fCaixa[[#This Row],[Total Perdido]]</f>
        <v>23</v>
      </c>
      <c r="R266" s="16">
        <f>IFERROR(fCaixa[[#This Row],[Custoprimario]]/fCaixa[[#This Row],[Venda]],0)</f>
        <v>0.88461538461538458</v>
      </c>
      <c r="S266" s="16">
        <f>IFERROR(fCaixa[[#This Row],[Custofinal]]/fCaixa[[#This Row],[Venda]],0)</f>
        <v>0.88461538461538458</v>
      </c>
      <c r="T266" s="13">
        <f>IF(fCaixa[[#This Row],[Lançamento]]="RECEITA",fCaixa[[#This Row],[Venda]]-fCaixa[[#This Row],[Custoprimario]],0)</f>
        <v>3</v>
      </c>
      <c r="U266" s="16">
        <f>IFERROR(fCaixa[[#This Row],[Lucroprimario]]/fCaixa[[#This Row],[Venda]],0)</f>
        <v>0.11538461538461539</v>
      </c>
      <c r="V26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</v>
      </c>
      <c r="W266" s="16">
        <f>IFERROR(fCaixa[[#This Row],[Lucrofinal]]/fCaixa[[#This Row],[Venda]],0)</f>
        <v>0.11538461538461539</v>
      </c>
    </row>
    <row r="267" spans="1:23" ht="16.5" hidden="1" x14ac:dyDescent="0.25">
      <c r="A267" s="17">
        <f t="shared" si="4"/>
        <v>266</v>
      </c>
      <c r="B267" s="87">
        <v>43217</v>
      </c>
      <c r="C267" s="12" t="s">
        <v>29</v>
      </c>
      <c r="D267" s="12" t="s">
        <v>25</v>
      </c>
      <c r="E267" s="12" t="s">
        <v>30</v>
      </c>
      <c r="F267" s="12" t="s">
        <v>28</v>
      </c>
      <c r="G267" s="13">
        <v>100</v>
      </c>
      <c r="H267" s="13">
        <v>0</v>
      </c>
      <c r="I267" s="13">
        <v>0</v>
      </c>
      <c r="J267" s="14">
        <v>0</v>
      </c>
      <c r="K267" s="17">
        <f>IFERROR(ROUND((fCaixa[[#This Row],[Venda]]/fCaixa[[#This Row],[Preço/Un.]]),0),0)</f>
        <v>0</v>
      </c>
      <c r="L267" s="15">
        <f>IFERROR((SUBSTITUTE(RIGHT(fCaixa[[#This Row],[Descrição]],3),"G","")*1 *fCaixa[[#This Row],[Qtd/Pães]]) / 1000,0)</f>
        <v>0</v>
      </c>
      <c r="M267" s="13">
        <f>IFERROR((((SUBSTITUTE(RIGHT(fCaixa[[#This Row],[Descrição]],3),"G","")*1) * fCaixa[[#This Row],[QTD Perdida]])/1000) *fCaixa[[#This Row],[Custo/KG.]],0)</f>
        <v>0</v>
      </c>
      <c r="N267" s="15">
        <f>IF(fCaixa[[#This Row],[Lançamento]]="RECEITA",(fCaixa[[#This Row],[QTD Perdida]]* (SUBSTITUTE(RIGHT(fCaixa[[#This Row],[Descrição]],3),"G","")*1))/1000,0)</f>
        <v>0</v>
      </c>
      <c r="O267" s="15">
        <f>fCaixa[[#This Row],[Qtd/Kg]]+fCaixa[[#This Row],[Qtd/Kg Perdido]]</f>
        <v>0</v>
      </c>
      <c r="P267" s="13">
        <f>IF(fCaixa[[#This Row],[Lançamento]]="RECEITA",(fCaixa[[#This Row],[Qtd/Kg]]*fCaixa[[#This Row],[Custo/KG.]]),0)</f>
        <v>0</v>
      </c>
      <c r="Q267" s="34">
        <f>fCaixa[[#This Row],[Custoprimario]]+fCaixa[[#This Row],[Total Perdido]]</f>
        <v>0</v>
      </c>
      <c r="R267" s="16">
        <f>IFERROR(fCaixa[[#This Row],[Custoprimario]]/fCaixa[[#This Row],[Venda]],0)</f>
        <v>0</v>
      </c>
      <c r="S267" s="16">
        <f>IFERROR(fCaixa[[#This Row],[Custofinal]]/fCaixa[[#This Row],[Venda]],0)</f>
        <v>0</v>
      </c>
      <c r="T267" s="13">
        <f>IF(fCaixa[[#This Row],[Lançamento]]="RECEITA",fCaixa[[#This Row],[Venda]]-fCaixa[[#This Row],[Custoprimario]],0)</f>
        <v>0</v>
      </c>
      <c r="U267" s="16">
        <f>IFERROR(fCaixa[[#This Row],[Lucroprimario]]/fCaixa[[#This Row],[Venda]],0)</f>
        <v>0</v>
      </c>
      <c r="V26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67" s="16">
        <f>IFERROR(fCaixa[[#This Row],[Lucrofinal]]/fCaixa[[#This Row],[Venda]],0)</f>
        <v>0</v>
      </c>
    </row>
    <row r="268" spans="1:23" ht="16.5" hidden="1" x14ac:dyDescent="0.25">
      <c r="A268" s="17">
        <f t="shared" si="4"/>
        <v>267</v>
      </c>
      <c r="B268" s="87">
        <v>43217</v>
      </c>
      <c r="C268" s="12" t="s">
        <v>24</v>
      </c>
      <c r="D268" s="12" t="s">
        <v>25</v>
      </c>
      <c r="E268" s="12" t="s">
        <v>35</v>
      </c>
      <c r="F268" s="12" t="s">
        <v>28</v>
      </c>
      <c r="G268" s="13">
        <v>177</v>
      </c>
      <c r="H268" s="13">
        <v>1</v>
      </c>
      <c r="I268" s="13">
        <v>11.5</v>
      </c>
      <c r="J268" s="14">
        <v>3</v>
      </c>
      <c r="K268" s="17">
        <f>IFERROR(ROUND((fCaixa[[#This Row],[Venda]]/fCaixa[[#This Row],[Preço/Un.]]),0),0)</f>
        <v>177</v>
      </c>
      <c r="L268" s="15">
        <f>IFERROR((SUBSTITUTE(RIGHT(fCaixa[[#This Row],[Descrição]],3),"G","")*1 *fCaixa[[#This Row],[Qtd/Pães]]) / 1000,0)</f>
        <v>8.85</v>
      </c>
      <c r="M268" s="13">
        <f>IFERROR((((SUBSTITUTE(RIGHT(fCaixa[[#This Row],[Descrição]],3),"G","")*1) * fCaixa[[#This Row],[QTD Perdida]])/1000) *fCaixa[[#This Row],[Custo/KG.]],0)</f>
        <v>1.7249999999999999</v>
      </c>
      <c r="N268" s="15">
        <f>IF(fCaixa[[#This Row],[Lançamento]]="RECEITA",(fCaixa[[#This Row],[QTD Perdida]]* (SUBSTITUTE(RIGHT(fCaixa[[#This Row],[Descrição]],3),"G","")*1))/1000,0)</f>
        <v>0.15</v>
      </c>
      <c r="O268" s="15">
        <f>fCaixa[[#This Row],[Qtd/Kg]]+fCaixa[[#This Row],[Qtd/Kg Perdido]]</f>
        <v>9</v>
      </c>
      <c r="P268" s="13">
        <f>IF(fCaixa[[#This Row],[Lançamento]]="RECEITA",(fCaixa[[#This Row],[Qtd/Kg]]*fCaixa[[#This Row],[Custo/KG.]]),0)</f>
        <v>101.77499999999999</v>
      </c>
      <c r="Q268" s="34">
        <f>fCaixa[[#This Row],[Custoprimario]]+fCaixa[[#This Row],[Total Perdido]]</f>
        <v>103.49999999999999</v>
      </c>
      <c r="R268" s="16">
        <f>IFERROR(fCaixa[[#This Row],[Custoprimario]]/fCaixa[[#This Row],[Venda]],0)</f>
        <v>0.57499999999999996</v>
      </c>
      <c r="S268" s="16">
        <f>IFERROR(fCaixa[[#This Row],[Custofinal]]/fCaixa[[#This Row],[Venda]],0)</f>
        <v>0.58474576271186429</v>
      </c>
      <c r="T268" s="13">
        <f>IF(fCaixa[[#This Row],[Lançamento]]="RECEITA",fCaixa[[#This Row],[Venda]]-fCaixa[[#This Row],[Custoprimario]],0)</f>
        <v>75.225000000000009</v>
      </c>
      <c r="U268" s="16">
        <f>IFERROR(fCaixa[[#This Row],[Lucroprimario]]/fCaixa[[#This Row],[Venda]],0)</f>
        <v>0.42500000000000004</v>
      </c>
      <c r="V26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73.500000000000014</v>
      </c>
      <c r="W268" s="16">
        <f>IFERROR(fCaixa[[#This Row],[Lucrofinal]]/fCaixa[[#This Row],[Venda]],0)</f>
        <v>0.41525423728813565</v>
      </c>
    </row>
    <row r="269" spans="1:23" ht="16.5" hidden="1" x14ac:dyDescent="0.25">
      <c r="A269" s="17">
        <f t="shared" si="4"/>
        <v>268</v>
      </c>
      <c r="B269" s="87">
        <v>43218</v>
      </c>
      <c r="C269" s="12" t="s">
        <v>24</v>
      </c>
      <c r="D269" s="12" t="s">
        <v>25</v>
      </c>
      <c r="E269" s="12" t="s">
        <v>35</v>
      </c>
      <c r="F269" s="12" t="s">
        <v>28</v>
      </c>
      <c r="G269" s="13">
        <v>70</v>
      </c>
      <c r="H269" s="13">
        <v>1</v>
      </c>
      <c r="I269" s="13">
        <v>11.5</v>
      </c>
      <c r="J269" s="14">
        <v>0</v>
      </c>
      <c r="K269" s="17">
        <f>IFERROR(ROUND((fCaixa[[#This Row],[Venda]]/fCaixa[[#This Row],[Preço/Un.]]),0),0)</f>
        <v>70</v>
      </c>
      <c r="L269" s="15">
        <f>IFERROR((SUBSTITUTE(RIGHT(fCaixa[[#This Row],[Descrição]],3),"G","")*1 *fCaixa[[#This Row],[Qtd/Pães]]) / 1000,0)</f>
        <v>3.5</v>
      </c>
      <c r="M269" s="13">
        <f>IFERROR((((SUBSTITUTE(RIGHT(fCaixa[[#This Row],[Descrição]],3),"G","")*1) * fCaixa[[#This Row],[QTD Perdida]])/1000) *fCaixa[[#This Row],[Custo/KG.]],0)</f>
        <v>0</v>
      </c>
      <c r="N269" s="15">
        <f>IF(fCaixa[[#This Row],[Lançamento]]="RECEITA",(fCaixa[[#This Row],[QTD Perdida]]* (SUBSTITUTE(RIGHT(fCaixa[[#This Row],[Descrição]],3),"G","")*1))/1000,0)</f>
        <v>0</v>
      </c>
      <c r="O269" s="15">
        <f>fCaixa[[#This Row],[Qtd/Kg]]+fCaixa[[#This Row],[Qtd/Kg Perdido]]</f>
        <v>3.5</v>
      </c>
      <c r="P269" s="13">
        <f>IF(fCaixa[[#This Row],[Lançamento]]="RECEITA",(fCaixa[[#This Row],[Qtd/Kg]]*fCaixa[[#This Row],[Custo/KG.]]),0)</f>
        <v>40.25</v>
      </c>
      <c r="Q269" s="34">
        <f>fCaixa[[#This Row],[Custoprimario]]+fCaixa[[#This Row],[Total Perdido]]</f>
        <v>40.25</v>
      </c>
      <c r="R269" s="16">
        <f>IFERROR(fCaixa[[#This Row],[Custoprimario]]/fCaixa[[#This Row],[Venda]],0)</f>
        <v>0.57499999999999996</v>
      </c>
      <c r="S269" s="16">
        <f>IFERROR(fCaixa[[#This Row],[Custofinal]]/fCaixa[[#This Row],[Venda]],0)</f>
        <v>0.57499999999999996</v>
      </c>
      <c r="T269" s="13">
        <f>IF(fCaixa[[#This Row],[Lançamento]]="RECEITA",fCaixa[[#This Row],[Venda]]-fCaixa[[#This Row],[Custoprimario]],0)</f>
        <v>29.75</v>
      </c>
      <c r="U269" s="16">
        <f>IFERROR(fCaixa[[#This Row],[Lucroprimario]]/fCaixa[[#This Row],[Venda]],0)</f>
        <v>0.42499999999999999</v>
      </c>
      <c r="V26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29.75</v>
      </c>
      <c r="W269" s="16">
        <f>IFERROR(fCaixa[[#This Row],[Lucrofinal]]/fCaixa[[#This Row],[Venda]],0)</f>
        <v>0.42499999999999999</v>
      </c>
    </row>
    <row r="270" spans="1:23" ht="16.5" hidden="1" x14ac:dyDescent="0.25">
      <c r="A270" s="17">
        <f t="shared" si="4"/>
        <v>269</v>
      </c>
      <c r="B270" s="87">
        <v>43218</v>
      </c>
      <c r="C270" s="12" t="s">
        <v>24</v>
      </c>
      <c r="D270" s="12" t="s">
        <v>25</v>
      </c>
      <c r="E270" s="12" t="s">
        <v>35</v>
      </c>
      <c r="F270" s="12" t="s">
        <v>28</v>
      </c>
      <c r="G270" s="13">
        <v>10</v>
      </c>
      <c r="H270" s="13">
        <v>0.57999999999999996</v>
      </c>
      <c r="I270" s="13">
        <v>11.5</v>
      </c>
      <c r="J270" s="14">
        <v>0</v>
      </c>
      <c r="K270" s="17">
        <f>IFERROR(ROUND((fCaixa[[#This Row],[Venda]]/fCaixa[[#This Row],[Preço/Un.]]),0),0)</f>
        <v>17</v>
      </c>
      <c r="L270" s="15">
        <f>IFERROR((SUBSTITUTE(RIGHT(fCaixa[[#This Row],[Descrição]],3),"G","")*1 *fCaixa[[#This Row],[Qtd/Pães]]) / 1000,0)</f>
        <v>0.85</v>
      </c>
      <c r="M270" s="13">
        <f>IFERROR((((SUBSTITUTE(RIGHT(fCaixa[[#This Row],[Descrição]],3),"G","")*1) * fCaixa[[#This Row],[QTD Perdida]])/1000) *fCaixa[[#This Row],[Custo/KG.]],0)</f>
        <v>0</v>
      </c>
      <c r="N270" s="15">
        <f>IF(fCaixa[[#This Row],[Lançamento]]="RECEITA",(fCaixa[[#This Row],[QTD Perdida]]* (SUBSTITUTE(RIGHT(fCaixa[[#This Row],[Descrição]],3),"G","")*1))/1000,0)</f>
        <v>0</v>
      </c>
      <c r="O270" s="15">
        <f>fCaixa[[#This Row],[Qtd/Kg]]+fCaixa[[#This Row],[Qtd/Kg Perdido]]</f>
        <v>0.85</v>
      </c>
      <c r="P270" s="13">
        <f>IF(fCaixa[[#This Row],[Lançamento]]="RECEITA",(fCaixa[[#This Row],[Qtd/Kg]]*fCaixa[[#This Row],[Custo/KG.]]),0)</f>
        <v>9.7750000000000004</v>
      </c>
      <c r="Q270" s="34">
        <f>fCaixa[[#This Row],[Custoprimario]]+fCaixa[[#This Row],[Total Perdido]]</f>
        <v>9.7750000000000004</v>
      </c>
      <c r="R270" s="16">
        <f>IFERROR(fCaixa[[#This Row],[Custoprimario]]/fCaixa[[#This Row],[Venda]],0)</f>
        <v>0.97750000000000004</v>
      </c>
      <c r="S270" s="16">
        <f>IFERROR(fCaixa[[#This Row],[Custofinal]]/fCaixa[[#This Row],[Venda]],0)</f>
        <v>0.97750000000000004</v>
      </c>
      <c r="T270" s="13">
        <f>IF(fCaixa[[#This Row],[Lançamento]]="RECEITA",fCaixa[[#This Row],[Venda]]-fCaixa[[#This Row],[Custoprimario]],0)</f>
        <v>0.22499999999999964</v>
      </c>
      <c r="U270" s="16">
        <f>IFERROR(fCaixa[[#This Row],[Lucroprimario]]/fCaixa[[#This Row],[Venda]],0)</f>
        <v>2.2499999999999964E-2</v>
      </c>
      <c r="V27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0.22499999999999964</v>
      </c>
      <c r="W270" s="16">
        <f>IFERROR(fCaixa[[#This Row],[Lucrofinal]]/fCaixa[[#This Row],[Venda]],0)</f>
        <v>2.2499999999999964E-2</v>
      </c>
    </row>
    <row r="271" spans="1:23" ht="16.5" hidden="1" x14ac:dyDescent="0.25">
      <c r="A271" s="17">
        <f t="shared" si="4"/>
        <v>270</v>
      </c>
      <c r="B271" s="87">
        <v>43220</v>
      </c>
      <c r="C271" s="12" t="s">
        <v>29</v>
      </c>
      <c r="D271" s="12" t="s">
        <v>25</v>
      </c>
      <c r="E271" s="12" t="s">
        <v>36</v>
      </c>
      <c r="F271" s="12" t="s">
        <v>28</v>
      </c>
      <c r="G271" s="13">
        <v>96</v>
      </c>
      <c r="H271" s="13">
        <v>0</v>
      </c>
      <c r="I271" s="13">
        <v>0</v>
      </c>
      <c r="J271" s="14">
        <v>0</v>
      </c>
      <c r="K271" s="17">
        <f>IFERROR(ROUND((fCaixa[[#This Row],[Venda]]/fCaixa[[#This Row],[Preço/Un.]]),0),0)</f>
        <v>0</v>
      </c>
      <c r="L271" s="15">
        <f>IFERROR((SUBSTITUTE(RIGHT(fCaixa[[#This Row],[Descrição]],3),"G","")*1 *fCaixa[[#This Row],[Qtd/Pães]]) / 1000,0)</f>
        <v>0</v>
      </c>
      <c r="M271" s="13">
        <f>IFERROR((((SUBSTITUTE(RIGHT(fCaixa[[#This Row],[Descrição]],3),"G","")*1) * fCaixa[[#This Row],[QTD Perdida]])/1000) *fCaixa[[#This Row],[Custo/KG.]],0)</f>
        <v>0</v>
      </c>
      <c r="N271" s="15">
        <f>IF(fCaixa[[#This Row],[Lançamento]]="RECEITA",(fCaixa[[#This Row],[QTD Perdida]]* (SUBSTITUTE(RIGHT(fCaixa[[#This Row],[Descrição]],3),"G","")*1))/1000,0)</f>
        <v>0</v>
      </c>
      <c r="O271" s="15">
        <f>fCaixa[[#This Row],[Qtd/Kg]]+fCaixa[[#This Row],[Qtd/Kg Perdido]]</f>
        <v>0</v>
      </c>
      <c r="P271" s="13">
        <f>IF(fCaixa[[#This Row],[Lançamento]]="RECEITA",(fCaixa[[#This Row],[Qtd/Kg]]*fCaixa[[#This Row],[Custo/KG.]]),0)</f>
        <v>0</v>
      </c>
      <c r="Q271" s="34">
        <f>fCaixa[[#This Row],[Custoprimario]]+fCaixa[[#This Row],[Total Perdido]]</f>
        <v>0</v>
      </c>
      <c r="R271" s="16">
        <f>IFERROR(fCaixa[[#This Row],[Custoprimario]]/fCaixa[[#This Row],[Venda]],0)</f>
        <v>0</v>
      </c>
      <c r="S271" s="16">
        <f>IFERROR(fCaixa[[#This Row],[Custofinal]]/fCaixa[[#This Row],[Venda]],0)</f>
        <v>0</v>
      </c>
      <c r="T271" s="13">
        <f>IF(fCaixa[[#This Row],[Lançamento]]="RECEITA",fCaixa[[#This Row],[Venda]]-fCaixa[[#This Row],[Custoprimario]],0)</f>
        <v>0</v>
      </c>
      <c r="U271" s="16">
        <f>IFERROR(fCaixa[[#This Row],[Lucroprimario]]/fCaixa[[#This Row],[Venda]],0)</f>
        <v>0</v>
      </c>
      <c r="V27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71" s="16">
        <f>IFERROR(fCaixa[[#This Row],[Lucrofinal]]/fCaixa[[#This Row],[Venda]],0)</f>
        <v>0</v>
      </c>
    </row>
    <row r="272" spans="1:23" ht="16.5" hidden="1" x14ac:dyDescent="0.25">
      <c r="A272" s="17">
        <f t="shared" si="4"/>
        <v>271</v>
      </c>
      <c r="B272" s="87">
        <v>43222</v>
      </c>
      <c r="C272" s="12" t="s">
        <v>24</v>
      </c>
      <c r="D272" s="12" t="s">
        <v>25</v>
      </c>
      <c r="E272" s="12" t="s">
        <v>35</v>
      </c>
      <c r="F272" s="12" t="s">
        <v>28</v>
      </c>
      <c r="G272" s="13">
        <v>164.8</v>
      </c>
      <c r="H272" s="13">
        <v>1</v>
      </c>
      <c r="I272" s="13">
        <v>11.5</v>
      </c>
      <c r="J272" s="14">
        <v>15</v>
      </c>
      <c r="K272" s="17">
        <f>IFERROR(ROUND((fCaixa[[#This Row],[Venda]]/fCaixa[[#This Row],[Preço/Un.]]),0),0)</f>
        <v>165</v>
      </c>
      <c r="L272" s="15">
        <f>IFERROR((SUBSTITUTE(RIGHT(fCaixa[[#This Row],[Descrição]],3),"G","")*1 *fCaixa[[#This Row],[Qtd/Pães]]) / 1000,0)</f>
        <v>8.25</v>
      </c>
      <c r="M272" s="13">
        <f>IFERROR((((SUBSTITUTE(RIGHT(fCaixa[[#This Row],[Descrição]],3),"G","")*1) * fCaixa[[#This Row],[QTD Perdida]])/1000) *fCaixa[[#This Row],[Custo/KG.]],0)</f>
        <v>8.625</v>
      </c>
      <c r="N272" s="15">
        <f>IF(fCaixa[[#This Row],[Lançamento]]="RECEITA",(fCaixa[[#This Row],[QTD Perdida]]* (SUBSTITUTE(RIGHT(fCaixa[[#This Row],[Descrição]],3),"G","")*1))/1000,0)</f>
        <v>0.75</v>
      </c>
      <c r="O272" s="15">
        <f>fCaixa[[#This Row],[Qtd/Kg]]+fCaixa[[#This Row],[Qtd/Kg Perdido]]</f>
        <v>9</v>
      </c>
      <c r="P272" s="13">
        <f>IF(fCaixa[[#This Row],[Lançamento]]="RECEITA",(fCaixa[[#This Row],[Qtd/Kg]]*fCaixa[[#This Row],[Custo/KG.]]),0)</f>
        <v>94.875</v>
      </c>
      <c r="Q272" s="34">
        <f>fCaixa[[#This Row],[Custoprimario]]+fCaixa[[#This Row],[Total Perdido]]</f>
        <v>103.5</v>
      </c>
      <c r="R272" s="16">
        <f>IFERROR(fCaixa[[#This Row],[Custoprimario]]/fCaixa[[#This Row],[Venda]],0)</f>
        <v>0.57569781553398058</v>
      </c>
      <c r="S272" s="16">
        <f>IFERROR(fCaixa[[#This Row],[Custofinal]]/fCaixa[[#This Row],[Venda]],0)</f>
        <v>0.62803398058252424</v>
      </c>
      <c r="T272" s="13">
        <f>IF(fCaixa[[#This Row],[Lançamento]]="RECEITA",fCaixa[[#This Row],[Venda]]-fCaixa[[#This Row],[Custoprimario]],0)</f>
        <v>69.925000000000011</v>
      </c>
      <c r="U272" s="16">
        <f>IFERROR(fCaixa[[#This Row],[Lucroprimario]]/fCaixa[[#This Row],[Venda]],0)</f>
        <v>0.42430218446601947</v>
      </c>
      <c r="V27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61.300000000000011</v>
      </c>
      <c r="W272" s="16">
        <f>IFERROR(fCaixa[[#This Row],[Lucrofinal]]/fCaixa[[#This Row],[Venda]],0)</f>
        <v>0.37196601941747576</v>
      </c>
    </row>
    <row r="273" spans="1:23" ht="16.5" hidden="1" x14ac:dyDescent="0.25">
      <c r="A273" s="17">
        <f t="shared" si="4"/>
        <v>272</v>
      </c>
      <c r="B273" s="87">
        <v>43222</v>
      </c>
      <c r="C273" s="12" t="s">
        <v>24</v>
      </c>
      <c r="D273" s="12" t="s">
        <v>37</v>
      </c>
      <c r="E273" s="12" t="s">
        <v>35</v>
      </c>
      <c r="F273" s="12" t="s">
        <v>28</v>
      </c>
      <c r="G273" s="13">
        <v>5</v>
      </c>
      <c r="H273" s="13">
        <v>1</v>
      </c>
      <c r="I273" s="13">
        <v>11.5</v>
      </c>
      <c r="J273" s="14">
        <v>0</v>
      </c>
      <c r="K273" s="17">
        <f>IFERROR(ROUND((fCaixa[[#This Row],[Venda]]/fCaixa[[#This Row],[Preço/Un.]]),0),0)</f>
        <v>5</v>
      </c>
      <c r="L273" s="15">
        <f>IFERROR((SUBSTITUTE(RIGHT(fCaixa[[#This Row],[Descrição]],3),"G","")*1 *fCaixa[[#This Row],[Qtd/Pães]]) / 1000,0)</f>
        <v>0.25</v>
      </c>
      <c r="M273" s="13">
        <f>IFERROR((((SUBSTITUTE(RIGHT(fCaixa[[#This Row],[Descrição]],3),"G","")*1) * fCaixa[[#This Row],[QTD Perdida]])/1000) *fCaixa[[#This Row],[Custo/KG.]],0)</f>
        <v>0</v>
      </c>
      <c r="N273" s="15">
        <f>IF(fCaixa[[#This Row],[Lançamento]]="RECEITA",(fCaixa[[#This Row],[QTD Perdida]]* (SUBSTITUTE(RIGHT(fCaixa[[#This Row],[Descrição]],3),"G","")*1))/1000,0)</f>
        <v>0</v>
      </c>
      <c r="O273" s="15">
        <f>fCaixa[[#This Row],[Qtd/Kg]]+fCaixa[[#This Row],[Qtd/Kg Perdido]]</f>
        <v>0.25</v>
      </c>
      <c r="P273" s="13">
        <f>IF(fCaixa[[#This Row],[Lançamento]]="RECEITA",(fCaixa[[#This Row],[Qtd/Kg]]*fCaixa[[#This Row],[Custo/KG.]]),0)</f>
        <v>2.875</v>
      </c>
      <c r="Q273" s="34">
        <f>fCaixa[[#This Row],[Custoprimario]]+fCaixa[[#This Row],[Total Perdido]]</f>
        <v>2.875</v>
      </c>
      <c r="R273" s="16">
        <f>IFERROR(fCaixa[[#This Row],[Custoprimario]]/fCaixa[[#This Row],[Venda]],0)</f>
        <v>0.57499999999999996</v>
      </c>
      <c r="S273" s="16">
        <f>IFERROR(fCaixa[[#This Row],[Custofinal]]/fCaixa[[#This Row],[Venda]],0)</f>
        <v>0.57499999999999996</v>
      </c>
      <c r="T273" s="13">
        <f>IF(fCaixa[[#This Row],[Lançamento]]="RECEITA",fCaixa[[#This Row],[Venda]]-fCaixa[[#This Row],[Custoprimario]],0)</f>
        <v>2.125</v>
      </c>
      <c r="U273" s="16">
        <f>IFERROR(fCaixa[[#This Row],[Lucroprimario]]/fCaixa[[#This Row],[Venda]],0)</f>
        <v>0.42499999999999999</v>
      </c>
      <c r="V27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273" s="16">
        <f>IFERROR(fCaixa[[#This Row],[Lucrofinal]]/fCaixa[[#This Row],[Venda]],0)</f>
        <v>0.40210000000000001</v>
      </c>
    </row>
    <row r="274" spans="1:23" ht="16.5" hidden="1" x14ac:dyDescent="0.25">
      <c r="A274" s="17">
        <f t="shared" si="4"/>
        <v>273</v>
      </c>
      <c r="B274" s="87">
        <v>43223</v>
      </c>
      <c r="C274" s="12" t="s">
        <v>24</v>
      </c>
      <c r="D274" s="12" t="s">
        <v>25</v>
      </c>
      <c r="E274" s="12" t="s">
        <v>35</v>
      </c>
      <c r="F274" s="12" t="s">
        <v>28</v>
      </c>
      <c r="G274" s="13">
        <v>70</v>
      </c>
      <c r="H274" s="13">
        <v>1</v>
      </c>
      <c r="I274" s="13">
        <v>11.5</v>
      </c>
      <c r="J274" s="14">
        <v>12</v>
      </c>
      <c r="K274" s="17">
        <f>IFERROR(ROUND((fCaixa[[#This Row],[Venda]]/fCaixa[[#This Row],[Preço/Un.]]),0),0)</f>
        <v>70</v>
      </c>
      <c r="L274" s="15">
        <f>IFERROR((SUBSTITUTE(RIGHT(fCaixa[[#This Row],[Descrição]],3),"G","")*1 *fCaixa[[#This Row],[Qtd/Pães]]) / 1000,0)</f>
        <v>3.5</v>
      </c>
      <c r="M274" s="13">
        <f>IFERROR((((SUBSTITUTE(RIGHT(fCaixa[[#This Row],[Descrição]],3),"G","")*1) * fCaixa[[#This Row],[QTD Perdida]])/1000) *fCaixa[[#This Row],[Custo/KG.]],0)</f>
        <v>6.8999999999999995</v>
      </c>
      <c r="N274" s="15">
        <f>IF(fCaixa[[#This Row],[Lançamento]]="RECEITA",(fCaixa[[#This Row],[QTD Perdida]]* (SUBSTITUTE(RIGHT(fCaixa[[#This Row],[Descrição]],3),"G","")*1))/1000,0)</f>
        <v>0.6</v>
      </c>
      <c r="O274" s="15">
        <f>fCaixa[[#This Row],[Qtd/Kg]]+fCaixa[[#This Row],[Qtd/Kg Perdido]]</f>
        <v>4.0999999999999996</v>
      </c>
      <c r="P274" s="13">
        <f>IF(fCaixa[[#This Row],[Lançamento]]="RECEITA",(fCaixa[[#This Row],[Qtd/Kg]]*fCaixa[[#This Row],[Custo/KG.]]),0)</f>
        <v>40.25</v>
      </c>
      <c r="Q274" s="34">
        <f>fCaixa[[#This Row],[Custoprimario]]+fCaixa[[#This Row],[Total Perdido]]</f>
        <v>47.15</v>
      </c>
      <c r="R274" s="16">
        <f>IFERROR(fCaixa[[#This Row],[Custoprimario]]/fCaixa[[#This Row],[Venda]],0)</f>
        <v>0.57499999999999996</v>
      </c>
      <c r="S274" s="16">
        <f>IFERROR(fCaixa[[#This Row],[Custofinal]]/fCaixa[[#This Row],[Venda]],0)</f>
        <v>0.6735714285714286</v>
      </c>
      <c r="T274" s="13">
        <f>IF(fCaixa[[#This Row],[Lançamento]]="RECEITA",fCaixa[[#This Row],[Venda]]-fCaixa[[#This Row],[Custoprimario]],0)</f>
        <v>29.75</v>
      </c>
      <c r="U274" s="16">
        <f>IFERROR(fCaixa[[#This Row],[Lucroprimario]]/fCaixa[[#This Row],[Venda]],0)</f>
        <v>0.42499999999999999</v>
      </c>
      <c r="V27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22.85</v>
      </c>
      <c r="W274" s="16">
        <f>IFERROR(fCaixa[[#This Row],[Lucrofinal]]/fCaixa[[#This Row],[Venda]],0)</f>
        <v>0.32642857142857146</v>
      </c>
    </row>
    <row r="275" spans="1:23" ht="16.5" hidden="1" x14ac:dyDescent="0.25">
      <c r="A275" s="17">
        <f t="shared" si="4"/>
        <v>274</v>
      </c>
      <c r="B275" s="87">
        <v>43224</v>
      </c>
      <c r="C275" s="12" t="s">
        <v>24</v>
      </c>
      <c r="D275" s="12" t="s">
        <v>25</v>
      </c>
      <c r="E275" s="12" t="s">
        <v>35</v>
      </c>
      <c r="F275" s="12" t="s">
        <v>28</v>
      </c>
      <c r="G275" s="13">
        <v>130</v>
      </c>
      <c r="H275" s="13">
        <v>1</v>
      </c>
      <c r="I275" s="13">
        <v>11.5</v>
      </c>
      <c r="J275" s="14">
        <v>10</v>
      </c>
      <c r="K275" s="17">
        <f>IFERROR(ROUND((fCaixa[[#This Row],[Venda]]/fCaixa[[#This Row],[Preço/Un.]]),0),0)</f>
        <v>130</v>
      </c>
      <c r="L275" s="15">
        <f>IFERROR((SUBSTITUTE(RIGHT(fCaixa[[#This Row],[Descrição]],3),"G","")*1 *fCaixa[[#This Row],[Qtd/Pães]]) / 1000,0)</f>
        <v>6.5</v>
      </c>
      <c r="M275" s="13">
        <f>IFERROR((((SUBSTITUTE(RIGHT(fCaixa[[#This Row],[Descrição]],3),"G","")*1) * fCaixa[[#This Row],[QTD Perdida]])/1000) *fCaixa[[#This Row],[Custo/KG.]],0)</f>
        <v>5.75</v>
      </c>
      <c r="N275" s="15">
        <f>IF(fCaixa[[#This Row],[Lançamento]]="RECEITA",(fCaixa[[#This Row],[QTD Perdida]]* (SUBSTITUTE(RIGHT(fCaixa[[#This Row],[Descrição]],3),"G","")*1))/1000,0)</f>
        <v>0.5</v>
      </c>
      <c r="O275" s="15">
        <f>fCaixa[[#This Row],[Qtd/Kg]]+fCaixa[[#This Row],[Qtd/Kg Perdido]]</f>
        <v>7</v>
      </c>
      <c r="P275" s="13">
        <f>IF(fCaixa[[#This Row],[Lançamento]]="RECEITA",(fCaixa[[#This Row],[Qtd/Kg]]*fCaixa[[#This Row],[Custo/KG.]]),0)</f>
        <v>74.75</v>
      </c>
      <c r="Q275" s="34">
        <f>fCaixa[[#This Row],[Custoprimario]]+fCaixa[[#This Row],[Total Perdido]]</f>
        <v>80.5</v>
      </c>
      <c r="R275" s="16">
        <f>IFERROR(fCaixa[[#This Row],[Custoprimario]]/fCaixa[[#This Row],[Venda]],0)</f>
        <v>0.57499999999999996</v>
      </c>
      <c r="S275" s="16">
        <f>IFERROR(fCaixa[[#This Row],[Custofinal]]/fCaixa[[#This Row],[Venda]],0)</f>
        <v>0.61923076923076925</v>
      </c>
      <c r="T275" s="13">
        <f>IF(fCaixa[[#This Row],[Lançamento]]="RECEITA",fCaixa[[#This Row],[Venda]]-fCaixa[[#This Row],[Custoprimario]],0)</f>
        <v>55.25</v>
      </c>
      <c r="U275" s="16">
        <f>IFERROR(fCaixa[[#This Row],[Lucroprimario]]/fCaixa[[#This Row],[Venda]],0)</f>
        <v>0.42499999999999999</v>
      </c>
      <c r="V27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49.5</v>
      </c>
      <c r="W275" s="16">
        <f>IFERROR(fCaixa[[#This Row],[Lucrofinal]]/fCaixa[[#This Row],[Venda]],0)</f>
        <v>0.38076923076923075</v>
      </c>
    </row>
    <row r="276" spans="1:23" ht="16.5" hidden="1" x14ac:dyDescent="0.25">
      <c r="A276" s="17">
        <f t="shared" si="4"/>
        <v>275</v>
      </c>
      <c r="B276" s="87">
        <v>43224</v>
      </c>
      <c r="C276" s="12" t="s">
        <v>24</v>
      </c>
      <c r="D276" s="12" t="s">
        <v>25</v>
      </c>
      <c r="E276" s="12" t="s">
        <v>35</v>
      </c>
      <c r="F276" s="12" t="s">
        <v>28</v>
      </c>
      <c r="G276" s="13">
        <v>18</v>
      </c>
      <c r="H276" s="13">
        <v>0.9</v>
      </c>
      <c r="I276" s="13">
        <v>11.5</v>
      </c>
      <c r="J276" s="14">
        <v>0</v>
      </c>
      <c r="K276" s="17">
        <f>IFERROR(ROUND((fCaixa[[#This Row],[Venda]]/fCaixa[[#This Row],[Preço/Un.]]),0),0)</f>
        <v>20</v>
      </c>
      <c r="L276" s="15">
        <f>IFERROR((SUBSTITUTE(RIGHT(fCaixa[[#This Row],[Descrição]],3),"G","")*1 *fCaixa[[#This Row],[Qtd/Pães]]) / 1000,0)</f>
        <v>1</v>
      </c>
      <c r="M276" s="13">
        <f>IFERROR((((SUBSTITUTE(RIGHT(fCaixa[[#This Row],[Descrição]],3),"G","")*1) * fCaixa[[#This Row],[QTD Perdida]])/1000) *fCaixa[[#This Row],[Custo/KG.]],0)</f>
        <v>0</v>
      </c>
      <c r="N276" s="15">
        <f>IF(fCaixa[[#This Row],[Lançamento]]="RECEITA",(fCaixa[[#This Row],[QTD Perdida]]* (SUBSTITUTE(RIGHT(fCaixa[[#This Row],[Descrição]],3),"G","")*1))/1000,0)</f>
        <v>0</v>
      </c>
      <c r="O276" s="15">
        <f>fCaixa[[#This Row],[Qtd/Kg]]+fCaixa[[#This Row],[Qtd/Kg Perdido]]</f>
        <v>1</v>
      </c>
      <c r="P276" s="13">
        <f>IF(fCaixa[[#This Row],[Lançamento]]="RECEITA",(fCaixa[[#This Row],[Qtd/Kg]]*fCaixa[[#This Row],[Custo/KG.]]),0)</f>
        <v>11.5</v>
      </c>
      <c r="Q276" s="34">
        <f>fCaixa[[#This Row],[Custoprimario]]+fCaixa[[#This Row],[Total Perdido]]</f>
        <v>11.5</v>
      </c>
      <c r="R276" s="16">
        <f>IFERROR(fCaixa[[#This Row],[Custoprimario]]/fCaixa[[#This Row],[Venda]],0)</f>
        <v>0.63888888888888884</v>
      </c>
      <c r="S276" s="16">
        <f>IFERROR(fCaixa[[#This Row],[Custofinal]]/fCaixa[[#This Row],[Venda]],0)</f>
        <v>0.63888888888888884</v>
      </c>
      <c r="T276" s="13">
        <f>IF(fCaixa[[#This Row],[Lançamento]]="RECEITA",fCaixa[[#This Row],[Venda]]-fCaixa[[#This Row],[Custoprimario]],0)</f>
        <v>6.5</v>
      </c>
      <c r="U276" s="16">
        <f>IFERROR(fCaixa[[#This Row],[Lucroprimario]]/fCaixa[[#This Row],[Venda]],0)</f>
        <v>0.3611111111111111</v>
      </c>
      <c r="V27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276" s="16">
        <f>IFERROR(fCaixa[[#This Row],[Lucrofinal]]/fCaixa[[#This Row],[Venda]],0)</f>
        <v>0.3611111111111111</v>
      </c>
    </row>
    <row r="277" spans="1:23" ht="16.5" hidden="1" x14ac:dyDescent="0.25">
      <c r="A277" s="17">
        <f t="shared" si="4"/>
        <v>276</v>
      </c>
      <c r="B277" s="87">
        <v>43224</v>
      </c>
      <c r="C277" s="12" t="s">
        <v>24</v>
      </c>
      <c r="D277" s="12" t="s">
        <v>25</v>
      </c>
      <c r="E277" s="12" t="s">
        <v>35</v>
      </c>
      <c r="F277" s="12" t="s">
        <v>28</v>
      </c>
      <c r="G277" s="13">
        <v>19</v>
      </c>
      <c r="H277" s="13">
        <v>0.95</v>
      </c>
      <c r="I277" s="13">
        <v>11.5</v>
      </c>
      <c r="J277" s="14">
        <v>0</v>
      </c>
      <c r="K277" s="17">
        <f>IFERROR(ROUND((fCaixa[[#This Row],[Venda]]/fCaixa[[#This Row],[Preço/Un.]]),0),0)</f>
        <v>20</v>
      </c>
      <c r="L277" s="15">
        <f>IFERROR((SUBSTITUTE(RIGHT(fCaixa[[#This Row],[Descrição]],3),"G","")*1 *fCaixa[[#This Row],[Qtd/Pães]]) / 1000,0)</f>
        <v>1</v>
      </c>
      <c r="M277" s="13">
        <f>IFERROR((((SUBSTITUTE(RIGHT(fCaixa[[#This Row],[Descrição]],3),"G","")*1) * fCaixa[[#This Row],[QTD Perdida]])/1000) *fCaixa[[#This Row],[Custo/KG.]],0)</f>
        <v>0</v>
      </c>
      <c r="N277" s="15">
        <f>IF(fCaixa[[#This Row],[Lançamento]]="RECEITA",(fCaixa[[#This Row],[QTD Perdida]]* (SUBSTITUTE(RIGHT(fCaixa[[#This Row],[Descrição]],3),"G","")*1))/1000,0)</f>
        <v>0</v>
      </c>
      <c r="O277" s="15">
        <f>fCaixa[[#This Row],[Qtd/Kg]]+fCaixa[[#This Row],[Qtd/Kg Perdido]]</f>
        <v>1</v>
      </c>
      <c r="P277" s="13">
        <f>IF(fCaixa[[#This Row],[Lançamento]]="RECEITA",(fCaixa[[#This Row],[Qtd/Kg]]*fCaixa[[#This Row],[Custo/KG.]]),0)</f>
        <v>11.5</v>
      </c>
      <c r="Q277" s="34">
        <f>fCaixa[[#This Row],[Custoprimario]]+fCaixa[[#This Row],[Total Perdido]]</f>
        <v>11.5</v>
      </c>
      <c r="R277" s="16">
        <f>IFERROR(fCaixa[[#This Row],[Custoprimario]]/fCaixa[[#This Row],[Venda]],0)</f>
        <v>0.60526315789473684</v>
      </c>
      <c r="S277" s="16">
        <f>IFERROR(fCaixa[[#This Row],[Custofinal]]/fCaixa[[#This Row],[Venda]],0)</f>
        <v>0.60526315789473684</v>
      </c>
      <c r="T277" s="13">
        <f>IF(fCaixa[[#This Row],[Lançamento]]="RECEITA",fCaixa[[#This Row],[Venda]]-fCaixa[[#This Row],[Custoprimario]],0)</f>
        <v>7.5</v>
      </c>
      <c r="U277" s="16">
        <f>IFERROR(fCaixa[[#This Row],[Lucroprimario]]/fCaixa[[#This Row],[Venda]],0)</f>
        <v>0.39473684210526316</v>
      </c>
      <c r="V27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7.5</v>
      </c>
      <c r="W277" s="16">
        <f>IFERROR(fCaixa[[#This Row],[Lucrofinal]]/fCaixa[[#This Row],[Venda]],0)</f>
        <v>0.39473684210526316</v>
      </c>
    </row>
    <row r="278" spans="1:23" ht="16.5" hidden="1" x14ac:dyDescent="0.25">
      <c r="A278" s="17">
        <f t="shared" si="4"/>
        <v>277</v>
      </c>
      <c r="B278" s="87">
        <v>43225</v>
      </c>
      <c r="C278" s="12" t="s">
        <v>24</v>
      </c>
      <c r="D278" s="12" t="s">
        <v>25</v>
      </c>
      <c r="E278" s="12" t="s">
        <v>35</v>
      </c>
      <c r="F278" s="12" t="s">
        <v>28</v>
      </c>
      <c r="G278" s="13">
        <v>83</v>
      </c>
      <c r="H278" s="13">
        <v>1</v>
      </c>
      <c r="I278" s="13">
        <v>11.5</v>
      </c>
      <c r="J278" s="14">
        <v>7</v>
      </c>
      <c r="K278" s="17">
        <f>IFERROR(ROUND((fCaixa[[#This Row],[Venda]]/fCaixa[[#This Row],[Preço/Un.]]),0),0)</f>
        <v>83</v>
      </c>
      <c r="L278" s="15">
        <f>IFERROR((SUBSTITUTE(RIGHT(fCaixa[[#This Row],[Descrição]],3),"G","")*1 *fCaixa[[#This Row],[Qtd/Pães]]) / 1000,0)</f>
        <v>4.1500000000000004</v>
      </c>
      <c r="M278" s="13">
        <f>IFERROR((((SUBSTITUTE(RIGHT(fCaixa[[#This Row],[Descrição]],3),"G","")*1) * fCaixa[[#This Row],[QTD Perdida]])/1000) *fCaixa[[#This Row],[Custo/KG.]],0)</f>
        <v>4.0249999999999995</v>
      </c>
      <c r="N278" s="15">
        <f>IF(fCaixa[[#This Row],[Lançamento]]="RECEITA",(fCaixa[[#This Row],[QTD Perdida]]* (SUBSTITUTE(RIGHT(fCaixa[[#This Row],[Descrição]],3),"G","")*1))/1000,0)</f>
        <v>0.35</v>
      </c>
      <c r="O278" s="15">
        <f>fCaixa[[#This Row],[Qtd/Kg]]+fCaixa[[#This Row],[Qtd/Kg Perdido]]</f>
        <v>4.5</v>
      </c>
      <c r="P278" s="13">
        <f>IF(fCaixa[[#This Row],[Lançamento]]="RECEITA",(fCaixa[[#This Row],[Qtd/Kg]]*fCaixa[[#This Row],[Custo/KG.]]),0)</f>
        <v>47.725000000000001</v>
      </c>
      <c r="Q278" s="34">
        <f>fCaixa[[#This Row],[Custoprimario]]+fCaixa[[#This Row],[Total Perdido]]</f>
        <v>51.75</v>
      </c>
      <c r="R278" s="16">
        <f>IFERROR(fCaixa[[#This Row],[Custoprimario]]/fCaixa[[#This Row],[Venda]],0)</f>
        <v>0.57500000000000007</v>
      </c>
      <c r="S278" s="16">
        <f>IFERROR(fCaixa[[#This Row],[Custofinal]]/fCaixa[[#This Row],[Venda]],0)</f>
        <v>0.62349397590361444</v>
      </c>
      <c r="T278" s="13">
        <f>IF(fCaixa[[#This Row],[Lançamento]]="RECEITA",fCaixa[[#This Row],[Venda]]-fCaixa[[#This Row],[Custoprimario]],0)</f>
        <v>35.274999999999999</v>
      </c>
      <c r="U278" s="16">
        <f>IFERROR(fCaixa[[#This Row],[Lucroprimario]]/fCaixa[[#This Row],[Venda]],0)</f>
        <v>0.42499999999999999</v>
      </c>
      <c r="V27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31.25</v>
      </c>
      <c r="W278" s="16">
        <f>IFERROR(fCaixa[[#This Row],[Lucrofinal]]/fCaixa[[#This Row],[Venda]],0)</f>
        <v>0.37650602409638556</v>
      </c>
    </row>
    <row r="279" spans="1:23" ht="16.5" hidden="1" x14ac:dyDescent="0.25">
      <c r="A279" s="17">
        <f t="shared" si="4"/>
        <v>278</v>
      </c>
      <c r="B279" s="87">
        <v>43227</v>
      </c>
      <c r="C279" s="12" t="s">
        <v>24</v>
      </c>
      <c r="D279" s="12" t="s">
        <v>25</v>
      </c>
      <c r="E279" s="12" t="s">
        <v>35</v>
      </c>
      <c r="F279" s="12" t="s">
        <v>28</v>
      </c>
      <c r="G279" s="13">
        <v>145</v>
      </c>
      <c r="H279" s="13">
        <v>1</v>
      </c>
      <c r="I279" s="13">
        <v>11.5</v>
      </c>
      <c r="J279" s="14">
        <v>2</v>
      </c>
      <c r="K279" s="17">
        <f>IFERROR(ROUND((fCaixa[[#This Row],[Venda]]/fCaixa[[#This Row],[Preço/Un.]]),0),0)</f>
        <v>145</v>
      </c>
      <c r="L279" s="15">
        <f>IFERROR((SUBSTITUTE(RIGHT(fCaixa[[#This Row],[Descrição]],3),"G","")*1 *fCaixa[[#This Row],[Qtd/Pães]]) / 1000,0)</f>
        <v>7.25</v>
      </c>
      <c r="M279" s="13">
        <f>IFERROR((((SUBSTITUTE(RIGHT(fCaixa[[#This Row],[Descrição]],3),"G","")*1) * fCaixa[[#This Row],[QTD Perdida]])/1000) *fCaixa[[#This Row],[Custo/KG.]],0)</f>
        <v>1.1500000000000001</v>
      </c>
      <c r="N279" s="15">
        <f>IF(fCaixa[[#This Row],[Lançamento]]="RECEITA",(fCaixa[[#This Row],[QTD Perdida]]* (SUBSTITUTE(RIGHT(fCaixa[[#This Row],[Descrição]],3),"G","")*1))/1000,0)</f>
        <v>0.1</v>
      </c>
      <c r="O279" s="15">
        <f>fCaixa[[#This Row],[Qtd/Kg]]+fCaixa[[#This Row],[Qtd/Kg Perdido]]</f>
        <v>7.35</v>
      </c>
      <c r="P279" s="13">
        <f>IF(fCaixa[[#This Row],[Lançamento]]="RECEITA",(fCaixa[[#This Row],[Qtd/Kg]]*fCaixa[[#This Row],[Custo/KG.]]),0)</f>
        <v>83.375</v>
      </c>
      <c r="Q279" s="34">
        <f>fCaixa[[#This Row],[Custoprimario]]+fCaixa[[#This Row],[Total Perdido]]</f>
        <v>84.525000000000006</v>
      </c>
      <c r="R279" s="16">
        <f>IFERROR(fCaixa[[#This Row],[Custoprimario]]/fCaixa[[#This Row],[Venda]],0)</f>
        <v>0.57499999999999996</v>
      </c>
      <c r="S279" s="16">
        <f>IFERROR(fCaixa[[#This Row],[Custofinal]]/fCaixa[[#This Row],[Venda]],0)</f>
        <v>0.58293103448275863</v>
      </c>
      <c r="T279" s="13">
        <f>IF(fCaixa[[#This Row],[Lançamento]]="RECEITA",fCaixa[[#This Row],[Venda]]-fCaixa[[#This Row],[Custoprimario]],0)</f>
        <v>61.625</v>
      </c>
      <c r="U279" s="16">
        <f>IFERROR(fCaixa[[#This Row],[Lucroprimario]]/fCaixa[[#This Row],[Venda]],0)</f>
        <v>0.42499999999999999</v>
      </c>
      <c r="V27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60.474999999999994</v>
      </c>
      <c r="W279" s="16">
        <f>IFERROR(fCaixa[[#This Row],[Lucrofinal]]/fCaixa[[#This Row],[Venda]],0)</f>
        <v>0.41706896551724132</v>
      </c>
    </row>
    <row r="280" spans="1:23" ht="16.5" hidden="1" x14ac:dyDescent="0.25">
      <c r="A280" s="17">
        <f t="shared" si="4"/>
        <v>279</v>
      </c>
      <c r="B280" s="87">
        <v>43227</v>
      </c>
      <c r="C280" s="12" t="s">
        <v>29</v>
      </c>
      <c r="D280" s="12" t="s">
        <v>25</v>
      </c>
      <c r="E280" s="12" t="s">
        <v>65</v>
      </c>
      <c r="F280" s="12" t="s">
        <v>28</v>
      </c>
      <c r="G280" s="13">
        <v>25</v>
      </c>
      <c r="H280" s="13">
        <v>0</v>
      </c>
      <c r="I280" s="13">
        <v>0</v>
      </c>
      <c r="J280" s="14">
        <v>0</v>
      </c>
      <c r="K280" s="17">
        <f>IFERROR(ROUND((fCaixa[[#This Row],[Venda]]/fCaixa[[#This Row],[Preço/Un.]]),0),0)</f>
        <v>0</v>
      </c>
      <c r="L280" s="15">
        <f>IFERROR((SUBSTITUTE(RIGHT(fCaixa[[#This Row],[Descrição]],3),"G","")*1 *fCaixa[[#This Row],[Qtd/Pães]]) / 1000,0)</f>
        <v>0</v>
      </c>
      <c r="M280" s="13">
        <f>IFERROR((((SUBSTITUTE(RIGHT(fCaixa[[#This Row],[Descrição]],3),"G","")*1) * fCaixa[[#This Row],[QTD Perdida]])/1000) *fCaixa[[#This Row],[Custo/KG.]],0)</f>
        <v>0</v>
      </c>
      <c r="N280" s="15">
        <f>IF(fCaixa[[#This Row],[Lançamento]]="RECEITA",(fCaixa[[#This Row],[QTD Perdida]]* (SUBSTITUTE(RIGHT(fCaixa[[#This Row],[Descrição]],3),"G","")*1))/1000,0)</f>
        <v>0</v>
      </c>
      <c r="O280" s="15">
        <f>fCaixa[[#This Row],[Qtd/Kg]]+fCaixa[[#This Row],[Qtd/Kg Perdido]]</f>
        <v>0</v>
      </c>
      <c r="P280" s="13">
        <f>IF(fCaixa[[#This Row],[Lançamento]]="RECEITA",(fCaixa[[#This Row],[Qtd/Kg]]*fCaixa[[#This Row],[Custo/KG.]]),0)</f>
        <v>0</v>
      </c>
      <c r="Q280" s="34">
        <f>fCaixa[[#This Row],[Custoprimario]]+fCaixa[[#This Row],[Total Perdido]]</f>
        <v>0</v>
      </c>
      <c r="R280" s="16">
        <f>IFERROR(fCaixa[[#This Row],[Custoprimario]]/fCaixa[[#This Row],[Venda]],0)</f>
        <v>0</v>
      </c>
      <c r="S280" s="16">
        <f>IFERROR(fCaixa[[#This Row],[Custofinal]]/fCaixa[[#This Row],[Venda]],0)</f>
        <v>0</v>
      </c>
      <c r="T280" s="13">
        <f>IF(fCaixa[[#This Row],[Lançamento]]="RECEITA",fCaixa[[#This Row],[Venda]]-fCaixa[[#This Row],[Custoprimario]],0)</f>
        <v>0</v>
      </c>
      <c r="U280" s="16">
        <f>IFERROR(fCaixa[[#This Row],[Lucroprimario]]/fCaixa[[#This Row],[Venda]],0)</f>
        <v>0</v>
      </c>
      <c r="V28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80" s="16">
        <f>IFERROR(fCaixa[[#This Row],[Lucrofinal]]/fCaixa[[#This Row],[Venda]],0)</f>
        <v>0</v>
      </c>
    </row>
    <row r="281" spans="1:23" ht="16.5" hidden="1" x14ac:dyDescent="0.25">
      <c r="A281" s="17">
        <f t="shared" si="4"/>
        <v>280</v>
      </c>
      <c r="B281" s="87">
        <v>43228</v>
      </c>
      <c r="C281" s="12" t="s">
        <v>24</v>
      </c>
      <c r="D281" s="12" t="s">
        <v>37</v>
      </c>
      <c r="E281" s="12" t="s">
        <v>35</v>
      </c>
      <c r="F281" s="12" t="s">
        <v>28</v>
      </c>
      <c r="G281" s="13">
        <v>8</v>
      </c>
      <c r="H281" s="13">
        <v>1</v>
      </c>
      <c r="I281" s="13">
        <v>11.5</v>
      </c>
      <c r="J281" s="14">
        <v>0</v>
      </c>
      <c r="K281" s="17">
        <f>IFERROR(ROUND((fCaixa[[#This Row],[Venda]]/fCaixa[[#This Row],[Preço/Un.]]),0),0)</f>
        <v>8</v>
      </c>
      <c r="L281" s="15">
        <f>IFERROR((SUBSTITUTE(RIGHT(fCaixa[[#This Row],[Descrição]],3),"G","")*1 *fCaixa[[#This Row],[Qtd/Pães]]) / 1000,0)</f>
        <v>0.4</v>
      </c>
      <c r="M281" s="13">
        <f>IFERROR((((SUBSTITUTE(RIGHT(fCaixa[[#This Row],[Descrição]],3),"G","")*1) * fCaixa[[#This Row],[QTD Perdida]])/1000) *fCaixa[[#This Row],[Custo/KG.]],0)</f>
        <v>0</v>
      </c>
      <c r="N281" s="15">
        <f>IF(fCaixa[[#This Row],[Lançamento]]="RECEITA",(fCaixa[[#This Row],[QTD Perdida]]* (SUBSTITUTE(RIGHT(fCaixa[[#This Row],[Descrição]],3),"G","")*1))/1000,0)</f>
        <v>0</v>
      </c>
      <c r="O281" s="15">
        <f>fCaixa[[#This Row],[Qtd/Kg]]+fCaixa[[#This Row],[Qtd/Kg Perdido]]</f>
        <v>0.4</v>
      </c>
      <c r="P281" s="13">
        <f>IF(fCaixa[[#This Row],[Lançamento]]="RECEITA",(fCaixa[[#This Row],[Qtd/Kg]]*fCaixa[[#This Row],[Custo/KG.]]),0)</f>
        <v>4.6000000000000005</v>
      </c>
      <c r="Q281" s="34">
        <f>fCaixa[[#This Row],[Custoprimario]]+fCaixa[[#This Row],[Total Perdido]]</f>
        <v>4.6000000000000005</v>
      </c>
      <c r="R281" s="16">
        <f>IFERROR(fCaixa[[#This Row],[Custoprimario]]/fCaixa[[#This Row],[Venda]],0)</f>
        <v>0.57500000000000007</v>
      </c>
      <c r="S281" s="16">
        <f>IFERROR(fCaixa[[#This Row],[Custofinal]]/fCaixa[[#This Row],[Venda]],0)</f>
        <v>0.57500000000000007</v>
      </c>
      <c r="T281" s="13">
        <f>IF(fCaixa[[#This Row],[Lançamento]]="RECEITA",fCaixa[[#This Row],[Venda]]-fCaixa[[#This Row],[Custoprimario]],0)</f>
        <v>3.3999999999999995</v>
      </c>
      <c r="U281" s="16">
        <f>IFERROR(fCaixa[[#This Row],[Lucroprimario]]/fCaixa[[#This Row],[Venda]],0)</f>
        <v>0.42499999999999993</v>
      </c>
      <c r="V28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3.2167999999999997</v>
      </c>
      <c r="W281" s="16">
        <f>IFERROR(fCaixa[[#This Row],[Lucrofinal]]/fCaixa[[#This Row],[Venda]],0)</f>
        <v>0.40209999999999996</v>
      </c>
    </row>
    <row r="282" spans="1:23" ht="16.5" hidden="1" x14ac:dyDescent="0.25">
      <c r="A282" s="17">
        <f t="shared" si="4"/>
        <v>281</v>
      </c>
      <c r="B282" s="87">
        <v>43228</v>
      </c>
      <c r="C282" s="12" t="s">
        <v>24</v>
      </c>
      <c r="D282" s="12" t="s">
        <v>37</v>
      </c>
      <c r="E282" s="12" t="s">
        <v>35</v>
      </c>
      <c r="F282" s="12" t="s">
        <v>28</v>
      </c>
      <c r="G282" s="13">
        <v>4</v>
      </c>
      <c r="H282" s="13">
        <v>1</v>
      </c>
      <c r="I282" s="13">
        <v>11.5</v>
      </c>
      <c r="J282" s="14">
        <v>0</v>
      </c>
      <c r="K282" s="17">
        <f>IFERROR(ROUND((fCaixa[[#This Row],[Venda]]/fCaixa[[#This Row],[Preço/Un.]]),0),0)</f>
        <v>4</v>
      </c>
      <c r="L282" s="15">
        <f>IFERROR((SUBSTITUTE(RIGHT(fCaixa[[#This Row],[Descrição]],3),"G","")*1 *fCaixa[[#This Row],[Qtd/Pães]]) / 1000,0)</f>
        <v>0.2</v>
      </c>
      <c r="M282" s="13">
        <f>IFERROR((((SUBSTITUTE(RIGHT(fCaixa[[#This Row],[Descrição]],3),"G","")*1) * fCaixa[[#This Row],[QTD Perdida]])/1000) *fCaixa[[#This Row],[Custo/KG.]],0)</f>
        <v>0</v>
      </c>
      <c r="N282" s="15">
        <f>IF(fCaixa[[#This Row],[Lançamento]]="RECEITA",(fCaixa[[#This Row],[QTD Perdida]]* (SUBSTITUTE(RIGHT(fCaixa[[#This Row],[Descrição]],3),"G","")*1))/1000,0)</f>
        <v>0</v>
      </c>
      <c r="O282" s="15">
        <f>fCaixa[[#This Row],[Qtd/Kg]]+fCaixa[[#This Row],[Qtd/Kg Perdido]]</f>
        <v>0.2</v>
      </c>
      <c r="P282" s="13">
        <f>IF(fCaixa[[#This Row],[Lançamento]]="RECEITA",(fCaixa[[#This Row],[Qtd/Kg]]*fCaixa[[#This Row],[Custo/KG.]]),0)</f>
        <v>2.3000000000000003</v>
      </c>
      <c r="Q282" s="34">
        <f>fCaixa[[#This Row],[Custoprimario]]+fCaixa[[#This Row],[Total Perdido]]</f>
        <v>2.3000000000000003</v>
      </c>
      <c r="R282" s="16">
        <f>IFERROR(fCaixa[[#This Row],[Custoprimario]]/fCaixa[[#This Row],[Venda]],0)</f>
        <v>0.57500000000000007</v>
      </c>
      <c r="S282" s="16">
        <f>IFERROR(fCaixa[[#This Row],[Custofinal]]/fCaixa[[#This Row],[Venda]],0)</f>
        <v>0.57500000000000007</v>
      </c>
      <c r="T282" s="13">
        <f>IF(fCaixa[[#This Row],[Lançamento]]="RECEITA",fCaixa[[#This Row],[Venda]]-fCaixa[[#This Row],[Custoprimario]],0)</f>
        <v>1.6999999999999997</v>
      </c>
      <c r="U282" s="16">
        <f>IFERROR(fCaixa[[#This Row],[Lucroprimario]]/fCaixa[[#This Row],[Venda]],0)</f>
        <v>0.42499999999999993</v>
      </c>
      <c r="V28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1.6083999999999998</v>
      </c>
      <c r="W282" s="16">
        <f>IFERROR(fCaixa[[#This Row],[Lucrofinal]]/fCaixa[[#This Row],[Venda]],0)</f>
        <v>0.40209999999999996</v>
      </c>
    </row>
    <row r="283" spans="1:23" ht="16.5" hidden="1" x14ac:dyDescent="0.25">
      <c r="A283" s="17">
        <f t="shared" si="4"/>
        <v>282</v>
      </c>
      <c r="B283" s="87">
        <v>43228</v>
      </c>
      <c r="C283" s="12" t="s">
        <v>24</v>
      </c>
      <c r="D283" s="12" t="s">
        <v>25</v>
      </c>
      <c r="E283" s="12" t="s">
        <v>35</v>
      </c>
      <c r="F283" s="12" t="s">
        <v>28</v>
      </c>
      <c r="G283" s="13">
        <v>228</v>
      </c>
      <c r="H283" s="13">
        <v>1</v>
      </c>
      <c r="I283" s="13">
        <v>11.5</v>
      </c>
      <c r="J283" s="14">
        <v>3</v>
      </c>
      <c r="K283" s="17">
        <f>IFERROR(ROUND((fCaixa[[#This Row],[Venda]]/fCaixa[[#This Row],[Preço/Un.]]),0),0)</f>
        <v>228</v>
      </c>
      <c r="L283" s="15">
        <f>IFERROR((SUBSTITUTE(RIGHT(fCaixa[[#This Row],[Descrição]],3),"G","")*1 *fCaixa[[#This Row],[Qtd/Pães]]) / 1000,0)</f>
        <v>11.4</v>
      </c>
      <c r="M283" s="13">
        <f>IFERROR((((SUBSTITUTE(RIGHT(fCaixa[[#This Row],[Descrição]],3),"G","")*1) * fCaixa[[#This Row],[QTD Perdida]])/1000) *fCaixa[[#This Row],[Custo/KG.]],0)</f>
        <v>1.7249999999999999</v>
      </c>
      <c r="N283" s="15">
        <f>IF(fCaixa[[#This Row],[Lançamento]]="RECEITA",(fCaixa[[#This Row],[QTD Perdida]]* (SUBSTITUTE(RIGHT(fCaixa[[#This Row],[Descrição]],3),"G","")*1))/1000,0)</f>
        <v>0.15</v>
      </c>
      <c r="O283" s="15">
        <f>fCaixa[[#This Row],[Qtd/Kg]]+fCaixa[[#This Row],[Qtd/Kg Perdido]]</f>
        <v>11.55</v>
      </c>
      <c r="P283" s="13">
        <f>IF(fCaixa[[#This Row],[Lançamento]]="RECEITA",(fCaixa[[#This Row],[Qtd/Kg]]*fCaixa[[#This Row],[Custo/KG.]]),0)</f>
        <v>131.1</v>
      </c>
      <c r="Q283" s="34">
        <f>fCaixa[[#This Row],[Custoprimario]]+fCaixa[[#This Row],[Total Perdido]]</f>
        <v>132.82499999999999</v>
      </c>
      <c r="R283" s="16">
        <f>IFERROR(fCaixa[[#This Row],[Custoprimario]]/fCaixa[[#This Row],[Venda]],0)</f>
        <v>0.57499999999999996</v>
      </c>
      <c r="S283" s="16">
        <f>IFERROR(fCaixa[[#This Row],[Custofinal]]/fCaixa[[#This Row],[Venda]],0)</f>
        <v>0.5825657894736842</v>
      </c>
      <c r="T283" s="13">
        <f>IF(fCaixa[[#This Row],[Lançamento]]="RECEITA",fCaixa[[#This Row],[Venda]]-fCaixa[[#This Row],[Custoprimario]],0)</f>
        <v>96.9</v>
      </c>
      <c r="U283" s="16">
        <f>IFERROR(fCaixa[[#This Row],[Lucroprimario]]/fCaixa[[#This Row],[Venda]],0)</f>
        <v>0.42500000000000004</v>
      </c>
      <c r="V28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95.175000000000011</v>
      </c>
      <c r="W283" s="16">
        <f>IFERROR(fCaixa[[#This Row],[Lucrofinal]]/fCaixa[[#This Row],[Venda]],0)</f>
        <v>0.41743421052631585</v>
      </c>
    </row>
    <row r="284" spans="1:23" ht="16.5" hidden="1" x14ac:dyDescent="0.25">
      <c r="A284" s="17">
        <f t="shared" si="4"/>
        <v>283</v>
      </c>
      <c r="B284" s="87">
        <v>43229</v>
      </c>
      <c r="C284" s="12" t="s">
        <v>24</v>
      </c>
      <c r="D284" s="12" t="s">
        <v>38</v>
      </c>
      <c r="E284" s="12" t="s">
        <v>35</v>
      </c>
      <c r="F284" s="12" t="s">
        <v>28</v>
      </c>
      <c r="G284" s="13">
        <v>3</v>
      </c>
      <c r="H284" s="13">
        <v>1</v>
      </c>
      <c r="I284" s="13">
        <v>11.5</v>
      </c>
      <c r="J284" s="14">
        <v>0</v>
      </c>
      <c r="K284" s="17">
        <f>IFERROR(ROUND((fCaixa[[#This Row],[Venda]]/fCaixa[[#This Row],[Preço/Un.]]),0),0)</f>
        <v>3</v>
      </c>
      <c r="L284" s="15">
        <f>IFERROR((SUBSTITUTE(RIGHT(fCaixa[[#This Row],[Descrição]],3),"G","")*1 *fCaixa[[#This Row],[Qtd/Pães]]) / 1000,0)</f>
        <v>0.15</v>
      </c>
      <c r="M284" s="13">
        <f>IFERROR((((SUBSTITUTE(RIGHT(fCaixa[[#This Row],[Descrição]],3),"G","")*1) * fCaixa[[#This Row],[QTD Perdida]])/1000) *fCaixa[[#This Row],[Custo/KG.]],0)</f>
        <v>0</v>
      </c>
      <c r="N284" s="15">
        <f>IF(fCaixa[[#This Row],[Lançamento]]="RECEITA",(fCaixa[[#This Row],[QTD Perdida]]* (SUBSTITUTE(RIGHT(fCaixa[[#This Row],[Descrição]],3),"G","")*1))/1000,0)</f>
        <v>0</v>
      </c>
      <c r="O284" s="15">
        <f>fCaixa[[#This Row],[Qtd/Kg]]+fCaixa[[#This Row],[Qtd/Kg Perdido]]</f>
        <v>0.15</v>
      </c>
      <c r="P284" s="13">
        <f>IF(fCaixa[[#This Row],[Lançamento]]="RECEITA",(fCaixa[[#This Row],[Qtd/Kg]]*fCaixa[[#This Row],[Custo/KG.]]),0)</f>
        <v>1.7249999999999999</v>
      </c>
      <c r="Q284" s="34">
        <f>fCaixa[[#This Row],[Custoprimario]]+fCaixa[[#This Row],[Total Perdido]]</f>
        <v>1.7249999999999999</v>
      </c>
      <c r="R284" s="16">
        <f>IFERROR(fCaixa[[#This Row],[Custoprimario]]/fCaixa[[#This Row],[Venda]],0)</f>
        <v>0.57499999999999996</v>
      </c>
      <c r="S284" s="16">
        <f>IFERROR(fCaixa[[#This Row],[Custofinal]]/fCaixa[[#This Row],[Venda]],0)</f>
        <v>0.57499999999999996</v>
      </c>
      <c r="T284" s="13">
        <f>IF(fCaixa[[#This Row],[Lançamento]]="RECEITA",fCaixa[[#This Row],[Venda]]-fCaixa[[#This Row],[Custoprimario]],0)</f>
        <v>1.2750000000000001</v>
      </c>
      <c r="U284" s="16">
        <f>IFERROR(fCaixa[[#This Row],[Lucroprimario]]/fCaixa[[#This Row],[Venda]],0)</f>
        <v>0.42500000000000004</v>
      </c>
      <c r="V28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1.1310000000000002</v>
      </c>
      <c r="W284" s="16">
        <f>IFERROR(fCaixa[[#This Row],[Lucrofinal]]/fCaixa[[#This Row],[Venda]],0)</f>
        <v>0.37700000000000006</v>
      </c>
    </row>
    <row r="285" spans="1:23" ht="16.5" hidden="1" x14ac:dyDescent="0.25">
      <c r="A285" s="17">
        <f t="shared" si="4"/>
        <v>284</v>
      </c>
      <c r="B285" s="87">
        <v>43229</v>
      </c>
      <c r="C285" s="12" t="s">
        <v>24</v>
      </c>
      <c r="D285" s="12" t="s">
        <v>38</v>
      </c>
      <c r="E285" s="12" t="s">
        <v>35</v>
      </c>
      <c r="F285" s="12" t="s">
        <v>28</v>
      </c>
      <c r="G285" s="13">
        <v>18</v>
      </c>
      <c r="H285" s="13">
        <v>0.9</v>
      </c>
      <c r="I285" s="13">
        <v>11.5</v>
      </c>
      <c r="J285" s="14">
        <v>0</v>
      </c>
      <c r="K285" s="17">
        <f>IFERROR(ROUND((fCaixa[[#This Row],[Venda]]/fCaixa[[#This Row],[Preço/Un.]]),0),0)</f>
        <v>20</v>
      </c>
      <c r="L285" s="15">
        <f>IFERROR((SUBSTITUTE(RIGHT(fCaixa[[#This Row],[Descrição]],3),"G","")*1 *fCaixa[[#This Row],[Qtd/Pães]]) / 1000,0)</f>
        <v>1</v>
      </c>
      <c r="M285" s="13">
        <f>IFERROR((((SUBSTITUTE(RIGHT(fCaixa[[#This Row],[Descrição]],3),"G","")*1) * fCaixa[[#This Row],[QTD Perdida]])/1000) *fCaixa[[#This Row],[Custo/KG.]],0)</f>
        <v>0</v>
      </c>
      <c r="N285" s="15">
        <f>IF(fCaixa[[#This Row],[Lançamento]]="RECEITA",(fCaixa[[#This Row],[QTD Perdida]]* (SUBSTITUTE(RIGHT(fCaixa[[#This Row],[Descrição]],3),"G","")*1))/1000,0)</f>
        <v>0</v>
      </c>
      <c r="O285" s="15">
        <f>fCaixa[[#This Row],[Qtd/Kg]]+fCaixa[[#This Row],[Qtd/Kg Perdido]]</f>
        <v>1</v>
      </c>
      <c r="P285" s="13">
        <f>IF(fCaixa[[#This Row],[Lançamento]]="RECEITA",(fCaixa[[#This Row],[Qtd/Kg]]*fCaixa[[#This Row],[Custo/KG.]]),0)</f>
        <v>11.5</v>
      </c>
      <c r="Q285" s="34">
        <f>fCaixa[[#This Row],[Custoprimario]]+fCaixa[[#This Row],[Total Perdido]]</f>
        <v>11.5</v>
      </c>
      <c r="R285" s="16">
        <f>IFERROR(fCaixa[[#This Row],[Custoprimario]]/fCaixa[[#This Row],[Venda]],0)</f>
        <v>0.63888888888888884</v>
      </c>
      <c r="S285" s="16">
        <f>IFERROR(fCaixa[[#This Row],[Custofinal]]/fCaixa[[#This Row],[Venda]],0)</f>
        <v>0.63888888888888884</v>
      </c>
      <c r="T285" s="13">
        <f>IF(fCaixa[[#This Row],[Lançamento]]="RECEITA",fCaixa[[#This Row],[Venda]]-fCaixa[[#This Row],[Custoprimario]],0)</f>
        <v>6.5</v>
      </c>
      <c r="U285" s="16">
        <f>IFERROR(fCaixa[[#This Row],[Lucroprimario]]/fCaixa[[#This Row],[Venda]],0)</f>
        <v>0.3611111111111111</v>
      </c>
      <c r="V28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5.6360000000000001</v>
      </c>
      <c r="W285" s="16">
        <f>IFERROR(fCaixa[[#This Row],[Lucrofinal]]/fCaixa[[#This Row],[Venda]],0)</f>
        <v>0.31311111111111112</v>
      </c>
    </row>
    <row r="286" spans="1:23" ht="16.5" hidden="1" x14ac:dyDescent="0.25">
      <c r="A286" s="17">
        <f t="shared" si="4"/>
        <v>285</v>
      </c>
      <c r="B286" s="87">
        <v>43229</v>
      </c>
      <c r="C286" s="12" t="s">
        <v>24</v>
      </c>
      <c r="D286" s="12" t="s">
        <v>25</v>
      </c>
      <c r="E286" s="12" t="s">
        <v>35</v>
      </c>
      <c r="F286" s="12" t="s">
        <v>28</v>
      </c>
      <c r="G286" s="13">
        <v>213</v>
      </c>
      <c r="H286" s="13">
        <v>1</v>
      </c>
      <c r="I286" s="13">
        <v>11.5</v>
      </c>
      <c r="J286" s="14">
        <v>4</v>
      </c>
      <c r="K286" s="17">
        <f>IFERROR(ROUND((fCaixa[[#This Row],[Venda]]/fCaixa[[#This Row],[Preço/Un.]]),0),0)</f>
        <v>213</v>
      </c>
      <c r="L286" s="15">
        <f>IFERROR((SUBSTITUTE(RIGHT(fCaixa[[#This Row],[Descrição]],3),"G","")*1 *fCaixa[[#This Row],[Qtd/Pães]]) / 1000,0)</f>
        <v>10.65</v>
      </c>
      <c r="M286" s="13">
        <f>IFERROR((((SUBSTITUTE(RIGHT(fCaixa[[#This Row],[Descrição]],3),"G","")*1) * fCaixa[[#This Row],[QTD Perdida]])/1000) *fCaixa[[#This Row],[Custo/KG.]],0)</f>
        <v>2.3000000000000003</v>
      </c>
      <c r="N286" s="15">
        <f>IF(fCaixa[[#This Row],[Lançamento]]="RECEITA",(fCaixa[[#This Row],[QTD Perdida]]* (SUBSTITUTE(RIGHT(fCaixa[[#This Row],[Descrição]],3),"G","")*1))/1000,0)</f>
        <v>0.2</v>
      </c>
      <c r="O286" s="15">
        <f>fCaixa[[#This Row],[Qtd/Kg]]+fCaixa[[#This Row],[Qtd/Kg Perdido]]</f>
        <v>10.85</v>
      </c>
      <c r="P286" s="13">
        <f>IF(fCaixa[[#This Row],[Lançamento]]="RECEITA",(fCaixa[[#This Row],[Qtd/Kg]]*fCaixa[[#This Row],[Custo/KG.]]),0)</f>
        <v>122.47500000000001</v>
      </c>
      <c r="Q286" s="34">
        <f>fCaixa[[#This Row],[Custoprimario]]+fCaixa[[#This Row],[Total Perdido]]</f>
        <v>124.77500000000001</v>
      </c>
      <c r="R286" s="16">
        <f>IFERROR(fCaixa[[#This Row],[Custoprimario]]/fCaixa[[#This Row],[Venda]],0)</f>
        <v>0.57500000000000007</v>
      </c>
      <c r="S286" s="16">
        <f>IFERROR(fCaixa[[#This Row],[Custofinal]]/fCaixa[[#This Row],[Venda]],0)</f>
        <v>0.58579812206572768</v>
      </c>
      <c r="T286" s="13">
        <f>IF(fCaixa[[#This Row],[Lançamento]]="RECEITA",fCaixa[[#This Row],[Venda]]-fCaixa[[#This Row],[Custoprimario]],0)</f>
        <v>90.524999999999991</v>
      </c>
      <c r="U286" s="16">
        <f>IFERROR(fCaixa[[#This Row],[Lucroprimario]]/fCaixa[[#This Row],[Venda]],0)</f>
        <v>0.42499999999999993</v>
      </c>
      <c r="V28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88.224999999999994</v>
      </c>
      <c r="W286" s="16">
        <f>IFERROR(fCaixa[[#This Row],[Lucrofinal]]/fCaixa[[#This Row],[Venda]],0)</f>
        <v>0.41420187793427227</v>
      </c>
    </row>
    <row r="287" spans="1:23" ht="16.5" hidden="1" x14ac:dyDescent="0.25">
      <c r="A287" s="17">
        <f t="shared" si="4"/>
        <v>286</v>
      </c>
      <c r="B287" s="87">
        <v>43230</v>
      </c>
      <c r="C287" s="12" t="s">
        <v>24</v>
      </c>
      <c r="D287" s="12" t="s">
        <v>25</v>
      </c>
      <c r="E287" s="12" t="s">
        <v>35</v>
      </c>
      <c r="F287" s="12" t="s">
        <v>28</v>
      </c>
      <c r="G287" s="13">
        <v>160</v>
      </c>
      <c r="H287" s="13">
        <v>1</v>
      </c>
      <c r="I287" s="13">
        <v>11.5</v>
      </c>
      <c r="J287" s="14">
        <v>3</v>
      </c>
      <c r="K287" s="17">
        <f>IFERROR(ROUND((fCaixa[[#This Row],[Venda]]/fCaixa[[#This Row],[Preço/Un.]]),0),0)</f>
        <v>160</v>
      </c>
      <c r="L287" s="15">
        <f>IFERROR((SUBSTITUTE(RIGHT(fCaixa[[#This Row],[Descrição]],3),"G","")*1 *fCaixa[[#This Row],[Qtd/Pães]]) / 1000,0)</f>
        <v>8</v>
      </c>
      <c r="M287" s="13">
        <f>IFERROR((((SUBSTITUTE(RIGHT(fCaixa[[#This Row],[Descrição]],3),"G","")*1) * fCaixa[[#This Row],[QTD Perdida]])/1000) *fCaixa[[#This Row],[Custo/KG.]],0)</f>
        <v>1.7249999999999999</v>
      </c>
      <c r="N287" s="15">
        <f>IF(fCaixa[[#This Row],[Lançamento]]="RECEITA",(fCaixa[[#This Row],[QTD Perdida]]* (SUBSTITUTE(RIGHT(fCaixa[[#This Row],[Descrição]],3),"G","")*1))/1000,0)</f>
        <v>0.15</v>
      </c>
      <c r="O287" s="15">
        <f>fCaixa[[#This Row],[Qtd/Kg]]+fCaixa[[#This Row],[Qtd/Kg Perdido]]</f>
        <v>8.15</v>
      </c>
      <c r="P287" s="13">
        <f>IF(fCaixa[[#This Row],[Lançamento]]="RECEITA",(fCaixa[[#This Row],[Qtd/Kg]]*fCaixa[[#This Row],[Custo/KG.]]),0)</f>
        <v>92</v>
      </c>
      <c r="Q287" s="34">
        <f>fCaixa[[#This Row],[Custoprimario]]+fCaixa[[#This Row],[Total Perdido]]</f>
        <v>93.724999999999994</v>
      </c>
      <c r="R287" s="16">
        <f>IFERROR(fCaixa[[#This Row],[Custoprimario]]/fCaixa[[#This Row],[Venda]],0)</f>
        <v>0.57499999999999996</v>
      </c>
      <c r="S287" s="16">
        <f>IFERROR(fCaixa[[#This Row],[Custofinal]]/fCaixa[[#This Row],[Venda]],0)</f>
        <v>0.58578124999999992</v>
      </c>
      <c r="T287" s="13">
        <f>IF(fCaixa[[#This Row],[Lançamento]]="RECEITA",fCaixa[[#This Row],[Venda]]-fCaixa[[#This Row],[Custoprimario]],0)</f>
        <v>68</v>
      </c>
      <c r="U287" s="16">
        <f>IFERROR(fCaixa[[#This Row],[Lucroprimario]]/fCaixa[[#This Row],[Venda]],0)</f>
        <v>0.42499999999999999</v>
      </c>
      <c r="V28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66.275000000000006</v>
      </c>
      <c r="W287" s="16">
        <f>IFERROR(fCaixa[[#This Row],[Lucrofinal]]/fCaixa[[#This Row],[Venda]],0)</f>
        <v>0.41421875000000002</v>
      </c>
    </row>
    <row r="288" spans="1:23" ht="16.5" hidden="1" x14ac:dyDescent="0.25">
      <c r="A288" s="17">
        <f t="shared" si="4"/>
        <v>287</v>
      </c>
      <c r="B288" s="87">
        <v>43231</v>
      </c>
      <c r="C288" s="12" t="s">
        <v>24</v>
      </c>
      <c r="D288" s="12" t="s">
        <v>37</v>
      </c>
      <c r="E288" s="12" t="s">
        <v>35</v>
      </c>
      <c r="F288" s="12" t="s">
        <v>28</v>
      </c>
      <c r="G288" s="13">
        <v>2</v>
      </c>
      <c r="H288" s="13">
        <v>1</v>
      </c>
      <c r="I288" s="13">
        <v>11.5</v>
      </c>
      <c r="J288" s="14">
        <v>0</v>
      </c>
      <c r="K288" s="17">
        <f>IFERROR(ROUND((fCaixa[[#This Row],[Venda]]/fCaixa[[#This Row],[Preço/Un.]]),0),0)</f>
        <v>2</v>
      </c>
      <c r="L288" s="15">
        <f>IFERROR((SUBSTITUTE(RIGHT(fCaixa[[#This Row],[Descrição]],3),"G","")*1 *fCaixa[[#This Row],[Qtd/Pães]]) / 1000,0)</f>
        <v>0.1</v>
      </c>
      <c r="M288" s="13">
        <f>IFERROR((((SUBSTITUTE(RIGHT(fCaixa[[#This Row],[Descrição]],3),"G","")*1) * fCaixa[[#This Row],[QTD Perdida]])/1000) *fCaixa[[#This Row],[Custo/KG.]],0)</f>
        <v>0</v>
      </c>
      <c r="N288" s="15">
        <f>IF(fCaixa[[#This Row],[Lançamento]]="RECEITA",(fCaixa[[#This Row],[QTD Perdida]]* (SUBSTITUTE(RIGHT(fCaixa[[#This Row],[Descrição]],3),"G","")*1))/1000,0)</f>
        <v>0</v>
      </c>
      <c r="O288" s="15">
        <f>fCaixa[[#This Row],[Qtd/Kg]]+fCaixa[[#This Row],[Qtd/Kg Perdido]]</f>
        <v>0.1</v>
      </c>
      <c r="P288" s="13">
        <f>IF(fCaixa[[#This Row],[Lançamento]]="RECEITA",(fCaixa[[#This Row],[Qtd/Kg]]*fCaixa[[#This Row],[Custo/KG.]]),0)</f>
        <v>1.1500000000000001</v>
      </c>
      <c r="Q288" s="34">
        <f>fCaixa[[#This Row],[Custoprimario]]+fCaixa[[#This Row],[Total Perdido]]</f>
        <v>1.1500000000000001</v>
      </c>
      <c r="R288" s="16">
        <f>IFERROR(fCaixa[[#This Row],[Custoprimario]]/fCaixa[[#This Row],[Venda]],0)</f>
        <v>0.57500000000000007</v>
      </c>
      <c r="S288" s="16">
        <f>IFERROR(fCaixa[[#This Row],[Custofinal]]/fCaixa[[#This Row],[Venda]],0)</f>
        <v>0.57500000000000007</v>
      </c>
      <c r="T288" s="13">
        <f>IF(fCaixa[[#This Row],[Lançamento]]="RECEITA",fCaixa[[#This Row],[Venda]]-fCaixa[[#This Row],[Custoprimario]],0)</f>
        <v>0.84999999999999987</v>
      </c>
      <c r="U288" s="16">
        <f>IFERROR(fCaixa[[#This Row],[Lucroprimario]]/fCaixa[[#This Row],[Venda]],0)</f>
        <v>0.42499999999999993</v>
      </c>
      <c r="V28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0.80419999999999991</v>
      </c>
      <c r="W288" s="16">
        <f>IFERROR(fCaixa[[#This Row],[Lucrofinal]]/fCaixa[[#This Row],[Venda]],0)</f>
        <v>0.40209999999999996</v>
      </c>
    </row>
    <row r="289" spans="1:23" ht="16.5" hidden="1" x14ac:dyDescent="0.25">
      <c r="A289" s="17">
        <f t="shared" si="4"/>
        <v>288</v>
      </c>
      <c r="B289" s="87">
        <v>43231</v>
      </c>
      <c r="C289" s="12" t="s">
        <v>24</v>
      </c>
      <c r="D289" s="12" t="s">
        <v>25</v>
      </c>
      <c r="E289" s="12" t="s">
        <v>35</v>
      </c>
      <c r="F289" s="12" t="s">
        <v>28</v>
      </c>
      <c r="G289" s="13">
        <v>161</v>
      </c>
      <c r="H289" s="13">
        <v>1</v>
      </c>
      <c r="I289" s="13">
        <v>11.5</v>
      </c>
      <c r="J289" s="14">
        <v>2</v>
      </c>
      <c r="K289" s="17">
        <f>IFERROR(ROUND((fCaixa[[#This Row],[Venda]]/fCaixa[[#This Row],[Preço/Un.]]),0),0)</f>
        <v>161</v>
      </c>
      <c r="L289" s="15">
        <f>IFERROR((SUBSTITUTE(RIGHT(fCaixa[[#This Row],[Descrição]],3),"G","")*1 *fCaixa[[#This Row],[Qtd/Pães]]) / 1000,0)</f>
        <v>8.0500000000000007</v>
      </c>
      <c r="M289" s="13">
        <f>IFERROR((((SUBSTITUTE(RIGHT(fCaixa[[#This Row],[Descrição]],3),"G","")*1) * fCaixa[[#This Row],[QTD Perdida]])/1000) *fCaixa[[#This Row],[Custo/KG.]],0)</f>
        <v>1.1500000000000001</v>
      </c>
      <c r="N289" s="15">
        <f>IF(fCaixa[[#This Row],[Lançamento]]="RECEITA",(fCaixa[[#This Row],[QTD Perdida]]* (SUBSTITUTE(RIGHT(fCaixa[[#This Row],[Descrição]],3),"G","")*1))/1000,0)</f>
        <v>0.1</v>
      </c>
      <c r="O289" s="15">
        <f>fCaixa[[#This Row],[Qtd/Kg]]+fCaixa[[#This Row],[Qtd/Kg Perdido]]</f>
        <v>8.15</v>
      </c>
      <c r="P289" s="13">
        <f>IF(fCaixa[[#This Row],[Lançamento]]="RECEITA",(fCaixa[[#This Row],[Qtd/Kg]]*fCaixa[[#This Row],[Custo/KG.]]),0)</f>
        <v>92.575000000000003</v>
      </c>
      <c r="Q289" s="34">
        <f>fCaixa[[#This Row],[Custoprimario]]+fCaixa[[#This Row],[Total Perdido]]</f>
        <v>93.725000000000009</v>
      </c>
      <c r="R289" s="16">
        <f>IFERROR(fCaixa[[#This Row],[Custoprimario]]/fCaixa[[#This Row],[Venda]],0)</f>
        <v>0.57500000000000007</v>
      </c>
      <c r="S289" s="16">
        <f>IFERROR(fCaixa[[#This Row],[Custofinal]]/fCaixa[[#This Row],[Venda]],0)</f>
        <v>0.58214285714285718</v>
      </c>
      <c r="T289" s="13">
        <f>IF(fCaixa[[#This Row],[Lançamento]]="RECEITA",fCaixa[[#This Row],[Venda]]-fCaixa[[#This Row],[Custoprimario]],0)</f>
        <v>68.424999999999997</v>
      </c>
      <c r="U289" s="16">
        <f>IFERROR(fCaixa[[#This Row],[Lucroprimario]]/fCaixa[[#This Row],[Venda]],0)</f>
        <v>0.42499999999999999</v>
      </c>
      <c r="V28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67.274999999999991</v>
      </c>
      <c r="W289" s="16">
        <f>IFERROR(fCaixa[[#This Row],[Lucrofinal]]/fCaixa[[#This Row],[Venda]],0)</f>
        <v>0.41785714285714282</v>
      </c>
    </row>
    <row r="290" spans="1:23" ht="16.5" hidden="1" x14ac:dyDescent="0.25">
      <c r="A290" s="17">
        <f t="shared" si="4"/>
        <v>289</v>
      </c>
      <c r="B290" s="87">
        <v>43232</v>
      </c>
      <c r="C290" s="12" t="s">
        <v>24</v>
      </c>
      <c r="D290" s="12" t="s">
        <v>25</v>
      </c>
      <c r="E290" s="12" t="s">
        <v>35</v>
      </c>
      <c r="F290" s="12" t="s">
        <v>28</v>
      </c>
      <c r="G290" s="13">
        <v>93</v>
      </c>
      <c r="H290" s="13">
        <v>1</v>
      </c>
      <c r="I290" s="13">
        <v>11.5</v>
      </c>
      <c r="J290" s="14">
        <v>7</v>
      </c>
      <c r="K290" s="17">
        <f>IFERROR(ROUND((fCaixa[[#This Row],[Venda]]/fCaixa[[#This Row],[Preço/Un.]]),0),0)</f>
        <v>93</v>
      </c>
      <c r="L290" s="15">
        <f>IFERROR((SUBSTITUTE(RIGHT(fCaixa[[#This Row],[Descrição]],3),"G","")*1 *fCaixa[[#This Row],[Qtd/Pães]]) / 1000,0)</f>
        <v>4.6500000000000004</v>
      </c>
      <c r="M290" s="13">
        <f>IFERROR((((SUBSTITUTE(RIGHT(fCaixa[[#This Row],[Descrição]],3),"G","")*1) * fCaixa[[#This Row],[QTD Perdida]])/1000) *fCaixa[[#This Row],[Custo/KG.]],0)</f>
        <v>4.0249999999999995</v>
      </c>
      <c r="N290" s="15">
        <f>IF(fCaixa[[#This Row],[Lançamento]]="RECEITA",(fCaixa[[#This Row],[QTD Perdida]]* (SUBSTITUTE(RIGHT(fCaixa[[#This Row],[Descrição]],3),"G","")*1))/1000,0)</f>
        <v>0.35</v>
      </c>
      <c r="O290" s="15">
        <f>fCaixa[[#This Row],[Qtd/Kg]]+fCaixa[[#This Row],[Qtd/Kg Perdido]]</f>
        <v>5</v>
      </c>
      <c r="P290" s="13">
        <f>IF(fCaixa[[#This Row],[Lançamento]]="RECEITA",(fCaixa[[#This Row],[Qtd/Kg]]*fCaixa[[#This Row],[Custo/KG.]]),0)</f>
        <v>53.475000000000001</v>
      </c>
      <c r="Q290" s="34">
        <f>fCaixa[[#This Row],[Custoprimario]]+fCaixa[[#This Row],[Total Perdido]]</f>
        <v>57.5</v>
      </c>
      <c r="R290" s="16">
        <f>IFERROR(fCaixa[[#This Row],[Custoprimario]]/fCaixa[[#This Row],[Venda]],0)</f>
        <v>0.57500000000000007</v>
      </c>
      <c r="S290" s="16">
        <f>IFERROR(fCaixa[[#This Row],[Custofinal]]/fCaixa[[#This Row],[Venda]],0)</f>
        <v>0.61827956989247312</v>
      </c>
      <c r="T290" s="13">
        <f>IF(fCaixa[[#This Row],[Lançamento]]="RECEITA",fCaixa[[#This Row],[Venda]]-fCaixa[[#This Row],[Custoprimario]],0)</f>
        <v>39.524999999999999</v>
      </c>
      <c r="U290" s="16">
        <f>IFERROR(fCaixa[[#This Row],[Lucroprimario]]/fCaixa[[#This Row],[Venda]],0)</f>
        <v>0.42499999999999999</v>
      </c>
      <c r="V29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35.5</v>
      </c>
      <c r="W290" s="16">
        <f>IFERROR(fCaixa[[#This Row],[Lucrofinal]]/fCaixa[[#This Row],[Venda]],0)</f>
        <v>0.38172043010752688</v>
      </c>
    </row>
    <row r="291" spans="1:23" ht="16.5" hidden="1" x14ac:dyDescent="0.25">
      <c r="A291" s="17">
        <f t="shared" si="4"/>
        <v>290</v>
      </c>
      <c r="B291" s="87">
        <v>43234</v>
      </c>
      <c r="C291" s="12" t="s">
        <v>24</v>
      </c>
      <c r="D291" s="12" t="s">
        <v>25</v>
      </c>
      <c r="E291" s="12" t="s">
        <v>35</v>
      </c>
      <c r="F291" s="12" t="s">
        <v>28</v>
      </c>
      <c r="G291" s="13">
        <v>194</v>
      </c>
      <c r="H291" s="13">
        <v>1</v>
      </c>
      <c r="I291" s="13">
        <v>11.5</v>
      </c>
      <c r="J291" s="14">
        <v>6</v>
      </c>
      <c r="K291" s="17">
        <f>IFERROR(ROUND((fCaixa[[#This Row],[Venda]]/fCaixa[[#This Row],[Preço/Un.]]),0),0)</f>
        <v>194</v>
      </c>
      <c r="L291" s="15">
        <f>IFERROR((SUBSTITUTE(RIGHT(fCaixa[[#This Row],[Descrição]],3),"G","")*1 *fCaixa[[#This Row],[Qtd/Pães]]) / 1000,0)</f>
        <v>9.6999999999999993</v>
      </c>
      <c r="M291" s="13">
        <f>IFERROR((((SUBSTITUTE(RIGHT(fCaixa[[#This Row],[Descrição]],3),"G","")*1) * fCaixa[[#This Row],[QTD Perdida]])/1000) *fCaixa[[#This Row],[Custo/KG.]],0)</f>
        <v>3.4499999999999997</v>
      </c>
      <c r="N291" s="15">
        <f>IF(fCaixa[[#This Row],[Lançamento]]="RECEITA",(fCaixa[[#This Row],[QTD Perdida]]* (SUBSTITUTE(RIGHT(fCaixa[[#This Row],[Descrição]],3),"G","")*1))/1000,0)</f>
        <v>0.3</v>
      </c>
      <c r="O291" s="15">
        <f>fCaixa[[#This Row],[Qtd/Kg]]+fCaixa[[#This Row],[Qtd/Kg Perdido]]</f>
        <v>10</v>
      </c>
      <c r="P291" s="13">
        <f>IF(fCaixa[[#This Row],[Lançamento]]="RECEITA",(fCaixa[[#This Row],[Qtd/Kg]]*fCaixa[[#This Row],[Custo/KG.]]),0)</f>
        <v>111.55</v>
      </c>
      <c r="Q291" s="34">
        <f>fCaixa[[#This Row],[Custoprimario]]+fCaixa[[#This Row],[Total Perdido]]</f>
        <v>115</v>
      </c>
      <c r="R291" s="16">
        <f>IFERROR(fCaixa[[#This Row],[Custoprimario]]/fCaixa[[#This Row],[Venda]],0)</f>
        <v>0.57499999999999996</v>
      </c>
      <c r="S291" s="16">
        <f>IFERROR(fCaixa[[#This Row],[Custofinal]]/fCaixa[[#This Row],[Venda]],0)</f>
        <v>0.59278350515463918</v>
      </c>
      <c r="T291" s="13">
        <f>IF(fCaixa[[#This Row],[Lançamento]]="RECEITA",fCaixa[[#This Row],[Venda]]-fCaixa[[#This Row],[Custoprimario]],0)</f>
        <v>82.45</v>
      </c>
      <c r="U291" s="16">
        <f>IFERROR(fCaixa[[#This Row],[Lucroprimario]]/fCaixa[[#This Row],[Venda]],0)</f>
        <v>0.42499999999999999</v>
      </c>
      <c r="V29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79</v>
      </c>
      <c r="W291" s="16">
        <f>IFERROR(fCaixa[[#This Row],[Lucrofinal]]/fCaixa[[#This Row],[Venda]],0)</f>
        <v>0.40721649484536082</v>
      </c>
    </row>
    <row r="292" spans="1:23" ht="16.5" hidden="1" x14ac:dyDescent="0.25">
      <c r="A292" s="17">
        <f t="shared" si="4"/>
        <v>291</v>
      </c>
      <c r="B292" s="87">
        <v>43235</v>
      </c>
      <c r="C292" s="12" t="s">
        <v>24</v>
      </c>
      <c r="D292" s="12" t="s">
        <v>25</v>
      </c>
      <c r="E292" s="12" t="s">
        <v>35</v>
      </c>
      <c r="F292" s="12" t="s">
        <v>28</v>
      </c>
      <c r="G292" s="13">
        <v>158</v>
      </c>
      <c r="H292" s="13">
        <v>1</v>
      </c>
      <c r="I292" s="13">
        <v>11.5</v>
      </c>
      <c r="J292" s="14">
        <v>4</v>
      </c>
      <c r="K292" s="17">
        <f>IFERROR(ROUND((fCaixa[[#This Row],[Venda]]/fCaixa[[#This Row],[Preço/Un.]]),0),0)</f>
        <v>158</v>
      </c>
      <c r="L292" s="15">
        <f>IFERROR((SUBSTITUTE(RIGHT(fCaixa[[#This Row],[Descrição]],3),"G","")*1 *fCaixa[[#This Row],[Qtd/Pães]]) / 1000,0)</f>
        <v>7.9</v>
      </c>
      <c r="M292" s="13">
        <f>IFERROR((((SUBSTITUTE(RIGHT(fCaixa[[#This Row],[Descrição]],3),"G","")*1) * fCaixa[[#This Row],[QTD Perdida]])/1000) *fCaixa[[#This Row],[Custo/KG.]],0)</f>
        <v>2.3000000000000003</v>
      </c>
      <c r="N292" s="15">
        <f>IF(fCaixa[[#This Row],[Lançamento]]="RECEITA",(fCaixa[[#This Row],[QTD Perdida]]* (SUBSTITUTE(RIGHT(fCaixa[[#This Row],[Descrição]],3),"G","")*1))/1000,0)</f>
        <v>0.2</v>
      </c>
      <c r="O292" s="15">
        <f>fCaixa[[#This Row],[Qtd/Kg]]+fCaixa[[#This Row],[Qtd/Kg Perdido]]</f>
        <v>8.1</v>
      </c>
      <c r="P292" s="13">
        <f>IF(fCaixa[[#This Row],[Lançamento]]="RECEITA",(fCaixa[[#This Row],[Qtd/Kg]]*fCaixa[[#This Row],[Custo/KG.]]),0)</f>
        <v>90.850000000000009</v>
      </c>
      <c r="Q292" s="34">
        <f>fCaixa[[#This Row],[Custoprimario]]+fCaixa[[#This Row],[Total Perdido]]</f>
        <v>93.15</v>
      </c>
      <c r="R292" s="16">
        <f>IFERROR(fCaixa[[#This Row],[Custoprimario]]/fCaixa[[#This Row],[Venda]],0)</f>
        <v>0.57500000000000007</v>
      </c>
      <c r="S292" s="16">
        <f>IFERROR(fCaixa[[#This Row],[Custofinal]]/fCaixa[[#This Row],[Venda]],0)</f>
        <v>0.58955696202531649</v>
      </c>
      <c r="T292" s="13">
        <f>IF(fCaixa[[#This Row],[Lançamento]]="RECEITA",fCaixa[[#This Row],[Venda]]-fCaixa[[#This Row],[Custoprimario]],0)</f>
        <v>67.149999999999991</v>
      </c>
      <c r="U292" s="16">
        <f>IFERROR(fCaixa[[#This Row],[Lucroprimario]]/fCaixa[[#This Row],[Venda]],0)</f>
        <v>0.42499999999999993</v>
      </c>
      <c r="V29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64.849999999999994</v>
      </c>
      <c r="W292" s="16">
        <f>IFERROR(fCaixa[[#This Row],[Lucrofinal]]/fCaixa[[#This Row],[Venda]],0)</f>
        <v>0.41044303797468351</v>
      </c>
    </row>
    <row r="293" spans="1:23" ht="16.5" hidden="1" x14ac:dyDescent="0.25">
      <c r="A293" s="17">
        <f t="shared" si="4"/>
        <v>292</v>
      </c>
      <c r="B293" s="87">
        <v>43235</v>
      </c>
      <c r="C293" s="12" t="s">
        <v>29</v>
      </c>
      <c r="D293" s="12" t="s">
        <v>25</v>
      </c>
      <c r="E293" s="12" t="s">
        <v>32</v>
      </c>
      <c r="F293" s="12" t="s">
        <v>28</v>
      </c>
      <c r="G293" s="13">
        <v>460</v>
      </c>
      <c r="H293" s="13">
        <v>0</v>
      </c>
      <c r="I293" s="13">
        <v>0</v>
      </c>
      <c r="J293" s="14">
        <v>0</v>
      </c>
      <c r="K293" s="17">
        <f>IFERROR(ROUND((fCaixa[[#This Row],[Venda]]/fCaixa[[#This Row],[Preço/Un.]]),0),0)</f>
        <v>0</v>
      </c>
      <c r="L293" s="15">
        <f>IFERROR((SUBSTITUTE(RIGHT(fCaixa[[#This Row],[Descrição]],3),"G","")*1 *fCaixa[[#This Row],[Qtd/Pães]]) / 1000,0)</f>
        <v>0</v>
      </c>
      <c r="M293" s="13">
        <f>IFERROR((((SUBSTITUTE(RIGHT(fCaixa[[#This Row],[Descrição]],3),"G","")*1) * fCaixa[[#This Row],[QTD Perdida]])/1000) *fCaixa[[#This Row],[Custo/KG.]],0)</f>
        <v>0</v>
      </c>
      <c r="N293" s="15">
        <f>IF(fCaixa[[#This Row],[Lançamento]]="RECEITA",(fCaixa[[#This Row],[QTD Perdida]]* (SUBSTITUTE(RIGHT(fCaixa[[#This Row],[Descrição]],3),"G","")*1))/1000,0)</f>
        <v>0</v>
      </c>
      <c r="O293" s="15">
        <f>fCaixa[[#This Row],[Qtd/Kg]]+fCaixa[[#This Row],[Qtd/Kg Perdido]]</f>
        <v>0</v>
      </c>
      <c r="P293" s="13">
        <f>IF(fCaixa[[#This Row],[Lançamento]]="RECEITA",(fCaixa[[#This Row],[Qtd/Kg]]*fCaixa[[#This Row],[Custo/KG.]]),0)</f>
        <v>0</v>
      </c>
      <c r="Q293" s="34">
        <f>fCaixa[[#This Row],[Custoprimario]]+fCaixa[[#This Row],[Total Perdido]]</f>
        <v>0</v>
      </c>
      <c r="R293" s="16">
        <f>IFERROR(fCaixa[[#This Row],[Custoprimario]]/fCaixa[[#This Row],[Venda]],0)</f>
        <v>0</v>
      </c>
      <c r="S293" s="16">
        <f>IFERROR(fCaixa[[#This Row],[Custofinal]]/fCaixa[[#This Row],[Venda]],0)</f>
        <v>0</v>
      </c>
      <c r="T293" s="13">
        <f>IF(fCaixa[[#This Row],[Lançamento]]="RECEITA",fCaixa[[#This Row],[Venda]]-fCaixa[[#This Row],[Custoprimario]],0)</f>
        <v>0</v>
      </c>
      <c r="U293" s="16">
        <f>IFERROR(fCaixa[[#This Row],[Lucroprimario]]/fCaixa[[#This Row],[Venda]],0)</f>
        <v>0</v>
      </c>
      <c r="V29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93" s="16">
        <f>IFERROR(fCaixa[[#This Row],[Lucrofinal]]/fCaixa[[#This Row],[Venda]],0)</f>
        <v>0</v>
      </c>
    </row>
    <row r="294" spans="1:23" ht="16.5" hidden="1" x14ac:dyDescent="0.25">
      <c r="A294" s="17">
        <f t="shared" si="4"/>
        <v>293</v>
      </c>
      <c r="B294" s="87">
        <v>43236</v>
      </c>
      <c r="C294" s="12" t="s">
        <v>24</v>
      </c>
      <c r="D294" s="12" t="s">
        <v>25</v>
      </c>
      <c r="E294" s="12" t="s">
        <v>35</v>
      </c>
      <c r="F294" s="12" t="s">
        <v>28</v>
      </c>
      <c r="G294" s="13">
        <v>130</v>
      </c>
      <c r="H294" s="13">
        <v>1</v>
      </c>
      <c r="I294" s="13">
        <v>11.5</v>
      </c>
      <c r="J294" s="14">
        <v>3</v>
      </c>
      <c r="K294" s="17">
        <f>IFERROR(ROUND((fCaixa[[#This Row],[Venda]]/fCaixa[[#This Row],[Preço/Un.]]),0),0)</f>
        <v>130</v>
      </c>
      <c r="L294" s="15">
        <f>IFERROR((SUBSTITUTE(RIGHT(fCaixa[[#This Row],[Descrição]],3),"G","")*1 *fCaixa[[#This Row],[Qtd/Pães]]) / 1000,0)</f>
        <v>6.5</v>
      </c>
      <c r="M294" s="13">
        <f>IFERROR((((SUBSTITUTE(RIGHT(fCaixa[[#This Row],[Descrição]],3),"G","")*1) * fCaixa[[#This Row],[QTD Perdida]])/1000) *fCaixa[[#This Row],[Custo/KG.]],0)</f>
        <v>1.7249999999999999</v>
      </c>
      <c r="N294" s="15">
        <f>IF(fCaixa[[#This Row],[Lançamento]]="RECEITA",(fCaixa[[#This Row],[QTD Perdida]]* (SUBSTITUTE(RIGHT(fCaixa[[#This Row],[Descrição]],3),"G","")*1))/1000,0)</f>
        <v>0.15</v>
      </c>
      <c r="O294" s="15">
        <f>fCaixa[[#This Row],[Qtd/Kg]]+fCaixa[[#This Row],[Qtd/Kg Perdido]]</f>
        <v>6.65</v>
      </c>
      <c r="P294" s="13">
        <f>IF(fCaixa[[#This Row],[Lançamento]]="RECEITA",(fCaixa[[#This Row],[Qtd/Kg]]*fCaixa[[#This Row],[Custo/KG.]]),0)</f>
        <v>74.75</v>
      </c>
      <c r="Q294" s="34">
        <f>fCaixa[[#This Row],[Custoprimario]]+fCaixa[[#This Row],[Total Perdido]]</f>
        <v>76.474999999999994</v>
      </c>
      <c r="R294" s="16">
        <f>IFERROR(fCaixa[[#This Row],[Custoprimario]]/fCaixa[[#This Row],[Venda]],0)</f>
        <v>0.57499999999999996</v>
      </c>
      <c r="S294" s="16">
        <f>IFERROR(fCaixa[[#This Row],[Custofinal]]/fCaixa[[#This Row],[Venda]],0)</f>
        <v>0.58826923076923077</v>
      </c>
      <c r="T294" s="13">
        <f>IF(fCaixa[[#This Row],[Lançamento]]="RECEITA",fCaixa[[#This Row],[Venda]]-fCaixa[[#This Row],[Custoprimario]],0)</f>
        <v>55.25</v>
      </c>
      <c r="U294" s="16">
        <f>IFERROR(fCaixa[[#This Row],[Lucroprimario]]/fCaixa[[#This Row],[Venda]],0)</f>
        <v>0.42499999999999999</v>
      </c>
      <c r="V29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53.525000000000006</v>
      </c>
      <c r="W294" s="16">
        <f>IFERROR(fCaixa[[#This Row],[Lucrofinal]]/fCaixa[[#This Row],[Venda]],0)</f>
        <v>0.41173076923076929</v>
      </c>
    </row>
    <row r="295" spans="1:23" ht="16.5" hidden="1" x14ac:dyDescent="0.25">
      <c r="A295" s="17">
        <f t="shared" si="4"/>
        <v>294</v>
      </c>
      <c r="B295" s="87">
        <v>43236</v>
      </c>
      <c r="C295" s="12" t="s">
        <v>24</v>
      </c>
      <c r="D295" s="12" t="s">
        <v>37</v>
      </c>
      <c r="E295" s="12" t="s">
        <v>35</v>
      </c>
      <c r="F295" s="12" t="s">
        <v>28</v>
      </c>
      <c r="G295" s="13">
        <v>5</v>
      </c>
      <c r="H295" s="13">
        <v>1</v>
      </c>
      <c r="I295" s="13">
        <v>11.5</v>
      </c>
      <c r="J295" s="14">
        <v>0</v>
      </c>
      <c r="K295" s="17">
        <f>IFERROR(ROUND((fCaixa[[#This Row],[Venda]]/fCaixa[[#This Row],[Preço/Un.]]),0),0)</f>
        <v>5</v>
      </c>
      <c r="L295" s="15">
        <f>IFERROR((SUBSTITUTE(RIGHT(fCaixa[[#This Row],[Descrição]],3),"G","")*1 *fCaixa[[#This Row],[Qtd/Pães]]) / 1000,0)</f>
        <v>0.25</v>
      </c>
      <c r="M295" s="13">
        <f>IFERROR((((SUBSTITUTE(RIGHT(fCaixa[[#This Row],[Descrição]],3),"G","")*1) * fCaixa[[#This Row],[QTD Perdida]])/1000) *fCaixa[[#This Row],[Custo/KG.]],0)</f>
        <v>0</v>
      </c>
      <c r="N295" s="15">
        <f>IF(fCaixa[[#This Row],[Lançamento]]="RECEITA",(fCaixa[[#This Row],[QTD Perdida]]* (SUBSTITUTE(RIGHT(fCaixa[[#This Row],[Descrição]],3),"G","")*1))/1000,0)</f>
        <v>0</v>
      </c>
      <c r="O295" s="15">
        <f>fCaixa[[#This Row],[Qtd/Kg]]+fCaixa[[#This Row],[Qtd/Kg Perdido]]</f>
        <v>0.25</v>
      </c>
      <c r="P295" s="13">
        <f>IF(fCaixa[[#This Row],[Lançamento]]="RECEITA",(fCaixa[[#This Row],[Qtd/Kg]]*fCaixa[[#This Row],[Custo/KG.]]),0)</f>
        <v>2.875</v>
      </c>
      <c r="Q295" s="34">
        <f>fCaixa[[#This Row],[Custoprimario]]+fCaixa[[#This Row],[Total Perdido]]</f>
        <v>2.875</v>
      </c>
      <c r="R295" s="16">
        <f>IFERROR(fCaixa[[#This Row],[Custoprimario]]/fCaixa[[#This Row],[Venda]],0)</f>
        <v>0.57499999999999996</v>
      </c>
      <c r="S295" s="16">
        <f>IFERROR(fCaixa[[#This Row],[Custofinal]]/fCaixa[[#This Row],[Venda]],0)</f>
        <v>0.57499999999999996</v>
      </c>
      <c r="T295" s="13">
        <f>IF(fCaixa[[#This Row],[Lançamento]]="RECEITA",fCaixa[[#This Row],[Venda]]-fCaixa[[#This Row],[Custoprimario]],0)</f>
        <v>2.125</v>
      </c>
      <c r="U295" s="16">
        <f>IFERROR(fCaixa[[#This Row],[Lucroprimario]]/fCaixa[[#This Row],[Venda]],0)</f>
        <v>0.42499999999999999</v>
      </c>
      <c r="V29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295" s="16">
        <f>IFERROR(fCaixa[[#This Row],[Lucrofinal]]/fCaixa[[#This Row],[Venda]],0)</f>
        <v>0.40210000000000001</v>
      </c>
    </row>
    <row r="296" spans="1:23" ht="16.5" hidden="1" x14ac:dyDescent="0.25">
      <c r="A296" s="17">
        <f t="shared" si="4"/>
        <v>295</v>
      </c>
      <c r="B296" s="87">
        <v>43236</v>
      </c>
      <c r="C296" s="12" t="s">
        <v>24</v>
      </c>
      <c r="D296" s="12" t="s">
        <v>37</v>
      </c>
      <c r="E296" s="12" t="s">
        <v>35</v>
      </c>
      <c r="F296" s="12" t="s">
        <v>28</v>
      </c>
      <c r="G296" s="13">
        <v>2</v>
      </c>
      <c r="H296" s="13">
        <v>1</v>
      </c>
      <c r="I296" s="13">
        <v>11.5</v>
      </c>
      <c r="J296" s="14">
        <v>0</v>
      </c>
      <c r="K296" s="17">
        <f>IFERROR(ROUND((fCaixa[[#This Row],[Venda]]/fCaixa[[#This Row],[Preço/Un.]]),0),0)</f>
        <v>2</v>
      </c>
      <c r="L296" s="15">
        <f>IFERROR((SUBSTITUTE(RIGHT(fCaixa[[#This Row],[Descrição]],3),"G","")*1 *fCaixa[[#This Row],[Qtd/Pães]]) / 1000,0)</f>
        <v>0.1</v>
      </c>
      <c r="M296" s="13">
        <f>IFERROR((((SUBSTITUTE(RIGHT(fCaixa[[#This Row],[Descrição]],3),"G","")*1) * fCaixa[[#This Row],[QTD Perdida]])/1000) *fCaixa[[#This Row],[Custo/KG.]],0)</f>
        <v>0</v>
      </c>
      <c r="N296" s="15">
        <f>IF(fCaixa[[#This Row],[Lançamento]]="RECEITA",(fCaixa[[#This Row],[QTD Perdida]]* (SUBSTITUTE(RIGHT(fCaixa[[#This Row],[Descrição]],3),"G","")*1))/1000,0)</f>
        <v>0</v>
      </c>
      <c r="O296" s="15">
        <f>fCaixa[[#This Row],[Qtd/Kg]]+fCaixa[[#This Row],[Qtd/Kg Perdido]]</f>
        <v>0.1</v>
      </c>
      <c r="P296" s="13">
        <f>IF(fCaixa[[#This Row],[Lançamento]]="RECEITA",(fCaixa[[#This Row],[Qtd/Kg]]*fCaixa[[#This Row],[Custo/KG.]]),0)</f>
        <v>1.1500000000000001</v>
      </c>
      <c r="Q296" s="34">
        <f>fCaixa[[#This Row],[Custoprimario]]+fCaixa[[#This Row],[Total Perdido]]</f>
        <v>1.1500000000000001</v>
      </c>
      <c r="R296" s="16">
        <f>IFERROR(fCaixa[[#This Row],[Custoprimario]]/fCaixa[[#This Row],[Venda]],0)</f>
        <v>0.57500000000000007</v>
      </c>
      <c r="S296" s="16">
        <f>IFERROR(fCaixa[[#This Row],[Custofinal]]/fCaixa[[#This Row],[Venda]],0)</f>
        <v>0.57500000000000007</v>
      </c>
      <c r="T296" s="13">
        <f>IF(fCaixa[[#This Row],[Lançamento]]="RECEITA",fCaixa[[#This Row],[Venda]]-fCaixa[[#This Row],[Custoprimario]],0)</f>
        <v>0.84999999999999987</v>
      </c>
      <c r="U296" s="16">
        <f>IFERROR(fCaixa[[#This Row],[Lucroprimario]]/fCaixa[[#This Row],[Venda]],0)</f>
        <v>0.42499999999999993</v>
      </c>
      <c r="V29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0.80419999999999991</v>
      </c>
      <c r="W296" s="16">
        <f>IFERROR(fCaixa[[#This Row],[Lucrofinal]]/fCaixa[[#This Row],[Venda]],0)</f>
        <v>0.40209999999999996</v>
      </c>
    </row>
    <row r="297" spans="1:23" ht="16.5" hidden="1" x14ac:dyDescent="0.25">
      <c r="A297" s="17">
        <f t="shared" si="4"/>
        <v>296</v>
      </c>
      <c r="B297" s="87">
        <v>43237</v>
      </c>
      <c r="C297" s="12" t="s">
        <v>29</v>
      </c>
      <c r="D297" s="12" t="s">
        <v>25</v>
      </c>
      <c r="E297" s="12" t="s">
        <v>30</v>
      </c>
      <c r="F297" s="12" t="s">
        <v>28</v>
      </c>
      <c r="G297" s="13">
        <v>30</v>
      </c>
      <c r="H297" s="13">
        <v>0</v>
      </c>
      <c r="I297" s="13">
        <v>0</v>
      </c>
      <c r="J297" s="14">
        <v>0</v>
      </c>
      <c r="K297" s="17">
        <f>IFERROR(ROUND((fCaixa[[#This Row],[Venda]]/fCaixa[[#This Row],[Preço/Un.]]),0),0)</f>
        <v>0</v>
      </c>
      <c r="L297" s="15">
        <f>IFERROR((SUBSTITUTE(RIGHT(fCaixa[[#This Row],[Descrição]],3),"G","")*1 *fCaixa[[#This Row],[Qtd/Pães]]) / 1000,0)</f>
        <v>0</v>
      </c>
      <c r="M297" s="13">
        <f>IFERROR((((SUBSTITUTE(RIGHT(fCaixa[[#This Row],[Descrição]],3),"G","")*1) * fCaixa[[#This Row],[QTD Perdida]])/1000) *fCaixa[[#This Row],[Custo/KG.]],0)</f>
        <v>0</v>
      </c>
      <c r="N297" s="15">
        <f>IF(fCaixa[[#This Row],[Lançamento]]="RECEITA",(fCaixa[[#This Row],[QTD Perdida]]* (SUBSTITUTE(RIGHT(fCaixa[[#This Row],[Descrição]],3),"G","")*1))/1000,0)</f>
        <v>0</v>
      </c>
      <c r="O297" s="15">
        <f>fCaixa[[#This Row],[Qtd/Kg]]+fCaixa[[#This Row],[Qtd/Kg Perdido]]</f>
        <v>0</v>
      </c>
      <c r="P297" s="13">
        <f>IF(fCaixa[[#This Row],[Lançamento]]="RECEITA",(fCaixa[[#This Row],[Qtd/Kg]]*fCaixa[[#This Row],[Custo/KG.]]),0)</f>
        <v>0</v>
      </c>
      <c r="Q297" s="34">
        <f>fCaixa[[#This Row],[Custoprimario]]+fCaixa[[#This Row],[Total Perdido]]</f>
        <v>0</v>
      </c>
      <c r="R297" s="16">
        <f>IFERROR(fCaixa[[#This Row],[Custoprimario]]/fCaixa[[#This Row],[Venda]],0)</f>
        <v>0</v>
      </c>
      <c r="S297" s="16">
        <f>IFERROR(fCaixa[[#This Row],[Custofinal]]/fCaixa[[#This Row],[Venda]],0)</f>
        <v>0</v>
      </c>
      <c r="T297" s="13">
        <f>IF(fCaixa[[#This Row],[Lançamento]]="RECEITA",fCaixa[[#This Row],[Venda]]-fCaixa[[#This Row],[Custoprimario]],0)</f>
        <v>0</v>
      </c>
      <c r="U297" s="16">
        <f>IFERROR(fCaixa[[#This Row],[Lucroprimario]]/fCaixa[[#This Row],[Venda]],0)</f>
        <v>0</v>
      </c>
      <c r="V29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297" s="16">
        <f>IFERROR(fCaixa[[#This Row],[Lucrofinal]]/fCaixa[[#This Row],[Venda]],0)</f>
        <v>0</v>
      </c>
    </row>
    <row r="298" spans="1:23" ht="16.5" hidden="1" x14ac:dyDescent="0.25">
      <c r="A298" s="17">
        <f t="shared" si="4"/>
        <v>297</v>
      </c>
      <c r="B298" s="87">
        <v>43237</v>
      </c>
      <c r="C298" s="12" t="s">
        <v>24</v>
      </c>
      <c r="D298" s="12" t="s">
        <v>25</v>
      </c>
      <c r="E298" s="12" t="s">
        <v>35</v>
      </c>
      <c r="F298" s="12" t="s">
        <v>28</v>
      </c>
      <c r="G298" s="13">
        <v>164</v>
      </c>
      <c r="H298" s="13">
        <v>1</v>
      </c>
      <c r="I298" s="13">
        <v>11.5</v>
      </c>
      <c r="J298" s="14">
        <v>2</v>
      </c>
      <c r="K298" s="17">
        <f>IFERROR(ROUND((fCaixa[[#This Row],[Venda]]/fCaixa[[#This Row],[Preço/Un.]]),0),0)</f>
        <v>164</v>
      </c>
      <c r="L298" s="15">
        <f>IFERROR((SUBSTITUTE(RIGHT(fCaixa[[#This Row],[Descrição]],3),"G","")*1 *fCaixa[[#This Row],[Qtd/Pães]]) / 1000,0)</f>
        <v>8.1999999999999993</v>
      </c>
      <c r="M298" s="13">
        <f>IFERROR((((SUBSTITUTE(RIGHT(fCaixa[[#This Row],[Descrição]],3),"G","")*1) * fCaixa[[#This Row],[QTD Perdida]])/1000) *fCaixa[[#This Row],[Custo/KG.]],0)</f>
        <v>1.1500000000000001</v>
      </c>
      <c r="N298" s="15">
        <f>IF(fCaixa[[#This Row],[Lançamento]]="RECEITA",(fCaixa[[#This Row],[QTD Perdida]]* (SUBSTITUTE(RIGHT(fCaixa[[#This Row],[Descrição]],3),"G","")*1))/1000,0)</f>
        <v>0.1</v>
      </c>
      <c r="O298" s="15">
        <f>fCaixa[[#This Row],[Qtd/Kg]]+fCaixa[[#This Row],[Qtd/Kg Perdido]]</f>
        <v>8.2999999999999989</v>
      </c>
      <c r="P298" s="13">
        <f>IF(fCaixa[[#This Row],[Lançamento]]="RECEITA",(fCaixa[[#This Row],[Qtd/Kg]]*fCaixa[[#This Row],[Custo/KG.]]),0)</f>
        <v>94.3</v>
      </c>
      <c r="Q298" s="34">
        <f>fCaixa[[#This Row],[Custoprimario]]+fCaixa[[#This Row],[Total Perdido]]</f>
        <v>95.45</v>
      </c>
      <c r="R298" s="16">
        <f>IFERROR(fCaixa[[#This Row],[Custoprimario]]/fCaixa[[#This Row],[Venda]],0)</f>
        <v>0.57499999999999996</v>
      </c>
      <c r="S298" s="16">
        <f>IFERROR(fCaixa[[#This Row],[Custofinal]]/fCaixa[[#This Row],[Venda]],0)</f>
        <v>0.58201219512195124</v>
      </c>
      <c r="T298" s="13">
        <f>IF(fCaixa[[#This Row],[Lançamento]]="RECEITA",fCaixa[[#This Row],[Venda]]-fCaixa[[#This Row],[Custoprimario]],0)</f>
        <v>69.7</v>
      </c>
      <c r="U298" s="16">
        <f>IFERROR(fCaixa[[#This Row],[Lucroprimario]]/fCaixa[[#This Row],[Venda]],0)</f>
        <v>0.42500000000000004</v>
      </c>
      <c r="V29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68.55</v>
      </c>
      <c r="W298" s="16">
        <f>IFERROR(fCaixa[[#This Row],[Lucrofinal]]/fCaixa[[#This Row],[Venda]],0)</f>
        <v>0.41798780487804876</v>
      </c>
    </row>
    <row r="299" spans="1:23" ht="16.5" hidden="1" x14ac:dyDescent="0.25">
      <c r="A299" s="17">
        <f t="shared" si="4"/>
        <v>298</v>
      </c>
      <c r="B299" s="87">
        <v>43238</v>
      </c>
      <c r="C299" s="12" t="s">
        <v>24</v>
      </c>
      <c r="D299" s="12" t="s">
        <v>37</v>
      </c>
      <c r="E299" s="12" t="s">
        <v>35</v>
      </c>
      <c r="F299" s="12" t="s">
        <v>28</v>
      </c>
      <c r="G299" s="13">
        <v>6</v>
      </c>
      <c r="H299" s="13">
        <v>1</v>
      </c>
      <c r="I299" s="13">
        <v>11.5</v>
      </c>
      <c r="J299" s="14">
        <v>0</v>
      </c>
      <c r="K299" s="17">
        <f>IFERROR(ROUND((fCaixa[[#This Row],[Venda]]/fCaixa[[#This Row],[Preço/Un.]]),0),0)</f>
        <v>6</v>
      </c>
      <c r="L299" s="15">
        <f>IFERROR((SUBSTITUTE(RIGHT(fCaixa[[#This Row],[Descrição]],3),"G","")*1 *fCaixa[[#This Row],[Qtd/Pães]]) / 1000,0)</f>
        <v>0.3</v>
      </c>
      <c r="M299" s="13">
        <f>IFERROR((((SUBSTITUTE(RIGHT(fCaixa[[#This Row],[Descrição]],3),"G","")*1) * fCaixa[[#This Row],[QTD Perdida]])/1000) *fCaixa[[#This Row],[Custo/KG.]],0)</f>
        <v>0</v>
      </c>
      <c r="N299" s="15">
        <f>IF(fCaixa[[#This Row],[Lançamento]]="RECEITA",(fCaixa[[#This Row],[QTD Perdida]]* (SUBSTITUTE(RIGHT(fCaixa[[#This Row],[Descrição]],3),"G","")*1))/1000,0)</f>
        <v>0</v>
      </c>
      <c r="O299" s="15">
        <f>fCaixa[[#This Row],[Qtd/Kg]]+fCaixa[[#This Row],[Qtd/Kg Perdido]]</f>
        <v>0.3</v>
      </c>
      <c r="P299" s="13">
        <f>IF(fCaixa[[#This Row],[Lançamento]]="RECEITA",(fCaixa[[#This Row],[Qtd/Kg]]*fCaixa[[#This Row],[Custo/KG.]]),0)</f>
        <v>3.4499999999999997</v>
      </c>
      <c r="Q299" s="34">
        <f>fCaixa[[#This Row],[Custoprimario]]+fCaixa[[#This Row],[Total Perdido]]</f>
        <v>3.4499999999999997</v>
      </c>
      <c r="R299" s="16">
        <f>IFERROR(fCaixa[[#This Row],[Custoprimario]]/fCaixa[[#This Row],[Venda]],0)</f>
        <v>0.57499999999999996</v>
      </c>
      <c r="S299" s="16">
        <f>IFERROR(fCaixa[[#This Row],[Custofinal]]/fCaixa[[#This Row],[Venda]],0)</f>
        <v>0.57499999999999996</v>
      </c>
      <c r="T299" s="13">
        <f>IF(fCaixa[[#This Row],[Lançamento]]="RECEITA",fCaixa[[#This Row],[Venda]]-fCaixa[[#This Row],[Custoprimario]],0)</f>
        <v>2.5500000000000003</v>
      </c>
      <c r="U299" s="16">
        <f>IFERROR(fCaixa[[#This Row],[Lucroprimario]]/fCaixa[[#This Row],[Venda]],0)</f>
        <v>0.42500000000000004</v>
      </c>
      <c r="V29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2.4126000000000003</v>
      </c>
      <c r="W299" s="16">
        <f>IFERROR(fCaixa[[#This Row],[Lucrofinal]]/fCaixa[[#This Row],[Venda]],0)</f>
        <v>0.40210000000000007</v>
      </c>
    </row>
    <row r="300" spans="1:23" ht="16.5" hidden="1" x14ac:dyDescent="0.25">
      <c r="A300" s="17">
        <f t="shared" si="4"/>
        <v>299</v>
      </c>
      <c r="B300" s="87">
        <v>43238</v>
      </c>
      <c r="C300" s="12" t="s">
        <v>24</v>
      </c>
      <c r="D300" s="12" t="s">
        <v>37</v>
      </c>
      <c r="E300" s="12" t="s">
        <v>35</v>
      </c>
      <c r="F300" s="12" t="s">
        <v>28</v>
      </c>
      <c r="G300" s="13">
        <v>5</v>
      </c>
      <c r="H300" s="13">
        <v>1</v>
      </c>
      <c r="I300" s="13">
        <v>11.5</v>
      </c>
      <c r="J300" s="14">
        <v>0</v>
      </c>
      <c r="K300" s="17">
        <f>IFERROR(ROUND((fCaixa[[#This Row],[Venda]]/fCaixa[[#This Row],[Preço/Un.]]),0),0)</f>
        <v>5</v>
      </c>
      <c r="L300" s="15">
        <f>IFERROR((SUBSTITUTE(RIGHT(fCaixa[[#This Row],[Descrição]],3),"G","")*1 *fCaixa[[#This Row],[Qtd/Pães]]) / 1000,0)</f>
        <v>0.25</v>
      </c>
      <c r="M300" s="13">
        <f>IFERROR((((SUBSTITUTE(RIGHT(fCaixa[[#This Row],[Descrição]],3),"G","")*1) * fCaixa[[#This Row],[QTD Perdida]])/1000) *fCaixa[[#This Row],[Custo/KG.]],0)</f>
        <v>0</v>
      </c>
      <c r="N300" s="15">
        <f>IF(fCaixa[[#This Row],[Lançamento]]="RECEITA",(fCaixa[[#This Row],[QTD Perdida]]* (SUBSTITUTE(RIGHT(fCaixa[[#This Row],[Descrição]],3),"G","")*1))/1000,0)</f>
        <v>0</v>
      </c>
      <c r="O300" s="15">
        <f>fCaixa[[#This Row],[Qtd/Kg]]+fCaixa[[#This Row],[Qtd/Kg Perdido]]</f>
        <v>0.25</v>
      </c>
      <c r="P300" s="13">
        <f>IF(fCaixa[[#This Row],[Lançamento]]="RECEITA",(fCaixa[[#This Row],[Qtd/Kg]]*fCaixa[[#This Row],[Custo/KG.]]),0)</f>
        <v>2.875</v>
      </c>
      <c r="Q300" s="34">
        <f>fCaixa[[#This Row],[Custoprimario]]+fCaixa[[#This Row],[Total Perdido]]</f>
        <v>2.875</v>
      </c>
      <c r="R300" s="16">
        <f>IFERROR(fCaixa[[#This Row],[Custoprimario]]/fCaixa[[#This Row],[Venda]],0)</f>
        <v>0.57499999999999996</v>
      </c>
      <c r="S300" s="16">
        <f>IFERROR(fCaixa[[#This Row],[Custofinal]]/fCaixa[[#This Row],[Venda]],0)</f>
        <v>0.57499999999999996</v>
      </c>
      <c r="T300" s="13">
        <f>IF(fCaixa[[#This Row],[Lançamento]]="RECEITA",fCaixa[[#This Row],[Venda]]-fCaixa[[#This Row],[Custoprimario]],0)</f>
        <v>2.125</v>
      </c>
      <c r="U300" s="16">
        <f>IFERROR(fCaixa[[#This Row],[Lucroprimario]]/fCaixa[[#This Row],[Venda]],0)</f>
        <v>0.42499999999999999</v>
      </c>
      <c r="V30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300" s="16">
        <f>IFERROR(fCaixa[[#This Row],[Lucrofinal]]/fCaixa[[#This Row],[Venda]],0)</f>
        <v>0.40210000000000001</v>
      </c>
    </row>
    <row r="301" spans="1:23" ht="16.5" hidden="1" x14ac:dyDescent="0.25">
      <c r="A301" s="17">
        <f t="shared" si="4"/>
        <v>300</v>
      </c>
      <c r="B301" s="87">
        <v>43238</v>
      </c>
      <c r="C301" s="12" t="s">
        <v>24</v>
      </c>
      <c r="D301" s="12" t="s">
        <v>25</v>
      </c>
      <c r="E301" s="12" t="s">
        <v>35</v>
      </c>
      <c r="F301" s="12" t="s">
        <v>28</v>
      </c>
      <c r="G301" s="13">
        <v>90</v>
      </c>
      <c r="H301" s="13">
        <v>1</v>
      </c>
      <c r="I301" s="13">
        <v>11.5</v>
      </c>
      <c r="J301" s="14">
        <v>3</v>
      </c>
      <c r="K301" s="17">
        <f>IFERROR(ROUND((fCaixa[[#This Row],[Venda]]/fCaixa[[#This Row],[Preço/Un.]]),0),0)</f>
        <v>90</v>
      </c>
      <c r="L301" s="15">
        <f>IFERROR((SUBSTITUTE(RIGHT(fCaixa[[#This Row],[Descrição]],3),"G","")*1 *fCaixa[[#This Row],[Qtd/Pães]]) / 1000,0)</f>
        <v>4.5</v>
      </c>
      <c r="M301" s="13">
        <f>IFERROR((((SUBSTITUTE(RIGHT(fCaixa[[#This Row],[Descrição]],3),"G","")*1) * fCaixa[[#This Row],[QTD Perdida]])/1000) *fCaixa[[#This Row],[Custo/KG.]],0)</f>
        <v>1.7249999999999999</v>
      </c>
      <c r="N301" s="15">
        <f>IF(fCaixa[[#This Row],[Lançamento]]="RECEITA",(fCaixa[[#This Row],[QTD Perdida]]* (SUBSTITUTE(RIGHT(fCaixa[[#This Row],[Descrição]],3),"G","")*1))/1000,0)</f>
        <v>0.15</v>
      </c>
      <c r="O301" s="15">
        <f>fCaixa[[#This Row],[Qtd/Kg]]+fCaixa[[#This Row],[Qtd/Kg Perdido]]</f>
        <v>4.6500000000000004</v>
      </c>
      <c r="P301" s="13">
        <f>IF(fCaixa[[#This Row],[Lançamento]]="RECEITA",(fCaixa[[#This Row],[Qtd/Kg]]*fCaixa[[#This Row],[Custo/KG.]]),0)</f>
        <v>51.75</v>
      </c>
      <c r="Q301" s="34">
        <f>fCaixa[[#This Row],[Custoprimario]]+fCaixa[[#This Row],[Total Perdido]]</f>
        <v>53.475000000000001</v>
      </c>
      <c r="R301" s="16">
        <f>IFERROR(fCaixa[[#This Row],[Custoprimario]]/fCaixa[[#This Row],[Venda]],0)</f>
        <v>0.57499999999999996</v>
      </c>
      <c r="S301" s="16">
        <f>IFERROR(fCaixa[[#This Row],[Custofinal]]/fCaixa[[#This Row],[Venda]],0)</f>
        <v>0.59416666666666673</v>
      </c>
      <c r="T301" s="13">
        <f>IF(fCaixa[[#This Row],[Lançamento]]="RECEITA",fCaixa[[#This Row],[Venda]]-fCaixa[[#This Row],[Custoprimario]],0)</f>
        <v>38.25</v>
      </c>
      <c r="U301" s="16">
        <f>IFERROR(fCaixa[[#This Row],[Lucroprimario]]/fCaixa[[#This Row],[Venda]],0)</f>
        <v>0.42499999999999999</v>
      </c>
      <c r="V30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36.524999999999999</v>
      </c>
      <c r="W301" s="16">
        <f>IFERROR(fCaixa[[#This Row],[Lucrofinal]]/fCaixa[[#This Row],[Venda]],0)</f>
        <v>0.40583333333333332</v>
      </c>
    </row>
    <row r="302" spans="1:23" ht="16.5" hidden="1" x14ac:dyDescent="0.25">
      <c r="A302" s="17">
        <f t="shared" si="4"/>
        <v>301</v>
      </c>
      <c r="B302" s="87">
        <v>43239</v>
      </c>
      <c r="C302" s="12" t="s">
        <v>24</v>
      </c>
      <c r="D302" s="12" t="s">
        <v>37</v>
      </c>
      <c r="E302" s="12" t="s">
        <v>35</v>
      </c>
      <c r="F302" s="12" t="s">
        <v>28</v>
      </c>
      <c r="G302" s="13">
        <v>10</v>
      </c>
      <c r="H302" s="13">
        <v>1</v>
      </c>
      <c r="I302" s="13">
        <v>11.5</v>
      </c>
      <c r="J302" s="14">
        <v>0</v>
      </c>
      <c r="K302" s="17">
        <f>IFERROR(ROUND((fCaixa[[#This Row],[Venda]]/fCaixa[[#This Row],[Preço/Un.]]),0),0)</f>
        <v>10</v>
      </c>
      <c r="L302" s="15">
        <f>IFERROR((SUBSTITUTE(RIGHT(fCaixa[[#This Row],[Descrição]],3),"G","")*1 *fCaixa[[#This Row],[Qtd/Pães]]) / 1000,0)</f>
        <v>0.5</v>
      </c>
      <c r="M302" s="13">
        <f>IFERROR((((SUBSTITUTE(RIGHT(fCaixa[[#This Row],[Descrição]],3),"G","")*1) * fCaixa[[#This Row],[QTD Perdida]])/1000) *fCaixa[[#This Row],[Custo/KG.]],0)</f>
        <v>0</v>
      </c>
      <c r="N302" s="15">
        <f>IF(fCaixa[[#This Row],[Lançamento]]="RECEITA",(fCaixa[[#This Row],[QTD Perdida]]* (SUBSTITUTE(RIGHT(fCaixa[[#This Row],[Descrição]],3),"G","")*1))/1000,0)</f>
        <v>0</v>
      </c>
      <c r="O302" s="15">
        <f>fCaixa[[#This Row],[Qtd/Kg]]+fCaixa[[#This Row],[Qtd/Kg Perdido]]</f>
        <v>0.5</v>
      </c>
      <c r="P302" s="13">
        <f>IF(fCaixa[[#This Row],[Lançamento]]="RECEITA",(fCaixa[[#This Row],[Qtd/Kg]]*fCaixa[[#This Row],[Custo/KG.]]),0)</f>
        <v>5.75</v>
      </c>
      <c r="Q302" s="34">
        <f>fCaixa[[#This Row],[Custoprimario]]+fCaixa[[#This Row],[Total Perdido]]</f>
        <v>5.75</v>
      </c>
      <c r="R302" s="16">
        <f>IFERROR(fCaixa[[#This Row],[Custoprimario]]/fCaixa[[#This Row],[Venda]],0)</f>
        <v>0.57499999999999996</v>
      </c>
      <c r="S302" s="16">
        <f>IFERROR(fCaixa[[#This Row],[Custofinal]]/fCaixa[[#This Row],[Venda]],0)</f>
        <v>0.57499999999999996</v>
      </c>
      <c r="T302" s="13">
        <f>IF(fCaixa[[#This Row],[Lançamento]]="RECEITA",fCaixa[[#This Row],[Venda]]-fCaixa[[#This Row],[Custoprimario]],0)</f>
        <v>4.25</v>
      </c>
      <c r="U302" s="16">
        <f>IFERROR(fCaixa[[#This Row],[Lucroprimario]]/fCaixa[[#This Row],[Venda]],0)</f>
        <v>0.42499999999999999</v>
      </c>
      <c r="V30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4.0209999999999999</v>
      </c>
      <c r="W302" s="16">
        <f>IFERROR(fCaixa[[#This Row],[Lucrofinal]]/fCaixa[[#This Row],[Venda]],0)</f>
        <v>0.40210000000000001</v>
      </c>
    </row>
    <row r="303" spans="1:23" ht="16.5" hidden="1" x14ac:dyDescent="0.25">
      <c r="A303" s="17">
        <f t="shared" si="4"/>
        <v>302</v>
      </c>
      <c r="B303" s="87">
        <v>43239</v>
      </c>
      <c r="C303" s="12" t="s">
        <v>24</v>
      </c>
      <c r="D303" s="12" t="s">
        <v>37</v>
      </c>
      <c r="E303" s="12" t="s">
        <v>35</v>
      </c>
      <c r="F303" s="12" t="s">
        <v>28</v>
      </c>
      <c r="G303" s="13">
        <v>10</v>
      </c>
      <c r="H303" s="13">
        <v>1</v>
      </c>
      <c r="I303" s="13">
        <v>11.5</v>
      </c>
      <c r="J303" s="14">
        <v>0</v>
      </c>
      <c r="K303" s="17">
        <f>IFERROR(ROUND((fCaixa[[#This Row],[Venda]]/fCaixa[[#This Row],[Preço/Un.]]),0),0)</f>
        <v>10</v>
      </c>
      <c r="L303" s="15">
        <f>IFERROR((SUBSTITUTE(RIGHT(fCaixa[[#This Row],[Descrição]],3),"G","")*1 *fCaixa[[#This Row],[Qtd/Pães]]) / 1000,0)</f>
        <v>0.5</v>
      </c>
      <c r="M303" s="13">
        <f>IFERROR((((SUBSTITUTE(RIGHT(fCaixa[[#This Row],[Descrição]],3),"G","")*1) * fCaixa[[#This Row],[QTD Perdida]])/1000) *fCaixa[[#This Row],[Custo/KG.]],0)</f>
        <v>0</v>
      </c>
      <c r="N303" s="15">
        <f>IF(fCaixa[[#This Row],[Lançamento]]="RECEITA",(fCaixa[[#This Row],[QTD Perdida]]* (SUBSTITUTE(RIGHT(fCaixa[[#This Row],[Descrição]],3),"G","")*1))/1000,0)</f>
        <v>0</v>
      </c>
      <c r="O303" s="15">
        <f>fCaixa[[#This Row],[Qtd/Kg]]+fCaixa[[#This Row],[Qtd/Kg Perdido]]</f>
        <v>0.5</v>
      </c>
      <c r="P303" s="13">
        <f>IF(fCaixa[[#This Row],[Lançamento]]="RECEITA",(fCaixa[[#This Row],[Qtd/Kg]]*fCaixa[[#This Row],[Custo/KG.]]),0)</f>
        <v>5.75</v>
      </c>
      <c r="Q303" s="34">
        <f>fCaixa[[#This Row],[Custoprimario]]+fCaixa[[#This Row],[Total Perdido]]</f>
        <v>5.75</v>
      </c>
      <c r="R303" s="16">
        <f>IFERROR(fCaixa[[#This Row],[Custoprimario]]/fCaixa[[#This Row],[Venda]],0)</f>
        <v>0.57499999999999996</v>
      </c>
      <c r="S303" s="16">
        <f>IFERROR(fCaixa[[#This Row],[Custofinal]]/fCaixa[[#This Row],[Venda]],0)</f>
        <v>0.57499999999999996</v>
      </c>
      <c r="T303" s="13">
        <f>IF(fCaixa[[#This Row],[Lançamento]]="RECEITA",fCaixa[[#This Row],[Venda]]-fCaixa[[#This Row],[Custoprimario]],0)</f>
        <v>4.25</v>
      </c>
      <c r="U303" s="16">
        <f>IFERROR(fCaixa[[#This Row],[Lucroprimario]]/fCaixa[[#This Row],[Venda]],0)</f>
        <v>0.42499999999999999</v>
      </c>
      <c r="V30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4.0209999999999999</v>
      </c>
      <c r="W303" s="16">
        <f>IFERROR(fCaixa[[#This Row],[Lucrofinal]]/fCaixa[[#This Row],[Venda]],0)</f>
        <v>0.40210000000000001</v>
      </c>
    </row>
    <row r="304" spans="1:23" ht="16.5" hidden="1" x14ac:dyDescent="0.25">
      <c r="A304" s="17">
        <f t="shared" si="4"/>
        <v>303</v>
      </c>
      <c r="B304" s="87">
        <v>43239</v>
      </c>
      <c r="C304" s="12" t="s">
        <v>24</v>
      </c>
      <c r="D304" s="12" t="s">
        <v>25</v>
      </c>
      <c r="E304" s="12" t="s">
        <v>35</v>
      </c>
      <c r="F304" s="12" t="s">
        <v>28</v>
      </c>
      <c r="G304" s="13">
        <v>93</v>
      </c>
      <c r="H304" s="13">
        <v>1</v>
      </c>
      <c r="I304" s="13">
        <v>11.5</v>
      </c>
      <c r="J304" s="14">
        <v>10</v>
      </c>
      <c r="K304" s="17">
        <f>IFERROR(ROUND((fCaixa[[#This Row],[Venda]]/fCaixa[[#This Row],[Preço/Un.]]),0),0)</f>
        <v>93</v>
      </c>
      <c r="L304" s="15">
        <f>IFERROR((SUBSTITUTE(RIGHT(fCaixa[[#This Row],[Descrição]],3),"G","")*1 *fCaixa[[#This Row],[Qtd/Pães]]) / 1000,0)</f>
        <v>4.6500000000000004</v>
      </c>
      <c r="M304" s="13">
        <f>IFERROR((((SUBSTITUTE(RIGHT(fCaixa[[#This Row],[Descrição]],3),"G","")*1) * fCaixa[[#This Row],[QTD Perdida]])/1000) *fCaixa[[#This Row],[Custo/KG.]],0)</f>
        <v>5.75</v>
      </c>
      <c r="N304" s="15">
        <f>IF(fCaixa[[#This Row],[Lançamento]]="RECEITA",(fCaixa[[#This Row],[QTD Perdida]]* (SUBSTITUTE(RIGHT(fCaixa[[#This Row],[Descrição]],3),"G","")*1))/1000,0)</f>
        <v>0.5</v>
      </c>
      <c r="O304" s="15">
        <f>fCaixa[[#This Row],[Qtd/Kg]]+fCaixa[[#This Row],[Qtd/Kg Perdido]]</f>
        <v>5.15</v>
      </c>
      <c r="P304" s="13">
        <f>IF(fCaixa[[#This Row],[Lançamento]]="RECEITA",(fCaixa[[#This Row],[Qtd/Kg]]*fCaixa[[#This Row],[Custo/KG.]]),0)</f>
        <v>53.475000000000001</v>
      </c>
      <c r="Q304" s="34">
        <f>fCaixa[[#This Row],[Custoprimario]]+fCaixa[[#This Row],[Total Perdido]]</f>
        <v>59.225000000000001</v>
      </c>
      <c r="R304" s="16">
        <f>IFERROR(fCaixa[[#This Row],[Custoprimario]]/fCaixa[[#This Row],[Venda]],0)</f>
        <v>0.57500000000000007</v>
      </c>
      <c r="S304" s="16">
        <f>IFERROR(fCaixa[[#This Row],[Custofinal]]/fCaixa[[#This Row],[Venda]],0)</f>
        <v>0.63682795698924732</v>
      </c>
      <c r="T304" s="13">
        <f>IF(fCaixa[[#This Row],[Lançamento]]="RECEITA",fCaixa[[#This Row],[Venda]]-fCaixa[[#This Row],[Custoprimario]],0)</f>
        <v>39.524999999999999</v>
      </c>
      <c r="U304" s="16">
        <f>IFERROR(fCaixa[[#This Row],[Lucroprimario]]/fCaixa[[#This Row],[Venda]],0)</f>
        <v>0.42499999999999999</v>
      </c>
      <c r="V30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33.774999999999999</v>
      </c>
      <c r="W304" s="16">
        <f>IFERROR(fCaixa[[#This Row],[Lucrofinal]]/fCaixa[[#This Row],[Venda]],0)</f>
        <v>0.36317204301075268</v>
      </c>
    </row>
    <row r="305" spans="1:23" ht="16.5" hidden="1" x14ac:dyDescent="0.25">
      <c r="A305" s="17">
        <f t="shared" si="4"/>
        <v>304</v>
      </c>
      <c r="B305" s="87">
        <v>43239</v>
      </c>
      <c r="C305" s="12" t="s">
        <v>24</v>
      </c>
      <c r="D305" s="12" t="s">
        <v>25</v>
      </c>
      <c r="E305" s="12" t="s">
        <v>35</v>
      </c>
      <c r="F305" s="12" t="s">
        <v>28</v>
      </c>
      <c r="G305" s="13">
        <v>18</v>
      </c>
      <c r="H305" s="13">
        <v>0.9</v>
      </c>
      <c r="I305" s="13">
        <v>11.5</v>
      </c>
      <c r="J305" s="14">
        <v>0</v>
      </c>
      <c r="K305" s="17">
        <f>IFERROR(ROUND((fCaixa[[#This Row],[Venda]]/fCaixa[[#This Row],[Preço/Un.]]),0),0)</f>
        <v>20</v>
      </c>
      <c r="L305" s="15">
        <f>IFERROR((SUBSTITUTE(RIGHT(fCaixa[[#This Row],[Descrição]],3),"G","")*1 *fCaixa[[#This Row],[Qtd/Pães]]) / 1000,0)</f>
        <v>1</v>
      </c>
      <c r="M305" s="13">
        <f>IFERROR((((SUBSTITUTE(RIGHT(fCaixa[[#This Row],[Descrição]],3),"G","")*1) * fCaixa[[#This Row],[QTD Perdida]])/1000) *fCaixa[[#This Row],[Custo/KG.]],0)</f>
        <v>0</v>
      </c>
      <c r="N305" s="15">
        <f>IF(fCaixa[[#This Row],[Lançamento]]="RECEITA",(fCaixa[[#This Row],[QTD Perdida]]* (SUBSTITUTE(RIGHT(fCaixa[[#This Row],[Descrição]],3),"G","")*1))/1000,0)</f>
        <v>0</v>
      </c>
      <c r="O305" s="15">
        <f>fCaixa[[#This Row],[Qtd/Kg]]+fCaixa[[#This Row],[Qtd/Kg Perdido]]</f>
        <v>1</v>
      </c>
      <c r="P305" s="13">
        <f>IF(fCaixa[[#This Row],[Lançamento]]="RECEITA",(fCaixa[[#This Row],[Qtd/Kg]]*fCaixa[[#This Row],[Custo/KG.]]),0)</f>
        <v>11.5</v>
      </c>
      <c r="Q305" s="34">
        <f>fCaixa[[#This Row],[Custoprimario]]+fCaixa[[#This Row],[Total Perdido]]</f>
        <v>11.5</v>
      </c>
      <c r="R305" s="16">
        <f>IFERROR(fCaixa[[#This Row],[Custoprimario]]/fCaixa[[#This Row],[Venda]],0)</f>
        <v>0.63888888888888884</v>
      </c>
      <c r="S305" s="16">
        <f>IFERROR(fCaixa[[#This Row],[Custofinal]]/fCaixa[[#This Row],[Venda]],0)</f>
        <v>0.63888888888888884</v>
      </c>
      <c r="T305" s="13">
        <f>IF(fCaixa[[#This Row],[Lançamento]]="RECEITA",fCaixa[[#This Row],[Venda]]-fCaixa[[#This Row],[Custoprimario]],0)</f>
        <v>6.5</v>
      </c>
      <c r="U305" s="16">
        <f>IFERROR(fCaixa[[#This Row],[Lucroprimario]]/fCaixa[[#This Row],[Venda]],0)</f>
        <v>0.3611111111111111</v>
      </c>
      <c r="V30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05" s="16">
        <f>IFERROR(fCaixa[[#This Row],[Lucrofinal]]/fCaixa[[#This Row],[Venda]],0)</f>
        <v>0.3611111111111111</v>
      </c>
    </row>
    <row r="306" spans="1:23" ht="16.5" hidden="1" x14ac:dyDescent="0.25">
      <c r="A306" s="17">
        <f t="shared" si="4"/>
        <v>305</v>
      </c>
      <c r="B306" s="87">
        <v>43241</v>
      </c>
      <c r="C306" s="12" t="s">
        <v>29</v>
      </c>
      <c r="D306" s="12" t="s">
        <v>25</v>
      </c>
      <c r="E306" s="12" t="s">
        <v>36</v>
      </c>
      <c r="F306" s="12" t="s">
        <v>28</v>
      </c>
      <c r="G306" s="13">
        <v>18.61</v>
      </c>
      <c r="H306" s="13">
        <v>0</v>
      </c>
      <c r="I306" s="13">
        <v>0</v>
      </c>
      <c r="J306" s="14">
        <v>0</v>
      </c>
      <c r="K306" s="17">
        <f>IFERROR(ROUND((fCaixa[[#This Row],[Venda]]/fCaixa[[#This Row],[Preço/Un.]]),0),0)</f>
        <v>0</v>
      </c>
      <c r="L306" s="15">
        <f>IFERROR((SUBSTITUTE(RIGHT(fCaixa[[#This Row],[Descrição]],3),"G","")*1 *fCaixa[[#This Row],[Qtd/Pães]]) / 1000,0)</f>
        <v>0</v>
      </c>
      <c r="M306" s="13">
        <f>IFERROR((((SUBSTITUTE(RIGHT(fCaixa[[#This Row],[Descrição]],3),"G","")*1) * fCaixa[[#This Row],[QTD Perdida]])/1000) *fCaixa[[#This Row],[Custo/KG.]],0)</f>
        <v>0</v>
      </c>
      <c r="N306" s="15">
        <f>IF(fCaixa[[#This Row],[Lançamento]]="RECEITA",(fCaixa[[#This Row],[QTD Perdida]]* (SUBSTITUTE(RIGHT(fCaixa[[#This Row],[Descrição]],3),"G","")*1))/1000,0)</f>
        <v>0</v>
      </c>
      <c r="O306" s="15">
        <f>fCaixa[[#This Row],[Qtd/Kg]]+fCaixa[[#This Row],[Qtd/Kg Perdido]]</f>
        <v>0</v>
      </c>
      <c r="P306" s="13">
        <f>IF(fCaixa[[#This Row],[Lançamento]]="RECEITA",(fCaixa[[#This Row],[Qtd/Kg]]*fCaixa[[#This Row],[Custo/KG.]]),0)</f>
        <v>0</v>
      </c>
      <c r="Q306" s="34">
        <f>fCaixa[[#This Row],[Custoprimario]]+fCaixa[[#This Row],[Total Perdido]]</f>
        <v>0</v>
      </c>
      <c r="R306" s="16">
        <f>IFERROR(fCaixa[[#This Row],[Custoprimario]]/fCaixa[[#This Row],[Venda]],0)</f>
        <v>0</v>
      </c>
      <c r="S306" s="16">
        <f>IFERROR(fCaixa[[#This Row],[Custofinal]]/fCaixa[[#This Row],[Venda]],0)</f>
        <v>0</v>
      </c>
      <c r="T306" s="13">
        <f>IF(fCaixa[[#This Row],[Lançamento]]="RECEITA",fCaixa[[#This Row],[Venda]]-fCaixa[[#This Row],[Custoprimario]],0)</f>
        <v>0</v>
      </c>
      <c r="U306" s="16">
        <f>IFERROR(fCaixa[[#This Row],[Lucroprimario]]/fCaixa[[#This Row],[Venda]],0)</f>
        <v>0</v>
      </c>
      <c r="V30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06" s="16">
        <f>IFERROR(fCaixa[[#This Row],[Lucrofinal]]/fCaixa[[#This Row],[Venda]],0)</f>
        <v>0</v>
      </c>
    </row>
    <row r="307" spans="1:23" ht="16.5" hidden="1" x14ac:dyDescent="0.25">
      <c r="A307" s="17">
        <f t="shared" si="4"/>
        <v>306</v>
      </c>
      <c r="B307" s="87">
        <v>43241</v>
      </c>
      <c r="C307" s="12" t="s">
        <v>24</v>
      </c>
      <c r="D307" s="12" t="s">
        <v>37</v>
      </c>
      <c r="E307" s="12" t="s">
        <v>35</v>
      </c>
      <c r="F307" s="12" t="s">
        <v>28</v>
      </c>
      <c r="G307" s="13">
        <v>5</v>
      </c>
      <c r="H307" s="13">
        <v>1</v>
      </c>
      <c r="I307" s="13">
        <v>11.5</v>
      </c>
      <c r="J307" s="14">
        <v>0</v>
      </c>
      <c r="K307" s="17">
        <f>IFERROR(ROUND((fCaixa[[#This Row],[Venda]]/fCaixa[[#This Row],[Preço/Un.]]),0),0)</f>
        <v>5</v>
      </c>
      <c r="L307" s="15">
        <f>IFERROR((SUBSTITUTE(RIGHT(fCaixa[[#This Row],[Descrição]],3),"G","")*1 *fCaixa[[#This Row],[Qtd/Pães]]) / 1000,0)</f>
        <v>0.25</v>
      </c>
      <c r="M307" s="13">
        <f>IFERROR((((SUBSTITUTE(RIGHT(fCaixa[[#This Row],[Descrição]],3),"G","")*1) * fCaixa[[#This Row],[QTD Perdida]])/1000) *fCaixa[[#This Row],[Custo/KG.]],0)</f>
        <v>0</v>
      </c>
      <c r="N307" s="15">
        <f>IF(fCaixa[[#This Row],[Lançamento]]="RECEITA",(fCaixa[[#This Row],[QTD Perdida]]* (SUBSTITUTE(RIGHT(fCaixa[[#This Row],[Descrição]],3),"G","")*1))/1000,0)</f>
        <v>0</v>
      </c>
      <c r="O307" s="15">
        <f>fCaixa[[#This Row],[Qtd/Kg]]+fCaixa[[#This Row],[Qtd/Kg Perdido]]</f>
        <v>0.25</v>
      </c>
      <c r="P307" s="13">
        <f>IF(fCaixa[[#This Row],[Lançamento]]="RECEITA",(fCaixa[[#This Row],[Qtd/Kg]]*fCaixa[[#This Row],[Custo/KG.]]),0)</f>
        <v>2.875</v>
      </c>
      <c r="Q307" s="34">
        <f>fCaixa[[#This Row],[Custoprimario]]+fCaixa[[#This Row],[Total Perdido]]</f>
        <v>2.875</v>
      </c>
      <c r="R307" s="16">
        <f>IFERROR(fCaixa[[#This Row],[Custoprimario]]/fCaixa[[#This Row],[Venda]],0)</f>
        <v>0.57499999999999996</v>
      </c>
      <c r="S307" s="16">
        <f>IFERROR(fCaixa[[#This Row],[Custofinal]]/fCaixa[[#This Row],[Venda]],0)</f>
        <v>0.57499999999999996</v>
      </c>
      <c r="T307" s="13">
        <f>IF(fCaixa[[#This Row],[Lançamento]]="RECEITA",fCaixa[[#This Row],[Venda]]-fCaixa[[#This Row],[Custoprimario]],0)</f>
        <v>2.125</v>
      </c>
      <c r="U307" s="16">
        <f>IFERROR(fCaixa[[#This Row],[Lucroprimario]]/fCaixa[[#This Row],[Venda]],0)</f>
        <v>0.42499999999999999</v>
      </c>
      <c r="V30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307" s="16">
        <f>IFERROR(fCaixa[[#This Row],[Lucrofinal]]/fCaixa[[#This Row],[Venda]],0)</f>
        <v>0.40210000000000001</v>
      </c>
    </row>
    <row r="308" spans="1:23" ht="16.5" hidden="1" x14ac:dyDescent="0.25">
      <c r="A308" s="17">
        <f t="shared" si="4"/>
        <v>307</v>
      </c>
      <c r="B308" s="87">
        <v>43241</v>
      </c>
      <c r="C308" s="12" t="s">
        <v>24</v>
      </c>
      <c r="D308" s="12" t="s">
        <v>25</v>
      </c>
      <c r="E308" s="12" t="s">
        <v>35</v>
      </c>
      <c r="F308" s="12" t="s">
        <v>28</v>
      </c>
      <c r="G308" s="13">
        <v>193</v>
      </c>
      <c r="H308" s="13">
        <v>1</v>
      </c>
      <c r="I308" s="13">
        <v>11.5</v>
      </c>
      <c r="J308" s="14">
        <v>5</v>
      </c>
      <c r="K308" s="17">
        <f>IFERROR(ROUND((fCaixa[[#This Row],[Venda]]/fCaixa[[#This Row],[Preço/Un.]]),0),0)</f>
        <v>193</v>
      </c>
      <c r="L308" s="15">
        <f>IFERROR((SUBSTITUTE(RIGHT(fCaixa[[#This Row],[Descrição]],3),"G","")*1 *fCaixa[[#This Row],[Qtd/Pães]]) / 1000,0)</f>
        <v>9.65</v>
      </c>
      <c r="M308" s="13">
        <f>IFERROR((((SUBSTITUTE(RIGHT(fCaixa[[#This Row],[Descrição]],3),"G","")*1) * fCaixa[[#This Row],[QTD Perdida]])/1000) *fCaixa[[#This Row],[Custo/KG.]],0)</f>
        <v>2.875</v>
      </c>
      <c r="N308" s="15">
        <f>IF(fCaixa[[#This Row],[Lançamento]]="RECEITA",(fCaixa[[#This Row],[QTD Perdida]]* (SUBSTITUTE(RIGHT(fCaixa[[#This Row],[Descrição]],3),"G","")*1))/1000,0)</f>
        <v>0.25</v>
      </c>
      <c r="O308" s="15">
        <f>fCaixa[[#This Row],[Qtd/Kg]]+fCaixa[[#This Row],[Qtd/Kg Perdido]]</f>
        <v>9.9</v>
      </c>
      <c r="P308" s="13">
        <f>IF(fCaixa[[#This Row],[Lançamento]]="RECEITA",(fCaixa[[#This Row],[Qtd/Kg]]*fCaixa[[#This Row],[Custo/KG.]]),0)</f>
        <v>110.97500000000001</v>
      </c>
      <c r="Q308" s="34">
        <f>fCaixa[[#This Row],[Custoprimario]]+fCaixa[[#This Row],[Total Perdido]]</f>
        <v>113.85000000000001</v>
      </c>
      <c r="R308" s="16">
        <f>IFERROR(fCaixa[[#This Row],[Custoprimario]]/fCaixa[[#This Row],[Venda]],0)</f>
        <v>0.57500000000000007</v>
      </c>
      <c r="S308" s="16">
        <f>IFERROR(fCaixa[[#This Row],[Custofinal]]/fCaixa[[#This Row],[Venda]],0)</f>
        <v>0.58989637305699483</v>
      </c>
      <c r="T308" s="13">
        <f>IF(fCaixa[[#This Row],[Lançamento]]="RECEITA",fCaixa[[#This Row],[Venda]]-fCaixa[[#This Row],[Custoprimario]],0)</f>
        <v>82.024999999999991</v>
      </c>
      <c r="U308" s="16">
        <f>IFERROR(fCaixa[[#This Row],[Lucroprimario]]/fCaixa[[#This Row],[Venda]],0)</f>
        <v>0.42499999999999993</v>
      </c>
      <c r="V30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79.149999999999991</v>
      </c>
      <c r="W308" s="16">
        <f>IFERROR(fCaixa[[#This Row],[Lucrofinal]]/fCaixa[[#This Row],[Venda]],0)</f>
        <v>0.41010362694300512</v>
      </c>
    </row>
    <row r="309" spans="1:23" ht="16.5" hidden="1" x14ac:dyDescent="0.25">
      <c r="A309" s="17">
        <f t="shared" si="4"/>
        <v>308</v>
      </c>
      <c r="B309" s="87">
        <v>43242</v>
      </c>
      <c r="C309" s="12" t="s">
        <v>24</v>
      </c>
      <c r="D309" s="12" t="s">
        <v>25</v>
      </c>
      <c r="E309" s="12" t="s">
        <v>35</v>
      </c>
      <c r="F309" s="12" t="s">
        <v>28</v>
      </c>
      <c r="G309" s="13">
        <v>20</v>
      </c>
      <c r="H309" s="13">
        <v>1</v>
      </c>
      <c r="I309" s="13">
        <v>11.5</v>
      </c>
      <c r="J309" s="14">
        <v>0</v>
      </c>
      <c r="K309" s="17">
        <f>IFERROR(ROUND((fCaixa[[#This Row],[Venda]]/fCaixa[[#This Row],[Preço/Un.]]),0),0)</f>
        <v>20</v>
      </c>
      <c r="L309" s="15">
        <f>IFERROR((SUBSTITUTE(RIGHT(fCaixa[[#This Row],[Descrição]],3),"G","")*1 *fCaixa[[#This Row],[Qtd/Pães]]) / 1000,0)</f>
        <v>1</v>
      </c>
      <c r="M309" s="13">
        <f>IFERROR((((SUBSTITUTE(RIGHT(fCaixa[[#This Row],[Descrição]],3),"G","")*1) * fCaixa[[#This Row],[QTD Perdida]])/1000) *fCaixa[[#This Row],[Custo/KG.]],0)</f>
        <v>0</v>
      </c>
      <c r="N309" s="15">
        <f>IF(fCaixa[[#This Row],[Lançamento]]="RECEITA",(fCaixa[[#This Row],[QTD Perdida]]* (SUBSTITUTE(RIGHT(fCaixa[[#This Row],[Descrição]],3),"G","")*1))/1000,0)</f>
        <v>0</v>
      </c>
      <c r="O309" s="15">
        <f>fCaixa[[#This Row],[Qtd/Kg]]+fCaixa[[#This Row],[Qtd/Kg Perdido]]</f>
        <v>1</v>
      </c>
      <c r="P309" s="13">
        <f>IF(fCaixa[[#This Row],[Lançamento]]="RECEITA",(fCaixa[[#This Row],[Qtd/Kg]]*fCaixa[[#This Row],[Custo/KG.]]),0)</f>
        <v>11.5</v>
      </c>
      <c r="Q309" s="34">
        <f>fCaixa[[#This Row],[Custoprimario]]+fCaixa[[#This Row],[Total Perdido]]</f>
        <v>11.5</v>
      </c>
      <c r="R309" s="16">
        <f>IFERROR(fCaixa[[#This Row],[Custoprimario]]/fCaixa[[#This Row],[Venda]],0)</f>
        <v>0.57499999999999996</v>
      </c>
      <c r="S309" s="16">
        <f>IFERROR(fCaixa[[#This Row],[Custofinal]]/fCaixa[[#This Row],[Venda]],0)</f>
        <v>0.57499999999999996</v>
      </c>
      <c r="T309" s="13">
        <f>IF(fCaixa[[#This Row],[Lançamento]]="RECEITA",fCaixa[[#This Row],[Venda]]-fCaixa[[#This Row],[Custoprimario]],0)</f>
        <v>8.5</v>
      </c>
      <c r="U309" s="16">
        <f>IFERROR(fCaixa[[#This Row],[Lucroprimario]]/fCaixa[[#This Row],[Venda]],0)</f>
        <v>0.42499999999999999</v>
      </c>
      <c r="V30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8.5</v>
      </c>
      <c r="W309" s="16">
        <f>IFERROR(fCaixa[[#This Row],[Lucrofinal]]/fCaixa[[#This Row],[Venda]],0)</f>
        <v>0.42499999999999999</v>
      </c>
    </row>
    <row r="310" spans="1:23" ht="16.5" hidden="1" x14ac:dyDescent="0.25">
      <c r="A310" s="17">
        <f t="shared" si="4"/>
        <v>309</v>
      </c>
      <c r="B310" s="87">
        <v>43242</v>
      </c>
      <c r="C310" s="12" t="s">
        <v>24</v>
      </c>
      <c r="D310" s="12" t="s">
        <v>25</v>
      </c>
      <c r="E310" s="12" t="s">
        <v>35</v>
      </c>
      <c r="F310" s="12" t="s">
        <v>28</v>
      </c>
      <c r="G310" s="13">
        <v>18</v>
      </c>
      <c r="H310" s="13">
        <v>0.9</v>
      </c>
      <c r="I310" s="13">
        <v>11.5</v>
      </c>
      <c r="J310" s="14">
        <v>0</v>
      </c>
      <c r="K310" s="17">
        <f>IFERROR(ROUND((fCaixa[[#This Row],[Venda]]/fCaixa[[#This Row],[Preço/Un.]]),0),0)</f>
        <v>20</v>
      </c>
      <c r="L310" s="15">
        <f>IFERROR((SUBSTITUTE(RIGHT(fCaixa[[#This Row],[Descrição]],3),"G","")*1 *fCaixa[[#This Row],[Qtd/Pães]]) / 1000,0)</f>
        <v>1</v>
      </c>
      <c r="M310" s="13">
        <f>IFERROR((((SUBSTITUTE(RIGHT(fCaixa[[#This Row],[Descrição]],3),"G","")*1) * fCaixa[[#This Row],[QTD Perdida]])/1000) *fCaixa[[#This Row],[Custo/KG.]],0)</f>
        <v>0</v>
      </c>
      <c r="N310" s="15">
        <f>IF(fCaixa[[#This Row],[Lançamento]]="RECEITA",(fCaixa[[#This Row],[QTD Perdida]]* (SUBSTITUTE(RIGHT(fCaixa[[#This Row],[Descrição]],3),"G","")*1))/1000,0)</f>
        <v>0</v>
      </c>
      <c r="O310" s="15">
        <f>fCaixa[[#This Row],[Qtd/Kg]]+fCaixa[[#This Row],[Qtd/Kg Perdido]]</f>
        <v>1</v>
      </c>
      <c r="P310" s="13">
        <f>IF(fCaixa[[#This Row],[Lançamento]]="RECEITA",(fCaixa[[#This Row],[Qtd/Kg]]*fCaixa[[#This Row],[Custo/KG.]]),0)</f>
        <v>11.5</v>
      </c>
      <c r="Q310" s="34">
        <f>fCaixa[[#This Row],[Custoprimario]]+fCaixa[[#This Row],[Total Perdido]]</f>
        <v>11.5</v>
      </c>
      <c r="R310" s="16">
        <f>IFERROR(fCaixa[[#This Row],[Custoprimario]]/fCaixa[[#This Row],[Venda]],0)</f>
        <v>0.63888888888888884</v>
      </c>
      <c r="S310" s="16">
        <f>IFERROR(fCaixa[[#This Row],[Custofinal]]/fCaixa[[#This Row],[Venda]],0)</f>
        <v>0.63888888888888884</v>
      </c>
      <c r="T310" s="13">
        <f>IF(fCaixa[[#This Row],[Lançamento]]="RECEITA",fCaixa[[#This Row],[Venda]]-fCaixa[[#This Row],[Custoprimario]],0)</f>
        <v>6.5</v>
      </c>
      <c r="U310" s="16">
        <f>IFERROR(fCaixa[[#This Row],[Lucroprimario]]/fCaixa[[#This Row],[Venda]],0)</f>
        <v>0.3611111111111111</v>
      </c>
      <c r="V31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10" s="16">
        <f>IFERROR(fCaixa[[#This Row],[Lucrofinal]]/fCaixa[[#This Row],[Venda]],0)</f>
        <v>0.3611111111111111</v>
      </c>
    </row>
    <row r="311" spans="1:23" ht="16.5" hidden="1" x14ac:dyDescent="0.25">
      <c r="A311" s="17">
        <f t="shared" si="4"/>
        <v>310</v>
      </c>
      <c r="B311" s="87">
        <v>43242</v>
      </c>
      <c r="C311" s="12" t="s">
        <v>24</v>
      </c>
      <c r="D311" s="12" t="s">
        <v>25</v>
      </c>
      <c r="E311" s="12" t="s">
        <v>78</v>
      </c>
      <c r="F311" s="12" t="s">
        <v>28</v>
      </c>
      <c r="G311" s="13">
        <v>25</v>
      </c>
      <c r="H311" s="13">
        <v>0.5</v>
      </c>
      <c r="I311" s="13">
        <v>11.5</v>
      </c>
      <c r="J311" s="14">
        <v>7</v>
      </c>
      <c r="K311" s="17">
        <f>IFERROR(ROUND((fCaixa[[#This Row],[Venda]]/fCaixa[[#This Row],[Preço/Un.]]),0),0)</f>
        <v>50</v>
      </c>
      <c r="L311" s="15">
        <f>IFERROR((SUBSTITUTE(RIGHT(fCaixa[[#This Row],[Descrição]],3),"G","")*1 *fCaixa[[#This Row],[Qtd/Pães]]) / 1000,0)</f>
        <v>1</v>
      </c>
      <c r="M311" s="13">
        <f>IFERROR((((SUBSTITUTE(RIGHT(fCaixa[[#This Row],[Descrição]],3),"G","")*1) * fCaixa[[#This Row],[QTD Perdida]])/1000) *fCaixa[[#This Row],[Custo/KG.]],0)</f>
        <v>1.61</v>
      </c>
      <c r="N311" s="15">
        <f>IF(fCaixa[[#This Row],[Lançamento]]="RECEITA",(fCaixa[[#This Row],[QTD Perdida]]* (SUBSTITUTE(RIGHT(fCaixa[[#This Row],[Descrição]],3),"G","")*1))/1000,0)</f>
        <v>0.14000000000000001</v>
      </c>
      <c r="O311" s="15">
        <f>fCaixa[[#This Row],[Qtd/Kg]]+fCaixa[[#This Row],[Qtd/Kg Perdido]]</f>
        <v>1.1400000000000001</v>
      </c>
      <c r="P311" s="13">
        <f>IF(fCaixa[[#This Row],[Lançamento]]="RECEITA",(fCaixa[[#This Row],[Qtd/Kg]]*fCaixa[[#This Row],[Custo/KG.]]),0)</f>
        <v>11.5</v>
      </c>
      <c r="Q311" s="34">
        <f>fCaixa[[#This Row],[Custoprimario]]+fCaixa[[#This Row],[Total Perdido]]</f>
        <v>13.11</v>
      </c>
      <c r="R311" s="16">
        <f>IFERROR(fCaixa[[#This Row],[Custoprimario]]/fCaixa[[#This Row],[Venda]],0)</f>
        <v>0.46</v>
      </c>
      <c r="S311" s="16">
        <f>IFERROR(fCaixa[[#This Row],[Custofinal]]/fCaixa[[#This Row],[Venda]],0)</f>
        <v>0.52439999999999998</v>
      </c>
      <c r="T311" s="13">
        <f>IF(fCaixa[[#This Row],[Lançamento]]="RECEITA",fCaixa[[#This Row],[Venda]]-fCaixa[[#This Row],[Custoprimario]],0)</f>
        <v>13.5</v>
      </c>
      <c r="U311" s="16">
        <f>IFERROR(fCaixa[[#This Row],[Lucroprimario]]/fCaixa[[#This Row],[Venda]],0)</f>
        <v>0.54</v>
      </c>
      <c r="V31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11.89</v>
      </c>
      <c r="W311" s="16">
        <f>IFERROR(fCaixa[[#This Row],[Lucrofinal]]/fCaixa[[#This Row],[Venda]],0)</f>
        <v>0.47560000000000002</v>
      </c>
    </row>
    <row r="312" spans="1:23" ht="16.5" hidden="1" x14ac:dyDescent="0.25">
      <c r="A312" s="17">
        <f t="shared" si="4"/>
        <v>311</v>
      </c>
      <c r="B312" s="87">
        <v>43242</v>
      </c>
      <c r="C312" s="12" t="s">
        <v>24</v>
      </c>
      <c r="D312" s="12" t="s">
        <v>25</v>
      </c>
      <c r="E312" s="12" t="s">
        <v>35</v>
      </c>
      <c r="F312" s="12" t="s">
        <v>28</v>
      </c>
      <c r="G312" s="13">
        <v>180</v>
      </c>
      <c r="H312" s="13">
        <v>1</v>
      </c>
      <c r="I312" s="13">
        <v>11.5</v>
      </c>
      <c r="J312" s="14">
        <v>2</v>
      </c>
      <c r="K312" s="17">
        <f>IFERROR(ROUND((fCaixa[[#This Row],[Venda]]/fCaixa[[#This Row],[Preço/Un.]]),0),0)</f>
        <v>180</v>
      </c>
      <c r="L312" s="15">
        <f>IFERROR((SUBSTITUTE(RIGHT(fCaixa[[#This Row],[Descrição]],3),"G","")*1 *fCaixa[[#This Row],[Qtd/Pães]]) / 1000,0)</f>
        <v>9</v>
      </c>
      <c r="M312" s="13">
        <f>IFERROR((((SUBSTITUTE(RIGHT(fCaixa[[#This Row],[Descrição]],3),"G","")*1) * fCaixa[[#This Row],[QTD Perdida]])/1000) *fCaixa[[#This Row],[Custo/KG.]],0)</f>
        <v>1.1500000000000001</v>
      </c>
      <c r="N312" s="15">
        <f>IF(fCaixa[[#This Row],[Lançamento]]="RECEITA",(fCaixa[[#This Row],[QTD Perdida]]* (SUBSTITUTE(RIGHT(fCaixa[[#This Row],[Descrição]],3),"G","")*1))/1000,0)</f>
        <v>0.1</v>
      </c>
      <c r="O312" s="15">
        <f>fCaixa[[#This Row],[Qtd/Kg]]+fCaixa[[#This Row],[Qtd/Kg Perdido]]</f>
        <v>9.1</v>
      </c>
      <c r="P312" s="13">
        <f>IF(fCaixa[[#This Row],[Lançamento]]="RECEITA",(fCaixa[[#This Row],[Qtd/Kg]]*fCaixa[[#This Row],[Custo/KG.]]),0)</f>
        <v>103.5</v>
      </c>
      <c r="Q312" s="34">
        <f>fCaixa[[#This Row],[Custoprimario]]+fCaixa[[#This Row],[Total Perdido]]</f>
        <v>104.65</v>
      </c>
      <c r="R312" s="16">
        <f>IFERROR(fCaixa[[#This Row],[Custoprimario]]/fCaixa[[#This Row],[Venda]],0)</f>
        <v>0.57499999999999996</v>
      </c>
      <c r="S312" s="16">
        <f>IFERROR(fCaixa[[#This Row],[Custofinal]]/fCaixa[[#This Row],[Venda]],0)</f>
        <v>0.58138888888888896</v>
      </c>
      <c r="T312" s="13">
        <f>IF(fCaixa[[#This Row],[Lançamento]]="RECEITA",fCaixa[[#This Row],[Venda]]-fCaixa[[#This Row],[Custoprimario]],0)</f>
        <v>76.5</v>
      </c>
      <c r="U312" s="16">
        <f>IFERROR(fCaixa[[#This Row],[Lucroprimario]]/fCaixa[[#This Row],[Venda]],0)</f>
        <v>0.42499999999999999</v>
      </c>
      <c r="V31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75.349999999999994</v>
      </c>
      <c r="W312" s="16">
        <f>IFERROR(fCaixa[[#This Row],[Lucrofinal]]/fCaixa[[#This Row],[Venda]],0)</f>
        <v>0.4186111111111111</v>
      </c>
    </row>
    <row r="313" spans="1:23" ht="16.5" hidden="1" x14ac:dyDescent="0.25">
      <c r="A313" s="17">
        <f t="shared" si="4"/>
        <v>312</v>
      </c>
      <c r="B313" s="87">
        <v>43243</v>
      </c>
      <c r="C313" s="12" t="s">
        <v>24</v>
      </c>
      <c r="D313" s="12" t="s">
        <v>37</v>
      </c>
      <c r="E313" s="12" t="s">
        <v>35</v>
      </c>
      <c r="F313" s="12" t="s">
        <v>28</v>
      </c>
      <c r="G313" s="13">
        <v>6</v>
      </c>
      <c r="H313" s="13">
        <v>1</v>
      </c>
      <c r="I313" s="13">
        <v>11.5</v>
      </c>
      <c r="J313" s="14">
        <v>0</v>
      </c>
      <c r="K313" s="17">
        <f>IFERROR(ROUND((fCaixa[[#This Row],[Venda]]/fCaixa[[#This Row],[Preço/Un.]]),0),0)</f>
        <v>6</v>
      </c>
      <c r="L313" s="15">
        <f>IFERROR((SUBSTITUTE(RIGHT(fCaixa[[#This Row],[Descrição]],3),"G","")*1 *fCaixa[[#This Row],[Qtd/Pães]]) / 1000,0)</f>
        <v>0.3</v>
      </c>
      <c r="M313" s="13">
        <f>IFERROR((((SUBSTITUTE(RIGHT(fCaixa[[#This Row],[Descrição]],3),"G","")*1) * fCaixa[[#This Row],[QTD Perdida]])/1000) *fCaixa[[#This Row],[Custo/KG.]],0)</f>
        <v>0</v>
      </c>
      <c r="N313" s="15">
        <f>IF(fCaixa[[#This Row],[Lançamento]]="RECEITA",(fCaixa[[#This Row],[QTD Perdida]]* (SUBSTITUTE(RIGHT(fCaixa[[#This Row],[Descrição]],3),"G","")*1))/1000,0)</f>
        <v>0</v>
      </c>
      <c r="O313" s="15">
        <f>fCaixa[[#This Row],[Qtd/Kg]]+fCaixa[[#This Row],[Qtd/Kg Perdido]]</f>
        <v>0.3</v>
      </c>
      <c r="P313" s="13">
        <f>IF(fCaixa[[#This Row],[Lançamento]]="RECEITA",(fCaixa[[#This Row],[Qtd/Kg]]*fCaixa[[#This Row],[Custo/KG.]]),0)</f>
        <v>3.4499999999999997</v>
      </c>
      <c r="Q313" s="34">
        <f>fCaixa[[#This Row],[Custoprimario]]+fCaixa[[#This Row],[Total Perdido]]</f>
        <v>3.4499999999999997</v>
      </c>
      <c r="R313" s="16">
        <f>IFERROR(fCaixa[[#This Row],[Custoprimario]]/fCaixa[[#This Row],[Venda]],0)</f>
        <v>0.57499999999999996</v>
      </c>
      <c r="S313" s="16">
        <f>IFERROR(fCaixa[[#This Row],[Custofinal]]/fCaixa[[#This Row],[Venda]],0)</f>
        <v>0.57499999999999996</v>
      </c>
      <c r="T313" s="13">
        <f>IF(fCaixa[[#This Row],[Lançamento]]="RECEITA",fCaixa[[#This Row],[Venda]]-fCaixa[[#This Row],[Custoprimario]],0)</f>
        <v>2.5500000000000003</v>
      </c>
      <c r="U313" s="16">
        <f>IFERROR(fCaixa[[#This Row],[Lucroprimario]]/fCaixa[[#This Row],[Venda]],0)</f>
        <v>0.42500000000000004</v>
      </c>
      <c r="V31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2.4126000000000003</v>
      </c>
      <c r="W313" s="16">
        <f>IFERROR(fCaixa[[#This Row],[Lucrofinal]]/fCaixa[[#This Row],[Venda]],0)</f>
        <v>0.40210000000000007</v>
      </c>
    </row>
    <row r="314" spans="1:23" ht="16.5" hidden="1" x14ac:dyDescent="0.25">
      <c r="A314" s="17">
        <f t="shared" si="4"/>
        <v>313</v>
      </c>
      <c r="B314" s="87">
        <v>43243</v>
      </c>
      <c r="C314" s="12" t="s">
        <v>24</v>
      </c>
      <c r="D314" s="12" t="s">
        <v>37</v>
      </c>
      <c r="E314" s="12" t="s">
        <v>35</v>
      </c>
      <c r="F314" s="12" t="s">
        <v>28</v>
      </c>
      <c r="G314" s="13">
        <v>10</v>
      </c>
      <c r="H314" s="13">
        <v>1</v>
      </c>
      <c r="I314" s="13">
        <v>11.5</v>
      </c>
      <c r="J314" s="14">
        <v>0</v>
      </c>
      <c r="K314" s="17">
        <f>IFERROR(ROUND((fCaixa[[#This Row],[Venda]]/fCaixa[[#This Row],[Preço/Un.]]),0),0)</f>
        <v>10</v>
      </c>
      <c r="L314" s="15">
        <f>IFERROR((SUBSTITUTE(RIGHT(fCaixa[[#This Row],[Descrição]],3),"G","")*1 *fCaixa[[#This Row],[Qtd/Pães]]) / 1000,0)</f>
        <v>0.5</v>
      </c>
      <c r="M314" s="13">
        <f>IFERROR((((SUBSTITUTE(RIGHT(fCaixa[[#This Row],[Descrição]],3),"G","")*1) * fCaixa[[#This Row],[QTD Perdida]])/1000) *fCaixa[[#This Row],[Custo/KG.]],0)</f>
        <v>0</v>
      </c>
      <c r="N314" s="15">
        <f>IF(fCaixa[[#This Row],[Lançamento]]="RECEITA",(fCaixa[[#This Row],[QTD Perdida]]* (SUBSTITUTE(RIGHT(fCaixa[[#This Row],[Descrição]],3),"G","")*1))/1000,0)</f>
        <v>0</v>
      </c>
      <c r="O314" s="15">
        <f>fCaixa[[#This Row],[Qtd/Kg]]+fCaixa[[#This Row],[Qtd/Kg Perdido]]</f>
        <v>0.5</v>
      </c>
      <c r="P314" s="13">
        <f>IF(fCaixa[[#This Row],[Lançamento]]="RECEITA",(fCaixa[[#This Row],[Qtd/Kg]]*fCaixa[[#This Row],[Custo/KG.]]),0)</f>
        <v>5.75</v>
      </c>
      <c r="Q314" s="34">
        <f>fCaixa[[#This Row],[Custoprimario]]+fCaixa[[#This Row],[Total Perdido]]</f>
        <v>5.75</v>
      </c>
      <c r="R314" s="16">
        <f>IFERROR(fCaixa[[#This Row],[Custoprimario]]/fCaixa[[#This Row],[Venda]],0)</f>
        <v>0.57499999999999996</v>
      </c>
      <c r="S314" s="16">
        <f>IFERROR(fCaixa[[#This Row],[Custofinal]]/fCaixa[[#This Row],[Venda]],0)</f>
        <v>0.57499999999999996</v>
      </c>
      <c r="T314" s="13">
        <f>IF(fCaixa[[#This Row],[Lançamento]]="RECEITA",fCaixa[[#This Row],[Venda]]-fCaixa[[#This Row],[Custoprimario]],0)</f>
        <v>4.25</v>
      </c>
      <c r="U314" s="16">
        <f>IFERROR(fCaixa[[#This Row],[Lucroprimario]]/fCaixa[[#This Row],[Venda]],0)</f>
        <v>0.42499999999999999</v>
      </c>
      <c r="V31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4.0209999999999999</v>
      </c>
      <c r="W314" s="16">
        <f>IFERROR(fCaixa[[#This Row],[Lucrofinal]]/fCaixa[[#This Row],[Venda]],0)</f>
        <v>0.40210000000000001</v>
      </c>
    </row>
    <row r="315" spans="1:23" ht="16.5" hidden="1" x14ac:dyDescent="0.25">
      <c r="A315" s="17">
        <f t="shared" si="4"/>
        <v>314</v>
      </c>
      <c r="B315" s="87">
        <v>43243</v>
      </c>
      <c r="C315" s="12" t="s">
        <v>24</v>
      </c>
      <c r="D315" s="12" t="s">
        <v>25</v>
      </c>
      <c r="E315" s="12" t="s">
        <v>78</v>
      </c>
      <c r="F315" s="12" t="s">
        <v>28</v>
      </c>
      <c r="G315" s="13">
        <v>59</v>
      </c>
      <c r="H315" s="13">
        <v>0.4</v>
      </c>
      <c r="I315" s="13">
        <v>11.5</v>
      </c>
      <c r="J315" s="14">
        <v>3</v>
      </c>
      <c r="K315" s="17">
        <f>IFERROR(ROUND((fCaixa[[#This Row],[Venda]]/fCaixa[[#This Row],[Preço/Un.]]),0),0)</f>
        <v>148</v>
      </c>
      <c r="L315" s="15">
        <f>IFERROR((SUBSTITUTE(RIGHT(fCaixa[[#This Row],[Descrição]],3),"G","")*1 *fCaixa[[#This Row],[Qtd/Pães]]) / 1000,0)</f>
        <v>2.96</v>
      </c>
      <c r="M315" s="13">
        <f>IFERROR((((SUBSTITUTE(RIGHT(fCaixa[[#This Row],[Descrição]],3),"G","")*1) * fCaixa[[#This Row],[QTD Perdida]])/1000) *fCaixa[[#This Row],[Custo/KG.]],0)</f>
        <v>0.69</v>
      </c>
      <c r="N315" s="15">
        <f>IF(fCaixa[[#This Row],[Lançamento]]="RECEITA",(fCaixa[[#This Row],[QTD Perdida]]* (SUBSTITUTE(RIGHT(fCaixa[[#This Row],[Descrição]],3),"G","")*1))/1000,0)</f>
        <v>0.06</v>
      </c>
      <c r="O315" s="15">
        <f>fCaixa[[#This Row],[Qtd/Kg]]+fCaixa[[#This Row],[Qtd/Kg Perdido]]</f>
        <v>3.02</v>
      </c>
      <c r="P315" s="13">
        <f>IF(fCaixa[[#This Row],[Lançamento]]="RECEITA",(fCaixa[[#This Row],[Qtd/Kg]]*fCaixa[[#This Row],[Custo/KG.]]),0)</f>
        <v>34.04</v>
      </c>
      <c r="Q315" s="34">
        <f>fCaixa[[#This Row],[Custoprimario]]+fCaixa[[#This Row],[Total Perdido]]</f>
        <v>34.729999999999997</v>
      </c>
      <c r="R315" s="16">
        <f>IFERROR(fCaixa[[#This Row],[Custoprimario]]/fCaixa[[#This Row],[Venda]],0)</f>
        <v>0.57694915254237289</v>
      </c>
      <c r="S315" s="16">
        <f>IFERROR(fCaixa[[#This Row],[Custofinal]]/fCaixa[[#This Row],[Venda]],0)</f>
        <v>0.58864406779661016</v>
      </c>
      <c r="T315" s="13">
        <f>IF(fCaixa[[#This Row],[Lançamento]]="RECEITA",fCaixa[[#This Row],[Venda]]-fCaixa[[#This Row],[Custoprimario]],0)</f>
        <v>24.96</v>
      </c>
      <c r="U315" s="16">
        <f>IFERROR(fCaixa[[#This Row],[Lucroprimario]]/fCaixa[[#This Row],[Venda]],0)</f>
        <v>0.42305084745762711</v>
      </c>
      <c r="V31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24.270000000000003</v>
      </c>
      <c r="W315" s="16">
        <f>IFERROR(fCaixa[[#This Row],[Lucrofinal]]/fCaixa[[#This Row],[Venda]],0)</f>
        <v>0.4113559322033899</v>
      </c>
    </row>
    <row r="316" spans="1:23" ht="16.5" hidden="1" x14ac:dyDescent="0.25">
      <c r="A316" s="17">
        <f t="shared" si="4"/>
        <v>315</v>
      </c>
      <c r="B316" s="87">
        <v>43243</v>
      </c>
      <c r="C316" s="12" t="s">
        <v>24</v>
      </c>
      <c r="D316" s="12" t="s">
        <v>25</v>
      </c>
      <c r="E316" s="12" t="s">
        <v>35</v>
      </c>
      <c r="F316" s="12" t="s">
        <v>28</v>
      </c>
      <c r="G316" s="13">
        <v>184</v>
      </c>
      <c r="H316" s="13">
        <v>1</v>
      </c>
      <c r="I316" s="13">
        <v>11.5</v>
      </c>
      <c r="J316" s="14">
        <v>0</v>
      </c>
      <c r="K316" s="17">
        <f>IFERROR(ROUND((fCaixa[[#This Row],[Venda]]/fCaixa[[#This Row],[Preço/Un.]]),0),0)</f>
        <v>184</v>
      </c>
      <c r="L316" s="15">
        <f>IFERROR((SUBSTITUTE(RIGHT(fCaixa[[#This Row],[Descrição]],3),"G","")*1 *fCaixa[[#This Row],[Qtd/Pães]]) / 1000,0)</f>
        <v>9.1999999999999993</v>
      </c>
      <c r="M316" s="13">
        <f>IFERROR((((SUBSTITUTE(RIGHT(fCaixa[[#This Row],[Descrição]],3),"G","")*1) * fCaixa[[#This Row],[QTD Perdida]])/1000) *fCaixa[[#This Row],[Custo/KG.]],0)</f>
        <v>0</v>
      </c>
      <c r="N316" s="15">
        <f>IF(fCaixa[[#This Row],[Lançamento]]="RECEITA",(fCaixa[[#This Row],[QTD Perdida]]* (SUBSTITUTE(RIGHT(fCaixa[[#This Row],[Descrição]],3),"G","")*1))/1000,0)</f>
        <v>0</v>
      </c>
      <c r="O316" s="15">
        <f>fCaixa[[#This Row],[Qtd/Kg]]+fCaixa[[#This Row],[Qtd/Kg Perdido]]</f>
        <v>9.1999999999999993</v>
      </c>
      <c r="P316" s="13">
        <f>IF(fCaixa[[#This Row],[Lançamento]]="RECEITA",(fCaixa[[#This Row],[Qtd/Kg]]*fCaixa[[#This Row],[Custo/KG.]]),0)</f>
        <v>105.8</v>
      </c>
      <c r="Q316" s="34">
        <f>fCaixa[[#This Row],[Custoprimario]]+fCaixa[[#This Row],[Total Perdido]]</f>
        <v>105.8</v>
      </c>
      <c r="R316" s="16">
        <f>IFERROR(fCaixa[[#This Row],[Custoprimario]]/fCaixa[[#This Row],[Venda]],0)</f>
        <v>0.57499999999999996</v>
      </c>
      <c r="S316" s="16">
        <f>IFERROR(fCaixa[[#This Row],[Custofinal]]/fCaixa[[#This Row],[Venda]],0)</f>
        <v>0.57499999999999996</v>
      </c>
      <c r="T316" s="13">
        <f>IF(fCaixa[[#This Row],[Lançamento]]="RECEITA",fCaixa[[#This Row],[Venda]]-fCaixa[[#This Row],[Custoprimario]],0)</f>
        <v>78.2</v>
      </c>
      <c r="U316" s="16">
        <f>IFERROR(fCaixa[[#This Row],[Lucroprimario]]/fCaixa[[#This Row],[Venda]],0)</f>
        <v>0.42499999999999999</v>
      </c>
      <c r="V31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78.2</v>
      </c>
      <c r="W316" s="16">
        <f>IFERROR(fCaixa[[#This Row],[Lucrofinal]]/fCaixa[[#This Row],[Venda]],0)</f>
        <v>0.42499999999999999</v>
      </c>
    </row>
    <row r="317" spans="1:23" ht="16.5" hidden="1" x14ac:dyDescent="0.25">
      <c r="A317" s="17">
        <f t="shared" si="4"/>
        <v>316</v>
      </c>
      <c r="B317" s="87">
        <v>43244</v>
      </c>
      <c r="C317" s="12" t="s">
        <v>29</v>
      </c>
      <c r="D317" s="12" t="s">
        <v>25</v>
      </c>
      <c r="E317" s="12" t="s">
        <v>33</v>
      </c>
      <c r="F317" s="12" t="s">
        <v>28</v>
      </c>
      <c r="G317" s="13">
        <v>21</v>
      </c>
      <c r="H317" s="13">
        <v>0</v>
      </c>
      <c r="I317" s="13">
        <v>0</v>
      </c>
      <c r="J317" s="14">
        <v>0</v>
      </c>
      <c r="K317" s="17">
        <f>IFERROR(ROUND((fCaixa[[#This Row],[Venda]]/fCaixa[[#This Row],[Preço/Un.]]),0),0)</f>
        <v>0</v>
      </c>
      <c r="L317" s="15">
        <f>IFERROR((SUBSTITUTE(RIGHT(fCaixa[[#This Row],[Descrição]],3),"G","")*1 *fCaixa[[#This Row],[Qtd/Pães]]) / 1000,0)</f>
        <v>0</v>
      </c>
      <c r="M317" s="13">
        <f>IFERROR((((SUBSTITUTE(RIGHT(fCaixa[[#This Row],[Descrição]],3),"G","")*1) * fCaixa[[#This Row],[QTD Perdida]])/1000) *fCaixa[[#This Row],[Custo/KG.]],0)</f>
        <v>0</v>
      </c>
      <c r="N317" s="15">
        <f>IF(fCaixa[[#This Row],[Lançamento]]="RECEITA",(fCaixa[[#This Row],[QTD Perdida]]* (SUBSTITUTE(RIGHT(fCaixa[[#This Row],[Descrição]],3),"G","")*1))/1000,0)</f>
        <v>0</v>
      </c>
      <c r="O317" s="15">
        <f>fCaixa[[#This Row],[Qtd/Kg]]+fCaixa[[#This Row],[Qtd/Kg Perdido]]</f>
        <v>0</v>
      </c>
      <c r="P317" s="13">
        <f>IF(fCaixa[[#This Row],[Lançamento]]="RECEITA",(fCaixa[[#This Row],[Qtd/Kg]]*fCaixa[[#This Row],[Custo/KG.]]),0)</f>
        <v>0</v>
      </c>
      <c r="Q317" s="34">
        <f>fCaixa[[#This Row],[Custoprimario]]+fCaixa[[#This Row],[Total Perdido]]</f>
        <v>0</v>
      </c>
      <c r="R317" s="16">
        <f>IFERROR(fCaixa[[#This Row],[Custoprimario]]/fCaixa[[#This Row],[Venda]],0)</f>
        <v>0</v>
      </c>
      <c r="S317" s="16">
        <f>IFERROR(fCaixa[[#This Row],[Custofinal]]/fCaixa[[#This Row],[Venda]],0)</f>
        <v>0</v>
      </c>
      <c r="T317" s="13">
        <f>IF(fCaixa[[#This Row],[Lançamento]]="RECEITA",fCaixa[[#This Row],[Venda]]-fCaixa[[#This Row],[Custoprimario]],0)</f>
        <v>0</v>
      </c>
      <c r="U317" s="16">
        <f>IFERROR(fCaixa[[#This Row],[Lucroprimario]]/fCaixa[[#This Row],[Venda]],0)</f>
        <v>0</v>
      </c>
      <c r="V31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17" s="16">
        <f>IFERROR(fCaixa[[#This Row],[Lucrofinal]]/fCaixa[[#This Row],[Venda]],0)</f>
        <v>0</v>
      </c>
    </row>
    <row r="318" spans="1:23" ht="16.5" hidden="1" x14ac:dyDescent="0.25">
      <c r="A318" s="17">
        <f t="shared" si="4"/>
        <v>317</v>
      </c>
      <c r="B318" s="87">
        <v>43244</v>
      </c>
      <c r="C318" s="12" t="s">
        <v>29</v>
      </c>
      <c r="D318" s="12" t="s">
        <v>25</v>
      </c>
      <c r="E318" s="12" t="s">
        <v>33</v>
      </c>
      <c r="F318" s="12" t="s">
        <v>28</v>
      </c>
      <c r="G318" s="13">
        <v>2.25</v>
      </c>
      <c r="H318" s="13">
        <v>0</v>
      </c>
      <c r="I318" s="13">
        <v>0</v>
      </c>
      <c r="J318" s="14">
        <v>0</v>
      </c>
      <c r="K318" s="17">
        <f>IFERROR(ROUND((fCaixa[[#This Row],[Venda]]/fCaixa[[#This Row],[Preço/Un.]]),0),0)</f>
        <v>0</v>
      </c>
      <c r="L318" s="15">
        <f>IFERROR((SUBSTITUTE(RIGHT(fCaixa[[#This Row],[Descrição]],3),"G","")*1 *fCaixa[[#This Row],[Qtd/Pães]]) / 1000,0)</f>
        <v>0</v>
      </c>
      <c r="M318" s="13">
        <f>IFERROR((((SUBSTITUTE(RIGHT(fCaixa[[#This Row],[Descrição]],3),"G","")*1) * fCaixa[[#This Row],[QTD Perdida]])/1000) *fCaixa[[#This Row],[Custo/KG.]],0)</f>
        <v>0</v>
      </c>
      <c r="N318" s="15">
        <f>IF(fCaixa[[#This Row],[Lançamento]]="RECEITA",(fCaixa[[#This Row],[QTD Perdida]]* (SUBSTITUTE(RIGHT(fCaixa[[#This Row],[Descrição]],3),"G","")*1))/1000,0)</f>
        <v>0</v>
      </c>
      <c r="O318" s="15">
        <f>fCaixa[[#This Row],[Qtd/Kg]]+fCaixa[[#This Row],[Qtd/Kg Perdido]]</f>
        <v>0</v>
      </c>
      <c r="P318" s="13">
        <f>IF(fCaixa[[#This Row],[Lançamento]]="RECEITA",(fCaixa[[#This Row],[Qtd/Kg]]*fCaixa[[#This Row],[Custo/KG.]]),0)</f>
        <v>0</v>
      </c>
      <c r="Q318" s="34">
        <f>fCaixa[[#This Row],[Custoprimario]]+fCaixa[[#This Row],[Total Perdido]]</f>
        <v>0</v>
      </c>
      <c r="R318" s="16">
        <f>IFERROR(fCaixa[[#This Row],[Custoprimario]]/fCaixa[[#This Row],[Venda]],0)</f>
        <v>0</v>
      </c>
      <c r="S318" s="16">
        <f>IFERROR(fCaixa[[#This Row],[Custofinal]]/fCaixa[[#This Row],[Venda]],0)</f>
        <v>0</v>
      </c>
      <c r="T318" s="13">
        <f>IF(fCaixa[[#This Row],[Lançamento]]="RECEITA",fCaixa[[#This Row],[Venda]]-fCaixa[[#This Row],[Custoprimario]],0)</f>
        <v>0</v>
      </c>
      <c r="U318" s="16">
        <f>IFERROR(fCaixa[[#This Row],[Lucroprimario]]/fCaixa[[#This Row],[Venda]],0)</f>
        <v>0</v>
      </c>
      <c r="V31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18" s="16">
        <f>IFERROR(fCaixa[[#This Row],[Lucrofinal]]/fCaixa[[#This Row],[Venda]],0)</f>
        <v>0</v>
      </c>
    </row>
    <row r="319" spans="1:23" ht="16.5" hidden="1" x14ac:dyDescent="0.25">
      <c r="A319" s="17">
        <f t="shared" si="4"/>
        <v>318</v>
      </c>
      <c r="B319" s="87">
        <v>43244</v>
      </c>
      <c r="C319" s="12" t="s">
        <v>24</v>
      </c>
      <c r="D319" s="12" t="s">
        <v>25</v>
      </c>
      <c r="E319" s="12" t="s">
        <v>78</v>
      </c>
      <c r="F319" s="12" t="s">
        <v>28</v>
      </c>
      <c r="G319" s="13">
        <v>18</v>
      </c>
      <c r="H319" s="13">
        <v>0.36</v>
      </c>
      <c r="I319" s="13">
        <v>11.5</v>
      </c>
      <c r="J319" s="14">
        <v>0</v>
      </c>
      <c r="K319" s="17">
        <f>IFERROR(ROUND((fCaixa[[#This Row],[Venda]]/fCaixa[[#This Row],[Preço/Un.]]),0),0)</f>
        <v>50</v>
      </c>
      <c r="L319" s="15">
        <f>IFERROR((SUBSTITUTE(RIGHT(fCaixa[[#This Row],[Descrição]],3),"G","")*1 *fCaixa[[#This Row],[Qtd/Pães]]) / 1000,0)</f>
        <v>1</v>
      </c>
      <c r="M319" s="13">
        <f>IFERROR((((SUBSTITUTE(RIGHT(fCaixa[[#This Row],[Descrição]],3),"G","")*1) * fCaixa[[#This Row],[QTD Perdida]])/1000) *fCaixa[[#This Row],[Custo/KG.]],0)</f>
        <v>0</v>
      </c>
      <c r="N319" s="15">
        <f>IF(fCaixa[[#This Row],[Lançamento]]="RECEITA",(fCaixa[[#This Row],[QTD Perdida]]* (SUBSTITUTE(RIGHT(fCaixa[[#This Row],[Descrição]],3),"G","")*1))/1000,0)</f>
        <v>0</v>
      </c>
      <c r="O319" s="15">
        <f>fCaixa[[#This Row],[Qtd/Kg]]+fCaixa[[#This Row],[Qtd/Kg Perdido]]</f>
        <v>1</v>
      </c>
      <c r="P319" s="13">
        <f>IF(fCaixa[[#This Row],[Lançamento]]="RECEITA",(fCaixa[[#This Row],[Qtd/Kg]]*fCaixa[[#This Row],[Custo/KG.]]),0)</f>
        <v>11.5</v>
      </c>
      <c r="Q319" s="34">
        <f>fCaixa[[#This Row],[Custoprimario]]+fCaixa[[#This Row],[Total Perdido]]</f>
        <v>11.5</v>
      </c>
      <c r="R319" s="16">
        <f>IFERROR(fCaixa[[#This Row],[Custoprimario]]/fCaixa[[#This Row],[Venda]],0)</f>
        <v>0.63888888888888884</v>
      </c>
      <c r="S319" s="16">
        <f>IFERROR(fCaixa[[#This Row],[Custofinal]]/fCaixa[[#This Row],[Venda]],0)</f>
        <v>0.63888888888888884</v>
      </c>
      <c r="T319" s="13">
        <f>IF(fCaixa[[#This Row],[Lançamento]]="RECEITA",fCaixa[[#This Row],[Venda]]-fCaixa[[#This Row],[Custoprimario]],0)</f>
        <v>6.5</v>
      </c>
      <c r="U319" s="16">
        <f>IFERROR(fCaixa[[#This Row],[Lucroprimario]]/fCaixa[[#This Row],[Venda]],0)</f>
        <v>0.3611111111111111</v>
      </c>
      <c r="V31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19" s="16">
        <f>IFERROR(fCaixa[[#This Row],[Lucrofinal]]/fCaixa[[#This Row],[Venda]],0)</f>
        <v>0.3611111111111111</v>
      </c>
    </row>
    <row r="320" spans="1:23" ht="16.5" hidden="1" x14ac:dyDescent="0.25">
      <c r="A320" s="17">
        <f t="shared" si="4"/>
        <v>319</v>
      </c>
      <c r="B320" s="87">
        <v>43244</v>
      </c>
      <c r="C320" s="12" t="s">
        <v>24</v>
      </c>
      <c r="D320" s="12" t="s">
        <v>25</v>
      </c>
      <c r="E320" s="12" t="s">
        <v>35</v>
      </c>
      <c r="F320" s="12" t="s">
        <v>28</v>
      </c>
      <c r="G320" s="13">
        <v>18</v>
      </c>
      <c r="H320" s="13">
        <v>0.9</v>
      </c>
      <c r="I320" s="13">
        <v>11.5</v>
      </c>
      <c r="J320" s="14">
        <v>0</v>
      </c>
      <c r="K320" s="17">
        <f>IFERROR(ROUND((fCaixa[[#This Row],[Venda]]/fCaixa[[#This Row],[Preço/Un.]]),0),0)</f>
        <v>20</v>
      </c>
      <c r="L320" s="15">
        <f>IFERROR((SUBSTITUTE(RIGHT(fCaixa[[#This Row],[Descrição]],3),"G","")*1 *fCaixa[[#This Row],[Qtd/Pães]]) / 1000,0)</f>
        <v>1</v>
      </c>
      <c r="M320" s="13">
        <f>IFERROR((((SUBSTITUTE(RIGHT(fCaixa[[#This Row],[Descrição]],3),"G","")*1) * fCaixa[[#This Row],[QTD Perdida]])/1000) *fCaixa[[#This Row],[Custo/KG.]],0)</f>
        <v>0</v>
      </c>
      <c r="N320" s="15">
        <f>IF(fCaixa[[#This Row],[Lançamento]]="RECEITA",(fCaixa[[#This Row],[QTD Perdida]]* (SUBSTITUTE(RIGHT(fCaixa[[#This Row],[Descrição]],3),"G","")*1))/1000,0)</f>
        <v>0</v>
      </c>
      <c r="O320" s="15">
        <f>fCaixa[[#This Row],[Qtd/Kg]]+fCaixa[[#This Row],[Qtd/Kg Perdido]]</f>
        <v>1</v>
      </c>
      <c r="P320" s="13">
        <f>IF(fCaixa[[#This Row],[Lançamento]]="RECEITA",(fCaixa[[#This Row],[Qtd/Kg]]*fCaixa[[#This Row],[Custo/KG.]]),0)</f>
        <v>11.5</v>
      </c>
      <c r="Q320" s="34">
        <f>fCaixa[[#This Row],[Custoprimario]]+fCaixa[[#This Row],[Total Perdido]]</f>
        <v>11.5</v>
      </c>
      <c r="R320" s="16">
        <f>IFERROR(fCaixa[[#This Row],[Custoprimario]]/fCaixa[[#This Row],[Venda]],0)</f>
        <v>0.63888888888888884</v>
      </c>
      <c r="S320" s="16">
        <f>IFERROR(fCaixa[[#This Row],[Custofinal]]/fCaixa[[#This Row],[Venda]],0)</f>
        <v>0.63888888888888884</v>
      </c>
      <c r="T320" s="13">
        <f>IF(fCaixa[[#This Row],[Lançamento]]="RECEITA",fCaixa[[#This Row],[Venda]]-fCaixa[[#This Row],[Custoprimario]],0)</f>
        <v>6.5</v>
      </c>
      <c r="U320" s="16">
        <f>IFERROR(fCaixa[[#This Row],[Lucroprimario]]/fCaixa[[#This Row],[Venda]],0)</f>
        <v>0.3611111111111111</v>
      </c>
      <c r="V32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20" s="16">
        <f>IFERROR(fCaixa[[#This Row],[Lucrofinal]]/fCaixa[[#This Row],[Venda]],0)</f>
        <v>0.3611111111111111</v>
      </c>
    </row>
    <row r="321" spans="1:23" ht="16.5" hidden="1" x14ac:dyDescent="0.25">
      <c r="A321" s="17">
        <f t="shared" si="4"/>
        <v>320</v>
      </c>
      <c r="B321" s="87">
        <v>43244</v>
      </c>
      <c r="C321" s="12" t="s">
        <v>24</v>
      </c>
      <c r="D321" s="12" t="s">
        <v>37</v>
      </c>
      <c r="E321" s="12" t="s">
        <v>78</v>
      </c>
      <c r="F321" s="12" t="s">
        <v>28</v>
      </c>
      <c r="G321" s="13">
        <v>2</v>
      </c>
      <c r="H321" s="13">
        <v>0.4</v>
      </c>
      <c r="I321" s="13">
        <v>11.5</v>
      </c>
      <c r="J321" s="14">
        <v>0</v>
      </c>
      <c r="K321" s="17">
        <f>IFERROR(ROUND((fCaixa[[#This Row],[Venda]]/fCaixa[[#This Row],[Preço/Un.]]),0),0)</f>
        <v>5</v>
      </c>
      <c r="L321" s="15">
        <f>IFERROR((SUBSTITUTE(RIGHT(fCaixa[[#This Row],[Descrição]],3),"G","")*1 *fCaixa[[#This Row],[Qtd/Pães]]) / 1000,0)</f>
        <v>0.1</v>
      </c>
      <c r="M321" s="13">
        <f>IFERROR((((SUBSTITUTE(RIGHT(fCaixa[[#This Row],[Descrição]],3),"G","")*1) * fCaixa[[#This Row],[QTD Perdida]])/1000) *fCaixa[[#This Row],[Custo/KG.]],0)</f>
        <v>0</v>
      </c>
      <c r="N321" s="15">
        <f>IF(fCaixa[[#This Row],[Lançamento]]="RECEITA",(fCaixa[[#This Row],[QTD Perdida]]* (SUBSTITUTE(RIGHT(fCaixa[[#This Row],[Descrição]],3),"G","")*1))/1000,0)</f>
        <v>0</v>
      </c>
      <c r="O321" s="15">
        <f>fCaixa[[#This Row],[Qtd/Kg]]+fCaixa[[#This Row],[Qtd/Kg Perdido]]</f>
        <v>0.1</v>
      </c>
      <c r="P321" s="13">
        <f>IF(fCaixa[[#This Row],[Lançamento]]="RECEITA",(fCaixa[[#This Row],[Qtd/Kg]]*fCaixa[[#This Row],[Custo/KG.]]),0)</f>
        <v>1.1500000000000001</v>
      </c>
      <c r="Q321" s="34">
        <f>fCaixa[[#This Row],[Custoprimario]]+fCaixa[[#This Row],[Total Perdido]]</f>
        <v>1.1500000000000001</v>
      </c>
      <c r="R321" s="16">
        <f>IFERROR(fCaixa[[#This Row],[Custoprimario]]/fCaixa[[#This Row],[Venda]],0)</f>
        <v>0.57500000000000007</v>
      </c>
      <c r="S321" s="16">
        <f>IFERROR(fCaixa[[#This Row],[Custofinal]]/fCaixa[[#This Row],[Venda]],0)</f>
        <v>0.57500000000000007</v>
      </c>
      <c r="T321" s="13">
        <f>IF(fCaixa[[#This Row],[Lançamento]]="RECEITA",fCaixa[[#This Row],[Venda]]-fCaixa[[#This Row],[Custoprimario]],0)</f>
        <v>0.84999999999999987</v>
      </c>
      <c r="U321" s="16">
        <f>IFERROR(fCaixa[[#This Row],[Lucroprimario]]/fCaixa[[#This Row],[Venda]],0)</f>
        <v>0.42499999999999993</v>
      </c>
      <c r="V32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0.80419999999999991</v>
      </c>
      <c r="W321" s="16">
        <f>IFERROR(fCaixa[[#This Row],[Lucrofinal]]/fCaixa[[#This Row],[Venda]],0)</f>
        <v>0.40209999999999996</v>
      </c>
    </row>
    <row r="322" spans="1:23" ht="16.5" hidden="1" x14ac:dyDescent="0.25">
      <c r="A322" s="17">
        <f t="shared" ref="A322:A385" si="5">ROW($A321)</f>
        <v>321</v>
      </c>
      <c r="B322" s="87">
        <v>43244</v>
      </c>
      <c r="C322" s="12" t="s">
        <v>24</v>
      </c>
      <c r="D322" s="12" t="s">
        <v>25</v>
      </c>
      <c r="E322" s="12" t="s">
        <v>78</v>
      </c>
      <c r="F322" s="12" t="s">
        <v>28</v>
      </c>
      <c r="G322" s="13">
        <v>54.8</v>
      </c>
      <c r="H322" s="13">
        <v>0.4</v>
      </c>
      <c r="I322" s="13">
        <v>11.5</v>
      </c>
      <c r="J322" s="14">
        <v>8</v>
      </c>
      <c r="K322" s="17">
        <f>IFERROR(ROUND((fCaixa[[#This Row],[Venda]]/fCaixa[[#This Row],[Preço/Un.]]),0),0)</f>
        <v>137</v>
      </c>
      <c r="L322" s="15">
        <f>IFERROR((SUBSTITUTE(RIGHT(fCaixa[[#This Row],[Descrição]],3),"G","")*1 *fCaixa[[#This Row],[Qtd/Pães]]) / 1000,0)</f>
        <v>2.74</v>
      </c>
      <c r="M322" s="13">
        <f>IFERROR((((SUBSTITUTE(RIGHT(fCaixa[[#This Row],[Descrição]],3),"G","")*1) * fCaixa[[#This Row],[QTD Perdida]])/1000) *fCaixa[[#This Row],[Custo/KG.]],0)</f>
        <v>1.84</v>
      </c>
      <c r="N322" s="15">
        <f>IF(fCaixa[[#This Row],[Lançamento]]="RECEITA",(fCaixa[[#This Row],[QTD Perdida]]* (SUBSTITUTE(RIGHT(fCaixa[[#This Row],[Descrição]],3),"G","")*1))/1000,0)</f>
        <v>0.16</v>
      </c>
      <c r="O322" s="15">
        <f>fCaixa[[#This Row],[Qtd/Kg]]+fCaixa[[#This Row],[Qtd/Kg Perdido]]</f>
        <v>2.9000000000000004</v>
      </c>
      <c r="P322" s="13">
        <f>IF(fCaixa[[#This Row],[Lançamento]]="RECEITA",(fCaixa[[#This Row],[Qtd/Kg]]*fCaixa[[#This Row],[Custo/KG.]]),0)</f>
        <v>31.51</v>
      </c>
      <c r="Q322" s="34">
        <f>fCaixa[[#This Row],[Custoprimario]]+fCaixa[[#This Row],[Total Perdido]]</f>
        <v>33.35</v>
      </c>
      <c r="R322" s="16">
        <f>IFERROR(fCaixa[[#This Row],[Custoprimario]]/fCaixa[[#This Row],[Venda]],0)</f>
        <v>0.57500000000000007</v>
      </c>
      <c r="S322" s="16">
        <f>IFERROR(fCaixa[[#This Row],[Custofinal]]/fCaixa[[#This Row],[Venda]],0)</f>
        <v>0.60857664233576647</v>
      </c>
      <c r="T322" s="13">
        <f>IF(fCaixa[[#This Row],[Lançamento]]="RECEITA",fCaixa[[#This Row],[Venda]]-fCaixa[[#This Row],[Custoprimario]],0)</f>
        <v>23.289999999999996</v>
      </c>
      <c r="U322" s="16">
        <f>IFERROR(fCaixa[[#This Row],[Lucroprimario]]/fCaixa[[#This Row],[Venda]],0)</f>
        <v>0.42499999999999993</v>
      </c>
      <c r="V32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21.449999999999996</v>
      </c>
      <c r="W322" s="16">
        <f>IFERROR(fCaixa[[#This Row],[Lucrofinal]]/fCaixa[[#This Row],[Venda]],0)</f>
        <v>0.39142335766423353</v>
      </c>
    </row>
    <row r="323" spans="1:23" ht="16.5" hidden="1" x14ac:dyDescent="0.25">
      <c r="A323" s="17">
        <f t="shared" si="5"/>
        <v>322</v>
      </c>
      <c r="B323" s="87">
        <v>43244</v>
      </c>
      <c r="C323" s="12" t="s">
        <v>24</v>
      </c>
      <c r="D323" s="12" t="s">
        <v>25</v>
      </c>
      <c r="E323" s="12" t="s">
        <v>35</v>
      </c>
      <c r="F323" s="12" t="s">
        <v>28</v>
      </c>
      <c r="G323" s="13">
        <v>113</v>
      </c>
      <c r="H323" s="13">
        <v>1</v>
      </c>
      <c r="I323" s="13">
        <v>11.5</v>
      </c>
      <c r="J323" s="14">
        <v>7</v>
      </c>
      <c r="K323" s="17">
        <f>IFERROR(ROUND((fCaixa[[#This Row],[Venda]]/fCaixa[[#This Row],[Preço/Un.]]),0),0)</f>
        <v>113</v>
      </c>
      <c r="L323" s="15">
        <f>IFERROR((SUBSTITUTE(RIGHT(fCaixa[[#This Row],[Descrição]],3),"G","")*1 *fCaixa[[#This Row],[Qtd/Pães]]) / 1000,0)</f>
        <v>5.65</v>
      </c>
      <c r="M323" s="13">
        <f>IFERROR((((SUBSTITUTE(RIGHT(fCaixa[[#This Row],[Descrição]],3),"G","")*1) * fCaixa[[#This Row],[QTD Perdida]])/1000) *fCaixa[[#This Row],[Custo/KG.]],0)</f>
        <v>4.0249999999999995</v>
      </c>
      <c r="N323" s="15">
        <f>IF(fCaixa[[#This Row],[Lançamento]]="RECEITA",(fCaixa[[#This Row],[QTD Perdida]]* (SUBSTITUTE(RIGHT(fCaixa[[#This Row],[Descrição]],3),"G","")*1))/1000,0)</f>
        <v>0.35</v>
      </c>
      <c r="O323" s="15">
        <f>fCaixa[[#This Row],[Qtd/Kg]]+fCaixa[[#This Row],[Qtd/Kg Perdido]]</f>
        <v>6</v>
      </c>
      <c r="P323" s="13">
        <f>IF(fCaixa[[#This Row],[Lançamento]]="RECEITA",(fCaixa[[#This Row],[Qtd/Kg]]*fCaixa[[#This Row],[Custo/KG.]]),0)</f>
        <v>64.975000000000009</v>
      </c>
      <c r="Q323" s="34">
        <f>fCaixa[[#This Row],[Custoprimario]]+fCaixa[[#This Row],[Total Perdido]]</f>
        <v>69.000000000000014</v>
      </c>
      <c r="R323" s="16">
        <f>IFERROR(fCaixa[[#This Row],[Custoprimario]]/fCaixa[[#This Row],[Venda]],0)</f>
        <v>0.57500000000000007</v>
      </c>
      <c r="S323" s="16">
        <f>IFERROR(fCaixa[[#This Row],[Custofinal]]/fCaixa[[#This Row],[Venda]],0)</f>
        <v>0.61061946902654884</v>
      </c>
      <c r="T323" s="13">
        <f>IF(fCaixa[[#This Row],[Lançamento]]="RECEITA",fCaixa[[#This Row],[Venda]]-fCaixa[[#This Row],[Custoprimario]],0)</f>
        <v>48.024999999999991</v>
      </c>
      <c r="U323" s="16">
        <f>IFERROR(fCaixa[[#This Row],[Lucroprimario]]/fCaixa[[#This Row],[Venda]],0)</f>
        <v>0.42499999999999993</v>
      </c>
      <c r="V32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43.999999999999986</v>
      </c>
      <c r="W323" s="16">
        <f>IFERROR(fCaixa[[#This Row],[Lucrofinal]]/fCaixa[[#This Row],[Venda]],0)</f>
        <v>0.38938053097345121</v>
      </c>
    </row>
    <row r="324" spans="1:23" ht="16.5" hidden="1" x14ac:dyDescent="0.25">
      <c r="A324" s="17">
        <f t="shared" si="5"/>
        <v>323</v>
      </c>
      <c r="B324" s="87">
        <v>43245</v>
      </c>
      <c r="C324" s="12" t="s">
        <v>24</v>
      </c>
      <c r="D324" s="12" t="s">
        <v>25</v>
      </c>
      <c r="E324" s="12" t="s">
        <v>78</v>
      </c>
      <c r="F324" s="12" t="s">
        <v>28</v>
      </c>
      <c r="G324" s="13">
        <v>18</v>
      </c>
      <c r="H324" s="13">
        <v>0.36</v>
      </c>
      <c r="I324" s="13">
        <v>11.5</v>
      </c>
      <c r="J324" s="14">
        <v>0</v>
      </c>
      <c r="K324" s="17">
        <f>IFERROR(ROUND((fCaixa[[#This Row],[Venda]]/fCaixa[[#This Row],[Preço/Un.]]),0),0)</f>
        <v>50</v>
      </c>
      <c r="L324" s="15">
        <f>IFERROR((SUBSTITUTE(RIGHT(fCaixa[[#This Row],[Descrição]],3),"G","")*1 *fCaixa[[#This Row],[Qtd/Pães]]) / 1000,0)</f>
        <v>1</v>
      </c>
      <c r="M324" s="13">
        <f>IFERROR((((SUBSTITUTE(RIGHT(fCaixa[[#This Row],[Descrição]],3),"G","")*1) * fCaixa[[#This Row],[QTD Perdida]])/1000) *fCaixa[[#This Row],[Custo/KG.]],0)</f>
        <v>0</v>
      </c>
      <c r="N324" s="15">
        <f>IF(fCaixa[[#This Row],[Lançamento]]="RECEITA",(fCaixa[[#This Row],[QTD Perdida]]* (SUBSTITUTE(RIGHT(fCaixa[[#This Row],[Descrição]],3),"G","")*1))/1000,0)</f>
        <v>0</v>
      </c>
      <c r="O324" s="15">
        <f>fCaixa[[#This Row],[Qtd/Kg]]+fCaixa[[#This Row],[Qtd/Kg Perdido]]</f>
        <v>1</v>
      </c>
      <c r="P324" s="13">
        <f>IF(fCaixa[[#This Row],[Lançamento]]="RECEITA",(fCaixa[[#This Row],[Qtd/Kg]]*fCaixa[[#This Row],[Custo/KG.]]),0)</f>
        <v>11.5</v>
      </c>
      <c r="Q324" s="34">
        <f>fCaixa[[#This Row],[Custoprimario]]+fCaixa[[#This Row],[Total Perdido]]</f>
        <v>11.5</v>
      </c>
      <c r="R324" s="16">
        <f>IFERROR(fCaixa[[#This Row],[Custoprimario]]/fCaixa[[#This Row],[Venda]],0)</f>
        <v>0.63888888888888884</v>
      </c>
      <c r="S324" s="16">
        <f>IFERROR(fCaixa[[#This Row],[Custofinal]]/fCaixa[[#This Row],[Venda]],0)</f>
        <v>0.63888888888888884</v>
      </c>
      <c r="T324" s="13">
        <f>IF(fCaixa[[#This Row],[Lançamento]]="RECEITA",fCaixa[[#This Row],[Venda]]-fCaixa[[#This Row],[Custoprimario]],0)</f>
        <v>6.5</v>
      </c>
      <c r="U324" s="16">
        <f>IFERROR(fCaixa[[#This Row],[Lucroprimario]]/fCaixa[[#This Row],[Venda]],0)</f>
        <v>0.3611111111111111</v>
      </c>
      <c r="V32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24" s="16">
        <f>IFERROR(fCaixa[[#This Row],[Lucrofinal]]/fCaixa[[#This Row],[Venda]],0)</f>
        <v>0.3611111111111111</v>
      </c>
    </row>
    <row r="325" spans="1:23" ht="16.5" hidden="1" x14ac:dyDescent="0.25">
      <c r="A325" s="17">
        <f t="shared" si="5"/>
        <v>324</v>
      </c>
      <c r="B325" s="87">
        <v>43245</v>
      </c>
      <c r="C325" s="12" t="s">
        <v>24</v>
      </c>
      <c r="D325" s="12" t="s">
        <v>25</v>
      </c>
      <c r="E325" s="12" t="s">
        <v>78</v>
      </c>
      <c r="F325" s="12" t="s">
        <v>28</v>
      </c>
      <c r="G325" s="13">
        <v>57</v>
      </c>
      <c r="H325" s="13">
        <v>0.4</v>
      </c>
      <c r="I325" s="13">
        <v>11.5</v>
      </c>
      <c r="J325" s="14">
        <v>8</v>
      </c>
      <c r="K325" s="17">
        <f>IFERROR(ROUND((fCaixa[[#This Row],[Venda]]/fCaixa[[#This Row],[Preço/Un.]]),0),0)</f>
        <v>143</v>
      </c>
      <c r="L325" s="15">
        <f>IFERROR((SUBSTITUTE(RIGHT(fCaixa[[#This Row],[Descrição]],3),"G","")*1 *fCaixa[[#This Row],[Qtd/Pães]]) / 1000,0)</f>
        <v>2.86</v>
      </c>
      <c r="M325" s="13">
        <f>IFERROR((((SUBSTITUTE(RIGHT(fCaixa[[#This Row],[Descrição]],3),"G","")*1) * fCaixa[[#This Row],[QTD Perdida]])/1000) *fCaixa[[#This Row],[Custo/KG.]],0)</f>
        <v>1.84</v>
      </c>
      <c r="N325" s="15">
        <f>IF(fCaixa[[#This Row],[Lançamento]]="RECEITA",(fCaixa[[#This Row],[QTD Perdida]]* (SUBSTITUTE(RIGHT(fCaixa[[#This Row],[Descrição]],3),"G","")*1))/1000,0)</f>
        <v>0.16</v>
      </c>
      <c r="O325" s="15">
        <f>fCaixa[[#This Row],[Qtd/Kg]]+fCaixa[[#This Row],[Qtd/Kg Perdido]]</f>
        <v>3.02</v>
      </c>
      <c r="P325" s="13">
        <f>IF(fCaixa[[#This Row],[Lançamento]]="RECEITA",(fCaixa[[#This Row],[Qtd/Kg]]*fCaixa[[#This Row],[Custo/KG.]]),0)</f>
        <v>32.89</v>
      </c>
      <c r="Q325" s="34">
        <f>fCaixa[[#This Row],[Custoprimario]]+fCaixa[[#This Row],[Total Perdido]]</f>
        <v>34.730000000000004</v>
      </c>
      <c r="R325" s="16">
        <f>IFERROR(fCaixa[[#This Row],[Custoprimario]]/fCaixa[[#This Row],[Venda]],0)</f>
        <v>0.5770175438596491</v>
      </c>
      <c r="S325" s="16">
        <f>IFERROR(fCaixa[[#This Row],[Custofinal]]/fCaixa[[#This Row],[Venda]],0)</f>
        <v>0.60929824561403512</v>
      </c>
      <c r="T325" s="13">
        <f>IF(fCaixa[[#This Row],[Lançamento]]="RECEITA",fCaixa[[#This Row],[Venda]]-fCaixa[[#This Row],[Custoprimario]],0)</f>
        <v>24.11</v>
      </c>
      <c r="U325" s="16">
        <f>IFERROR(fCaixa[[#This Row],[Lucroprimario]]/fCaixa[[#This Row],[Venda]],0)</f>
        <v>0.42298245614035085</v>
      </c>
      <c r="V32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22.269999999999996</v>
      </c>
      <c r="W325" s="16">
        <f>IFERROR(fCaixa[[#This Row],[Lucrofinal]]/fCaixa[[#This Row],[Venda]],0)</f>
        <v>0.39070175438596483</v>
      </c>
    </row>
    <row r="326" spans="1:23" ht="16.5" hidden="1" x14ac:dyDescent="0.25">
      <c r="A326" s="17">
        <f t="shared" si="5"/>
        <v>325</v>
      </c>
      <c r="B326" s="87">
        <v>43245</v>
      </c>
      <c r="C326" s="12" t="s">
        <v>24</v>
      </c>
      <c r="D326" s="12" t="s">
        <v>25</v>
      </c>
      <c r="E326" s="12" t="s">
        <v>35</v>
      </c>
      <c r="F326" s="12" t="s">
        <v>28</v>
      </c>
      <c r="G326" s="13">
        <v>177</v>
      </c>
      <c r="H326" s="13">
        <v>1</v>
      </c>
      <c r="I326" s="13">
        <v>11.5</v>
      </c>
      <c r="J326" s="14">
        <v>3</v>
      </c>
      <c r="K326" s="17">
        <f>IFERROR(ROUND((fCaixa[[#This Row],[Venda]]/fCaixa[[#This Row],[Preço/Un.]]),0),0)</f>
        <v>177</v>
      </c>
      <c r="L326" s="15">
        <f>IFERROR((SUBSTITUTE(RIGHT(fCaixa[[#This Row],[Descrição]],3),"G","")*1 *fCaixa[[#This Row],[Qtd/Pães]]) / 1000,0)</f>
        <v>8.85</v>
      </c>
      <c r="M326" s="13">
        <f>IFERROR((((SUBSTITUTE(RIGHT(fCaixa[[#This Row],[Descrição]],3),"G","")*1) * fCaixa[[#This Row],[QTD Perdida]])/1000) *fCaixa[[#This Row],[Custo/KG.]],0)</f>
        <v>1.7249999999999999</v>
      </c>
      <c r="N326" s="15">
        <f>IF(fCaixa[[#This Row],[Lançamento]]="RECEITA",(fCaixa[[#This Row],[QTD Perdida]]* (SUBSTITUTE(RIGHT(fCaixa[[#This Row],[Descrição]],3),"G","")*1))/1000,0)</f>
        <v>0.15</v>
      </c>
      <c r="O326" s="15">
        <f>fCaixa[[#This Row],[Qtd/Kg]]+fCaixa[[#This Row],[Qtd/Kg Perdido]]</f>
        <v>9</v>
      </c>
      <c r="P326" s="13">
        <f>IF(fCaixa[[#This Row],[Lançamento]]="RECEITA",(fCaixa[[#This Row],[Qtd/Kg]]*fCaixa[[#This Row],[Custo/KG.]]),0)</f>
        <v>101.77499999999999</v>
      </c>
      <c r="Q326" s="34">
        <f>fCaixa[[#This Row],[Custoprimario]]+fCaixa[[#This Row],[Total Perdido]]</f>
        <v>103.49999999999999</v>
      </c>
      <c r="R326" s="16">
        <f>IFERROR(fCaixa[[#This Row],[Custoprimario]]/fCaixa[[#This Row],[Venda]],0)</f>
        <v>0.57499999999999996</v>
      </c>
      <c r="S326" s="16">
        <f>IFERROR(fCaixa[[#This Row],[Custofinal]]/fCaixa[[#This Row],[Venda]],0)</f>
        <v>0.58474576271186429</v>
      </c>
      <c r="T326" s="13">
        <f>IF(fCaixa[[#This Row],[Lançamento]]="RECEITA",fCaixa[[#This Row],[Venda]]-fCaixa[[#This Row],[Custoprimario]],0)</f>
        <v>75.225000000000009</v>
      </c>
      <c r="U326" s="16">
        <f>IFERROR(fCaixa[[#This Row],[Lucroprimario]]/fCaixa[[#This Row],[Venda]],0)</f>
        <v>0.42500000000000004</v>
      </c>
      <c r="V32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73.500000000000014</v>
      </c>
      <c r="W326" s="16">
        <f>IFERROR(fCaixa[[#This Row],[Lucrofinal]]/fCaixa[[#This Row],[Venda]],0)</f>
        <v>0.41525423728813565</v>
      </c>
    </row>
    <row r="327" spans="1:23" ht="16.5" hidden="1" x14ac:dyDescent="0.25">
      <c r="A327" s="17">
        <f t="shared" si="5"/>
        <v>326</v>
      </c>
      <c r="B327" s="87">
        <v>43246</v>
      </c>
      <c r="C327" s="12" t="s">
        <v>29</v>
      </c>
      <c r="D327" s="12" t="s">
        <v>25</v>
      </c>
      <c r="E327" s="12" t="s">
        <v>30</v>
      </c>
      <c r="F327" s="12" t="s">
        <v>28</v>
      </c>
      <c r="G327" s="13">
        <v>15</v>
      </c>
      <c r="H327" s="13">
        <v>0</v>
      </c>
      <c r="I327" s="13">
        <v>0</v>
      </c>
      <c r="J327" s="14">
        <v>0</v>
      </c>
      <c r="K327" s="17">
        <f>IFERROR(ROUND((fCaixa[[#This Row],[Venda]]/fCaixa[[#This Row],[Preço/Un.]]),0),0)</f>
        <v>0</v>
      </c>
      <c r="L327" s="15">
        <f>IFERROR((SUBSTITUTE(RIGHT(fCaixa[[#This Row],[Descrição]],3),"G","")*1 *fCaixa[[#This Row],[Qtd/Pães]]) / 1000,0)</f>
        <v>0</v>
      </c>
      <c r="M327" s="13">
        <f>IFERROR((((SUBSTITUTE(RIGHT(fCaixa[[#This Row],[Descrição]],3),"G","")*1) * fCaixa[[#This Row],[QTD Perdida]])/1000) *fCaixa[[#This Row],[Custo/KG.]],0)</f>
        <v>0</v>
      </c>
      <c r="N327" s="15">
        <f>IF(fCaixa[[#This Row],[Lançamento]]="RECEITA",(fCaixa[[#This Row],[QTD Perdida]]* (SUBSTITUTE(RIGHT(fCaixa[[#This Row],[Descrição]],3),"G","")*1))/1000,0)</f>
        <v>0</v>
      </c>
      <c r="O327" s="15">
        <f>fCaixa[[#This Row],[Qtd/Kg]]+fCaixa[[#This Row],[Qtd/Kg Perdido]]</f>
        <v>0</v>
      </c>
      <c r="P327" s="13">
        <f>IF(fCaixa[[#This Row],[Lançamento]]="RECEITA",(fCaixa[[#This Row],[Qtd/Kg]]*fCaixa[[#This Row],[Custo/KG.]]),0)</f>
        <v>0</v>
      </c>
      <c r="Q327" s="34">
        <f>fCaixa[[#This Row],[Custoprimario]]+fCaixa[[#This Row],[Total Perdido]]</f>
        <v>0</v>
      </c>
      <c r="R327" s="16">
        <f>IFERROR(fCaixa[[#This Row],[Custoprimario]]/fCaixa[[#This Row],[Venda]],0)</f>
        <v>0</v>
      </c>
      <c r="S327" s="16">
        <f>IFERROR(fCaixa[[#This Row],[Custofinal]]/fCaixa[[#This Row],[Venda]],0)</f>
        <v>0</v>
      </c>
      <c r="T327" s="13">
        <f>IF(fCaixa[[#This Row],[Lançamento]]="RECEITA",fCaixa[[#This Row],[Venda]]-fCaixa[[#This Row],[Custoprimario]],0)</f>
        <v>0</v>
      </c>
      <c r="U327" s="16">
        <f>IFERROR(fCaixa[[#This Row],[Lucroprimario]]/fCaixa[[#This Row],[Venda]],0)</f>
        <v>0</v>
      </c>
      <c r="V32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27" s="16">
        <f>IFERROR(fCaixa[[#This Row],[Lucrofinal]]/fCaixa[[#This Row],[Venda]],0)</f>
        <v>0</v>
      </c>
    </row>
    <row r="328" spans="1:23" ht="16.5" hidden="1" x14ac:dyDescent="0.25">
      <c r="A328" s="17">
        <f t="shared" si="5"/>
        <v>327</v>
      </c>
      <c r="B328" s="87">
        <v>43246</v>
      </c>
      <c r="C328" s="12" t="s">
        <v>29</v>
      </c>
      <c r="D328" s="12" t="s">
        <v>25</v>
      </c>
      <c r="E328" s="12" t="s">
        <v>30</v>
      </c>
      <c r="F328" s="12" t="s">
        <v>28</v>
      </c>
      <c r="G328" s="13">
        <v>18</v>
      </c>
      <c r="H328" s="13">
        <v>0</v>
      </c>
      <c r="I328" s="13">
        <v>0</v>
      </c>
      <c r="J328" s="14">
        <v>0</v>
      </c>
      <c r="K328" s="17">
        <f>IFERROR(ROUND((fCaixa[[#This Row],[Venda]]/fCaixa[[#This Row],[Preço/Un.]]),0),0)</f>
        <v>0</v>
      </c>
      <c r="L328" s="15">
        <f>IFERROR((SUBSTITUTE(RIGHT(fCaixa[[#This Row],[Descrição]],3),"G","")*1 *fCaixa[[#This Row],[Qtd/Pães]]) / 1000,0)</f>
        <v>0</v>
      </c>
      <c r="M328" s="13">
        <f>IFERROR((((SUBSTITUTE(RIGHT(fCaixa[[#This Row],[Descrição]],3),"G","")*1) * fCaixa[[#This Row],[QTD Perdida]])/1000) *fCaixa[[#This Row],[Custo/KG.]],0)</f>
        <v>0</v>
      </c>
      <c r="N328" s="15">
        <f>IF(fCaixa[[#This Row],[Lançamento]]="RECEITA",(fCaixa[[#This Row],[QTD Perdida]]* (SUBSTITUTE(RIGHT(fCaixa[[#This Row],[Descrição]],3),"G","")*1))/1000,0)</f>
        <v>0</v>
      </c>
      <c r="O328" s="15">
        <f>fCaixa[[#This Row],[Qtd/Kg]]+fCaixa[[#This Row],[Qtd/Kg Perdido]]</f>
        <v>0</v>
      </c>
      <c r="P328" s="13">
        <f>IF(fCaixa[[#This Row],[Lançamento]]="RECEITA",(fCaixa[[#This Row],[Qtd/Kg]]*fCaixa[[#This Row],[Custo/KG.]]),0)</f>
        <v>0</v>
      </c>
      <c r="Q328" s="34">
        <f>fCaixa[[#This Row],[Custoprimario]]+fCaixa[[#This Row],[Total Perdido]]</f>
        <v>0</v>
      </c>
      <c r="R328" s="16">
        <f>IFERROR(fCaixa[[#This Row],[Custoprimario]]/fCaixa[[#This Row],[Venda]],0)</f>
        <v>0</v>
      </c>
      <c r="S328" s="16">
        <f>IFERROR(fCaixa[[#This Row],[Custofinal]]/fCaixa[[#This Row],[Venda]],0)</f>
        <v>0</v>
      </c>
      <c r="T328" s="13">
        <f>IF(fCaixa[[#This Row],[Lançamento]]="RECEITA",fCaixa[[#This Row],[Venda]]-fCaixa[[#This Row],[Custoprimario]],0)</f>
        <v>0</v>
      </c>
      <c r="U328" s="16">
        <f>IFERROR(fCaixa[[#This Row],[Lucroprimario]]/fCaixa[[#This Row],[Venda]],0)</f>
        <v>0</v>
      </c>
      <c r="V32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28" s="16">
        <f>IFERROR(fCaixa[[#This Row],[Lucrofinal]]/fCaixa[[#This Row],[Venda]],0)</f>
        <v>0</v>
      </c>
    </row>
    <row r="329" spans="1:23" ht="16.5" hidden="1" x14ac:dyDescent="0.25">
      <c r="A329" s="17">
        <f t="shared" si="5"/>
        <v>328</v>
      </c>
      <c r="B329" s="87">
        <v>43246</v>
      </c>
      <c r="C329" s="12" t="s">
        <v>24</v>
      </c>
      <c r="D329" s="12" t="s">
        <v>25</v>
      </c>
      <c r="E329" s="12" t="s">
        <v>78</v>
      </c>
      <c r="F329" s="12" t="s">
        <v>28</v>
      </c>
      <c r="G329" s="13">
        <v>17.2</v>
      </c>
      <c r="H329" s="13">
        <v>0.4</v>
      </c>
      <c r="I329" s="13">
        <v>11.5</v>
      </c>
      <c r="J329" s="14">
        <v>7</v>
      </c>
      <c r="K329" s="17">
        <f>IFERROR(ROUND((fCaixa[[#This Row],[Venda]]/fCaixa[[#This Row],[Preço/Un.]]),0),0)</f>
        <v>43</v>
      </c>
      <c r="L329" s="15">
        <f>IFERROR((SUBSTITUTE(RIGHT(fCaixa[[#This Row],[Descrição]],3),"G","")*1 *fCaixa[[#This Row],[Qtd/Pães]]) / 1000,0)</f>
        <v>0.86</v>
      </c>
      <c r="M329" s="13">
        <f>IFERROR((((SUBSTITUTE(RIGHT(fCaixa[[#This Row],[Descrição]],3),"G","")*1) * fCaixa[[#This Row],[QTD Perdida]])/1000) *fCaixa[[#This Row],[Custo/KG.]],0)</f>
        <v>1.61</v>
      </c>
      <c r="N329" s="15">
        <f>IF(fCaixa[[#This Row],[Lançamento]]="RECEITA",(fCaixa[[#This Row],[QTD Perdida]]* (SUBSTITUTE(RIGHT(fCaixa[[#This Row],[Descrição]],3),"G","")*1))/1000,0)</f>
        <v>0.14000000000000001</v>
      </c>
      <c r="O329" s="15">
        <f>fCaixa[[#This Row],[Qtd/Kg]]+fCaixa[[#This Row],[Qtd/Kg Perdido]]</f>
        <v>1</v>
      </c>
      <c r="P329" s="13">
        <f>IF(fCaixa[[#This Row],[Lançamento]]="RECEITA",(fCaixa[[#This Row],[Qtd/Kg]]*fCaixa[[#This Row],[Custo/KG.]]),0)</f>
        <v>9.89</v>
      </c>
      <c r="Q329" s="34">
        <f>fCaixa[[#This Row],[Custoprimario]]+fCaixa[[#This Row],[Total Perdido]]</f>
        <v>11.5</v>
      </c>
      <c r="R329" s="16">
        <f>IFERROR(fCaixa[[#This Row],[Custoprimario]]/fCaixa[[#This Row],[Venda]],0)</f>
        <v>0.57500000000000007</v>
      </c>
      <c r="S329" s="16">
        <f>IFERROR(fCaixa[[#This Row],[Custofinal]]/fCaixa[[#This Row],[Venda]],0)</f>
        <v>0.66860465116279078</v>
      </c>
      <c r="T329" s="13">
        <f>IF(fCaixa[[#This Row],[Lançamento]]="RECEITA",fCaixa[[#This Row],[Venda]]-fCaixa[[#This Row],[Custoprimario]],0)</f>
        <v>7.3099999999999987</v>
      </c>
      <c r="U329" s="16">
        <f>IFERROR(fCaixa[[#This Row],[Lucroprimario]]/fCaixa[[#This Row],[Venda]],0)</f>
        <v>0.42499999999999993</v>
      </c>
      <c r="V32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5.6999999999999993</v>
      </c>
      <c r="W329" s="16">
        <f>IFERROR(fCaixa[[#This Row],[Lucrofinal]]/fCaixa[[#This Row],[Venda]],0)</f>
        <v>0.33139534883720928</v>
      </c>
    </row>
    <row r="330" spans="1:23" ht="16.5" hidden="1" x14ac:dyDescent="0.25">
      <c r="A330" s="17">
        <f t="shared" si="5"/>
        <v>329</v>
      </c>
      <c r="B330" s="87">
        <v>43246</v>
      </c>
      <c r="C330" s="12" t="s">
        <v>24</v>
      </c>
      <c r="D330" s="12" t="s">
        <v>37</v>
      </c>
      <c r="E330" s="12" t="s">
        <v>35</v>
      </c>
      <c r="F330" s="12" t="s">
        <v>28</v>
      </c>
      <c r="G330" s="13">
        <v>5</v>
      </c>
      <c r="H330" s="13">
        <v>1</v>
      </c>
      <c r="I330" s="13">
        <v>11.5</v>
      </c>
      <c r="J330" s="14">
        <v>0</v>
      </c>
      <c r="K330" s="17">
        <f>IFERROR(ROUND((fCaixa[[#This Row],[Venda]]/fCaixa[[#This Row],[Preço/Un.]]),0),0)</f>
        <v>5</v>
      </c>
      <c r="L330" s="15">
        <f>IFERROR((SUBSTITUTE(RIGHT(fCaixa[[#This Row],[Descrição]],3),"G","")*1 *fCaixa[[#This Row],[Qtd/Pães]]) / 1000,0)</f>
        <v>0.25</v>
      </c>
      <c r="M330" s="13">
        <f>IFERROR((((SUBSTITUTE(RIGHT(fCaixa[[#This Row],[Descrição]],3),"G","")*1) * fCaixa[[#This Row],[QTD Perdida]])/1000) *fCaixa[[#This Row],[Custo/KG.]],0)</f>
        <v>0</v>
      </c>
      <c r="N330" s="15">
        <f>IF(fCaixa[[#This Row],[Lançamento]]="RECEITA",(fCaixa[[#This Row],[QTD Perdida]]* (SUBSTITUTE(RIGHT(fCaixa[[#This Row],[Descrição]],3),"G","")*1))/1000,0)</f>
        <v>0</v>
      </c>
      <c r="O330" s="15">
        <f>fCaixa[[#This Row],[Qtd/Kg]]+fCaixa[[#This Row],[Qtd/Kg Perdido]]</f>
        <v>0.25</v>
      </c>
      <c r="P330" s="13">
        <f>IF(fCaixa[[#This Row],[Lançamento]]="RECEITA",(fCaixa[[#This Row],[Qtd/Kg]]*fCaixa[[#This Row],[Custo/KG.]]),0)</f>
        <v>2.875</v>
      </c>
      <c r="Q330" s="34">
        <f>fCaixa[[#This Row],[Custoprimario]]+fCaixa[[#This Row],[Total Perdido]]</f>
        <v>2.875</v>
      </c>
      <c r="R330" s="16">
        <f>IFERROR(fCaixa[[#This Row],[Custoprimario]]/fCaixa[[#This Row],[Venda]],0)</f>
        <v>0.57499999999999996</v>
      </c>
      <c r="S330" s="16">
        <f>IFERROR(fCaixa[[#This Row],[Custofinal]]/fCaixa[[#This Row],[Venda]],0)</f>
        <v>0.57499999999999996</v>
      </c>
      <c r="T330" s="13">
        <f>IF(fCaixa[[#This Row],[Lançamento]]="RECEITA",fCaixa[[#This Row],[Venda]]-fCaixa[[#This Row],[Custoprimario]],0)</f>
        <v>2.125</v>
      </c>
      <c r="U330" s="16">
        <f>IFERROR(fCaixa[[#This Row],[Lucroprimario]]/fCaixa[[#This Row],[Venda]],0)</f>
        <v>0.42499999999999999</v>
      </c>
      <c r="V33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330" s="16">
        <f>IFERROR(fCaixa[[#This Row],[Lucrofinal]]/fCaixa[[#This Row],[Venda]],0)</f>
        <v>0.40210000000000001</v>
      </c>
    </row>
    <row r="331" spans="1:23" ht="16.5" hidden="1" x14ac:dyDescent="0.25">
      <c r="A331" s="17">
        <f t="shared" si="5"/>
        <v>330</v>
      </c>
      <c r="B331" s="87">
        <v>43246</v>
      </c>
      <c r="C331" s="12" t="s">
        <v>24</v>
      </c>
      <c r="D331" s="12" t="s">
        <v>25</v>
      </c>
      <c r="E331" s="12" t="s">
        <v>35</v>
      </c>
      <c r="F331" s="12" t="s">
        <v>28</v>
      </c>
      <c r="G331" s="13">
        <v>55</v>
      </c>
      <c r="H331" s="13">
        <v>1</v>
      </c>
      <c r="I331" s="13">
        <v>11.5</v>
      </c>
      <c r="J331" s="14">
        <v>0</v>
      </c>
      <c r="K331" s="17">
        <f>IFERROR(ROUND((fCaixa[[#This Row],[Venda]]/fCaixa[[#This Row],[Preço/Un.]]),0),0)</f>
        <v>55</v>
      </c>
      <c r="L331" s="15">
        <f>IFERROR((SUBSTITUTE(RIGHT(fCaixa[[#This Row],[Descrição]],3),"G","")*1 *fCaixa[[#This Row],[Qtd/Pães]]) / 1000,0)</f>
        <v>2.75</v>
      </c>
      <c r="M331" s="13">
        <f>IFERROR((((SUBSTITUTE(RIGHT(fCaixa[[#This Row],[Descrição]],3),"G","")*1) * fCaixa[[#This Row],[QTD Perdida]])/1000) *fCaixa[[#This Row],[Custo/KG.]],0)</f>
        <v>0</v>
      </c>
      <c r="N331" s="15">
        <f>IF(fCaixa[[#This Row],[Lançamento]]="RECEITA",(fCaixa[[#This Row],[QTD Perdida]]* (SUBSTITUTE(RIGHT(fCaixa[[#This Row],[Descrição]],3),"G","")*1))/1000,0)</f>
        <v>0</v>
      </c>
      <c r="O331" s="15">
        <f>fCaixa[[#This Row],[Qtd/Kg]]+fCaixa[[#This Row],[Qtd/Kg Perdido]]</f>
        <v>2.75</v>
      </c>
      <c r="P331" s="13">
        <f>IF(fCaixa[[#This Row],[Lançamento]]="RECEITA",(fCaixa[[#This Row],[Qtd/Kg]]*fCaixa[[#This Row],[Custo/KG.]]),0)</f>
        <v>31.625</v>
      </c>
      <c r="Q331" s="34">
        <f>fCaixa[[#This Row],[Custoprimario]]+fCaixa[[#This Row],[Total Perdido]]</f>
        <v>31.625</v>
      </c>
      <c r="R331" s="16">
        <f>IFERROR(fCaixa[[#This Row],[Custoprimario]]/fCaixa[[#This Row],[Venda]],0)</f>
        <v>0.57499999999999996</v>
      </c>
      <c r="S331" s="16">
        <f>IFERROR(fCaixa[[#This Row],[Custofinal]]/fCaixa[[#This Row],[Venda]],0)</f>
        <v>0.57499999999999996</v>
      </c>
      <c r="T331" s="13">
        <f>IF(fCaixa[[#This Row],[Lançamento]]="RECEITA",fCaixa[[#This Row],[Venda]]-fCaixa[[#This Row],[Custoprimario]],0)</f>
        <v>23.375</v>
      </c>
      <c r="U331" s="16">
        <f>IFERROR(fCaixa[[#This Row],[Lucroprimario]]/fCaixa[[#This Row],[Venda]],0)</f>
        <v>0.42499999999999999</v>
      </c>
      <c r="V33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23.375</v>
      </c>
      <c r="W331" s="16">
        <f>IFERROR(fCaixa[[#This Row],[Lucrofinal]]/fCaixa[[#This Row],[Venda]],0)</f>
        <v>0.42499999999999999</v>
      </c>
    </row>
    <row r="332" spans="1:23" ht="16.5" hidden="1" x14ac:dyDescent="0.25">
      <c r="A332" s="17">
        <f t="shared" si="5"/>
        <v>331</v>
      </c>
      <c r="B332" s="87">
        <v>43248</v>
      </c>
      <c r="C332" s="12" t="s">
        <v>24</v>
      </c>
      <c r="D332" s="12" t="s">
        <v>37</v>
      </c>
      <c r="E332" s="12" t="s">
        <v>35</v>
      </c>
      <c r="F332" s="12" t="s">
        <v>28</v>
      </c>
      <c r="G332" s="13">
        <v>5</v>
      </c>
      <c r="H332" s="13">
        <v>1</v>
      </c>
      <c r="I332" s="13">
        <v>11.5</v>
      </c>
      <c r="J332" s="14">
        <v>0</v>
      </c>
      <c r="K332" s="17">
        <f>IFERROR(ROUND((fCaixa[[#This Row],[Venda]]/fCaixa[[#This Row],[Preço/Un.]]),0),0)</f>
        <v>5</v>
      </c>
      <c r="L332" s="15">
        <f>IFERROR((SUBSTITUTE(RIGHT(fCaixa[[#This Row],[Descrição]],3),"G","")*1 *fCaixa[[#This Row],[Qtd/Pães]]) / 1000,0)</f>
        <v>0.25</v>
      </c>
      <c r="M332" s="13">
        <f>IFERROR((((SUBSTITUTE(RIGHT(fCaixa[[#This Row],[Descrição]],3),"G","")*1) * fCaixa[[#This Row],[QTD Perdida]])/1000) *fCaixa[[#This Row],[Custo/KG.]],0)</f>
        <v>0</v>
      </c>
      <c r="N332" s="15">
        <f>IF(fCaixa[[#This Row],[Lançamento]]="RECEITA",(fCaixa[[#This Row],[QTD Perdida]]* (SUBSTITUTE(RIGHT(fCaixa[[#This Row],[Descrição]],3),"G","")*1))/1000,0)</f>
        <v>0</v>
      </c>
      <c r="O332" s="15">
        <f>fCaixa[[#This Row],[Qtd/Kg]]+fCaixa[[#This Row],[Qtd/Kg Perdido]]</f>
        <v>0.25</v>
      </c>
      <c r="P332" s="13">
        <f>IF(fCaixa[[#This Row],[Lançamento]]="RECEITA",(fCaixa[[#This Row],[Qtd/Kg]]*fCaixa[[#This Row],[Custo/KG.]]),0)</f>
        <v>2.875</v>
      </c>
      <c r="Q332" s="34">
        <f>fCaixa[[#This Row],[Custoprimario]]+fCaixa[[#This Row],[Total Perdido]]</f>
        <v>2.875</v>
      </c>
      <c r="R332" s="16">
        <f>IFERROR(fCaixa[[#This Row],[Custoprimario]]/fCaixa[[#This Row],[Venda]],0)</f>
        <v>0.57499999999999996</v>
      </c>
      <c r="S332" s="16">
        <f>IFERROR(fCaixa[[#This Row],[Custofinal]]/fCaixa[[#This Row],[Venda]],0)</f>
        <v>0.57499999999999996</v>
      </c>
      <c r="T332" s="13">
        <f>IF(fCaixa[[#This Row],[Lançamento]]="RECEITA",fCaixa[[#This Row],[Venda]]-fCaixa[[#This Row],[Custoprimario]],0)</f>
        <v>2.125</v>
      </c>
      <c r="U332" s="16">
        <f>IFERROR(fCaixa[[#This Row],[Lucroprimario]]/fCaixa[[#This Row],[Venda]],0)</f>
        <v>0.42499999999999999</v>
      </c>
      <c r="V33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332" s="16">
        <f>IFERROR(fCaixa[[#This Row],[Lucrofinal]]/fCaixa[[#This Row],[Venda]],0)</f>
        <v>0.40210000000000001</v>
      </c>
    </row>
    <row r="333" spans="1:23" ht="16.5" hidden="1" x14ac:dyDescent="0.25">
      <c r="A333" s="17">
        <f t="shared" si="5"/>
        <v>332</v>
      </c>
      <c r="B333" s="87">
        <v>43248</v>
      </c>
      <c r="C333" s="12" t="s">
        <v>24</v>
      </c>
      <c r="D333" s="12" t="s">
        <v>38</v>
      </c>
      <c r="E333" s="12" t="s">
        <v>78</v>
      </c>
      <c r="F333" s="12" t="s">
        <v>28</v>
      </c>
      <c r="G333" s="13">
        <v>18</v>
      </c>
      <c r="H333" s="13">
        <v>0.36</v>
      </c>
      <c r="I333" s="13">
        <v>11.5</v>
      </c>
      <c r="J333" s="14">
        <v>0</v>
      </c>
      <c r="K333" s="17">
        <f>IFERROR(ROUND((fCaixa[[#This Row],[Venda]]/fCaixa[[#This Row],[Preço/Un.]]),0),0)</f>
        <v>50</v>
      </c>
      <c r="L333" s="15">
        <f>IFERROR((SUBSTITUTE(RIGHT(fCaixa[[#This Row],[Descrição]],3),"G","")*1 *fCaixa[[#This Row],[Qtd/Pães]]) / 1000,0)</f>
        <v>1</v>
      </c>
      <c r="M333" s="13">
        <f>IFERROR((((SUBSTITUTE(RIGHT(fCaixa[[#This Row],[Descrição]],3),"G","")*1) * fCaixa[[#This Row],[QTD Perdida]])/1000) *fCaixa[[#This Row],[Custo/KG.]],0)</f>
        <v>0</v>
      </c>
      <c r="N333" s="15">
        <f>IF(fCaixa[[#This Row],[Lançamento]]="RECEITA",(fCaixa[[#This Row],[QTD Perdida]]* (SUBSTITUTE(RIGHT(fCaixa[[#This Row],[Descrição]],3),"G","")*1))/1000,0)</f>
        <v>0</v>
      </c>
      <c r="O333" s="15">
        <f>fCaixa[[#This Row],[Qtd/Kg]]+fCaixa[[#This Row],[Qtd/Kg Perdido]]</f>
        <v>1</v>
      </c>
      <c r="P333" s="13">
        <f>IF(fCaixa[[#This Row],[Lançamento]]="RECEITA",(fCaixa[[#This Row],[Qtd/Kg]]*fCaixa[[#This Row],[Custo/KG.]]),0)</f>
        <v>11.5</v>
      </c>
      <c r="Q333" s="34">
        <f>fCaixa[[#This Row],[Custoprimario]]+fCaixa[[#This Row],[Total Perdido]]</f>
        <v>11.5</v>
      </c>
      <c r="R333" s="16">
        <f>IFERROR(fCaixa[[#This Row],[Custoprimario]]/fCaixa[[#This Row],[Venda]],0)</f>
        <v>0.63888888888888884</v>
      </c>
      <c r="S333" s="16">
        <f>IFERROR(fCaixa[[#This Row],[Custofinal]]/fCaixa[[#This Row],[Venda]],0)</f>
        <v>0.63888888888888884</v>
      </c>
      <c r="T333" s="13">
        <f>IF(fCaixa[[#This Row],[Lançamento]]="RECEITA",fCaixa[[#This Row],[Venda]]-fCaixa[[#This Row],[Custoprimario]],0)</f>
        <v>6.5</v>
      </c>
      <c r="U333" s="16">
        <f>IFERROR(fCaixa[[#This Row],[Lucroprimario]]/fCaixa[[#This Row],[Venda]],0)</f>
        <v>0.3611111111111111</v>
      </c>
      <c r="V33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5.6360000000000001</v>
      </c>
      <c r="W333" s="16">
        <f>IFERROR(fCaixa[[#This Row],[Lucrofinal]]/fCaixa[[#This Row],[Venda]],0)</f>
        <v>0.31311111111111112</v>
      </c>
    </row>
    <row r="334" spans="1:23" ht="16.5" hidden="1" x14ac:dyDescent="0.25">
      <c r="A334" s="17">
        <f t="shared" si="5"/>
        <v>333</v>
      </c>
      <c r="B334" s="87">
        <v>43248</v>
      </c>
      <c r="C334" s="12" t="s">
        <v>24</v>
      </c>
      <c r="D334" s="12" t="s">
        <v>25</v>
      </c>
      <c r="E334" s="12" t="s">
        <v>35</v>
      </c>
      <c r="F334" s="12" t="s">
        <v>28</v>
      </c>
      <c r="G334" s="13">
        <v>18</v>
      </c>
      <c r="H334" s="13">
        <v>0.9</v>
      </c>
      <c r="I334" s="13">
        <v>11.5</v>
      </c>
      <c r="J334" s="14">
        <v>0</v>
      </c>
      <c r="K334" s="17">
        <f>IFERROR(ROUND((fCaixa[[#This Row],[Venda]]/fCaixa[[#This Row],[Preço/Un.]]),0),0)</f>
        <v>20</v>
      </c>
      <c r="L334" s="15">
        <f>IFERROR((SUBSTITUTE(RIGHT(fCaixa[[#This Row],[Descrição]],3),"G","")*1 *fCaixa[[#This Row],[Qtd/Pães]]) / 1000,0)</f>
        <v>1</v>
      </c>
      <c r="M334" s="13">
        <f>IFERROR((((SUBSTITUTE(RIGHT(fCaixa[[#This Row],[Descrição]],3),"G","")*1) * fCaixa[[#This Row],[QTD Perdida]])/1000) *fCaixa[[#This Row],[Custo/KG.]],0)</f>
        <v>0</v>
      </c>
      <c r="N334" s="15">
        <f>IF(fCaixa[[#This Row],[Lançamento]]="RECEITA",(fCaixa[[#This Row],[QTD Perdida]]* (SUBSTITUTE(RIGHT(fCaixa[[#This Row],[Descrição]],3),"G","")*1))/1000,0)</f>
        <v>0</v>
      </c>
      <c r="O334" s="15">
        <f>fCaixa[[#This Row],[Qtd/Kg]]+fCaixa[[#This Row],[Qtd/Kg Perdido]]</f>
        <v>1</v>
      </c>
      <c r="P334" s="13">
        <f>IF(fCaixa[[#This Row],[Lançamento]]="RECEITA",(fCaixa[[#This Row],[Qtd/Kg]]*fCaixa[[#This Row],[Custo/KG.]]),0)</f>
        <v>11.5</v>
      </c>
      <c r="Q334" s="34">
        <f>fCaixa[[#This Row],[Custoprimario]]+fCaixa[[#This Row],[Total Perdido]]</f>
        <v>11.5</v>
      </c>
      <c r="R334" s="16">
        <f>IFERROR(fCaixa[[#This Row],[Custoprimario]]/fCaixa[[#This Row],[Venda]],0)</f>
        <v>0.63888888888888884</v>
      </c>
      <c r="S334" s="16">
        <f>IFERROR(fCaixa[[#This Row],[Custofinal]]/fCaixa[[#This Row],[Venda]],0)</f>
        <v>0.63888888888888884</v>
      </c>
      <c r="T334" s="13">
        <f>IF(fCaixa[[#This Row],[Lançamento]]="RECEITA",fCaixa[[#This Row],[Venda]]-fCaixa[[#This Row],[Custoprimario]],0)</f>
        <v>6.5</v>
      </c>
      <c r="U334" s="16">
        <f>IFERROR(fCaixa[[#This Row],[Lucroprimario]]/fCaixa[[#This Row],[Venda]],0)</f>
        <v>0.3611111111111111</v>
      </c>
      <c r="V33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34" s="16">
        <f>IFERROR(fCaixa[[#This Row],[Lucrofinal]]/fCaixa[[#This Row],[Venda]],0)</f>
        <v>0.3611111111111111</v>
      </c>
    </row>
    <row r="335" spans="1:23" ht="16.5" hidden="1" x14ac:dyDescent="0.25">
      <c r="A335" s="17">
        <f t="shared" si="5"/>
        <v>334</v>
      </c>
      <c r="B335" s="87">
        <v>43248</v>
      </c>
      <c r="C335" s="12" t="s">
        <v>24</v>
      </c>
      <c r="D335" s="12" t="s">
        <v>25</v>
      </c>
      <c r="E335" s="12" t="s">
        <v>78</v>
      </c>
      <c r="F335" s="12" t="s">
        <v>28</v>
      </c>
      <c r="G335" s="13">
        <v>17.2</v>
      </c>
      <c r="H335" s="13">
        <v>0.4</v>
      </c>
      <c r="I335" s="13">
        <v>11.5</v>
      </c>
      <c r="J335" s="14">
        <v>7</v>
      </c>
      <c r="K335" s="17">
        <f>IFERROR(ROUND((fCaixa[[#This Row],[Venda]]/fCaixa[[#This Row],[Preço/Un.]]),0),0)</f>
        <v>43</v>
      </c>
      <c r="L335" s="15">
        <f>IFERROR((SUBSTITUTE(RIGHT(fCaixa[[#This Row],[Descrição]],3),"G","")*1 *fCaixa[[#This Row],[Qtd/Pães]]) / 1000,0)</f>
        <v>0.86</v>
      </c>
      <c r="M335" s="13">
        <f>IFERROR((((SUBSTITUTE(RIGHT(fCaixa[[#This Row],[Descrição]],3),"G","")*1) * fCaixa[[#This Row],[QTD Perdida]])/1000) *fCaixa[[#This Row],[Custo/KG.]],0)</f>
        <v>1.61</v>
      </c>
      <c r="N335" s="15">
        <f>IF(fCaixa[[#This Row],[Lançamento]]="RECEITA",(fCaixa[[#This Row],[QTD Perdida]]* (SUBSTITUTE(RIGHT(fCaixa[[#This Row],[Descrição]],3),"G","")*1))/1000,0)</f>
        <v>0.14000000000000001</v>
      </c>
      <c r="O335" s="15">
        <f>fCaixa[[#This Row],[Qtd/Kg]]+fCaixa[[#This Row],[Qtd/Kg Perdido]]</f>
        <v>1</v>
      </c>
      <c r="P335" s="13">
        <f>IF(fCaixa[[#This Row],[Lançamento]]="RECEITA",(fCaixa[[#This Row],[Qtd/Kg]]*fCaixa[[#This Row],[Custo/KG.]]),0)</f>
        <v>9.89</v>
      </c>
      <c r="Q335" s="34">
        <f>fCaixa[[#This Row],[Custoprimario]]+fCaixa[[#This Row],[Total Perdido]]</f>
        <v>11.5</v>
      </c>
      <c r="R335" s="16">
        <f>IFERROR(fCaixa[[#This Row],[Custoprimario]]/fCaixa[[#This Row],[Venda]],0)</f>
        <v>0.57500000000000007</v>
      </c>
      <c r="S335" s="16">
        <f>IFERROR(fCaixa[[#This Row],[Custofinal]]/fCaixa[[#This Row],[Venda]],0)</f>
        <v>0.66860465116279078</v>
      </c>
      <c r="T335" s="13">
        <f>IF(fCaixa[[#This Row],[Lançamento]]="RECEITA",fCaixa[[#This Row],[Venda]]-fCaixa[[#This Row],[Custoprimario]],0)</f>
        <v>7.3099999999999987</v>
      </c>
      <c r="U335" s="16">
        <f>IFERROR(fCaixa[[#This Row],[Lucroprimario]]/fCaixa[[#This Row],[Venda]],0)</f>
        <v>0.42499999999999993</v>
      </c>
      <c r="V33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5.6999999999999993</v>
      </c>
      <c r="W335" s="16">
        <f>IFERROR(fCaixa[[#This Row],[Lucrofinal]]/fCaixa[[#This Row],[Venda]],0)</f>
        <v>0.33139534883720928</v>
      </c>
    </row>
    <row r="336" spans="1:23" ht="16.5" hidden="1" x14ac:dyDescent="0.25">
      <c r="A336" s="17">
        <f t="shared" si="5"/>
        <v>335</v>
      </c>
      <c r="B336" s="87">
        <v>43248</v>
      </c>
      <c r="C336" s="12" t="s">
        <v>24</v>
      </c>
      <c r="D336" s="12" t="s">
        <v>25</v>
      </c>
      <c r="E336" s="12" t="s">
        <v>35</v>
      </c>
      <c r="F336" s="12" t="s">
        <v>28</v>
      </c>
      <c r="G336" s="13">
        <v>157</v>
      </c>
      <c r="H336" s="13">
        <v>1</v>
      </c>
      <c r="I336" s="13">
        <v>11.5</v>
      </c>
      <c r="J336" s="14">
        <v>3</v>
      </c>
      <c r="K336" s="17">
        <f>IFERROR(ROUND((fCaixa[[#This Row],[Venda]]/fCaixa[[#This Row],[Preço/Un.]]),0),0)</f>
        <v>157</v>
      </c>
      <c r="L336" s="15">
        <f>IFERROR((SUBSTITUTE(RIGHT(fCaixa[[#This Row],[Descrição]],3),"G","")*1 *fCaixa[[#This Row],[Qtd/Pães]]) / 1000,0)</f>
        <v>7.85</v>
      </c>
      <c r="M336" s="13">
        <f>IFERROR((((SUBSTITUTE(RIGHT(fCaixa[[#This Row],[Descrição]],3),"G","")*1) * fCaixa[[#This Row],[QTD Perdida]])/1000) *fCaixa[[#This Row],[Custo/KG.]],0)</f>
        <v>1.7249999999999999</v>
      </c>
      <c r="N336" s="15">
        <f>IF(fCaixa[[#This Row],[Lançamento]]="RECEITA",(fCaixa[[#This Row],[QTD Perdida]]* (SUBSTITUTE(RIGHT(fCaixa[[#This Row],[Descrição]],3),"G","")*1))/1000,0)</f>
        <v>0.15</v>
      </c>
      <c r="O336" s="15">
        <f>fCaixa[[#This Row],[Qtd/Kg]]+fCaixa[[#This Row],[Qtd/Kg Perdido]]</f>
        <v>8</v>
      </c>
      <c r="P336" s="13">
        <f>IF(fCaixa[[#This Row],[Lançamento]]="RECEITA",(fCaixa[[#This Row],[Qtd/Kg]]*fCaixa[[#This Row],[Custo/KG.]]),0)</f>
        <v>90.274999999999991</v>
      </c>
      <c r="Q336" s="34">
        <f>fCaixa[[#This Row],[Custoprimario]]+fCaixa[[#This Row],[Total Perdido]]</f>
        <v>91.999999999999986</v>
      </c>
      <c r="R336" s="16">
        <f>IFERROR(fCaixa[[#This Row],[Custoprimario]]/fCaixa[[#This Row],[Venda]],0)</f>
        <v>0.57499999999999996</v>
      </c>
      <c r="S336" s="16">
        <f>IFERROR(fCaixa[[#This Row],[Custofinal]]/fCaixa[[#This Row],[Venda]],0)</f>
        <v>0.58598726114649669</v>
      </c>
      <c r="T336" s="13">
        <f>IF(fCaixa[[#This Row],[Lançamento]]="RECEITA",fCaixa[[#This Row],[Venda]]-fCaixa[[#This Row],[Custoprimario]],0)</f>
        <v>66.725000000000009</v>
      </c>
      <c r="U336" s="16">
        <f>IFERROR(fCaixa[[#This Row],[Lucroprimario]]/fCaixa[[#This Row],[Venda]],0)</f>
        <v>0.42500000000000004</v>
      </c>
      <c r="V33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65.000000000000014</v>
      </c>
      <c r="W336" s="16">
        <f>IFERROR(fCaixa[[#This Row],[Lucrofinal]]/fCaixa[[#This Row],[Venda]],0)</f>
        <v>0.41401273885350326</v>
      </c>
    </row>
    <row r="337" spans="1:23" ht="16.5" hidden="1" x14ac:dyDescent="0.25">
      <c r="A337" s="17">
        <f t="shared" si="5"/>
        <v>336</v>
      </c>
      <c r="B337" s="87">
        <v>43248</v>
      </c>
      <c r="C337" s="12" t="s">
        <v>29</v>
      </c>
      <c r="D337" s="12" t="s">
        <v>25</v>
      </c>
      <c r="E337" s="12" t="s">
        <v>36</v>
      </c>
      <c r="F337" s="12" t="s">
        <v>28</v>
      </c>
      <c r="G337" s="13">
        <v>75</v>
      </c>
      <c r="H337" s="13">
        <v>0</v>
      </c>
      <c r="I337" s="13">
        <v>0</v>
      </c>
      <c r="J337" s="14">
        <v>0</v>
      </c>
      <c r="K337" s="17">
        <f>IFERROR(ROUND((fCaixa[[#This Row],[Venda]]/fCaixa[[#This Row],[Preço/Un.]]),0),0)</f>
        <v>0</v>
      </c>
      <c r="L337" s="15">
        <f>IFERROR((SUBSTITUTE(RIGHT(fCaixa[[#This Row],[Descrição]],3),"G","")*1 *fCaixa[[#This Row],[Qtd/Pães]]) / 1000,0)</f>
        <v>0</v>
      </c>
      <c r="M337" s="13">
        <f>IFERROR((((SUBSTITUTE(RIGHT(fCaixa[[#This Row],[Descrição]],3),"G","")*1) * fCaixa[[#This Row],[QTD Perdida]])/1000) *fCaixa[[#This Row],[Custo/KG.]],0)</f>
        <v>0</v>
      </c>
      <c r="N337" s="15">
        <f>IF(fCaixa[[#This Row],[Lançamento]]="RECEITA",(fCaixa[[#This Row],[QTD Perdida]]* (SUBSTITUTE(RIGHT(fCaixa[[#This Row],[Descrição]],3),"G","")*1))/1000,0)</f>
        <v>0</v>
      </c>
      <c r="O337" s="15">
        <f>fCaixa[[#This Row],[Qtd/Kg]]+fCaixa[[#This Row],[Qtd/Kg Perdido]]</f>
        <v>0</v>
      </c>
      <c r="P337" s="13">
        <f>IF(fCaixa[[#This Row],[Lançamento]]="RECEITA",(fCaixa[[#This Row],[Qtd/Kg]]*fCaixa[[#This Row],[Custo/KG.]]),0)</f>
        <v>0</v>
      </c>
      <c r="Q337" s="34">
        <f>fCaixa[[#This Row],[Custoprimario]]+fCaixa[[#This Row],[Total Perdido]]</f>
        <v>0</v>
      </c>
      <c r="R337" s="16">
        <f>IFERROR(fCaixa[[#This Row],[Custoprimario]]/fCaixa[[#This Row],[Venda]],0)</f>
        <v>0</v>
      </c>
      <c r="S337" s="16">
        <f>IFERROR(fCaixa[[#This Row],[Custofinal]]/fCaixa[[#This Row],[Venda]],0)</f>
        <v>0</v>
      </c>
      <c r="T337" s="13">
        <f>IF(fCaixa[[#This Row],[Lançamento]]="RECEITA",fCaixa[[#This Row],[Venda]]-fCaixa[[#This Row],[Custoprimario]],0)</f>
        <v>0</v>
      </c>
      <c r="U337" s="16">
        <f>IFERROR(fCaixa[[#This Row],[Lucroprimario]]/fCaixa[[#This Row],[Venda]],0)</f>
        <v>0</v>
      </c>
      <c r="V33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37" s="16">
        <f>IFERROR(fCaixa[[#This Row],[Lucrofinal]]/fCaixa[[#This Row],[Venda]],0)</f>
        <v>0</v>
      </c>
    </row>
    <row r="338" spans="1:23" ht="16.5" hidden="1" x14ac:dyDescent="0.25">
      <c r="A338" s="17">
        <f t="shared" si="5"/>
        <v>337</v>
      </c>
      <c r="B338" s="87">
        <v>43249</v>
      </c>
      <c r="C338" s="12" t="s">
        <v>24</v>
      </c>
      <c r="D338" s="12" t="s">
        <v>25</v>
      </c>
      <c r="E338" s="12" t="s">
        <v>78</v>
      </c>
      <c r="F338" s="12" t="s">
        <v>28</v>
      </c>
      <c r="G338" s="13">
        <v>38</v>
      </c>
      <c r="H338" s="13">
        <v>0.4</v>
      </c>
      <c r="I338" s="13">
        <v>11.5</v>
      </c>
      <c r="J338" s="14">
        <v>10</v>
      </c>
      <c r="K338" s="17">
        <f>IFERROR(ROUND((fCaixa[[#This Row],[Venda]]/fCaixa[[#This Row],[Preço/Un.]]),0),0)</f>
        <v>95</v>
      </c>
      <c r="L338" s="15">
        <f>IFERROR((SUBSTITUTE(RIGHT(fCaixa[[#This Row],[Descrição]],3),"G","")*1 *fCaixa[[#This Row],[Qtd/Pães]]) / 1000,0)</f>
        <v>1.9</v>
      </c>
      <c r="M338" s="13">
        <f>IFERROR((((SUBSTITUTE(RIGHT(fCaixa[[#This Row],[Descrição]],3),"G","")*1) * fCaixa[[#This Row],[QTD Perdida]])/1000) *fCaixa[[#This Row],[Custo/KG.]],0)</f>
        <v>2.3000000000000003</v>
      </c>
      <c r="N338" s="15">
        <f>IF(fCaixa[[#This Row],[Lançamento]]="RECEITA",(fCaixa[[#This Row],[QTD Perdida]]* (SUBSTITUTE(RIGHT(fCaixa[[#This Row],[Descrição]],3),"G","")*1))/1000,0)</f>
        <v>0.2</v>
      </c>
      <c r="O338" s="15">
        <f>fCaixa[[#This Row],[Qtd/Kg]]+fCaixa[[#This Row],[Qtd/Kg Perdido]]</f>
        <v>2.1</v>
      </c>
      <c r="P338" s="13">
        <f>IF(fCaixa[[#This Row],[Lançamento]]="RECEITA",(fCaixa[[#This Row],[Qtd/Kg]]*fCaixa[[#This Row],[Custo/KG.]]),0)</f>
        <v>21.849999999999998</v>
      </c>
      <c r="Q338" s="34">
        <f>fCaixa[[#This Row],[Custoprimario]]+fCaixa[[#This Row],[Total Perdido]]</f>
        <v>24.15</v>
      </c>
      <c r="R338" s="16">
        <f>IFERROR(fCaixa[[#This Row],[Custoprimario]]/fCaixa[[#This Row],[Venda]],0)</f>
        <v>0.57499999999999996</v>
      </c>
      <c r="S338" s="16">
        <f>IFERROR(fCaixa[[#This Row],[Custofinal]]/fCaixa[[#This Row],[Venda]],0)</f>
        <v>0.63552631578947361</v>
      </c>
      <c r="T338" s="13">
        <f>IF(fCaixa[[#This Row],[Lançamento]]="RECEITA",fCaixa[[#This Row],[Venda]]-fCaixa[[#This Row],[Custoprimario]],0)</f>
        <v>16.150000000000002</v>
      </c>
      <c r="U338" s="16">
        <f>IFERROR(fCaixa[[#This Row],[Lucroprimario]]/fCaixa[[#This Row],[Venda]],0)</f>
        <v>0.42500000000000004</v>
      </c>
      <c r="V33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13.850000000000001</v>
      </c>
      <c r="W338" s="16">
        <f>IFERROR(fCaixa[[#This Row],[Lucrofinal]]/fCaixa[[#This Row],[Venda]],0)</f>
        <v>0.36447368421052634</v>
      </c>
    </row>
    <row r="339" spans="1:23" ht="16.5" hidden="1" x14ac:dyDescent="0.25">
      <c r="A339" s="17">
        <f t="shared" si="5"/>
        <v>338</v>
      </c>
      <c r="B339" s="87">
        <v>43249</v>
      </c>
      <c r="C339" s="12" t="s">
        <v>24</v>
      </c>
      <c r="D339" s="12" t="s">
        <v>37</v>
      </c>
      <c r="E339" s="12" t="s">
        <v>35</v>
      </c>
      <c r="F339" s="12" t="s">
        <v>28</v>
      </c>
      <c r="G339" s="13">
        <v>4</v>
      </c>
      <c r="H339" s="13">
        <v>1</v>
      </c>
      <c r="I339" s="13">
        <v>11.5</v>
      </c>
      <c r="J339" s="14">
        <v>0</v>
      </c>
      <c r="K339" s="17">
        <f>IFERROR(ROUND((fCaixa[[#This Row],[Venda]]/fCaixa[[#This Row],[Preço/Un.]]),0),0)</f>
        <v>4</v>
      </c>
      <c r="L339" s="15">
        <f>IFERROR((SUBSTITUTE(RIGHT(fCaixa[[#This Row],[Descrição]],3),"G","")*1 *fCaixa[[#This Row],[Qtd/Pães]]) / 1000,0)</f>
        <v>0.2</v>
      </c>
      <c r="M339" s="13">
        <f>IFERROR((((SUBSTITUTE(RIGHT(fCaixa[[#This Row],[Descrição]],3),"G","")*1) * fCaixa[[#This Row],[QTD Perdida]])/1000) *fCaixa[[#This Row],[Custo/KG.]],0)</f>
        <v>0</v>
      </c>
      <c r="N339" s="15">
        <f>IF(fCaixa[[#This Row],[Lançamento]]="RECEITA",(fCaixa[[#This Row],[QTD Perdida]]* (SUBSTITUTE(RIGHT(fCaixa[[#This Row],[Descrição]],3),"G","")*1))/1000,0)</f>
        <v>0</v>
      </c>
      <c r="O339" s="15">
        <f>fCaixa[[#This Row],[Qtd/Kg]]+fCaixa[[#This Row],[Qtd/Kg Perdido]]</f>
        <v>0.2</v>
      </c>
      <c r="P339" s="13">
        <f>IF(fCaixa[[#This Row],[Lançamento]]="RECEITA",(fCaixa[[#This Row],[Qtd/Kg]]*fCaixa[[#This Row],[Custo/KG.]]),0)</f>
        <v>2.3000000000000003</v>
      </c>
      <c r="Q339" s="34">
        <f>fCaixa[[#This Row],[Custoprimario]]+fCaixa[[#This Row],[Total Perdido]]</f>
        <v>2.3000000000000003</v>
      </c>
      <c r="R339" s="16">
        <f>IFERROR(fCaixa[[#This Row],[Custoprimario]]/fCaixa[[#This Row],[Venda]],0)</f>
        <v>0.57500000000000007</v>
      </c>
      <c r="S339" s="16">
        <f>IFERROR(fCaixa[[#This Row],[Custofinal]]/fCaixa[[#This Row],[Venda]],0)</f>
        <v>0.57500000000000007</v>
      </c>
      <c r="T339" s="13">
        <f>IF(fCaixa[[#This Row],[Lançamento]]="RECEITA",fCaixa[[#This Row],[Venda]]-fCaixa[[#This Row],[Custoprimario]],0)</f>
        <v>1.6999999999999997</v>
      </c>
      <c r="U339" s="16">
        <f>IFERROR(fCaixa[[#This Row],[Lucroprimario]]/fCaixa[[#This Row],[Venda]],0)</f>
        <v>0.42499999999999993</v>
      </c>
      <c r="V33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1.6083999999999998</v>
      </c>
      <c r="W339" s="16">
        <f>IFERROR(fCaixa[[#This Row],[Lucrofinal]]/fCaixa[[#This Row],[Venda]],0)</f>
        <v>0.40209999999999996</v>
      </c>
    </row>
    <row r="340" spans="1:23" ht="16.5" hidden="1" x14ac:dyDescent="0.25">
      <c r="A340" s="17">
        <f t="shared" si="5"/>
        <v>339</v>
      </c>
      <c r="B340" s="87">
        <v>43249</v>
      </c>
      <c r="C340" s="12" t="s">
        <v>24</v>
      </c>
      <c r="D340" s="12" t="s">
        <v>25</v>
      </c>
      <c r="E340" s="12" t="s">
        <v>35</v>
      </c>
      <c r="F340" s="12" t="s">
        <v>28</v>
      </c>
      <c r="G340" s="13">
        <v>170</v>
      </c>
      <c r="H340" s="13">
        <v>1</v>
      </c>
      <c r="I340" s="13">
        <v>11.5</v>
      </c>
      <c r="J340" s="14">
        <v>4</v>
      </c>
      <c r="K340" s="17">
        <f>IFERROR(ROUND((fCaixa[[#This Row],[Venda]]/fCaixa[[#This Row],[Preço/Un.]]),0),0)</f>
        <v>170</v>
      </c>
      <c r="L340" s="15">
        <f>IFERROR((SUBSTITUTE(RIGHT(fCaixa[[#This Row],[Descrição]],3),"G","")*1 *fCaixa[[#This Row],[Qtd/Pães]]) / 1000,0)</f>
        <v>8.5</v>
      </c>
      <c r="M340" s="13">
        <f>IFERROR((((SUBSTITUTE(RIGHT(fCaixa[[#This Row],[Descrição]],3),"G","")*1) * fCaixa[[#This Row],[QTD Perdida]])/1000) *fCaixa[[#This Row],[Custo/KG.]],0)</f>
        <v>2.3000000000000003</v>
      </c>
      <c r="N340" s="15">
        <f>IF(fCaixa[[#This Row],[Lançamento]]="RECEITA",(fCaixa[[#This Row],[QTD Perdida]]* (SUBSTITUTE(RIGHT(fCaixa[[#This Row],[Descrição]],3),"G","")*1))/1000,0)</f>
        <v>0.2</v>
      </c>
      <c r="O340" s="15">
        <f>fCaixa[[#This Row],[Qtd/Kg]]+fCaixa[[#This Row],[Qtd/Kg Perdido]]</f>
        <v>8.6999999999999993</v>
      </c>
      <c r="P340" s="13">
        <f>IF(fCaixa[[#This Row],[Lançamento]]="RECEITA",(fCaixa[[#This Row],[Qtd/Kg]]*fCaixa[[#This Row],[Custo/KG.]]),0)</f>
        <v>97.75</v>
      </c>
      <c r="Q340" s="34">
        <f>fCaixa[[#This Row],[Custoprimario]]+fCaixa[[#This Row],[Total Perdido]]</f>
        <v>100.05</v>
      </c>
      <c r="R340" s="16">
        <f>IFERROR(fCaixa[[#This Row],[Custoprimario]]/fCaixa[[#This Row],[Venda]],0)</f>
        <v>0.57499999999999996</v>
      </c>
      <c r="S340" s="16">
        <f>IFERROR(fCaixa[[#This Row],[Custofinal]]/fCaixa[[#This Row],[Venda]],0)</f>
        <v>0.58852941176470586</v>
      </c>
      <c r="T340" s="13">
        <f>IF(fCaixa[[#This Row],[Lançamento]]="RECEITA",fCaixa[[#This Row],[Venda]]-fCaixa[[#This Row],[Custoprimario]],0)</f>
        <v>72.25</v>
      </c>
      <c r="U340" s="16">
        <f>IFERROR(fCaixa[[#This Row],[Lucroprimario]]/fCaixa[[#This Row],[Venda]],0)</f>
        <v>0.42499999999999999</v>
      </c>
      <c r="V34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69.95</v>
      </c>
      <c r="W340" s="16">
        <f>IFERROR(fCaixa[[#This Row],[Lucrofinal]]/fCaixa[[#This Row],[Venda]],0)</f>
        <v>0.41147058823529414</v>
      </c>
    </row>
    <row r="341" spans="1:23" ht="16.5" hidden="1" x14ac:dyDescent="0.25">
      <c r="A341" s="17">
        <f t="shared" si="5"/>
        <v>340</v>
      </c>
      <c r="B341" s="87">
        <v>43250</v>
      </c>
      <c r="C341" s="12" t="s">
        <v>24</v>
      </c>
      <c r="D341" s="12" t="s">
        <v>37</v>
      </c>
      <c r="E341" s="12" t="s">
        <v>35</v>
      </c>
      <c r="F341" s="12" t="s">
        <v>28</v>
      </c>
      <c r="G341" s="13">
        <v>7</v>
      </c>
      <c r="H341" s="13">
        <v>1</v>
      </c>
      <c r="I341" s="13">
        <v>11.5</v>
      </c>
      <c r="J341" s="14">
        <v>0</v>
      </c>
      <c r="K341" s="17">
        <f>IFERROR(ROUND((fCaixa[[#This Row],[Venda]]/fCaixa[[#This Row],[Preço/Un.]]),0),0)</f>
        <v>7</v>
      </c>
      <c r="L341" s="15">
        <f>IFERROR((SUBSTITUTE(RIGHT(fCaixa[[#This Row],[Descrição]],3),"G","")*1 *fCaixa[[#This Row],[Qtd/Pães]]) / 1000,0)</f>
        <v>0.35</v>
      </c>
      <c r="M341" s="13">
        <f>IFERROR((((SUBSTITUTE(RIGHT(fCaixa[[#This Row],[Descrição]],3),"G","")*1) * fCaixa[[#This Row],[QTD Perdida]])/1000) *fCaixa[[#This Row],[Custo/KG.]],0)</f>
        <v>0</v>
      </c>
      <c r="N341" s="15">
        <f>IF(fCaixa[[#This Row],[Lançamento]]="RECEITA",(fCaixa[[#This Row],[QTD Perdida]]* (SUBSTITUTE(RIGHT(fCaixa[[#This Row],[Descrição]],3),"G","")*1))/1000,0)</f>
        <v>0</v>
      </c>
      <c r="O341" s="15">
        <f>fCaixa[[#This Row],[Qtd/Kg]]+fCaixa[[#This Row],[Qtd/Kg Perdido]]</f>
        <v>0.35</v>
      </c>
      <c r="P341" s="13">
        <f>IF(fCaixa[[#This Row],[Lançamento]]="RECEITA",(fCaixa[[#This Row],[Qtd/Kg]]*fCaixa[[#This Row],[Custo/KG.]]),0)</f>
        <v>4.0249999999999995</v>
      </c>
      <c r="Q341" s="34">
        <f>fCaixa[[#This Row],[Custoprimario]]+fCaixa[[#This Row],[Total Perdido]]</f>
        <v>4.0249999999999995</v>
      </c>
      <c r="R341" s="16">
        <f>IFERROR(fCaixa[[#This Row],[Custoprimario]]/fCaixa[[#This Row],[Venda]],0)</f>
        <v>0.57499999999999996</v>
      </c>
      <c r="S341" s="16">
        <f>IFERROR(fCaixa[[#This Row],[Custofinal]]/fCaixa[[#This Row],[Venda]],0)</f>
        <v>0.57499999999999996</v>
      </c>
      <c r="T341" s="13">
        <f>IF(fCaixa[[#This Row],[Lançamento]]="RECEITA",fCaixa[[#This Row],[Venda]]-fCaixa[[#This Row],[Custoprimario]],0)</f>
        <v>2.9750000000000005</v>
      </c>
      <c r="U341" s="16">
        <f>IFERROR(fCaixa[[#This Row],[Lucroprimario]]/fCaixa[[#This Row],[Venda]],0)</f>
        <v>0.4250000000000001</v>
      </c>
      <c r="V34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2.8147000000000006</v>
      </c>
      <c r="W341" s="16">
        <f>IFERROR(fCaixa[[#This Row],[Lucrofinal]]/fCaixa[[#This Row],[Venda]],0)</f>
        <v>0.40210000000000007</v>
      </c>
    </row>
    <row r="342" spans="1:23" ht="16.5" hidden="1" x14ac:dyDescent="0.25">
      <c r="A342" s="17">
        <f t="shared" si="5"/>
        <v>341</v>
      </c>
      <c r="B342" s="87">
        <v>43250</v>
      </c>
      <c r="C342" s="12" t="s">
        <v>24</v>
      </c>
      <c r="D342" s="12" t="s">
        <v>25</v>
      </c>
      <c r="E342" s="12" t="s">
        <v>35</v>
      </c>
      <c r="F342" s="12" t="s">
        <v>28</v>
      </c>
      <c r="G342" s="13">
        <v>2</v>
      </c>
      <c r="H342" s="13">
        <v>1</v>
      </c>
      <c r="I342" s="13">
        <v>11.5</v>
      </c>
      <c r="J342" s="14">
        <v>0</v>
      </c>
      <c r="K342" s="17">
        <f>IFERROR(ROUND((fCaixa[[#This Row],[Venda]]/fCaixa[[#This Row],[Preço/Un.]]),0),0)</f>
        <v>2</v>
      </c>
      <c r="L342" s="15">
        <f>IFERROR((SUBSTITUTE(RIGHT(fCaixa[[#This Row],[Descrição]],3),"G","")*1 *fCaixa[[#This Row],[Qtd/Pães]]) / 1000,0)</f>
        <v>0.1</v>
      </c>
      <c r="M342" s="13">
        <f>IFERROR((((SUBSTITUTE(RIGHT(fCaixa[[#This Row],[Descrição]],3),"G","")*1) * fCaixa[[#This Row],[QTD Perdida]])/1000) *fCaixa[[#This Row],[Custo/KG.]],0)</f>
        <v>0</v>
      </c>
      <c r="N342" s="15">
        <f>IF(fCaixa[[#This Row],[Lançamento]]="RECEITA",(fCaixa[[#This Row],[QTD Perdida]]* (SUBSTITUTE(RIGHT(fCaixa[[#This Row],[Descrição]],3),"G","")*1))/1000,0)</f>
        <v>0</v>
      </c>
      <c r="O342" s="15">
        <f>fCaixa[[#This Row],[Qtd/Kg]]+fCaixa[[#This Row],[Qtd/Kg Perdido]]</f>
        <v>0.1</v>
      </c>
      <c r="P342" s="13">
        <f>IF(fCaixa[[#This Row],[Lançamento]]="RECEITA",(fCaixa[[#This Row],[Qtd/Kg]]*fCaixa[[#This Row],[Custo/KG.]]),0)</f>
        <v>1.1500000000000001</v>
      </c>
      <c r="Q342" s="34">
        <f>fCaixa[[#This Row],[Custoprimario]]+fCaixa[[#This Row],[Total Perdido]]</f>
        <v>1.1500000000000001</v>
      </c>
      <c r="R342" s="16">
        <f>IFERROR(fCaixa[[#This Row],[Custoprimario]]/fCaixa[[#This Row],[Venda]],0)</f>
        <v>0.57500000000000007</v>
      </c>
      <c r="S342" s="16">
        <f>IFERROR(fCaixa[[#This Row],[Custofinal]]/fCaixa[[#This Row],[Venda]],0)</f>
        <v>0.57500000000000007</v>
      </c>
      <c r="T342" s="13">
        <f>IF(fCaixa[[#This Row],[Lançamento]]="RECEITA",fCaixa[[#This Row],[Venda]]-fCaixa[[#This Row],[Custoprimario]],0)</f>
        <v>0.84999999999999987</v>
      </c>
      <c r="U342" s="16">
        <f>IFERROR(fCaixa[[#This Row],[Lucroprimario]]/fCaixa[[#This Row],[Venda]],0)</f>
        <v>0.42499999999999993</v>
      </c>
      <c r="V34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0.84999999999999987</v>
      </c>
      <c r="W342" s="16">
        <f>IFERROR(fCaixa[[#This Row],[Lucrofinal]]/fCaixa[[#This Row],[Venda]],0)</f>
        <v>0.42499999999999993</v>
      </c>
    </row>
    <row r="343" spans="1:23" ht="16.5" hidden="1" x14ac:dyDescent="0.25">
      <c r="A343" s="17">
        <f t="shared" si="5"/>
        <v>342</v>
      </c>
      <c r="B343" s="87">
        <v>43250</v>
      </c>
      <c r="C343" s="12" t="s">
        <v>24</v>
      </c>
      <c r="D343" s="12" t="s">
        <v>37</v>
      </c>
      <c r="E343" s="12" t="s">
        <v>78</v>
      </c>
      <c r="F343" s="12" t="s">
        <v>28</v>
      </c>
      <c r="G343" s="13">
        <v>2</v>
      </c>
      <c r="H343" s="13">
        <v>0.4</v>
      </c>
      <c r="I343" s="13">
        <v>11.5</v>
      </c>
      <c r="J343" s="14">
        <v>0</v>
      </c>
      <c r="K343" s="17">
        <f>IFERROR(ROUND((fCaixa[[#This Row],[Venda]]/fCaixa[[#This Row],[Preço/Un.]]),0),0)</f>
        <v>5</v>
      </c>
      <c r="L343" s="15">
        <f>IFERROR((SUBSTITUTE(RIGHT(fCaixa[[#This Row],[Descrição]],3),"G","")*1 *fCaixa[[#This Row],[Qtd/Pães]]) / 1000,0)</f>
        <v>0.1</v>
      </c>
      <c r="M343" s="13">
        <f>IFERROR((((SUBSTITUTE(RIGHT(fCaixa[[#This Row],[Descrição]],3),"G","")*1) * fCaixa[[#This Row],[QTD Perdida]])/1000) *fCaixa[[#This Row],[Custo/KG.]],0)</f>
        <v>0</v>
      </c>
      <c r="N343" s="15">
        <f>IF(fCaixa[[#This Row],[Lançamento]]="RECEITA",(fCaixa[[#This Row],[QTD Perdida]]* (SUBSTITUTE(RIGHT(fCaixa[[#This Row],[Descrição]],3),"G","")*1))/1000,0)</f>
        <v>0</v>
      </c>
      <c r="O343" s="15">
        <f>fCaixa[[#This Row],[Qtd/Kg]]+fCaixa[[#This Row],[Qtd/Kg Perdido]]</f>
        <v>0.1</v>
      </c>
      <c r="P343" s="13">
        <f>IF(fCaixa[[#This Row],[Lançamento]]="RECEITA",(fCaixa[[#This Row],[Qtd/Kg]]*fCaixa[[#This Row],[Custo/KG.]]),0)</f>
        <v>1.1500000000000001</v>
      </c>
      <c r="Q343" s="34">
        <f>fCaixa[[#This Row],[Custoprimario]]+fCaixa[[#This Row],[Total Perdido]]</f>
        <v>1.1500000000000001</v>
      </c>
      <c r="R343" s="16">
        <f>IFERROR(fCaixa[[#This Row],[Custoprimario]]/fCaixa[[#This Row],[Venda]],0)</f>
        <v>0.57500000000000007</v>
      </c>
      <c r="S343" s="16">
        <f>IFERROR(fCaixa[[#This Row],[Custofinal]]/fCaixa[[#This Row],[Venda]],0)</f>
        <v>0.57500000000000007</v>
      </c>
      <c r="T343" s="13">
        <f>IF(fCaixa[[#This Row],[Lançamento]]="RECEITA",fCaixa[[#This Row],[Venda]]-fCaixa[[#This Row],[Custoprimario]],0)</f>
        <v>0.84999999999999987</v>
      </c>
      <c r="U343" s="16">
        <f>IFERROR(fCaixa[[#This Row],[Lucroprimario]]/fCaixa[[#This Row],[Venda]],0)</f>
        <v>0.42499999999999993</v>
      </c>
      <c r="V34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0.80419999999999991</v>
      </c>
      <c r="W343" s="16">
        <f>IFERROR(fCaixa[[#This Row],[Lucrofinal]]/fCaixa[[#This Row],[Venda]],0)</f>
        <v>0.40209999999999996</v>
      </c>
    </row>
    <row r="344" spans="1:23" ht="16.5" hidden="1" x14ac:dyDescent="0.25">
      <c r="A344" s="17">
        <f t="shared" si="5"/>
        <v>343</v>
      </c>
      <c r="B344" s="87">
        <v>43250</v>
      </c>
      <c r="C344" s="12" t="s">
        <v>24</v>
      </c>
      <c r="D344" s="12" t="s">
        <v>25</v>
      </c>
      <c r="E344" s="12" t="s">
        <v>78</v>
      </c>
      <c r="F344" s="12" t="s">
        <v>28</v>
      </c>
      <c r="G344" s="13">
        <v>57.2</v>
      </c>
      <c r="H344" s="13">
        <v>0.4</v>
      </c>
      <c r="I344" s="13">
        <v>11.5</v>
      </c>
      <c r="J344" s="14">
        <v>2</v>
      </c>
      <c r="K344" s="17">
        <f>IFERROR(ROUND((fCaixa[[#This Row],[Venda]]/fCaixa[[#This Row],[Preço/Un.]]),0),0)</f>
        <v>143</v>
      </c>
      <c r="L344" s="15">
        <f>IFERROR((SUBSTITUTE(RIGHT(fCaixa[[#This Row],[Descrição]],3),"G","")*1 *fCaixa[[#This Row],[Qtd/Pães]]) / 1000,0)</f>
        <v>2.86</v>
      </c>
      <c r="M344" s="13">
        <f>IFERROR((((SUBSTITUTE(RIGHT(fCaixa[[#This Row],[Descrição]],3),"G","")*1) * fCaixa[[#This Row],[QTD Perdida]])/1000) *fCaixa[[#This Row],[Custo/KG.]],0)</f>
        <v>0.46</v>
      </c>
      <c r="N344" s="15">
        <f>IF(fCaixa[[#This Row],[Lançamento]]="RECEITA",(fCaixa[[#This Row],[QTD Perdida]]* (SUBSTITUTE(RIGHT(fCaixa[[#This Row],[Descrição]],3),"G","")*1))/1000,0)</f>
        <v>0.04</v>
      </c>
      <c r="O344" s="15">
        <f>fCaixa[[#This Row],[Qtd/Kg]]+fCaixa[[#This Row],[Qtd/Kg Perdido]]</f>
        <v>2.9</v>
      </c>
      <c r="P344" s="13">
        <f>IF(fCaixa[[#This Row],[Lançamento]]="RECEITA",(fCaixa[[#This Row],[Qtd/Kg]]*fCaixa[[#This Row],[Custo/KG.]]),0)</f>
        <v>32.89</v>
      </c>
      <c r="Q344" s="34">
        <f>fCaixa[[#This Row],[Custoprimario]]+fCaixa[[#This Row],[Total Perdido]]</f>
        <v>33.35</v>
      </c>
      <c r="R344" s="16">
        <f>IFERROR(fCaixa[[#This Row],[Custoprimario]]/fCaixa[[#This Row],[Venda]],0)</f>
        <v>0.57499999999999996</v>
      </c>
      <c r="S344" s="16">
        <f>IFERROR(fCaixa[[#This Row],[Custofinal]]/fCaixa[[#This Row],[Venda]],0)</f>
        <v>0.58304195804195802</v>
      </c>
      <c r="T344" s="13">
        <f>IF(fCaixa[[#This Row],[Lançamento]]="RECEITA",fCaixa[[#This Row],[Venda]]-fCaixa[[#This Row],[Custoprimario]],0)</f>
        <v>24.310000000000002</v>
      </c>
      <c r="U344" s="16">
        <f>IFERROR(fCaixa[[#This Row],[Lucroprimario]]/fCaixa[[#This Row],[Venda]],0)</f>
        <v>0.42500000000000004</v>
      </c>
      <c r="V34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23.85</v>
      </c>
      <c r="W344" s="16">
        <f>IFERROR(fCaixa[[#This Row],[Lucrofinal]]/fCaixa[[#This Row],[Venda]],0)</f>
        <v>0.41695804195804198</v>
      </c>
    </row>
    <row r="345" spans="1:23" ht="16.5" hidden="1" x14ac:dyDescent="0.25">
      <c r="A345" s="17">
        <f t="shared" si="5"/>
        <v>344</v>
      </c>
      <c r="B345" s="87">
        <v>43250</v>
      </c>
      <c r="C345" s="12" t="s">
        <v>24</v>
      </c>
      <c r="D345" s="12" t="s">
        <v>25</v>
      </c>
      <c r="E345" s="12" t="s">
        <v>35</v>
      </c>
      <c r="F345" s="12" t="s">
        <v>28</v>
      </c>
      <c r="G345" s="13">
        <v>18</v>
      </c>
      <c r="H345" s="13">
        <v>0.9</v>
      </c>
      <c r="I345" s="13">
        <v>11.5</v>
      </c>
      <c r="J345" s="14">
        <v>0</v>
      </c>
      <c r="K345" s="17">
        <f>IFERROR(ROUND((fCaixa[[#This Row],[Venda]]/fCaixa[[#This Row],[Preço/Un.]]),0),0)</f>
        <v>20</v>
      </c>
      <c r="L345" s="15">
        <f>IFERROR((SUBSTITUTE(RIGHT(fCaixa[[#This Row],[Descrição]],3),"G","")*1 *fCaixa[[#This Row],[Qtd/Pães]]) / 1000,0)</f>
        <v>1</v>
      </c>
      <c r="M345" s="13">
        <f>IFERROR((((SUBSTITUTE(RIGHT(fCaixa[[#This Row],[Descrição]],3),"G","")*1) * fCaixa[[#This Row],[QTD Perdida]])/1000) *fCaixa[[#This Row],[Custo/KG.]],0)</f>
        <v>0</v>
      </c>
      <c r="N345" s="15">
        <f>IF(fCaixa[[#This Row],[Lançamento]]="RECEITA",(fCaixa[[#This Row],[QTD Perdida]]* (SUBSTITUTE(RIGHT(fCaixa[[#This Row],[Descrição]],3),"G","")*1))/1000,0)</f>
        <v>0</v>
      </c>
      <c r="O345" s="15">
        <f>fCaixa[[#This Row],[Qtd/Kg]]+fCaixa[[#This Row],[Qtd/Kg Perdido]]</f>
        <v>1</v>
      </c>
      <c r="P345" s="13">
        <f>IF(fCaixa[[#This Row],[Lançamento]]="RECEITA",(fCaixa[[#This Row],[Qtd/Kg]]*fCaixa[[#This Row],[Custo/KG.]]),0)</f>
        <v>11.5</v>
      </c>
      <c r="Q345" s="34">
        <f>fCaixa[[#This Row],[Custoprimario]]+fCaixa[[#This Row],[Total Perdido]]</f>
        <v>11.5</v>
      </c>
      <c r="R345" s="16">
        <f>IFERROR(fCaixa[[#This Row],[Custoprimario]]/fCaixa[[#This Row],[Venda]],0)</f>
        <v>0.63888888888888884</v>
      </c>
      <c r="S345" s="16">
        <f>IFERROR(fCaixa[[#This Row],[Custofinal]]/fCaixa[[#This Row],[Venda]],0)</f>
        <v>0.63888888888888884</v>
      </c>
      <c r="T345" s="13">
        <f>IF(fCaixa[[#This Row],[Lançamento]]="RECEITA",fCaixa[[#This Row],[Venda]]-fCaixa[[#This Row],[Custoprimario]],0)</f>
        <v>6.5</v>
      </c>
      <c r="U345" s="16">
        <f>IFERROR(fCaixa[[#This Row],[Lucroprimario]]/fCaixa[[#This Row],[Venda]],0)</f>
        <v>0.3611111111111111</v>
      </c>
      <c r="V34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45" s="16">
        <f>IFERROR(fCaixa[[#This Row],[Lucrofinal]]/fCaixa[[#This Row],[Venda]],0)</f>
        <v>0.3611111111111111</v>
      </c>
    </row>
    <row r="346" spans="1:23" ht="16.5" hidden="1" x14ac:dyDescent="0.25">
      <c r="A346" s="17">
        <f t="shared" si="5"/>
        <v>345</v>
      </c>
      <c r="B346" s="87">
        <v>43250</v>
      </c>
      <c r="C346" s="12" t="s">
        <v>24</v>
      </c>
      <c r="D346" s="12" t="s">
        <v>25</v>
      </c>
      <c r="E346" s="12" t="s">
        <v>35</v>
      </c>
      <c r="F346" s="12" t="s">
        <v>28</v>
      </c>
      <c r="G346" s="13">
        <v>168</v>
      </c>
      <c r="H346" s="13">
        <v>1</v>
      </c>
      <c r="I346" s="13">
        <v>11.5</v>
      </c>
      <c r="J346" s="14">
        <v>3</v>
      </c>
      <c r="K346" s="17">
        <f>IFERROR(ROUND((fCaixa[[#This Row],[Venda]]/fCaixa[[#This Row],[Preço/Un.]]),0),0)</f>
        <v>168</v>
      </c>
      <c r="L346" s="15">
        <f>IFERROR((SUBSTITUTE(RIGHT(fCaixa[[#This Row],[Descrição]],3),"G","")*1 *fCaixa[[#This Row],[Qtd/Pães]]) / 1000,0)</f>
        <v>8.4</v>
      </c>
      <c r="M346" s="13">
        <f>IFERROR((((SUBSTITUTE(RIGHT(fCaixa[[#This Row],[Descrição]],3),"G","")*1) * fCaixa[[#This Row],[QTD Perdida]])/1000) *fCaixa[[#This Row],[Custo/KG.]],0)</f>
        <v>1.7249999999999999</v>
      </c>
      <c r="N346" s="15">
        <f>IF(fCaixa[[#This Row],[Lançamento]]="RECEITA",(fCaixa[[#This Row],[QTD Perdida]]* (SUBSTITUTE(RIGHT(fCaixa[[#This Row],[Descrição]],3),"G","")*1))/1000,0)</f>
        <v>0.15</v>
      </c>
      <c r="O346" s="15">
        <f>fCaixa[[#This Row],[Qtd/Kg]]+fCaixa[[#This Row],[Qtd/Kg Perdido]]</f>
        <v>8.5500000000000007</v>
      </c>
      <c r="P346" s="13">
        <f>IF(fCaixa[[#This Row],[Lançamento]]="RECEITA",(fCaixa[[#This Row],[Qtd/Kg]]*fCaixa[[#This Row],[Custo/KG.]]),0)</f>
        <v>96.600000000000009</v>
      </c>
      <c r="Q346" s="34">
        <f>fCaixa[[#This Row],[Custoprimario]]+fCaixa[[#This Row],[Total Perdido]]</f>
        <v>98.325000000000003</v>
      </c>
      <c r="R346" s="16">
        <f>IFERROR(fCaixa[[#This Row],[Custoprimario]]/fCaixa[[#This Row],[Venda]],0)</f>
        <v>0.57500000000000007</v>
      </c>
      <c r="S346" s="16">
        <f>IFERROR(fCaixa[[#This Row],[Custofinal]]/fCaixa[[#This Row],[Venda]],0)</f>
        <v>0.58526785714285712</v>
      </c>
      <c r="T346" s="13">
        <f>IF(fCaixa[[#This Row],[Lançamento]]="RECEITA",fCaixa[[#This Row],[Venda]]-fCaixa[[#This Row],[Custoprimario]],0)</f>
        <v>71.399999999999991</v>
      </c>
      <c r="U346" s="16">
        <f>IFERROR(fCaixa[[#This Row],[Lucroprimario]]/fCaixa[[#This Row],[Venda]],0)</f>
        <v>0.42499999999999993</v>
      </c>
      <c r="V34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69.674999999999997</v>
      </c>
      <c r="W346" s="16">
        <f>IFERROR(fCaixa[[#This Row],[Lucrofinal]]/fCaixa[[#This Row],[Venda]],0)</f>
        <v>0.41473214285714283</v>
      </c>
    </row>
    <row r="347" spans="1:23" ht="16.5" hidden="1" x14ac:dyDescent="0.25">
      <c r="A347" s="17">
        <f t="shared" si="5"/>
        <v>346</v>
      </c>
      <c r="B347" s="87">
        <v>43251</v>
      </c>
      <c r="C347" s="12" t="s">
        <v>29</v>
      </c>
      <c r="D347" s="12" t="s">
        <v>25</v>
      </c>
      <c r="E347" s="12" t="s">
        <v>30</v>
      </c>
      <c r="F347" s="12" t="s">
        <v>28</v>
      </c>
      <c r="G347" s="13">
        <v>100</v>
      </c>
      <c r="H347" s="13">
        <v>0</v>
      </c>
      <c r="I347" s="13">
        <v>0</v>
      </c>
      <c r="J347" s="14">
        <v>0</v>
      </c>
      <c r="K347" s="17">
        <f>IFERROR(ROUND((fCaixa[[#This Row],[Venda]]/fCaixa[[#This Row],[Preço/Un.]]),0),0)</f>
        <v>0</v>
      </c>
      <c r="L347" s="15">
        <f>IFERROR((SUBSTITUTE(RIGHT(fCaixa[[#This Row],[Descrição]],3),"G","")*1 *fCaixa[[#This Row],[Qtd/Pães]]) / 1000,0)</f>
        <v>0</v>
      </c>
      <c r="M347" s="13">
        <f>IFERROR((((SUBSTITUTE(RIGHT(fCaixa[[#This Row],[Descrição]],3),"G","")*1) * fCaixa[[#This Row],[QTD Perdida]])/1000) *fCaixa[[#This Row],[Custo/KG.]],0)</f>
        <v>0</v>
      </c>
      <c r="N347" s="15">
        <f>IF(fCaixa[[#This Row],[Lançamento]]="RECEITA",(fCaixa[[#This Row],[QTD Perdida]]* (SUBSTITUTE(RIGHT(fCaixa[[#This Row],[Descrição]],3),"G","")*1))/1000,0)</f>
        <v>0</v>
      </c>
      <c r="O347" s="15">
        <f>fCaixa[[#This Row],[Qtd/Kg]]+fCaixa[[#This Row],[Qtd/Kg Perdido]]</f>
        <v>0</v>
      </c>
      <c r="P347" s="13">
        <f>IF(fCaixa[[#This Row],[Lançamento]]="RECEITA",(fCaixa[[#This Row],[Qtd/Kg]]*fCaixa[[#This Row],[Custo/KG.]]),0)</f>
        <v>0</v>
      </c>
      <c r="Q347" s="34">
        <f>fCaixa[[#This Row],[Custoprimario]]+fCaixa[[#This Row],[Total Perdido]]</f>
        <v>0</v>
      </c>
      <c r="R347" s="16">
        <f>IFERROR(fCaixa[[#This Row],[Custoprimario]]/fCaixa[[#This Row],[Venda]],0)</f>
        <v>0</v>
      </c>
      <c r="S347" s="16">
        <f>IFERROR(fCaixa[[#This Row],[Custofinal]]/fCaixa[[#This Row],[Venda]],0)</f>
        <v>0</v>
      </c>
      <c r="T347" s="13">
        <f>IF(fCaixa[[#This Row],[Lançamento]]="RECEITA",fCaixa[[#This Row],[Venda]]-fCaixa[[#This Row],[Custoprimario]],0)</f>
        <v>0</v>
      </c>
      <c r="U347" s="16">
        <f>IFERROR(fCaixa[[#This Row],[Lucroprimario]]/fCaixa[[#This Row],[Venda]],0)</f>
        <v>0</v>
      </c>
      <c r="V34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47" s="16">
        <f>IFERROR(fCaixa[[#This Row],[Lucrofinal]]/fCaixa[[#This Row],[Venda]],0)</f>
        <v>0</v>
      </c>
    </row>
    <row r="348" spans="1:23" ht="16.5" hidden="1" x14ac:dyDescent="0.25">
      <c r="A348" s="17">
        <f t="shared" si="5"/>
        <v>347</v>
      </c>
      <c r="B348" s="87">
        <v>43252</v>
      </c>
      <c r="C348" s="12" t="s">
        <v>24</v>
      </c>
      <c r="D348" s="12" t="s">
        <v>37</v>
      </c>
      <c r="E348" s="12" t="s">
        <v>35</v>
      </c>
      <c r="F348" s="12" t="s">
        <v>28</v>
      </c>
      <c r="G348" s="13">
        <v>5</v>
      </c>
      <c r="H348" s="13">
        <v>1</v>
      </c>
      <c r="I348" s="13">
        <v>11.5</v>
      </c>
      <c r="J348" s="14">
        <v>0</v>
      </c>
      <c r="K348" s="17">
        <f>IFERROR(ROUND((fCaixa[[#This Row],[Venda]]/fCaixa[[#This Row],[Preço/Un.]]),0),0)</f>
        <v>5</v>
      </c>
      <c r="L348" s="15">
        <f>IFERROR((SUBSTITUTE(RIGHT(fCaixa[[#This Row],[Descrição]],3),"G","")*1 *fCaixa[[#This Row],[Qtd/Pães]]) / 1000,0)</f>
        <v>0.25</v>
      </c>
      <c r="M348" s="13">
        <f>IFERROR((((SUBSTITUTE(RIGHT(fCaixa[[#This Row],[Descrição]],3),"G","")*1) * fCaixa[[#This Row],[QTD Perdida]])/1000) *fCaixa[[#This Row],[Custo/KG.]],0)</f>
        <v>0</v>
      </c>
      <c r="N348" s="15">
        <f>IF(fCaixa[[#This Row],[Lançamento]]="RECEITA",(fCaixa[[#This Row],[QTD Perdida]]* (SUBSTITUTE(RIGHT(fCaixa[[#This Row],[Descrição]],3),"G","")*1))/1000,0)</f>
        <v>0</v>
      </c>
      <c r="O348" s="15">
        <f>fCaixa[[#This Row],[Qtd/Kg]]+fCaixa[[#This Row],[Qtd/Kg Perdido]]</f>
        <v>0.25</v>
      </c>
      <c r="P348" s="13">
        <f>IF(fCaixa[[#This Row],[Lançamento]]="RECEITA",(fCaixa[[#This Row],[Qtd/Kg]]*fCaixa[[#This Row],[Custo/KG.]]),0)</f>
        <v>2.875</v>
      </c>
      <c r="Q348" s="34">
        <f>fCaixa[[#This Row],[Custoprimario]]+fCaixa[[#This Row],[Total Perdido]]</f>
        <v>2.875</v>
      </c>
      <c r="R348" s="16">
        <f>IFERROR(fCaixa[[#This Row],[Custoprimario]]/fCaixa[[#This Row],[Venda]],0)</f>
        <v>0.57499999999999996</v>
      </c>
      <c r="S348" s="16">
        <f>IFERROR(fCaixa[[#This Row],[Custofinal]]/fCaixa[[#This Row],[Venda]],0)</f>
        <v>0.57499999999999996</v>
      </c>
      <c r="T348" s="13">
        <f>IF(fCaixa[[#This Row],[Lançamento]]="RECEITA",fCaixa[[#This Row],[Venda]]-fCaixa[[#This Row],[Custoprimario]],0)</f>
        <v>2.125</v>
      </c>
      <c r="U348" s="16">
        <f>IFERROR(fCaixa[[#This Row],[Lucroprimario]]/fCaixa[[#This Row],[Venda]],0)</f>
        <v>0.42499999999999999</v>
      </c>
      <c r="V34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348" s="16">
        <f>IFERROR(fCaixa[[#This Row],[Lucrofinal]]/fCaixa[[#This Row],[Venda]],0)</f>
        <v>0.40210000000000001</v>
      </c>
    </row>
    <row r="349" spans="1:23" ht="16.5" hidden="1" x14ac:dyDescent="0.25">
      <c r="A349" s="17">
        <f t="shared" si="5"/>
        <v>348</v>
      </c>
      <c r="B349" s="87">
        <v>43252</v>
      </c>
      <c r="C349" s="12" t="s">
        <v>24</v>
      </c>
      <c r="D349" s="12" t="s">
        <v>37</v>
      </c>
      <c r="E349" s="12" t="s">
        <v>35</v>
      </c>
      <c r="F349" s="12" t="s">
        <v>28</v>
      </c>
      <c r="G349" s="13">
        <v>4</v>
      </c>
      <c r="H349" s="13">
        <v>1</v>
      </c>
      <c r="I349" s="13">
        <v>11.5</v>
      </c>
      <c r="J349" s="14">
        <v>0</v>
      </c>
      <c r="K349" s="17">
        <f>IFERROR(ROUND((fCaixa[[#This Row],[Venda]]/fCaixa[[#This Row],[Preço/Un.]]),0),0)</f>
        <v>4</v>
      </c>
      <c r="L349" s="15">
        <f>IFERROR((SUBSTITUTE(RIGHT(fCaixa[[#This Row],[Descrição]],3),"G","")*1 *fCaixa[[#This Row],[Qtd/Pães]]) / 1000,0)</f>
        <v>0.2</v>
      </c>
      <c r="M349" s="13">
        <f>IFERROR((((SUBSTITUTE(RIGHT(fCaixa[[#This Row],[Descrição]],3),"G","")*1) * fCaixa[[#This Row],[QTD Perdida]])/1000) *fCaixa[[#This Row],[Custo/KG.]],0)</f>
        <v>0</v>
      </c>
      <c r="N349" s="15">
        <f>IF(fCaixa[[#This Row],[Lançamento]]="RECEITA",(fCaixa[[#This Row],[QTD Perdida]]* (SUBSTITUTE(RIGHT(fCaixa[[#This Row],[Descrição]],3),"G","")*1))/1000,0)</f>
        <v>0</v>
      </c>
      <c r="O349" s="15">
        <f>fCaixa[[#This Row],[Qtd/Kg]]+fCaixa[[#This Row],[Qtd/Kg Perdido]]</f>
        <v>0.2</v>
      </c>
      <c r="P349" s="13">
        <f>IF(fCaixa[[#This Row],[Lançamento]]="RECEITA",(fCaixa[[#This Row],[Qtd/Kg]]*fCaixa[[#This Row],[Custo/KG.]]),0)</f>
        <v>2.3000000000000003</v>
      </c>
      <c r="Q349" s="34">
        <f>fCaixa[[#This Row],[Custoprimario]]+fCaixa[[#This Row],[Total Perdido]]</f>
        <v>2.3000000000000003</v>
      </c>
      <c r="R349" s="16">
        <f>IFERROR(fCaixa[[#This Row],[Custoprimario]]/fCaixa[[#This Row],[Venda]],0)</f>
        <v>0.57500000000000007</v>
      </c>
      <c r="S349" s="16">
        <f>IFERROR(fCaixa[[#This Row],[Custofinal]]/fCaixa[[#This Row],[Venda]],0)</f>
        <v>0.57500000000000007</v>
      </c>
      <c r="T349" s="13">
        <f>IF(fCaixa[[#This Row],[Lançamento]]="RECEITA",fCaixa[[#This Row],[Venda]]-fCaixa[[#This Row],[Custoprimario]],0)</f>
        <v>1.6999999999999997</v>
      </c>
      <c r="U349" s="16">
        <f>IFERROR(fCaixa[[#This Row],[Lucroprimario]]/fCaixa[[#This Row],[Venda]],0)</f>
        <v>0.42499999999999993</v>
      </c>
      <c r="V34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1.6083999999999998</v>
      </c>
      <c r="W349" s="16">
        <f>IFERROR(fCaixa[[#This Row],[Lucrofinal]]/fCaixa[[#This Row],[Venda]],0)</f>
        <v>0.40209999999999996</v>
      </c>
    </row>
    <row r="350" spans="1:23" ht="16.5" hidden="1" x14ac:dyDescent="0.25">
      <c r="A350" s="17">
        <f t="shared" si="5"/>
        <v>349</v>
      </c>
      <c r="B350" s="87">
        <v>43252</v>
      </c>
      <c r="C350" s="12" t="s">
        <v>24</v>
      </c>
      <c r="D350" s="12" t="s">
        <v>25</v>
      </c>
      <c r="E350" s="12" t="s">
        <v>78</v>
      </c>
      <c r="F350" s="12" t="s">
        <v>28</v>
      </c>
      <c r="G350" s="13">
        <v>18.8</v>
      </c>
      <c r="H350" s="13">
        <v>0.4</v>
      </c>
      <c r="I350" s="13">
        <v>11.5</v>
      </c>
      <c r="J350" s="14">
        <v>3</v>
      </c>
      <c r="K350" s="17">
        <f>IFERROR(ROUND((fCaixa[[#This Row],[Venda]]/fCaixa[[#This Row],[Preço/Un.]]),0),0)</f>
        <v>47</v>
      </c>
      <c r="L350" s="15">
        <f>IFERROR((SUBSTITUTE(RIGHT(fCaixa[[#This Row],[Descrição]],3),"G","")*1 *fCaixa[[#This Row],[Qtd/Pães]]) / 1000,0)</f>
        <v>0.94</v>
      </c>
      <c r="M350" s="13">
        <f>IFERROR((((SUBSTITUTE(RIGHT(fCaixa[[#This Row],[Descrição]],3),"G","")*1) * fCaixa[[#This Row],[QTD Perdida]])/1000) *fCaixa[[#This Row],[Custo/KG.]],0)</f>
        <v>0.69</v>
      </c>
      <c r="N350" s="15">
        <f>IF(fCaixa[[#This Row],[Lançamento]]="RECEITA",(fCaixa[[#This Row],[QTD Perdida]]* (SUBSTITUTE(RIGHT(fCaixa[[#This Row],[Descrição]],3),"G","")*1))/1000,0)</f>
        <v>0.06</v>
      </c>
      <c r="O350" s="15">
        <f>fCaixa[[#This Row],[Qtd/Kg]]+fCaixa[[#This Row],[Qtd/Kg Perdido]]</f>
        <v>1</v>
      </c>
      <c r="P350" s="13">
        <f>IF(fCaixa[[#This Row],[Lançamento]]="RECEITA",(fCaixa[[#This Row],[Qtd/Kg]]*fCaixa[[#This Row],[Custo/KG.]]),0)</f>
        <v>10.809999999999999</v>
      </c>
      <c r="Q350" s="34">
        <f>fCaixa[[#This Row],[Custoprimario]]+fCaixa[[#This Row],[Total Perdido]]</f>
        <v>11.499999999999998</v>
      </c>
      <c r="R350" s="16">
        <f>IFERROR(fCaixa[[#This Row],[Custoprimario]]/fCaixa[[#This Row],[Venda]],0)</f>
        <v>0.57499999999999996</v>
      </c>
      <c r="S350" s="16">
        <f>IFERROR(fCaixa[[#This Row],[Custofinal]]/fCaixa[[#This Row],[Venda]],0)</f>
        <v>0.61170212765957432</v>
      </c>
      <c r="T350" s="13">
        <f>IF(fCaixa[[#This Row],[Lançamento]]="RECEITA",fCaixa[[#This Row],[Venda]]-fCaixa[[#This Row],[Custoprimario]],0)</f>
        <v>7.990000000000002</v>
      </c>
      <c r="U350" s="16">
        <f>IFERROR(fCaixa[[#This Row],[Lucroprimario]]/fCaixa[[#This Row],[Venda]],0)</f>
        <v>0.4250000000000001</v>
      </c>
      <c r="V35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7.3000000000000025</v>
      </c>
      <c r="W350" s="16">
        <f>IFERROR(fCaixa[[#This Row],[Lucrofinal]]/fCaixa[[#This Row],[Venda]],0)</f>
        <v>0.38829787234042568</v>
      </c>
    </row>
    <row r="351" spans="1:23" ht="16.5" hidden="1" x14ac:dyDescent="0.25">
      <c r="A351" s="17">
        <f t="shared" si="5"/>
        <v>350</v>
      </c>
      <c r="B351" s="87">
        <v>43252</v>
      </c>
      <c r="C351" s="12" t="s">
        <v>24</v>
      </c>
      <c r="D351" s="12" t="s">
        <v>25</v>
      </c>
      <c r="E351" s="12" t="s">
        <v>35</v>
      </c>
      <c r="F351" s="12" t="s">
        <v>28</v>
      </c>
      <c r="G351" s="13">
        <v>129</v>
      </c>
      <c r="H351" s="13">
        <v>1</v>
      </c>
      <c r="I351" s="13">
        <v>11.5</v>
      </c>
      <c r="J351" s="14">
        <v>3</v>
      </c>
      <c r="K351" s="17">
        <f>IFERROR(ROUND((fCaixa[[#This Row],[Venda]]/fCaixa[[#This Row],[Preço/Un.]]),0),0)</f>
        <v>129</v>
      </c>
      <c r="L351" s="15">
        <f>IFERROR((SUBSTITUTE(RIGHT(fCaixa[[#This Row],[Descrição]],3),"G","")*1 *fCaixa[[#This Row],[Qtd/Pães]]) / 1000,0)</f>
        <v>6.45</v>
      </c>
      <c r="M351" s="13">
        <f>IFERROR((((SUBSTITUTE(RIGHT(fCaixa[[#This Row],[Descrição]],3),"G","")*1) * fCaixa[[#This Row],[QTD Perdida]])/1000) *fCaixa[[#This Row],[Custo/KG.]],0)</f>
        <v>1.7249999999999999</v>
      </c>
      <c r="N351" s="15">
        <f>IF(fCaixa[[#This Row],[Lançamento]]="RECEITA",(fCaixa[[#This Row],[QTD Perdida]]* (SUBSTITUTE(RIGHT(fCaixa[[#This Row],[Descrição]],3),"G","")*1))/1000,0)</f>
        <v>0.15</v>
      </c>
      <c r="O351" s="15">
        <f>fCaixa[[#This Row],[Qtd/Kg]]+fCaixa[[#This Row],[Qtd/Kg Perdido]]</f>
        <v>6.6000000000000005</v>
      </c>
      <c r="P351" s="13">
        <f>IF(fCaixa[[#This Row],[Lançamento]]="RECEITA",(fCaixa[[#This Row],[Qtd/Kg]]*fCaixa[[#This Row],[Custo/KG.]]),0)</f>
        <v>74.174999999999997</v>
      </c>
      <c r="Q351" s="34">
        <f>fCaixa[[#This Row],[Custoprimario]]+fCaixa[[#This Row],[Total Perdido]]</f>
        <v>75.899999999999991</v>
      </c>
      <c r="R351" s="16">
        <f>IFERROR(fCaixa[[#This Row],[Custoprimario]]/fCaixa[[#This Row],[Venda]],0)</f>
        <v>0.57499999999999996</v>
      </c>
      <c r="S351" s="16">
        <f>IFERROR(fCaixa[[#This Row],[Custofinal]]/fCaixa[[#This Row],[Venda]],0)</f>
        <v>0.58837209302325577</v>
      </c>
      <c r="T351" s="13">
        <f>IF(fCaixa[[#This Row],[Lançamento]]="RECEITA",fCaixa[[#This Row],[Venda]]-fCaixa[[#This Row],[Custoprimario]],0)</f>
        <v>54.825000000000003</v>
      </c>
      <c r="U351" s="16">
        <f>IFERROR(fCaixa[[#This Row],[Lucroprimario]]/fCaixa[[#This Row],[Venda]],0)</f>
        <v>0.42500000000000004</v>
      </c>
      <c r="V35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53.100000000000009</v>
      </c>
      <c r="W351" s="16">
        <f>IFERROR(fCaixa[[#This Row],[Lucrofinal]]/fCaixa[[#This Row],[Venda]],0)</f>
        <v>0.41162790697674423</v>
      </c>
    </row>
    <row r="352" spans="1:23" ht="16.5" hidden="1" x14ac:dyDescent="0.25">
      <c r="A352" s="17">
        <f t="shared" si="5"/>
        <v>351</v>
      </c>
      <c r="B352" s="87">
        <v>43255</v>
      </c>
      <c r="C352" s="12" t="s">
        <v>24</v>
      </c>
      <c r="D352" s="12" t="s">
        <v>37</v>
      </c>
      <c r="E352" s="12" t="s">
        <v>35</v>
      </c>
      <c r="F352" s="12" t="s">
        <v>28</v>
      </c>
      <c r="G352" s="13">
        <v>14</v>
      </c>
      <c r="H352" s="13">
        <v>1</v>
      </c>
      <c r="I352" s="13">
        <v>11.5</v>
      </c>
      <c r="J352" s="14">
        <v>0</v>
      </c>
      <c r="K352" s="17">
        <f>IFERROR(ROUND((fCaixa[[#This Row],[Venda]]/fCaixa[[#This Row],[Preço/Un.]]),0),0)</f>
        <v>14</v>
      </c>
      <c r="L352" s="15">
        <f>IFERROR((SUBSTITUTE(RIGHT(fCaixa[[#This Row],[Descrição]],3),"G","")*1 *fCaixa[[#This Row],[Qtd/Pães]]) / 1000,0)</f>
        <v>0.7</v>
      </c>
      <c r="M352" s="13">
        <f>IFERROR((((SUBSTITUTE(RIGHT(fCaixa[[#This Row],[Descrição]],3),"G","")*1) * fCaixa[[#This Row],[QTD Perdida]])/1000) *fCaixa[[#This Row],[Custo/KG.]],0)</f>
        <v>0</v>
      </c>
      <c r="N352" s="15">
        <f>IF(fCaixa[[#This Row],[Lançamento]]="RECEITA",(fCaixa[[#This Row],[QTD Perdida]]* (SUBSTITUTE(RIGHT(fCaixa[[#This Row],[Descrição]],3),"G","")*1))/1000,0)</f>
        <v>0</v>
      </c>
      <c r="O352" s="15">
        <f>fCaixa[[#This Row],[Qtd/Kg]]+fCaixa[[#This Row],[Qtd/Kg Perdido]]</f>
        <v>0.7</v>
      </c>
      <c r="P352" s="13">
        <f>IF(fCaixa[[#This Row],[Lançamento]]="RECEITA",(fCaixa[[#This Row],[Qtd/Kg]]*fCaixa[[#This Row],[Custo/KG.]]),0)</f>
        <v>8.0499999999999989</v>
      </c>
      <c r="Q352" s="34">
        <f>fCaixa[[#This Row],[Custoprimario]]+fCaixa[[#This Row],[Total Perdido]]</f>
        <v>8.0499999999999989</v>
      </c>
      <c r="R352" s="16">
        <f>IFERROR(fCaixa[[#This Row],[Custoprimario]]/fCaixa[[#This Row],[Venda]],0)</f>
        <v>0.57499999999999996</v>
      </c>
      <c r="S352" s="16">
        <f>IFERROR(fCaixa[[#This Row],[Custofinal]]/fCaixa[[#This Row],[Venda]],0)</f>
        <v>0.57499999999999996</v>
      </c>
      <c r="T352" s="13">
        <f>IF(fCaixa[[#This Row],[Lançamento]]="RECEITA",fCaixa[[#This Row],[Venda]]-fCaixa[[#This Row],[Custoprimario]],0)</f>
        <v>5.9500000000000011</v>
      </c>
      <c r="U352" s="16">
        <f>IFERROR(fCaixa[[#This Row],[Lucroprimario]]/fCaixa[[#This Row],[Venda]],0)</f>
        <v>0.4250000000000001</v>
      </c>
      <c r="V35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5.6294000000000013</v>
      </c>
      <c r="W352" s="16">
        <f>IFERROR(fCaixa[[#This Row],[Lucrofinal]]/fCaixa[[#This Row],[Venda]],0)</f>
        <v>0.40210000000000007</v>
      </c>
    </row>
    <row r="353" spans="1:23" ht="16.5" hidden="1" x14ac:dyDescent="0.25">
      <c r="A353" s="17">
        <f t="shared" si="5"/>
        <v>352</v>
      </c>
      <c r="B353" s="87">
        <v>43255</v>
      </c>
      <c r="C353" s="12" t="s">
        <v>24</v>
      </c>
      <c r="D353" s="12" t="s">
        <v>25</v>
      </c>
      <c r="E353" s="12" t="s">
        <v>78</v>
      </c>
      <c r="F353" s="12" t="s">
        <v>28</v>
      </c>
      <c r="G353" s="13">
        <v>38.4</v>
      </c>
      <c r="H353" s="13">
        <v>0.4</v>
      </c>
      <c r="I353" s="13">
        <v>11.5</v>
      </c>
      <c r="J353" s="14">
        <v>4</v>
      </c>
      <c r="K353" s="17">
        <f>IFERROR(ROUND((fCaixa[[#This Row],[Venda]]/fCaixa[[#This Row],[Preço/Un.]]),0),0)</f>
        <v>96</v>
      </c>
      <c r="L353" s="15">
        <f>IFERROR((SUBSTITUTE(RIGHT(fCaixa[[#This Row],[Descrição]],3),"G","")*1 *fCaixa[[#This Row],[Qtd/Pães]]) / 1000,0)</f>
        <v>1.92</v>
      </c>
      <c r="M353" s="13">
        <f>IFERROR((((SUBSTITUTE(RIGHT(fCaixa[[#This Row],[Descrição]],3),"G","")*1) * fCaixa[[#This Row],[QTD Perdida]])/1000) *fCaixa[[#This Row],[Custo/KG.]],0)</f>
        <v>0.92</v>
      </c>
      <c r="N353" s="15">
        <f>IF(fCaixa[[#This Row],[Lançamento]]="RECEITA",(fCaixa[[#This Row],[QTD Perdida]]* (SUBSTITUTE(RIGHT(fCaixa[[#This Row],[Descrição]],3),"G","")*1))/1000,0)</f>
        <v>0.08</v>
      </c>
      <c r="O353" s="15">
        <f>fCaixa[[#This Row],[Qtd/Kg]]+fCaixa[[#This Row],[Qtd/Kg Perdido]]</f>
        <v>2</v>
      </c>
      <c r="P353" s="13">
        <f>IF(fCaixa[[#This Row],[Lançamento]]="RECEITA",(fCaixa[[#This Row],[Qtd/Kg]]*fCaixa[[#This Row],[Custo/KG.]]),0)</f>
        <v>22.08</v>
      </c>
      <c r="Q353" s="34">
        <f>fCaixa[[#This Row],[Custoprimario]]+fCaixa[[#This Row],[Total Perdido]]</f>
        <v>23</v>
      </c>
      <c r="R353" s="16">
        <f>IFERROR(fCaixa[[#This Row],[Custoprimario]]/fCaixa[[#This Row],[Venda]],0)</f>
        <v>0.57499999999999996</v>
      </c>
      <c r="S353" s="16">
        <f>IFERROR(fCaixa[[#This Row],[Custofinal]]/fCaixa[[#This Row],[Venda]],0)</f>
        <v>0.59895833333333337</v>
      </c>
      <c r="T353" s="13">
        <f>IF(fCaixa[[#This Row],[Lançamento]]="RECEITA",fCaixa[[#This Row],[Venda]]-fCaixa[[#This Row],[Custoprimario]],0)</f>
        <v>16.32</v>
      </c>
      <c r="U353" s="16">
        <f>IFERROR(fCaixa[[#This Row],[Lucroprimario]]/fCaixa[[#This Row],[Venda]],0)</f>
        <v>0.42500000000000004</v>
      </c>
      <c r="V35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15.399999999999999</v>
      </c>
      <c r="W353" s="16">
        <f>IFERROR(fCaixa[[#This Row],[Lucrofinal]]/fCaixa[[#This Row],[Venda]],0)</f>
        <v>0.40104166666666663</v>
      </c>
    </row>
    <row r="354" spans="1:23" ht="16.5" hidden="1" x14ac:dyDescent="0.25">
      <c r="A354" s="17">
        <f t="shared" si="5"/>
        <v>353</v>
      </c>
      <c r="B354" s="87">
        <v>43255</v>
      </c>
      <c r="C354" s="12" t="s">
        <v>24</v>
      </c>
      <c r="D354" s="12" t="s">
        <v>25</v>
      </c>
      <c r="E354" s="12" t="s">
        <v>35</v>
      </c>
      <c r="F354" s="12" t="s">
        <v>28</v>
      </c>
      <c r="G354" s="13">
        <v>144</v>
      </c>
      <c r="H354" s="13">
        <v>1</v>
      </c>
      <c r="I354" s="13">
        <v>11.5</v>
      </c>
      <c r="J354" s="14">
        <v>2</v>
      </c>
      <c r="K354" s="17">
        <f>IFERROR(ROUND((fCaixa[[#This Row],[Venda]]/fCaixa[[#This Row],[Preço/Un.]]),0),0)</f>
        <v>144</v>
      </c>
      <c r="L354" s="15">
        <f>IFERROR((SUBSTITUTE(RIGHT(fCaixa[[#This Row],[Descrição]],3),"G","")*1 *fCaixa[[#This Row],[Qtd/Pães]]) / 1000,0)</f>
        <v>7.2</v>
      </c>
      <c r="M354" s="13">
        <f>IFERROR((((SUBSTITUTE(RIGHT(fCaixa[[#This Row],[Descrição]],3),"G","")*1) * fCaixa[[#This Row],[QTD Perdida]])/1000) *fCaixa[[#This Row],[Custo/KG.]],0)</f>
        <v>1.1500000000000001</v>
      </c>
      <c r="N354" s="15">
        <f>IF(fCaixa[[#This Row],[Lançamento]]="RECEITA",(fCaixa[[#This Row],[QTD Perdida]]* (SUBSTITUTE(RIGHT(fCaixa[[#This Row],[Descrição]],3),"G","")*1))/1000,0)</f>
        <v>0.1</v>
      </c>
      <c r="O354" s="15">
        <f>fCaixa[[#This Row],[Qtd/Kg]]+fCaixa[[#This Row],[Qtd/Kg Perdido]]</f>
        <v>7.3</v>
      </c>
      <c r="P354" s="13">
        <f>IF(fCaixa[[#This Row],[Lançamento]]="RECEITA",(fCaixa[[#This Row],[Qtd/Kg]]*fCaixa[[#This Row],[Custo/KG.]]),0)</f>
        <v>82.8</v>
      </c>
      <c r="Q354" s="34">
        <f>fCaixa[[#This Row],[Custoprimario]]+fCaixa[[#This Row],[Total Perdido]]</f>
        <v>83.95</v>
      </c>
      <c r="R354" s="16">
        <f>IFERROR(fCaixa[[#This Row],[Custoprimario]]/fCaixa[[#This Row],[Venda]],0)</f>
        <v>0.57499999999999996</v>
      </c>
      <c r="S354" s="16">
        <f>IFERROR(fCaixa[[#This Row],[Custofinal]]/fCaixa[[#This Row],[Venda]],0)</f>
        <v>0.58298611111111109</v>
      </c>
      <c r="T354" s="13">
        <f>IF(fCaixa[[#This Row],[Lançamento]]="RECEITA",fCaixa[[#This Row],[Venda]]-fCaixa[[#This Row],[Custoprimario]],0)</f>
        <v>61.2</v>
      </c>
      <c r="U354" s="16">
        <f>IFERROR(fCaixa[[#This Row],[Lucroprimario]]/fCaixa[[#This Row],[Venda]],0)</f>
        <v>0.42500000000000004</v>
      </c>
      <c r="V35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60.05</v>
      </c>
      <c r="W354" s="16">
        <f>IFERROR(fCaixa[[#This Row],[Lucrofinal]]/fCaixa[[#This Row],[Venda]],0)</f>
        <v>0.41701388888888885</v>
      </c>
    </row>
    <row r="355" spans="1:23" ht="16.5" hidden="1" x14ac:dyDescent="0.25">
      <c r="A355" s="17">
        <f t="shared" si="5"/>
        <v>354</v>
      </c>
      <c r="B355" s="87">
        <v>43256</v>
      </c>
      <c r="C355" s="12" t="s">
        <v>24</v>
      </c>
      <c r="D355" s="12" t="s">
        <v>37</v>
      </c>
      <c r="E355" s="12" t="s">
        <v>35</v>
      </c>
      <c r="F355" s="12" t="s">
        <v>28</v>
      </c>
      <c r="G355" s="13">
        <v>5</v>
      </c>
      <c r="H355" s="13">
        <v>1</v>
      </c>
      <c r="I355" s="13">
        <v>11.5</v>
      </c>
      <c r="J355" s="14">
        <v>0</v>
      </c>
      <c r="K355" s="17">
        <f>IFERROR(ROUND((fCaixa[[#This Row],[Venda]]/fCaixa[[#This Row],[Preço/Un.]]),0),0)</f>
        <v>5</v>
      </c>
      <c r="L355" s="15">
        <f>IFERROR((SUBSTITUTE(RIGHT(fCaixa[[#This Row],[Descrição]],3),"G","")*1 *fCaixa[[#This Row],[Qtd/Pães]]) / 1000,0)</f>
        <v>0.25</v>
      </c>
      <c r="M355" s="13">
        <f>IFERROR((((SUBSTITUTE(RIGHT(fCaixa[[#This Row],[Descrição]],3),"G","")*1) * fCaixa[[#This Row],[QTD Perdida]])/1000) *fCaixa[[#This Row],[Custo/KG.]],0)</f>
        <v>0</v>
      </c>
      <c r="N355" s="15">
        <f>IF(fCaixa[[#This Row],[Lançamento]]="RECEITA",(fCaixa[[#This Row],[QTD Perdida]]* (SUBSTITUTE(RIGHT(fCaixa[[#This Row],[Descrição]],3),"G","")*1))/1000,0)</f>
        <v>0</v>
      </c>
      <c r="O355" s="15">
        <f>fCaixa[[#This Row],[Qtd/Kg]]+fCaixa[[#This Row],[Qtd/Kg Perdido]]</f>
        <v>0.25</v>
      </c>
      <c r="P355" s="13">
        <f>IF(fCaixa[[#This Row],[Lançamento]]="RECEITA",(fCaixa[[#This Row],[Qtd/Kg]]*fCaixa[[#This Row],[Custo/KG.]]),0)</f>
        <v>2.875</v>
      </c>
      <c r="Q355" s="34">
        <f>fCaixa[[#This Row],[Custoprimario]]+fCaixa[[#This Row],[Total Perdido]]</f>
        <v>2.875</v>
      </c>
      <c r="R355" s="16">
        <f>IFERROR(fCaixa[[#This Row],[Custoprimario]]/fCaixa[[#This Row],[Venda]],0)</f>
        <v>0.57499999999999996</v>
      </c>
      <c r="S355" s="16">
        <f>IFERROR(fCaixa[[#This Row],[Custofinal]]/fCaixa[[#This Row],[Venda]],0)</f>
        <v>0.57499999999999996</v>
      </c>
      <c r="T355" s="13">
        <f>IF(fCaixa[[#This Row],[Lançamento]]="RECEITA",fCaixa[[#This Row],[Venda]]-fCaixa[[#This Row],[Custoprimario]],0)</f>
        <v>2.125</v>
      </c>
      <c r="U355" s="16">
        <f>IFERROR(fCaixa[[#This Row],[Lucroprimario]]/fCaixa[[#This Row],[Venda]],0)</f>
        <v>0.42499999999999999</v>
      </c>
      <c r="V35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355" s="16">
        <f>IFERROR(fCaixa[[#This Row],[Lucrofinal]]/fCaixa[[#This Row],[Venda]],0)</f>
        <v>0.40210000000000001</v>
      </c>
    </row>
    <row r="356" spans="1:23" ht="16.5" hidden="1" x14ac:dyDescent="0.25">
      <c r="A356" s="17">
        <f t="shared" si="5"/>
        <v>355</v>
      </c>
      <c r="B356" s="87">
        <v>43256</v>
      </c>
      <c r="C356" s="12" t="s">
        <v>24</v>
      </c>
      <c r="D356" s="12" t="s">
        <v>25</v>
      </c>
      <c r="E356" s="12" t="s">
        <v>78</v>
      </c>
      <c r="F356" s="12" t="s">
        <v>28</v>
      </c>
      <c r="G356" s="13">
        <v>18</v>
      </c>
      <c r="H356" s="13">
        <v>0.36</v>
      </c>
      <c r="I356" s="13">
        <v>11.5</v>
      </c>
      <c r="J356" s="14">
        <v>0</v>
      </c>
      <c r="K356" s="17">
        <f>IFERROR(ROUND((fCaixa[[#This Row],[Venda]]/fCaixa[[#This Row],[Preço/Un.]]),0),0)</f>
        <v>50</v>
      </c>
      <c r="L356" s="15">
        <f>IFERROR((SUBSTITUTE(RIGHT(fCaixa[[#This Row],[Descrição]],3),"G","")*1 *fCaixa[[#This Row],[Qtd/Pães]]) / 1000,0)</f>
        <v>1</v>
      </c>
      <c r="M356" s="13">
        <f>IFERROR((((SUBSTITUTE(RIGHT(fCaixa[[#This Row],[Descrição]],3),"G","")*1) * fCaixa[[#This Row],[QTD Perdida]])/1000) *fCaixa[[#This Row],[Custo/KG.]],0)</f>
        <v>0</v>
      </c>
      <c r="N356" s="15">
        <f>IF(fCaixa[[#This Row],[Lançamento]]="RECEITA",(fCaixa[[#This Row],[QTD Perdida]]* (SUBSTITUTE(RIGHT(fCaixa[[#This Row],[Descrição]],3),"G","")*1))/1000,0)</f>
        <v>0</v>
      </c>
      <c r="O356" s="15">
        <f>fCaixa[[#This Row],[Qtd/Kg]]+fCaixa[[#This Row],[Qtd/Kg Perdido]]</f>
        <v>1</v>
      </c>
      <c r="P356" s="13">
        <f>IF(fCaixa[[#This Row],[Lançamento]]="RECEITA",(fCaixa[[#This Row],[Qtd/Kg]]*fCaixa[[#This Row],[Custo/KG.]]),0)</f>
        <v>11.5</v>
      </c>
      <c r="Q356" s="34">
        <f>fCaixa[[#This Row],[Custoprimario]]+fCaixa[[#This Row],[Total Perdido]]</f>
        <v>11.5</v>
      </c>
      <c r="R356" s="16">
        <f>IFERROR(fCaixa[[#This Row],[Custoprimario]]/fCaixa[[#This Row],[Venda]],0)</f>
        <v>0.63888888888888884</v>
      </c>
      <c r="S356" s="16">
        <f>IFERROR(fCaixa[[#This Row],[Custofinal]]/fCaixa[[#This Row],[Venda]],0)</f>
        <v>0.63888888888888884</v>
      </c>
      <c r="T356" s="13">
        <f>IF(fCaixa[[#This Row],[Lançamento]]="RECEITA",fCaixa[[#This Row],[Venda]]-fCaixa[[#This Row],[Custoprimario]],0)</f>
        <v>6.5</v>
      </c>
      <c r="U356" s="16">
        <f>IFERROR(fCaixa[[#This Row],[Lucroprimario]]/fCaixa[[#This Row],[Venda]],0)</f>
        <v>0.3611111111111111</v>
      </c>
      <c r="V35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56" s="16">
        <f>IFERROR(fCaixa[[#This Row],[Lucrofinal]]/fCaixa[[#This Row],[Venda]],0)</f>
        <v>0.3611111111111111</v>
      </c>
    </row>
    <row r="357" spans="1:23" ht="16.5" hidden="1" x14ac:dyDescent="0.25">
      <c r="A357" s="17">
        <f t="shared" si="5"/>
        <v>356</v>
      </c>
      <c r="B357" s="87">
        <v>43256</v>
      </c>
      <c r="C357" s="12" t="s">
        <v>24</v>
      </c>
      <c r="D357" s="12" t="s">
        <v>25</v>
      </c>
      <c r="E357" s="12" t="s">
        <v>78</v>
      </c>
      <c r="F357" s="12" t="s">
        <v>28</v>
      </c>
      <c r="G357" s="13">
        <v>39.200000000000003</v>
      </c>
      <c r="H357" s="13">
        <v>0.4</v>
      </c>
      <c r="I357" s="13">
        <v>11.5</v>
      </c>
      <c r="J357" s="14">
        <v>2</v>
      </c>
      <c r="K357" s="17">
        <f>IFERROR(ROUND((fCaixa[[#This Row],[Venda]]/fCaixa[[#This Row],[Preço/Un.]]),0),0)</f>
        <v>98</v>
      </c>
      <c r="L357" s="15">
        <f>IFERROR((SUBSTITUTE(RIGHT(fCaixa[[#This Row],[Descrição]],3),"G","")*1 *fCaixa[[#This Row],[Qtd/Pães]]) / 1000,0)</f>
        <v>1.96</v>
      </c>
      <c r="M357" s="13">
        <f>IFERROR((((SUBSTITUTE(RIGHT(fCaixa[[#This Row],[Descrição]],3),"G","")*1) * fCaixa[[#This Row],[QTD Perdida]])/1000) *fCaixa[[#This Row],[Custo/KG.]],0)</f>
        <v>0.46</v>
      </c>
      <c r="N357" s="15">
        <f>IF(fCaixa[[#This Row],[Lançamento]]="RECEITA",(fCaixa[[#This Row],[QTD Perdida]]* (SUBSTITUTE(RIGHT(fCaixa[[#This Row],[Descrição]],3),"G","")*1))/1000,0)</f>
        <v>0.04</v>
      </c>
      <c r="O357" s="15">
        <f>fCaixa[[#This Row],[Qtd/Kg]]+fCaixa[[#This Row],[Qtd/Kg Perdido]]</f>
        <v>2</v>
      </c>
      <c r="P357" s="13">
        <f>IF(fCaixa[[#This Row],[Lançamento]]="RECEITA",(fCaixa[[#This Row],[Qtd/Kg]]*fCaixa[[#This Row],[Custo/KG.]]),0)</f>
        <v>22.54</v>
      </c>
      <c r="Q357" s="34">
        <f>fCaixa[[#This Row],[Custoprimario]]+fCaixa[[#This Row],[Total Perdido]]</f>
        <v>23</v>
      </c>
      <c r="R357" s="16">
        <f>IFERROR(fCaixa[[#This Row],[Custoprimario]]/fCaixa[[#This Row],[Venda]],0)</f>
        <v>0.57499999999999996</v>
      </c>
      <c r="S357" s="16">
        <f>IFERROR(fCaixa[[#This Row],[Custofinal]]/fCaixa[[#This Row],[Venda]],0)</f>
        <v>0.58673469387755095</v>
      </c>
      <c r="T357" s="13">
        <f>IF(fCaixa[[#This Row],[Lançamento]]="RECEITA",fCaixa[[#This Row],[Venda]]-fCaixa[[#This Row],[Custoprimario]],0)</f>
        <v>16.660000000000004</v>
      </c>
      <c r="U357" s="16">
        <f>IFERROR(fCaixa[[#This Row],[Lucroprimario]]/fCaixa[[#This Row],[Venda]],0)</f>
        <v>0.42500000000000004</v>
      </c>
      <c r="V35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16.200000000000003</v>
      </c>
      <c r="W357" s="16">
        <f>IFERROR(fCaixa[[#This Row],[Lucrofinal]]/fCaixa[[#This Row],[Venda]],0)</f>
        <v>0.41326530612244905</v>
      </c>
    </row>
    <row r="358" spans="1:23" ht="16.5" hidden="1" x14ac:dyDescent="0.25">
      <c r="A358" s="17">
        <f t="shared" si="5"/>
        <v>357</v>
      </c>
      <c r="B358" s="87">
        <v>43256</v>
      </c>
      <c r="C358" s="12" t="s">
        <v>24</v>
      </c>
      <c r="D358" s="12" t="s">
        <v>25</v>
      </c>
      <c r="E358" s="12" t="s">
        <v>35</v>
      </c>
      <c r="F358" s="12" t="s">
        <v>28</v>
      </c>
      <c r="G358" s="13">
        <v>189</v>
      </c>
      <c r="H358" s="13">
        <v>1</v>
      </c>
      <c r="I358" s="13">
        <v>11.5</v>
      </c>
      <c r="J358" s="14">
        <v>6</v>
      </c>
      <c r="K358" s="17">
        <f>IFERROR(ROUND((fCaixa[[#This Row],[Venda]]/fCaixa[[#This Row],[Preço/Un.]]),0),0)</f>
        <v>189</v>
      </c>
      <c r="L358" s="15">
        <f>IFERROR((SUBSTITUTE(RIGHT(fCaixa[[#This Row],[Descrição]],3),"G","")*1 *fCaixa[[#This Row],[Qtd/Pães]]) / 1000,0)</f>
        <v>9.4499999999999993</v>
      </c>
      <c r="M358" s="13">
        <f>IFERROR((((SUBSTITUTE(RIGHT(fCaixa[[#This Row],[Descrição]],3),"G","")*1) * fCaixa[[#This Row],[QTD Perdida]])/1000) *fCaixa[[#This Row],[Custo/KG.]],0)</f>
        <v>3.4499999999999997</v>
      </c>
      <c r="N358" s="15">
        <f>IF(fCaixa[[#This Row],[Lançamento]]="RECEITA",(fCaixa[[#This Row],[QTD Perdida]]* (SUBSTITUTE(RIGHT(fCaixa[[#This Row],[Descrição]],3),"G","")*1))/1000,0)</f>
        <v>0.3</v>
      </c>
      <c r="O358" s="15">
        <f>fCaixa[[#This Row],[Qtd/Kg]]+fCaixa[[#This Row],[Qtd/Kg Perdido]]</f>
        <v>9.75</v>
      </c>
      <c r="P358" s="13">
        <f>IF(fCaixa[[#This Row],[Lançamento]]="RECEITA",(fCaixa[[#This Row],[Qtd/Kg]]*fCaixa[[#This Row],[Custo/KG.]]),0)</f>
        <v>108.675</v>
      </c>
      <c r="Q358" s="34">
        <f>fCaixa[[#This Row],[Custoprimario]]+fCaixa[[#This Row],[Total Perdido]]</f>
        <v>112.125</v>
      </c>
      <c r="R358" s="16">
        <f>IFERROR(fCaixa[[#This Row],[Custoprimario]]/fCaixa[[#This Row],[Venda]],0)</f>
        <v>0.57499999999999996</v>
      </c>
      <c r="S358" s="16">
        <f>IFERROR(fCaixa[[#This Row],[Custofinal]]/fCaixa[[#This Row],[Venda]],0)</f>
        <v>0.59325396825396826</v>
      </c>
      <c r="T358" s="13">
        <f>IF(fCaixa[[#This Row],[Lançamento]]="RECEITA",fCaixa[[#This Row],[Venda]]-fCaixa[[#This Row],[Custoprimario]],0)</f>
        <v>80.325000000000003</v>
      </c>
      <c r="U358" s="16">
        <f>IFERROR(fCaixa[[#This Row],[Lucroprimario]]/fCaixa[[#This Row],[Venda]],0)</f>
        <v>0.42499999999999999</v>
      </c>
      <c r="V35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76.875</v>
      </c>
      <c r="W358" s="16">
        <f>IFERROR(fCaixa[[#This Row],[Lucrofinal]]/fCaixa[[#This Row],[Venda]],0)</f>
        <v>0.40674603174603174</v>
      </c>
    </row>
    <row r="359" spans="1:23" ht="16.5" hidden="1" x14ac:dyDescent="0.25">
      <c r="A359" s="62">
        <f t="shared" si="5"/>
        <v>358</v>
      </c>
      <c r="B359" s="88">
        <v>43256</v>
      </c>
      <c r="C359" s="63" t="s">
        <v>29</v>
      </c>
      <c r="D359" s="63" t="s">
        <v>25</v>
      </c>
      <c r="E359" s="63" t="s">
        <v>65</v>
      </c>
      <c r="F359" s="63" t="s">
        <v>28</v>
      </c>
      <c r="G359" s="64">
        <v>50</v>
      </c>
      <c r="H359" s="64">
        <v>0</v>
      </c>
      <c r="I359" s="64">
        <v>0</v>
      </c>
      <c r="J359" s="65">
        <v>0</v>
      </c>
      <c r="K359" s="62">
        <f>IFERROR(ROUND((fCaixa[[#This Row],[Venda]]/fCaixa[[#This Row],[Preço/Un.]]),0),0)</f>
        <v>0</v>
      </c>
      <c r="L359" s="66">
        <f>IFERROR((SUBSTITUTE(RIGHT(fCaixa[[#This Row],[Descrição]],3),"G","")*1 *fCaixa[[#This Row],[Qtd/Pães]]) / 1000,0)</f>
        <v>0</v>
      </c>
      <c r="M359" s="64">
        <f>IFERROR((((SUBSTITUTE(RIGHT(fCaixa[[#This Row],[Descrição]],3),"G","")*1) * fCaixa[[#This Row],[QTD Perdida]])/1000) *fCaixa[[#This Row],[Custo/KG.]],0)</f>
        <v>0</v>
      </c>
      <c r="N359" s="66">
        <f>IF(fCaixa[[#This Row],[Lançamento]]="RECEITA",(fCaixa[[#This Row],[QTD Perdida]]* (SUBSTITUTE(RIGHT(fCaixa[[#This Row],[Descrição]],3),"G","")*1))/1000,0)</f>
        <v>0</v>
      </c>
      <c r="O359" s="66">
        <f>fCaixa[[#This Row],[Qtd/Kg]]+fCaixa[[#This Row],[Qtd/Kg Perdido]]</f>
        <v>0</v>
      </c>
      <c r="P359" s="64">
        <f>IF(fCaixa[[#This Row],[Lançamento]]="RECEITA",(fCaixa[[#This Row],[Qtd/Kg]]*fCaixa[[#This Row],[Custo/KG.]]),0)</f>
        <v>0</v>
      </c>
      <c r="Q359" s="67">
        <f>fCaixa[[#This Row],[Custoprimario]]+fCaixa[[#This Row],[Total Perdido]]</f>
        <v>0</v>
      </c>
      <c r="R359" s="68">
        <f>IFERROR(fCaixa[[#This Row],[Custoprimario]]/fCaixa[[#This Row],[Venda]],0)</f>
        <v>0</v>
      </c>
      <c r="S359" s="68">
        <f>IFERROR(fCaixa[[#This Row],[Custofinal]]/fCaixa[[#This Row],[Venda]],0)</f>
        <v>0</v>
      </c>
      <c r="T359" s="64">
        <f>IF(fCaixa[[#This Row],[Lançamento]]="RECEITA",fCaixa[[#This Row],[Venda]]-fCaixa[[#This Row],[Custoprimario]],0)</f>
        <v>0</v>
      </c>
      <c r="U359" s="68">
        <f>IFERROR(fCaixa[[#This Row],[Lucroprimario]]/fCaixa[[#This Row],[Venda]],0)</f>
        <v>0</v>
      </c>
      <c r="V359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59" s="68">
        <f>IFERROR(fCaixa[[#This Row],[Lucrofinal]]/fCaixa[[#This Row],[Venda]],0)</f>
        <v>0</v>
      </c>
    </row>
    <row r="360" spans="1:23" ht="16.5" hidden="1" x14ac:dyDescent="0.25">
      <c r="A360" s="17">
        <f t="shared" si="5"/>
        <v>359</v>
      </c>
      <c r="B360" s="87">
        <v>43257</v>
      </c>
      <c r="C360" s="12" t="s">
        <v>24</v>
      </c>
      <c r="D360" s="12" t="s">
        <v>37</v>
      </c>
      <c r="E360" s="12" t="s">
        <v>78</v>
      </c>
      <c r="F360" s="12" t="s">
        <v>28</v>
      </c>
      <c r="G360" s="13">
        <v>10</v>
      </c>
      <c r="H360" s="13">
        <v>0.4</v>
      </c>
      <c r="I360" s="13">
        <v>11.5</v>
      </c>
      <c r="J360" s="14">
        <v>0</v>
      </c>
      <c r="K360" s="17">
        <f>IFERROR(ROUND((fCaixa[[#This Row],[Venda]]/fCaixa[[#This Row],[Preço/Un.]]),0),0)</f>
        <v>25</v>
      </c>
      <c r="L360" s="15">
        <f>IFERROR((SUBSTITUTE(RIGHT(fCaixa[[#This Row],[Descrição]],3),"G","")*1 *fCaixa[[#This Row],[Qtd/Pães]]) / 1000,0)</f>
        <v>0.5</v>
      </c>
      <c r="M360" s="13">
        <f>IFERROR((((SUBSTITUTE(RIGHT(fCaixa[[#This Row],[Descrição]],3),"G","")*1) * fCaixa[[#This Row],[QTD Perdida]])/1000) *fCaixa[[#This Row],[Custo/KG.]],0)</f>
        <v>0</v>
      </c>
      <c r="N360" s="15">
        <f>IF(fCaixa[[#This Row],[Lançamento]]="RECEITA",(fCaixa[[#This Row],[QTD Perdida]]* (SUBSTITUTE(RIGHT(fCaixa[[#This Row],[Descrição]],3),"G","")*1))/1000,0)</f>
        <v>0</v>
      </c>
      <c r="O360" s="15">
        <f>fCaixa[[#This Row],[Qtd/Kg]]+fCaixa[[#This Row],[Qtd/Kg Perdido]]</f>
        <v>0.5</v>
      </c>
      <c r="P360" s="13">
        <f>IF(fCaixa[[#This Row],[Lançamento]]="RECEITA",(fCaixa[[#This Row],[Qtd/Kg]]*fCaixa[[#This Row],[Custo/KG.]]),0)</f>
        <v>5.75</v>
      </c>
      <c r="Q360" s="34">
        <f>fCaixa[[#This Row],[Custoprimario]]+fCaixa[[#This Row],[Total Perdido]]</f>
        <v>5.75</v>
      </c>
      <c r="R360" s="16">
        <f>IFERROR(fCaixa[[#This Row],[Custoprimario]]/fCaixa[[#This Row],[Venda]],0)</f>
        <v>0.57499999999999996</v>
      </c>
      <c r="S360" s="16">
        <f>IFERROR(fCaixa[[#This Row],[Custofinal]]/fCaixa[[#This Row],[Venda]],0)</f>
        <v>0.57499999999999996</v>
      </c>
      <c r="T360" s="13">
        <f>IF(fCaixa[[#This Row],[Lançamento]]="RECEITA",fCaixa[[#This Row],[Venda]]-fCaixa[[#This Row],[Custoprimario]],0)</f>
        <v>4.25</v>
      </c>
      <c r="U360" s="16">
        <f>IFERROR(fCaixa[[#This Row],[Lucroprimario]]/fCaixa[[#This Row],[Venda]],0)</f>
        <v>0.42499999999999999</v>
      </c>
      <c r="V36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4.0209999999999999</v>
      </c>
      <c r="W360" s="16">
        <f>IFERROR(fCaixa[[#This Row],[Lucrofinal]]/fCaixa[[#This Row],[Venda]],0)</f>
        <v>0.40210000000000001</v>
      </c>
    </row>
    <row r="361" spans="1:23" ht="16.5" hidden="1" x14ac:dyDescent="0.25">
      <c r="A361" s="17">
        <f t="shared" si="5"/>
        <v>360</v>
      </c>
      <c r="B361" s="87">
        <v>43257</v>
      </c>
      <c r="C361" s="12" t="s">
        <v>24</v>
      </c>
      <c r="D361" s="12" t="s">
        <v>25</v>
      </c>
      <c r="E361" s="12" t="s">
        <v>78</v>
      </c>
      <c r="F361" s="12" t="s">
        <v>28</v>
      </c>
      <c r="G361" s="13">
        <v>30</v>
      </c>
      <c r="H361" s="13">
        <v>0.4</v>
      </c>
      <c r="I361" s="13">
        <v>11.5</v>
      </c>
      <c r="J361" s="14">
        <v>0</v>
      </c>
      <c r="K361" s="17">
        <f>IFERROR(ROUND((fCaixa[[#This Row],[Venda]]/fCaixa[[#This Row],[Preço/Un.]]),0),0)</f>
        <v>75</v>
      </c>
      <c r="L361" s="15">
        <f>IFERROR((SUBSTITUTE(RIGHT(fCaixa[[#This Row],[Descrição]],3),"G","")*1 *fCaixa[[#This Row],[Qtd/Pães]]) / 1000,0)</f>
        <v>1.5</v>
      </c>
      <c r="M361" s="13">
        <f>IFERROR((((SUBSTITUTE(RIGHT(fCaixa[[#This Row],[Descrição]],3),"G","")*1) * fCaixa[[#This Row],[QTD Perdida]])/1000) *fCaixa[[#This Row],[Custo/KG.]],0)</f>
        <v>0</v>
      </c>
      <c r="N361" s="15">
        <f>IF(fCaixa[[#This Row],[Lançamento]]="RECEITA",(fCaixa[[#This Row],[QTD Perdida]]* (SUBSTITUTE(RIGHT(fCaixa[[#This Row],[Descrição]],3),"G","")*1))/1000,0)</f>
        <v>0</v>
      </c>
      <c r="O361" s="15">
        <f>fCaixa[[#This Row],[Qtd/Kg]]+fCaixa[[#This Row],[Qtd/Kg Perdido]]</f>
        <v>1.5</v>
      </c>
      <c r="P361" s="13">
        <f>IF(fCaixa[[#This Row],[Lançamento]]="RECEITA",(fCaixa[[#This Row],[Qtd/Kg]]*fCaixa[[#This Row],[Custo/KG.]]),0)</f>
        <v>17.25</v>
      </c>
      <c r="Q361" s="34">
        <f>fCaixa[[#This Row],[Custoprimario]]+fCaixa[[#This Row],[Total Perdido]]</f>
        <v>17.25</v>
      </c>
      <c r="R361" s="16">
        <f>IFERROR(fCaixa[[#This Row],[Custoprimario]]/fCaixa[[#This Row],[Venda]],0)</f>
        <v>0.57499999999999996</v>
      </c>
      <c r="S361" s="16">
        <f>IFERROR(fCaixa[[#This Row],[Custofinal]]/fCaixa[[#This Row],[Venda]],0)</f>
        <v>0.57499999999999996</v>
      </c>
      <c r="T361" s="13">
        <f>IF(fCaixa[[#This Row],[Lançamento]]="RECEITA",fCaixa[[#This Row],[Venda]]-fCaixa[[#This Row],[Custoprimario]],0)</f>
        <v>12.75</v>
      </c>
      <c r="U361" s="16">
        <f>IFERROR(fCaixa[[#This Row],[Lucroprimario]]/fCaixa[[#This Row],[Venda]],0)</f>
        <v>0.42499999999999999</v>
      </c>
      <c r="V36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12.75</v>
      </c>
      <c r="W361" s="16">
        <f>IFERROR(fCaixa[[#This Row],[Lucrofinal]]/fCaixa[[#This Row],[Venda]],0)</f>
        <v>0.42499999999999999</v>
      </c>
    </row>
    <row r="362" spans="1:23" ht="16.5" hidden="1" x14ac:dyDescent="0.25">
      <c r="A362" s="17">
        <f t="shared" si="5"/>
        <v>361</v>
      </c>
      <c r="B362" s="87">
        <v>43257</v>
      </c>
      <c r="C362" s="12" t="s">
        <v>24</v>
      </c>
      <c r="D362" s="12" t="s">
        <v>25</v>
      </c>
      <c r="E362" s="12" t="s">
        <v>35</v>
      </c>
      <c r="F362" s="12" t="s">
        <v>28</v>
      </c>
      <c r="G362" s="13">
        <v>238</v>
      </c>
      <c r="H362" s="13">
        <v>1</v>
      </c>
      <c r="I362" s="13">
        <v>11.5</v>
      </c>
      <c r="J362" s="14">
        <v>2</v>
      </c>
      <c r="K362" s="17">
        <f>IFERROR(ROUND((fCaixa[[#This Row],[Venda]]/fCaixa[[#This Row],[Preço/Un.]]),0),0)</f>
        <v>238</v>
      </c>
      <c r="L362" s="15">
        <f>IFERROR((SUBSTITUTE(RIGHT(fCaixa[[#This Row],[Descrição]],3),"G","")*1 *fCaixa[[#This Row],[Qtd/Pães]]) / 1000,0)</f>
        <v>11.9</v>
      </c>
      <c r="M362" s="13">
        <f>IFERROR((((SUBSTITUTE(RIGHT(fCaixa[[#This Row],[Descrição]],3),"G","")*1) * fCaixa[[#This Row],[QTD Perdida]])/1000) *fCaixa[[#This Row],[Custo/KG.]],0)</f>
        <v>1.1500000000000001</v>
      </c>
      <c r="N362" s="15">
        <f>IF(fCaixa[[#This Row],[Lançamento]]="RECEITA",(fCaixa[[#This Row],[QTD Perdida]]* (SUBSTITUTE(RIGHT(fCaixa[[#This Row],[Descrição]],3),"G","")*1))/1000,0)</f>
        <v>0.1</v>
      </c>
      <c r="O362" s="15">
        <f>fCaixa[[#This Row],[Qtd/Kg]]+fCaixa[[#This Row],[Qtd/Kg Perdido]]</f>
        <v>12</v>
      </c>
      <c r="P362" s="13">
        <f>IF(fCaixa[[#This Row],[Lançamento]]="RECEITA",(fCaixa[[#This Row],[Qtd/Kg]]*fCaixa[[#This Row],[Custo/KG.]]),0)</f>
        <v>136.85</v>
      </c>
      <c r="Q362" s="34">
        <f>fCaixa[[#This Row],[Custoprimario]]+fCaixa[[#This Row],[Total Perdido]]</f>
        <v>138</v>
      </c>
      <c r="R362" s="16">
        <f>IFERROR(fCaixa[[#This Row],[Custoprimario]]/fCaixa[[#This Row],[Venda]],0)</f>
        <v>0.57499999999999996</v>
      </c>
      <c r="S362" s="16">
        <f>IFERROR(fCaixa[[#This Row],[Custofinal]]/fCaixa[[#This Row],[Venda]],0)</f>
        <v>0.57983193277310929</v>
      </c>
      <c r="T362" s="13">
        <f>IF(fCaixa[[#This Row],[Lançamento]]="RECEITA",fCaixa[[#This Row],[Venda]]-fCaixa[[#This Row],[Custoprimario]],0)</f>
        <v>101.15</v>
      </c>
      <c r="U362" s="16">
        <f>IFERROR(fCaixa[[#This Row],[Lucroprimario]]/fCaixa[[#This Row],[Venda]],0)</f>
        <v>0.42500000000000004</v>
      </c>
      <c r="V36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100</v>
      </c>
      <c r="W362" s="16">
        <f>IFERROR(fCaixa[[#This Row],[Lucrofinal]]/fCaixa[[#This Row],[Venda]],0)</f>
        <v>0.42016806722689076</v>
      </c>
    </row>
    <row r="363" spans="1:23" ht="16.5" hidden="1" x14ac:dyDescent="0.25">
      <c r="A363" s="17">
        <f t="shared" si="5"/>
        <v>362</v>
      </c>
      <c r="B363" s="87">
        <v>43258</v>
      </c>
      <c r="C363" s="12" t="s">
        <v>24</v>
      </c>
      <c r="D363" s="12" t="s">
        <v>25</v>
      </c>
      <c r="E363" s="12" t="s">
        <v>78</v>
      </c>
      <c r="F363" s="12" t="s">
        <v>28</v>
      </c>
      <c r="G363" s="13">
        <v>19.2</v>
      </c>
      <c r="H363" s="13">
        <v>0.4</v>
      </c>
      <c r="I363" s="13">
        <v>11.5</v>
      </c>
      <c r="J363" s="14">
        <v>2</v>
      </c>
      <c r="K363" s="17">
        <f>IFERROR(ROUND((fCaixa[[#This Row],[Venda]]/fCaixa[[#This Row],[Preço/Un.]]),0),0)</f>
        <v>48</v>
      </c>
      <c r="L363" s="15">
        <f>IFERROR((SUBSTITUTE(RIGHT(fCaixa[[#This Row],[Descrição]],3),"G","")*1 *fCaixa[[#This Row],[Qtd/Pães]]) / 1000,0)</f>
        <v>0.96</v>
      </c>
      <c r="M363" s="13">
        <f>IFERROR((((SUBSTITUTE(RIGHT(fCaixa[[#This Row],[Descrição]],3),"G","")*1) * fCaixa[[#This Row],[QTD Perdida]])/1000) *fCaixa[[#This Row],[Custo/KG.]],0)</f>
        <v>0.46</v>
      </c>
      <c r="N363" s="15">
        <f>IF(fCaixa[[#This Row],[Lançamento]]="RECEITA",(fCaixa[[#This Row],[QTD Perdida]]* (SUBSTITUTE(RIGHT(fCaixa[[#This Row],[Descrição]],3),"G","")*1))/1000,0)</f>
        <v>0.04</v>
      </c>
      <c r="O363" s="15">
        <f>fCaixa[[#This Row],[Qtd/Kg]]+fCaixa[[#This Row],[Qtd/Kg Perdido]]</f>
        <v>1</v>
      </c>
      <c r="P363" s="13">
        <f>IF(fCaixa[[#This Row],[Lançamento]]="RECEITA",(fCaixa[[#This Row],[Qtd/Kg]]*fCaixa[[#This Row],[Custo/KG.]]),0)</f>
        <v>11.04</v>
      </c>
      <c r="Q363" s="34">
        <f>fCaixa[[#This Row],[Custoprimario]]+fCaixa[[#This Row],[Total Perdido]]</f>
        <v>11.5</v>
      </c>
      <c r="R363" s="16">
        <f>IFERROR(fCaixa[[#This Row],[Custoprimario]]/fCaixa[[#This Row],[Venda]],0)</f>
        <v>0.57499999999999996</v>
      </c>
      <c r="S363" s="16">
        <f>IFERROR(fCaixa[[#This Row],[Custofinal]]/fCaixa[[#This Row],[Venda]],0)</f>
        <v>0.59895833333333337</v>
      </c>
      <c r="T363" s="13">
        <f>IF(fCaixa[[#This Row],[Lançamento]]="RECEITA",fCaixa[[#This Row],[Venda]]-fCaixa[[#This Row],[Custoprimario]],0)</f>
        <v>8.16</v>
      </c>
      <c r="U363" s="16">
        <f>IFERROR(fCaixa[[#This Row],[Lucroprimario]]/fCaixa[[#This Row],[Venda]],0)</f>
        <v>0.42500000000000004</v>
      </c>
      <c r="V36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7.6999999999999993</v>
      </c>
      <c r="W363" s="16">
        <f>IFERROR(fCaixa[[#This Row],[Lucrofinal]]/fCaixa[[#This Row],[Venda]],0)</f>
        <v>0.40104166666666663</v>
      </c>
    </row>
    <row r="364" spans="1:23" ht="16.5" hidden="1" x14ac:dyDescent="0.25">
      <c r="A364" s="17">
        <f t="shared" si="5"/>
        <v>363</v>
      </c>
      <c r="B364" s="87">
        <v>43258</v>
      </c>
      <c r="C364" s="12" t="s">
        <v>24</v>
      </c>
      <c r="D364" s="12" t="s">
        <v>37</v>
      </c>
      <c r="E364" s="12" t="s">
        <v>35</v>
      </c>
      <c r="F364" s="12" t="s">
        <v>28</v>
      </c>
      <c r="G364" s="13">
        <v>5</v>
      </c>
      <c r="H364" s="13">
        <v>1</v>
      </c>
      <c r="I364" s="13">
        <v>11.5</v>
      </c>
      <c r="J364" s="14">
        <v>0</v>
      </c>
      <c r="K364" s="17">
        <f>IFERROR(ROUND((fCaixa[[#This Row],[Venda]]/fCaixa[[#This Row],[Preço/Un.]]),0),0)</f>
        <v>5</v>
      </c>
      <c r="L364" s="15">
        <f>IFERROR((SUBSTITUTE(RIGHT(fCaixa[[#This Row],[Descrição]],3),"G","")*1 *fCaixa[[#This Row],[Qtd/Pães]]) / 1000,0)</f>
        <v>0.25</v>
      </c>
      <c r="M364" s="13">
        <f>IFERROR((((SUBSTITUTE(RIGHT(fCaixa[[#This Row],[Descrição]],3),"G","")*1) * fCaixa[[#This Row],[QTD Perdida]])/1000) *fCaixa[[#This Row],[Custo/KG.]],0)</f>
        <v>0</v>
      </c>
      <c r="N364" s="15">
        <f>IF(fCaixa[[#This Row],[Lançamento]]="RECEITA",(fCaixa[[#This Row],[QTD Perdida]]* (SUBSTITUTE(RIGHT(fCaixa[[#This Row],[Descrição]],3),"G","")*1))/1000,0)</f>
        <v>0</v>
      </c>
      <c r="O364" s="15">
        <f>fCaixa[[#This Row],[Qtd/Kg]]+fCaixa[[#This Row],[Qtd/Kg Perdido]]</f>
        <v>0.25</v>
      </c>
      <c r="P364" s="13">
        <f>IF(fCaixa[[#This Row],[Lançamento]]="RECEITA",(fCaixa[[#This Row],[Qtd/Kg]]*fCaixa[[#This Row],[Custo/KG.]]),0)</f>
        <v>2.875</v>
      </c>
      <c r="Q364" s="34">
        <f>fCaixa[[#This Row],[Custoprimario]]+fCaixa[[#This Row],[Total Perdido]]</f>
        <v>2.875</v>
      </c>
      <c r="R364" s="16">
        <f>IFERROR(fCaixa[[#This Row],[Custoprimario]]/fCaixa[[#This Row],[Venda]],0)</f>
        <v>0.57499999999999996</v>
      </c>
      <c r="S364" s="16">
        <f>IFERROR(fCaixa[[#This Row],[Custofinal]]/fCaixa[[#This Row],[Venda]],0)</f>
        <v>0.57499999999999996</v>
      </c>
      <c r="T364" s="13">
        <f>IF(fCaixa[[#This Row],[Lançamento]]="RECEITA",fCaixa[[#This Row],[Venda]]-fCaixa[[#This Row],[Custoprimario]],0)</f>
        <v>2.125</v>
      </c>
      <c r="U364" s="16">
        <f>IFERROR(fCaixa[[#This Row],[Lucroprimario]]/fCaixa[[#This Row],[Venda]],0)</f>
        <v>0.42499999999999999</v>
      </c>
      <c r="V36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364" s="16">
        <f>IFERROR(fCaixa[[#This Row],[Lucrofinal]]/fCaixa[[#This Row],[Venda]],0)</f>
        <v>0.40210000000000001</v>
      </c>
    </row>
    <row r="365" spans="1:23" ht="16.5" hidden="1" x14ac:dyDescent="0.25">
      <c r="A365" s="17">
        <f t="shared" si="5"/>
        <v>364</v>
      </c>
      <c r="B365" s="87">
        <v>43258</v>
      </c>
      <c r="C365" s="12" t="s">
        <v>24</v>
      </c>
      <c r="D365" s="12" t="s">
        <v>25</v>
      </c>
      <c r="E365" s="12" t="s">
        <v>35</v>
      </c>
      <c r="F365" s="12" t="s">
        <v>28</v>
      </c>
      <c r="G365" s="13">
        <v>218</v>
      </c>
      <c r="H365" s="13">
        <v>1</v>
      </c>
      <c r="I365" s="13">
        <v>11.5</v>
      </c>
      <c r="J365" s="14">
        <v>3</v>
      </c>
      <c r="K365" s="17">
        <f>IFERROR(ROUND((fCaixa[[#This Row],[Venda]]/fCaixa[[#This Row],[Preço/Un.]]),0),0)</f>
        <v>218</v>
      </c>
      <c r="L365" s="15">
        <f>IFERROR((SUBSTITUTE(RIGHT(fCaixa[[#This Row],[Descrição]],3),"G","")*1 *fCaixa[[#This Row],[Qtd/Pães]]) / 1000,0)</f>
        <v>10.9</v>
      </c>
      <c r="M365" s="13">
        <f>IFERROR((((SUBSTITUTE(RIGHT(fCaixa[[#This Row],[Descrição]],3),"G","")*1) * fCaixa[[#This Row],[QTD Perdida]])/1000) *fCaixa[[#This Row],[Custo/KG.]],0)</f>
        <v>1.7249999999999999</v>
      </c>
      <c r="N365" s="15">
        <f>IF(fCaixa[[#This Row],[Lançamento]]="RECEITA",(fCaixa[[#This Row],[QTD Perdida]]* (SUBSTITUTE(RIGHT(fCaixa[[#This Row],[Descrição]],3),"G","")*1))/1000,0)</f>
        <v>0.15</v>
      </c>
      <c r="O365" s="15">
        <f>fCaixa[[#This Row],[Qtd/Kg]]+fCaixa[[#This Row],[Qtd/Kg Perdido]]</f>
        <v>11.05</v>
      </c>
      <c r="P365" s="13">
        <f>IF(fCaixa[[#This Row],[Lançamento]]="RECEITA",(fCaixa[[#This Row],[Qtd/Kg]]*fCaixa[[#This Row],[Custo/KG.]]),0)</f>
        <v>125.35000000000001</v>
      </c>
      <c r="Q365" s="34">
        <f>fCaixa[[#This Row],[Custoprimario]]+fCaixa[[#This Row],[Total Perdido]]</f>
        <v>127.075</v>
      </c>
      <c r="R365" s="16">
        <f>IFERROR(fCaixa[[#This Row],[Custoprimario]]/fCaixa[[#This Row],[Venda]],0)</f>
        <v>0.57500000000000007</v>
      </c>
      <c r="S365" s="16">
        <f>IFERROR(fCaixa[[#This Row],[Custofinal]]/fCaixa[[#This Row],[Venda]],0)</f>
        <v>0.5829128440366973</v>
      </c>
      <c r="T365" s="13">
        <f>IF(fCaixa[[#This Row],[Lançamento]]="RECEITA",fCaixa[[#This Row],[Venda]]-fCaixa[[#This Row],[Custoprimario]],0)</f>
        <v>92.649999999999991</v>
      </c>
      <c r="U365" s="16">
        <f>IFERROR(fCaixa[[#This Row],[Lucroprimario]]/fCaixa[[#This Row],[Venda]],0)</f>
        <v>0.42499999999999993</v>
      </c>
      <c r="V36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90.924999999999997</v>
      </c>
      <c r="W365" s="16">
        <f>IFERROR(fCaixa[[#This Row],[Lucrofinal]]/fCaixa[[#This Row],[Venda]],0)</f>
        <v>0.41708715596330276</v>
      </c>
    </row>
    <row r="366" spans="1:23" ht="16.5" hidden="1" x14ac:dyDescent="0.25">
      <c r="A366" s="17">
        <f t="shared" si="5"/>
        <v>365</v>
      </c>
      <c r="B366" s="87">
        <v>43258</v>
      </c>
      <c r="C366" s="12" t="s">
        <v>24</v>
      </c>
      <c r="D366" s="12" t="s">
        <v>25</v>
      </c>
      <c r="E366" s="12" t="s">
        <v>35</v>
      </c>
      <c r="F366" s="12" t="s">
        <v>28</v>
      </c>
      <c r="G366" s="13">
        <v>18</v>
      </c>
      <c r="H366" s="13">
        <v>0.9</v>
      </c>
      <c r="I366" s="13">
        <v>11.5</v>
      </c>
      <c r="J366" s="14">
        <v>0</v>
      </c>
      <c r="K366" s="17">
        <f>IFERROR(ROUND((fCaixa[[#This Row],[Venda]]/fCaixa[[#This Row],[Preço/Un.]]),0),0)</f>
        <v>20</v>
      </c>
      <c r="L366" s="15">
        <f>IFERROR((SUBSTITUTE(RIGHT(fCaixa[[#This Row],[Descrição]],3),"G","")*1 *fCaixa[[#This Row],[Qtd/Pães]]) / 1000,0)</f>
        <v>1</v>
      </c>
      <c r="M366" s="13">
        <f>IFERROR((((SUBSTITUTE(RIGHT(fCaixa[[#This Row],[Descrição]],3),"G","")*1) * fCaixa[[#This Row],[QTD Perdida]])/1000) *fCaixa[[#This Row],[Custo/KG.]],0)</f>
        <v>0</v>
      </c>
      <c r="N366" s="15">
        <f>IF(fCaixa[[#This Row],[Lançamento]]="RECEITA",(fCaixa[[#This Row],[QTD Perdida]]* (SUBSTITUTE(RIGHT(fCaixa[[#This Row],[Descrição]],3),"G","")*1))/1000,0)</f>
        <v>0</v>
      </c>
      <c r="O366" s="15">
        <f>fCaixa[[#This Row],[Qtd/Kg]]+fCaixa[[#This Row],[Qtd/Kg Perdido]]</f>
        <v>1</v>
      </c>
      <c r="P366" s="13">
        <f>IF(fCaixa[[#This Row],[Lançamento]]="RECEITA",(fCaixa[[#This Row],[Qtd/Kg]]*fCaixa[[#This Row],[Custo/KG.]]),0)</f>
        <v>11.5</v>
      </c>
      <c r="Q366" s="34">
        <f>fCaixa[[#This Row],[Custoprimario]]+fCaixa[[#This Row],[Total Perdido]]</f>
        <v>11.5</v>
      </c>
      <c r="R366" s="16">
        <f>IFERROR(fCaixa[[#This Row],[Custoprimario]]/fCaixa[[#This Row],[Venda]],0)</f>
        <v>0.63888888888888884</v>
      </c>
      <c r="S366" s="16">
        <f>IFERROR(fCaixa[[#This Row],[Custofinal]]/fCaixa[[#This Row],[Venda]],0)</f>
        <v>0.63888888888888884</v>
      </c>
      <c r="T366" s="13">
        <f>IF(fCaixa[[#This Row],[Lançamento]]="RECEITA",fCaixa[[#This Row],[Venda]]-fCaixa[[#This Row],[Custoprimario]],0)</f>
        <v>6.5</v>
      </c>
      <c r="U366" s="16">
        <f>IFERROR(fCaixa[[#This Row],[Lucroprimario]]/fCaixa[[#This Row],[Venda]],0)</f>
        <v>0.3611111111111111</v>
      </c>
      <c r="V36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66" s="16">
        <f>IFERROR(fCaixa[[#This Row],[Lucrofinal]]/fCaixa[[#This Row],[Venda]],0)</f>
        <v>0.3611111111111111</v>
      </c>
    </row>
    <row r="367" spans="1:23" ht="16.5" hidden="1" x14ac:dyDescent="0.25">
      <c r="A367" s="17">
        <f t="shared" si="5"/>
        <v>366</v>
      </c>
      <c r="B367" s="87">
        <v>43259</v>
      </c>
      <c r="C367" s="12" t="s">
        <v>24</v>
      </c>
      <c r="D367" s="12" t="s">
        <v>25</v>
      </c>
      <c r="E367" s="12" t="s">
        <v>78</v>
      </c>
      <c r="F367" s="12" t="s">
        <v>28</v>
      </c>
      <c r="G367" s="13">
        <v>40</v>
      </c>
      <c r="H367" s="13">
        <v>0.4</v>
      </c>
      <c r="I367" s="13">
        <v>11.5</v>
      </c>
      <c r="J367" s="14">
        <v>0</v>
      </c>
      <c r="K367" s="17">
        <f>IFERROR(ROUND((fCaixa[[#This Row],[Venda]]/fCaixa[[#This Row],[Preço/Un.]]),0),0)</f>
        <v>100</v>
      </c>
      <c r="L367" s="15">
        <f>IFERROR((SUBSTITUTE(RIGHT(fCaixa[[#This Row],[Descrição]],3),"G","")*1 *fCaixa[[#This Row],[Qtd/Pães]]) / 1000,0)</f>
        <v>2</v>
      </c>
      <c r="M367" s="13">
        <f>IFERROR((((SUBSTITUTE(RIGHT(fCaixa[[#This Row],[Descrição]],3),"G","")*1) * fCaixa[[#This Row],[QTD Perdida]])/1000) *fCaixa[[#This Row],[Custo/KG.]],0)</f>
        <v>0</v>
      </c>
      <c r="N367" s="15">
        <f>IF(fCaixa[[#This Row],[Lançamento]]="RECEITA",(fCaixa[[#This Row],[QTD Perdida]]* (SUBSTITUTE(RIGHT(fCaixa[[#This Row],[Descrição]],3),"G","")*1))/1000,0)</f>
        <v>0</v>
      </c>
      <c r="O367" s="15">
        <f>fCaixa[[#This Row],[Qtd/Kg]]+fCaixa[[#This Row],[Qtd/Kg Perdido]]</f>
        <v>2</v>
      </c>
      <c r="P367" s="13">
        <f>IF(fCaixa[[#This Row],[Lançamento]]="RECEITA",(fCaixa[[#This Row],[Qtd/Kg]]*fCaixa[[#This Row],[Custo/KG.]]),0)</f>
        <v>23</v>
      </c>
      <c r="Q367" s="34">
        <f>fCaixa[[#This Row],[Custoprimario]]+fCaixa[[#This Row],[Total Perdido]]</f>
        <v>23</v>
      </c>
      <c r="R367" s="16">
        <f>IFERROR(fCaixa[[#This Row],[Custoprimario]]/fCaixa[[#This Row],[Venda]],0)</f>
        <v>0.57499999999999996</v>
      </c>
      <c r="S367" s="16">
        <f>IFERROR(fCaixa[[#This Row],[Custofinal]]/fCaixa[[#This Row],[Venda]],0)</f>
        <v>0.57499999999999996</v>
      </c>
      <c r="T367" s="13">
        <f>IF(fCaixa[[#This Row],[Lançamento]]="RECEITA",fCaixa[[#This Row],[Venda]]-fCaixa[[#This Row],[Custoprimario]],0)</f>
        <v>17</v>
      </c>
      <c r="U367" s="16">
        <f>IFERROR(fCaixa[[#This Row],[Lucroprimario]]/fCaixa[[#This Row],[Venda]],0)</f>
        <v>0.42499999999999999</v>
      </c>
      <c r="V36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17</v>
      </c>
      <c r="W367" s="16">
        <f>IFERROR(fCaixa[[#This Row],[Lucrofinal]]/fCaixa[[#This Row],[Venda]],0)</f>
        <v>0.42499999999999999</v>
      </c>
    </row>
    <row r="368" spans="1:23" ht="16.5" hidden="1" x14ac:dyDescent="0.25">
      <c r="A368" s="17">
        <f t="shared" si="5"/>
        <v>367</v>
      </c>
      <c r="B368" s="87">
        <v>43259</v>
      </c>
      <c r="C368" s="12" t="s">
        <v>24</v>
      </c>
      <c r="D368" s="12" t="s">
        <v>25</v>
      </c>
      <c r="E368" s="12" t="s">
        <v>35</v>
      </c>
      <c r="F368" s="12" t="s">
        <v>28</v>
      </c>
      <c r="G368" s="13">
        <v>18</v>
      </c>
      <c r="H368" s="13">
        <v>0.9</v>
      </c>
      <c r="I368" s="13">
        <v>11.5</v>
      </c>
      <c r="J368" s="14">
        <v>0</v>
      </c>
      <c r="K368" s="17">
        <f>IFERROR(ROUND((fCaixa[[#This Row],[Venda]]/fCaixa[[#This Row],[Preço/Un.]]),0),0)</f>
        <v>20</v>
      </c>
      <c r="L368" s="15">
        <f>IFERROR((SUBSTITUTE(RIGHT(fCaixa[[#This Row],[Descrição]],3),"G","")*1 *fCaixa[[#This Row],[Qtd/Pães]]) / 1000,0)</f>
        <v>1</v>
      </c>
      <c r="M368" s="13">
        <f>IFERROR((((SUBSTITUTE(RIGHT(fCaixa[[#This Row],[Descrição]],3),"G","")*1) * fCaixa[[#This Row],[QTD Perdida]])/1000) *fCaixa[[#This Row],[Custo/KG.]],0)</f>
        <v>0</v>
      </c>
      <c r="N368" s="15">
        <f>IF(fCaixa[[#This Row],[Lançamento]]="RECEITA",(fCaixa[[#This Row],[QTD Perdida]]* (SUBSTITUTE(RIGHT(fCaixa[[#This Row],[Descrição]],3),"G","")*1))/1000,0)</f>
        <v>0</v>
      </c>
      <c r="O368" s="15">
        <f>fCaixa[[#This Row],[Qtd/Kg]]+fCaixa[[#This Row],[Qtd/Kg Perdido]]</f>
        <v>1</v>
      </c>
      <c r="P368" s="13">
        <f>IF(fCaixa[[#This Row],[Lançamento]]="RECEITA",(fCaixa[[#This Row],[Qtd/Kg]]*fCaixa[[#This Row],[Custo/KG.]]),0)</f>
        <v>11.5</v>
      </c>
      <c r="Q368" s="34">
        <f>fCaixa[[#This Row],[Custoprimario]]+fCaixa[[#This Row],[Total Perdido]]</f>
        <v>11.5</v>
      </c>
      <c r="R368" s="16">
        <f>IFERROR(fCaixa[[#This Row],[Custoprimario]]/fCaixa[[#This Row],[Venda]],0)</f>
        <v>0.63888888888888884</v>
      </c>
      <c r="S368" s="16">
        <f>IFERROR(fCaixa[[#This Row],[Custofinal]]/fCaixa[[#This Row],[Venda]],0)</f>
        <v>0.63888888888888884</v>
      </c>
      <c r="T368" s="13">
        <f>IF(fCaixa[[#This Row],[Lançamento]]="RECEITA",fCaixa[[#This Row],[Venda]]-fCaixa[[#This Row],[Custoprimario]],0)</f>
        <v>6.5</v>
      </c>
      <c r="U368" s="16">
        <f>IFERROR(fCaixa[[#This Row],[Lucroprimario]]/fCaixa[[#This Row],[Venda]],0)</f>
        <v>0.3611111111111111</v>
      </c>
      <c r="V36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68" s="16">
        <f>IFERROR(fCaixa[[#This Row],[Lucrofinal]]/fCaixa[[#This Row],[Venda]],0)</f>
        <v>0.3611111111111111</v>
      </c>
    </row>
    <row r="369" spans="1:23" ht="16.5" hidden="1" x14ac:dyDescent="0.25">
      <c r="A369" s="17">
        <f t="shared" si="5"/>
        <v>368</v>
      </c>
      <c r="B369" s="87">
        <v>43259</v>
      </c>
      <c r="C369" s="12" t="s">
        <v>24</v>
      </c>
      <c r="D369" s="12" t="s">
        <v>25</v>
      </c>
      <c r="E369" s="12" t="s">
        <v>35</v>
      </c>
      <c r="F369" s="12" t="s">
        <v>28</v>
      </c>
      <c r="G369" s="13">
        <v>18</v>
      </c>
      <c r="H369" s="13">
        <v>0.9</v>
      </c>
      <c r="I369" s="13">
        <v>11.5</v>
      </c>
      <c r="J369" s="14">
        <v>0</v>
      </c>
      <c r="K369" s="17">
        <f>IFERROR(ROUND((fCaixa[[#This Row],[Venda]]/fCaixa[[#This Row],[Preço/Un.]]),0),0)</f>
        <v>20</v>
      </c>
      <c r="L369" s="15">
        <f>IFERROR((SUBSTITUTE(RIGHT(fCaixa[[#This Row],[Descrição]],3),"G","")*1 *fCaixa[[#This Row],[Qtd/Pães]]) / 1000,0)</f>
        <v>1</v>
      </c>
      <c r="M369" s="13">
        <f>IFERROR((((SUBSTITUTE(RIGHT(fCaixa[[#This Row],[Descrição]],3),"G","")*1) * fCaixa[[#This Row],[QTD Perdida]])/1000) *fCaixa[[#This Row],[Custo/KG.]],0)</f>
        <v>0</v>
      </c>
      <c r="N369" s="15">
        <f>IF(fCaixa[[#This Row],[Lançamento]]="RECEITA",(fCaixa[[#This Row],[QTD Perdida]]* (SUBSTITUTE(RIGHT(fCaixa[[#This Row],[Descrição]],3),"G","")*1))/1000,0)</f>
        <v>0</v>
      </c>
      <c r="O369" s="15">
        <f>fCaixa[[#This Row],[Qtd/Kg]]+fCaixa[[#This Row],[Qtd/Kg Perdido]]</f>
        <v>1</v>
      </c>
      <c r="P369" s="13">
        <f>IF(fCaixa[[#This Row],[Lançamento]]="RECEITA",(fCaixa[[#This Row],[Qtd/Kg]]*fCaixa[[#This Row],[Custo/KG.]]),0)</f>
        <v>11.5</v>
      </c>
      <c r="Q369" s="34">
        <f>fCaixa[[#This Row],[Custoprimario]]+fCaixa[[#This Row],[Total Perdido]]</f>
        <v>11.5</v>
      </c>
      <c r="R369" s="16">
        <f>IFERROR(fCaixa[[#This Row],[Custoprimario]]/fCaixa[[#This Row],[Venda]],0)</f>
        <v>0.63888888888888884</v>
      </c>
      <c r="S369" s="16">
        <f>IFERROR(fCaixa[[#This Row],[Custofinal]]/fCaixa[[#This Row],[Venda]],0)</f>
        <v>0.63888888888888884</v>
      </c>
      <c r="T369" s="13">
        <f>IF(fCaixa[[#This Row],[Lançamento]]="RECEITA",fCaixa[[#This Row],[Venda]]-fCaixa[[#This Row],[Custoprimario]],0)</f>
        <v>6.5</v>
      </c>
      <c r="U369" s="16">
        <f>IFERROR(fCaixa[[#This Row],[Lucroprimario]]/fCaixa[[#This Row],[Venda]],0)</f>
        <v>0.3611111111111111</v>
      </c>
      <c r="V36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69" s="16">
        <f>IFERROR(fCaixa[[#This Row],[Lucrofinal]]/fCaixa[[#This Row],[Venda]],0)</f>
        <v>0.3611111111111111</v>
      </c>
    </row>
    <row r="370" spans="1:23" ht="16.5" hidden="1" x14ac:dyDescent="0.25">
      <c r="A370" s="17">
        <f t="shared" si="5"/>
        <v>369</v>
      </c>
      <c r="B370" s="87">
        <v>43259</v>
      </c>
      <c r="C370" s="12" t="s">
        <v>24</v>
      </c>
      <c r="D370" s="12" t="s">
        <v>25</v>
      </c>
      <c r="E370" s="12" t="s">
        <v>35</v>
      </c>
      <c r="F370" s="12" t="s">
        <v>28</v>
      </c>
      <c r="G370" s="13">
        <v>220</v>
      </c>
      <c r="H370" s="13">
        <v>1</v>
      </c>
      <c r="I370" s="13">
        <v>11.5</v>
      </c>
      <c r="J370" s="14">
        <v>0</v>
      </c>
      <c r="K370" s="17">
        <f>IFERROR(ROUND((fCaixa[[#This Row],[Venda]]/fCaixa[[#This Row],[Preço/Un.]]),0),0)</f>
        <v>220</v>
      </c>
      <c r="L370" s="15">
        <f>IFERROR((SUBSTITUTE(RIGHT(fCaixa[[#This Row],[Descrição]],3),"G","")*1 *fCaixa[[#This Row],[Qtd/Pães]]) / 1000,0)</f>
        <v>11</v>
      </c>
      <c r="M370" s="13">
        <f>IFERROR((((SUBSTITUTE(RIGHT(fCaixa[[#This Row],[Descrição]],3),"G","")*1) * fCaixa[[#This Row],[QTD Perdida]])/1000) *fCaixa[[#This Row],[Custo/KG.]],0)</f>
        <v>0</v>
      </c>
      <c r="N370" s="15">
        <f>IF(fCaixa[[#This Row],[Lançamento]]="RECEITA",(fCaixa[[#This Row],[QTD Perdida]]* (SUBSTITUTE(RIGHT(fCaixa[[#This Row],[Descrição]],3),"G","")*1))/1000,0)</f>
        <v>0</v>
      </c>
      <c r="O370" s="15">
        <f>fCaixa[[#This Row],[Qtd/Kg]]+fCaixa[[#This Row],[Qtd/Kg Perdido]]</f>
        <v>11</v>
      </c>
      <c r="P370" s="13">
        <f>IF(fCaixa[[#This Row],[Lançamento]]="RECEITA",(fCaixa[[#This Row],[Qtd/Kg]]*fCaixa[[#This Row],[Custo/KG.]]),0)</f>
        <v>126.5</v>
      </c>
      <c r="Q370" s="34">
        <f>fCaixa[[#This Row],[Custoprimario]]+fCaixa[[#This Row],[Total Perdido]]</f>
        <v>126.5</v>
      </c>
      <c r="R370" s="16">
        <f>IFERROR(fCaixa[[#This Row],[Custoprimario]]/fCaixa[[#This Row],[Venda]],0)</f>
        <v>0.57499999999999996</v>
      </c>
      <c r="S370" s="16">
        <f>IFERROR(fCaixa[[#This Row],[Custofinal]]/fCaixa[[#This Row],[Venda]],0)</f>
        <v>0.57499999999999996</v>
      </c>
      <c r="T370" s="13">
        <f>IF(fCaixa[[#This Row],[Lançamento]]="RECEITA",fCaixa[[#This Row],[Venda]]-fCaixa[[#This Row],[Custoprimario]],0)</f>
        <v>93.5</v>
      </c>
      <c r="U370" s="16">
        <f>IFERROR(fCaixa[[#This Row],[Lucroprimario]]/fCaixa[[#This Row],[Venda]],0)</f>
        <v>0.42499999999999999</v>
      </c>
      <c r="V37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93.5</v>
      </c>
      <c r="W370" s="16">
        <f>IFERROR(fCaixa[[#This Row],[Lucrofinal]]/fCaixa[[#This Row],[Venda]],0)</f>
        <v>0.42499999999999999</v>
      </c>
    </row>
    <row r="371" spans="1:23" ht="16.5" hidden="1" x14ac:dyDescent="0.25">
      <c r="A371" s="17">
        <f t="shared" si="5"/>
        <v>370</v>
      </c>
      <c r="B371" s="87">
        <v>43260</v>
      </c>
      <c r="C371" s="12" t="s">
        <v>24</v>
      </c>
      <c r="D371" s="12" t="s">
        <v>37</v>
      </c>
      <c r="E371" s="12" t="s">
        <v>35</v>
      </c>
      <c r="F371" s="12" t="s">
        <v>28</v>
      </c>
      <c r="G371" s="13">
        <v>5</v>
      </c>
      <c r="H371" s="13">
        <v>1</v>
      </c>
      <c r="I371" s="13">
        <v>0</v>
      </c>
      <c r="J371" s="14">
        <v>0</v>
      </c>
      <c r="K371" s="17">
        <f>IFERROR(ROUND((fCaixa[[#This Row],[Venda]]/fCaixa[[#This Row],[Preço/Un.]]),0),0)</f>
        <v>5</v>
      </c>
      <c r="L371" s="15">
        <f>IFERROR((SUBSTITUTE(RIGHT(fCaixa[[#This Row],[Descrição]],3),"G","")*1 *fCaixa[[#This Row],[Qtd/Pães]]) / 1000,0)</f>
        <v>0.25</v>
      </c>
      <c r="M371" s="13">
        <f>IFERROR((((SUBSTITUTE(RIGHT(fCaixa[[#This Row],[Descrição]],3),"G","")*1) * fCaixa[[#This Row],[QTD Perdida]])/1000) *fCaixa[[#This Row],[Custo/KG.]],0)</f>
        <v>0</v>
      </c>
      <c r="N371" s="15">
        <f>IF(fCaixa[[#This Row],[Lançamento]]="RECEITA",(fCaixa[[#This Row],[QTD Perdida]]* (SUBSTITUTE(RIGHT(fCaixa[[#This Row],[Descrição]],3),"G","")*1))/1000,0)</f>
        <v>0</v>
      </c>
      <c r="O371" s="15">
        <f>fCaixa[[#This Row],[Qtd/Kg]]+fCaixa[[#This Row],[Qtd/Kg Perdido]]</f>
        <v>0.25</v>
      </c>
      <c r="P371" s="13">
        <f>IF(fCaixa[[#This Row],[Lançamento]]="RECEITA",(fCaixa[[#This Row],[Qtd/Kg]]*fCaixa[[#This Row],[Custo/KG.]]),0)</f>
        <v>0</v>
      </c>
      <c r="Q371" s="34">
        <f>fCaixa[[#This Row],[Custoprimario]]+fCaixa[[#This Row],[Total Perdido]]</f>
        <v>0</v>
      </c>
      <c r="R371" s="16">
        <f>IFERROR(fCaixa[[#This Row],[Custoprimario]]/fCaixa[[#This Row],[Venda]],0)</f>
        <v>0</v>
      </c>
      <c r="S371" s="16">
        <f>IFERROR(fCaixa[[#This Row],[Custofinal]]/fCaixa[[#This Row],[Venda]],0)</f>
        <v>0</v>
      </c>
      <c r="T371" s="13">
        <f>IF(fCaixa[[#This Row],[Lançamento]]="RECEITA",fCaixa[[#This Row],[Venda]]-fCaixa[[#This Row],[Custoprimario]],0)</f>
        <v>5</v>
      </c>
      <c r="U371" s="16">
        <f>IFERROR(fCaixa[[#This Row],[Lucroprimario]]/fCaixa[[#This Row],[Venda]],0)</f>
        <v>1</v>
      </c>
      <c r="V37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4.8855000000000004</v>
      </c>
      <c r="W371" s="16">
        <f>IFERROR(fCaixa[[#This Row],[Lucrofinal]]/fCaixa[[#This Row],[Venda]],0)</f>
        <v>0.97710000000000008</v>
      </c>
    </row>
    <row r="372" spans="1:23" ht="16.5" hidden="1" x14ac:dyDescent="0.25">
      <c r="A372" s="17">
        <f t="shared" si="5"/>
        <v>371</v>
      </c>
      <c r="B372" s="87">
        <v>43260</v>
      </c>
      <c r="C372" s="12" t="s">
        <v>24</v>
      </c>
      <c r="D372" s="12" t="s">
        <v>25</v>
      </c>
      <c r="E372" s="12" t="s">
        <v>35</v>
      </c>
      <c r="F372" s="12" t="s">
        <v>28</v>
      </c>
      <c r="G372" s="13">
        <v>35</v>
      </c>
      <c r="H372" s="13">
        <v>1</v>
      </c>
      <c r="I372" s="13">
        <v>0</v>
      </c>
      <c r="J372" s="14">
        <v>0</v>
      </c>
      <c r="K372" s="17">
        <f>IFERROR(ROUND((fCaixa[[#This Row],[Venda]]/fCaixa[[#This Row],[Preço/Un.]]),0),0)</f>
        <v>35</v>
      </c>
      <c r="L372" s="15">
        <f>IFERROR((SUBSTITUTE(RIGHT(fCaixa[[#This Row],[Descrição]],3),"G","")*1 *fCaixa[[#This Row],[Qtd/Pães]]) / 1000,0)</f>
        <v>1.75</v>
      </c>
      <c r="M372" s="13">
        <f>IFERROR((((SUBSTITUTE(RIGHT(fCaixa[[#This Row],[Descrição]],3),"G","")*1) * fCaixa[[#This Row],[QTD Perdida]])/1000) *fCaixa[[#This Row],[Custo/KG.]],0)</f>
        <v>0</v>
      </c>
      <c r="N372" s="15">
        <f>IF(fCaixa[[#This Row],[Lançamento]]="RECEITA",(fCaixa[[#This Row],[QTD Perdida]]* (SUBSTITUTE(RIGHT(fCaixa[[#This Row],[Descrição]],3),"G","")*1))/1000,0)</f>
        <v>0</v>
      </c>
      <c r="O372" s="15">
        <f>fCaixa[[#This Row],[Qtd/Kg]]+fCaixa[[#This Row],[Qtd/Kg Perdido]]</f>
        <v>1.75</v>
      </c>
      <c r="P372" s="13">
        <f>IF(fCaixa[[#This Row],[Lançamento]]="RECEITA",(fCaixa[[#This Row],[Qtd/Kg]]*fCaixa[[#This Row],[Custo/KG.]]),0)</f>
        <v>0</v>
      </c>
      <c r="Q372" s="34">
        <f>fCaixa[[#This Row],[Custoprimario]]+fCaixa[[#This Row],[Total Perdido]]</f>
        <v>0</v>
      </c>
      <c r="R372" s="16">
        <f>IFERROR(fCaixa[[#This Row],[Custoprimario]]/fCaixa[[#This Row],[Venda]],0)</f>
        <v>0</v>
      </c>
      <c r="S372" s="16">
        <f>IFERROR(fCaixa[[#This Row],[Custofinal]]/fCaixa[[#This Row],[Venda]],0)</f>
        <v>0</v>
      </c>
      <c r="T372" s="13">
        <f>IF(fCaixa[[#This Row],[Lançamento]]="RECEITA",fCaixa[[#This Row],[Venda]]-fCaixa[[#This Row],[Custoprimario]],0)</f>
        <v>35</v>
      </c>
      <c r="U372" s="16">
        <f>IFERROR(fCaixa[[#This Row],[Lucroprimario]]/fCaixa[[#This Row],[Venda]],0)</f>
        <v>1</v>
      </c>
      <c r="V37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35</v>
      </c>
      <c r="W372" s="16">
        <f>IFERROR(fCaixa[[#This Row],[Lucrofinal]]/fCaixa[[#This Row],[Venda]],0)</f>
        <v>1</v>
      </c>
    </row>
    <row r="373" spans="1:23" ht="16.5" hidden="1" x14ac:dyDescent="0.25">
      <c r="A373" s="17">
        <f t="shared" si="5"/>
        <v>372</v>
      </c>
      <c r="B373" s="87">
        <v>43260</v>
      </c>
      <c r="C373" s="12" t="s">
        <v>24</v>
      </c>
      <c r="D373" s="12" t="s">
        <v>25</v>
      </c>
      <c r="E373" s="12" t="s">
        <v>93</v>
      </c>
      <c r="F373" s="12" t="s">
        <v>28</v>
      </c>
      <c r="G373" s="13">
        <v>12</v>
      </c>
      <c r="H373" s="13">
        <v>1</v>
      </c>
      <c r="I373" s="13">
        <v>0</v>
      </c>
      <c r="J373" s="14">
        <v>14</v>
      </c>
      <c r="K373" s="17">
        <f>IFERROR(ROUND((fCaixa[[#This Row],[Venda]]/fCaixa[[#This Row],[Preço/Un.]]),0),0)</f>
        <v>12</v>
      </c>
      <c r="L373" s="15">
        <f>IFERROR((SUBSTITUTE(RIGHT(fCaixa[[#This Row],[Descrição]],3),"G","")*1 *fCaixa[[#This Row],[Qtd/Pães]]) / 1000,0)</f>
        <v>0.45600000000000002</v>
      </c>
      <c r="M373" s="13">
        <f>IFERROR((((SUBSTITUTE(RIGHT(fCaixa[[#This Row],[Descrição]],3),"G","")*1) * fCaixa[[#This Row],[QTD Perdida]])/1000) *fCaixa[[#This Row],[Custo/KG.]],0)</f>
        <v>0</v>
      </c>
      <c r="N373" s="15">
        <f>IF(fCaixa[[#This Row],[Lançamento]]="RECEITA",(fCaixa[[#This Row],[QTD Perdida]]* (SUBSTITUTE(RIGHT(fCaixa[[#This Row],[Descrição]],3),"G","")*1))/1000,0)</f>
        <v>0.53200000000000003</v>
      </c>
      <c r="O373" s="15">
        <f>fCaixa[[#This Row],[Qtd/Kg]]+fCaixa[[#This Row],[Qtd/Kg Perdido]]</f>
        <v>0.98799999999999999</v>
      </c>
      <c r="P373" s="13">
        <f>IF(fCaixa[[#This Row],[Lançamento]]="RECEITA",(fCaixa[[#This Row],[Qtd/Kg]]*fCaixa[[#This Row],[Custo/KG.]]),0)</f>
        <v>0</v>
      </c>
      <c r="Q373" s="34">
        <f>fCaixa[[#This Row],[Custoprimario]]+fCaixa[[#This Row],[Total Perdido]]</f>
        <v>0</v>
      </c>
      <c r="R373" s="16">
        <f>IFERROR(fCaixa[[#This Row],[Custoprimario]]/fCaixa[[#This Row],[Venda]],0)</f>
        <v>0</v>
      </c>
      <c r="S373" s="16">
        <f>IFERROR(fCaixa[[#This Row],[Custofinal]]/fCaixa[[#This Row],[Venda]],0)</f>
        <v>0</v>
      </c>
      <c r="T373" s="13">
        <f>IF(fCaixa[[#This Row],[Lançamento]]="RECEITA",fCaixa[[#This Row],[Venda]]-fCaixa[[#This Row],[Custoprimario]],0)</f>
        <v>12</v>
      </c>
      <c r="U373" s="16">
        <f>IFERROR(fCaixa[[#This Row],[Lucroprimario]]/fCaixa[[#This Row],[Venda]],0)</f>
        <v>1</v>
      </c>
      <c r="V37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</v>
      </c>
      <c r="W373" s="16">
        <f>IFERROR(fCaixa[[#This Row],[Lucrofinal]]/fCaixa[[#This Row],[Venda]],0)</f>
        <v>1</v>
      </c>
    </row>
    <row r="374" spans="1:23" ht="16.5" hidden="1" x14ac:dyDescent="0.25">
      <c r="A374" s="17">
        <f t="shared" si="5"/>
        <v>373</v>
      </c>
      <c r="B374" s="87">
        <v>43260</v>
      </c>
      <c r="C374" s="12" t="s">
        <v>24</v>
      </c>
      <c r="D374" s="12" t="s">
        <v>25</v>
      </c>
      <c r="E374" s="12" t="s">
        <v>78</v>
      </c>
      <c r="F374" s="12" t="s">
        <v>28</v>
      </c>
      <c r="G374" s="13">
        <v>40</v>
      </c>
      <c r="H374" s="13">
        <v>0.4</v>
      </c>
      <c r="I374" s="13">
        <v>0</v>
      </c>
      <c r="J374" s="14">
        <v>0</v>
      </c>
      <c r="K374" s="17">
        <f>IFERROR(ROUND((fCaixa[[#This Row],[Venda]]/fCaixa[[#This Row],[Preço/Un.]]),0),0)</f>
        <v>100</v>
      </c>
      <c r="L374" s="15">
        <f>IFERROR((SUBSTITUTE(RIGHT(fCaixa[[#This Row],[Descrição]],3),"G","")*1 *fCaixa[[#This Row],[Qtd/Pães]]) / 1000,0)</f>
        <v>2</v>
      </c>
      <c r="M374" s="13">
        <f>IFERROR((((SUBSTITUTE(RIGHT(fCaixa[[#This Row],[Descrição]],3),"G","")*1) * fCaixa[[#This Row],[QTD Perdida]])/1000) *fCaixa[[#This Row],[Custo/KG.]],0)</f>
        <v>0</v>
      </c>
      <c r="N374" s="15">
        <f>IF(fCaixa[[#This Row],[Lançamento]]="RECEITA",(fCaixa[[#This Row],[QTD Perdida]]* (SUBSTITUTE(RIGHT(fCaixa[[#This Row],[Descrição]],3),"G","")*1))/1000,0)</f>
        <v>0</v>
      </c>
      <c r="O374" s="15">
        <f>fCaixa[[#This Row],[Qtd/Kg]]+fCaixa[[#This Row],[Qtd/Kg Perdido]]</f>
        <v>2</v>
      </c>
      <c r="P374" s="13">
        <f>IF(fCaixa[[#This Row],[Lançamento]]="RECEITA",(fCaixa[[#This Row],[Qtd/Kg]]*fCaixa[[#This Row],[Custo/KG.]]),0)</f>
        <v>0</v>
      </c>
      <c r="Q374" s="34">
        <f>fCaixa[[#This Row],[Custoprimario]]+fCaixa[[#This Row],[Total Perdido]]</f>
        <v>0</v>
      </c>
      <c r="R374" s="16">
        <f>IFERROR(fCaixa[[#This Row],[Custoprimario]]/fCaixa[[#This Row],[Venda]],0)</f>
        <v>0</v>
      </c>
      <c r="S374" s="16">
        <f>IFERROR(fCaixa[[#This Row],[Custofinal]]/fCaixa[[#This Row],[Venda]],0)</f>
        <v>0</v>
      </c>
      <c r="T374" s="13">
        <f>IF(fCaixa[[#This Row],[Lançamento]]="RECEITA",fCaixa[[#This Row],[Venda]]-fCaixa[[#This Row],[Custoprimario]],0)</f>
        <v>40</v>
      </c>
      <c r="U374" s="16">
        <f>IFERROR(fCaixa[[#This Row],[Lucroprimario]]/fCaixa[[#This Row],[Venda]],0)</f>
        <v>1</v>
      </c>
      <c r="V37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40</v>
      </c>
      <c r="W374" s="16">
        <f>IFERROR(fCaixa[[#This Row],[Lucrofinal]]/fCaixa[[#This Row],[Venda]],0)</f>
        <v>1</v>
      </c>
    </row>
    <row r="375" spans="1:23" ht="16.5" hidden="1" x14ac:dyDescent="0.25">
      <c r="A375" s="17">
        <f t="shared" si="5"/>
        <v>374</v>
      </c>
      <c r="B375" s="87">
        <v>43262</v>
      </c>
      <c r="C375" s="12" t="s">
        <v>24</v>
      </c>
      <c r="D375" s="12" t="s">
        <v>25</v>
      </c>
      <c r="E375" s="12" t="s">
        <v>35</v>
      </c>
      <c r="F375" s="12" t="s">
        <v>28</v>
      </c>
      <c r="G375" s="13">
        <v>158</v>
      </c>
      <c r="H375" s="13">
        <v>1</v>
      </c>
      <c r="I375" s="13">
        <v>11.5</v>
      </c>
      <c r="J375" s="14">
        <v>1</v>
      </c>
      <c r="K375" s="17">
        <f>IFERROR(ROUND((fCaixa[[#This Row],[Venda]]/fCaixa[[#This Row],[Preço/Un.]]),0),0)</f>
        <v>158</v>
      </c>
      <c r="L375" s="15">
        <f>IFERROR((SUBSTITUTE(RIGHT(fCaixa[[#This Row],[Descrição]],3),"G","")*1 *fCaixa[[#This Row],[Qtd/Pães]]) / 1000,0)</f>
        <v>7.9</v>
      </c>
      <c r="M375" s="13">
        <f>IFERROR((((SUBSTITUTE(RIGHT(fCaixa[[#This Row],[Descrição]],3),"G","")*1) * fCaixa[[#This Row],[QTD Perdida]])/1000) *fCaixa[[#This Row],[Custo/KG.]],0)</f>
        <v>0.57500000000000007</v>
      </c>
      <c r="N375" s="15">
        <f>IF(fCaixa[[#This Row],[Lançamento]]="RECEITA",(fCaixa[[#This Row],[QTD Perdida]]* (SUBSTITUTE(RIGHT(fCaixa[[#This Row],[Descrição]],3),"G","")*1))/1000,0)</f>
        <v>0.05</v>
      </c>
      <c r="O375" s="15">
        <f>fCaixa[[#This Row],[Qtd/Kg]]+fCaixa[[#This Row],[Qtd/Kg Perdido]]</f>
        <v>7.95</v>
      </c>
      <c r="P375" s="13">
        <f>IF(fCaixa[[#This Row],[Lançamento]]="RECEITA",(fCaixa[[#This Row],[Qtd/Kg]]*fCaixa[[#This Row],[Custo/KG.]]),0)</f>
        <v>90.850000000000009</v>
      </c>
      <c r="Q375" s="34">
        <f>fCaixa[[#This Row],[Custoprimario]]+fCaixa[[#This Row],[Total Perdido]]</f>
        <v>91.425000000000011</v>
      </c>
      <c r="R375" s="16">
        <f>IFERROR(fCaixa[[#This Row],[Custoprimario]]/fCaixa[[#This Row],[Venda]],0)</f>
        <v>0.57500000000000007</v>
      </c>
      <c r="S375" s="16">
        <f>IFERROR(fCaixa[[#This Row],[Custofinal]]/fCaixa[[#This Row],[Venda]],0)</f>
        <v>0.5786392405063292</v>
      </c>
      <c r="T375" s="13">
        <f>IF(fCaixa[[#This Row],[Lançamento]]="RECEITA",fCaixa[[#This Row],[Venda]]-fCaixa[[#This Row],[Custoprimario]],0)</f>
        <v>67.149999999999991</v>
      </c>
      <c r="U375" s="16">
        <f>IFERROR(fCaixa[[#This Row],[Lucroprimario]]/fCaixa[[#This Row],[Venda]],0)</f>
        <v>0.42499999999999993</v>
      </c>
      <c r="V37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66.574999999999989</v>
      </c>
      <c r="W375" s="16">
        <f>IFERROR(fCaixa[[#This Row],[Lucrofinal]]/fCaixa[[#This Row],[Venda]],0)</f>
        <v>0.4213607594936708</v>
      </c>
    </row>
    <row r="376" spans="1:23" ht="16.5" hidden="1" x14ac:dyDescent="0.25">
      <c r="A376" s="17">
        <f t="shared" si="5"/>
        <v>375</v>
      </c>
      <c r="B376" s="87">
        <v>43262</v>
      </c>
      <c r="C376" s="12" t="s">
        <v>24</v>
      </c>
      <c r="D376" s="12" t="s">
        <v>25</v>
      </c>
      <c r="E376" s="12" t="s">
        <v>93</v>
      </c>
      <c r="F376" s="12" t="s">
        <v>28</v>
      </c>
      <c r="G376" s="13">
        <v>23</v>
      </c>
      <c r="H376" s="13">
        <v>1</v>
      </c>
      <c r="I376" s="13">
        <v>11.5</v>
      </c>
      <c r="J376" s="14">
        <v>3</v>
      </c>
      <c r="K376" s="17">
        <f>IFERROR(ROUND((fCaixa[[#This Row],[Venda]]/fCaixa[[#This Row],[Preço/Un.]]),0),0)</f>
        <v>23</v>
      </c>
      <c r="L376" s="15">
        <f>IFERROR((SUBSTITUTE(RIGHT(fCaixa[[#This Row],[Descrição]],3),"G","")*1 *fCaixa[[#This Row],[Qtd/Pães]]) / 1000,0)</f>
        <v>0.874</v>
      </c>
      <c r="M376" s="13">
        <f>IFERROR((((SUBSTITUTE(RIGHT(fCaixa[[#This Row],[Descrição]],3),"G","")*1) * fCaixa[[#This Row],[QTD Perdida]])/1000) *fCaixa[[#This Row],[Custo/KG.]],0)</f>
        <v>1.3109999999999999</v>
      </c>
      <c r="N376" s="15">
        <f>IF(fCaixa[[#This Row],[Lançamento]]="RECEITA",(fCaixa[[#This Row],[QTD Perdida]]* (SUBSTITUTE(RIGHT(fCaixa[[#This Row],[Descrição]],3),"G","")*1))/1000,0)</f>
        <v>0.114</v>
      </c>
      <c r="O376" s="15">
        <f>fCaixa[[#This Row],[Qtd/Kg]]+fCaixa[[#This Row],[Qtd/Kg Perdido]]</f>
        <v>0.98799999999999999</v>
      </c>
      <c r="P376" s="13">
        <f>IF(fCaixa[[#This Row],[Lançamento]]="RECEITA",(fCaixa[[#This Row],[Qtd/Kg]]*fCaixa[[#This Row],[Custo/KG.]]),0)</f>
        <v>10.051</v>
      </c>
      <c r="Q376" s="34">
        <f>fCaixa[[#This Row],[Custoprimario]]+fCaixa[[#This Row],[Total Perdido]]</f>
        <v>11.362</v>
      </c>
      <c r="R376" s="16">
        <f>IFERROR(fCaixa[[#This Row],[Custoprimario]]/fCaixa[[#This Row],[Venda]],0)</f>
        <v>0.437</v>
      </c>
      <c r="S376" s="16">
        <f>IFERROR(fCaixa[[#This Row],[Custofinal]]/fCaixa[[#This Row],[Venda]],0)</f>
        <v>0.49399999999999999</v>
      </c>
      <c r="T376" s="13">
        <f>IF(fCaixa[[#This Row],[Lançamento]]="RECEITA",fCaixa[[#This Row],[Venda]]-fCaixa[[#This Row],[Custoprimario]],0)</f>
        <v>12.949</v>
      </c>
      <c r="U376" s="16">
        <f>IFERROR(fCaixa[[#This Row],[Lucroprimario]]/fCaixa[[#This Row],[Venda]],0)</f>
        <v>0.56299999999999994</v>
      </c>
      <c r="V37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11.638</v>
      </c>
      <c r="W376" s="16">
        <f>IFERROR(fCaixa[[#This Row],[Lucrofinal]]/fCaixa[[#This Row],[Venda]],0)</f>
        <v>0.50600000000000001</v>
      </c>
    </row>
    <row r="377" spans="1:23" ht="16.5" hidden="1" x14ac:dyDescent="0.25">
      <c r="A377" s="17">
        <f t="shared" si="5"/>
        <v>376</v>
      </c>
      <c r="B377" s="87">
        <v>43262</v>
      </c>
      <c r="C377" s="12" t="s">
        <v>24</v>
      </c>
      <c r="D377" s="12" t="s">
        <v>25</v>
      </c>
      <c r="E377" s="12" t="s">
        <v>78</v>
      </c>
      <c r="F377" s="12" t="s">
        <v>28</v>
      </c>
      <c r="G377" s="13">
        <v>37.6</v>
      </c>
      <c r="H377" s="13">
        <v>0.4</v>
      </c>
      <c r="I377" s="13">
        <v>11.5</v>
      </c>
      <c r="J377" s="14">
        <v>0</v>
      </c>
      <c r="K377" s="17">
        <f>IFERROR(ROUND((fCaixa[[#This Row],[Venda]]/fCaixa[[#This Row],[Preço/Un.]]),0),0)</f>
        <v>94</v>
      </c>
      <c r="L377" s="15">
        <f>IFERROR((SUBSTITUTE(RIGHT(fCaixa[[#This Row],[Descrição]],3),"G","")*1 *fCaixa[[#This Row],[Qtd/Pães]]) / 1000,0)</f>
        <v>1.88</v>
      </c>
      <c r="M377" s="13">
        <f>IFERROR((((SUBSTITUTE(RIGHT(fCaixa[[#This Row],[Descrição]],3),"G","")*1) * fCaixa[[#This Row],[QTD Perdida]])/1000) *fCaixa[[#This Row],[Custo/KG.]],0)</f>
        <v>0</v>
      </c>
      <c r="N377" s="15">
        <f>IF(fCaixa[[#This Row],[Lançamento]]="RECEITA",(fCaixa[[#This Row],[QTD Perdida]]* (SUBSTITUTE(RIGHT(fCaixa[[#This Row],[Descrição]],3),"G","")*1))/1000,0)</f>
        <v>0</v>
      </c>
      <c r="O377" s="15">
        <f>fCaixa[[#This Row],[Qtd/Kg]]+fCaixa[[#This Row],[Qtd/Kg Perdido]]</f>
        <v>1.88</v>
      </c>
      <c r="P377" s="13">
        <f>IF(fCaixa[[#This Row],[Lançamento]]="RECEITA",(fCaixa[[#This Row],[Qtd/Kg]]*fCaixa[[#This Row],[Custo/KG.]]),0)</f>
        <v>21.619999999999997</v>
      </c>
      <c r="Q377" s="34">
        <f>fCaixa[[#This Row],[Custoprimario]]+fCaixa[[#This Row],[Total Perdido]]</f>
        <v>21.619999999999997</v>
      </c>
      <c r="R377" s="16">
        <f>IFERROR(fCaixa[[#This Row],[Custoprimario]]/fCaixa[[#This Row],[Venda]],0)</f>
        <v>0.57499999999999996</v>
      </c>
      <c r="S377" s="16">
        <f>IFERROR(fCaixa[[#This Row],[Custofinal]]/fCaixa[[#This Row],[Venda]],0)</f>
        <v>0.57499999999999996</v>
      </c>
      <c r="T377" s="13">
        <f>IF(fCaixa[[#This Row],[Lançamento]]="RECEITA",fCaixa[[#This Row],[Venda]]-fCaixa[[#This Row],[Custoprimario]],0)</f>
        <v>15.980000000000004</v>
      </c>
      <c r="U377" s="16">
        <f>IFERROR(fCaixa[[#This Row],[Lucroprimario]]/fCaixa[[#This Row],[Venda]],0)</f>
        <v>0.4250000000000001</v>
      </c>
      <c r="V37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15.980000000000004</v>
      </c>
      <c r="W377" s="16">
        <f>IFERROR(fCaixa[[#This Row],[Lucrofinal]]/fCaixa[[#This Row],[Venda]],0)</f>
        <v>0.4250000000000001</v>
      </c>
    </row>
    <row r="378" spans="1:23" ht="16.5" hidden="1" x14ac:dyDescent="0.25">
      <c r="A378" s="17">
        <f t="shared" si="5"/>
        <v>377</v>
      </c>
      <c r="B378" s="87">
        <v>43263</v>
      </c>
      <c r="C378" s="12" t="s">
        <v>24</v>
      </c>
      <c r="D378" s="12" t="s">
        <v>25</v>
      </c>
      <c r="E378" s="12" t="s">
        <v>35</v>
      </c>
      <c r="F378" s="12" t="s">
        <v>28</v>
      </c>
      <c r="G378" s="13">
        <v>159</v>
      </c>
      <c r="H378" s="13">
        <v>1</v>
      </c>
      <c r="I378" s="13">
        <v>11.5</v>
      </c>
      <c r="J378" s="14">
        <v>1</v>
      </c>
      <c r="K378" s="17">
        <f>IFERROR(ROUND((fCaixa[[#This Row],[Venda]]/fCaixa[[#This Row],[Preço/Un.]]),0),0)</f>
        <v>159</v>
      </c>
      <c r="L378" s="15">
        <f>IFERROR((SUBSTITUTE(RIGHT(fCaixa[[#This Row],[Descrição]],3),"G","")*1 *fCaixa[[#This Row],[Qtd/Pães]]) / 1000,0)</f>
        <v>7.95</v>
      </c>
      <c r="M378" s="13">
        <f>IFERROR((((SUBSTITUTE(RIGHT(fCaixa[[#This Row],[Descrição]],3),"G","")*1) * fCaixa[[#This Row],[QTD Perdida]])/1000) *fCaixa[[#This Row],[Custo/KG.]],0)</f>
        <v>0.57500000000000007</v>
      </c>
      <c r="N378" s="15">
        <f>IF(fCaixa[[#This Row],[Lançamento]]="RECEITA",(fCaixa[[#This Row],[QTD Perdida]]* (SUBSTITUTE(RIGHT(fCaixa[[#This Row],[Descrição]],3),"G","")*1))/1000,0)</f>
        <v>0.05</v>
      </c>
      <c r="O378" s="15">
        <f>fCaixa[[#This Row],[Qtd/Kg]]+fCaixa[[#This Row],[Qtd/Kg Perdido]]</f>
        <v>8</v>
      </c>
      <c r="P378" s="13">
        <f>IF(fCaixa[[#This Row],[Lançamento]]="RECEITA",(fCaixa[[#This Row],[Qtd/Kg]]*fCaixa[[#This Row],[Custo/KG.]]),0)</f>
        <v>91.424999999999997</v>
      </c>
      <c r="Q378" s="34">
        <f>fCaixa[[#This Row],[Custoprimario]]+fCaixa[[#This Row],[Total Perdido]]</f>
        <v>92</v>
      </c>
      <c r="R378" s="16">
        <f>IFERROR(fCaixa[[#This Row],[Custoprimario]]/fCaixa[[#This Row],[Venda]],0)</f>
        <v>0.57499999999999996</v>
      </c>
      <c r="S378" s="16">
        <f>IFERROR(fCaixa[[#This Row],[Custofinal]]/fCaixa[[#This Row],[Venda]],0)</f>
        <v>0.57861635220125784</v>
      </c>
      <c r="T378" s="13">
        <f>IF(fCaixa[[#This Row],[Lançamento]]="RECEITA",fCaixa[[#This Row],[Venda]]-fCaixa[[#This Row],[Custoprimario]],0)</f>
        <v>67.575000000000003</v>
      </c>
      <c r="U378" s="16">
        <f>IFERROR(fCaixa[[#This Row],[Lucroprimario]]/fCaixa[[#This Row],[Venda]],0)</f>
        <v>0.42500000000000004</v>
      </c>
      <c r="V37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67</v>
      </c>
      <c r="W378" s="16">
        <f>IFERROR(fCaixa[[#This Row],[Lucrofinal]]/fCaixa[[#This Row],[Venda]],0)</f>
        <v>0.42138364779874216</v>
      </c>
    </row>
    <row r="379" spans="1:23" ht="16.5" hidden="1" x14ac:dyDescent="0.25">
      <c r="A379" s="17">
        <f t="shared" si="5"/>
        <v>378</v>
      </c>
      <c r="B379" s="87">
        <v>43263</v>
      </c>
      <c r="C379" s="12" t="s">
        <v>24</v>
      </c>
      <c r="D379" s="12" t="s">
        <v>25</v>
      </c>
      <c r="E379" s="12" t="s">
        <v>78</v>
      </c>
      <c r="F379" s="12" t="s">
        <v>28</v>
      </c>
      <c r="G379" s="13">
        <v>37.200000000000003</v>
      </c>
      <c r="H379" s="13">
        <v>0.4</v>
      </c>
      <c r="I379" s="13">
        <v>11.5</v>
      </c>
      <c r="J379" s="14">
        <v>7</v>
      </c>
      <c r="K379" s="17">
        <f>IFERROR(ROUND((fCaixa[[#This Row],[Venda]]/fCaixa[[#This Row],[Preço/Un.]]),0),0)</f>
        <v>93</v>
      </c>
      <c r="L379" s="15">
        <f>IFERROR((SUBSTITUTE(RIGHT(fCaixa[[#This Row],[Descrição]],3),"G","")*1 *fCaixa[[#This Row],[Qtd/Pães]]) / 1000,0)</f>
        <v>1.86</v>
      </c>
      <c r="M379" s="13">
        <f>IFERROR((((SUBSTITUTE(RIGHT(fCaixa[[#This Row],[Descrição]],3),"G","")*1) * fCaixa[[#This Row],[QTD Perdida]])/1000) *fCaixa[[#This Row],[Custo/KG.]],0)</f>
        <v>1.61</v>
      </c>
      <c r="N379" s="15">
        <f>IF(fCaixa[[#This Row],[Lançamento]]="RECEITA",(fCaixa[[#This Row],[QTD Perdida]]* (SUBSTITUTE(RIGHT(fCaixa[[#This Row],[Descrição]],3),"G","")*1))/1000,0)</f>
        <v>0.14000000000000001</v>
      </c>
      <c r="O379" s="15">
        <f>fCaixa[[#This Row],[Qtd/Kg]]+fCaixa[[#This Row],[Qtd/Kg Perdido]]</f>
        <v>2</v>
      </c>
      <c r="P379" s="13">
        <f>IF(fCaixa[[#This Row],[Lançamento]]="RECEITA",(fCaixa[[#This Row],[Qtd/Kg]]*fCaixa[[#This Row],[Custo/KG.]]),0)</f>
        <v>21.39</v>
      </c>
      <c r="Q379" s="34">
        <f>fCaixa[[#This Row],[Custoprimario]]+fCaixa[[#This Row],[Total Perdido]]</f>
        <v>23</v>
      </c>
      <c r="R379" s="16">
        <f>IFERROR(fCaixa[[#This Row],[Custoprimario]]/fCaixa[[#This Row],[Venda]],0)</f>
        <v>0.57499999999999996</v>
      </c>
      <c r="S379" s="16">
        <f>IFERROR(fCaixa[[#This Row],[Custofinal]]/fCaixa[[#This Row],[Venda]],0)</f>
        <v>0.61827956989247312</v>
      </c>
      <c r="T379" s="13">
        <f>IF(fCaixa[[#This Row],[Lançamento]]="RECEITA",fCaixa[[#This Row],[Venda]]-fCaixa[[#This Row],[Custoprimario]],0)</f>
        <v>15.810000000000002</v>
      </c>
      <c r="U379" s="16">
        <f>IFERROR(fCaixa[[#This Row],[Lucroprimario]]/fCaixa[[#This Row],[Venda]],0)</f>
        <v>0.42500000000000004</v>
      </c>
      <c r="V37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14.200000000000003</v>
      </c>
      <c r="W379" s="16">
        <f>IFERROR(fCaixa[[#This Row],[Lucrofinal]]/fCaixa[[#This Row],[Venda]],0)</f>
        <v>0.38172043010752693</v>
      </c>
    </row>
    <row r="380" spans="1:23" ht="16.5" hidden="1" x14ac:dyDescent="0.25">
      <c r="A380" s="17">
        <f t="shared" si="5"/>
        <v>379</v>
      </c>
      <c r="B380" s="87">
        <v>43264</v>
      </c>
      <c r="C380" s="12" t="s">
        <v>24</v>
      </c>
      <c r="D380" s="12" t="s">
        <v>25</v>
      </c>
      <c r="E380" s="12" t="s">
        <v>35</v>
      </c>
      <c r="F380" s="12" t="s">
        <v>28</v>
      </c>
      <c r="G380" s="13">
        <v>178</v>
      </c>
      <c r="H380" s="13">
        <v>1</v>
      </c>
      <c r="I380" s="13">
        <v>11.5</v>
      </c>
      <c r="J380" s="14">
        <v>2</v>
      </c>
      <c r="K380" s="17">
        <f>IFERROR(ROUND((fCaixa[[#This Row],[Venda]]/fCaixa[[#This Row],[Preço/Un.]]),0),0)</f>
        <v>178</v>
      </c>
      <c r="L380" s="15">
        <f>IFERROR((SUBSTITUTE(RIGHT(fCaixa[[#This Row],[Descrição]],3),"G","")*1 *fCaixa[[#This Row],[Qtd/Pães]]) / 1000,0)</f>
        <v>8.9</v>
      </c>
      <c r="M380" s="13">
        <f>IFERROR((((SUBSTITUTE(RIGHT(fCaixa[[#This Row],[Descrição]],3),"G","")*1) * fCaixa[[#This Row],[QTD Perdida]])/1000) *fCaixa[[#This Row],[Custo/KG.]],0)</f>
        <v>1.1500000000000001</v>
      </c>
      <c r="N380" s="15">
        <f>IF(fCaixa[[#This Row],[Lançamento]]="RECEITA",(fCaixa[[#This Row],[QTD Perdida]]* (SUBSTITUTE(RIGHT(fCaixa[[#This Row],[Descrição]],3),"G","")*1))/1000,0)</f>
        <v>0.1</v>
      </c>
      <c r="O380" s="15">
        <f>fCaixa[[#This Row],[Qtd/Kg]]+fCaixa[[#This Row],[Qtd/Kg Perdido]]</f>
        <v>9</v>
      </c>
      <c r="P380" s="13">
        <f>IF(fCaixa[[#This Row],[Lançamento]]="RECEITA",(fCaixa[[#This Row],[Qtd/Kg]]*fCaixa[[#This Row],[Custo/KG.]]),0)</f>
        <v>102.35000000000001</v>
      </c>
      <c r="Q380" s="34">
        <f>fCaixa[[#This Row],[Custoprimario]]+fCaixa[[#This Row],[Total Perdido]]</f>
        <v>103.50000000000001</v>
      </c>
      <c r="R380" s="16">
        <f>IFERROR(fCaixa[[#This Row],[Custoprimario]]/fCaixa[[#This Row],[Venda]],0)</f>
        <v>0.57500000000000007</v>
      </c>
      <c r="S380" s="16">
        <f>IFERROR(fCaixa[[#This Row],[Custofinal]]/fCaixa[[#This Row],[Venda]],0)</f>
        <v>0.5814606741573034</v>
      </c>
      <c r="T380" s="13">
        <f>IF(fCaixa[[#This Row],[Lançamento]]="RECEITA",fCaixa[[#This Row],[Venda]]-fCaixa[[#This Row],[Custoprimario]],0)</f>
        <v>75.649999999999991</v>
      </c>
      <c r="U380" s="16">
        <f>IFERROR(fCaixa[[#This Row],[Lucroprimario]]/fCaixa[[#This Row],[Venda]],0)</f>
        <v>0.42499999999999993</v>
      </c>
      <c r="V38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74.499999999999986</v>
      </c>
      <c r="W380" s="16">
        <f>IFERROR(fCaixa[[#This Row],[Lucrofinal]]/fCaixa[[#This Row],[Venda]],0)</f>
        <v>0.41853932584269654</v>
      </c>
    </row>
    <row r="381" spans="1:23" ht="16.5" hidden="1" x14ac:dyDescent="0.25">
      <c r="A381" s="17">
        <f t="shared" si="5"/>
        <v>380</v>
      </c>
      <c r="B381" s="87">
        <v>43264</v>
      </c>
      <c r="C381" s="12" t="s">
        <v>24</v>
      </c>
      <c r="D381" s="12" t="s">
        <v>25</v>
      </c>
      <c r="E381" s="12" t="s">
        <v>78</v>
      </c>
      <c r="F381" s="12" t="s">
        <v>28</v>
      </c>
      <c r="G381" s="13">
        <v>18</v>
      </c>
      <c r="H381" s="13">
        <v>0.4</v>
      </c>
      <c r="I381" s="13">
        <v>11.5</v>
      </c>
      <c r="J381" s="14">
        <v>5</v>
      </c>
      <c r="K381" s="17">
        <f>IFERROR(ROUND((fCaixa[[#This Row],[Venda]]/fCaixa[[#This Row],[Preço/Un.]]),0),0)</f>
        <v>45</v>
      </c>
      <c r="L381" s="15">
        <f>IFERROR((SUBSTITUTE(RIGHT(fCaixa[[#This Row],[Descrição]],3),"G","")*1 *fCaixa[[#This Row],[Qtd/Pães]]) / 1000,0)</f>
        <v>0.9</v>
      </c>
      <c r="M381" s="13">
        <f>IFERROR((((SUBSTITUTE(RIGHT(fCaixa[[#This Row],[Descrição]],3),"G","")*1) * fCaixa[[#This Row],[QTD Perdida]])/1000) *fCaixa[[#This Row],[Custo/KG.]],0)</f>
        <v>1.1500000000000001</v>
      </c>
      <c r="N381" s="15">
        <f>IF(fCaixa[[#This Row],[Lançamento]]="RECEITA",(fCaixa[[#This Row],[QTD Perdida]]* (SUBSTITUTE(RIGHT(fCaixa[[#This Row],[Descrição]],3),"G","")*1))/1000,0)</f>
        <v>0.1</v>
      </c>
      <c r="O381" s="15">
        <f>fCaixa[[#This Row],[Qtd/Kg]]+fCaixa[[#This Row],[Qtd/Kg Perdido]]</f>
        <v>1</v>
      </c>
      <c r="P381" s="13">
        <f>IF(fCaixa[[#This Row],[Lançamento]]="RECEITA",(fCaixa[[#This Row],[Qtd/Kg]]*fCaixa[[#This Row],[Custo/KG.]]),0)</f>
        <v>10.35</v>
      </c>
      <c r="Q381" s="34">
        <f>fCaixa[[#This Row],[Custoprimario]]+fCaixa[[#This Row],[Total Perdido]]</f>
        <v>11.5</v>
      </c>
      <c r="R381" s="16">
        <f>IFERROR(fCaixa[[#This Row],[Custoprimario]]/fCaixa[[#This Row],[Venda]],0)</f>
        <v>0.57499999999999996</v>
      </c>
      <c r="S381" s="16">
        <f>IFERROR(fCaixa[[#This Row],[Custofinal]]/fCaixa[[#This Row],[Venda]],0)</f>
        <v>0.63888888888888884</v>
      </c>
      <c r="T381" s="13">
        <f>IF(fCaixa[[#This Row],[Lançamento]]="RECEITA",fCaixa[[#This Row],[Venda]]-fCaixa[[#This Row],[Custoprimario]],0)</f>
        <v>7.65</v>
      </c>
      <c r="U381" s="16">
        <f>IFERROR(fCaixa[[#This Row],[Lucroprimario]]/fCaixa[[#This Row],[Venda]],0)</f>
        <v>0.42500000000000004</v>
      </c>
      <c r="V38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381" s="16">
        <f>IFERROR(fCaixa[[#This Row],[Lucrofinal]]/fCaixa[[#This Row],[Venda]],0)</f>
        <v>0.3611111111111111</v>
      </c>
    </row>
    <row r="382" spans="1:23" ht="16.5" hidden="1" x14ac:dyDescent="0.25">
      <c r="A382" s="17">
        <f t="shared" si="5"/>
        <v>381</v>
      </c>
      <c r="B382" s="87">
        <v>43265</v>
      </c>
      <c r="C382" s="12" t="s">
        <v>24</v>
      </c>
      <c r="D382" s="12" t="s">
        <v>25</v>
      </c>
      <c r="E382" s="12" t="s">
        <v>35</v>
      </c>
      <c r="F382" s="12" t="s">
        <v>28</v>
      </c>
      <c r="G382" s="13">
        <v>267</v>
      </c>
      <c r="H382" s="13">
        <v>1</v>
      </c>
      <c r="I382" s="13">
        <v>11.5</v>
      </c>
      <c r="J382" s="14">
        <v>3</v>
      </c>
      <c r="K382" s="17">
        <f>IFERROR(ROUND((fCaixa[[#This Row],[Venda]]/fCaixa[[#This Row],[Preço/Un.]]),0),0)</f>
        <v>267</v>
      </c>
      <c r="L382" s="15">
        <f>IFERROR((SUBSTITUTE(RIGHT(fCaixa[[#This Row],[Descrição]],3),"G","")*1 *fCaixa[[#This Row],[Qtd/Pães]]) / 1000,0)</f>
        <v>13.35</v>
      </c>
      <c r="M382" s="13">
        <f>IFERROR((((SUBSTITUTE(RIGHT(fCaixa[[#This Row],[Descrição]],3),"G","")*1) * fCaixa[[#This Row],[QTD Perdida]])/1000) *fCaixa[[#This Row],[Custo/KG.]],0)</f>
        <v>1.7249999999999999</v>
      </c>
      <c r="N382" s="15">
        <f>IF(fCaixa[[#This Row],[Lançamento]]="RECEITA",(fCaixa[[#This Row],[QTD Perdida]]* (SUBSTITUTE(RIGHT(fCaixa[[#This Row],[Descrição]],3),"G","")*1))/1000,0)</f>
        <v>0.15</v>
      </c>
      <c r="O382" s="15">
        <f>fCaixa[[#This Row],[Qtd/Kg]]+fCaixa[[#This Row],[Qtd/Kg Perdido]]</f>
        <v>13.5</v>
      </c>
      <c r="P382" s="13">
        <f>IF(fCaixa[[#This Row],[Lançamento]]="RECEITA",(fCaixa[[#This Row],[Qtd/Kg]]*fCaixa[[#This Row],[Custo/KG.]]),0)</f>
        <v>153.52500000000001</v>
      </c>
      <c r="Q382" s="34">
        <f>fCaixa[[#This Row],[Custoprimario]]+fCaixa[[#This Row],[Total Perdido]]</f>
        <v>155.25</v>
      </c>
      <c r="R382" s="16">
        <f>IFERROR(fCaixa[[#This Row],[Custoprimario]]/fCaixa[[#This Row],[Venda]],0)</f>
        <v>0.57500000000000007</v>
      </c>
      <c r="S382" s="16">
        <f>IFERROR(fCaixa[[#This Row],[Custofinal]]/fCaixa[[#This Row],[Venda]],0)</f>
        <v>0.5814606741573034</v>
      </c>
      <c r="T382" s="13">
        <f>IF(fCaixa[[#This Row],[Lançamento]]="RECEITA",fCaixa[[#This Row],[Venda]]-fCaixa[[#This Row],[Custoprimario]],0)</f>
        <v>113.47499999999999</v>
      </c>
      <c r="U382" s="16">
        <f>IFERROR(fCaixa[[#This Row],[Lucroprimario]]/fCaixa[[#This Row],[Venda]],0)</f>
        <v>0.42499999999999999</v>
      </c>
      <c r="V38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111.75</v>
      </c>
      <c r="W382" s="16">
        <f>IFERROR(fCaixa[[#This Row],[Lucrofinal]]/fCaixa[[#This Row],[Venda]],0)</f>
        <v>0.41853932584269665</v>
      </c>
    </row>
    <row r="383" spans="1:23" ht="16.5" hidden="1" x14ac:dyDescent="0.25">
      <c r="A383" s="17">
        <f t="shared" si="5"/>
        <v>382</v>
      </c>
      <c r="B383" s="87">
        <v>43265</v>
      </c>
      <c r="C383" s="12" t="s">
        <v>24</v>
      </c>
      <c r="D383" s="12" t="s">
        <v>37</v>
      </c>
      <c r="E383" s="12" t="s">
        <v>35</v>
      </c>
      <c r="F383" s="12" t="s">
        <v>28</v>
      </c>
      <c r="G383" s="13">
        <v>10</v>
      </c>
      <c r="H383" s="13">
        <v>1</v>
      </c>
      <c r="I383" s="13">
        <v>11.5</v>
      </c>
      <c r="J383" s="14">
        <v>0</v>
      </c>
      <c r="K383" s="17">
        <f>IFERROR(ROUND((fCaixa[[#This Row],[Venda]]/fCaixa[[#This Row],[Preço/Un.]]),0),0)</f>
        <v>10</v>
      </c>
      <c r="L383" s="15">
        <f>IFERROR((SUBSTITUTE(RIGHT(fCaixa[[#This Row],[Descrição]],3),"G","")*1 *fCaixa[[#This Row],[Qtd/Pães]]) / 1000,0)</f>
        <v>0.5</v>
      </c>
      <c r="M383" s="13">
        <f>IFERROR((((SUBSTITUTE(RIGHT(fCaixa[[#This Row],[Descrição]],3),"G","")*1) * fCaixa[[#This Row],[QTD Perdida]])/1000) *fCaixa[[#This Row],[Custo/KG.]],0)</f>
        <v>0</v>
      </c>
      <c r="N383" s="15">
        <f>IF(fCaixa[[#This Row],[Lançamento]]="RECEITA",(fCaixa[[#This Row],[QTD Perdida]]* (SUBSTITUTE(RIGHT(fCaixa[[#This Row],[Descrição]],3),"G","")*1))/1000,0)</f>
        <v>0</v>
      </c>
      <c r="O383" s="15">
        <f>fCaixa[[#This Row],[Qtd/Kg]]+fCaixa[[#This Row],[Qtd/Kg Perdido]]</f>
        <v>0.5</v>
      </c>
      <c r="P383" s="13">
        <f>IF(fCaixa[[#This Row],[Lançamento]]="RECEITA",(fCaixa[[#This Row],[Qtd/Kg]]*fCaixa[[#This Row],[Custo/KG.]]),0)</f>
        <v>5.75</v>
      </c>
      <c r="Q383" s="34">
        <f>fCaixa[[#This Row],[Custoprimario]]+fCaixa[[#This Row],[Total Perdido]]</f>
        <v>5.75</v>
      </c>
      <c r="R383" s="16">
        <f>IFERROR(fCaixa[[#This Row],[Custoprimario]]/fCaixa[[#This Row],[Venda]],0)</f>
        <v>0.57499999999999996</v>
      </c>
      <c r="S383" s="16">
        <f>IFERROR(fCaixa[[#This Row],[Custofinal]]/fCaixa[[#This Row],[Venda]],0)</f>
        <v>0.57499999999999996</v>
      </c>
      <c r="T383" s="13">
        <f>IF(fCaixa[[#This Row],[Lançamento]]="RECEITA",fCaixa[[#This Row],[Venda]]-fCaixa[[#This Row],[Custoprimario]],0)</f>
        <v>4.25</v>
      </c>
      <c r="U383" s="16">
        <f>IFERROR(fCaixa[[#This Row],[Lucroprimario]]/fCaixa[[#This Row],[Venda]],0)</f>
        <v>0.42499999999999999</v>
      </c>
      <c r="V38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4.0209999999999999</v>
      </c>
      <c r="W383" s="16">
        <f>IFERROR(fCaixa[[#This Row],[Lucrofinal]]/fCaixa[[#This Row],[Venda]],0)</f>
        <v>0.40210000000000001</v>
      </c>
    </row>
    <row r="384" spans="1:23" ht="16.5" hidden="1" x14ac:dyDescent="0.25">
      <c r="A384" s="17">
        <f t="shared" si="5"/>
        <v>383</v>
      </c>
      <c r="B384" s="87">
        <v>43266</v>
      </c>
      <c r="C384" s="12" t="s">
        <v>24</v>
      </c>
      <c r="D384" s="12" t="s">
        <v>25</v>
      </c>
      <c r="E384" s="12" t="s">
        <v>94</v>
      </c>
      <c r="F384" s="12" t="s">
        <v>28</v>
      </c>
      <c r="G384" s="13">
        <v>17.8</v>
      </c>
      <c r="H384" s="13">
        <v>0.67</v>
      </c>
      <c r="I384" s="13">
        <v>11.5</v>
      </c>
      <c r="J384" s="14">
        <v>4</v>
      </c>
      <c r="K384" s="17">
        <f>IFERROR(ROUND((fCaixa[[#This Row],[Venda]]/fCaixa[[#This Row],[Preço/Un.]]),0),0)</f>
        <v>27</v>
      </c>
      <c r="L384" s="15">
        <f>IFERROR((SUBSTITUTE(RIGHT(fCaixa[[#This Row],[Descrição]],3),"G","")*1 *fCaixa[[#This Row],[Qtd/Pães]]) / 1000,0)</f>
        <v>0.89100000000000001</v>
      </c>
      <c r="M384" s="13">
        <f>IFERROR((((SUBSTITUTE(RIGHT(fCaixa[[#This Row],[Descrição]],3),"G","")*1) * fCaixa[[#This Row],[QTD Perdida]])/1000) *fCaixa[[#This Row],[Custo/KG.]],0)</f>
        <v>1.518</v>
      </c>
      <c r="N384" s="15">
        <f>IF(fCaixa[[#This Row],[Lançamento]]="RECEITA",(fCaixa[[#This Row],[QTD Perdida]]* (SUBSTITUTE(RIGHT(fCaixa[[#This Row],[Descrição]],3),"G","")*1))/1000,0)</f>
        <v>0.13200000000000001</v>
      </c>
      <c r="O384" s="15">
        <f>fCaixa[[#This Row],[Qtd/Kg]]+fCaixa[[#This Row],[Qtd/Kg Perdido]]</f>
        <v>1.0230000000000001</v>
      </c>
      <c r="P384" s="13">
        <f>IF(fCaixa[[#This Row],[Lançamento]]="RECEITA",(fCaixa[[#This Row],[Qtd/Kg]]*fCaixa[[#This Row],[Custo/KG.]]),0)</f>
        <v>10.246500000000001</v>
      </c>
      <c r="Q384" s="34">
        <f>fCaixa[[#This Row],[Custoprimario]]+fCaixa[[#This Row],[Total Perdido]]</f>
        <v>11.764500000000002</v>
      </c>
      <c r="R384" s="16">
        <f>IFERROR(fCaixa[[#This Row],[Custoprimario]]/fCaixa[[#This Row],[Venda]],0)</f>
        <v>0.57564606741573032</v>
      </c>
      <c r="S384" s="16">
        <f>IFERROR(fCaixa[[#This Row],[Custofinal]]/fCaixa[[#This Row],[Venda]],0)</f>
        <v>0.66092696629213488</v>
      </c>
      <c r="T384" s="13">
        <f>IF(fCaixa[[#This Row],[Lançamento]]="RECEITA",fCaixa[[#This Row],[Venda]]-fCaixa[[#This Row],[Custoprimario]],0)</f>
        <v>7.5534999999999997</v>
      </c>
      <c r="U384" s="16">
        <f>IFERROR(fCaixa[[#This Row],[Lucroprimario]]/fCaixa[[#This Row],[Venda]],0)</f>
        <v>0.42435393258426962</v>
      </c>
      <c r="V38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6.035499999999999</v>
      </c>
      <c r="W384" s="16">
        <f>IFERROR(fCaixa[[#This Row],[Lucrofinal]]/fCaixa[[#This Row],[Venda]],0)</f>
        <v>0.33907303370786512</v>
      </c>
    </row>
    <row r="385" spans="1:23" ht="16.5" hidden="1" x14ac:dyDescent="0.25">
      <c r="A385" s="17">
        <f t="shared" si="5"/>
        <v>384</v>
      </c>
      <c r="B385" s="87">
        <v>43266</v>
      </c>
      <c r="C385" s="12" t="s">
        <v>24</v>
      </c>
      <c r="D385" s="12" t="s">
        <v>25</v>
      </c>
      <c r="E385" s="12" t="s">
        <v>93</v>
      </c>
      <c r="F385" s="12" t="s">
        <v>28</v>
      </c>
      <c r="G385" s="13">
        <v>21</v>
      </c>
      <c r="H385" s="13">
        <v>1</v>
      </c>
      <c r="I385" s="13">
        <v>11.5</v>
      </c>
      <c r="J385" s="14">
        <v>5</v>
      </c>
      <c r="K385" s="17">
        <f>IFERROR(ROUND((fCaixa[[#This Row],[Venda]]/fCaixa[[#This Row],[Preço/Un.]]),0),0)</f>
        <v>21</v>
      </c>
      <c r="L385" s="15">
        <f>IFERROR((SUBSTITUTE(RIGHT(fCaixa[[#This Row],[Descrição]],3),"G","")*1 *fCaixa[[#This Row],[Qtd/Pães]]) / 1000,0)</f>
        <v>0.79800000000000004</v>
      </c>
      <c r="M385" s="13">
        <f>IFERROR((((SUBSTITUTE(RIGHT(fCaixa[[#This Row],[Descrição]],3),"G","")*1) * fCaixa[[#This Row],[QTD Perdida]])/1000) *fCaixa[[#This Row],[Custo/KG.]],0)</f>
        <v>2.1850000000000001</v>
      </c>
      <c r="N385" s="15">
        <f>IF(fCaixa[[#This Row],[Lançamento]]="RECEITA",(fCaixa[[#This Row],[QTD Perdida]]* (SUBSTITUTE(RIGHT(fCaixa[[#This Row],[Descrição]],3),"G","")*1))/1000,0)</f>
        <v>0.19</v>
      </c>
      <c r="O385" s="15">
        <f>fCaixa[[#This Row],[Qtd/Kg]]+fCaixa[[#This Row],[Qtd/Kg Perdido]]</f>
        <v>0.98799999999999999</v>
      </c>
      <c r="P385" s="13">
        <f>IF(fCaixa[[#This Row],[Lançamento]]="RECEITA",(fCaixa[[#This Row],[Qtd/Kg]]*fCaixa[[#This Row],[Custo/KG.]]),0)</f>
        <v>9.1769999999999996</v>
      </c>
      <c r="Q385" s="34">
        <f>fCaixa[[#This Row],[Custoprimario]]+fCaixa[[#This Row],[Total Perdido]]</f>
        <v>11.362</v>
      </c>
      <c r="R385" s="16">
        <f>IFERROR(fCaixa[[#This Row],[Custoprimario]]/fCaixa[[#This Row],[Venda]],0)</f>
        <v>0.437</v>
      </c>
      <c r="S385" s="16">
        <f>IFERROR(fCaixa[[#This Row],[Custofinal]]/fCaixa[[#This Row],[Venda]],0)</f>
        <v>0.541047619047619</v>
      </c>
      <c r="T385" s="13">
        <f>IF(fCaixa[[#This Row],[Lançamento]]="RECEITA",fCaixa[[#This Row],[Venda]]-fCaixa[[#This Row],[Custoprimario]],0)</f>
        <v>11.823</v>
      </c>
      <c r="U385" s="16">
        <f>IFERROR(fCaixa[[#This Row],[Lucroprimario]]/fCaixa[[#This Row],[Venda]],0)</f>
        <v>0.56300000000000006</v>
      </c>
      <c r="V38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9.6379999999999999</v>
      </c>
      <c r="W385" s="16">
        <f>IFERROR(fCaixa[[#This Row],[Lucrofinal]]/fCaixa[[#This Row],[Venda]],0)</f>
        <v>0.45895238095238095</v>
      </c>
    </row>
    <row r="386" spans="1:23" ht="16.5" hidden="1" x14ac:dyDescent="0.25">
      <c r="A386" s="17">
        <f t="shared" ref="A386:A441" si="6">ROW($A385)</f>
        <v>385</v>
      </c>
      <c r="B386" s="87">
        <v>43266</v>
      </c>
      <c r="C386" s="12" t="s">
        <v>24</v>
      </c>
      <c r="D386" s="12" t="s">
        <v>25</v>
      </c>
      <c r="E386" s="12" t="s">
        <v>78</v>
      </c>
      <c r="F386" s="12" t="s">
        <v>28</v>
      </c>
      <c r="G386" s="13">
        <v>20</v>
      </c>
      <c r="H386" s="13">
        <v>0.4</v>
      </c>
      <c r="I386" s="13">
        <v>11.5</v>
      </c>
      <c r="J386" s="14">
        <v>0</v>
      </c>
      <c r="K386" s="17">
        <f>IFERROR(ROUND((fCaixa[[#This Row],[Venda]]/fCaixa[[#This Row],[Preço/Un.]]),0),0)</f>
        <v>50</v>
      </c>
      <c r="L386" s="15">
        <f>IFERROR((SUBSTITUTE(RIGHT(fCaixa[[#This Row],[Descrição]],3),"G","")*1 *fCaixa[[#This Row],[Qtd/Pães]]) / 1000,0)</f>
        <v>1</v>
      </c>
      <c r="M386" s="13">
        <f>IFERROR((((SUBSTITUTE(RIGHT(fCaixa[[#This Row],[Descrição]],3),"G","")*1) * fCaixa[[#This Row],[QTD Perdida]])/1000) *fCaixa[[#This Row],[Custo/KG.]],0)</f>
        <v>0</v>
      </c>
      <c r="N386" s="15">
        <f>IF(fCaixa[[#This Row],[Lançamento]]="RECEITA",(fCaixa[[#This Row],[QTD Perdida]]* (SUBSTITUTE(RIGHT(fCaixa[[#This Row],[Descrição]],3),"G","")*1))/1000,0)</f>
        <v>0</v>
      </c>
      <c r="O386" s="15">
        <f>fCaixa[[#This Row],[Qtd/Kg]]+fCaixa[[#This Row],[Qtd/Kg Perdido]]</f>
        <v>1</v>
      </c>
      <c r="P386" s="13">
        <f>IF(fCaixa[[#This Row],[Lançamento]]="RECEITA",(fCaixa[[#This Row],[Qtd/Kg]]*fCaixa[[#This Row],[Custo/KG.]]),0)</f>
        <v>11.5</v>
      </c>
      <c r="Q386" s="34">
        <f>fCaixa[[#This Row],[Custoprimario]]+fCaixa[[#This Row],[Total Perdido]]</f>
        <v>11.5</v>
      </c>
      <c r="R386" s="16">
        <f>IFERROR(fCaixa[[#This Row],[Custoprimario]]/fCaixa[[#This Row],[Venda]],0)</f>
        <v>0.57499999999999996</v>
      </c>
      <c r="S386" s="16">
        <f>IFERROR(fCaixa[[#This Row],[Custofinal]]/fCaixa[[#This Row],[Venda]],0)</f>
        <v>0.57499999999999996</v>
      </c>
      <c r="T386" s="13">
        <f>IF(fCaixa[[#This Row],[Lançamento]]="RECEITA",fCaixa[[#This Row],[Venda]]-fCaixa[[#This Row],[Custoprimario]],0)</f>
        <v>8.5</v>
      </c>
      <c r="U386" s="16">
        <f>IFERROR(fCaixa[[#This Row],[Lucroprimario]]/fCaixa[[#This Row],[Venda]],0)</f>
        <v>0.42499999999999999</v>
      </c>
      <c r="V38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8.5</v>
      </c>
      <c r="W386" s="16">
        <f>IFERROR(fCaixa[[#This Row],[Lucrofinal]]/fCaixa[[#This Row],[Venda]],0)</f>
        <v>0.42499999999999999</v>
      </c>
    </row>
    <row r="387" spans="1:23" ht="16.5" hidden="1" x14ac:dyDescent="0.25">
      <c r="A387" s="17">
        <f t="shared" si="6"/>
        <v>386</v>
      </c>
      <c r="B387" s="87">
        <v>43266</v>
      </c>
      <c r="C387" s="12" t="s">
        <v>24</v>
      </c>
      <c r="D387" s="12" t="s">
        <v>25</v>
      </c>
      <c r="E387" s="12" t="s">
        <v>35</v>
      </c>
      <c r="F387" s="12" t="s">
        <v>28</v>
      </c>
      <c r="G387" s="13">
        <v>180</v>
      </c>
      <c r="H387" s="13">
        <v>1</v>
      </c>
      <c r="I387" s="13">
        <v>11.5</v>
      </c>
      <c r="J387" s="14">
        <v>0</v>
      </c>
      <c r="K387" s="17">
        <f>IFERROR(ROUND((fCaixa[[#This Row],[Venda]]/fCaixa[[#This Row],[Preço/Un.]]),0),0)</f>
        <v>180</v>
      </c>
      <c r="L387" s="15">
        <f>IFERROR((SUBSTITUTE(RIGHT(fCaixa[[#This Row],[Descrição]],3),"G","")*1 *fCaixa[[#This Row],[Qtd/Pães]]) / 1000,0)</f>
        <v>9</v>
      </c>
      <c r="M387" s="13">
        <f>IFERROR((((SUBSTITUTE(RIGHT(fCaixa[[#This Row],[Descrição]],3),"G","")*1) * fCaixa[[#This Row],[QTD Perdida]])/1000) *fCaixa[[#This Row],[Custo/KG.]],0)</f>
        <v>0</v>
      </c>
      <c r="N387" s="15">
        <f>IF(fCaixa[[#This Row],[Lançamento]]="RECEITA",(fCaixa[[#This Row],[QTD Perdida]]* (SUBSTITUTE(RIGHT(fCaixa[[#This Row],[Descrição]],3),"G","")*1))/1000,0)</f>
        <v>0</v>
      </c>
      <c r="O387" s="15">
        <f>fCaixa[[#This Row],[Qtd/Kg]]+fCaixa[[#This Row],[Qtd/Kg Perdido]]</f>
        <v>9</v>
      </c>
      <c r="P387" s="13">
        <f>IF(fCaixa[[#This Row],[Lançamento]]="RECEITA",(fCaixa[[#This Row],[Qtd/Kg]]*fCaixa[[#This Row],[Custo/KG.]]),0)</f>
        <v>103.5</v>
      </c>
      <c r="Q387" s="34">
        <f>fCaixa[[#This Row],[Custoprimario]]+fCaixa[[#This Row],[Total Perdido]]</f>
        <v>103.5</v>
      </c>
      <c r="R387" s="16">
        <f>IFERROR(fCaixa[[#This Row],[Custoprimario]]/fCaixa[[#This Row],[Venda]],0)</f>
        <v>0.57499999999999996</v>
      </c>
      <c r="S387" s="16">
        <f>IFERROR(fCaixa[[#This Row],[Custofinal]]/fCaixa[[#This Row],[Venda]],0)</f>
        <v>0.57499999999999996</v>
      </c>
      <c r="T387" s="13">
        <f>IF(fCaixa[[#This Row],[Lançamento]]="RECEITA",fCaixa[[#This Row],[Venda]]-fCaixa[[#This Row],[Custoprimario]],0)</f>
        <v>76.5</v>
      </c>
      <c r="U387" s="16">
        <f>IFERROR(fCaixa[[#This Row],[Lucroprimario]]/fCaixa[[#This Row],[Venda]],0)</f>
        <v>0.42499999999999999</v>
      </c>
      <c r="V38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76.5</v>
      </c>
      <c r="W387" s="16">
        <f>IFERROR(fCaixa[[#This Row],[Lucrofinal]]/fCaixa[[#This Row],[Venda]],0)</f>
        <v>0.42499999999999999</v>
      </c>
    </row>
    <row r="388" spans="1:23" ht="16.5" hidden="1" x14ac:dyDescent="0.25">
      <c r="A388" s="17">
        <f t="shared" si="6"/>
        <v>387</v>
      </c>
      <c r="B388" s="87">
        <v>43266</v>
      </c>
      <c r="C388" s="12" t="s">
        <v>29</v>
      </c>
      <c r="D388" s="12" t="s">
        <v>25</v>
      </c>
      <c r="E388" s="12" t="s">
        <v>32</v>
      </c>
      <c r="F388" s="12" t="s">
        <v>28</v>
      </c>
      <c r="G388" s="13">
        <v>450</v>
      </c>
      <c r="H388" s="13">
        <v>0</v>
      </c>
      <c r="I388" s="13">
        <v>0</v>
      </c>
      <c r="J388" s="14">
        <v>0</v>
      </c>
      <c r="K388" s="17">
        <f>IFERROR(ROUND((fCaixa[[#This Row],[Venda]]/fCaixa[[#This Row],[Preço/Un.]]),0),0)</f>
        <v>0</v>
      </c>
      <c r="L388" s="15">
        <f>IFERROR((SUBSTITUTE(RIGHT(fCaixa[[#This Row],[Descrição]],3),"G","")*1 *fCaixa[[#This Row],[Qtd/Pães]]) / 1000,0)</f>
        <v>0</v>
      </c>
      <c r="M388" s="13">
        <f>IFERROR((((SUBSTITUTE(RIGHT(fCaixa[[#This Row],[Descrição]],3),"G","")*1) * fCaixa[[#This Row],[QTD Perdida]])/1000) *fCaixa[[#This Row],[Custo/KG.]],0)</f>
        <v>0</v>
      </c>
      <c r="N388" s="15">
        <f>IF(fCaixa[[#This Row],[Lançamento]]="RECEITA",(fCaixa[[#This Row],[QTD Perdida]]* (SUBSTITUTE(RIGHT(fCaixa[[#This Row],[Descrição]],3),"G","")*1))/1000,0)</f>
        <v>0</v>
      </c>
      <c r="O388" s="15">
        <f>fCaixa[[#This Row],[Qtd/Kg]]+fCaixa[[#This Row],[Qtd/Kg Perdido]]</f>
        <v>0</v>
      </c>
      <c r="P388" s="13">
        <f>IF(fCaixa[[#This Row],[Lançamento]]="RECEITA",(fCaixa[[#This Row],[Qtd/Kg]]*fCaixa[[#This Row],[Custo/KG.]]),0)</f>
        <v>0</v>
      </c>
      <c r="Q388" s="34">
        <f>fCaixa[[#This Row],[Custoprimario]]+fCaixa[[#This Row],[Total Perdido]]</f>
        <v>0</v>
      </c>
      <c r="R388" s="16">
        <f>IFERROR(fCaixa[[#This Row],[Custoprimario]]/fCaixa[[#This Row],[Venda]],0)</f>
        <v>0</v>
      </c>
      <c r="S388" s="16">
        <f>IFERROR(fCaixa[[#This Row],[Custofinal]]/fCaixa[[#This Row],[Venda]],0)</f>
        <v>0</v>
      </c>
      <c r="T388" s="13">
        <f>IF(fCaixa[[#This Row],[Lançamento]]="RECEITA",fCaixa[[#This Row],[Venda]]-fCaixa[[#This Row],[Custoprimario]],0)</f>
        <v>0</v>
      </c>
      <c r="U388" s="16">
        <f>IFERROR(fCaixa[[#This Row],[Lucroprimario]]/fCaixa[[#This Row],[Venda]],0)</f>
        <v>0</v>
      </c>
      <c r="V38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88" s="16">
        <f>IFERROR(fCaixa[[#This Row],[Lucrofinal]]/fCaixa[[#This Row],[Venda]],0)</f>
        <v>0</v>
      </c>
    </row>
    <row r="389" spans="1:23" ht="16.5" hidden="1" x14ac:dyDescent="0.25">
      <c r="A389" s="17">
        <f t="shared" si="6"/>
        <v>388</v>
      </c>
      <c r="B389" s="87">
        <v>43266</v>
      </c>
      <c r="C389" s="12" t="s">
        <v>29</v>
      </c>
      <c r="D389" s="12" t="s">
        <v>25</v>
      </c>
      <c r="E389" s="12" t="s">
        <v>33</v>
      </c>
      <c r="F389" s="12" t="s">
        <v>28</v>
      </c>
      <c r="G389" s="13">
        <v>20</v>
      </c>
      <c r="H389" s="13">
        <v>0</v>
      </c>
      <c r="I389" s="13">
        <v>0</v>
      </c>
      <c r="J389" s="14">
        <v>0</v>
      </c>
      <c r="K389" s="17">
        <f>IFERROR(ROUND((fCaixa[[#This Row],[Venda]]/fCaixa[[#This Row],[Preço/Un.]]),0),0)</f>
        <v>0</v>
      </c>
      <c r="L389" s="15">
        <f>IFERROR((SUBSTITUTE(RIGHT(fCaixa[[#This Row],[Descrição]],3),"G","")*1 *fCaixa[[#This Row],[Qtd/Pães]]) / 1000,0)</f>
        <v>0</v>
      </c>
      <c r="M389" s="13">
        <f>IFERROR((((SUBSTITUTE(RIGHT(fCaixa[[#This Row],[Descrição]],3),"G","")*1) * fCaixa[[#This Row],[QTD Perdida]])/1000) *fCaixa[[#This Row],[Custo/KG.]],0)</f>
        <v>0</v>
      </c>
      <c r="N389" s="15">
        <f>IF(fCaixa[[#This Row],[Lançamento]]="RECEITA",(fCaixa[[#This Row],[QTD Perdida]]* (SUBSTITUTE(RIGHT(fCaixa[[#This Row],[Descrição]],3),"G","")*1))/1000,0)</f>
        <v>0</v>
      </c>
      <c r="O389" s="15">
        <f>fCaixa[[#This Row],[Qtd/Kg]]+fCaixa[[#This Row],[Qtd/Kg Perdido]]</f>
        <v>0</v>
      </c>
      <c r="P389" s="13">
        <f>IF(fCaixa[[#This Row],[Lançamento]]="RECEITA",(fCaixa[[#This Row],[Qtd/Kg]]*fCaixa[[#This Row],[Custo/KG.]]),0)</f>
        <v>0</v>
      </c>
      <c r="Q389" s="34">
        <f>fCaixa[[#This Row],[Custoprimario]]+fCaixa[[#This Row],[Total Perdido]]</f>
        <v>0</v>
      </c>
      <c r="R389" s="16">
        <f>IFERROR(fCaixa[[#This Row],[Custoprimario]]/fCaixa[[#This Row],[Venda]],0)</f>
        <v>0</v>
      </c>
      <c r="S389" s="16">
        <f>IFERROR(fCaixa[[#This Row],[Custofinal]]/fCaixa[[#This Row],[Venda]],0)</f>
        <v>0</v>
      </c>
      <c r="T389" s="13">
        <f>IF(fCaixa[[#This Row],[Lançamento]]="RECEITA",fCaixa[[#This Row],[Venda]]-fCaixa[[#This Row],[Custoprimario]],0)</f>
        <v>0</v>
      </c>
      <c r="U389" s="16">
        <f>IFERROR(fCaixa[[#This Row],[Lucroprimario]]/fCaixa[[#This Row],[Venda]],0)</f>
        <v>0</v>
      </c>
      <c r="V38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</v>
      </c>
      <c r="W389" s="16">
        <f>IFERROR(fCaixa[[#This Row],[Lucrofinal]]/fCaixa[[#This Row],[Venda]],0)</f>
        <v>0</v>
      </c>
    </row>
    <row r="390" spans="1:23" ht="16.5" hidden="1" x14ac:dyDescent="0.25">
      <c r="A390" s="17">
        <f t="shared" si="6"/>
        <v>389</v>
      </c>
      <c r="B390" s="87">
        <v>43269</v>
      </c>
      <c r="C390" s="12" t="s">
        <v>24</v>
      </c>
      <c r="D390" s="12" t="s">
        <v>25</v>
      </c>
      <c r="E390" s="12" t="s">
        <v>95</v>
      </c>
      <c r="F390" s="12" t="s">
        <v>28</v>
      </c>
      <c r="G390" s="13">
        <v>24</v>
      </c>
      <c r="H390" s="13">
        <v>1</v>
      </c>
      <c r="I390" s="13">
        <v>11.5</v>
      </c>
      <c r="J390" s="14">
        <v>0</v>
      </c>
      <c r="K390" s="17">
        <f>IFERROR(ROUND((fCaixa[[#This Row],[Venda]]/fCaixa[[#This Row],[Preço/Un.]]),0),0)</f>
        <v>24</v>
      </c>
      <c r="L390" s="15">
        <f>IFERROR((SUBSTITUTE(RIGHT(fCaixa[[#This Row],[Descrição]],3),"G","")*1 *fCaixa[[#This Row],[Qtd/Pães]]) / 1000,0)</f>
        <v>0.98399999999999999</v>
      </c>
      <c r="M390" s="13">
        <f>IFERROR((((SUBSTITUTE(RIGHT(fCaixa[[#This Row],[Descrição]],3),"G","")*1) * fCaixa[[#This Row],[QTD Perdida]])/1000) *fCaixa[[#This Row],[Custo/KG.]],0)</f>
        <v>0</v>
      </c>
      <c r="N390" s="15">
        <f>IF(fCaixa[[#This Row],[Lançamento]]="RECEITA",(fCaixa[[#This Row],[QTD Perdida]]* (SUBSTITUTE(RIGHT(fCaixa[[#This Row],[Descrição]],3),"G","")*1))/1000,0)</f>
        <v>0</v>
      </c>
      <c r="O390" s="15">
        <f>fCaixa[[#This Row],[Qtd/Kg]]+fCaixa[[#This Row],[Qtd/Kg Perdido]]</f>
        <v>0.98399999999999999</v>
      </c>
      <c r="P390" s="13">
        <f>IF(fCaixa[[#This Row],[Lançamento]]="RECEITA",(fCaixa[[#This Row],[Qtd/Kg]]*fCaixa[[#This Row],[Custo/KG.]]),0)</f>
        <v>11.315999999999999</v>
      </c>
      <c r="Q390" s="34">
        <f>fCaixa[[#This Row],[Custoprimario]]+fCaixa[[#This Row],[Total Perdido]]</f>
        <v>11.315999999999999</v>
      </c>
      <c r="R390" s="16">
        <f>IFERROR(fCaixa[[#This Row],[Custoprimario]]/fCaixa[[#This Row],[Venda]],0)</f>
        <v>0.47149999999999997</v>
      </c>
      <c r="S390" s="16">
        <f>IFERROR(fCaixa[[#This Row],[Custofinal]]/fCaixa[[#This Row],[Venda]],0)</f>
        <v>0.47149999999999997</v>
      </c>
      <c r="T390" s="13">
        <f>IF(fCaixa[[#This Row],[Lançamento]]="RECEITA",fCaixa[[#This Row],[Venda]]-fCaixa[[#This Row],[Custoprimario]],0)</f>
        <v>12.684000000000001</v>
      </c>
      <c r="U390" s="16">
        <f>IFERROR(fCaixa[[#This Row],[Lucroprimario]]/fCaixa[[#This Row],[Venda]],0)</f>
        <v>0.52850000000000008</v>
      </c>
      <c r="V39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12.684000000000001</v>
      </c>
      <c r="W390" s="16">
        <f>IFERROR(fCaixa[[#This Row],[Lucrofinal]]/fCaixa[[#This Row],[Venda]],0)</f>
        <v>0.52850000000000008</v>
      </c>
    </row>
    <row r="391" spans="1:23" ht="16.5" hidden="1" x14ac:dyDescent="0.25">
      <c r="A391" s="17">
        <f t="shared" si="6"/>
        <v>390</v>
      </c>
      <c r="B391" s="87">
        <v>43269</v>
      </c>
      <c r="C391" s="12" t="s">
        <v>24</v>
      </c>
      <c r="D391" s="12" t="s">
        <v>25</v>
      </c>
      <c r="E391" s="12" t="s">
        <v>94</v>
      </c>
      <c r="F391" s="12" t="s">
        <v>28</v>
      </c>
      <c r="G391" s="13">
        <v>10</v>
      </c>
      <c r="H391" s="13">
        <v>0.67</v>
      </c>
      <c r="I391" s="13">
        <v>11.5</v>
      </c>
      <c r="J391" s="14">
        <v>0</v>
      </c>
      <c r="K391" s="17">
        <f>IFERROR(ROUND((fCaixa[[#This Row],[Venda]]/fCaixa[[#This Row],[Preço/Un.]]),0),0)</f>
        <v>15</v>
      </c>
      <c r="L391" s="15">
        <f>IFERROR((SUBSTITUTE(RIGHT(fCaixa[[#This Row],[Descrição]],3),"G","")*1 *fCaixa[[#This Row],[Qtd/Pães]]) / 1000,0)</f>
        <v>0.495</v>
      </c>
      <c r="M391" s="13">
        <f>IFERROR((((SUBSTITUTE(RIGHT(fCaixa[[#This Row],[Descrição]],3),"G","")*1) * fCaixa[[#This Row],[QTD Perdida]])/1000) *fCaixa[[#This Row],[Custo/KG.]],0)</f>
        <v>0</v>
      </c>
      <c r="N391" s="15">
        <f>IF(fCaixa[[#This Row],[Lançamento]]="RECEITA",(fCaixa[[#This Row],[QTD Perdida]]* (SUBSTITUTE(RIGHT(fCaixa[[#This Row],[Descrição]],3),"G","")*1))/1000,0)</f>
        <v>0</v>
      </c>
      <c r="O391" s="15">
        <f>fCaixa[[#This Row],[Qtd/Kg]]+fCaixa[[#This Row],[Qtd/Kg Perdido]]</f>
        <v>0.495</v>
      </c>
      <c r="P391" s="13">
        <f>IF(fCaixa[[#This Row],[Lançamento]]="RECEITA",(fCaixa[[#This Row],[Qtd/Kg]]*fCaixa[[#This Row],[Custo/KG.]]),0)</f>
        <v>5.6924999999999999</v>
      </c>
      <c r="Q391" s="34">
        <f>fCaixa[[#This Row],[Custoprimario]]+fCaixa[[#This Row],[Total Perdido]]</f>
        <v>5.6924999999999999</v>
      </c>
      <c r="R391" s="16">
        <f>IFERROR(fCaixa[[#This Row],[Custoprimario]]/fCaixa[[#This Row],[Venda]],0)</f>
        <v>0.56925000000000003</v>
      </c>
      <c r="S391" s="16">
        <f>IFERROR(fCaixa[[#This Row],[Custofinal]]/fCaixa[[#This Row],[Venda]],0)</f>
        <v>0.56925000000000003</v>
      </c>
      <c r="T391" s="13">
        <f>IF(fCaixa[[#This Row],[Lançamento]]="RECEITA",fCaixa[[#This Row],[Venda]]-fCaixa[[#This Row],[Custoprimario]],0)</f>
        <v>4.3075000000000001</v>
      </c>
      <c r="U391" s="16">
        <f>IFERROR(fCaixa[[#This Row],[Lucroprimario]]/fCaixa[[#This Row],[Venda]],0)</f>
        <v>0.43075000000000002</v>
      </c>
      <c r="V39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4.3075000000000001</v>
      </c>
      <c r="W391" s="16">
        <f>IFERROR(fCaixa[[#This Row],[Lucrofinal]]/fCaixa[[#This Row],[Venda]],0)</f>
        <v>0.43075000000000002</v>
      </c>
    </row>
    <row r="392" spans="1:23" ht="16.5" hidden="1" x14ac:dyDescent="0.25">
      <c r="A392" s="17">
        <f t="shared" si="6"/>
        <v>391</v>
      </c>
      <c r="B392" s="87">
        <v>43269</v>
      </c>
      <c r="C392" s="12" t="s">
        <v>24</v>
      </c>
      <c r="D392" s="12" t="s">
        <v>25</v>
      </c>
      <c r="E392" s="12" t="s">
        <v>94</v>
      </c>
      <c r="F392" s="12" t="s">
        <v>28</v>
      </c>
      <c r="G392" s="13">
        <v>8</v>
      </c>
      <c r="H392" s="13">
        <v>0.5</v>
      </c>
      <c r="I392" s="13">
        <v>11.5</v>
      </c>
      <c r="J392" s="14">
        <v>0</v>
      </c>
      <c r="K392" s="17">
        <f>IFERROR(ROUND((fCaixa[[#This Row],[Venda]]/fCaixa[[#This Row],[Preço/Un.]]),0),0)</f>
        <v>16</v>
      </c>
      <c r="L392" s="15">
        <f>IFERROR((SUBSTITUTE(RIGHT(fCaixa[[#This Row],[Descrição]],3),"G","")*1 *fCaixa[[#This Row],[Qtd/Pães]]) / 1000,0)</f>
        <v>0.52800000000000002</v>
      </c>
      <c r="M392" s="13">
        <f>IFERROR((((SUBSTITUTE(RIGHT(fCaixa[[#This Row],[Descrição]],3),"G","")*1) * fCaixa[[#This Row],[QTD Perdida]])/1000) *fCaixa[[#This Row],[Custo/KG.]],0)</f>
        <v>0</v>
      </c>
      <c r="N392" s="15">
        <f>IF(fCaixa[[#This Row],[Lançamento]]="RECEITA",(fCaixa[[#This Row],[QTD Perdida]]* (SUBSTITUTE(RIGHT(fCaixa[[#This Row],[Descrição]],3),"G","")*1))/1000,0)</f>
        <v>0</v>
      </c>
      <c r="O392" s="15">
        <f>fCaixa[[#This Row],[Qtd/Kg]]+fCaixa[[#This Row],[Qtd/Kg Perdido]]</f>
        <v>0.52800000000000002</v>
      </c>
      <c r="P392" s="13">
        <f>IF(fCaixa[[#This Row],[Lançamento]]="RECEITA",(fCaixa[[#This Row],[Qtd/Kg]]*fCaixa[[#This Row],[Custo/KG.]]),0)</f>
        <v>6.0720000000000001</v>
      </c>
      <c r="Q392" s="34">
        <f>fCaixa[[#This Row],[Custoprimario]]+fCaixa[[#This Row],[Total Perdido]]</f>
        <v>6.0720000000000001</v>
      </c>
      <c r="R392" s="16">
        <f>IFERROR(fCaixa[[#This Row],[Custoprimario]]/fCaixa[[#This Row],[Venda]],0)</f>
        <v>0.75900000000000001</v>
      </c>
      <c r="S392" s="16">
        <f>IFERROR(fCaixa[[#This Row],[Custofinal]]/fCaixa[[#This Row],[Venda]],0)</f>
        <v>0.75900000000000001</v>
      </c>
      <c r="T392" s="13">
        <f>IF(fCaixa[[#This Row],[Lançamento]]="RECEITA",fCaixa[[#This Row],[Venda]]-fCaixa[[#This Row],[Custoprimario]],0)</f>
        <v>1.9279999999999999</v>
      </c>
      <c r="U392" s="16">
        <f>IFERROR(fCaixa[[#This Row],[Lucroprimario]]/fCaixa[[#This Row],[Venda]],0)</f>
        <v>0.24099999999999999</v>
      </c>
      <c r="V39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1.9279999999999999</v>
      </c>
      <c r="W392" s="16">
        <f>IFERROR(fCaixa[[#This Row],[Lucrofinal]]/fCaixa[[#This Row],[Venda]],0)</f>
        <v>0.24099999999999999</v>
      </c>
    </row>
    <row r="393" spans="1:23" ht="16.5" hidden="1" x14ac:dyDescent="0.25">
      <c r="A393" s="17">
        <f t="shared" si="6"/>
        <v>392</v>
      </c>
      <c r="B393" s="87">
        <v>43269</v>
      </c>
      <c r="C393" s="12" t="s">
        <v>24</v>
      </c>
      <c r="D393" s="12" t="s">
        <v>25</v>
      </c>
      <c r="E393" s="12" t="s">
        <v>35</v>
      </c>
      <c r="F393" s="12" t="s">
        <v>28</v>
      </c>
      <c r="G393" s="13">
        <v>6</v>
      </c>
      <c r="H393" s="13">
        <v>1</v>
      </c>
      <c r="I393" s="13">
        <v>11.5</v>
      </c>
      <c r="J393" s="14">
        <v>0</v>
      </c>
      <c r="K393" s="17">
        <f>IFERROR(ROUND((fCaixa[[#This Row],[Venda]]/fCaixa[[#This Row],[Preço/Un.]]),0),0)</f>
        <v>6</v>
      </c>
      <c r="L393" s="15">
        <f>IFERROR((SUBSTITUTE(RIGHT(fCaixa[[#This Row],[Descrição]],3),"G","")*1 *fCaixa[[#This Row],[Qtd/Pães]]) / 1000,0)</f>
        <v>0.3</v>
      </c>
      <c r="M393" s="13">
        <f>IFERROR((((SUBSTITUTE(RIGHT(fCaixa[[#This Row],[Descrição]],3),"G","")*1) * fCaixa[[#This Row],[QTD Perdida]])/1000) *fCaixa[[#This Row],[Custo/KG.]],0)</f>
        <v>0</v>
      </c>
      <c r="N393" s="15">
        <f>IF(fCaixa[[#This Row],[Lançamento]]="RECEITA",(fCaixa[[#This Row],[QTD Perdida]]* (SUBSTITUTE(RIGHT(fCaixa[[#This Row],[Descrição]],3),"G","")*1))/1000,0)</f>
        <v>0</v>
      </c>
      <c r="O393" s="15">
        <f>fCaixa[[#This Row],[Qtd/Kg]]+fCaixa[[#This Row],[Qtd/Kg Perdido]]</f>
        <v>0.3</v>
      </c>
      <c r="P393" s="13">
        <f>IF(fCaixa[[#This Row],[Lançamento]]="RECEITA",(fCaixa[[#This Row],[Qtd/Kg]]*fCaixa[[#This Row],[Custo/KG.]]),0)</f>
        <v>3.4499999999999997</v>
      </c>
      <c r="Q393" s="34">
        <f>fCaixa[[#This Row],[Custoprimario]]+fCaixa[[#This Row],[Total Perdido]]</f>
        <v>3.4499999999999997</v>
      </c>
      <c r="R393" s="16">
        <f>IFERROR(fCaixa[[#This Row],[Custoprimario]]/fCaixa[[#This Row],[Venda]],0)</f>
        <v>0.57499999999999996</v>
      </c>
      <c r="S393" s="16">
        <f>IFERROR(fCaixa[[#This Row],[Custofinal]]/fCaixa[[#This Row],[Venda]],0)</f>
        <v>0.57499999999999996</v>
      </c>
      <c r="T393" s="13">
        <f>IF(fCaixa[[#This Row],[Lançamento]]="RECEITA",fCaixa[[#This Row],[Venda]]-fCaixa[[#This Row],[Custoprimario]],0)</f>
        <v>2.5500000000000003</v>
      </c>
      <c r="U393" s="16">
        <f>IFERROR(fCaixa[[#This Row],[Lucroprimario]]/fCaixa[[#This Row],[Venda]],0)</f>
        <v>0.42500000000000004</v>
      </c>
      <c r="V39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2.5500000000000003</v>
      </c>
      <c r="W393" s="16">
        <f>IFERROR(fCaixa[[#This Row],[Lucrofinal]]/fCaixa[[#This Row],[Venda]],0)</f>
        <v>0.42500000000000004</v>
      </c>
    </row>
    <row r="394" spans="1:23" ht="16.5" hidden="1" x14ac:dyDescent="0.25">
      <c r="A394" s="17">
        <f t="shared" si="6"/>
        <v>393</v>
      </c>
      <c r="B394" s="87">
        <v>43269</v>
      </c>
      <c r="C394" s="12" t="s">
        <v>24</v>
      </c>
      <c r="D394" s="12" t="s">
        <v>25</v>
      </c>
      <c r="E394" s="12" t="s">
        <v>35</v>
      </c>
      <c r="F394" s="12" t="s">
        <v>28</v>
      </c>
      <c r="G394" s="13">
        <v>169</v>
      </c>
      <c r="H394" s="13">
        <v>1</v>
      </c>
      <c r="I394" s="13">
        <v>11.5</v>
      </c>
      <c r="J394" s="14">
        <v>5</v>
      </c>
      <c r="K394" s="17">
        <f>IFERROR(ROUND((fCaixa[[#This Row],[Venda]]/fCaixa[[#This Row],[Preço/Un.]]),0),0)</f>
        <v>169</v>
      </c>
      <c r="L394" s="15">
        <f>IFERROR((SUBSTITUTE(RIGHT(fCaixa[[#This Row],[Descrição]],3),"G","")*1 *fCaixa[[#This Row],[Qtd/Pães]]) / 1000,0)</f>
        <v>8.4499999999999993</v>
      </c>
      <c r="M394" s="13">
        <f>IFERROR((((SUBSTITUTE(RIGHT(fCaixa[[#This Row],[Descrição]],3),"G","")*1) * fCaixa[[#This Row],[QTD Perdida]])/1000) *fCaixa[[#This Row],[Custo/KG.]],0)</f>
        <v>2.875</v>
      </c>
      <c r="N394" s="15">
        <f>IF(fCaixa[[#This Row],[Lançamento]]="RECEITA",(fCaixa[[#This Row],[QTD Perdida]]* (SUBSTITUTE(RIGHT(fCaixa[[#This Row],[Descrição]],3),"G","")*1))/1000,0)</f>
        <v>0.25</v>
      </c>
      <c r="O394" s="15">
        <f>fCaixa[[#This Row],[Qtd/Kg]]+fCaixa[[#This Row],[Qtd/Kg Perdido]]</f>
        <v>8.6999999999999993</v>
      </c>
      <c r="P394" s="13">
        <f>IF(fCaixa[[#This Row],[Lançamento]]="RECEITA",(fCaixa[[#This Row],[Qtd/Kg]]*fCaixa[[#This Row],[Custo/KG.]]),0)</f>
        <v>97.174999999999997</v>
      </c>
      <c r="Q394" s="34">
        <f>fCaixa[[#This Row],[Custoprimario]]+fCaixa[[#This Row],[Total Perdido]]</f>
        <v>100.05</v>
      </c>
      <c r="R394" s="16">
        <f>IFERROR(fCaixa[[#This Row],[Custoprimario]]/fCaixa[[#This Row],[Venda]],0)</f>
        <v>0.57499999999999996</v>
      </c>
      <c r="S394" s="16">
        <f>IFERROR(fCaixa[[#This Row],[Custofinal]]/fCaixa[[#This Row],[Venda]],0)</f>
        <v>0.59201183431952664</v>
      </c>
      <c r="T394" s="13">
        <f>IF(fCaixa[[#This Row],[Lançamento]]="RECEITA",fCaixa[[#This Row],[Venda]]-fCaixa[[#This Row],[Custoprimario]],0)</f>
        <v>71.825000000000003</v>
      </c>
      <c r="U394" s="16">
        <f>IFERROR(fCaixa[[#This Row],[Lucroprimario]]/fCaixa[[#This Row],[Venda]],0)</f>
        <v>0.42500000000000004</v>
      </c>
      <c r="V39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68.95</v>
      </c>
      <c r="W394" s="16">
        <f>IFERROR(fCaixa[[#This Row],[Lucrofinal]]/fCaixa[[#This Row],[Venda]],0)</f>
        <v>0.40798816568047341</v>
      </c>
    </row>
    <row r="395" spans="1:23" ht="16.5" hidden="1" x14ac:dyDescent="0.25">
      <c r="A395" s="17">
        <f t="shared" si="6"/>
        <v>394</v>
      </c>
      <c r="B395" s="87">
        <v>43270</v>
      </c>
      <c r="C395" s="12" t="s">
        <v>24</v>
      </c>
      <c r="D395" s="12" t="s">
        <v>25</v>
      </c>
      <c r="E395" s="12" t="s">
        <v>95</v>
      </c>
      <c r="F395" s="12" t="s">
        <v>28</v>
      </c>
      <c r="G395" s="13">
        <v>20</v>
      </c>
      <c r="H395" s="13">
        <v>1</v>
      </c>
      <c r="I395" s="13">
        <v>11.5</v>
      </c>
      <c r="J395" s="14">
        <v>4</v>
      </c>
      <c r="K395" s="17">
        <f>IFERROR(ROUND((fCaixa[[#This Row],[Venda]]/fCaixa[[#This Row],[Preço/Un.]]),0),0)</f>
        <v>20</v>
      </c>
      <c r="L395" s="15">
        <f>IFERROR((SUBSTITUTE(RIGHT(fCaixa[[#This Row],[Descrição]],3),"G","")*1 *fCaixa[[#This Row],[Qtd/Pães]]) / 1000,0)</f>
        <v>0.82</v>
      </c>
      <c r="M395" s="13">
        <f>IFERROR((((SUBSTITUTE(RIGHT(fCaixa[[#This Row],[Descrição]],3),"G","")*1) * fCaixa[[#This Row],[QTD Perdida]])/1000) *fCaixa[[#This Row],[Custo/KG.]],0)</f>
        <v>1.8860000000000001</v>
      </c>
      <c r="N395" s="15">
        <f>IF(fCaixa[[#This Row],[Lançamento]]="RECEITA",(fCaixa[[#This Row],[QTD Perdida]]* (SUBSTITUTE(RIGHT(fCaixa[[#This Row],[Descrição]],3),"G","")*1))/1000,0)</f>
        <v>0.16400000000000001</v>
      </c>
      <c r="O395" s="15">
        <f>fCaixa[[#This Row],[Qtd/Kg]]+fCaixa[[#This Row],[Qtd/Kg Perdido]]</f>
        <v>0.98399999999999999</v>
      </c>
      <c r="P395" s="13">
        <f>IF(fCaixa[[#This Row],[Lançamento]]="RECEITA",(fCaixa[[#This Row],[Qtd/Kg]]*fCaixa[[#This Row],[Custo/KG.]]),0)</f>
        <v>9.43</v>
      </c>
      <c r="Q395" s="34">
        <f>fCaixa[[#This Row],[Custoprimario]]+fCaixa[[#This Row],[Total Perdido]]</f>
        <v>11.315999999999999</v>
      </c>
      <c r="R395" s="16">
        <f>IFERROR(fCaixa[[#This Row],[Custoprimario]]/fCaixa[[#This Row],[Venda]],0)</f>
        <v>0.47149999999999997</v>
      </c>
      <c r="S395" s="16">
        <f>IFERROR(fCaixa[[#This Row],[Custofinal]]/fCaixa[[#This Row],[Venda]],0)</f>
        <v>0.56579999999999997</v>
      </c>
      <c r="T395" s="13">
        <f>IF(fCaixa[[#This Row],[Lançamento]]="RECEITA",fCaixa[[#This Row],[Venda]]-fCaixa[[#This Row],[Custoprimario]],0)</f>
        <v>10.57</v>
      </c>
      <c r="U395" s="16">
        <f>IFERROR(fCaixa[[#This Row],[Lucroprimario]]/fCaixa[[#This Row],[Venda]],0)</f>
        <v>0.52849999999999997</v>
      </c>
      <c r="V39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8.6840000000000011</v>
      </c>
      <c r="W395" s="16">
        <f>IFERROR(fCaixa[[#This Row],[Lucrofinal]]/fCaixa[[#This Row],[Venda]],0)</f>
        <v>0.43420000000000003</v>
      </c>
    </row>
    <row r="396" spans="1:23" ht="16.5" hidden="1" x14ac:dyDescent="0.25">
      <c r="A396" s="17">
        <f t="shared" si="6"/>
        <v>395</v>
      </c>
      <c r="B396" s="87">
        <v>43270</v>
      </c>
      <c r="C396" s="12" t="s">
        <v>24</v>
      </c>
      <c r="D396" s="12" t="s">
        <v>25</v>
      </c>
      <c r="E396" s="12" t="s">
        <v>94</v>
      </c>
      <c r="F396" s="12" t="s">
        <v>28</v>
      </c>
      <c r="G396" s="13">
        <v>15</v>
      </c>
      <c r="H396" s="13">
        <v>0.5</v>
      </c>
      <c r="I396" s="13">
        <v>11.5</v>
      </c>
      <c r="J396" s="14">
        <v>1</v>
      </c>
      <c r="K396" s="17">
        <f>IFERROR(ROUND((fCaixa[[#This Row],[Venda]]/fCaixa[[#This Row],[Preço/Un.]]),0),0)</f>
        <v>30</v>
      </c>
      <c r="L396" s="15">
        <f>IFERROR((SUBSTITUTE(RIGHT(fCaixa[[#This Row],[Descrição]],3),"G","")*1 *fCaixa[[#This Row],[Qtd/Pães]]) / 1000,0)</f>
        <v>0.99</v>
      </c>
      <c r="M396" s="13">
        <f>IFERROR((((SUBSTITUTE(RIGHT(fCaixa[[#This Row],[Descrição]],3),"G","")*1) * fCaixa[[#This Row],[QTD Perdida]])/1000) *fCaixa[[#This Row],[Custo/KG.]],0)</f>
        <v>0.3795</v>
      </c>
      <c r="N396" s="15">
        <f>IF(fCaixa[[#This Row],[Lançamento]]="RECEITA",(fCaixa[[#This Row],[QTD Perdida]]* (SUBSTITUTE(RIGHT(fCaixa[[#This Row],[Descrição]],3),"G","")*1))/1000,0)</f>
        <v>3.3000000000000002E-2</v>
      </c>
      <c r="O396" s="15">
        <f>fCaixa[[#This Row],[Qtd/Kg]]+fCaixa[[#This Row],[Qtd/Kg Perdido]]</f>
        <v>1.0229999999999999</v>
      </c>
      <c r="P396" s="13">
        <f>IF(fCaixa[[#This Row],[Lançamento]]="RECEITA",(fCaixa[[#This Row],[Qtd/Kg]]*fCaixa[[#This Row],[Custo/KG.]]),0)</f>
        <v>11.385</v>
      </c>
      <c r="Q396" s="34">
        <f>fCaixa[[#This Row],[Custoprimario]]+fCaixa[[#This Row],[Total Perdido]]</f>
        <v>11.7645</v>
      </c>
      <c r="R396" s="16">
        <f>IFERROR(fCaixa[[#This Row],[Custoprimario]]/fCaixa[[#This Row],[Venda]],0)</f>
        <v>0.75900000000000001</v>
      </c>
      <c r="S396" s="16">
        <f>IFERROR(fCaixa[[#This Row],[Custofinal]]/fCaixa[[#This Row],[Venda]],0)</f>
        <v>0.7843</v>
      </c>
      <c r="T396" s="13">
        <f>IF(fCaixa[[#This Row],[Lançamento]]="RECEITA",fCaixa[[#This Row],[Venda]]-fCaixa[[#This Row],[Custoprimario]],0)</f>
        <v>3.6150000000000002</v>
      </c>
      <c r="U396" s="16">
        <f>IFERROR(fCaixa[[#This Row],[Lucroprimario]]/fCaixa[[#This Row],[Venda]],0)</f>
        <v>0.24100000000000002</v>
      </c>
      <c r="V39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3.2355</v>
      </c>
      <c r="W396" s="16">
        <f>IFERROR(fCaixa[[#This Row],[Lucrofinal]]/fCaixa[[#This Row],[Venda]],0)</f>
        <v>0.2157</v>
      </c>
    </row>
    <row r="397" spans="1:23" ht="16.5" hidden="1" x14ac:dyDescent="0.25">
      <c r="A397" s="17">
        <f t="shared" si="6"/>
        <v>396</v>
      </c>
      <c r="B397" s="87">
        <v>43270</v>
      </c>
      <c r="C397" s="12" t="s">
        <v>24</v>
      </c>
      <c r="D397" s="12" t="s">
        <v>37</v>
      </c>
      <c r="E397" s="12" t="s">
        <v>35</v>
      </c>
      <c r="F397" s="12" t="s">
        <v>28</v>
      </c>
      <c r="G397" s="13">
        <v>18</v>
      </c>
      <c r="H397" s="13">
        <v>0.9</v>
      </c>
      <c r="I397" s="13">
        <v>11.5</v>
      </c>
      <c r="J397" s="14">
        <v>0</v>
      </c>
      <c r="K397" s="17">
        <f>IFERROR(ROUND((fCaixa[[#This Row],[Venda]]/fCaixa[[#This Row],[Preço/Un.]]),0),0)</f>
        <v>20</v>
      </c>
      <c r="L397" s="15">
        <f>IFERROR((SUBSTITUTE(RIGHT(fCaixa[[#This Row],[Descrição]],3),"G","")*1 *fCaixa[[#This Row],[Qtd/Pães]]) / 1000,0)</f>
        <v>1</v>
      </c>
      <c r="M397" s="13">
        <f>IFERROR((((SUBSTITUTE(RIGHT(fCaixa[[#This Row],[Descrição]],3),"G","")*1) * fCaixa[[#This Row],[QTD Perdida]])/1000) *fCaixa[[#This Row],[Custo/KG.]],0)</f>
        <v>0</v>
      </c>
      <c r="N397" s="15">
        <f>IF(fCaixa[[#This Row],[Lançamento]]="RECEITA",(fCaixa[[#This Row],[QTD Perdida]]* (SUBSTITUTE(RIGHT(fCaixa[[#This Row],[Descrição]],3),"G","")*1))/1000,0)</f>
        <v>0</v>
      </c>
      <c r="O397" s="15">
        <f>fCaixa[[#This Row],[Qtd/Kg]]+fCaixa[[#This Row],[Qtd/Kg Perdido]]</f>
        <v>1</v>
      </c>
      <c r="P397" s="13">
        <f>IF(fCaixa[[#This Row],[Lançamento]]="RECEITA",(fCaixa[[#This Row],[Qtd/Kg]]*fCaixa[[#This Row],[Custo/KG.]]),0)</f>
        <v>11.5</v>
      </c>
      <c r="Q397" s="34">
        <f>fCaixa[[#This Row],[Custoprimario]]+fCaixa[[#This Row],[Total Perdido]]</f>
        <v>11.5</v>
      </c>
      <c r="R397" s="16">
        <f>IFERROR(fCaixa[[#This Row],[Custoprimario]]/fCaixa[[#This Row],[Venda]],0)</f>
        <v>0.63888888888888884</v>
      </c>
      <c r="S397" s="16">
        <f>IFERROR(fCaixa[[#This Row],[Custofinal]]/fCaixa[[#This Row],[Venda]],0)</f>
        <v>0.63888888888888884</v>
      </c>
      <c r="T397" s="13">
        <f>IF(fCaixa[[#This Row],[Lançamento]]="RECEITA",fCaixa[[#This Row],[Venda]]-fCaixa[[#This Row],[Custoprimario]],0)</f>
        <v>6.5</v>
      </c>
      <c r="U397" s="16">
        <f>IFERROR(fCaixa[[#This Row],[Lucroprimario]]/fCaixa[[#This Row],[Venda]],0)</f>
        <v>0.3611111111111111</v>
      </c>
      <c r="V39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6.0877999999999997</v>
      </c>
      <c r="W397" s="16">
        <f>IFERROR(fCaixa[[#This Row],[Lucrofinal]]/fCaixa[[#This Row],[Venda]],0)</f>
        <v>0.33821111111111107</v>
      </c>
    </row>
    <row r="398" spans="1:23" ht="16.5" hidden="1" x14ac:dyDescent="0.25">
      <c r="A398" s="17">
        <f t="shared" si="6"/>
        <v>397</v>
      </c>
      <c r="B398" s="87">
        <v>43270</v>
      </c>
      <c r="C398" s="12" t="s">
        <v>24</v>
      </c>
      <c r="D398" s="12" t="s">
        <v>37</v>
      </c>
      <c r="E398" s="12" t="s">
        <v>35</v>
      </c>
      <c r="F398" s="12" t="s">
        <v>28</v>
      </c>
      <c r="G398" s="13">
        <v>2</v>
      </c>
      <c r="H398" s="13">
        <v>1</v>
      </c>
      <c r="I398" s="13">
        <v>11.5</v>
      </c>
      <c r="J398" s="14">
        <v>0</v>
      </c>
      <c r="K398" s="17">
        <f>IFERROR(ROUND((fCaixa[[#This Row],[Venda]]/fCaixa[[#This Row],[Preço/Un.]]),0),0)</f>
        <v>2</v>
      </c>
      <c r="L398" s="15">
        <f>IFERROR((SUBSTITUTE(RIGHT(fCaixa[[#This Row],[Descrição]],3),"G","")*1 *fCaixa[[#This Row],[Qtd/Pães]]) / 1000,0)</f>
        <v>0.1</v>
      </c>
      <c r="M398" s="13">
        <f>IFERROR((((SUBSTITUTE(RIGHT(fCaixa[[#This Row],[Descrição]],3),"G","")*1) * fCaixa[[#This Row],[QTD Perdida]])/1000) *fCaixa[[#This Row],[Custo/KG.]],0)</f>
        <v>0</v>
      </c>
      <c r="N398" s="15">
        <f>IF(fCaixa[[#This Row],[Lançamento]]="RECEITA",(fCaixa[[#This Row],[QTD Perdida]]* (SUBSTITUTE(RIGHT(fCaixa[[#This Row],[Descrição]],3),"G","")*1))/1000,0)</f>
        <v>0</v>
      </c>
      <c r="O398" s="15">
        <f>fCaixa[[#This Row],[Qtd/Kg]]+fCaixa[[#This Row],[Qtd/Kg Perdido]]</f>
        <v>0.1</v>
      </c>
      <c r="P398" s="13">
        <f>IF(fCaixa[[#This Row],[Lançamento]]="RECEITA",(fCaixa[[#This Row],[Qtd/Kg]]*fCaixa[[#This Row],[Custo/KG.]]),0)</f>
        <v>1.1500000000000001</v>
      </c>
      <c r="Q398" s="34">
        <f>fCaixa[[#This Row],[Custoprimario]]+fCaixa[[#This Row],[Total Perdido]]</f>
        <v>1.1500000000000001</v>
      </c>
      <c r="R398" s="16">
        <f>IFERROR(fCaixa[[#This Row],[Custoprimario]]/fCaixa[[#This Row],[Venda]],0)</f>
        <v>0.57500000000000007</v>
      </c>
      <c r="S398" s="16">
        <f>IFERROR(fCaixa[[#This Row],[Custofinal]]/fCaixa[[#This Row],[Venda]],0)</f>
        <v>0.57500000000000007</v>
      </c>
      <c r="T398" s="13">
        <f>IF(fCaixa[[#This Row],[Lançamento]]="RECEITA",fCaixa[[#This Row],[Venda]]-fCaixa[[#This Row],[Custoprimario]],0)</f>
        <v>0.84999999999999987</v>
      </c>
      <c r="U398" s="16">
        <f>IFERROR(fCaixa[[#This Row],[Lucroprimario]]/fCaixa[[#This Row],[Venda]],0)</f>
        <v>0.42499999999999993</v>
      </c>
      <c r="V39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0.80419999999999991</v>
      </c>
      <c r="W398" s="16">
        <f>IFERROR(fCaixa[[#This Row],[Lucrofinal]]/fCaixa[[#This Row],[Venda]],0)</f>
        <v>0.40209999999999996</v>
      </c>
    </row>
    <row r="399" spans="1:23" ht="16.5" hidden="1" x14ac:dyDescent="0.25">
      <c r="A399" s="17">
        <f t="shared" si="6"/>
        <v>398</v>
      </c>
      <c r="B399" s="87">
        <v>43270</v>
      </c>
      <c r="C399" s="12" t="s">
        <v>24</v>
      </c>
      <c r="D399" s="12" t="s">
        <v>37</v>
      </c>
      <c r="E399" s="12" t="s">
        <v>35</v>
      </c>
      <c r="F399" s="12" t="s">
        <v>28</v>
      </c>
      <c r="G399" s="13">
        <v>15</v>
      </c>
      <c r="H399" s="13">
        <v>1</v>
      </c>
      <c r="I399" s="13">
        <v>11.5</v>
      </c>
      <c r="J399" s="14">
        <v>0</v>
      </c>
      <c r="K399" s="17">
        <f>IFERROR(ROUND((fCaixa[[#This Row],[Venda]]/fCaixa[[#This Row],[Preço/Un.]]),0),0)</f>
        <v>15</v>
      </c>
      <c r="L399" s="15">
        <f>IFERROR((SUBSTITUTE(RIGHT(fCaixa[[#This Row],[Descrição]],3),"G","")*1 *fCaixa[[#This Row],[Qtd/Pães]]) / 1000,0)</f>
        <v>0.75</v>
      </c>
      <c r="M399" s="13">
        <f>IFERROR((((SUBSTITUTE(RIGHT(fCaixa[[#This Row],[Descrição]],3),"G","")*1) * fCaixa[[#This Row],[QTD Perdida]])/1000) *fCaixa[[#This Row],[Custo/KG.]],0)</f>
        <v>0</v>
      </c>
      <c r="N399" s="15">
        <f>IF(fCaixa[[#This Row],[Lançamento]]="RECEITA",(fCaixa[[#This Row],[QTD Perdida]]* (SUBSTITUTE(RIGHT(fCaixa[[#This Row],[Descrição]],3),"G","")*1))/1000,0)</f>
        <v>0</v>
      </c>
      <c r="O399" s="15">
        <f>fCaixa[[#This Row],[Qtd/Kg]]+fCaixa[[#This Row],[Qtd/Kg Perdido]]</f>
        <v>0.75</v>
      </c>
      <c r="P399" s="13">
        <f>IF(fCaixa[[#This Row],[Lançamento]]="RECEITA",(fCaixa[[#This Row],[Qtd/Kg]]*fCaixa[[#This Row],[Custo/KG.]]),0)</f>
        <v>8.625</v>
      </c>
      <c r="Q399" s="34">
        <f>fCaixa[[#This Row],[Custoprimario]]+fCaixa[[#This Row],[Total Perdido]]</f>
        <v>8.625</v>
      </c>
      <c r="R399" s="16">
        <f>IFERROR(fCaixa[[#This Row],[Custoprimario]]/fCaixa[[#This Row],[Venda]],0)</f>
        <v>0.57499999999999996</v>
      </c>
      <c r="S399" s="16">
        <f>IFERROR(fCaixa[[#This Row],[Custofinal]]/fCaixa[[#This Row],[Venda]],0)</f>
        <v>0.57499999999999996</v>
      </c>
      <c r="T399" s="13">
        <f>IF(fCaixa[[#This Row],[Lançamento]]="RECEITA",fCaixa[[#This Row],[Venda]]-fCaixa[[#This Row],[Custoprimario]],0)</f>
        <v>6.375</v>
      </c>
      <c r="U399" s="16">
        <f>IFERROR(fCaixa[[#This Row],[Lucroprimario]]/fCaixa[[#This Row],[Venda]],0)</f>
        <v>0.42499999999999999</v>
      </c>
      <c r="V39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6.0315000000000003</v>
      </c>
      <c r="W399" s="16">
        <f>IFERROR(fCaixa[[#This Row],[Lucrofinal]]/fCaixa[[#This Row],[Venda]],0)</f>
        <v>0.40210000000000001</v>
      </c>
    </row>
    <row r="400" spans="1:23" ht="16.5" hidden="1" x14ac:dyDescent="0.25">
      <c r="A400" s="17">
        <f t="shared" si="6"/>
        <v>399</v>
      </c>
      <c r="B400" s="87">
        <v>43270</v>
      </c>
      <c r="C400" s="12" t="s">
        <v>24</v>
      </c>
      <c r="D400" s="12" t="s">
        <v>37</v>
      </c>
      <c r="E400" s="12" t="s">
        <v>35</v>
      </c>
      <c r="F400" s="12" t="s">
        <v>28</v>
      </c>
      <c r="G400" s="13">
        <v>7</v>
      </c>
      <c r="H400" s="13">
        <v>1</v>
      </c>
      <c r="I400" s="13">
        <v>11.5</v>
      </c>
      <c r="J400" s="14">
        <v>0</v>
      </c>
      <c r="K400" s="17">
        <f>IFERROR(ROUND((fCaixa[[#This Row],[Venda]]/fCaixa[[#This Row],[Preço/Un.]]),0),0)</f>
        <v>7</v>
      </c>
      <c r="L400" s="15">
        <f>IFERROR((SUBSTITUTE(RIGHT(fCaixa[[#This Row],[Descrição]],3),"G","")*1 *fCaixa[[#This Row],[Qtd/Pães]]) / 1000,0)</f>
        <v>0.35</v>
      </c>
      <c r="M400" s="13">
        <f>IFERROR((((SUBSTITUTE(RIGHT(fCaixa[[#This Row],[Descrição]],3),"G","")*1) * fCaixa[[#This Row],[QTD Perdida]])/1000) *fCaixa[[#This Row],[Custo/KG.]],0)</f>
        <v>0</v>
      </c>
      <c r="N400" s="15">
        <f>IF(fCaixa[[#This Row],[Lançamento]]="RECEITA",(fCaixa[[#This Row],[QTD Perdida]]* (SUBSTITUTE(RIGHT(fCaixa[[#This Row],[Descrição]],3),"G","")*1))/1000,0)</f>
        <v>0</v>
      </c>
      <c r="O400" s="15">
        <f>fCaixa[[#This Row],[Qtd/Kg]]+fCaixa[[#This Row],[Qtd/Kg Perdido]]</f>
        <v>0.35</v>
      </c>
      <c r="P400" s="13">
        <f>IF(fCaixa[[#This Row],[Lançamento]]="RECEITA",(fCaixa[[#This Row],[Qtd/Kg]]*fCaixa[[#This Row],[Custo/KG.]]),0)</f>
        <v>4.0249999999999995</v>
      </c>
      <c r="Q400" s="34">
        <f>fCaixa[[#This Row],[Custoprimario]]+fCaixa[[#This Row],[Total Perdido]]</f>
        <v>4.0249999999999995</v>
      </c>
      <c r="R400" s="16">
        <f>IFERROR(fCaixa[[#This Row],[Custoprimario]]/fCaixa[[#This Row],[Venda]],0)</f>
        <v>0.57499999999999996</v>
      </c>
      <c r="S400" s="16">
        <f>IFERROR(fCaixa[[#This Row],[Custofinal]]/fCaixa[[#This Row],[Venda]],0)</f>
        <v>0.57499999999999996</v>
      </c>
      <c r="T400" s="13">
        <f>IF(fCaixa[[#This Row],[Lançamento]]="RECEITA",fCaixa[[#This Row],[Venda]]-fCaixa[[#This Row],[Custoprimario]],0)</f>
        <v>2.9750000000000005</v>
      </c>
      <c r="U400" s="16">
        <f>IFERROR(fCaixa[[#This Row],[Lucroprimario]]/fCaixa[[#This Row],[Venda]],0)</f>
        <v>0.4250000000000001</v>
      </c>
      <c r="V40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2.8147000000000006</v>
      </c>
      <c r="W400" s="16">
        <f>IFERROR(fCaixa[[#This Row],[Lucrofinal]]/fCaixa[[#This Row],[Venda]],0)</f>
        <v>0.40210000000000007</v>
      </c>
    </row>
    <row r="401" spans="1:23" ht="16.5" hidden="1" x14ac:dyDescent="0.25">
      <c r="A401" s="17">
        <f t="shared" si="6"/>
        <v>400</v>
      </c>
      <c r="B401" s="87">
        <v>43270</v>
      </c>
      <c r="C401" s="12" t="s">
        <v>24</v>
      </c>
      <c r="D401" s="12" t="s">
        <v>25</v>
      </c>
      <c r="E401" s="12" t="s">
        <v>35</v>
      </c>
      <c r="F401" s="12" t="s">
        <v>28</v>
      </c>
      <c r="G401" s="13">
        <v>152</v>
      </c>
      <c r="H401" s="13">
        <v>1</v>
      </c>
      <c r="I401" s="13">
        <v>11.5</v>
      </c>
      <c r="J401" s="14">
        <v>4</v>
      </c>
      <c r="K401" s="17">
        <f>IFERROR(ROUND((fCaixa[[#This Row],[Venda]]/fCaixa[[#This Row],[Preço/Un.]]),0),0)</f>
        <v>152</v>
      </c>
      <c r="L401" s="15">
        <f>IFERROR((SUBSTITUTE(RIGHT(fCaixa[[#This Row],[Descrição]],3),"G","")*1 *fCaixa[[#This Row],[Qtd/Pães]]) / 1000,0)</f>
        <v>7.6</v>
      </c>
      <c r="M401" s="13">
        <f>IFERROR((((SUBSTITUTE(RIGHT(fCaixa[[#This Row],[Descrição]],3),"G","")*1) * fCaixa[[#This Row],[QTD Perdida]])/1000) *fCaixa[[#This Row],[Custo/KG.]],0)</f>
        <v>2.3000000000000003</v>
      </c>
      <c r="N401" s="15">
        <f>IF(fCaixa[[#This Row],[Lançamento]]="RECEITA",(fCaixa[[#This Row],[QTD Perdida]]* (SUBSTITUTE(RIGHT(fCaixa[[#This Row],[Descrição]],3),"G","")*1))/1000,0)</f>
        <v>0.2</v>
      </c>
      <c r="O401" s="15">
        <f>fCaixa[[#This Row],[Qtd/Kg]]+fCaixa[[#This Row],[Qtd/Kg Perdido]]</f>
        <v>7.8</v>
      </c>
      <c r="P401" s="13">
        <f>IF(fCaixa[[#This Row],[Lançamento]]="RECEITA",(fCaixa[[#This Row],[Qtd/Kg]]*fCaixa[[#This Row],[Custo/KG.]]),0)</f>
        <v>87.399999999999991</v>
      </c>
      <c r="Q401" s="34">
        <f>fCaixa[[#This Row],[Custoprimario]]+fCaixa[[#This Row],[Total Perdido]]</f>
        <v>89.699999999999989</v>
      </c>
      <c r="R401" s="16">
        <f>IFERROR(fCaixa[[#This Row],[Custoprimario]]/fCaixa[[#This Row],[Venda]],0)</f>
        <v>0.57499999999999996</v>
      </c>
      <c r="S401" s="16">
        <f>IFERROR(fCaixa[[#This Row],[Custofinal]]/fCaixa[[#This Row],[Venda]],0)</f>
        <v>0.59013157894736834</v>
      </c>
      <c r="T401" s="13">
        <f>IF(fCaixa[[#This Row],[Lançamento]]="RECEITA",fCaixa[[#This Row],[Venda]]-fCaixa[[#This Row],[Custoprimario]],0)</f>
        <v>64.600000000000009</v>
      </c>
      <c r="U401" s="16">
        <f>IFERROR(fCaixa[[#This Row],[Lucroprimario]]/fCaixa[[#This Row],[Venda]],0)</f>
        <v>0.42500000000000004</v>
      </c>
      <c r="V40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62.300000000000011</v>
      </c>
      <c r="W401" s="16">
        <f>IFERROR(fCaixa[[#This Row],[Lucrofinal]]/fCaixa[[#This Row],[Venda]],0)</f>
        <v>0.40986842105263166</v>
      </c>
    </row>
    <row r="402" spans="1:23" ht="16.5" hidden="1" x14ac:dyDescent="0.25">
      <c r="A402" s="17">
        <f t="shared" si="6"/>
        <v>401</v>
      </c>
      <c r="B402" s="87">
        <v>43271</v>
      </c>
      <c r="C402" s="12" t="s">
        <v>24</v>
      </c>
      <c r="D402" s="12" t="s">
        <v>25</v>
      </c>
      <c r="E402" s="12" t="s">
        <v>35</v>
      </c>
      <c r="F402" s="12" t="s">
        <v>28</v>
      </c>
      <c r="G402" s="13">
        <v>199</v>
      </c>
      <c r="H402" s="13">
        <v>1</v>
      </c>
      <c r="I402" s="13">
        <v>11.5</v>
      </c>
      <c r="J402" s="14">
        <v>1</v>
      </c>
      <c r="K402" s="17">
        <f>IFERROR(ROUND((fCaixa[[#This Row],[Venda]]/fCaixa[[#This Row],[Preço/Un.]]),0),0)</f>
        <v>199</v>
      </c>
      <c r="L402" s="15">
        <f>IFERROR((SUBSTITUTE(RIGHT(fCaixa[[#This Row],[Descrição]],3),"G","")*1 *fCaixa[[#This Row],[Qtd/Pães]]) / 1000,0)</f>
        <v>9.9499999999999993</v>
      </c>
      <c r="M402" s="13">
        <f>IFERROR((((SUBSTITUTE(RIGHT(fCaixa[[#This Row],[Descrição]],3),"G","")*1) * fCaixa[[#This Row],[QTD Perdida]])/1000) *fCaixa[[#This Row],[Custo/KG.]],0)</f>
        <v>0.57500000000000007</v>
      </c>
      <c r="N402" s="15">
        <f>IF(fCaixa[[#This Row],[Lançamento]]="RECEITA",(fCaixa[[#This Row],[QTD Perdida]]* (SUBSTITUTE(RIGHT(fCaixa[[#This Row],[Descrição]],3),"G","")*1))/1000,0)</f>
        <v>0.05</v>
      </c>
      <c r="O402" s="15">
        <f>fCaixa[[#This Row],[Qtd/Kg]]+fCaixa[[#This Row],[Qtd/Kg Perdido]]</f>
        <v>10</v>
      </c>
      <c r="P402" s="13">
        <f>IF(fCaixa[[#This Row],[Lançamento]]="RECEITA",(fCaixa[[#This Row],[Qtd/Kg]]*fCaixa[[#This Row],[Custo/KG.]]),0)</f>
        <v>114.425</v>
      </c>
      <c r="Q402" s="34">
        <f>fCaixa[[#This Row],[Custoprimario]]+fCaixa[[#This Row],[Total Perdido]]</f>
        <v>115</v>
      </c>
      <c r="R402" s="16">
        <f>IFERROR(fCaixa[[#This Row],[Custoprimario]]/fCaixa[[#This Row],[Venda]],0)</f>
        <v>0.57499999999999996</v>
      </c>
      <c r="S402" s="16">
        <f>IFERROR(fCaixa[[#This Row],[Custofinal]]/fCaixa[[#This Row],[Venda]],0)</f>
        <v>0.57788944723618085</v>
      </c>
      <c r="T402" s="13">
        <f>IF(fCaixa[[#This Row],[Lançamento]]="RECEITA",fCaixa[[#This Row],[Venda]]-fCaixa[[#This Row],[Custoprimario]],0)</f>
        <v>84.575000000000003</v>
      </c>
      <c r="U402" s="16">
        <f>IFERROR(fCaixa[[#This Row],[Lucroprimario]]/fCaixa[[#This Row],[Venda]],0)</f>
        <v>0.42499999999999999</v>
      </c>
      <c r="V40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84</v>
      </c>
      <c r="W402" s="16">
        <f>IFERROR(fCaixa[[#This Row],[Lucrofinal]]/fCaixa[[#This Row],[Venda]],0)</f>
        <v>0.42211055276381909</v>
      </c>
    </row>
    <row r="403" spans="1:23" ht="16.5" hidden="1" x14ac:dyDescent="0.25">
      <c r="A403" s="17">
        <f t="shared" si="6"/>
        <v>402</v>
      </c>
      <c r="B403" s="87">
        <v>43272</v>
      </c>
      <c r="C403" s="12" t="s">
        <v>24</v>
      </c>
      <c r="D403" s="12" t="s">
        <v>37</v>
      </c>
      <c r="E403" s="12" t="s">
        <v>35</v>
      </c>
      <c r="F403" s="12" t="s">
        <v>28</v>
      </c>
      <c r="G403" s="13">
        <v>28</v>
      </c>
      <c r="H403" s="13">
        <v>1</v>
      </c>
      <c r="I403" s="13">
        <v>11.5</v>
      </c>
      <c r="J403" s="14">
        <v>0</v>
      </c>
      <c r="K403" s="17">
        <f>IFERROR(ROUND((fCaixa[[#This Row],[Venda]]/fCaixa[[#This Row],[Preço/Un.]]),0),0)</f>
        <v>28</v>
      </c>
      <c r="L403" s="15">
        <f>IFERROR((SUBSTITUTE(RIGHT(fCaixa[[#This Row],[Descrição]],3),"G","")*1 *fCaixa[[#This Row],[Qtd/Pães]]) / 1000,0)</f>
        <v>1.4</v>
      </c>
      <c r="M403" s="13">
        <f>IFERROR((((SUBSTITUTE(RIGHT(fCaixa[[#This Row],[Descrição]],3),"G","")*1) * fCaixa[[#This Row],[QTD Perdida]])/1000) *fCaixa[[#This Row],[Custo/KG.]],0)</f>
        <v>0</v>
      </c>
      <c r="N403" s="15">
        <f>IF(fCaixa[[#This Row],[Lançamento]]="RECEITA",(fCaixa[[#This Row],[QTD Perdida]]* (SUBSTITUTE(RIGHT(fCaixa[[#This Row],[Descrição]],3),"G","")*1))/1000,0)</f>
        <v>0</v>
      </c>
      <c r="O403" s="15">
        <f>fCaixa[[#This Row],[Qtd/Kg]]+fCaixa[[#This Row],[Qtd/Kg Perdido]]</f>
        <v>1.4</v>
      </c>
      <c r="P403" s="13">
        <f>IF(fCaixa[[#This Row],[Lançamento]]="RECEITA",(fCaixa[[#This Row],[Qtd/Kg]]*fCaixa[[#This Row],[Custo/KG.]]),0)</f>
        <v>16.099999999999998</v>
      </c>
      <c r="Q403" s="34">
        <f>fCaixa[[#This Row],[Custoprimario]]+fCaixa[[#This Row],[Total Perdido]]</f>
        <v>16.099999999999998</v>
      </c>
      <c r="R403" s="16">
        <f>IFERROR(fCaixa[[#This Row],[Custoprimario]]/fCaixa[[#This Row],[Venda]],0)</f>
        <v>0.57499999999999996</v>
      </c>
      <c r="S403" s="16">
        <f>IFERROR(fCaixa[[#This Row],[Custofinal]]/fCaixa[[#This Row],[Venda]],0)</f>
        <v>0.57499999999999996</v>
      </c>
      <c r="T403" s="13">
        <f>IF(fCaixa[[#This Row],[Lançamento]]="RECEITA",fCaixa[[#This Row],[Venda]]-fCaixa[[#This Row],[Custoprimario]],0)</f>
        <v>11.900000000000002</v>
      </c>
      <c r="U403" s="16">
        <f>IFERROR(fCaixa[[#This Row],[Lucroprimario]]/fCaixa[[#This Row],[Venda]],0)</f>
        <v>0.4250000000000001</v>
      </c>
      <c r="V40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11.258800000000003</v>
      </c>
      <c r="W403" s="16">
        <f>IFERROR(fCaixa[[#This Row],[Lucrofinal]]/fCaixa[[#This Row],[Venda]],0)</f>
        <v>0.40210000000000007</v>
      </c>
    </row>
    <row r="404" spans="1:23" ht="16.5" hidden="1" x14ac:dyDescent="0.25">
      <c r="A404" s="17">
        <f t="shared" si="6"/>
        <v>403</v>
      </c>
      <c r="B404" s="87">
        <v>43272</v>
      </c>
      <c r="C404" s="12" t="s">
        <v>24</v>
      </c>
      <c r="D404" s="12" t="s">
        <v>38</v>
      </c>
      <c r="E404" s="12" t="s">
        <v>35</v>
      </c>
      <c r="F404" s="12" t="s">
        <v>28</v>
      </c>
      <c r="G404" s="13">
        <v>5</v>
      </c>
      <c r="H404" s="13">
        <v>1</v>
      </c>
      <c r="I404" s="13">
        <v>11.5</v>
      </c>
      <c r="J404" s="14">
        <v>0</v>
      </c>
      <c r="K404" s="17">
        <f>IFERROR(ROUND((fCaixa[[#This Row],[Venda]]/fCaixa[[#This Row],[Preço/Un.]]),0),0)</f>
        <v>5</v>
      </c>
      <c r="L404" s="15">
        <f>IFERROR((SUBSTITUTE(RIGHT(fCaixa[[#This Row],[Descrição]],3),"G","")*1 *fCaixa[[#This Row],[Qtd/Pães]]) / 1000,0)</f>
        <v>0.25</v>
      </c>
      <c r="M404" s="13">
        <f>IFERROR((((SUBSTITUTE(RIGHT(fCaixa[[#This Row],[Descrição]],3),"G","")*1) * fCaixa[[#This Row],[QTD Perdida]])/1000) *fCaixa[[#This Row],[Custo/KG.]],0)</f>
        <v>0</v>
      </c>
      <c r="N404" s="15">
        <f>IF(fCaixa[[#This Row],[Lançamento]]="RECEITA",(fCaixa[[#This Row],[QTD Perdida]]* (SUBSTITUTE(RIGHT(fCaixa[[#This Row],[Descrição]],3),"G","")*1))/1000,0)</f>
        <v>0</v>
      </c>
      <c r="O404" s="15">
        <f>fCaixa[[#This Row],[Qtd/Kg]]+fCaixa[[#This Row],[Qtd/Kg Perdido]]</f>
        <v>0.25</v>
      </c>
      <c r="P404" s="13">
        <f>IF(fCaixa[[#This Row],[Lançamento]]="RECEITA",(fCaixa[[#This Row],[Qtd/Kg]]*fCaixa[[#This Row],[Custo/KG.]]),0)</f>
        <v>2.875</v>
      </c>
      <c r="Q404" s="34">
        <f>fCaixa[[#This Row],[Custoprimario]]+fCaixa[[#This Row],[Total Perdido]]</f>
        <v>2.875</v>
      </c>
      <c r="R404" s="16">
        <f>IFERROR(fCaixa[[#This Row],[Custoprimario]]/fCaixa[[#This Row],[Venda]],0)</f>
        <v>0.57499999999999996</v>
      </c>
      <c r="S404" s="16">
        <f>IFERROR(fCaixa[[#This Row],[Custofinal]]/fCaixa[[#This Row],[Venda]],0)</f>
        <v>0.57499999999999996</v>
      </c>
      <c r="T404" s="13">
        <f>IF(fCaixa[[#This Row],[Lançamento]]="RECEITA",fCaixa[[#This Row],[Venda]]-fCaixa[[#This Row],[Custoprimario]],0)</f>
        <v>2.125</v>
      </c>
      <c r="U404" s="16">
        <f>IFERROR(fCaixa[[#This Row],[Lucroprimario]]/fCaixa[[#This Row],[Venda]],0)</f>
        <v>0.42499999999999999</v>
      </c>
      <c r="V40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1.885</v>
      </c>
      <c r="W404" s="16">
        <f>IFERROR(fCaixa[[#This Row],[Lucrofinal]]/fCaixa[[#This Row],[Venda]],0)</f>
        <v>0.377</v>
      </c>
    </row>
    <row r="405" spans="1:23" ht="16.5" hidden="1" x14ac:dyDescent="0.25">
      <c r="A405" s="17">
        <f t="shared" si="6"/>
        <v>404</v>
      </c>
      <c r="B405" s="87">
        <v>43272</v>
      </c>
      <c r="C405" s="12" t="s">
        <v>24</v>
      </c>
      <c r="D405" s="12" t="s">
        <v>25</v>
      </c>
      <c r="E405" s="12" t="s">
        <v>35</v>
      </c>
      <c r="F405" s="12" t="s">
        <v>28</v>
      </c>
      <c r="G405" s="13">
        <v>18</v>
      </c>
      <c r="H405" s="13">
        <v>0.9</v>
      </c>
      <c r="I405" s="13">
        <v>11.5</v>
      </c>
      <c r="J405" s="14">
        <v>0</v>
      </c>
      <c r="K405" s="17">
        <f>IFERROR(ROUND((fCaixa[[#This Row],[Venda]]/fCaixa[[#This Row],[Preço/Un.]]),0),0)</f>
        <v>20</v>
      </c>
      <c r="L405" s="15">
        <f>IFERROR((SUBSTITUTE(RIGHT(fCaixa[[#This Row],[Descrição]],3),"G","")*1 *fCaixa[[#This Row],[Qtd/Pães]]) / 1000,0)</f>
        <v>1</v>
      </c>
      <c r="M405" s="13">
        <f>IFERROR((((SUBSTITUTE(RIGHT(fCaixa[[#This Row],[Descrição]],3),"G","")*1) * fCaixa[[#This Row],[QTD Perdida]])/1000) *fCaixa[[#This Row],[Custo/KG.]],0)</f>
        <v>0</v>
      </c>
      <c r="N405" s="15">
        <f>IF(fCaixa[[#This Row],[Lançamento]]="RECEITA",(fCaixa[[#This Row],[QTD Perdida]]* (SUBSTITUTE(RIGHT(fCaixa[[#This Row],[Descrição]],3),"G","")*1))/1000,0)</f>
        <v>0</v>
      </c>
      <c r="O405" s="15">
        <f>fCaixa[[#This Row],[Qtd/Kg]]+fCaixa[[#This Row],[Qtd/Kg Perdido]]</f>
        <v>1</v>
      </c>
      <c r="P405" s="13">
        <f>IF(fCaixa[[#This Row],[Lançamento]]="RECEITA",(fCaixa[[#This Row],[Qtd/Kg]]*fCaixa[[#This Row],[Custo/KG.]]),0)</f>
        <v>11.5</v>
      </c>
      <c r="Q405" s="34">
        <f>fCaixa[[#This Row],[Custoprimario]]+fCaixa[[#This Row],[Total Perdido]]</f>
        <v>11.5</v>
      </c>
      <c r="R405" s="16">
        <f>IFERROR(fCaixa[[#This Row],[Custoprimario]]/fCaixa[[#This Row],[Venda]],0)</f>
        <v>0.63888888888888884</v>
      </c>
      <c r="S405" s="16">
        <f>IFERROR(fCaixa[[#This Row],[Custofinal]]/fCaixa[[#This Row],[Venda]],0)</f>
        <v>0.63888888888888884</v>
      </c>
      <c r="T405" s="13">
        <f>IF(fCaixa[[#This Row],[Lançamento]]="RECEITA",fCaixa[[#This Row],[Venda]]-fCaixa[[#This Row],[Custoprimario]],0)</f>
        <v>6.5</v>
      </c>
      <c r="U405" s="16">
        <f>IFERROR(fCaixa[[#This Row],[Lucroprimario]]/fCaixa[[#This Row],[Venda]],0)</f>
        <v>0.3611111111111111</v>
      </c>
      <c r="V40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405" s="16">
        <f>IFERROR(fCaixa[[#This Row],[Lucrofinal]]/fCaixa[[#This Row],[Venda]],0)</f>
        <v>0.3611111111111111</v>
      </c>
    </row>
    <row r="406" spans="1:23" ht="16.5" hidden="1" x14ac:dyDescent="0.25">
      <c r="A406" s="17">
        <f t="shared" si="6"/>
        <v>405</v>
      </c>
      <c r="B406" s="87">
        <v>43272</v>
      </c>
      <c r="C406" s="12" t="s">
        <v>24</v>
      </c>
      <c r="D406" s="12" t="s">
        <v>25</v>
      </c>
      <c r="E406" s="12" t="s">
        <v>35</v>
      </c>
      <c r="F406" s="12" t="s">
        <v>28</v>
      </c>
      <c r="G406" s="13">
        <v>183</v>
      </c>
      <c r="H406" s="13">
        <v>1</v>
      </c>
      <c r="I406" s="13">
        <v>11.5</v>
      </c>
      <c r="J406" s="14">
        <v>5</v>
      </c>
      <c r="K406" s="17">
        <f>IFERROR(ROUND((fCaixa[[#This Row],[Venda]]/fCaixa[[#This Row],[Preço/Un.]]),0),0)</f>
        <v>183</v>
      </c>
      <c r="L406" s="15">
        <f>IFERROR((SUBSTITUTE(RIGHT(fCaixa[[#This Row],[Descrição]],3),"G","")*1 *fCaixa[[#This Row],[Qtd/Pães]]) / 1000,0)</f>
        <v>9.15</v>
      </c>
      <c r="M406" s="13">
        <f>IFERROR((((SUBSTITUTE(RIGHT(fCaixa[[#This Row],[Descrição]],3),"G","")*1) * fCaixa[[#This Row],[QTD Perdida]])/1000) *fCaixa[[#This Row],[Custo/KG.]],0)</f>
        <v>2.875</v>
      </c>
      <c r="N406" s="15">
        <f>IF(fCaixa[[#This Row],[Lançamento]]="RECEITA",(fCaixa[[#This Row],[QTD Perdida]]* (SUBSTITUTE(RIGHT(fCaixa[[#This Row],[Descrição]],3),"G","")*1))/1000,0)</f>
        <v>0.25</v>
      </c>
      <c r="O406" s="15">
        <f>fCaixa[[#This Row],[Qtd/Kg]]+fCaixa[[#This Row],[Qtd/Kg Perdido]]</f>
        <v>9.4</v>
      </c>
      <c r="P406" s="13">
        <f>IF(fCaixa[[#This Row],[Lançamento]]="RECEITA",(fCaixa[[#This Row],[Qtd/Kg]]*fCaixa[[#This Row],[Custo/KG.]]),0)</f>
        <v>105.22500000000001</v>
      </c>
      <c r="Q406" s="34">
        <f>fCaixa[[#This Row],[Custoprimario]]+fCaixa[[#This Row],[Total Perdido]]</f>
        <v>108.10000000000001</v>
      </c>
      <c r="R406" s="16">
        <f>IFERROR(fCaixa[[#This Row],[Custoprimario]]/fCaixa[[#This Row],[Venda]],0)</f>
        <v>0.57500000000000007</v>
      </c>
      <c r="S406" s="16">
        <f>IFERROR(fCaixa[[#This Row],[Custofinal]]/fCaixa[[#This Row],[Venda]],0)</f>
        <v>0.59071038251366126</v>
      </c>
      <c r="T406" s="13">
        <f>IF(fCaixa[[#This Row],[Lançamento]]="RECEITA",fCaixa[[#This Row],[Venda]]-fCaixa[[#This Row],[Custoprimario]],0)</f>
        <v>77.774999999999991</v>
      </c>
      <c r="U406" s="16">
        <f>IFERROR(fCaixa[[#This Row],[Lucroprimario]]/fCaixa[[#This Row],[Venda]],0)</f>
        <v>0.42499999999999993</v>
      </c>
      <c r="V40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74.899999999999991</v>
      </c>
      <c r="W406" s="16">
        <f>IFERROR(fCaixa[[#This Row],[Lucrofinal]]/fCaixa[[#This Row],[Venda]],0)</f>
        <v>0.40928961748633874</v>
      </c>
    </row>
    <row r="407" spans="1:23" ht="16.5" hidden="1" x14ac:dyDescent="0.25">
      <c r="A407" s="17">
        <f t="shared" si="6"/>
        <v>406</v>
      </c>
      <c r="B407" s="87">
        <v>43273</v>
      </c>
      <c r="C407" s="12" t="s">
        <v>24</v>
      </c>
      <c r="D407" s="12" t="s">
        <v>25</v>
      </c>
      <c r="E407" s="12" t="s">
        <v>35</v>
      </c>
      <c r="F407" s="12" t="s">
        <v>28</v>
      </c>
      <c r="G407" s="13">
        <v>178</v>
      </c>
      <c r="H407" s="13">
        <v>1</v>
      </c>
      <c r="I407" s="13">
        <v>11.5</v>
      </c>
      <c r="J407" s="14">
        <v>2</v>
      </c>
      <c r="K407" s="17">
        <f>IFERROR(ROUND((fCaixa[[#This Row],[Venda]]/fCaixa[[#This Row],[Preço/Un.]]),0),0)</f>
        <v>178</v>
      </c>
      <c r="L407" s="15">
        <f>IFERROR((SUBSTITUTE(RIGHT(fCaixa[[#This Row],[Descrição]],3),"G","")*1 *fCaixa[[#This Row],[Qtd/Pães]]) / 1000,0)</f>
        <v>8.9</v>
      </c>
      <c r="M407" s="13">
        <f>IFERROR((((SUBSTITUTE(RIGHT(fCaixa[[#This Row],[Descrição]],3),"G","")*1) * fCaixa[[#This Row],[QTD Perdida]])/1000) *fCaixa[[#This Row],[Custo/KG.]],0)</f>
        <v>1.1500000000000001</v>
      </c>
      <c r="N407" s="15">
        <f>IF(fCaixa[[#This Row],[Lançamento]]="RECEITA",(fCaixa[[#This Row],[QTD Perdida]]* (SUBSTITUTE(RIGHT(fCaixa[[#This Row],[Descrição]],3),"G","")*1))/1000,0)</f>
        <v>0.1</v>
      </c>
      <c r="O407" s="15">
        <f>fCaixa[[#This Row],[Qtd/Kg]]+fCaixa[[#This Row],[Qtd/Kg Perdido]]</f>
        <v>9</v>
      </c>
      <c r="P407" s="13">
        <f>IF(fCaixa[[#This Row],[Lançamento]]="RECEITA",(fCaixa[[#This Row],[Qtd/Kg]]*fCaixa[[#This Row],[Custo/KG.]]),0)</f>
        <v>102.35000000000001</v>
      </c>
      <c r="Q407" s="34">
        <f>fCaixa[[#This Row],[Custoprimario]]+fCaixa[[#This Row],[Total Perdido]]</f>
        <v>103.50000000000001</v>
      </c>
      <c r="R407" s="16">
        <f>IFERROR(fCaixa[[#This Row],[Custoprimario]]/fCaixa[[#This Row],[Venda]],0)</f>
        <v>0.57500000000000007</v>
      </c>
      <c r="S407" s="16">
        <f>IFERROR(fCaixa[[#This Row],[Custofinal]]/fCaixa[[#This Row],[Venda]],0)</f>
        <v>0.5814606741573034</v>
      </c>
      <c r="T407" s="13">
        <f>IF(fCaixa[[#This Row],[Lançamento]]="RECEITA",fCaixa[[#This Row],[Venda]]-fCaixa[[#This Row],[Custoprimario]],0)</f>
        <v>75.649999999999991</v>
      </c>
      <c r="U407" s="16">
        <f>IFERROR(fCaixa[[#This Row],[Lucroprimario]]/fCaixa[[#This Row],[Venda]],0)</f>
        <v>0.42499999999999993</v>
      </c>
      <c r="V40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74.499999999999986</v>
      </c>
      <c r="W407" s="16">
        <f>IFERROR(fCaixa[[#This Row],[Lucrofinal]]/fCaixa[[#This Row],[Venda]],0)</f>
        <v>0.41853932584269654</v>
      </c>
    </row>
    <row r="408" spans="1:23" ht="16.5" hidden="1" x14ac:dyDescent="0.25">
      <c r="A408" s="17">
        <f t="shared" si="6"/>
        <v>407</v>
      </c>
      <c r="B408" s="87">
        <v>43276</v>
      </c>
      <c r="C408" s="12" t="s">
        <v>24</v>
      </c>
      <c r="D408" s="12" t="s">
        <v>38</v>
      </c>
      <c r="E408" s="12" t="s">
        <v>35</v>
      </c>
      <c r="F408" s="12" t="s">
        <v>28</v>
      </c>
      <c r="G408" s="13">
        <v>9</v>
      </c>
      <c r="H408" s="13">
        <v>1</v>
      </c>
      <c r="I408" s="13">
        <v>11.5</v>
      </c>
      <c r="J408" s="14">
        <v>0</v>
      </c>
      <c r="K408" s="17">
        <f>IFERROR(ROUND((fCaixa[[#This Row],[Venda]]/fCaixa[[#This Row],[Preço/Un.]]),0),0)</f>
        <v>9</v>
      </c>
      <c r="L408" s="15">
        <f>IFERROR((SUBSTITUTE(RIGHT(fCaixa[[#This Row],[Descrição]],3),"G","")*1 *fCaixa[[#This Row],[Qtd/Pães]]) / 1000,0)</f>
        <v>0.45</v>
      </c>
      <c r="M408" s="13">
        <f>IFERROR((((SUBSTITUTE(RIGHT(fCaixa[[#This Row],[Descrição]],3),"G","")*1) * fCaixa[[#This Row],[QTD Perdida]])/1000) *fCaixa[[#This Row],[Custo/KG.]],0)</f>
        <v>0</v>
      </c>
      <c r="N408" s="15">
        <f>IF(fCaixa[[#This Row],[Lançamento]]="RECEITA",(fCaixa[[#This Row],[QTD Perdida]]* (SUBSTITUTE(RIGHT(fCaixa[[#This Row],[Descrição]],3),"G","")*1))/1000,0)</f>
        <v>0</v>
      </c>
      <c r="O408" s="15">
        <f>fCaixa[[#This Row],[Qtd/Kg]]+fCaixa[[#This Row],[Qtd/Kg Perdido]]</f>
        <v>0.45</v>
      </c>
      <c r="P408" s="13">
        <f>IF(fCaixa[[#This Row],[Lançamento]]="RECEITA",(fCaixa[[#This Row],[Qtd/Kg]]*fCaixa[[#This Row],[Custo/KG.]]),0)</f>
        <v>5.1749999999999998</v>
      </c>
      <c r="Q408" s="34">
        <f>fCaixa[[#This Row],[Custoprimario]]+fCaixa[[#This Row],[Total Perdido]]</f>
        <v>5.1749999999999998</v>
      </c>
      <c r="R408" s="16">
        <f>IFERROR(fCaixa[[#This Row],[Custoprimario]]/fCaixa[[#This Row],[Venda]],0)</f>
        <v>0.57499999999999996</v>
      </c>
      <c r="S408" s="16">
        <f>IFERROR(fCaixa[[#This Row],[Custofinal]]/fCaixa[[#This Row],[Venda]],0)</f>
        <v>0.57499999999999996</v>
      </c>
      <c r="T408" s="13">
        <f>IF(fCaixa[[#This Row],[Lançamento]]="RECEITA",fCaixa[[#This Row],[Venda]]-fCaixa[[#This Row],[Custoprimario]],0)</f>
        <v>3.8250000000000002</v>
      </c>
      <c r="U408" s="16">
        <f>IFERROR(fCaixa[[#This Row],[Lucroprimario]]/fCaixa[[#This Row],[Venda]],0)</f>
        <v>0.42500000000000004</v>
      </c>
      <c r="V40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3.3930000000000002</v>
      </c>
      <c r="W408" s="16">
        <f>IFERROR(fCaixa[[#This Row],[Lucrofinal]]/fCaixa[[#This Row],[Venda]],0)</f>
        <v>0.377</v>
      </c>
    </row>
    <row r="409" spans="1:23" ht="16.5" hidden="1" x14ac:dyDescent="0.25">
      <c r="A409" s="17">
        <f t="shared" si="6"/>
        <v>408</v>
      </c>
      <c r="B409" s="87">
        <v>43276</v>
      </c>
      <c r="C409" s="12" t="s">
        <v>24</v>
      </c>
      <c r="D409" s="12" t="s">
        <v>25</v>
      </c>
      <c r="E409" s="12" t="s">
        <v>35</v>
      </c>
      <c r="F409" s="12" t="s">
        <v>28</v>
      </c>
      <c r="G409" s="13">
        <v>147</v>
      </c>
      <c r="H409" s="13">
        <v>1</v>
      </c>
      <c r="I409" s="13">
        <v>11.5</v>
      </c>
      <c r="J409" s="14">
        <v>4</v>
      </c>
      <c r="K409" s="17">
        <f>IFERROR(ROUND((fCaixa[[#This Row],[Venda]]/fCaixa[[#This Row],[Preço/Un.]]),0),0)</f>
        <v>147</v>
      </c>
      <c r="L409" s="15">
        <f>IFERROR((SUBSTITUTE(RIGHT(fCaixa[[#This Row],[Descrição]],3),"G","")*1 *fCaixa[[#This Row],[Qtd/Pães]]) / 1000,0)</f>
        <v>7.35</v>
      </c>
      <c r="M409" s="13">
        <f>IFERROR((((SUBSTITUTE(RIGHT(fCaixa[[#This Row],[Descrição]],3),"G","")*1) * fCaixa[[#This Row],[QTD Perdida]])/1000) *fCaixa[[#This Row],[Custo/KG.]],0)</f>
        <v>2.3000000000000003</v>
      </c>
      <c r="N409" s="15">
        <f>IF(fCaixa[[#This Row],[Lançamento]]="RECEITA",(fCaixa[[#This Row],[QTD Perdida]]* (SUBSTITUTE(RIGHT(fCaixa[[#This Row],[Descrição]],3),"G","")*1))/1000,0)</f>
        <v>0.2</v>
      </c>
      <c r="O409" s="15">
        <f>fCaixa[[#This Row],[Qtd/Kg]]+fCaixa[[#This Row],[Qtd/Kg Perdido]]</f>
        <v>7.55</v>
      </c>
      <c r="P409" s="13">
        <f>IF(fCaixa[[#This Row],[Lançamento]]="RECEITA",(fCaixa[[#This Row],[Qtd/Kg]]*fCaixa[[#This Row],[Custo/KG.]]),0)</f>
        <v>84.524999999999991</v>
      </c>
      <c r="Q409" s="34">
        <f>fCaixa[[#This Row],[Custoprimario]]+fCaixa[[#This Row],[Total Perdido]]</f>
        <v>86.824999999999989</v>
      </c>
      <c r="R409" s="16">
        <f>IFERROR(fCaixa[[#This Row],[Custoprimario]]/fCaixa[[#This Row],[Venda]],0)</f>
        <v>0.57499999999999996</v>
      </c>
      <c r="S409" s="16">
        <f>IFERROR(fCaixa[[#This Row],[Custofinal]]/fCaixa[[#This Row],[Venda]],0)</f>
        <v>0.59064625850340124</v>
      </c>
      <c r="T409" s="13">
        <f>IF(fCaixa[[#This Row],[Lançamento]]="RECEITA",fCaixa[[#This Row],[Venda]]-fCaixa[[#This Row],[Custoprimario]],0)</f>
        <v>62.475000000000009</v>
      </c>
      <c r="U409" s="16">
        <f>IFERROR(fCaixa[[#This Row],[Lucroprimario]]/fCaixa[[#This Row],[Venda]],0)</f>
        <v>0.42500000000000004</v>
      </c>
      <c r="V409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60.175000000000011</v>
      </c>
      <c r="W409" s="16">
        <f>IFERROR(fCaixa[[#This Row],[Lucrofinal]]/fCaixa[[#This Row],[Venda]],0)</f>
        <v>0.4093537414965987</v>
      </c>
    </row>
    <row r="410" spans="1:23" ht="16.5" hidden="1" x14ac:dyDescent="0.25">
      <c r="A410" s="17">
        <f t="shared" si="6"/>
        <v>409</v>
      </c>
      <c r="B410" s="87">
        <v>43277</v>
      </c>
      <c r="C410" s="12" t="s">
        <v>24</v>
      </c>
      <c r="D410" s="12" t="s">
        <v>25</v>
      </c>
      <c r="E410" s="12" t="s">
        <v>35</v>
      </c>
      <c r="F410" s="12" t="s">
        <v>28</v>
      </c>
      <c r="G410" s="13">
        <v>238</v>
      </c>
      <c r="H410" s="13">
        <v>1</v>
      </c>
      <c r="I410" s="13">
        <v>11.5</v>
      </c>
      <c r="J410" s="14">
        <v>2</v>
      </c>
      <c r="K410" s="17">
        <f>IFERROR(ROUND((fCaixa[[#This Row],[Venda]]/fCaixa[[#This Row],[Preço/Un.]]),0),0)</f>
        <v>238</v>
      </c>
      <c r="L410" s="15">
        <f>IFERROR((SUBSTITUTE(RIGHT(fCaixa[[#This Row],[Descrição]],3),"G","")*1 *fCaixa[[#This Row],[Qtd/Pães]]) / 1000,0)</f>
        <v>11.9</v>
      </c>
      <c r="M410" s="13">
        <f>IFERROR((((SUBSTITUTE(RIGHT(fCaixa[[#This Row],[Descrição]],3),"G","")*1) * fCaixa[[#This Row],[QTD Perdida]])/1000) *fCaixa[[#This Row],[Custo/KG.]],0)</f>
        <v>1.1500000000000001</v>
      </c>
      <c r="N410" s="15">
        <f>IF(fCaixa[[#This Row],[Lançamento]]="RECEITA",(fCaixa[[#This Row],[QTD Perdida]]* (SUBSTITUTE(RIGHT(fCaixa[[#This Row],[Descrição]],3),"G","")*1))/1000,0)</f>
        <v>0.1</v>
      </c>
      <c r="O410" s="15">
        <f>fCaixa[[#This Row],[Qtd/Kg]]+fCaixa[[#This Row],[Qtd/Kg Perdido]]</f>
        <v>12</v>
      </c>
      <c r="P410" s="13">
        <f>IF(fCaixa[[#This Row],[Lançamento]]="RECEITA",(fCaixa[[#This Row],[Qtd/Kg]]*fCaixa[[#This Row],[Custo/KG.]]),0)</f>
        <v>136.85</v>
      </c>
      <c r="Q410" s="34">
        <f>fCaixa[[#This Row],[Custoprimario]]+fCaixa[[#This Row],[Total Perdido]]</f>
        <v>138</v>
      </c>
      <c r="R410" s="16">
        <f>IFERROR(fCaixa[[#This Row],[Custoprimario]]/fCaixa[[#This Row],[Venda]],0)</f>
        <v>0.57499999999999996</v>
      </c>
      <c r="S410" s="16">
        <f>IFERROR(fCaixa[[#This Row],[Custofinal]]/fCaixa[[#This Row],[Venda]],0)</f>
        <v>0.57983193277310929</v>
      </c>
      <c r="T410" s="13">
        <f>IF(fCaixa[[#This Row],[Lançamento]]="RECEITA",fCaixa[[#This Row],[Venda]]-fCaixa[[#This Row],[Custoprimario]],0)</f>
        <v>101.15</v>
      </c>
      <c r="U410" s="16">
        <f>IFERROR(fCaixa[[#This Row],[Lucroprimario]]/fCaixa[[#This Row],[Venda]],0)</f>
        <v>0.42500000000000004</v>
      </c>
      <c r="V41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100</v>
      </c>
      <c r="W410" s="16">
        <f>IFERROR(fCaixa[[#This Row],[Lucrofinal]]/fCaixa[[#This Row],[Venda]],0)</f>
        <v>0.42016806722689076</v>
      </c>
    </row>
    <row r="411" spans="1:23" ht="16.5" hidden="1" x14ac:dyDescent="0.25">
      <c r="A411" s="17">
        <f t="shared" si="6"/>
        <v>410</v>
      </c>
      <c r="B411" s="87">
        <v>43279</v>
      </c>
      <c r="C411" s="12" t="s">
        <v>24</v>
      </c>
      <c r="D411" s="12" t="s">
        <v>37</v>
      </c>
      <c r="E411" s="12" t="s">
        <v>35</v>
      </c>
      <c r="F411" s="12" t="s">
        <v>28</v>
      </c>
      <c r="G411" s="13">
        <v>7</v>
      </c>
      <c r="H411" s="13">
        <v>1</v>
      </c>
      <c r="I411" s="13">
        <v>11.5</v>
      </c>
      <c r="J411" s="14">
        <v>0</v>
      </c>
      <c r="K411" s="17">
        <f>IFERROR(ROUND((fCaixa[[#This Row],[Venda]]/fCaixa[[#This Row],[Preço/Un.]]),0),0)</f>
        <v>7</v>
      </c>
      <c r="L411" s="15">
        <f>IFERROR((SUBSTITUTE(RIGHT(fCaixa[[#This Row],[Descrição]],3),"G","")*1 *fCaixa[[#This Row],[Qtd/Pães]]) / 1000,0)</f>
        <v>0.35</v>
      </c>
      <c r="M411" s="13">
        <f>IFERROR((((SUBSTITUTE(RIGHT(fCaixa[[#This Row],[Descrição]],3),"G","")*1) * fCaixa[[#This Row],[QTD Perdida]])/1000) *fCaixa[[#This Row],[Custo/KG.]],0)</f>
        <v>0</v>
      </c>
      <c r="N411" s="15">
        <f>IF(fCaixa[[#This Row],[Lançamento]]="RECEITA",(fCaixa[[#This Row],[QTD Perdida]]* (SUBSTITUTE(RIGHT(fCaixa[[#This Row],[Descrição]],3),"G","")*1))/1000,0)</f>
        <v>0</v>
      </c>
      <c r="O411" s="15">
        <f>fCaixa[[#This Row],[Qtd/Kg]]+fCaixa[[#This Row],[Qtd/Kg Perdido]]</f>
        <v>0.35</v>
      </c>
      <c r="P411" s="13">
        <f>IF(fCaixa[[#This Row],[Lançamento]]="RECEITA",(fCaixa[[#This Row],[Qtd/Kg]]*fCaixa[[#This Row],[Custo/KG.]]),0)</f>
        <v>4.0249999999999995</v>
      </c>
      <c r="Q411" s="34">
        <f>fCaixa[[#This Row],[Custoprimario]]+fCaixa[[#This Row],[Total Perdido]]</f>
        <v>4.0249999999999995</v>
      </c>
      <c r="R411" s="16">
        <f>IFERROR(fCaixa[[#This Row],[Custoprimario]]/fCaixa[[#This Row],[Venda]],0)</f>
        <v>0.57499999999999996</v>
      </c>
      <c r="S411" s="16">
        <f>IFERROR(fCaixa[[#This Row],[Custofinal]]/fCaixa[[#This Row],[Venda]],0)</f>
        <v>0.57499999999999996</v>
      </c>
      <c r="T411" s="13">
        <f>IF(fCaixa[[#This Row],[Lançamento]]="RECEITA",fCaixa[[#This Row],[Venda]]-fCaixa[[#This Row],[Custoprimario]],0)</f>
        <v>2.9750000000000005</v>
      </c>
      <c r="U411" s="16">
        <f>IFERROR(fCaixa[[#This Row],[Lucroprimario]]/fCaixa[[#This Row],[Venda]],0)</f>
        <v>0.4250000000000001</v>
      </c>
      <c r="V41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2.8147000000000006</v>
      </c>
      <c r="W411" s="16">
        <f>IFERROR(fCaixa[[#This Row],[Lucrofinal]]/fCaixa[[#This Row],[Venda]],0)</f>
        <v>0.40210000000000007</v>
      </c>
    </row>
    <row r="412" spans="1:23" ht="16.5" hidden="1" x14ac:dyDescent="0.25">
      <c r="A412" s="17">
        <f t="shared" si="6"/>
        <v>411</v>
      </c>
      <c r="B412" s="87">
        <v>43279</v>
      </c>
      <c r="C412" s="12" t="s">
        <v>24</v>
      </c>
      <c r="D412" s="12" t="s">
        <v>25</v>
      </c>
      <c r="E412" s="12" t="s">
        <v>35</v>
      </c>
      <c r="F412" s="12" t="s">
        <v>28</v>
      </c>
      <c r="G412" s="13">
        <v>18</v>
      </c>
      <c r="H412" s="13">
        <v>0.9</v>
      </c>
      <c r="I412" s="13">
        <v>11.5</v>
      </c>
      <c r="J412" s="14">
        <v>0</v>
      </c>
      <c r="K412" s="17">
        <f>IFERROR(ROUND((fCaixa[[#This Row],[Venda]]/fCaixa[[#This Row],[Preço/Un.]]),0),0)</f>
        <v>20</v>
      </c>
      <c r="L412" s="15">
        <f>IFERROR((SUBSTITUTE(RIGHT(fCaixa[[#This Row],[Descrição]],3),"G","")*1 *fCaixa[[#This Row],[Qtd/Pães]]) / 1000,0)</f>
        <v>1</v>
      </c>
      <c r="M412" s="13">
        <f>IFERROR((((SUBSTITUTE(RIGHT(fCaixa[[#This Row],[Descrição]],3),"G","")*1) * fCaixa[[#This Row],[QTD Perdida]])/1000) *fCaixa[[#This Row],[Custo/KG.]],0)</f>
        <v>0</v>
      </c>
      <c r="N412" s="15">
        <f>IF(fCaixa[[#This Row],[Lançamento]]="RECEITA",(fCaixa[[#This Row],[QTD Perdida]]* (SUBSTITUTE(RIGHT(fCaixa[[#This Row],[Descrição]],3),"G","")*1))/1000,0)</f>
        <v>0</v>
      </c>
      <c r="O412" s="15">
        <f>fCaixa[[#This Row],[Qtd/Kg]]+fCaixa[[#This Row],[Qtd/Kg Perdido]]</f>
        <v>1</v>
      </c>
      <c r="P412" s="13">
        <f>IF(fCaixa[[#This Row],[Lançamento]]="RECEITA",(fCaixa[[#This Row],[Qtd/Kg]]*fCaixa[[#This Row],[Custo/KG.]]),0)</f>
        <v>11.5</v>
      </c>
      <c r="Q412" s="34">
        <f>fCaixa[[#This Row],[Custoprimario]]+fCaixa[[#This Row],[Total Perdido]]</f>
        <v>11.5</v>
      </c>
      <c r="R412" s="16">
        <f>IFERROR(fCaixa[[#This Row],[Custoprimario]]/fCaixa[[#This Row],[Venda]],0)</f>
        <v>0.63888888888888884</v>
      </c>
      <c r="S412" s="16">
        <f>IFERROR(fCaixa[[#This Row],[Custofinal]]/fCaixa[[#This Row],[Venda]],0)</f>
        <v>0.63888888888888884</v>
      </c>
      <c r="T412" s="13">
        <f>IF(fCaixa[[#This Row],[Lançamento]]="RECEITA",fCaixa[[#This Row],[Venda]]-fCaixa[[#This Row],[Custoprimario]],0)</f>
        <v>6.5</v>
      </c>
      <c r="U412" s="16">
        <f>IFERROR(fCaixa[[#This Row],[Lucroprimario]]/fCaixa[[#This Row],[Venda]],0)</f>
        <v>0.3611111111111111</v>
      </c>
      <c r="V41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412" s="16">
        <f>IFERROR(fCaixa[[#This Row],[Lucrofinal]]/fCaixa[[#This Row],[Venda]],0)</f>
        <v>0.3611111111111111</v>
      </c>
    </row>
    <row r="413" spans="1:23" ht="16.5" hidden="1" x14ac:dyDescent="0.25">
      <c r="A413" s="17">
        <f t="shared" si="6"/>
        <v>412</v>
      </c>
      <c r="B413" s="87">
        <v>43279</v>
      </c>
      <c r="C413" s="12" t="s">
        <v>24</v>
      </c>
      <c r="D413" s="12" t="s">
        <v>25</v>
      </c>
      <c r="E413" s="12" t="s">
        <v>94</v>
      </c>
      <c r="F413" s="12" t="s">
        <v>28</v>
      </c>
      <c r="G413" s="13">
        <v>6.7</v>
      </c>
      <c r="H413" s="13">
        <v>0.67</v>
      </c>
      <c r="I413" s="13">
        <v>11.5</v>
      </c>
      <c r="J413" s="14">
        <v>20</v>
      </c>
      <c r="K413" s="17">
        <f>IFERROR(ROUND((fCaixa[[#This Row],[Venda]]/fCaixa[[#This Row],[Preço/Un.]]),0),0)</f>
        <v>10</v>
      </c>
      <c r="L413" s="15">
        <f>IFERROR((SUBSTITUTE(RIGHT(fCaixa[[#This Row],[Descrição]],3),"G","")*1 *fCaixa[[#This Row],[Qtd/Pães]]) / 1000,0)</f>
        <v>0.33</v>
      </c>
      <c r="M413" s="13">
        <f>IFERROR((((SUBSTITUTE(RIGHT(fCaixa[[#This Row],[Descrição]],3),"G","")*1) * fCaixa[[#This Row],[QTD Perdida]])/1000) *fCaixa[[#This Row],[Custo/KG.]],0)</f>
        <v>7.5900000000000007</v>
      </c>
      <c r="N413" s="15">
        <f>IF(fCaixa[[#This Row],[Lançamento]]="RECEITA",(fCaixa[[#This Row],[QTD Perdida]]* (SUBSTITUTE(RIGHT(fCaixa[[#This Row],[Descrição]],3),"G","")*1))/1000,0)</f>
        <v>0.66</v>
      </c>
      <c r="O413" s="15">
        <f>fCaixa[[#This Row],[Qtd/Kg]]+fCaixa[[#This Row],[Qtd/Kg Perdido]]</f>
        <v>0.99</v>
      </c>
      <c r="P413" s="13">
        <f>IF(fCaixa[[#This Row],[Lançamento]]="RECEITA",(fCaixa[[#This Row],[Qtd/Kg]]*fCaixa[[#This Row],[Custo/KG.]]),0)</f>
        <v>3.7950000000000004</v>
      </c>
      <c r="Q413" s="34">
        <f>fCaixa[[#This Row],[Custoprimario]]+fCaixa[[#This Row],[Total Perdido]]</f>
        <v>11.385000000000002</v>
      </c>
      <c r="R413" s="16">
        <f>IFERROR(fCaixa[[#This Row],[Custoprimario]]/fCaixa[[#This Row],[Venda]],0)</f>
        <v>0.56641791044776124</v>
      </c>
      <c r="S413" s="16">
        <f>IFERROR(fCaixa[[#This Row],[Custofinal]]/fCaixa[[#This Row],[Venda]],0)</f>
        <v>1.6992537313432838</v>
      </c>
      <c r="T413" s="13">
        <f>IF(fCaixa[[#This Row],[Lançamento]]="RECEITA",fCaixa[[#This Row],[Venda]]-fCaixa[[#This Row],[Custoprimario]],0)</f>
        <v>2.9049999999999998</v>
      </c>
      <c r="U413" s="16">
        <f>IFERROR(fCaixa[[#This Row],[Lucroprimario]]/fCaixa[[#This Row],[Venda]],0)</f>
        <v>0.43358208955223876</v>
      </c>
      <c r="V413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-4.6850000000000014</v>
      </c>
      <c r="W413" s="16">
        <f>IFERROR(fCaixa[[#This Row],[Lucrofinal]]/fCaixa[[#This Row],[Venda]],0)</f>
        <v>-0.69925373134328372</v>
      </c>
    </row>
    <row r="414" spans="1:23" ht="16.5" hidden="1" x14ac:dyDescent="0.25">
      <c r="A414" s="17">
        <f t="shared" si="6"/>
        <v>413</v>
      </c>
      <c r="B414" s="87">
        <v>43279</v>
      </c>
      <c r="C414" s="12" t="s">
        <v>24</v>
      </c>
      <c r="D414" s="12" t="s">
        <v>25</v>
      </c>
      <c r="E414" s="12" t="s">
        <v>35</v>
      </c>
      <c r="F414" s="12" t="s">
        <v>28</v>
      </c>
      <c r="G414" s="13">
        <v>131</v>
      </c>
      <c r="H414" s="13">
        <v>1</v>
      </c>
      <c r="I414" s="13">
        <v>11.5</v>
      </c>
      <c r="J414" s="14">
        <v>2</v>
      </c>
      <c r="K414" s="17">
        <f>IFERROR(ROUND((fCaixa[[#This Row],[Venda]]/fCaixa[[#This Row],[Preço/Un.]]),0),0)</f>
        <v>131</v>
      </c>
      <c r="L414" s="15">
        <f>IFERROR((SUBSTITUTE(RIGHT(fCaixa[[#This Row],[Descrição]],3),"G","")*1 *fCaixa[[#This Row],[Qtd/Pães]]) / 1000,0)</f>
        <v>6.55</v>
      </c>
      <c r="M414" s="13">
        <f>IFERROR((((SUBSTITUTE(RIGHT(fCaixa[[#This Row],[Descrição]],3),"G","")*1) * fCaixa[[#This Row],[QTD Perdida]])/1000) *fCaixa[[#This Row],[Custo/KG.]],0)</f>
        <v>1.1500000000000001</v>
      </c>
      <c r="N414" s="15">
        <f>IF(fCaixa[[#This Row],[Lançamento]]="RECEITA",(fCaixa[[#This Row],[QTD Perdida]]* (SUBSTITUTE(RIGHT(fCaixa[[#This Row],[Descrição]],3),"G","")*1))/1000,0)</f>
        <v>0.1</v>
      </c>
      <c r="O414" s="15">
        <f>fCaixa[[#This Row],[Qtd/Kg]]+fCaixa[[#This Row],[Qtd/Kg Perdido]]</f>
        <v>6.6499999999999995</v>
      </c>
      <c r="P414" s="13">
        <f>IF(fCaixa[[#This Row],[Lançamento]]="RECEITA",(fCaixa[[#This Row],[Qtd/Kg]]*fCaixa[[#This Row],[Custo/KG.]]),0)</f>
        <v>75.325000000000003</v>
      </c>
      <c r="Q414" s="34">
        <f>fCaixa[[#This Row],[Custoprimario]]+fCaixa[[#This Row],[Total Perdido]]</f>
        <v>76.475000000000009</v>
      </c>
      <c r="R414" s="16">
        <f>IFERROR(fCaixa[[#This Row],[Custoprimario]]/fCaixa[[#This Row],[Venda]],0)</f>
        <v>0.57500000000000007</v>
      </c>
      <c r="S414" s="16">
        <f>IFERROR(fCaixa[[#This Row],[Custofinal]]/fCaixa[[#This Row],[Venda]],0)</f>
        <v>0.58377862595419849</v>
      </c>
      <c r="T414" s="13">
        <f>IF(fCaixa[[#This Row],[Lançamento]]="RECEITA",fCaixa[[#This Row],[Venda]]-fCaixa[[#This Row],[Custoprimario]],0)</f>
        <v>55.674999999999997</v>
      </c>
      <c r="U414" s="16">
        <f>IFERROR(fCaixa[[#This Row],[Lucroprimario]]/fCaixa[[#This Row],[Venda]],0)</f>
        <v>0.42499999999999999</v>
      </c>
      <c r="V414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54.524999999999991</v>
      </c>
      <c r="W414" s="16">
        <f>IFERROR(fCaixa[[#This Row],[Lucrofinal]]/fCaixa[[#This Row],[Venda]],0)</f>
        <v>0.41622137404580145</v>
      </c>
    </row>
    <row r="415" spans="1:23" ht="16.5" hidden="1" x14ac:dyDescent="0.25">
      <c r="A415" s="17">
        <f t="shared" si="6"/>
        <v>414</v>
      </c>
      <c r="B415" s="87">
        <v>43280</v>
      </c>
      <c r="C415" s="12" t="s">
        <v>24</v>
      </c>
      <c r="D415" s="12" t="s">
        <v>37</v>
      </c>
      <c r="E415" s="12" t="s">
        <v>35</v>
      </c>
      <c r="F415" s="12" t="s">
        <v>28</v>
      </c>
      <c r="G415" s="13">
        <v>10</v>
      </c>
      <c r="H415" s="13">
        <v>1</v>
      </c>
      <c r="I415" s="13">
        <v>11.5</v>
      </c>
      <c r="J415" s="14">
        <v>0</v>
      </c>
      <c r="K415" s="17">
        <f>IFERROR(ROUND((fCaixa[[#This Row],[Venda]]/fCaixa[[#This Row],[Preço/Un.]]),0),0)</f>
        <v>10</v>
      </c>
      <c r="L415" s="15">
        <f>IFERROR((SUBSTITUTE(RIGHT(fCaixa[[#This Row],[Descrição]],3),"G","")*1 *fCaixa[[#This Row],[Qtd/Pães]]) / 1000,0)</f>
        <v>0.5</v>
      </c>
      <c r="M415" s="13">
        <f>IFERROR((((SUBSTITUTE(RIGHT(fCaixa[[#This Row],[Descrição]],3),"G","")*1) * fCaixa[[#This Row],[QTD Perdida]])/1000) *fCaixa[[#This Row],[Custo/KG.]],0)</f>
        <v>0</v>
      </c>
      <c r="N415" s="15">
        <f>IF(fCaixa[[#This Row],[Lançamento]]="RECEITA",(fCaixa[[#This Row],[QTD Perdida]]* (SUBSTITUTE(RIGHT(fCaixa[[#This Row],[Descrição]],3),"G","")*1))/1000,0)</f>
        <v>0</v>
      </c>
      <c r="O415" s="15">
        <f>fCaixa[[#This Row],[Qtd/Kg]]+fCaixa[[#This Row],[Qtd/Kg Perdido]]</f>
        <v>0.5</v>
      </c>
      <c r="P415" s="13">
        <f>IF(fCaixa[[#This Row],[Lançamento]]="RECEITA",(fCaixa[[#This Row],[Qtd/Kg]]*fCaixa[[#This Row],[Custo/KG.]]),0)</f>
        <v>5.75</v>
      </c>
      <c r="Q415" s="34">
        <f>fCaixa[[#This Row],[Custoprimario]]+fCaixa[[#This Row],[Total Perdido]]</f>
        <v>5.75</v>
      </c>
      <c r="R415" s="16">
        <f>IFERROR(fCaixa[[#This Row],[Custoprimario]]/fCaixa[[#This Row],[Venda]],0)</f>
        <v>0.57499999999999996</v>
      </c>
      <c r="S415" s="16">
        <f>IFERROR(fCaixa[[#This Row],[Custofinal]]/fCaixa[[#This Row],[Venda]],0)</f>
        <v>0.57499999999999996</v>
      </c>
      <c r="T415" s="13">
        <f>IF(fCaixa[[#This Row],[Lançamento]]="RECEITA",fCaixa[[#This Row],[Venda]]-fCaixa[[#This Row],[Custoprimario]],0)</f>
        <v>4.25</v>
      </c>
      <c r="U415" s="16">
        <f>IFERROR(fCaixa[[#This Row],[Lucroprimario]]/fCaixa[[#This Row],[Venda]],0)</f>
        <v>0.42499999999999999</v>
      </c>
      <c r="V415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4.0209999999999999</v>
      </c>
      <c r="W415" s="16">
        <f>IFERROR(fCaixa[[#This Row],[Lucrofinal]]/fCaixa[[#This Row],[Venda]],0)</f>
        <v>0.40210000000000001</v>
      </c>
    </row>
    <row r="416" spans="1:23" ht="16.5" hidden="1" x14ac:dyDescent="0.25">
      <c r="A416" s="17">
        <f t="shared" si="6"/>
        <v>415</v>
      </c>
      <c r="B416" s="87">
        <v>43280</v>
      </c>
      <c r="C416" s="12" t="s">
        <v>24</v>
      </c>
      <c r="D416" s="12" t="s">
        <v>37</v>
      </c>
      <c r="E416" s="12" t="s">
        <v>35</v>
      </c>
      <c r="F416" s="12" t="s">
        <v>28</v>
      </c>
      <c r="G416" s="13">
        <v>5</v>
      </c>
      <c r="H416" s="13">
        <v>1</v>
      </c>
      <c r="I416" s="13">
        <v>11.5</v>
      </c>
      <c r="J416" s="14">
        <v>0</v>
      </c>
      <c r="K416" s="17">
        <f>IFERROR(ROUND((fCaixa[[#This Row],[Venda]]/fCaixa[[#This Row],[Preço/Un.]]),0),0)</f>
        <v>5</v>
      </c>
      <c r="L416" s="15">
        <f>IFERROR((SUBSTITUTE(RIGHT(fCaixa[[#This Row],[Descrição]],3),"G","")*1 *fCaixa[[#This Row],[Qtd/Pães]]) / 1000,0)</f>
        <v>0.25</v>
      </c>
      <c r="M416" s="13">
        <f>IFERROR((((SUBSTITUTE(RIGHT(fCaixa[[#This Row],[Descrição]],3),"G","")*1) * fCaixa[[#This Row],[QTD Perdida]])/1000) *fCaixa[[#This Row],[Custo/KG.]],0)</f>
        <v>0</v>
      </c>
      <c r="N416" s="15">
        <f>IF(fCaixa[[#This Row],[Lançamento]]="RECEITA",(fCaixa[[#This Row],[QTD Perdida]]* (SUBSTITUTE(RIGHT(fCaixa[[#This Row],[Descrição]],3),"G","")*1))/1000,0)</f>
        <v>0</v>
      </c>
      <c r="O416" s="15">
        <f>fCaixa[[#This Row],[Qtd/Kg]]+fCaixa[[#This Row],[Qtd/Kg Perdido]]</f>
        <v>0.25</v>
      </c>
      <c r="P416" s="13">
        <f>IF(fCaixa[[#This Row],[Lançamento]]="RECEITA",(fCaixa[[#This Row],[Qtd/Kg]]*fCaixa[[#This Row],[Custo/KG.]]),0)</f>
        <v>2.875</v>
      </c>
      <c r="Q416" s="34">
        <f>fCaixa[[#This Row],[Custoprimario]]+fCaixa[[#This Row],[Total Perdido]]</f>
        <v>2.875</v>
      </c>
      <c r="R416" s="16">
        <f>IFERROR(fCaixa[[#This Row],[Custoprimario]]/fCaixa[[#This Row],[Venda]],0)</f>
        <v>0.57499999999999996</v>
      </c>
      <c r="S416" s="16">
        <f>IFERROR(fCaixa[[#This Row],[Custofinal]]/fCaixa[[#This Row],[Venda]],0)</f>
        <v>0.57499999999999996</v>
      </c>
      <c r="T416" s="13">
        <f>IF(fCaixa[[#This Row],[Lançamento]]="RECEITA",fCaixa[[#This Row],[Venda]]-fCaixa[[#This Row],[Custoprimario]],0)</f>
        <v>2.125</v>
      </c>
      <c r="U416" s="16">
        <f>IFERROR(fCaixa[[#This Row],[Lucroprimario]]/fCaixa[[#This Row],[Venda]],0)</f>
        <v>0.42499999999999999</v>
      </c>
      <c r="V416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2.0105</v>
      </c>
      <c r="W416" s="16">
        <f>IFERROR(fCaixa[[#This Row],[Lucrofinal]]/fCaixa[[#This Row],[Venda]],0)</f>
        <v>0.40210000000000001</v>
      </c>
    </row>
    <row r="417" spans="1:23" ht="16.5" hidden="1" x14ac:dyDescent="0.25">
      <c r="A417" s="17">
        <f t="shared" si="6"/>
        <v>416</v>
      </c>
      <c r="B417" s="87">
        <v>43280</v>
      </c>
      <c r="C417" s="12" t="s">
        <v>24</v>
      </c>
      <c r="D417" s="12" t="s">
        <v>25</v>
      </c>
      <c r="E417" s="12" t="s">
        <v>35</v>
      </c>
      <c r="F417" s="12" t="s">
        <v>28</v>
      </c>
      <c r="G417" s="13">
        <v>18</v>
      </c>
      <c r="H417" s="13">
        <v>0.9</v>
      </c>
      <c r="I417" s="13">
        <v>11.5</v>
      </c>
      <c r="J417" s="14">
        <v>0</v>
      </c>
      <c r="K417" s="17">
        <f>IFERROR(ROUND((fCaixa[[#This Row],[Venda]]/fCaixa[[#This Row],[Preço/Un.]]),0),0)</f>
        <v>20</v>
      </c>
      <c r="L417" s="15">
        <f>IFERROR((SUBSTITUTE(RIGHT(fCaixa[[#This Row],[Descrição]],3),"G","")*1 *fCaixa[[#This Row],[Qtd/Pães]]) / 1000,0)</f>
        <v>1</v>
      </c>
      <c r="M417" s="13">
        <f>IFERROR((((SUBSTITUTE(RIGHT(fCaixa[[#This Row],[Descrição]],3),"G","")*1) * fCaixa[[#This Row],[QTD Perdida]])/1000) *fCaixa[[#This Row],[Custo/KG.]],0)</f>
        <v>0</v>
      </c>
      <c r="N417" s="15">
        <f>IF(fCaixa[[#This Row],[Lançamento]]="RECEITA",(fCaixa[[#This Row],[QTD Perdida]]* (SUBSTITUTE(RIGHT(fCaixa[[#This Row],[Descrição]],3),"G","")*1))/1000,0)</f>
        <v>0</v>
      </c>
      <c r="O417" s="15">
        <f>fCaixa[[#This Row],[Qtd/Kg]]+fCaixa[[#This Row],[Qtd/Kg Perdido]]</f>
        <v>1</v>
      </c>
      <c r="P417" s="13">
        <f>IF(fCaixa[[#This Row],[Lançamento]]="RECEITA",(fCaixa[[#This Row],[Qtd/Kg]]*fCaixa[[#This Row],[Custo/KG.]]),0)</f>
        <v>11.5</v>
      </c>
      <c r="Q417" s="34">
        <f>fCaixa[[#This Row],[Custoprimario]]+fCaixa[[#This Row],[Total Perdido]]</f>
        <v>11.5</v>
      </c>
      <c r="R417" s="16">
        <f>IFERROR(fCaixa[[#This Row],[Custoprimario]]/fCaixa[[#This Row],[Venda]],0)</f>
        <v>0.63888888888888884</v>
      </c>
      <c r="S417" s="16">
        <f>IFERROR(fCaixa[[#This Row],[Custofinal]]/fCaixa[[#This Row],[Venda]],0)</f>
        <v>0.63888888888888884</v>
      </c>
      <c r="T417" s="13">
        <f>IF(fCaixa[[#This Row],[Lançamento]]="RECEITA",fCaixa[[#This Row],[Venda]]-fCaixa[[#This Row],[Custoprimario]],0)</f>
        <v>6.5</v>
      </c>
      <c r="U417" s="16">
        <f>IFERROR(fCaixa[[#This Row],[Lucroprimario]]/fCaixa[[#This Row],[Venda]],0)</f>
        <v>0.3611111111111111</v>
      </c>
      <c r="V417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417" s="16">
        <f>IFERROR(fCaixa[[#This Row],[Lucrofinal]]/fCaixa[[#This Row],[Venda]],0)</f>
        <v>0.3611111111111111</v>
      </c>
    </row>
    <row r="418" spans="1:23" ht="16.5" hidden="1" x14ac:dyDescent="0.25">
      <c r="A418" s="17">
        <f t="shared" si="6"/>
        <v>417</v>
      </c>
      <c r="B418" s="87">
        <v>43280</v>
      </c>
      <c r="C418" s="12" t="s">
        <v>24</v>
      </c>
      <c r="D418" s="12" t="s">
        <v>25</v>
      </c>
      <c r="E418" s="12" t="s">
        <v>35</v>
      </c>
      <c r="F418" s="12" t="s">
        <v>28</v>
      </c>
      <c r="G418" s="13">
        <v>200</v>
      </c>
      <c r="H418" s="13">
        <v>1</v>
      </c>
      <c r="I418" s="13">
        <v>11.5</v>
      </c>
      <c r="J418" s="14">
        <v>5</v>
      </c>
      <c r="K418" s="17">
        <f>IFERROR(ROUND((fCaixa[[#This Row],[Venda]]/fCaixa[[#This Row],[Preço/Un.]]),0),0)</f>
        <v>200</v>
      </c>
      <c r="L418" s="15">
        <f>IFERROR((SUBSTITUTE(RIGHT(fCaixa[[#This Row],[Descrição]],3),"G","")*1 *fCaixa[[#This Row],[Qtd/Pães]]) / 1000,0)</f>
        <v>10</v>
      </c>
      <c r="M418" s="13">
        <f>IFERROR((((SUBSTITUTE(RIGHT(fCaixa[[#This Row],[Descrição]],3),"G","")*1) * fCaixa[[#This Row],[QTD Perdida]])/1000) *fCaixa[[#This Row],[Custo/KG.]],0)</f>
        <v>2.875</v>
      </c>
      <c r="N418" s="15">
        <f>IF(fCaixa[[#This Row],[Lançamento]]="RECEITA",(fCaixa[[#This Row],[QTD Perdida]]* (SUBSTITUTE(RIGHT(fCaixa[[#This Row],[Descrição]],3),"G","")*1))/1000,0)</f>
        <v>0.25</v>
      </c>
      <c r="O418" s="15">
        <f>fCaixa[[#This Row],[Qtd/Kg]]+fCaixa[[#This Row],[Qtd/Kg Perdido]]</f>
        <v>10.25</v>
      </c>
      <c r="P418" s="13">
        <f>IF(fCaixa[[#This Row],[Lançamento]]="RECEITA",(fCaixa[[#This Row],[Qtd/Kg]]*fCaixa[[#This Row],[Custo/KG.]]),0)</f>
        <v>115</v>
      </c>
      <c r="Q418" s="34">
        <f>fCaixa[[#This Row],[Custoprimario]]+fCaixa[[#This Row],[Total Perdido]]</f>
        <v>117.875</v>
      </c>
      <c r="R418" s="16">
        <f>IFERROR(fCaixa[[#This Row],[Custoprimario]]/fCaixa[[#This Row],[Venda]],0)</f>
        <v>0.57499999999999996</v>
      </c>
      <c r="S418" s="16">
        <f>IFERROR(fCaixa[[#This Row],[Custofinal]]/fCaixa[[#This Row],[Venda]],0)</f>
        <v>0.58937499999999998</v>
      </c>
      <c r="T418" s="13">
        <f>IF(fCaixa[[#This Row],[Lançamento]]="RECEITA",fCaixa[[#This Row],[Venda]]-fCaixa[[#This Row],[Custoprimario]],0)</f>
        <v>85</v>
      </c>
      <c r="U418" s="16">
        <f>IFERROR(fCaixa[[#This Row],[Lucroprimario]]/fCaixa[[#This Row],[Venda]],0)</f>
        <v>0.42499999999999999</v>
      </c>
      <c r="V418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82.125</v>
      </c>
      <c r="W418" s="16">
        <f>IFERROR(fCaixa[[#This Row],[Lucrofinal]]/fCaixa[[#This Row],[Venda]],0)</f>
        <v>0.41062500000000002</v>
      </c>
    </row>
    <row r="419" spans="1:23" ht="16.5" hidden="1" x14ac:dyDescent="0.25">
      <c r="A419" s="62">
        <f t="shared" si="6"/>
        <v>418</v>
      </c>
      <c r="B419" s="88">
        <v>43283</v>
      </c>
      <c r="C419" s="63" t="s">
        <v>24</v>
      </c>
      <c r="D419" s="63" t="s">
        <v>25</v>
      </c>
      <c r="E419" s="63" t="s">
        <v>94</v>
      </c>
      <c r="F419" s="63" t="s">
        <v>28</v>
      </c>
      <c r="G419" s="64">
        <v>15</v>
      </c>
      <c r="H419" s="64">
        <v>0.5</v>
      </c>
      <c r="I419" s="64">
        <v>11.5</v>
      </c>
      <c r="J419" s="65">
        <v>0</v>
      </c>
      <c r="K419" s="62">
        <f>IFERROR(ROUND((fCaixa[[#This Row],[Venda]]/fCaixa[[#This Row],[Preço/Un.]]),0),0)</f>
        <v>30</v>
      </c>
      <c r="L419" s="66">
        <f>IFERROR((SUBSTITUTE(RIGHT(fCaixa[[#This Row],[Descrição]],3),"G","")*1 *fCaixa[[#This Row],[Qtd/Pães]]) / 1000,0)</f>
        <v>0.99</v>
      </c>
      <c r="M419" s="64">
        <f>IFERROR((((SUBSTITUTE(RIGHT(fCaixa[[#This Row],[Descrição]],3),"G","")*1) * fCaixa[[#This Row],[QTD Perdida]])/1000) *fCaixa[[#This Row],[Custo/KG.]],0)</f>
        <v>0</v>
      </c>
      <c r="N419" s="66">
        <f>IF(fCaixa[[#This Row],[Lançamento]]="RECEITA",(fCaixa[[#This Row],[QTD Perdida]]* (SUBSTITUTE(RIGHT(fCaixa[[#This Row],[Descrição]],3),"G","")*1))/1000,0)</f>
        <v>0</v>
      </c>
      <c r="O419" s="66">
        <f>fCaixa[[#This Row],[Qtd/Kg]]+fCaixa[[#This Row],[Qtd/Kg Perdido]]</f>
        <v>0.99</v>
      </c>
      <c r="P419" s="64">
        <f>IF(fCaixa[[#This Row],[Lançamento]]="RECEITA",(fCaixa[[#This Row],[Qtd/Kg]]*fCaixa[[#This Row],[Custo/KG.]]),0)</f>
        <v>11.385</v>
      </c>
      <c r="Q419" s="67">
        <f>fCaixa[[#This Row],[Custoprimario]]+fCaixa[[#This Row],[Total Perdido]]</f>
        <v>11.385</v>
      </c>
      <c r="R419" s="68">
        <f>IFERROR(fCaixa[[#This Row],[Custoprimario]]/fCaixa[[#This Row],[Venda]],0)</f>
        <v>0.75900000000000001</v>
      </c>
      <c r="S419" s="68">
        <f>IFERROR(fCaixa[[#This Row],[Custofinal]]/fCaixa[[#This Row],[Venda]],0)</f>
        <v>0.75900000000000001</v>
      </c>
      <c r="T419" s="64">
        <f>IF(fCaixa[[#This Row],[Lançamento]]="RECEITA",fCaixa[[#This Row],[Venda]]-fCaixa[[#This Row],[Custoprimario]],0)</f>
        <v>3.6150000000000002</v>
      </c>
      <c r="U419" s="68">
        <f>IFERROR(fCaixa[[#This Row],[Lucroprimario]]/fCaixa[[#This Row],[Venda]],0)</f>
        <v>0.24100000000000002</v>
      </c>
      <c r="V419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3.6150000000000002</v>
      </c>
      <c r="W419" s="68">
        <f>IFERROR(fCaixa[[#This Row],[Lucrofinal]]/fCaixa[[#This Row],[Venda]],0)</f>
        <v>0.24100000000000002</v>
      </c>
    </row>
    <row r="420" spans="1:23" ht="16.5" hidden="1" x14ac:dyDescent="0.25">
      <c r="A420" s="62">
        <f t="shared" si="6"/>
        <v>419</v>
      </c>
      <c r="B420" s="88">
        <v>43283</v>
      </c>
      <c r="C420" s="63" t="s">
        <v>24</v>
      </c>
      <c r="D420" s="63" t="s">
        <v>25</v>
      </c>
      <c r="E420" s="63" t="s">
        <v>35</v>
      </c>
      <c r="F420" s="63" t="s">
        <v>28</v>
      </c>
      <c r="G420" s="64">
        <v>119</v>
      </c>
      <c r="H420" s="64">
        <v>1</v>
      </c>
      <c r="I420" s="64">
        <v>11.5</v>
      </c>
      <c r="J420" s="65">
        <v>1</v>
      </c>
      <c r="K420" s="62">
        <f>IFERROR(ROUND((fCaixa[[#This Row],[Venda]]/fCaixa[[#This Row],[Preço/Un.]]),0),0)</f>
        <v>119</v>
      </c>
      <c r="L420" s="66">
        <f>IFERROR((SUBSTITUTE(RIGHT(fCaixa[[#This Row],[Descrição]],3),"G","")*1 *fCaixa[[#This Row],[Qtd/Pães]]) / 1000,0)</f>
        <v>5.95</v>
      </c>
      <c r="M420" s="64">
        <f>IFERROR((((SUBSTITUTE(RIGHT(fCaixa[[#This Row],[Descrição]],3),"G","")*1) * fCaixa[[#This Row],[QTD Perdida]])/1000) *fCaixa[[#This Row],[Custo/KG.]],0)</f>
        <v>0.57500000000000007</v>
      </c>
      <c r="N420" s="66">
        <f>IF(fCaixa[[#This Row],[Lançamento]]="RECEITA",(fCaixa[[#This Row],[QTD Perdida]]* (SUBSTITUTE(RIGHT(fCaixa[[#This Row],[Descrição]],3),"G","")*1))/1000,0)</f>
        <v>0.05</v>
      </c>
      <c r="O420" s="66">
        <f>fCaixa[[#This Row],[Qtd/Kg]]+fCaixa[[#This Row],[Qtd/Kg Perdido]]</f>
        <v>6</v>
      </c>
      <c r="P420" s="64">
        <f>IF(fCaixa[[#This Row],[Lançamento]]="RECEITA",(fCaixa[[#This Row],[Qtd/Kg]]*fCaixa[[#This Row],[Custo/KG.]]),0)</f>
        <v>68.424999999999997</v>
      </c>
      <c r="Q420" s="67">
        <f>fCaixa[[#This Row],[Custoprimario]]+fCaixa[[#This Row],[Total Perdido]]</f>
        <v>69</v>
      </c>
      <c r="R420" s="68">
        <f>IFERROR(fCaixa[[#This Row],[Custoprimario]]/fCaixa[[#This Row],[Venda]],0)</f>
        <v>0.57499999999999996</v>
      </c>
      <c r="S420" s="68">
        <f>IFERROR(fCaixa[[#This Row],[Custofinal]]/fCaixa[[#This Row],[Venda]],0)</f>
        <v>0.57983193277310929</v>
      </c>
      <c r="T420" s="64">
        <f>IF(fCaixa[[#This Row],[Lançamento]]="RECEITA",fCaixa[[#This Row],[Venda]]-fCaixa[[#This Row],[Custoprimario]],0)</f>
        <v>50.575000000000003</v>
      </c>
      <c r="U420" s="68">
        <f>IFERROR(fCaixa[[#This Row],[Lucroprimario]]/fCaixa[[#This Row],[Venda]],0)</f>
        <v>0.42500000000000004</v>
      </c>
      <c r="V420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50</v>
      </c>
      <c r="W420" s="68">
        <f>IFERROR(fCaixa[[#This Row],[Lucrofinal]]/fCaixa[[#This Row],[Venda]],0)</f>
        <v>0.42016806722689076</v>
      </c>
    </row>
    <row r="421" spans="1:23" ht="16.5" hidden="1" x14ac:dyDescent="0.25">
      <c r="A421" s="62">
        <f t="shared" si="6"/>
        <v>420</v>
      </c>
      <c r="B421" s="88">
        <v>43284</v>
      </c>
      <c r="C421" s="63" t="s">
        <v>24</v>
      </c>
      <c r="D421" s="63" t="s">
        <v>37</v>
      </c>
      <c r="E421" s="63" t="s">
        <v>35</v>
      </c>
      <c r="F421" s="63" t="s">
        <v>28</v>
      </c>
      <c r="G421" s="64">
        <v>10</v>
      </c>
      <c r="H421" s="64">
        <v>1</v>
      </c>
      <c r="I421" s="64">
        <v>11.5</v>
      </c>
      <c r="J421" s="65">
        <v>0</v>
      </c>
      <c r="K421" s="62">
        <f>IFERROR(ROUND((fCaixa[[#This Row],[Venda]]/fCaixa[[#This Row],[Preço/Un.]]),0),0)</f>
        <v>10</v>
      </c>
      <c r="L421" s="66">
        <f>IFERROR((SUBSTITUTE(RIGHT(fCaixa[[#This Row],[Descrição]],3),"G","")*1 *fCaixa[[#This Row],[Qtd/Pães]]) / 1000,0)</f>
        <v>0.5</v>
      </c>
      <c r="M421" s="64">
        <f>IFERROR((((SUBSTITUTE(RIGHT(fCaixa[[#This Row],[Descrição]],3),"G","")*1) * fCaixa[[#This Row],[QTD Perdida]])/1000) *fCaixa[[#This Row],[Custo/KG.]],0)</f>
        <v>0</v>
      </c>
      <c r="N421" s="66">
        <f>IF(fCaixa[[#This Row],[Lançamento]]="RECEITA",(fCaixa[[#This Row],[QTD Perdida]]* (SUBSTITUTE(RIGHT(fCaixa[[#This Row],[Descrição]],3),"G","")*1))/1000,0)</f>
        <v>0</v>
      </c>
      <c r="O421" s="66">
        <f>fCaixa[[#This Row],[Qtd/Kg]]+fCaixa[[#This Row],[Qtd/Kg Perdido]]</f>
        <v>0.5</v>
      </c>
      <c r="P421" s="64">
        <f>IF(fCaixa[[#This Row],[Lançamento]]="RECEITA",(fCaixa[[#This Row],[Qtd/Kg]]*fCaixa[[#This Row],[Custo/KG.]]),0)</f>
        <v>5.75</v>
      </c>
      <c r="Q421" s="67">
        <f>fCaixa[[#This Row],[Custoprimario]]+fCaixa[[#This Row],[Total Perdido]]</f>
        <v>5.75</v>
      </c>
      <c r="R421" s="68">
        <f>IFERROR(fCaixa[[#This Row],[Custoprimario]]/fCaixa[[#This Row],[Venda]],0)</f>
        <v>0.57499999999999996</v>
      </c>
      <c r="S421" s="68">
        <f>IFERROR(fCaixa[[#This Row],[Custofinal]]/fCaixa[[#This Row],[Venda]],0)</f>
        <v>0.57499999999999996</v>
      </c>
      <c r="T421" s="64">
        <f>IF(fCaixa[[#This Row],[Lançamento]]="RECEITA",fCaixa[[#This Row],[Venda]]-fCaixa[[#This Row],[Custoprimario]],0)</f>
        <v>4.25</v>
      </c>
      <c r="U421" s="68">
        <f>IFERROR(fCaixa[[#This Row],[Lucroprimario]]/fCaixa[[#This Row],[Venda]],0)</f>
        <v>0.42499999999999999</v>
      </c>
      <c r="V421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4.0209999999999999</v>
      </c>
      <c r="W421" s="68">
        <f>IFERROR(fCaixa[[#This Row],[Lucrofinal]]/fCaixa[[#This Row],[Venda]],0)</f>
        <v>0.40210000000000001</v>
      </c>
    </row>
    <row r="422" spans="1:23" ht="16.5" hidden="1" x14ac:dyDescent="0.25">
      <c r="A422" s="62">
        <f t="shared" si="6"/>
        <v>421</v>
      </c>
      <c r="B422" s="88">
        <v>43284</v>
      </c>
      <c r="C422" s="63" t="s">
        <v>24</v>
      </c>
      <c r="D422" s="63" t="s">
        <v>25</v>
      </c>
      <c r="E422" s="63" t="s">
        <v>35</v>
      </c>
      <c r="F422" s="63" t="s">
        <v>28</v>
      </c>
      <c r="G422" s="64">
        <v>18</v>
      </c>
      <c r="H422" s="64">
        <v>0.9</v>
      </c>
      <c r="I422" s="64">
        <v>11.5</v>
      </c>
      <c r="J422" s="65">
        <v>0</v>
      </c>
      <c r="K422" s="62">
        <f>IFERROR(ROUND((fCaixa[[#This Row],[Venda]]/fCaixa[[#This Row],[Preço/Un.]]),0),0)</f>
        <v>20</v>
      </c>
      <c r="L422" s="66">
        <f>IFERROR((SUBSTITUTE(RIGHT(fCaixa[[#This Row],[Descrição]],3),"G","")*1 *fCaixa[[#This Row],[Qtd/Pães]]) / 1000,0)</f>
        <v>1</v>
      </c>
      <c r="M422" s="64">
        <f>IFERROR((((SUBSTITUTE(RIGHT(fCaixa[[#This Row],[Descrição]],3),"G","")*1) * fCaixa[[#This Row],[QTD Perdida]])/1000) *fCaixa[[#This Row],[Custo/KG.]],0)</f>
        <v>0</v>
      </c>
      <c r="N422" s="66">
        <f>IF(fCaixa[[#This Row],[Lançamento]]="RECEITA",(fCaixa[[#This Row],[QTD Perdida]]* (SUBSTITUTE(RIGHT(fCaixa[[#This Row],[Descrição]],3),"G","")*1))/1000,0)</f>
        <v>0</v>
      </c>
      <c r="O422" s="66">
        <f>fCaixa[[#This Row],[Qtd/Kg]]+fCaixa[[#This Row],[Qtd/Kg Perdido]]</f>
        <v>1</v>
      </c>
      <c r="P422" s="64">
        <f>IF(fCaixa[[#This Row],[Lançamento]]="RECEITA",(fCaixa[[#This Row],[Qtd/Kg]]*fCaixa[[#This Row],[Custo/KG.]]),0)</f>
        <v>11.5</v>
      </c>
      <c r="Q422" s="67">
        <f>fCaixa[[#This Row],[Custoprimario]]+fCaixa[[#This Row],[Total Perdido]]</f>
        <v>11.5</v>
      </c>
      <c r="R422" s="68">
        <f>IFERROR(fCaixa[[#This Row],[Custoprimario]]/fCaixa[[#This Row],[Venda]],0)</f>
        <v>0.63888888888888884</v>
      </c>
      <c r="S422" s="68">
        <f>IFERROR(fCaixa[[#This Row],[Custofinal]]/fCaixa[[#This Row],[Venda]],0)</f>
        <v>0.63888888888888884</v>
      </c>
      <c r="T422" s="64">
        <f>IF(fCaixa[[#This Row],[Lançamento]]="RECEITA",fCaixa[[#This Row],[Venda]]-fCaixa[[#This Row],[Custoprimario]],0)</f>
        <v>6.5</v>
      </c>
      <c r="U422" s="68">
        <f>IFERROR(fCaixa[[#This Row],[Lucroprimario]]/fCaixa[[#This Row],[Venda]],0)</f>
        <v>0.3611111111111111</v>
      </c>
      <c r="V422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422" s="68">
        <f>IFERROR(fCaixa[[#This Row],[Lucrofinal]]/fCaixa[[#This Row],[Venda]],0)</f>
        <v>0.3611111111111111</v>
      </c>
    </row>
    <row r="423" spans="1:23" ht="16.5" hidden="1" x14ac:dyDescent="0.25">
      <c r="A423" s="62">
        <f t="shared" si="6"/>
        <v>422</v>
      </c>
      <c r="B423" s="88">
        <v>43284</v>
      </c>
      <c r="C423" s="63" t="s">
        <v>24</v>
      </c>
      <c r="D423" s="63" t="s">
        <v>25</v>
      </c>
      <c r="E423" s="63" t="s">
        <v>35</v>
      </c>
      <c r="F423" s="63" t="s">
        <v>28</v>
      </c>
      <c r="G423" s="64">
        <v>227</v>
      </c>
      <c r="H423" s="64">
        <v>1</v>
      </c>
      <c r="I423" s="64">
        <v>11.5</v>
      </c>
      <c r="J423" s="65">
        <v>3</v>
      </c>
      <c r="K423" s="62">
        <f>IFERROR(ROUND((fCaixa[[#This Row],[Venda]]/fCaixa[[#This Row],[Preço/Un.]]),0),0)</f>
        <v>227</v>
      </c>
      <c r="L423" s="66">
        <f>IFERROR((SUBSTITUTE(RIGHT(fCaixa[[#This Row],[Descrição]],3),"G","")*1 *fCaixa[[#This Row],[Qtd/Pães]]) / 1000,0)</f>
        <v>11.35</v>
      </c>
      <c r="M423" s="64">
        <f>IFERROR((((SUBSTITUTE(RIGHT(fCaixa[[#This Row],[Descrição]],3),"G","")*1) * fCaixa[[#This Row],[QTD Perdida]])/1000) *fCaixa[[#This Row],[Custo/KG.]],0)</f>
        <v>1.7249999999999999</v>
      </c>
      <c r="N423" s="66">
        <f>IF(fCaixa[[#This Row],[Lançamento]]="RECEITA",(fCaixa[[#This Row],[QTD Perdida]]* (SUBSTITUTE(RIGHT(fCaixa[[#This Row],[Descrição]],3),"G","")*1))/1000,0)</f>
        <v>0.15</v>
      </c>
      <c r="O423" s="66">
        <f>fCaixa[[#This Row],[Qtd/Kg]]+fCaixa[[#This Row],[Qtd/Kg Perdido]]</f>
        <v>11.5</v>
      </c>
      <c r="P423" s="64">
        <f>IF(fCaixa[[#This Row],[Lançamento]]="RECEITA",(fCaixa[[#This Row],[Qtd/Kg]]*fCaixa[[#This Row],[Custo/KG.]]),0)</f>
        <v>130.52500000000001</v>
      </c>
      <c r="Q423" s="67">
        <f>fCaixa[[#This Row],[Custoprimario]]+fCaixa[[#This Row],[Total Perdido]]</f>
        <v>132.25</v>
      </c>
      <c r="R423" s="68">
        <f>IFERROR(fCaixa[[#This Row],[Custoprimario]]/fCaixa[[#This Row],[Venda]],0)</f>
        <v>0.57500000000000007</v>
      </c>
      <c r="S423" s="68">
        <f>IFERROR(fCaixa[[#This Row],[Custofinal]]/fCaixa[[#This Row],[Venda]],0)</f>
        <v>0.58259911894273131</v>
      </c>
      <c r="T423" s="64">
        <f>IF(fCaixa[[#This Row],[Lançamento]]="RECEITA",fCaixa[[#This Row],[Venda]]-fCaixa[[#This Row],[Custoprimario]],0)</f>
        <v>96.474999999999994</v>
      </c>
      <c r="U423" s="68">
        <f>IFERROR(fCaixa[[#This Row],[Lucroprimario]]/fCaixa[[#This Row],[Venda]],0)</f>
        <v>0.42499999999999999</v>
      </c>
      <c r="V423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94.75</v>
      </c>
      <c r="W423" s="68">
        <f>IFERROR(fCaixa[[#This Row],[Lucrofinal]]/fCaixa[[#This Row],[Venda]],0)</f>
        <v>0.41740088105726875</v>
      </c>
    </row>
    <row r="424" spans="1:23" ht="16.5" hidden="1" x14ac:dyDescent="0.25">
      <c r="A424" s="62">
        <f t="shared" si="6"/>
        <v>423</v>
      </c>
      <c r="B424" s="88">
        <v>43285</v>
      </c>
      <c r="C424" s="63" t="s">
        <v>24</v>
      </c>
      <c r="D424" s="63" t="s">
        <v>25</v>
      </c>
      <c r="E424" s="63" t="s">
        <v>35</v>
      </c>
      <c r="F424" s="63" t="s">
        <v>28</v>
      </c>
      <c r="G424" s="64">
        <v>156</v>
      </c>
      <c r="H424" s="64">
        <v>1</v>
      </c>
      <c r="I424" s="64">
        <v>11.5</v>
      </c>
      <c r="J424" s="65">
        <v>4</v>
      </c>
      <c r="K424" s="62">
        <f>IFERROR(ROUND((fCaixa[[#This Row],[Venda]]/fCaixa[[#This Row],[Preço/Un.]]),0),0)</f>
        <v>156</v>
      </c>
      <c r="L424" s="66">
        <f>IFERROR((SUBSTITUTE(RIGHT(fCaixa[[#This Row],[Descrição]],3),"G","")*1 *fCaixa[[#This Row],[Qtd/Pães]]) / 1000,0)</f>
        <v>7.8</v>
      </c>
      <c r="M424" s="64">
        <f>IFERROR((((SUBSTITUTE(RIGHT(fCaixa[[#This Row],[Descrição]],3),"G","")*1) * fCaixa[[#This Row],[QTD Perdida]])/1000) *fCaixa[[#This Row],[Custo/KG.]],0)</f>
        <v>2.3000000000000003</v>
      </c>
      <c r="N424" s="66">
        <f>IF(fCaixa[[#This Row],[Lançamento]]="RECEITA",(fCaixa[[#This Row],[QTD Perdida]]* (SUBSTITUTE(RIGHT(fCaixa[[#This Row],[Descrição]],3),"G","")*1))/1000,0)</f>
        <v>0.2</v>
      </c>
      <c r="O424" s="66">
        <f>fCaixa[[#This Row],[Qtd/Kg]]+fCaixa[[#This Row],[Qtd/Kg Perdido]]</f>
        <v>8</v>
      </c>
      <c r="P424" s="64">
        <f>IF(fCaixa[[#This Row],[Lançamento]]="RECEITA",(fCaixa[[#This Row],[Qtd/Kg]]*fCaixa[[#This Row],[Custo/KG.]]),0)</f>
        <v>89.7</v>
      </c>
      <c r="Q424" s="67">
        <f>fCaixa[[#This Row],[Custoprimario]]+fCaixa[[#This Row],[Total Perdido]]</f>
        <v>92</v>
      </c>
      <c r="R424" s="68">
        <f>IFERROR(fCaixa[[#This Row],[Custoprimario]]/fCaixa[[#This Row],[Venda]],0)</f>
        <v>0.57500000000000007</v>
      </c>
      <c r="S424" s="68">
        <f>IFERROR(fCaixa[[#This Row],[Custofinal]]/fCaixa[[#This Row],[Venda]],0)</f>
        <v>0.58974358974358976</v>
      </c>
      <c r="T424" s="64">
        <f>IF(fCaixa[[#This Row],[Lançamento]]="RECEITA",fCaixa[[#This Row],[Venda]]-fCaixa[[#This Row],[Custoprimario]],0)</f>
        <v>66.3</v>
      </c>
      <c r="U424" s="68">
        <f>IFERROR(fCaixa[[#This Row],[Lucroprimario]]/fCaixa[[#This Row],[Venda]],0)</f>
        <v>0.42499999999999999</v>
      </c>
      <c r="V424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64</v>
      </c>
      <c r="W424" s="68">
        <f>IFERROR(fCaixa[[#This Row],[Lucrofinal]]/fCaixa[[#This Row],[Venda]],0)</f>
        <v>0.41025641025641024</v>
      </c>
    </row>
    <row r="425" spans="1:23" ht="16.5" hidden="1" x14ac:dyDescent="0.25">
      <c r="A425" s="62">
        <f t="shared" si="6"/>
        <v>424</v>
      </c>
      <c r="B425" s="88">
        <v>43286</v>
      </c>
      <c r="C425" s="63" t="s">
        <v>24</v>
      </c>
      <c r="D425" s="63" t="s">
        <v>37</v>
      </c>
      <c r="E425" s="63" t="s">
        <v>35</v>
      </c>
      <c r="F425" s="63" t="s">
        <v>28</v>
      </c>
      <c r="G425" s="64">
        <v>3</v>
      </c>
      <c r="H425" s="64">
        <v>1</v>
      </c>
      <c r="I425" s="64">
        <v>11.5</v>
      </c>
      <c r="J425" s="65">
        <v>0</v>
      </c>
      <c r="K425" s="62">
        <f>IFERROR(ROUND((fCaixa[[#This Row],[Venda]]/fCaixa[[#This Row],[Preço/Un.]]),0),0)</f>
        <v>3</v>
      </c>
      <c r="L425" s="66">
        <f>IFERROR((SUBSTITUTE(RIGHT(fCaixa[[#This Row],[Descrição]],3),"G","")*1 *fCaixa[[#This Row],[Qtd/Pães]]) / 1000,0)</f>
        <v>0.15</v>
      </c>
      <c r="M425" s="64">
        <f>IFERROR((((SUBSTITUTE(RIGHT(fCaixa[[#This Row],[Descrição]],3),"G","")*1) * fCaixa[[#This Row],[QTD Perdida]])/1000) *fCaixa[[#This Row],[Custo/KG.]],0)</f>
        <v>0</v>
      </c>
      <c r="N425" s="66">
        <f>IF(fCaixa[[#This Row],[Lançamento]]="RECEITA",(fCaixa[[#This Row],[QTD Perdida]]* (SUBSTITUTE(RIGHT(fCaixa[[#This Row],[Descrição]],3),"G","")*1))/1000,0)</f>
        <v>0</v>
      </c>
      <c r="O425" s="66">
        <f>fCaixa[[#This Row],[Qtd/Kg]]+fCaixa[[#This Row],[Qtd/Kg Perdido]]</f>
        <v>0.15</v>
      </c>
      <c r="P425" s="64">
        <f>IF(fCaixa[[#This Row],[Lançamento]]="RECEITA",(fCaixa[[#This Row],[Qtd/Kg]]*fCaixa[[#This Row],[Custo/KG.]]),0)</f>
        <v>1.7249999999999999</v>
      </c>
      <c r="Q425" s="67">
        <f>fCaixa[[#This Row],[Custoprimario]]+fCaixa[[#This Row],[Total Perdido]]</f>
        <v>1.7249999999999999</v>
      </c>
      <c r="R425" s="68">
        <f>IFERROR(fCaixa[[#This Row],[Custoprimario]]/fCaixa[[#This Row],[Venda]],0)</f>
        <v>0.57499999999999996</v>
      </c>
      <c r="S425" s="68">
        <f>IFERROR(fCaixa[[#This Row],[Custofinal]]/fCaixa[[#This Row],[Venda]],0)</f>
        <v>0.57499999999999996</v>
      </c>
      <c r="T425" s="64">
        <f>IF(fCaixa[[#This Row],[Lançamento]]="RECEITA",fCaixa[[#This Row],[Venda]]-fCaixa[[#This Row],[Custoprimario]],0)</f>
        <v>1.2750000000000001</v>
      </c>
      <c r="U425" s="68">
        <f>IFERROR(fCaixa[[#This Row],[Lucroprimario]]/fCaixa[[#This Row],[Venda]],0)</f>
        <v>0.42500000000000004</v>
      </c>
      <c r="V425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1.2063000000000001</v>
      </c>
      <c r="W425" s="68">
        <f>IFERROR(fCaixa[[#This Row],[Lucrofinal]]/fCaixa[[#This Row],[Venda]],0)</f>
        <v>0.40210000000000007</v>
      </c>
    </row>
    <row r="426" spans="1:23" ht="16.5" hidden="1" x14ac:dyDescent="0.25">
      <c r="A426" s="62">
        <f t="shared" si="6"/>
        <v>425</v>
      </c>
      <c r="B426" s="88">
        <v>43286</v>
      </c>
      <c r="C426" s="63" t="s">
        <v>24</v>
      </c>
      <c r="D426" s="63" t="s">
        <v>37</v>
      </c>
      <c r="E426" s="63" t="s">
        <v>35</v>
      </c>
      <c r="F426" s="63" t="s">
        <v>28</v>
      </c>
      <c r="G426" s="64">
        <v>6</v>
      </c>
      <c r="H426" s="64">
        <v>1</v>
      </c>
      <c r="I426" s="64">
        <v>11.5</v>
      </c>
      <c r="J426" s="65">
        <v>0</v>
      </c>
      <c r="K426" s="62">
        <f>IFERROR(ROUND((fCaixa[[#This Row],[Venda]]/fCaixa[[#This Row],[Preço/Un.]]),0),0)</f>
        <v>6</v>
      </c>
      <c r="L426" s="66">
        <f>IFERROR((SUBSTITUTE(RIGHT(fCaixa[[#This Row],[Descrição]],3),"G","")*1 *fCaixa[[#This Row],[Qtd/Pães]]) / 1000,0)</f>
        <v>0.3</v>
      </c>
      <c r="M426" s="64">
        <f>IFERROR((((SUBSTITUTE(RIGHT(fCaixa[[#This Row],[Descrição]],3),"G","")*1) * fCaixa[[#This Row],[QTD Perdida]])/1000) *fCaixa[[#This Row],[Custo/KG.]],0)</f>
        <v>0</v>
      </c>
      <c r="N426" s="66">
        <f>IF(fCaixa[[#This Row],[Lançamento]]="RECEITA",(fCaixa[[#This Row],[QTD Perdida]]* (SUBSTITUTE(RIGHT(fCaixa[[#This Row],[Descrição]],3),"G","")*1))/1000,0)</f>
        <v>0</v>
      </c>
      <c r="O426" s="66">
        <f>fCaixa[[#This Row],[Qtd/Kg]]+fCaixa[[#This Row],[Qtd/Kg Perdido]]</f>
        <v>0.3</v>
      </c>
      <c r="P426" s="64">
        <f>IF(fCaixa[[#This Row],[Lançamento]]="RECEITA",(fCaixa[[#This Row],[Qtd/Kg]]*fCaixa[[#This Row],[Custo/KG.]]),0)</f>
        <v>3.4499999999999997</v>
      </c>
      <c r="Q426" s="67">
        <f>fCaixa[[#This Row],[Custoprimario]]+fCaixa[[#This Row],[Total Perdido]]</f>
        <v>3.4499999999999997</v>
      </c>
      <c r="R426" s="68">
        <f>IFERROR(fCaixa[[#This Row],[Custoprimario]]/fCaixa[[#This Row],[Venda]],0)</f>
        <v>0.57499999999999996</v>
      </c>
      <c r="S426" s="68">
        <f>IFERROR(fCaixa[[#This Row],[Custofinal]]/fCaixa[[#This Row],[Venda]],0)</f>
        <v>0.57499999999999996</v>
      </c>
      <c r="T426" s="64">
        <f>IF(fCaixa[[#This Row],[Lançamento]]="RECEITA",fCaixa[[#This Row],[Venda]]-fCaixa[[#This Row],[Custoprimario]],0)</f>
        <v>2.5500000000000003</v>
      </c>
      <c r="U426" s="68">
        <f>IFERROR(fCaixa[[#This Row],[Lucroprimario]]/fCaixa[[#This Row],[Venda]],0)</f>
        <v>0.42500000000000004</v>
      </c>
      <c r="V426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2.4126000000000003</v>
      </c>
      <c r="W426" s="68">
        <f>IFERROR(fCaixa[[#This Row],[Lucrofinal]]/fCaixa[[#This Row],[Venda]],0)</f>
        <v>0.40210000000000007</v>
      </c>
    </row>
    <row r="427" spans="1:23" ht="16.5" hidden="1" x14ac:dyDescent="0.25">
      <c r="A427" s="62">
        <f t="shared" si="6"/>
        <v>426</v>
      </c>
      <c r="B427" s="88">
        <v>43286</v>
      </c>
      <c r="C427" s="63" t="s">
        <v>24</v>
      </c>
      <c r="D427" s="63" t="s">
        <v>25</v>
      </c>
      <c r="E427" s="63" t="s">
        <v>35</v>
      </c>
      <c r="F427" s="63" t="s">
        <v>28</v>
      </c>
      <c r="G427" s="64">
        <v>18</v>
      </c>
      <c r="H427" s="64">
        <v>0.9</v>
      </c>
      <c r="I427" s="64">
        <v>11.5</v>
      </c>
      <c r="J427" s="65">
        <v>0</v>
      </c>
      <c r="K427" s="62">
        <f>IFERROR(ROUND((fCaixa[[#This Row],[Venda]]/fCaixa[[#This Row],[Preço/Un.]]),0),0)</f>
        <v>20</v>
      </c>
      <c r="L427" s="66">
        <f>IFERROR((SUBSTITUTE(RIGHT(fCaixa[[#This Row],[Descrição]],3),"G","")*1 *fCaixa[[#This Row],[Qtd/Pães]]) / 1000,0)</f>
        <v>1</v>
      </c>
      <c r="M427" s="64">
        <f>IFERROR((((SUBSTITUTE(RIGHT(fCaixa[[#This Row],[Descrição]],3),"G","")*1) * fCaixa[[#This Row],[QTD Perdida]])/1000) *fCaixa[[#This Row],[Custo/KG.]],0)</f>
        <v>0</v>
      </c>
      <c r="N427" s="66">
        <f>IF(fCaixa[[#This Row],[Lançamento]]="RECEITA",(fCaixa[[#This Row],[QTD Perdida]]* (SUBSTITUTE(RIGHT(fCaixa[[#This Row],[Descrição]],3),"G","")*1))/1000,0)</f>
        <v>0</v>
      </c>
      <c r="O427" s="66">
        <f>fCaixa[[#This Row],[Qtd/Kg]]+fCaixa[[#This Row],[Qtd/Kg Perdido]]</f>
        <v>1</v>
      </c>
      <c r="P427" s="64">
        <f>IF(fCaixa[[#This Row],[Lançamento]]="RECEITA",(fCaixa[[#This Row],[Qtd/Kg]]*fCaixa[[#This Row],[Custo/KG.]]),0)</f>
        <v>11.5</v>
      </c>
      <c r="Q427" s="67">
        <f>fCaixa[[#This Row],[Custoprimario]]+fCaixa[[#This Row],[Total Perdido]]</f>
        <v>11.5</v>
      </c>
      <c r="R427" s="68">
        <f>IFERROR(fCaixa[[#This Row],[Custoprimario]]/fCaixa[[#This Row],[Venda]],0)</f>
        <v>0.63888888888888884</v>
      </c>
      <c r="S427" s="68">
        <f>IFERROR(fCaixa[[#This Row],[Custofinal]]/fCaixa[[#This Row],[Venda]],0)</f>
        <v>0.63888888888888884</v>
      </c>
      <c r="T427" s="64">
        <f>IF(fCaixa[[#This Row],[Lançamento]]="RECEITA",fCaixa[[#This Row],[Venda]]-fCaixa[[#This Row],[Custoprimario]],0)</f>
        <v>6.5</v>
      </c>
      <c r="U427" s="68">
        <f>IFERROR(fCaixa[[#This Row],[Lucroprimario]]/fCaixa[[#This Row],[Venda]],0)</f>
        <v>0.3611111111111111</v>
      </c>
      <c r="V427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427" s="68">
        <f>IFERROR(fCaixa[[#This Row],[Lucrofinal]]/fCaixa[[#This Row],[Venda]],0)</f>
        <v>0.3611111111111111</v>
      </c>
    </row>
    <row r="428" spans="1:23" ht="16.5" hidden="1" x14ac:dyDescent="0.25">
      <c r="A428" s="62">
        <f t="shared" si="6"/>
        <v>427</v>
      </c>
      <c r="B428" s="88">
        <v>43286</v>
      </c>
      <c r="C428" s="63" t="s">
        <v>24</v>
      </c>
      <c r="D428" s="63" t="s">
        <v>25</v>
      </c>
      <c r="E428" s="63" t="s">
        <v>35</v>
      </c>
      <c r="F428" s="63" t="s">
        <v>28</v>
      </c>
      <c r="G428" s="64">
        <v>206</v>
      </c>
      <c r="H428" s="64">
        <v>1</v>
      </c>
      <c r="I428" s="64">
        <v>11.5</v>
      </c>
      <c r="J428" s="65">
        <v>5</v>
      </c>
      <c r="K428" s="62">
        <f>IFERROR(ROUND((fCaixa[[#This Row],[Venda]]/fCaixa[[#This Row],[Preço/Un.]]),0),0)</f>
        <v>206</v>
      </c>
      <c r="L428" s="66">
        <f>IFERROR((SUBSTITUTE(RIGHT(fCaixa[[#This Row],[Descrição]],3),"G","")*1 *fCaixa[[#This Row],[Qtd/Pães]]) / 1000,0)</f>
        <v>10.3</v>
      </c>
      <c r="M428" s="64">
        <f>IFERROR((((SUBSTITUTE(RIGHT(fCaixa[[#This Row],[Descrição]],3),"G","")*1) * fCaixa[[#This Row],[QTD Perdida]])/1000) *fCaixa[[#This Row],[Custo/KG.]],0)</f>
        <v>2.875</v>
      </c>
      <c r="N428" s="66">
        <f>IF(fCaixa[[#This Row],[Lançamento]]="RECEITA",(fCaixa[[#This Row],[QTD Perdida]]* (SUBSTITUTE(RIGHT(fCaixa[[#This Row],[Descrição]],3),"G","")*1))/1000,0)</f>
        <v>0.25</v>
      </c>
      <c r="O428" s="66">
        <f>fCaixa[[#This Row],[Qtd/Kg]]+fCaixa[[#This Row],[Qtd/Kg Perdido]]</f>
        <v>10.55</v>
      </c>
      <c r="P428" s="64">
        <f>IF(fCaixa[[#This Row],[Lançamento]]="RECEITA",(fCaixa[[#This Row],[Qtd/Kg]]*fCaixa[[#This Row],[Custo/KG.]]),0)</f>
        <v>118.45</v>
      </c>
      <c r="Q428" s="67">
        <f>fCaixa[[#This Row],[Custoprimario]]+fCaixa[[#This Row],[Total Perdido]]</f>
        <v>121.325</v>
      </c>
      <c r="R428" s="68">
        <f>IFERROR(fCaixa[[#This Row],[Custoprimario]]/fCaixa[[#This Row],[Venda]],0)</f>
        <v>0.57500000000000007</v>
      </c>
      <c r="S428" s="68">
        <f>IFERROR(fCaixa[[#This Row],[Custofinal]]/fCaixa[[#This Row],[Venda]],0)</f>
        <v>0.58895631067961163</v>
      </c>
      <c r="T428" s="64">
        <f>IF(fCaixa[[#This Row],[Lançamento]]="RECEITA",fCaixa[[#This Row],[Venda]]-fCaixa[[#This Row],[Custoprimario]],0)</f>
        <v>87.55</v>
      </c>
      <c r="U428" s="68">
        <f>IFERROR(fCaixa[[#This Row],[Lucroprimario]]/fCaixa[[#This Row],[Venda]],0)</f>
        <v>0.42499999999999999</v>
      </c>
      <c r="V428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84.674999999999997</v>
      </c>
      <c r="W428" s="68">
        <f>IFERROR(fCaixa[[#This Row],[Lucrofinal]]/fCaixa[[#This Row],[Venda]],0)</f>
        <v>0.41104368932038832</v>
      </c>
    </row>
    <row r="429" spans="1:23" ht="16.5" hidden="1" x14ac:dyDescent="0.25">
      <c r="A429" s="62">
        <f t="shared" si="6"/>
        <v>428</v>
      </c>
      <c r="B429" s="88">
        <v>43291</v>
      </c>
      <c r="C429" s="63" t="s">
        <v>24</v>
      </c>
      <c r="D429" s="63" t="s">
        <v>25</v>
      </c>
      <c r="E429" s="63" t="s">
        <v>35</v>
      </c>
      <c r="F429" s="63" t="s">
        <v>28</v>
      </c>
      <c r="G429" s="64">
        <v>234</v>
      </c>
      <c r="H429" s="64">
        <v>1</v>
      </c>
      <c r="I429" s="64">
        <v>11.5</v>
      </c>
      <c r="J429" s="65">
        <v>6</v>
      </c>
      <c r="K429" s="62">
        <f>IFERROR(ROUND((fCaixa[[#This Row],[Venda]]/fCaixa[[#This Row],[Preço/Un.]]),0),0)</f>
        <v>234</v>
      </c>
      <c r="L429" s="66">
        <f>IFERROR((SUBSTITUTE(RIGHT(fCaixa[[#This Row],[Descrição]],3),"G","")*1 *fCaixa[[#This Row],[Qtd/Pães]]) / 1000,0)</f>
        <v>11.7</v>
      </c>
      <c r="M429" s="64">
        <f>IFERROR((((SUBSTITUTE(RIGHT(fCaixa[[#This Row],[Descrição]],3),"G","")*1) * fCaixa[[#This Row],[QTD Perdida]])/1000) *fCaixa[[#This Row],[Custo/KG.]],0)</f>
        <v>3.4499999999999997</v>
      </c>
      <c r="N429" s="66">
        <f>IF(fCaixa[[#This Row],[Lançamento]]="RECEITA",(fCaixa[[#This Row],[QTD Perdida]]* (SUBSTITUTE(RIGHT(fCaixa[[#This Row],[Descrição]],3),"G","")*1))/1000,0)</f>
        <v>0.3</v>
      </c>
      <c r="O429" s="66">
        <f>fCaixa[[#This Row],[Qtd/Kg]]+fCaixa[[#This Row],[Qtd/Kg Perdido]]</f>
        <v>12</v>
      </c>
      <c r="P429" s="64">
        <f>IF(fCaixa[[#This Row],[Lançamento]]="RECEITA",(fCaixa[[#This Row],[Qtd/Kg]]*fCaixa[[#This Row],[Custo/KG.]]),0)</f>
        <v>134.54999999999998</v>
      </c>
      <c r="Q429" s="67">
        <f>fCaixa[[#This Row],[Custoprimario]]+fCaixa[[#This Row],[Total Perdido]]</f>
        <v>137.99999999999997</v>
      </c>
      <c r="R429" s="68">
        <f>IFERROR(fCaixa[[#This Row],[Custoprimario]]/fCaixa[[#This Row],[Venda]],0)</f>
        <v>0.57499999999999996</v>
      </c>
      <c r="S429" s="68">
        <f>IFERROR(fCaixa[[#This Row],[Custofinal]]/fCaixa[[#This Row],[Venda]],0)</f>
        <v>0.58974358974358965</v>
      </c>
      <c r="T429" s="64">
        <f>IF(fCaixa[[#This Row],[Lançamento]]="RECEITA",fCaixa[[#This Row],[Venda]]-fCaixa[[#This Row],[Custoprimario]],0)</f>
        <v>99.450000000000017</v>
      </c>
      <c r="U429" s="68">
        <f>IFERROR(fCaixa[[#This Row],[Lucroprimario]]/fCaixa[[#This Row],[Venda]],0)</f>
        <v>0.4250000000000001</v>
      </c>
      <c r="V429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96.000000000000028</v>
      </c>
      <c r="W429" s="68">
        <f>IFERROR(fCaixa[[#This Row],[Lucrofinal]]/fCaixa[[#This Row],[Venda]],0)</f>
        <v>0.41025641025641035</v>
      </c>
    </row>
    <row r="430" spans="1:23" ht="16.5" hidden="1" x14ac:dyDescent="0.25">
      <c r="A430" s="17">
        <f t="shared" si="6"/>
        <v>429</v>
      </c>
      <c r="B430" s="87">
        <v>43292</v>
      </c>
      <c r="C430" s="12" t="s">
        <v>24</v>
      </c>
      <c r="D430" s="12" t="s">
        <v>37</v>
      </c>
      <c r="E430" s="12" t="s">
        <v>35</v>
      </c>
      <c r="F430" s="12" t="s">
        <v>28</v>
      </c>
      <c r="G430" s="13">
        <v>57</v>
      </c>
      <c r="H430" s="13">
        <v>1</v>
      </c>
      <c r="I430" s="13">
        <v>11.5</v>
      </c>
      <c r="J430" s="14">
        <v>0</v>
      </c>
      <c r="K430" s="17">
        <f>IFERROR(ROUND((fCaixa[[#This Row],[Venda]]/fCaixa[[#This Row],[Preço/Un.]]),0),0)</f>
        <v>57</v>
      </c>
      <c r="L430" s="15">
        <f>IFERROR((SUBSTITUTE(RIGHT(fCaixa[[#This Row],[Descrição]],3),"G","")*1 *fCaixa[[#This Row],[Qtd/Pães]]) / 1000,0)</f>
        <v>2.85</v>
      </c>
      <c r="M430" s="13">
        <f>IFERROR((((SUBSTITUTE(RIGHT(fCaixa[[#This Row],[Descrição]],3),"G","")*1) * fCaixa[[#This Row],[QTD Perdida]])/1000) *fCaixa[[#This Row],[Custo/KG.]],0)</f>
        <v>0</v>
      </c>
      <c r="N430" s="15">
        <f>IF(fCaixa[[#This Row],[Lançamento]]="RECEITA",(fCaixa[[#This Row],[QTD Perdida]]* (SUBSTITUTE(RIGHT(fCaixa[[#This Row],[Descrição]],3),"G","")*1))/1000,0)</f>
        <v>0</v>
      </c>
      <c r="O430" s="15">
        <f>fCaixa[[#This Row],[Qtd/Kg]]+fCaixa[[#This Row],[Qtd/Kg Perdido]]</f>
        <v>2.85</v>
      </c>
      <c r="P430" s="13">
        <f>IF(fCaixa[[#This Row],[Lançamento]]="RECEITA",(fCaixa[[#This Row],[Qtd/Kg]]*fCaixa[[#This Row],[Custo/KG.]]),0)</f>
        <v>32.774999999999999</v>
      </c>
      <c r="Q430" s="34">
        <f>fCaixa[[#This Row],[Custoprimario]]+fCaixa[[#This Row],[Total Perdido]]</f>
        <v>32.774999999999999</v>
      </c>
      <c r="R430" s="16">
        <f>IFERROR(fCaixa[[#This Row],[Custoprimario]]/fCaixa[[#This Row],[Venda]],0)</f>
        <v>0.57499999999999996</v>
      </c>
      <c r="S430" s="16">
        <f>IFERROR(fCaixa[[#This Row],[Custofinal]]/fCaixa[[#This Row],[Venda]],0)</f>
        <v>0.57499999999999996</v>
      </c>
      <c r="T430" s="13">
        <f>IF(fCaixa[[#This Row],[Lançamento]]="RECEITA",fCaixa[[#This Row],[Venda]]-fCaixa[[#This Row],[Custoprimario]],0)</f>
        <v>24.225000000000001</v>
      </c>
      <c r="U430" s="16">
        <f>IFERROR(fCaixa[[#This Row],[Lucroprimario]]/fCaixa[[#This Row],[Venda]],0)</f>
        <v>0.42500000000000004</v>
      </c>
      <c r="V430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22.919700000000002</v>
      </c>
      <c r="W430" s="16">
        <f>IFERROR(fCaixa[[#This Row],[Lucrofinal]]/fCaixa[[#This Row],[Venda]],0)</f>
        <v>0.40210000000000007</v>
      </c>
    </row>
    <row r="431" spans="1:23" ht="16.5" hidden="1" x14ac:dyDescent="0.25">
      <c r="A431" s="17">
        <f t="shared" si="6"/>
        <v>430</v>
      </c>
      <c r="B431" s="87">
        <v>43292</v>
      </c>
      <c r="C431" s="12" t="s">
        <v>24</v>
      </c>
      <c r="D431" s="12" t="s">
        <v>37</v>
      </c>
      <c r="E431" s="12" t="s">
        <v>35</v>
      </c>
      <c r="F431" s="12" t="s">
        <v>28</v>
      </c>
      <c r="G431" s="13">
        <v>18</v>
      </c>
      <c r="H431" s="13">
        <v>0.9</v>
      </c>
      <c r="I431" s="13">
        <v>11.5</v>
      </c>
      <c r="J431" s="14">
        <v>0</v>
      </c>
      <c r="K431" s="17">
        <f>IFERROR(ROUND((fCaixa[[#This Row],[Venda]]/fCaixa[[#This Row],[Preço/Un.]]),0),0)</f>
        <v>20</v>
      </c>
      <c r="L431" s="15">
        <f>IFERROR((SUBSTITUTE(RIGHT(fCaixa[[#This Row],[Descrição]],3),"G","")*1 *fCaixa[[#This Row],[Qtd/Pães]]) / 1000,0)</f>
        <v>1</v>
      </c>
      <c r="M431" s="13">
        <f>IFERROR((((SUBSTITUTE(RIGHT(fCaixa[[#This Row],[Descrição]],3),"G","")*1) * fCaixa[[#This Row],[QTD Perdida]])/1000) *fCaixa[[#This Row],[Custo/KG.]],0)</f>
        <v>0</v>
      </c>
      <c r="N431" s="15">
        <f>IF(fCaixa[[#This Row],[Lançamento]]="RECEITA",(fCaixa[[#This Row],[QTD Perdida]]* (SUBSTITUTE(RIGHT(fCaixa[[#This Row],[Descrição]],3),"G","")*1))/1000,0)</f>
        <v>0</v>
      </c>
      <c r="O431" s="15">
        <f>fCaixa[[#This Row],[Qtd/Kg]]+fCaixa[[#This Row],[Qtd/Kg Perdido]]</f>
        <v>1</v>
      </c>
      <c r="P431" s="13">
        <f>IF(fCaixa[[#This Row],[Lançamento]]="RECEITA",(fCaixa[[#This Row],[Qtd/Kg]]*fCaixa[[#This Row],[Custo/KG.]]),0)</f>
        <v>11.5</v>
      </c>
      <c r="Q431" s="34">
        <f>fCaixa[[#This Row],[Custoprimario]]+fCaixa[[#This Row],[Total Perdido]]</f>
        <v>11.5</v>
      </c>
      <c r="R431" s="16">
        <f>IFERROR(fCaixa[[#This Row],[Custoprimario]]/fCaixa[[#This Row],[Venda]],0)</f>
        <v>0.63888888888888884</v>
      </c>
      <c r="S431" s="16">
        <f>IFERROR(fCaixa[[#This Row],[Custofinal]]/fCaixa[[#This Row],[Venda]],0)</f>
        <v>0.63888888888888884</v>
      </c>
      <c r="T431" s="13">
        <f>IF(fCaixa[[#This Row],[Lançamento]]="RECEITA",fCaixa[[#This Row],[Venda]]-fCaixa[[#This Row],[Custoprimario]],0)</f>
        <v>6.5</v>
      </c>
      <c r="U431" s="16">
        <f>IFERROR(fCaixa[[#This Row],[Lucroprimario]]/fCaixa[[#This Row],[Venda]],0)</f>
        <v>0.3611111111111111</v>
      </c>
      <c r="V431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6.0877999999999997</v>
      </c>
      <c r="W431" s="16">
        <f>IFERROR(fCaixa[[#This Row],[Lucrofinal]]/fCaixa[[#This Row],[Venda]],0)</f>
        <v>0.33821111111111107</v>
      </c>
    </row>
    <row r="432" spans="1:23" ht="16.5" hidden="1" x14ac:dyDescent="0.25">
      <c r="A432" s="17">
        <f t="shared" si="6"/>
        <v>431</v>
      </c>
      <c r="B432" s="87">
        <v>43292</v>
      </c>
      <c r="C432" s="12" t="s">
        <v>24</v>
      </c>
      <c r="D432" s="12" t="s">
        <v>25</v>
      </c>
      <c r="E432" s="12" t="s">
        <v>35</v>
      </c>
      <c r="F432" s="12" t="s">
        <v>28</v>
      </c>
      <c r="G432" s="13">
        <v>218</v>
      </c>
      <c r="H432" s="13">
        <v>1</v>
      </c>
      <c r="I432" s="13">
        <v>11.5</v>
      </c>
      <c r="J432" s="14">
        <v>5</v>
      </c>
      <c r="K432" s="17">
        <f>IFERROR(ROUND((fCaixa[[#This Row],[Venda]]/fCaixa[[#This Row],[Preço/Un.]]),0),0)</f>
        <v>218</v>
      </c>
      <c r="L432" s="15">
        <f>IFERROR((SUBSTITUTE(RIGHT(fCaixa[[#This Row],[Descrição]],3),"G","")*1 *fCaixa[[#This Row],[Qtd/Pães]]) / 1000,0)</f>
        <v>10.9</v>
      </c>
      <c r="M432" s="13">
        <f>IFERROR((((SUBSTITUTE(RIGHT(fCaixa[[#This Row],[Descrição]],3),"G","")*1) * fCaixa[[#This Row],[QTD Perdida]])/1000) *fCaixa[[#This Row],[Custo/KG.]],0)</f>
        <v>2.875</v>
      </c>
      <c r="N432" s="15">
        <f>IF(fCaixa[[#This Row],[Lançamento]]="RECEITA",(fCaixa[[#This Row],[QTD Perdida]]* (SUBSTITUTE(RIGHT(fCaixa[[#This Row],[Descrição]],3),"G","")*1))/1000,0)</f>
        <v>0.25</v>
      </c>
      <c r="O432" s="15">
        <f>fCaixa[[#This Row],[Qtd/Kg]]+fCaixa[[#This Row],[Qtd/Kg Perdido]]</f>
        <v>11.15</v>
      </c>
      <c r="P432" s="13">
        <f>IF(fCaixa[[#This Row],[Lançamento]]="RECEITA",(fCaixa[[#This Row],[Qtd/Kg]]*fCaixa[[#This Row],[Custo/KG.]]),0)</f>
        <v>125.35000000000001</v>
      </c>
      <c r="Q432" s="34">
        <f>fCaixa[[#This Row],[Custoprimario]]+fCaixa[[#This Row],[Total Perdido]]</f>
        <v>128.22500000000002</v>
      </c>
      <c r="R432" s="16">
        <f>IFERROR(fCaixa[[#This Row],[Custoprimario]]/fCaixa[[#This Row],[Venda]],0)</f>
        <v>0.57500000000000007</v>
      </c>
      <c r="S432" s="16">
        <f>IFERROR(fCaixa[[#This Row],[Custofinal]]/fCaixa[[#This Row],[Venda]],0)</f>
        <v>0.58818807339449553</v>
      </c>
      <c r="T432" s="13">
        <f>IF(fCaixa[[#This Row],[Lançamento]]="RECEITA",fCaixa[[#This Row],[Venda]]-fCaixa[[#This Row],[Custoprimario]],0)</f>
        <v>92.649999999999991</v>
      </c>
      <c r="U432" s="16">
        <f>IFERROR(fCaixa[[#This Row],[Lucroprimario]]/fCaixa[[#This Row],[Venda]],0)</f>
        <v>0.42499999999999993</v>
      </c>
      <c r="V432" s="28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89.774999999999977</v>
      </c>
      <c r="W432" s="16">
        <f>IFERROR(fCaixa[[#This Row],[Lucrofinal]]/fCaixa[[#This Row],[Venda]],0)</f>
        <v>0.41181192660550447</v>
      </c>
    </row>
    <row r="433" spans="1:23" ht="16.5" hidden="1" x14ac:dyDescent="0.25">
      <c r="A433" s="62">
        <f t="shared" si="6"/>
        <v>432</v>
      </c>
      <c r="B433" s="88">
        <v>43293</v>
      </c>
      <c r="C433" s="63" t="s">
        <v>24</v>
      </c>
      <c r="D433" s="63" t="s">
        <v>37</v>
      </c>
      <c r="E433" s="63" t="s">
        <v>35</v>
      </c>
      <c r="F433" s="63" t="s">
        <v>28</v>
      </c>
      <c r="G433" s="64">
        <v>20</v>
      </c>
      <c r="H433" s="64">
        <v>1</v>
      </c>
      <c r="I433" s="64">
        <v>11.5</v>
      </c>
      <c r="J433" s="65">
        <v>0</v>
      </c>
      <c r="K433" s="62">
        <f>IFERROR(ROUND((fCaixa[[#This Row],[Venda]]/fCaixa[[#This Row],[Preço/Un.]]),0),0)</f>
        <v>20</v>
      </c>
      <c r="L433" s="66">
        <f>IFERROR((SUBSTITUTE(RIGHT(fCaixa[[#This Row],[Descrição]],3),"G","")*1 *fCaixa[[#This Row],[Qtd/Pães]]) / 1000,0)</f>
        <v>1</v>
      </c>
      <c r="M433" s="64">
        <f>IFERROR((((SUBSTITUTE(RIGHT(fCaixa[[#This Row],[Descrição]],3),"G","")*1) * fCaixa[[#This Row],[QTD Perdida]])/1000) *fCaixa[[#This Row],[Custo/KG.]],0)</f>
        <v>0</v>
      </c>
      <c r="N433" s="66">
        <f>IF(fCaixa[[#This Row],[Lançamento]]="RECEITA",(fCaixa[[#This Row],[QTD Perdida]]* (SUBSTITUTE(RIGHT(fCaixa[[#This Row],[Descrição]],3),"G","")*1))/1000,0)</f>
        <v>0</v>
      </c>
      <c r="O433" s="66">
        <f>fCaixa[[#This Row],[Qtd/Kg]]+fCaixa[[#This Row],[Qtd/Kg Perdido]]</f>
        <v>1</v>
      </c>
      <c r="P433" s="64">
        <f>IF(fCaixa[[#This Row],[Lançamento]]="RECEITA",(fCaixa[[#This Row],[Qtd/Kg]]*fCaixa[[#This Row],[Custo/KG.]]),0)</f>
        <v>11.5</v>
      </c>
      <c r="Q433" s="67">
        <f>fCaixa[[#This Row],[Custoprimario]]+fCaixa[[#This Row],[Total Perdido]]</f>
        <v>11.5</v>
      </c>
      <c r="R433" s="68">
        <f>IFERROR(fCaixa[[#This Row],[Custoprimario]]/fCaixa[[#This Row],[Venda]],0)</f>
        <v>0.57499999999999996</v>
      </c>
      <c r="S433" s="68">
        <f>IFERROR(fCaixa[[#This Row],[Custofinal]]/fCaixa[[#This Row],[Venda]],0)</f>
        <v>0.57499999999999996</v>
      </c>
      <c r="T433" s="64">
        <f>IF(fCaixa[[#This Row],[Lançamento]]="RECEITA",fCaixa[[#This Row],[Venda]]-fCaixa[[#This Row],[Custoprimario]],0)</f>
        <v>8.5</v>
      </c>
      <c r="U433" s="68">
        <f>IFERROR(fCaixa[[#This Row],[Lucroprimario]]/fCaixa[[#This Row],[Venda]],0)</f>
        <v>0.42499999999999999</v>
      </c>
      <c r="V433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8.0419999999999998</v>
      </c>
      <c r="W433" s="68">
        <f>IFERROR(fCaixa[[#This Row],[Lucrofinal]]/fCaixa[[#This Row],[Venda]],0)</f>
        <v>0.40210000000000001</v>
      </c>
    </row>
    <row r="434" spans="1:23" ht="16.5" hidden="1" x14ac:dyDescent="0.25">
      <c r="A434" s="62">
        <f t="shared" si="6"/>
        <v>433</v>
      </c>
      <c r="B434" s="88">
        <v>43293</v>
      </c>
      <c r="C434" s="63" t="s">
        <v>24</v>
      </c>
      <c r="D434" s="63" t="s">
        <v>25</v>
      </c>
      <c r="E434" s="63" t="s">
        <v>35</v>
      </c>
      <c r="F434" s="63" t="s">
        <v>28</v>
      </c>
      <c r="G434" s="64">
        <v>177</v>
      </c>
      <c r="H434" s="64">
        <v>1</v>
      </c>
      <c r="I434" s="64">
        <v>11.5</v>
      </c>
      <c r="J434" s="65">
        <v>3</v>
      </c>
      <c r="K434" s="62">
        <f>IFERROR(ROUND((fCaixa[[#This Row],[Venda]]/fCaixa[[#This Row],[Preço/Un.]]),0),0)</f>
        <v>177</v>
      </c>
      <c r="L434" s="66">
        <f>IFERROR((SUBSTITUTE(RIGHT(fCaixa[[#This Row],[Descrição]],3),"G","")*1 *fCaixa[[#This Row],[Qtd/Pães]]) / 1000,0)</f>
        <v>8.85</v>
      </c>
      <c r="M434" s="64">
        <f>IFERROR((((SUBSTITUTE(RIGHT(fCaixa[[#This Row],[Descrição]],3),"G","")*1) * fCaixa[[#This Row],[QTD Perdida]])/1000) *fCaixa[[#This Row],[Custo/KG.]],0)</f>
        <v>1.7249999999999999</v>
      </c>
      <c r="N434" s="66">
        <f>IF(fCaixa[[#This Row],[Lançamento]]="RECEITA",(fCaixa[[#This Row],[QTD Perdida]]* (SUBSTITUTE(RIGHT(fCaixa[[#This Row],[Descrição]],3),"G","")*1))/1000,0)</f>
        <v>0.15</v>
      </c>
      <c r="O434" s="66">
        <f>fCaixa[[#This Row],[Qtd/Kg]]+fCaixa[[#This Row],[Qtd/Kg Perdido]]</f>
        <v>9</v>
      </c>
      <c r="P434" s="64">
        <f>IF(fCaixa[[#This Row],[Lançamento]]="RECEITA",(fCaixa[[#This Row],[Qtd/Kg]]*fCaixa[[#This Row],[Custo/KG.]]),0)</f>
        <v>101.77499999999999</v>
      </c>
      <c r="Q434" s="67">
        <f>fCaixa[[#This Row],[Custoprimario]]+fCaixa[[#This Row],[Total Perdido]]</f>
        <v>103.49999999999999</v>
      </c>
      <c r="R434" s="68">
        <f>IFERROR(fCaixa[[#This Row],[Custoprimario]]/fCaixa[[#This Row],[Venda]],0)</f>
        <v>0.57499999999999996</v>
      </c>
      <c r="S434" s="68">
        <f>IFERROR(fCaixa[[#This Row],[Custofinal]]/fCaixa[[#This Row],[Venda]],0)</f>
        <v>0.58474576271186429</v>
      </c>
      <c r="T434" s="64">
        <f>IF(fCaixa[[#This Row],[Lançamento]]="RECEITA",fCaixa[[#This Row],[Venda]]-fCaixa[[#This Row],[Custoprimario]],0)</f>
        <v>75.225000000000009</v>
      </c>
      <c r="U434" s="68">
        <f>IFERROR(fCaixa[[#This Row],[Lucroprimario]]/fCaixa[[#This Row],[Venda]],0)</f>
        <v>0.42500000000000004</v>
      </c>
      <c r="V434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73.500000000000014</v>
      </c>
      <c r="W434" s="68">
        <f>IFERROR(fCaixa[[#This Row],[Lucrofinal]]/fCaixa[[#This Row],[Venda]],0)</f>
        <v>0.41525423728813565</v>
      </c>
    </row>
    <row r="435" spans="1:23" ht="16.5" hidden="1" x14ac:dyDescent="0.25">
      <c r="A435" s="62">
        <f t="shared" si="6"/>
        <v>434</v>
      </c>
      <c r="B435" s="88">
        <v>43294</v>
      </c>
      <c r="C435" s="63" t="s">
        <v>24</v>
      </c>
      <c r="D435" s="63" t="s">
        <v>37</v>
      </c>
      <c r="E435" s="63" t="s">
        <v>35</v>
      </c>
      <c r="F435" s="63" t="s">
        <v>28</v>
      </c>
      <c r="G435" s="64">
        <v>6</v>
      </c>
      <c r="H435" s="64">
        <v>1</v>
      </c>
      <c r="I435" s="64">
        <v>11.5</v>
      </c>
      <c r="J435" s="65">
        <v>0</v>
      </c>
      <c r="K435" s="62">
        <f>IFERROR(ROUND((fCaixa[[#This Row],[Venda]]/fCaixa[[#This Row],[Preço/Un.]]),0),0)</f>
        <v>6</v>
      </c>
      <c r="L435" s="66">
        <f>IFERROR((SUBSTITUTE(RIGHT(fCaixa[[#This Row],[Descrição]],3),"G","")*1 *fCaixa[[#This Row],[Qtd/Pães]]) / 1000,0)</f>
        <v>0.3</v>
      </c>
      <c r="M435" s="64">
        <f>IFERROR((((SUBSTITUTE(RIGHT(fCaixa[[#This Row],[Descrição]],3),"G","")*1) * fCaixa[[#This Row],[QTD Perdida]])/1000) *fCaixa[[#This Row],[Custo/KG.]],0)</f>
        <v>0</v>
      </c>
      <c r="N435" s="66">
        <f>IF(fCaixa[[#This Row],[Lançamento]]="RECEITA",(fCaixa[[#This Row],[QTD Perdida]]* (SUBSTITUTE(RIGHT(fCaixa[[#This Row],[Descrição]],3),"G","")*1))/1000,0)</f>
        <v>0</v>
      </c>
      <c r="O435" s="66">
        <f>fCaixa[[#This Row],[Qtd/Kg]]+fCaixa[[#This Row],[Qtd/Kg Perdido]]</f>
        <v>0.3</v>
      </c>
      <c r="P435" s="64">
        <f>IF(fCaixa[[#This Row],[Lançamento]]="RECEITA",(fCaixa[[#This Row],[Qtd/Kg]]*fCaixa[[#This Row],[Custo/KG.]]),0)</f>
        <v>3.4499999999999997</v>
      </c>
      <c r="Q435" s="67">
        <f>fCaixa[[#This Row],[Custoprimario]]+fCaixa[[#This Row],[Total Perdido]]</f>
        <v>3.4499999999999997</v>
      </c>
      <c r="R435" s="68">
        <f>IFERROR(fCaixa[[#This Row],[Custoprimario]]/fCaixa[[#This Row],[Venda]],0)</f>
        <v>0.57499999999999996</v>
      </c>
      <c r="S435" s="68">
        <f>IFERROR(fCaixa[[#This Row],[Custofinal]]/fCaixa[[#This Row],[Venda]],0)</f>
        <v>0.57499999999999996</v>
      </c>
      <c r="T435" s="64">
        <f>IF(fCaixa[[#This Row],[Lançamento]]="RECEITA",fCaixa[[#This Row],[Venda]]-fCaixa[[#This Row],[Custoprimario]],0)</f>
        <v>2.5500000000000003</v>
      </c>
      <c r="U435" s="68">
        <f>IFERROR(fCaixa[[#This Row],[Lucroprimario]]/fCaixa[[#This Row],[Venda]],0)</f>
        <v>0.42500000000000004</v>
      </c>
      <c r="V435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2.4126000000000003</v>
      </c>
      <c r="W435" s="68">
        <f>IFERROR(fCaixa[[#This Row],[Lucrofinal]]/fCaixa[[#This Row],[Venda]],0)</f>
        <v>0.40210000000000007</v>
      </c>
    </row>
    <row r="436" spans="1:23" ht="16.5" hidden="1" x14ac:dyDescent="0.25">
      <c r="A436" s="62">
        <f t="shared" si="6"/>
        <v>435</v>
      </c>
      <c r="B436" s="88">
        <v>43294</v>
      </c>
      <c r="C436" s="63" t="s">
        <v>24</v>
      </c>
      <c r="D436" s="63" t="s">
        <v>25</v>
      </c>
      <c r="E436" s="63" t="s">
        <v>35</v>
      </c>
      <c r="F436" s="63" t="s">
        <v>28</v>
      </c>
      <c r="G436" s="64">
        <v>18</v>
      </c>
      <c r="H436" s="64">
        <v>0.9</v>
      </c>
      <c r="I436" s="64">
        <v>11.5</v>
      </c>
      <c r="J436" s="65">
        <v>0</v>
      </c>
      <c r="K436" s="62">
        <f>IFERROR(ROUND((fCaixa[[#This Row],[Venda]]/fCaixa[[#This Row],[Preço/Un.]]),0),0)</f>
        <v>20</v>
      </c>
      <c r="L436" s="66">
        <f>IFERROR((SUBSTITUTE(RIGHT(fCaixa[[#This Row],[Descrição]],3),"G","")*1 *fCaixa[[#This Row],[Qtd/Pães]]) / 1000,0)</f>
        <v>1</v>
      </c>
      <c r="M436" s="64">
        <f>IFERROR((((SUBSTITUTE(RIGHT(fCaixa[[#This Row],[Descrição]],3),"G","")*1) * fCaixa[[#This Row],[QTD Perdida]])/1000) *fCaixa[[#This Row],[Custo/KG.]],0)</f>
        <v>0</v>
      </c>
      <c r="N436" s="66">
        <f>IF(fCaixa[[#This Row],[Lançamento]]="RECEITA",(fCaixa[[#This Row],[QTD Perdida]]* (SUBSTITUTE(RIGHT(fCaixa[[#This Row],[Descrição]],3),"G","")*1))/1000,0)</f>
        <v>0</v>
      </c>
      <c r="O436" s="66">
        <f>fCaixa[[#This Row],[Qtd/Kg]]+fCaixa[[#This Row],[Qtd/Kg Perdido]]</f>
        <v>1</v>
      </c>
      <c r="P436" s="64">
        <f>IF(fCaixa[[#This Row],[Lançamento]]="RECEITA",(fCaixa[[#This Row],[Qtd/Kg]]*fCaixa[[#This Row],[Custo/KG.]]),0)</f>
        <v>11.5</v>
      </c>
      <c r="Q436" s="67">
        <f>fCaixa[[#This Row],[Custoprimario]]+fCaixa[[#This Row],[Total Perdido]]</f>
        <v>11.5</v>
      </c>
      <c r="R436" s="68">
        <f>IFERROR(fCaixa[[#This Row],[Custoprimario]]/fCaixa[[#This Row],[Venda]],0)</f>
        <v>0.63888888888888884</v>
      </c>
      <c r="S436" s="68">
        <f>IFERROR(fCaixa[[#This Row],[Custofinal]]/fCaixa[[#This Row],[Venda]],0)</f>
        <v>0.63888888888888884</v>
      </c>
      <c r="T436" s="64">
        <f>IF(fCaixa[[#This Row],[Lançamento]]="RECEITA",fCaixa[[#This Row],[Venda]]-fCaixa[[#This Row],[Custoprimario]],0)</f>
        <v>6.5</v>
      </c>
      <c r="U436" s="68">
        <f>IFERROR(fCaixa[[#This Row],[Lucroprimario]]/fCaixa[[#This Row],[Venda]],0)</f>
        <v>0.3611111111111111</v>
      </c>
      <c r="V436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436" s="68">
        <f>IFERROR(fCaixa[[#This Row],[Lucrofinal]]/fCaixa[[#This Row],[Venda]],0)</f>
        <v>0.3611111111111111</v>
      </c>
    </row>
    <row r="437" spans="1:23" ht="16.5" hidden="1" x14ac:dyDescent="0.25">
      <c r="A437" s="62">
        <f t="shared" si="6"/>
        <v>436</v>
      </c>
      <c r="B437" s="88">
        <v>43294</v>
      </c>
      <c r="C437" s="63" t="s">
        <v>24</v>
      </c>
      <c r="D437" s="63" t="s">
        <v>25</v>
      </c>
      <c r="E437" s="63" t="s">
        <v>35</v>
      </c>
      <c r="F437" s="63" t="s">
        <v>28</v>
      </c>
      <c r="G437" s="64">
        <v>230</v>
      </c>
      <c r="H437" s="64">
        <v>1</v>
      </c>
      <c r="I437" s="64">
        <v>11.5</v>
      </c>
      <c r="J437" s="65">
        <v>4</v>
      </c>
      <c r="K437" s="62">
        <f>IFERROR(ROUND((fCaixa[[#This Row],[Venda]]/fCaixa[[#This Row],[Preço/Un.]]),0),0)</f>
        <v>230</v>
      </c>
      <c r="L437" s="66">
        <f>IFERROR((SUBSTITUTE(RIGHT(fCaixa[[#This Row],[Descrição]],3),"G","")*1 *fCaixa[[#This Row],[Qtd/Pães]]) / 1000,0)</f>
        <v>11.5</v>
      </c>
      <c r="M437" s="64">
        <f>IFERROR((((SUBSTITUTE(RIGHT(fCaixa[[#This Row],[Descrição]],3),"G","")*1) * fCaixa[[#This Row],[QTD Perdida]])/1000) *fCaixa[[#This Row],[Custo/KG.]],0)</f>
        <v>2.3000000000000003</v>
      </c>
      <c r="N437" s="66">
        <f>IF(fCaixa[[#This Row],[Lançamento]]="RECEITA",(fCaixa[[#This Row],[QTD Perdida]]* (SUBSTITUTE(RIGHT(fCaixa[[#This Row],[Descrição]],3),"G","")*1))/1000,0)</f>
        <v>0.2</v>
      </c>
      <c r="O437" s="66">
        <f>fCaixa[[#This Row],[Qtd/Kg]]+fCaixa[[#This Row],[Qtd/Kg Perdido]]</f>
        <v>11.7</v>
      </c>
      <c r="P437" s="64">
        <f>IF(fCaixa[[#This Row],[Lançamento]]="RECEITA",(fCaixa[[#This Row],[Qtd/Kg]]*fCaixa[[#This Row],[Custo/KG.]]),0)</f>
        <v>132.25</v>
      </c>
      <c r="Q437" s="67">
        <f>fCaixa[[#This Row],[Custoprimario]]+fCaixa[[#This Row],[Total Perdido]]</f>
        <v>134.55000000000001</v>
      </c>
      <c r="R437" s="68">
        <f>IFERROR(fCaixa[[#This Row],[Custoprimario]]/fCaixa[[#This Row],[Venda]],0)</f>
        <v>0.57499999999999996</v>
      </c>
      <c r="S437" s="68">
        <f>IFERROR(fCaixa[[#This Row],[Custofinal]]/fCaixa[[#This Row],[Venda]],0)</f>
        <v>0.58500000000000008</v>
      </c>
      <c r="T437" s="64">
        <f>IF(fCaixa[[#This Row],[Lançamento]]="RECEITA",fCaixa[[#This Row],[Venda]]-fCaixa[[#This Row],[Custoprimario]],0)</f>
        <v>97.75</v>
      </c>
      <c r="U437" s="68">
        <f>IFERROR(fCaixa[[#This Row],[Lucroprimario]]/fCaixa[[#This Row],[Venda]],0)</f>
        <v>0.42499999999999999</v>
      </c>
      <c r="V437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95.449999999999989</v>
      </c>
      <c r="W437" s="68">
        <f>IFERROR(fCaixa[[#This Row],[Lucrofinal]]/fCaixa[[#This Row],[Venda]],0)</f>
        <v>0.41499999999999992</v>
      </c>
    </row>
    <row r="438" spans="1:23" ht="16.5" hidden="1" x14ac:dyDescent="0.25">
      <c r="A438" s="62">
        <f t="shared" si="6"/>
        <v>437</v>
      </c>
      <c r="B438" s="88">
        <v>43297</v>
      </c>
      <c r="C438" s="63" t="s">
        <v>24</v>
      </c>
      <c r="D438" s="63" t="s">
        <v>37</v>
      </c>
      <c r="E438" s="63" t="s">
        <v>35</v>
      </c>
      <c r="F438" s="63" t="s">
        <v>28</v>
      </c>
      <c r="G438" s="64">
        <v>7</v>
      </c>
      <c r="H438" s="64">
        <v>1</v>
      </c>
      <c r="I438" s="64">
        <v>11.5</v>
      </c>
      <c r="J438" s="65">
        <v>0</v>
      </c>
      <c r="K438" s="62">
        <f>IFERROR(ROUND((fCaixa[[#This Row],[Venda]]/fCaixa[[#This Row],[Preço/Un.]]),0),0)</f>
        <v>7</v>
      </c>
      <c r="L438" s="66">
        <f>IFERROR((SUBSTITUTE(RIGHT(fCaixa[[#This Row],[Descrição]],3),"G","")*1 *fCaixa[[#This Row],[Qtd/Pães]]) / 1000,0)</f>
        <v>0.35</v>
      </c>
      <c r="M438" s="64">
        <f>IFERROR((((SUBSTITUTE(RIGHT(fCaixa[[#This Row],[Descrição]],3),"G","")*1) * fCaixa[[#This Row],[QTD Perdida]])/1000) *fCaixa[[#This Row],[Custo/KG.]],0)</f>
        <v>0</v>
      </c>
      <c r="N438" s="66">
        <f>IF(fCaixa[[#This Row],[Lançamento]]="RECEITA",(fCaixa[[#This Row],[QTD Perdida]]* (SUBSTITUTE(RIGHT(fCaixa[[#This Row],[Descrição]],3),"G","")*1))/1000,0)</f>
        <v>0</v>
      </c>
      <c r="O438" s="66">
        <f>fCaixa[[#This Row],[Qtd/Kg]]+fCaixa[[#This Row],[Qtd/Kg Perdido]]</f>
        <v>0.35</v>
      </c>
      <c r="P438" s="64">
        <f>IF(fCaixa[[#This Row],[Lançamento]]="RECEITA",(fCaixa[[#This Row],[Qtd/Kg]]*fCaixa[[#This Row],[Custo/KG.]]),0)</f>
        <v>4.0249999999999995</v>
      </c>
      <c r="Q438" s="67">
        <f>fCaixa[[#This Row],[Custoprimario]]+fCaixa[[#This Row],[Total Perdido]]</f>
        <v>4.0249999999999995</v>
      </c>
      <c r="R438" s="68">
        <f>IFERROR(fCaixa[[#This Row],[Custoprimario]]/fCaixa[[#This Row],[Venda]],0)</f>
        <v>0.57499999999999996</v>
      </c>
      <c r="S438" s="68">
        <f>IFERROR(fCaixa[[#This Row],[Custofinal]]/fCaixa[[#This Row],[Venda]],0)</f>
        <v>0.57499999999999996</v>
      </c>
      <c r="T438" s="64">
        <f>IF(fCaixa[[#This Row],[Lançamento]]="RECEITA",fCaixa[[#This Row],[Venda]]-fCaixa[[#This Row],[Custoprimario]],0)</f>
        <v>2.9750000000000005</v>
      </c>
      <c r="U438" s="68">
        <f>IFERROR(fCaixa[[#This Row],[Lucroprimario]]/fCaixa[[#This Row],[Venda]],0)</f>
        <v>0.4250000000000001</v>
      </c>
      <c r="V438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2.8147000000000006</v>
      </c>
      <c r="W438" s="68">
        <f>IFERROR(fCaixa[[#This Row],[Lucrofinal]]/fCaixa[[#This Row],[Venda]],0)</f>
        <v>0.40210000000000007</v>
      </c>
    </row>
    <row r="439" spans="1:23" ht="16.5" hidden="1" x14ac:dyDescent="0.25">
      <c r="A439" s="62">
        <f t="shared" si="6"/>
        <v>438</v>
      </c>
      <c r="B439" s="88">
        <v>43297</v>
      </c>
      <c r="C439" s="63" t="s">
        <v>24</v>
      </c>
      <c r="D439" s="63" t="s">
        <v>25</v>
      </c>
      <c r="E439" s="63" t="s">
        <v>35</v>
      </c>
      <c r="F439" s="63" t="s">
        <v>28</v>
      </c>
      <c r="G439" s="64">
        <v>183</v>
      </c>
      <c r="H439" s="64">
        <v>1</v>
      </c>
      <c r="I439" s="64">
        <v>11.5</v>
      </c>
      <c r="J439" s="65">
        <v>10</v>
      </c>
      <c r="K439" s="62">
        <f>IFERROR(ROUND((fCaixa[[#This Row],[Venda]]/fCaixa[[#This Row],[Preço/Un.]]),0),0)</f>
        <v>183</v>
      </c>
      <c r="L439" s="66">
        <f>IFERROR((SUBSTITUTE(RIGHT(fCaixa[[#This Row],[Descrição]],3),"G","")*1 *fCaixa[[#This Row],[Qtd/Pães]]) / 1000,0)</f>
        <v>9.15</v>
      </c>
      <c r="M439" s="64">
        <f>IFERROR((((SUBSTITUTE(RIGHT(fCaixa[[#This Row],[Descrição]],3),"G","")*1) * fCaixa[[#This Row],[QTD Perdida]])/1000) *fCaixa[[#This Row],[Custo/KG.]],0)</f>
        <v>5.75</v>
      </c>
      <c r="N439" s="66">
        <f>IF(fCaixa[[#This Row],[Lançamento]]="RECEITA",(fCaixa[[#This Row],[QTD Perdida]]* (SUBSTITUTE(RIGHT(fCaixa[[#This Row],[Descrição]],3),"G","")*1))/1000,0)</f>
        <v>0.5</v>
      </c>
      <c r="O439" s="66">
        <f>fCaixa[[#This Row],[Qtd/Kg]]+fCaixa[[#This Row],[Qtd/Kg Perdido]]</f>
        <v>9.65</v>
      </c>
      <c r="P439" s="64">
        <f>IF(fCaixa[[#This Row],[Lançamento]]="RECEITA",(fCaixa[[#This Row],[Qtd/Kg]]*fCaixa[[#This Row],[Custo/KG.]]),0)</f>
        <v>105.22500000000001</v>
      </c>
      <c r="Q439" s="67">
        <f>fCaixa[[#This Row],[Custoprimario]]+fCaixa[[#This Row],[Total Perdido]]</f>
        <v>110.97500000000001</v>
      </c>
      <c r="R439" s="68">
        <f>IFERROR(fCaixa[[#This Row],[Custoprimario]]/fCaixa[[#This Row],[Venda]],0)</f>
        <v>0.57500000000000007</v>
      </c>
      <c r="S439" s="68">
        <f>IFERROR(fCaixa[[#This Row],[Custofinal]]/fCaixa[[#This Row],[Venda]],0)</f>
        <v>0.60642076502732245</v>
      </c>
      <c r="T439" s="64">
        <f>IF(fCaixa[[#This Row],[Lançamento]]="RECEITA",fCaixa[[#This Row],[Venda]]-fCaixa[[#This Row],[Custoprimario]],0)</f>
        <v>77.774999999999991</v>
      </c>
      <c r="U439" s="68">
        <f>IFERROR(fCaixa[[#This Row],[Lucroprimario]]/fCaixa[[#This Row],[Venda]],0)</f>
        <v>0.42499999999999993</v>
      </c>
      <c r="V439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72.024999999999991</v>
      </c>
      <c r="W439" s="68">
        <f>IFERROR(fCaixa[[#This Row],[Lucrofinal]]/fCaixa[[#This Row],[Venda]],0)</f>
        <v>0.39357923497267755</v>
      </c>
    </row>
    <row r="440" spans="1:23" ht="16.5" hidden="1" x14ac:dyDescent="0.25">
      <c r="A440" s="62">
        <f t="shared" si="6"/>
        <v>439</v>
      </c>
      <c r="B440" s="88">
        <v>43298</v>
      </c>
      <c r="C440" s="63" t="s">
        <v>24</v>
      </c>
      <c r="D440" s="63" t="s">
        <v>25</v>
      </c>
      <c r="E440" s="63" t="s">
        <v>35</v>
      </c>
      <c r="F440" s="63" t="s">
        <v>28</v>
      </c>
      <c r="G440" s="64">
        <v>176</v>
      </c>
      <c r="H440" s="64">
        <v>1</v>
      </c>
      <c r="I440" s="64">
        <v>11.5</v>
      </c>
      <c r="J440" s="65">
        <v>4</v>
      </c>
      <c r="K440" s="62">
        <f>IFERROR(ROUND((fCaixa[[#This Row],[Venda]]/fCaixa[[#This Row],[Preço/Un.]]),0),0)</f>
        <v>176</v>
      </c>
      <c r="L440" s="66">
        <f>IFERROR((SUBSTITUTE(RIGHT(fCaixa[[#This Row],[Descrição]],3),"G","")*1 *fCaixa[[#This Row],[Qtd/Pães]]) / 1000,0)</f>
        <v>8.8000000000000007</v>
      </c>
      <c r="M440" s="64">
        <f>IFERROR((((SUBSTITUTE(RIGHT(fCaixa[[#This Row],[Descrição]],3),"G","")*1) * fCaixa[[#This Row],[QTD Perdida]])/1000) *fCaixa[[#This Row],[Custo/KG.]],0)</f>
        <v>2.3000000000000003</v>
      </c>
      <c r="N440" s="66">
        <f>IF(fCaixa[[#This Row],[Lançamento]]="RECEITA",(fCaixa[[#This Row],[QTD Perdida]]* (SUBSTITUTE(RIGHT(fCaixa[[#This Row],[Descrição]],3),"G","")*1))/1000,0)</f>
        <v>0.2</v>
      </c>
      <c r="O440" s="66">
        <f>fCaixa[[#This Row],[Qtd/Kg]]+fCaixa[[#This Row],[Qtd/Kg Perdido]]</f>
        <v>9</v>
      </c>
      <c r="P440" s="64">
        <f>IF(fCaixa[[#This Row],[Lançamento]]="RECEITA",(fCaixa[[#This Row],[Qtd/Kg]]*fCaixa[[#This Row],[Custo/KG.]]),0)</f>
        <v>101.2</v>
      </c>
      <c r="Q440" s="67">
        <f>fCaixa[[#This Row],[Custoprimario]]+fCaixa[[#This Row],[Total Perdido]]</f>
        <v>103.5</v>
      </c>
      <c r="R440" s="68">
        <f>IFERROR(fCaixa[[#This Row],[Custoprimario]]/fCaixa[[#This Row],[Venda]],0)</f>
        <v>0.57500000000000007</v>
      </c>
      <c r="S440" s="68">
        <f>IFERROR(fCaixa[[#This Row],[Custofinal]]/fCaixa[[#This Row],[Venda]],0)</f>
        <v>0.58806818181818177</v>
      </c>
      <c r="T440" s="64">
        <f>IF(fCaixa[[#This Row],[Lançamento]]="RECEITA",fCaixa[[#This Row],[Venda]]-fCaixa[[#This Row],[Custoprimario]],0)</f>
        <v>74.8</v>
      </c>
      <c r="U440" s="68">
        <f>IFERROR(fCaixa[[#This Row],[Lucroprimario]]/fCaixa[[#This Row],[Venda]],0)</f>
        <v>0.42499999999999999</v>
      </c>
      <c r="V440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72.5</v>
      </c>
      <c r="W440" s="68">
        <f>IFERROR(fCaixa[[#This Row],[Lucrofinal]]/fCaixa[[#This Row],[Venda]],0)</f>
        <v>0.41193181818181818</v>
      </c>
    </row>
    <row r="441" spans="1:23" ht="16.5" hidden="1" x14ac:dyDescent="0.25">
      <c r="A441" s="62">
        <f t="shared" si="6"/>
        <v>440</v>
      </c>
      <c r="B441" s="88">
        <v>43298</v>
      </c>
      <c r="C441" s="63" t="s">
        <v>24</v>
      </c>
      <c r="D441" s="63" t="s">
        <v>25</v>
      </c>
      <c r="E441" s="63" t="s">
        <v>35</v>
      </c>
      <c r="F441" s="63" t="s">
        <v>28</v>
      </c>
      <c r="G441" s="64">
        <v>18</v>
      </c>
      <c r="H441" s="64">
        <v>0.9</v>
      </c>
      <c r="I441" s="64">
        <v>11.5</v>
      </c>
      <c r="J441" s="65">
        <v>0</v>
      </c>
      <c r="K441" s="62">
        <f>IFERROR(ROUND((fCaixa[[#This Row],[Venda]]/fCaixa[[#This Row],[Preço/Un.]]),0),0)</f>
        <v>20</v>
      </c>
      <c r="L441" s="66">
        <f>IFERROR((SUBSTITUTE(RIGHT(fCaixa[[#This Row],[Descrição]],3),"G","")*1 *fCaixa[[#This Row],[Qtd/Pães]]) / 1000,0)</f>
        <v>1</v>
      </c>
      <c r="M441" s="64">
        <f>IFERROR((((SUBSTITUTE(RIGHT(fCaixa[[#This Row],[Descrição]],3),"G","")*1) * fCaixa[[#This Row],[QTD Perdida]])/1000) *fCaixa[[#This Row],[Custo/KG.]],0)</f>
        <v>0</v>
      </c>
      <c r="N441" s="66">
        <f>IF(fCaixa[[#This Row],[Lançamento]]="RECEITA",(fCaixa[[#This Row],[QTD Perdida]]* (SUBSTITUTE(RIGHT(fCaixa[[#This Row],[Descrição]],3),"G","")*1))/1000,0)</f>
        <v>0</v>
      </c>
      <c r="O441" s="66">
        <f>fCaixa[[#This Row],[Qtd/Kg]]+fCaixa[[#This Row],[Qtd/Kg Perdido]]</f>
        <v>1</v>
      </c>
      <c r="P441" s="64">
        <f>IF(fCaixa[[#This Row],[Lançamento]]="RECEITA",(fCaixa[[#This Row],[Qtd/Kg]]*fCaixa[[#This Row],[Custo/KG.]]),0)</f>
        <v>11.5</v>
      </c>
      <c r="Q441" s="67">
        <f>fCaixa[[#This Row],[Custoprimario]]+fCaixa[[#This Row],[Total Perdido]]</f>
        <v>11.5</v>
      </c>
      <c r="R441" s="68">
        <f>IFERROR(fCaixa[[#This Row],[Custoprimario]]/fCaixa[[#This Row],[Venda]],0)</f>
        <v>0.63888888888888884</v>
      </c>
      <c r="S441" s="68">
        <f>IFERROR(fCaixa[[#This Row],[Custofinal]]/fCaixa[[#This Row],[Venda]],0)</f>
        <v>0.63888888888888884</v>
      </c>
      <c r="T441" s="64">
        <f>IF(fCaixa[[#This Row],[Lançamento]]="RECEITA",fCaixa[[#This Row],[Venda]]-fCaixa[[#This Row],[Custoprimario]],0)</f>
        <v>6.5</v>
      </c>
      <c r="U441" s="68">
        <f>IFERROR(fCaixa[[#This Row],[Lucroprimario]]/fCaixa[[#This Row],[Venda]],0)</f>
        <v>0.3611111111111111</v>
      </c>
      <c r="V441" s="69">
        <f>IF(fCaixa[[#This Row],[Lançamento]]="RECEITA",IF(VLOOKUP(fCaixa[[#This Row],[Tipo Pagamento]],dPagamentos,2,0)&gt;0,(fCaixa[[#This Row],[Venda]]-fCaixa[[#This Row],[Custofinal]])-(fCaixa[[#This Row],[Venda]]*VLOOKUP(fCaixa[[#This Row],[Tipo Pagamento]],dPagamentos,2,0)),fCaixa[[#This Row],[Venda]]-fCaixa[[#This Row],[Custofinal]]),0)</f>
        <v>6.5</v>
      </c>
      <c r="W441" s="68">
        <f>IFERROR(fCaixa[[#This Row],[Lucrofinal]]/fCaixa[[#This Row],[Venda]],0)</f>
        <v>0.3611111111111111</v>
      </c>
    </row>
    <row r="442" spans="1:23" ht="17.25" x14ac:dyDescent="0.25">
      <c r="A442" s="79"/>
      <c r="B442" s="80"/>
      <c r="C442" s="81"/>
      <c r="D442" s="81"/>
      <c r="E442" s="81"/>
      <c r="F442" s="81"/>
      <c r="G442" s="82">
        <f ca="1">SUMIF(fCaixa[DataLançamento],TODAY(),fCaixa[Venda])</f>
        <v>0</v>
      </c>
      <c r="H442" s="82">
        <f ca="1">IFERROR(AVERAGEIF(fCaixa[DataLançamento],TODAY(),fCaixa[Preço/Un.]),0)</f>
        <v>0</v>
      </c>
      <c r="I442" s="82"/>
      <c r="J442" s="83">
        <f ca="1">SUMIF(fCaixa[DataLançamento],TODAY(),fCaixa[QTD Perdida])</f>
        <v>0</v>
      </c>
      <c r="K442" s="79">
        <f ca="1">SUMIF(fCaixa[DataLançamento],TODAY(),fCaixa[Qtd/Pães])</f>
        <v>0</v>
      </c>
      <c r="L442" s="84">
        <f ca="1">SUMIF(fCaixa[DataLançamento],TODAY(),fCaixa[Qtd/Kg])</f>
        <v>0</v>
      </c>
      <c r="M442" s="82">
        <f ca="1">SUMIF(fCaixa[DataLançamento],TODAY(),fCaixa[Total Perdido])</f>
        <v>0</v>
      </c>
      <c r="N442" s="84">
        <f ca="1">SUMIF(fCaixa[DataLançamento],TODAY(),fCaixa[Qtd/Kg Perdido])</f>
        <v>0</v>
      </c>
      <c r="O442" s="84">
        <f ca="1">SUMIF(fCaixa[DataLançamento],TODAY(),fCaixa[Qtd/Kg Total])</f>
        <v>0</v>
      </c>
      <c r="P442" s="82">
        <f ca="1">SUMIF(fCaixa[DataLançamento],TODAY(),fCaixa[Custoprimario])</f>
        <v>0</v>
      </c>
      <c r="Q442" s="82" t="s">
        <v>98</v>
      </c>
      <c r="R442" s="85">
        <f ca="1">IFERROR(AVERAGEIF(fCaixa[DataLançamento],TODAY(),fCaixa[Custoprimario %]),0)</f>
        <v>0</v>
      </c>
      <c r="S442" s="85">
        <f ca="1">IFERROR(AVERAGEIF(fCaixa[DataLançamento],TODAY(),fCaixa[Custofinal %]),0)</f>
        <v>0</v>
      </c>
      <c r="T442" s="82">
        <f ca="1">SUMIF(fCaixa[DataLançamento],TODAY(),fCaixa[Lucroprimario])</f>
        <v>0</v>
      </c>
      <c r="U442" s="85">
        <f ca="1">IFERROR(AVERAGEIF(fCaixa[DataLançamento],TODAY(),fCaixa[Lucroprimario %]),0)</f>
        <v>0</v>
      </c>
      <c r="V442" s="82">
        <f ca="1">SUMIF(fCaixa[DataLançamento],TODAY(),fCaixa[Lucrofinal])</f>
        <v>0</v>
      </c>
      <c r="W442" s="85">
        <f ca="1">IFERROR(AVERAGEIF(fCaixa[DataLançamento],TODAY(),fCaixa[Lucrofinal %]),)</f>
        <v>0</v>
      </c>
    </row>
    <row r="443" spans="1:23" x14ac:dyDescent="0.25">
      <c r="A443" s="58"/>
      <c r="D443" s="60"/>
      <c r="E443" s="59"/>
      <c r="F443" s="60"/>
      <c r="G443" s="58"/>
      <c r="H443" s="58"/>
    </row>
    <row r="444" spans="1:23" x14ac:dyDescent="0.25">
      <c r="Q444" s="2">
        <f>15*11.5</f>
        <v>172.5</v>
      </c>
      <c r="V444" s="58"/>
    </row>
  </sheetData>
  <dataConsolidate/>
  <conditionalFormatting sqref="A2:W441 J442 M442 P442:W442">
    <cfRule type="expression" dxfId="106" priority="14">
      <formula>AND($B2=TODAY(),$C2="RECEITA")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edidos">
    <tabColor theme="9" tint="-0.249977111117893"/>
  </sheetPr>
  <dimension ref="A1:G30"/>
  <sheetViews>
    <sheetView showGridLines="0" topLeftCell="A10" workbookViewId="0">
      <selection activeCell="G29" sqref="G29"/>
    </sheetView>
  </sheetViews>
  <sheetFormatPr defaultColWidth="9.140625" defaultRowHeight="15" x14ac:dyDescent="0.25"/>
  <cols>
    <col min="1" max="1" width="10.7109375" style="3" bestFit="1" customWidth="1"/>
    <col min="2" max="2" width="13.28515625" style="3" bestFit="1" customWidth="1"/>
    <col min="3" max="3" width="14.85546875" style="3" bestFit="1" customWidth="1"/>
    <col min="4" max="4" width="12.7109375" style="3" bestFit="1" customWidth="1"/>
    <col min="5" max="5" width="16.7109375" style="3" bestFit="1" customWidth="1"/>
    <col min="6" max="6" width="11.7109375" style="3" bestFit="1" customWidth="1"/>
    <col min="7" max="7" width="14.42578125" style="3" bestFit="1" customWidth="1"/>
    <col min="8" max="8" width="14.7109375" style="3" bestFit="1" customWidth="1"/>
    <col min="9" max="9" width="19.28515625" style="3" bestFit="1" customWidth="1"/>
    <col min="10" max="10" width="24.5703125" style="3" bestFit="1" customWidth="1"/>
    <col min="11" max="11" width="18" style="3" bestFit="1" customWidth="1"/>
    <col min="12" max="12" width="24.140625" style="3" bestFit="1" customWidth="1"/>
    <col min="13" max="13" width="17.42578125" style="3" bestFit="1" customWidth="1"/>
    <col min="14" max="14" width="13.42578125" style="3" bestFit="1" customWidth="1"/>
    <col min="15" max="15" width="10.7109375" style="3" bestFit="1" customWidth="1"/>
    <col min="16" max="16" width="17.85546875" style="3" bestFit="1" customWidth="1"/>
    <col min="17" max="17" width="13.28515625" style="3" bestFit="1" customWidth="1"/>
    <col min="18" max="18" width="17.85546875" style="3" bestFit="1" customWidth="1"/>
    <col min="19" max="19" width="23.42578125" style="3" bestFit="1" customWidth="1"/>
    <col min="20" max="16384" width="9.140625" style="3"/>
  </cols>
  <sheetData>
    <row r="1" spans="1:4" ht="15.75" x14ac:dyDescent="0.25">
      <c r="A1" s="35" t="s">
        <v>66</v>
      </c>
      <c r="B1" s="35" t="s">
        <v>40</v>
      </c>
      <c r="C1" s="35" t="s">
        <v>41</v>
      </c>
      <c r="D1" s="35" t="s">
        <v>42</v>
      </c>
    </row>
    <row r="2" spans="1:4" x14ac:dyDescent="0.25">
      <c r="A2" s="21">
        <v>42926</v>
      </c>
      <c r="B2" s="23">
        <v>30</v>
      </c>
      <c r="C2" s="24">
        <v>10.5</v>
      </c>
      <c r="D2" s="24">
        <f>PRODUCT(fPedidos[[#This Row],[Entrada]],fPedidos[[#This Row],[Preço/KG]])</f>
        <v>315</v>
      </c>
    </row>
    <row r="3" spans="1:4" x14ac:dyDescent="0.25">
      <c r="A3" s="21">
        <v>42947</v>
      </c>
      <c r="B3" s="23">
        <v>30</v>
      </c>
      <c r="C3" s="24">
        <v>10.5</v>
      </c>
      <c r="D3" s="24">
        <f>PRODUCT(fPedidos[[#This Row],[Entrada]],fPedidos[[#This Row],[Preço/KG]])</f>
        <v>315</v>
      </c>
    </row>
    <row r="4" spans="1:4" x14ac:dyDescent="0.25">
      <c r="A4" s="21">
        <v>42957</v>
      </c>
      <c r="B4" s="23">
        <v>40</v>
      </c>
      <c r="C4" s="24">
        <v>10.5</v>
      </c>
      <c r="D4" s="24">
        <f>PRODUCT(fPedidos[[#This Row],[Entrada]],fPedidos[[#This Row],[Preço/KG]])</f>
        <v>420</v>
      </c>
    </row>
    <row r="5" spans="1:4" x14ac:dyDescent="0.25">
      <c r="A5" s="21">
        <v>42971</v>
      </c>
      <c r="B5" s="23">
        <v>30</v>
      </c>
      <c r="C5" s="24">
        <v>10.5</v>
      </c>
      <c r="D5" s="24">
        <f>PRODUCT(fPedidos[[#This Row],[Entrada]],fPedidos[[#This Row],[Preço/KG]])</f>
        <v>315</v>
      </c>
    </row>
    <row r="6" spans="1:4" x14ac:dyDescent="0.25">
      <c r="A6" s="21">
        <v>42983</v>
      </c>
      <c r="B6" s="23">
        <v>10</v>
      </c>
      <c r="C6" s="24">
        <v>8</v>
      </c>
      <c r="D6" s="24">
        <f>PRODUCT(fPedidos[[#This Row],[Entrada]],fPedidos[[#This Row],[Preço/KG]])</f>
        <v>80</v>
      </c>
    </row>
    <row r="7" spans="1:4" x14ac:dyDescent="0.25">
      <c r="A7" s="21">
        <v>42990</v>
      </c>
      <c r="B7" s="23">
        <v>40</v>
      </c>
      <c r="C7" s="24">
        <v>10.5</v>
      </c>
      <c r="D7" s="24">
        <f>PRODUCT(fPedidos[[#This Row],[Entrada]],fPedidos[[#This Row],[Preço/KG]])</f>
        <v>420</v>
      </c>
    </row>
    <row r="8" spans="1:4" x14ac:dyDescent="0.25">
      <c r="A8" s="21">
        <v>43012</v>
      </c>
      <c r="B8" s="23">
        <v>30</v>
      </c>
      <c r="C8" s="24">
        <v>9.5</v>
      </c>
      <c r="D8" s="24">
        <f>PRODUCT(fPedidos[[#This Row],[Entrada]],fPedidos[[#This Row],[Preço/KG]])</f>
        <v>285</v>
      </c>
    </row>
    <row r="9" spans="1:4" x14ac:dyDescent="0.25">
      <c r="A9" s="21">
        <v>43031</v>
      </c>
      <c r="B9" s="23">
        <v>7.3570000000000002</v>
      </c>
      <c r="C9" s="24">
        <v>10.5</v>
      </c>
      <c r="D9" s="24">
        <f>PRODUCT(fPedidos[[#This Row],[Entrada]],fPedidos[[#This Row],[Preço/KG]])</f>
        <v>77.248500000000007</v>
      </c>
    </row>
    <row r="10" spans="1:4" x14ac:dyDescent="0.25">
      <c r="A10" s="21">
        <v>43033</v>
      </c>
      <c r="B10" s="23">
        <v>10</v>
      </c>
      <c r="C10" s="24">
        <v>9.5</v>
      </c>
      <c r="D10" s="24">
        <f>PRODUCT(fPedidos[[#This Row],[Entrada]],fPedidos[[#This Row],[Preço/KG]])</f>
        <v>95</v>
      </c>
    </row>
    <row r="11" spans="1:4" x14ac:dyDescent="0.25">
      <c r="A11" s="21">
        <v>43039</v>
      </c>
      <c r="B11" s="23">
        <v>9</v>
      </c>
      <c r="C11" s="24">
        <v>9.5</v>
      </c>
      <c r="D11" s="24">
        <f>PRODUCT(fPedidos[[#This Row],[Entrada]],fPedidos[[#This Row],[Preço/KG]])</f>
        <v>85.5</v>
      </c>
    </row>
    <row r="12" spans="1:4" x14ac:dyDescent="0.25">
      <c r="A12" s="21">
        <v>43046</v>
      </c>
      <c r="B12" s="23">
        <v>10</v>
      </c>
      <c r="C12" s="24">
        <v>9.5</v>
      </c>
      <c r="D12" s="24">
        <f>PRODUCT(fPedidos[[#This Row],[Entrada]],fPedidos[[#This Row],[Preço/KG]])</f>
        <v>95</v>
      </c>
    </row>
    <row r="13" spans="1:4" x14ac:dyDescent="0.25">
      <c r="A13" s="21">
        <v>43052</v>
      </c>
      <c r="B13" s="23">
        <v>29</v>
      </c>
      <c r="C13" s="24">
        <v>9.5</v>
      </c>
      <c r="D13" s="24">
        <f>PRODUCT(fPedidos[[#This Row],[Entrada]],fPedidos[[#This Row],[Preço/KG]])</f>
        <v>275.5</v>
      </c>
    </row>
    <row r="14" spans="1:4" x14ac:dyDescent="0.25">
      <c r="A14" s="21">
        <v>43153</v>
      </c>
      <c r="B14" s="23">
        <v>70</v>
      </c>
      <c r="C14" s="24">
        <v>10.5</v>
      </c>
      <c r="D14" s="24">
        <f>PRODUCT(fPedidos[[#This Row],[Entrada]],fPedidos[[#This Row],[Preço/KG]])</f>
        <v>735</v>
      </c>
    </row>
    <row r="15" spans="1:4" x14ac:dyDescent="0.25">
      <c r="A15" s="21">
        <v>43171</v>
      </c>
      <c r="B15" s="29">
        <v>60</v>
      </c>
      <c r="C15" s="30">
        <v>10.5</v>
      </c>
      <c r="D15" s="30">
        <f>PRODUCT(fPedidos[[#This Row],[Entrada]],fPedidos[[#This Row],[Preço/KG]])</f>
        <v>630</v>
      </c>
    </row>
    <row r="16" spans="1:4" x14ac:dyDescent="0.25">
      <c r="A16" s="21">
        <v>43181</v>
      </c>
      <c r="B16" s="29">
        <v>60</v>
      </c>
      <c r="C16" s="30">
        <v>10.5</v>
      </c>
      <c r="D16" s="30">
        <f>PRODUCT(fPedidos[[#This Row],[Entrada]],fPedidos[[#This Row],[Preço/KG]])</f>
        <v>630</v>
      </c>
    </row>
    <row r="17" spans="1:7" x14ac:dyDescent="0.25">
      <c r="A17" s="21">
        <v>43195</v>
      </c>
      <c r="B17" s="31">
        <v>72</v>
      </c>
      <c r="C17" s="32">
        <v>10.5</v>
      </c>
      <c r="D17" s="32">
        <f>PRODUCT(fPedidos[[#This Row],[Entrada]],fPedidos[[#This Row],[Preço/KG]])</f>
        <v>756</v>
      </c>
    </row>
    <row r="18" spans="1:7" x14ac:dyDescent="0.25">
      <c r="A18" s="21">
        <v>43207</v>
      </c>
      <c r="B18" s="31">
        <v>67</v>
      </c>
      <c r="C18" s="32">
        <v>11.5</v>
      </c>
      <c r="D18" s="32">
        <f>PRODUCT(fPedidos[[#This Row],[Entrada]],fPedidos[[#This Row],[Preço/KG]])</f>
        <v>770.5</v>
      </c>
    </row>
    <row r="19" spans="1:7" x14ac:dyDescent="0.25">
      <c r="A19" s="21">
        <v>43217</v>
      </c>
      <c r="B19" s="29">
        <v>82</v>
      </c>
      <c r="C19" s="32">
        <v>11.5</v>
      </c>
      <c r="D19" s="30">
        <f>PRODUCT(fPedidos[[#This Row],[Entrada]],fPedidos[[#This Row],[Preço/KG]])</f>
        <v>943</v>
      </c>
    </row>
    <row r="20" spans="1:7" x14ac:dyDescent="0.25">
      <c r="A20" s="21">
        <v>43232</v>
      </c>
      <c r="B20" s="31">
        <v>72</v>
      </c>
      <c r="C20" s="32">
        <v>11.5</v>
      </c>
      <c r="D20" s="32">
        <f>PRODUCT(fPedidos[[#This Row],[Entrada]],fPedidos[[#This Row],[Preço/KG]])</f>
        <v>828</v>
      </c>
    </row>
    <row r="21" spans="1:7" x14ac:dyDescent="0.25">
      <c r="A21" s="21">
        <v>43243</v>
      </c>
      <c r="B21" s="31">
        <v>54</v>
      </c>
      <c r="C21" s="32">
        <v>11.5</v>
      </c>
      <c r="D21" s="32">
        <f>PRODUCT(fPedidos[[#This Row],[Entrada]],fPedidos[[#This Row],[Preço/KG]])</f>
        <v>621</v>
      </c>
    </row>
    <row r="22" spans="1:7" x14ac:dyDescent="0.25">
      <c r="A22" s="21">
        <v>43243</v>
      </c>
      <c r="B22" s="31">
        <v>19</v>
      </c>
      <c r="C22" s="32">
        <v>11.5</v>
      </c>
      <c r="D22" s="32">
        <f>PRODUCT(fPedidos[[#This Row],[Entrada]],fPedidos[[#This Row],[Preço/KG]])</f>
        <v>218.5</v>
      </c>
    </row>
    <row r="23" spans="1:7" ht="15.75" customHeight="1" x14ac:dyDescent="0.25">
      <c r="A23" s="21">
        <v>43251</v>
      </c>
      <c r="B23" s="31">
        <v>25</v>
      </c>
      <c r="C23" s="32">
        <v>11.5</v>
      </c>
      <c r="D23" s="32">
        <f>PRODUCT(fPedidos[[#This Row],[Entrada]],fPedidos[[#This Row],[Preço/KG]])</f>
        <v>287.5</v>
      </c>
    </row>
    <row r="24" spans="1:7" x14ac:dyDescent="0.25">
      <c r="A24" s="21">
        <v>43251</v>
      </c>
      <c r="B24" s="31">
        <v>7</v>
      </c>
      <c r="C24" s="32">
        <v>11.5</v>
      </c>
      <c r="D24" s="32">
        <f>PRODUCT(fPedidos[[#This Row],[Entrada]],fPedidos[[#This Row],[Preço/KG]])</f>
        <v>80.5</v>
      </c>
    </row>
    <row r="25" spans="1:7" x14ac:dyDescent="0.25">
      <c r="A25" s="21">
        <v>43257</v>
      </c>
      <c r="B25" s="31">
        <v>22</v>
      </c>
      <c r="C25" s="32">
        <v>11.5</v>
      </c>
      <c r="D25" s="32">
        <f>PRODUCT(fPedidos[[#This Row],[Entrada]],fPedidos[[#This Row],[Preço/KG]])</f>
        <v>253</v>
      </c>
    </row>
    <row r="26" spans="1:7" x14ac:dyDescent="0.25">
      <c r="A26" s="21">
        <v>43257</v>
      </c>
      <c r="B26" s="31">
        <v>4</v>
      </c>
      <c r="C26" s="32">
        <v>11.5</v>
      </c>
      <c r="D26" s="32">
        <f>PRODUCT(fPedidos[[#This Row],[Entrada]],fPedidos[[#This Row],[Preço/KG]])</f>
        <v>46</v>
      </c>
    </row>
    <row r="27" spans="1:7" x14ac:dyDescent="0.25">
      <c r="A27" s="21">
        <v>43258</v>
      </c>
      <c r="B27" s="31">
        <v>83</v>
      </c>
      <c r="C27" s="32">
        <v>11.5</v>
      </c>
      <c r="D27" s="32">
        <f>PRODUCT(fPedidos[[#This Row],[Entrada]],fPedidos[[#This Row],[Preço/KG]])</f>
        <v>954.5</v>
      </c>
      <c r="F27" s="56"/>
      <c r="G27" s="57"/>
    </row>
    <row r="28" spans="1:7" x14ac:dyDescent="0.25">
      <c r="A28" s="21">
        <v>43270</v>
      </c>
      <c r="B28" s="31">
        <v>93</v>
      </c>
      <c r="C28" s="32">
        <v>11.5</v>
      </c>
      <c r="D28" s="32">
        <f>PRODUCT(fPedidos[[#This Row],[Entrada]],fPedidos[[#This Row],[Preço/KG]])</f>
        <v>1069.5</v>
      </c>
    </row>
    <row r="29" spans="1:7" x14ac:dyDescent="0.25">
      <c r="A29" s="21">
        <v>43284</v>
      </c>
      <c r="B29" s="75">
        <v>104</v>
      </c>
      <c r="C29" s="32">
        <v>11.5</v>
      </c>
      <c r="D29" s="32">
        <f>PRODUCT(fPedidos[[#This Row],[Entrada]],fPedidos[[#This Row],[Preço/KG]])</f>
        <v>1196</v>
      </c>
    </row>
    <row r="30" spans="1:7" x14ac:dyDescent="0.25">
      <c r="A30" s="73" t="s">
        <v>96</v>
      </c>
      <c r="B30" s="74">
        <f t="shared" ref="B30:D30" si="0">SUBTOTAL(109,B2:B29)</f>
        <v>1169.357</v>
      </c>
      <c r="C30" s="61">
        <f>SUBTOTAL(101,fPedidos[Preço/KG])</f>
        <v>10.660714285714286</v>
      </c>
      <c r="D30" s="61">
        <f t="shared" si="0"/>
        <v>12797.2485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Cartoes">
    <tabColor theme="3" tint="-0.499984740745262"/>
  </sheetPr>
  <dimension ref="A1:E59"/>
  <sheetViews>
    <sheetView showGridLines="0" workbookViewId="0">
      <selection activeCell="D9" sqref="D9"/>
    </sheetView>
  </sheetViews>
  <sheetFormatPr defaultRowHeight="15" x14ac:dyDescent="0.25"/>
  <cols>
    <col min="1" max="1" width="10.7109375" bestFit="1" customWidth="1"/>
    <col min="2" max="2" width="14.28515625" bestFit="1" customWidth="1"/>
    <col min="3" max="3" width="20" bestFit="1" customWidth="1"/>
    <col min="4" max="4" width="10.140625" bestFit="1" customWidth="1"/>
    <col min="5" max="5" width="10.7109375" bestFit="1" customWidth="1"/>
  </cols>
  <sheetData>
    <row r="1" spans="1:5" ht="15.75" thickBot="1" x14ac:dyDescent="0.3">
      <c r="A1" s="19" t="s">
        <v>45</v>
      </c>
      <c r="B1" s="19" t="s">
        <v>46</v>
      </c>
      <c r="C1" s="19" t="s">
        <v>47</v>
      </c>
      <c r="D1" s="19" t="s">
        <v>48</v>
      </c>
      <c r="E1" s="19" t="s">
        <v>49</v>
      </c>
    </row>
    <row r="2" spans="1:5" x14ac:dyDescent="0.25">
      <c r="A2" s="4">
        <v>42856</v>
      </c>
      <c r="B2" s="5" t="s">
        <v>50</v>
      </c>
      <c r="C2" s="5" t="s">
        <v>51</v>
      </c>
      <c r="D2" s="6">
        <v>307.45999999999998</v>
      </c>
      <c r="E2" s="7" t="s">
        <v>43</v>
      </c>
    </row>
    <row r="3" spans="1:5" x14ac:dyDescent="0.25">
      <c r="A3" s="8">
        <v>42856</v>
      </c>
      <c r="B3" s="9" t="s">
        <v>52</v>
      </c>
      <c r="C3" s="9" t="s">
        <v>51</v>
      </c>
      <c r="D3" s="10">
        <v>150.53</v>
      </c>
      <c r="E3" s="11" t="s">
        <v>43</v>
      </c>
    </row>
    <row r="4" spans="1:5" x14ac:dyDescent="0.25">
      <c r="A4" s="4">
        <v>42856</v>
      </c>
      <c r="B4" s="5" t="s">
        <v>53</v>
      </c>
      <c r="C4" s="5" t="s">
        <v>51</v>
      </c>
      <c r="D4" s="6">
        <v>113.07</v>
      </c>
      <c r="E4" s="7" t="s">
        <v>43</v>
      </c>
    </row>
    <row r="5" spans="1:5" x14ac:dyDescent="0.25">
      <c r="A5" s="8">
        <v>42860</v>
      </c>
      <c r="B5" s="9" t="s">
        <v>54</v>
      </c>
      <c r="C5" s="9" t="s">
        <v>51</v>
      </c>
      <c r="D5" s="10">
        <v>67.83</v>
      </c>
      <c r="E5" s="11" t="s">
        <v>43</v>
      </c>
    </row>
    <row r="6" spans="1:5" x14ac:dyDescent="0.25">
      <c r="A6" s="4">
        <v>42887</v>
      </c>
      <c r="B6" s="5" t="s">
        <v>50</v>
      </c>
      <c r="C6" s="5" t="s">
        <v>51</v>
      </c>
      <c r="D6" s="6">
        <v>344.42</v>
      </c>
      <c r="E6" s="7" t="s">
        <v>43</v>
      </c>
    </row>
    <row r="7" spans="1:5" x14ac:dyDescent="0.25">
      <c r="A7" s="8">
        <v>42887</v>
      </c>
      <c r="B7" s="9" t="s">
        <v>52</v>
      </c>
      <c r="C7" s="9" t="s">
        <v>51</v>
      </c>
      <c r="D7" s="10">
        <v>172.47</v>
      </c>
      <c r="E7" s="11" t="s">
        <v>43</v>
      </c>
    </row>
    <row r="8" spans="1:5" x14ac:dyDescent="0.25">
      <c r="A8" s="4">
        <v>42887</v>
      </c>
      <c r="B8" s="5" t="s">
        <v>53</v>
      </c>
      <c r="C8" s="5" t="s">
        <v>51</v>
      </c>
      <c r="D8" s="6">
        <v>108.18</v>
      </c>
      <c r="E8" s="7" t="s">
        <v>43</v>
      </c>
    </row>
    <row r="9" spans="1:5" x14ac:dyDescent="0.25">
      <c r="A9" s="8">
        <v>42891</v>
      </c>
      <c r="B9" s="9" t="s">
        <v>54</v>
      </c>
      <c r="C9" s="9" t="s">
        <v>51</v>
      </c>
      <c r="D9" s="10">
        <v>47.86</v>
      </c>
      <c r="E9" s="11" t="s">
        <v>43</v>
      </c>
    </row>
    <row r="10" spans="1:5" x14ac:dyDescent="0.25">
      <c r="A10" s="4">
        <v>42917</v>
      </c>
      <c r="B10" s="5" t="s">
        <v>50</v>
      </c>
      <c r="C10" s="5" t="s">
        <v>51</v>
      </c>
      <c r="D10" s="6">
        <v>597.23</v>
      </c>
      <c r="E10" s="7" t="s">
        <v>43</v>
      </c>
    </row>
    <row r="11" spans="1:5" x14ac:dyDescent="0.25">
      <c r="A11" s="8">
        <v>42917</v>
      </c>
      <c r="B11" s="9" t="s">
        <v>53</v>
      </c>
      <c r="C11" s="9" t="s">
        <v>51</v>
      </c>
      <c r="D11" s="10">
        <v>126.81</v>
      </c>
      <c r="E11" s="11" t="s">
        <v>43</v>
      </c>
    </row>
    <row r="12" spans="1:5" x14ac:dyDescent="0.25">
      <c r="A12" s="4">
        <v>42917</v>
      </c>
      <c r="B12" s="5" t="s">
        <v>52</v>
      </c>
      <c r="C12" s="5" t="s">
        <v>51</v>
      </c>
      <c r="D12" s="6">
        <v>111.4</v>
      </c>
      <c r="E12" s="7" t="s">
        <v>43</v>
      </c>
    </row>
    <row r="13" spans="1:5" x14ac:dyDescent="0.25">
      <c r="A13" s="8">
        <v>42921</v>
      </c>
      <c r="B13" s="9" t="s">
        <v>54</v>
      </c>
      <c r="C13" s="9" t="s">
        <v>51</v>
      </c>
      <c r="D13" s="10">
        <v>49.18</v>
      </c>
      <c r="E13" s="11" t="s">
        <v>43</v>
      </c>
    </row>
    <row r="14" spans="1:5" x14ac:dyDescent="0.25">
      <c r="A14" s="4">
        <v>42927</v>
      </c>
      <c r="B14" s="5" t="s">
        <v>55</v>
      </c>
      <c r="C14" s="5" t="s">
        <v>51</v>
      </c>
      <c r="D14" s="6">
        <v>89.43</v>
      </c>
      <c r="E14" s="7" t="s">
        <v>43</v>
      </c>
    </row>
    <row r="15" spans="1:5" x14ac:dyDescent="0.25">
      <c r="A15" s="8">
        <v>42948</v>
      </c>
      <c r="B15" s="9" t="s">
        <v>50</v>
      </c>
      <c r="C15" s="9" t="s">
        <v>51</v>
      </c>
      <c r="D15" s="10">
        <v>566.47</v>
      </c>
      <c r="E15" s="11" t="s">
        <v>43</v>
      </c>
    </row>
    <row r="16" spans="1:5" x14ac:dyDescent="0.25">
      <c r="A16" s="4">
        <v>42948</v>
      </c>
      <c r="B16" s="5" t="s">
        <v>53</v>
      </c>
      <c r="C16" s="5" t="s">
        <v>51</v>
      </c>
      <c r="D16" s="6">
        <v>157.93</v>
      </c>
      <c r="E16" s="7" t="s">
        <v>43</v>
      </c>
    </row>
    <row r="17" spans="1:5" x14ac:dyDescent="0.25">
      <c r="A17" s="8">
        <v>42948</v>
      </c>
      <c r="B17" s="9" t="s">
        <v>52</v>
      </c>
      <c r="C17" s="9" t="s">
        <v>51</v>
      </c>
      <c r="D17" s="10">
        <v>128.77000000000001</v>
      </c>
      <c r="E17" s="11" t="s">
        <v>43</v>
      </c>
    </row>
    <row r="18" spans="1:5" x14ac:dyDescent="0.25">
      <c r="A18" s="4">
        <v>42952</v>
      </c>
      <c r="B18" s="5" t="s">
        <v>54</v>
      </c>
      <c r="C18" s="5" t="s">
        <v>51</v>
      </c>
      <c r="D18" s="6">
        <v>47.86</v>
      </c>
      <c r="E18" s="7" t="s">
        <v>43</v>
      </c>
    </row>
    <row r="19" spans="1:5" x14ac:dyDescent="0.25">
      <c r="A19" s="8">
        <v>42958</v>
      </c>
      <c r="B19" s="9" t="s">
        <v>55</v>
      </c>
      <c r="C19" s="9" t="s">
        <v>51</v>
      </c>
      <c r="D19" s="10">
        <v>149.71</v>
      </c>
      <c r="E19" s="11" t="s">
        <v>43</v>
      </c>
    </row>
    <row r="20" spans="1:5" x14ac:dyDescent="0.25">
      <c r="A20" s="4">
        <v>42979</v>
      </c>
      <c r="B20" s="5" t="s">
        <v>50</v>
      </c>
      <c r="C20" s="5" t="s">
        <v>51</v>
      </c>
      <c r="D20" s="6">
        <v>678.1</v>
      </c>
      <c r="E20" s="7" t="s">
        <v>43</v>
      </c>
    </row>
    <row r="21" spans="1:5" x14ac:dyDescent="0.25">
      <c r="A21" s="8">
        <v>42979</v>
      </c>
      <c r="B21" s="9" t="s">
        <v>52</v>
      </c>
      <c r="C21" s="9" t="s">
        <v>51</v>
      </c>
      <c r="D21" s="10">
        <v>190.8</v>
      </c>
      <c r="E21" s="11" t="s">
        <v>43</v>
      </c>
    </row>
    <row r="22" spans="1:5" x14ac:dyDescent="0.25">
      <c r="A22" s="4">
        <v>42979</v>
      </c>
      <c r="B22" s="5" t="s">
        <v>53</v>
      </c>
      <c r="C22" s="5" t="s">
        <v>51</v>
      </c>
      <c r="D22" s="6">
        <v>188</v>
      </c>
      <c r="E22" s="7" t="s">
        <v>43</v>
      </c>
    </row>
    <row r="23" spans="1:5" x14ac:dyDescent="0.25">
      <c r="A23" s="8">
        <v>42983</v>
      </c>
      <c r="B23" s="9" t="s">
        <v>54</v>
      </c>
      <c r="C23" s="9" t="s">
        <v>51</v>
      </c>
      <c r="D23" s="10">
        <v>47.86</v>
      </c>
      <c r="E23" s="11" t="s">
        <v>43</v>
      </c>
    </row>
    <row r="24" spans="1:5" x14ac:dyDescent="0.25">
      <c r="A24" s="4">
        <v>42989</v>
      </c>
      <c r="B24" s="5" t="s">
        <v>55</v>
      </c>
      <c r="C24" s="5" t="s">
        <v>51</v>
      </c>
      <c r="D24" s="6">
        <v>203.56</v>
      </c>
      <c r="E24" s="7" t="s">
        <v>43</v>
      </c>
    </row>
    <row r="25" spans="1:5" x14ac:dyDescent="0.25">
      <c r="A25" s="8">
        <v>43009</v>
      </c>
      <c r="B25" s="9" t="s">
        <v>50</v>
      </c>
      <c r="C25" s="9" t="s">
        <v>51</v>
      </c>
      <c r="D25" s="10">
        <v>540.13</v>
      </c>
      <c r="E25" s="11" t="s">
        <v>44</v>
      </c>
    </row>
    <row r="26" spans="1:5" x14ac:dyDescent="0.25">
      <c r="A26" s="4">
        <v>43009</v>
      </c>
      <c r="B26" s="5" t="s">
        <v>52</v>
      </c>
      <c r="C26" s="5" t="s">
        <v>51</v>
      </c>
      <c r="D26" s="6">
        <v>203.81</v>
      </c>
      <c r="E26" s="7" t="s">
        <v>43</v>
      </c>
    </row>
    <row r="27" spans="1:5" x14ac:dyDescent="0.25">
      <c r="A27" s="8">
        <v>43009</v>
      </c>
      <c r="B27" s="9" t="s">
        <v>53</v>
      </c>
      <c r="C27" s="9" t="s">
        <v>51</v>
      </c>
      <c r="D27" s="10">
        <v>79.650000000000006</v>
      </c>
      <c r="E27" s="11" t="s">
        <v>43</v>
      </c>
    </row>
    <row r="28" spans="1:5" x14ac:dyDescent="0.25">
      <c r="A28" s="4">
        <v>43013</v>
      </c>
      <c r="B28" s="5" t="s">
        <v>54</v>
      </c>
      <c r="C28" s="5" t="s">
        <v>51</v>
      </c>
      <c r="D28" s="6">
        <v>47.86</v>
      </c>
      <c r="E28" s="7" t="s">
        <v>43</v>
      </c>
    </row>
    <row r="29" spans="1:5" x14ac:dyDescent="0.25">
      <c r="A29" s="8">
        <v>43019</v>
      </c>
      <c r="B29" s="9" t="s">
        <v>55</v>
      </c>
      <c r="C29" s="9" t="s">
        <v>51</v>
      </c>
      <c r="D29" s="10">
        <v>236.76</v>
      </c>
      <c r="E29" s="11" t="s">
        <v>44</v>
      </c>
    </row>
    <row r="30" spans="1:5" x14ac:dyDescent="0.25">
      <c r="A30" s="4">
        <v>43040</v>
      </c>
      <c r="B30" s="5" t="s">
        <v>50</v>
      </c>
      <c r="C30" s="5" t="s">
        <v>51</v>
      </c>
      <c r="D30" s="6">
        <v>339.93</v>
      </c>
      <c r="E30" s="7" t="s">
        <v>44</v>
      </c>
    </row>
    <row r="31" spans="1:5" x14ac:dyDescent="0.25">
      <c r="A31" s="8">
        <v>43040</v>
      </c>
      <c r="B31" s="9" t="s">
        <v>52</v>
      </c>
      <c r="C31" s="9" t="s">
        <v>51</v>
      </c>
      <c r="D31" s="10">
        <v>154</v>
      </c>
      <c r="E31" s="11" t="s">
        <v>44</v>
      </c>
    </row>
    <row r="32" spans="1:5" x14ac:dyDescent="0.25">
      <c r="A32" s="4">
        <v>43040</v>
      </c>
      <c r="B32" s="5" t="s">
        <v>53</v>
      </c>
      <c r="C32" s="5" t="s">
        <v>51</v>
      </c>
      <c r="D32" s="6">
        <v>278.39999999999998</v>
      </c>
      <c r="E32" s="7" t="s">
        <v>44</v>
      </c>
    </row>
    <row r="33" spans="1:5" x14ac:dyDescent="0.25">
      <c r="A33" s="8">
        <v>43044</v>
      </c>
      <c r="B33" s="9" t="s">
        <v>54</v>
      </c>
      <c r="C33" s="9" t="s">
        <v>51</v>
      </c>
      <c r="D33" s="10">
        <v>47.86</v>
      </c>
      <c r="E33" s="11" t="s">
        <v>44</v>
      </c>
    </row>
    <row r="34" spans="1:5" x14ac:dyDescent="0.25">
      <c r="A34" s="4">
        <v>43050</v>
      </c>
      <c r="B34" s="5" t="s">
        <v>55</v>
      </c>
      <c r="C34" s="5" t="s">
        <v>51</v>
      </c>
      <c r="D34" s="6">
        <v>79.09</v>
      </c>
      <c r="E34" s="7" t="s">
        <v>44</v>
      </c>
    </row>
    <row r="35" spans="1:5" x14ac:dyDescent="0.25">
      <c r="A35" s="8">
        <v>43070</v>
      </c>
      <c r="B35" s="9" t="s">
        <v>50</v>
      </c>
      <c r="C35" s="9" t="s">
        <v>51</v>
      </c>
      <c r="D35" s="10">
        <v>302.99</v>
      </c>
      <c r="E35" s="11" t="s">
        <v>44</v>
      </c>
    </row>
    <row r="36" spans="1:5" x14ac:dyDescent="0.25">
      <c r="A36" s="4">
        <v>43070</v>
      </c>
      <c r="B36" s="5" t="s">
        <v>52</v>
      </c>
      <c r="C36" s="5" t="s">
        <v>51</v>
      </c>
      <c r="D36" s="6">
        <v>123.75</v>
      </c>
      <c r="E36" s="7" t="s">
        <v>44</v>
      </c>
    </row>
    <row r="37" spans="1:5" x14ac:dyDescent="0.25">
      <c r="A37" s="8">
        <v>43080</v>
      </c>
      <c r="B37" s="9" t="s">
        <v>55</v>
      </c>
      <c r="C37" s="9" t="s">
        <v>51</v>
      </c>
      <c r="D37" s="10">
        <v>36.04</v>
      </c>
      <c r="E37" s="11" t="s">
        <v>44</v>
      </c>
    </row>
    <row r="38" spans="1:5" x14ac:dyDescent="0.25">
      <c r="A38" s="4">
        <v>43101</v>
      </c>
      <c r="B38" s="5" t="s">
        <v>50</v>
      </c>
      <c r="C38" s="5" t="s">
        <v>51</v>
      </c>
      <c r="D38" s="6">
        <v>302.99</v>
      </c>
      <c r="E38" s="7" t="s">
        <v>44</v>
      </c>
    </row>
    <row r="39" spans="1:5" x14ac:dyDescent="0.25">
      <c r="A39" s="8">
        <v>43101</v>
      </c>
      <c r="B39" s="9" t="s">
        <v>52</v>
      </c>
      <c r="C39" s="9" t="s">
        <v>51</v>
      </c>
      <c r="D39" s="10">
        <v>123.75</v>
      </c>
      <c r="E39" s="11" t="s">
        <v>44</v>
      </c>
    </row>
    <row r="40" spans="1:5" x14ac:dyDescent="0.25">
      <c r="A40" s="4">
        <v>43132</v>
      </c>
      <c r="B40" s="5" t="s">
        <v>50</v>
      </c>
      <c r="C40" s="5" t="s">
        <v>51</v>
      </c>
      <c r="D40" s="6">
        <v>57.319999999999993</v>
      </c>
      <c r="E40" s="7" t="s">
        <v>44</v>
      </c>
    </row>
    <row r="41" spans="1:5" x14ac:dyDescent="0.25">
      <c r="A41" s="8">
        <v>43132</v>
      </c>
      <c r="B41" s="9" t="s">
        <v>52</v>
      </c>
      <c r="C41" s="9" t="s">
        <v>51</v>
      </c>
      <c r="D41" s="10">
        <v>123.75</v>
      </c>
      <c r="E41" s="11" t="s">
        <v>44</v>
      </c>
    </row>
    <row r="42" spans="1:5" x14ac:dyDescent="0.25">
      <c r="A42" s="4">
        <v>43160</v>
      </c>
      <c r="B42" s="5" t="s">
        <v>50</v>
      </c>
      <c r="C42" s="5" t="s">
        <v>51</v>
      </c>
      <c r="D42" s="6">
        <v>57.319999999999993</v>
      </c>
      <c r="E42" s="7" t="s">
        <v>44</v>
      </c>
    </row>
    <row r="43" spans="1:5" x14ac:dyDescent="0.25">
      <c r="A43" s="8">
        <v>43160</v>
      </c>
      <c r="B43" s="9" t="s">
        <v>52</v>
      </c>
      <c r="C43" s="9" t="s">
        <v>51</v>
      </c>
      <c r="D43" s="10">
        <v>123.75</v>
      </c>
      <c r="E43" s="11" t="s">
        <v>44</v>
      </c>
    </row>
    <row r="44" spans="1:5" x14ac:dyDescent="0.25">
      <c r="A44" s="4">
        <v>43191</v>
      </c>
      <c r="B44" s="5" t="s">
        <v>50</v>
      </c>
      <c r="C44" s="5" t="s">
        <v>51</v>
      </c>
      <c r="D44" s="6">
        <v>57.319999999999993</v>
      </c>
      <c r="E44" s="7" t="s">
        <v>44</v>
      </c>
    </row>
    <row r="45" spans="1:5" x14ac:dyDescent="0.25">
      <c r="A45" s="8">
        <v>43191</v>
      </c>
      <c r="B45" s="9" t="s">
        <v>52</v>
      </c>
      <c r="C45" s="9" t="s">
        <v>51</v>
      </c>
      <c r="D45" s="10">
        <v>62.09</v>
      </c>
      <c r="E45" s="11" t="s">
        <v>44</v>
      </c>
    </row>
    <row r="46" spans="1:5" x14ac:dyDescent="0.25">
      <c r="A46" s="4">
        <v>43221</v>
      </c>
      <c r="B46" s="5" t="s">
        <v>52</v>
      </c>
      <c r="C46" s="5" t="s">
        <v>51</v>
      </c>
      <c r="D46" s="6">
        <v>62.09</v>
      </c>
      <c r="E46" s="7" t="s">
        <v>44</v>
      </c>
    </row>
    <row r="47" spans="1:5" x14ac:dyDescent="0.25">
      <c r="A47" s="8">
        <v>43059</v>
      </c>
      <c r="B47" s="9" t="s">
        <v>56</v>
      </c>
      <c r="C47" s="9" t="s">
        <v>51</v>
      </c>
      <c r="D47" s="10">
        <v>43.98</v>
      </c>
      <c r="E47" s="11" t="s">
        <v>44</v>
      </c>
    </row>
    <row r="48" spans="1:5" x14ac:dyDescent="0.25">
      <c r="A48" s="4">
        <v>43089</v>
      </c>
      <c r="B48" s="5" t="s">
        <v>56</v>
      </c>
      <c r="C48" s="5" t="s">
        <v>51</v>
      </c>
      <c r="D48" s="6">
        <v>43.98</v>
      </c>
      <c r="E48" s="7" t="s">
        <v>44</v>
      </c>
    </row>
    <row r="49" spans="1:5" x14ac:dyDescent="0.25">
      <c r="A49" s="8">
        <v>43120</v>
      </c>
      <c r="B49" s="9" t="s">
        <v>56</v>
      </c>
      <c r="C49" s="9" t="s">
        <v>51</v>
      </c>
      <c r="D49" s="10">
        <v>43.98</v>
      </c>
      <c r="E49" s="11" t="s">
        <v>44</v>
      </c>
    </row>
    <row r="50" spans="1:5" x14ac:dyDescent="0.25">
      <c r="A50" s="4">
        <v>43151</v>
      </c>
      <c r="B50" s="5" t="s">
        <v>56</v>
      </c>
      <c r="C50" s="5" t="s">
        <v>51</v>
      </c>
      <c r="D50" s="6">
        <v>43.98</v>
      </c>
      <c r="E50" s="7" t="s">
        <v>44</v>
      </c>
    </row>
    <row r="51" spans="1:5" x14ac:dyDescent="0.25">
      <c r="A51" s="8">
        <v>43179</v>
      </c>
      <c r="B51" s="9" t="s">
        <v>56</v>
      </c>
      <c r="C51" s="9" t="s">
        <v>51</v>
      </c>
      <c r="D51" s="10">
        <v>43.98</v>
      </c>
      <c r="E51" s="11" t="s">
        <v>44</v>
      </c>
    </row>
    <row r="52" spans="1:5" x14ac:dyDescent="0.25">
      <c r="A52" s="4">
        <v>43060</v>
      </c>
      <c r="B52" s="5" t="s">
        <v>57</v>
      </c>
      <c r="C52" s="5" t="s">
        <v>51</v>
      </c>
      <c r="D52" s="6">
        <v>56.65</v>
      </c>
      <c r="E52" s="7" t="s">
        <v>44</v>
      </c>
    </row>
    <row r="53" spans="1:5" x14ac:dyDescent="0.25">
      <c r="A53" s="8">
        <v>43090</v>
      </c>
      <c r="B53" s="9" t="s">
        <v>57</v>
      </c>
      <c r="C53" s="9" t="s">
        <v>51</v>
      </c>
      <c r="D53" s="10">
        <v>56.65</v>
      </c>
      <c r="E53" s="11" t="s">
        <v>44</v>
      </c>
    </row>
    <row r="54" spans="1:5" x14ac:dyDescent="0.25">
      <c r="A54" s="4">
        <v>43121</v>
      </c>
      <c r="B54" s="5" t="s">
        <v>57</v>
      </c>
      <c r="C54" s="5" t="s">
        <v>51</v>
      </c>
      <c r="D54" s="6">
        <v>56.65</v>
      </c>
      <c r="E54" s="7" t="s">
        <v>44</v>
      </c>
    </row>
    <row r="55" spans="1:5" x14ac:dyDescent="0.25">
      <c r="A55" s="8">
        <v>43152</v>
      </c>
      <c r="B55" s="9" t="s">
        <v>57</v>
      </c>
      <c r="C55" s="9" t="s">
        <v>51</v>
      </c>
      <c r="D55" s="10">
        <v>56.65</v>
      </c>
      <c r="E55" s="11" t="s">
        <v>44</v>
      </c>
    </row>
    <row r="56" spans="1:5" x14ac:dyDescent="0.25">
      <c r="A56" s="4">
        <v>43180</v>
      </c>
      <c r="B56" s="5" t="s">
        <v>57</v>
      </c>
      <c r="C56" s="5" t="s">
        <v>51</v>
      </c>
      <c r="D56" s="6">
        <v>56.65</v>
      </c>
      <c r="E56" s="7" t="s">
        <v>44</v>
      </c>
    </row>
    <row r="57" spans="1:5" x14ac:dyDescent="0.25">
      <c r="A57" s="8">
        <v>43211</v>
      </c>
      <c r="B57" s="9" t="s">
        <v>57</v>
      </c>
      <c r="C57" s="9" t="s">
        <v>51</v>
      </c>
      <c r="D57" s="10">
        <v>56.65</v>
      </c>
      <c r="E57" s="11" t="s">
        <v>44</v>
      </c>
    </row>
    <row r="58" spans="1:5" x14ac:dyDescent="0.25">
      <c r="A58" s="4">
        <v>43070</v>
      </c>
      <c r="B58" s="5" t="s">
        <v>53</v>
      </c>
      <c r="C58" s="5" t="s">
        <v>51</v>
      </c>
      <c r="D58" s="6">
        <v>109.62</v>
      </c>
      <c r="E58" s="7" t="s">
        <v>44</v>
      </c>
    </row>
    <row r="59" spans="1:5" x14ac:dyDescent="0.25">
      <c r="A59" s="8">
        <v>43101</v>
      </c>
      <c r="B59" s="9" t="s">
        <v>53</v>
      </c>
      <c r="C59" s="9" t="s">
        <v>51</v>
      </c>
      <c r="D59" s="10">
        <v>109.62</v>
      </c>
      <c r="E59" s="11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Comparativo">
    <tabColor theme="2" tint="-0.89999084444715716"/>
  </sheetPr>
  <dimension ref="A1:C2"/>
  <sheetViews>
    <sheetView showGridLines="0" workbookViewId="0">
      <selection activeCell="F5" sqref="F5"/>
    </sheetView>
  </sheetViews>
  <sheetFormatPr defaultRowHeight="15" x14ac:dyDescent="0.25"/>
  <cols>
    <col min="1" max="1" width="12" customWidth="1"/>
    <col min="2" max="2" width="14.42578125" customWidth="1"/>
    <col min="3" max="3" width="17.5703125" customWidth="1"/>
  </cols>
  <sheetData>
    <row r="1" spans="1:3" x14ac:dyDescent="0.25">
      <c r="A1" t="s">
        <v>66</v>
      </c>
      <c r="B1" t="s">
        <v>2</v>
      </c>
      <c r="C1" t="s">
        <v>77</v>
      </c>
    </row>
    <row r="2" spans="1:3" x14ac:dyDescent="0.25">
      <c r="A2" s="4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PedidosAux">
    <tabColor theme="2" tint="-0.89999084444715716"/>
  </sheetPr>
  <dimension ref="A1:F5"/>
  <sheetViews>
    <sheetView showGridLines="0" workbookViewId="0">
      <selection activeCell="F5" sqref="F5"/>
    </sheetView>
  </sheetViews>
  <sheetFormatPr defaultRowHeight="15" x14ac:dyDescent="0.25"/>
  <cols>
    <col min="1" max="1" width="13.7109375" bestFit="1" customWidth="1"/>
    <col min="2" max="2" width="16.7109375" bestFit="1" customWidth="1"/>
    <col min="3" max="3" width="12.28515625" bestFit="1" customWidth="1"/>
    <col min="4" max="4" width="17.42578125" bestFit="1" customWidth="1"/>
    <col min="5" max="5" width="13.7109375" bestFit="1" customWidth="1"/>
    <col min="6" max="6" width="10" bestFit="1" customWidth="1"/>
  </cols>
  <sheetData>
    <row r="1" spans="1:6" x14ac:dyDescent="0.25">
      <c r="A1" s="22" t="s">
        <v>23</v>
      </c>
      <c r="B1" s="22" t="s">
        <v>39</v>
      </c>
      <c r="C1" s="22" t="s">
        <v>40</v>
      </c>
      <c r="D1" s="22" t="s">
        <v>74</v>
      </c>
      <c r="E1" s="22" t="s">
        <v>75</v>
      </c>
      <c r="F1" s="22" t="s">
        <v>42</v>
      </c>
    </row>
    <row r="2" spans="1:6" x14ac:dyDescent="0.25">
      <c r="A2" s="40">
        <f>IF(NOT(ISNUMBER(A1)),1,IF(fPedidosAux[[#This Row],[Data Entrada]]=B1,A1,A1+1))</f>
        <v>1</v>
      </c>
      <c r="B2" s="21">
        <v>43225</v>
      </c>
      <c r="C2" s="22">
        <v>8</v>
      </c>
      <c r="D2" s="22">
        <v>1</v>
      </c>
      <c r="E2" s="39">
        <v>1.1000000000000001</v>
      </c>
      <c r="F2" s="39">
        <f>PRODUCT(fPedidosAux[[#This Row],[ValorUN.]],fPedidosAux[[#This Row],[Entrada]])</f>
        <v>8.8000000000000007</v>
      </c>
    </row>
    <row r="3" spans="1:6" x14ac:dyDescent="0.25">
      <c r="A3" s="40">
        <f>IF(NOT(ISNUMBER(A2)),1,IF(fPedidosAux[[#This Row],[Data Entrada]]=B2,A2,A2+1))</f>
        <v>1</v>
      </c>
      <c r="B3" s="21">
        <v>43225</v>
      </c>
      <c r="C3" s="22">
        <v>8</v>
      </c>
      <c r="D3" s="22">
        <v>2</v>
      </c>
      <c r="E3" s="39">
        <v>1.1000000000000001</v>
      </c>
      <c r="F3" s="39">
        <f>PRODUCT(fPedidosAux[[#This Row],[ValorUN.]],fPedidosAux[[#This Row],[Entrada]])</f>
        <v>8.8000000000000007</v>
      </c>
    </row>
    <row r="4" spans="1:6" x14ac:dyDescent="0.25">
      <c r="A4" s="40">
        <f>IF(NOT(ISNUMBER(A3)),1,IF(fPedidosAux[[#This Row],[Data Entrada]]=B3,A3,A3+1))</f>
        <v>1</v>
      </c>
      <c r="B4" s="21">
        <v>43225</v>
      </c>
      <c r="C4" s="22">
        <v>8</v>
      </c>
      <c r="D4" s="22">
        <v>3</v>
      </c>
      <c r="E4" s="39">
        <v>1.1000000000000001</v>
      </c>
      <c r="F4" s="39">
        <f>PRODUCT(fPedidosAux[[#This Row],[ValorUN.]],fPedidosAux[[#This Row],[Entrada]])</f>
        <v>8.8000000000000007</v>
      </c>
    </row>
    <row r="5" spans="1:6" x14ac:dyDescent="0.25">
      <c r="A5" s="40">
        <f>IF(NOT(ISNUMBER(A4)),1,IF(fPedidosAux[[#This Row],[Data Entrada]]=B4,A4,A4+1))</f>
        <v>1</v>
      </c>
      <c r="B5" s="21">
        <v>43225</v>
      </c>
      <c r="C5" s="22">
        <v>8</v>
      </c>
      <c r="D5" s="22">
        <v>4</v>
      </c>
      <c r="E5" s="39">
        <v>1.1000000000000001</v>
      </c>
      <c r="F5" s="39">
        <f>PRODUCT(fPedidosAux[[#This Row],[ValorUN.]],fPedidosAux[[#This Row],[Entrada]])</f>
        <v>8.8000000000000007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LancamentosAux">
    <tabColor theme="2" tint="-0.89999084444715716"/>
  </sheetPr>
  <dimension ref="A1:E2"/>
  <sheetViews>
    <sheetView showGridLines="0" workbookViewId="0">
      <selection activeCell="F5" sqref="F5"/>
    </sheetView>
  </sheetViews>
  <sheetFormatPr defaultRowHeight="15" x14ac:dyDescent="0.25"/>
  <cols>
    <col min="1" max="1" width="7.42578125" bestFit="1" customWidth="1"/>
    <col min="2" max="2" width="10.7109375" bestFit="1" customWidth="1"/>
    <col min="3" max="3" width="14.5703125" bestFit="1" customWidth="1"/>
    <col min="4" max="4" width="13.7109375" bestFit="1" customWidth="1"/>
    <col min="5" max="5" width="16" bestFit="1" customWidth="1"/>
  </cols>
  <sheetData>
    <row r="1" spans="1:5" x14ac:dyDescent="0.25">
      <c r="A1" s="1" t="s">
        <v>0</v>
      </c>
      <c r="B1" s="1" t="s">
        <v>66</v>
      </c>
      <c r="C1" s="1" t="s">
        <v>67</v>
      </c>
      <c r="D1" s="1" t="s">
        <v>76</v>
      </c>
      <c r="E1" s="1" t="s">
        <v>68</v>
      </c>
    </row>
    <row r="2" spans="1:5" x14ac:dyDescent="0.25">
      <c r="A2" s="1">
        <f>ROW()-1</f>
        <v>1</v>
      </c>
      <c r="B2" s="1"/>
      <c r="C2" s="1"/>
      <c r="D2" s="1"/>
      <c r="E2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poio">
    <tabColor theme="2" tint="-0.89999084444715716"/>
  </sheetPr>
  <dimension ref="A1:O11"/>
  <sheetViews>
    <sheetView showGridLines="0" workbookViewId="0">
      <selection activeCell="F6" sqref="F6"/>
    </sheetView>
  </sheetViews>
  <sheetFormatPr defaultRowHeight="15" x14ac:dyDescent="0.25"/>
  <cols>
    <col min="1" max="1" width="14.7109375" bestFit="1" customWidth="1"/>
    <col min="2" max="2" width="12.5703125" bestFit="1" customWidth="1"/>
    <col min="3" max="3" width="2.42578125" customWidth="1"/>
    <col min="4" max="4" width="15.140625" customWidth="1"/>
    <col min="5" max="5" width="16.42578125" bestFit="1" customWidth="1"/>
    <col min="6" max="6" width="15.140625" customWidth="1"/>
    <col min="7" max="7" width="2.42578125" customWidth="1"/>
    <col min="8" max="8" width="13.85546875" bestFit="1" customWidth="1"/>
    <col min="9" max="9" width="16.42578125" bestFit="1" customWidth="1"/>
    <col min="10" max="10" width="2.42578125" customWidth="1"/>
    <col min="11" max="11" width="11.7109375" bestFit="1" customWidth="1"/>
    <col min="12" max="12" width="14.28515625" customWidth="1"/>
    <col min="13" max="13" width="2.42578125" customWidth="1"/>
    <col min="14" max="14" width="12" customWidth="1"/>
    <col min="15" max="15" width="17.42578125" bestFit="1" customWidth="1"/>
  </cols>
  <sheetData>
    <row r="1" spans="1:15" ht="16.5" thickBot="1" x14ac:dyDescent="0.3">
      <c r="A1" s="20" t="s">
        <v>58</v>
      </c>
      <c r="C1" s="26"/>
      <c r="D1" s="20" t="s">
        <v>59</v>
      </c>
      <c r="E1" s="20"/>
      <c r="G1" s="26"/>
      <c r="H1" s="20" t="s">
        <v>60</v>
      </c>
      <c r="J1" s="26"/>
      <c r="K1" s="20" t="s">
        <v>61</v>
      </c>
      <c r="M1" s="26"/>
      <c r="N1" s="20" t="s">
        <v>69</v>
      </c>
    </row>
    <row r="2" spans="1:15" x14ac:dyDescent="0.25">
      <c r="C2" s="26"/>
      <c r="G2" s="26"/>
      <c r="J2" s="26"/>
      <c r="M2" s="26"/>
    </row>
    <row r="3" spans="1:15" x14ac:dyDescent="0.25">
      <c r="A3" s="27" t="s">
        <v>0</v>
      </c>
      <c r="B3" s="27" t="s">
        <v>4</v>
      </c>
      <c r="C3" s="26"/>
      <c r="D3" s="27" t="s">
        <v>0</v>
      </c>
      <c r="E3" s="27" t="s">
        <v>62</v>
      </c>
      <c r="F3" s="27" t="s">
        <v>63</v>
      </c>
      <c r="G3" s="26"/>
      <c r="H3" s="33" t="s">
        <v>0</v>
      </c>
      <c r="I3" s="33" t="s">
        <v>4</v>
      </c>
      <c r="J3" s="26"/>
      <c r="K3" s="33" t="s">
        <v>0</v>
      </c>
      <c r="L3" s="33" t="s">
        <v>4</v>
      </c>
      <c r="M3" s="26"/>
      <c r="N3" s="22" t="s">
        <v>0</v>
      </c>
      <c r="O3" s="22" t="s">
        <v>4</v>
      </c>
    </row>
    <row r="4" spans="1:15" x14ac:dyDescent="0.25">
      <c r="A4" s="1">
        <v>1</v>
      </c>
      <c r="B4" s="1" t="s">
        <v>24</v>
      </c>
      <c r="C4" s="26"/>
      <c r="D4" s="1">
        <v>1</v>
      </c>
      <c r="E4" s="1" t="s">
        <v>25</v>
      </c>
      <c r="F4" s="25">
        <v>0</v>
      </c>
      <c r="G4" s="26"/>
      <c r="H4" s="22">
        <v>1</v>
      </c>
      <c r="I4" s="22" t="s">
        <v>35</v>
      </c>
      <c r="J4" s="26"/>
      <c r="K4" s="22">
        <v>1</v>
      </c>
      <c r="L4" s="36" t="s">
        <v>30</v>
      </c>
      <c r="M4" s="26"/>
      <c r="N4" s="22">
        <v>1</v>
      </c>
      <c r="O4" s="22" t="s">
        <v>70</v>
      </c>
    </row>
    <row r="5" spans="1:15" x14ac:dyDescent="0.25">
      <c r="A5" s="1">
        <v>2</v>
      </c>
      <c r="B5" s="1" t="s">
        <v>29</v>
      </c>
      <c r="C5" s="26"/>
      <c r="D5" s="1">
        <v>2</v>
      </c>
      <c r="E5" s="1" t="s">
        <v>37</v>
      </c>
      <c r="F5" s="25">
        <v>2.29E-2</v>
      </c>
      <c r="G5" s="26"/>
      <c r="H5" s="1">
        <v>2</v>
      </c>
      <c r="I5" s="22" t="s">
        <v>78</v>
      </c>
      <c r="J5" s="26"/>
      <c r="K5" s="22">
        <v>2</v>
      </c>
      <c r="L5" s="36" t="s">
        <v>31</v>
      </c>
      <c r="M5" s="26"/>
      <c r="N5" s="22">
        <v>2</v>
      </c>
      <c r="O5" s="22" t="s">
        <v>71</v>
      </c>
    </row>
    <row r="6" spans="1:15" x14ac:dyDescent="0.25">
      <c r="C6" s="26"/>
      <c r="D6" s="1">
        <v>3</v>
      </c>
      <c r="E6" s="1" t="s">
        <v>38</v>
      </c>
      <c r="F6" s="25">
        <v>4.8000000000000001E-2</v>
      </c>
      <c r="G6" s="26"/>
      <c r="H6" s="1">
        <v>3</v>
      </c>
      <c r="I6" s="22" t="s">
        <v>26</v>
      </c>
      <c r="J6" s="26"/>
      <c r="K6" s="22">
        <v>3</v>
      </c>
      <c r="L6" s="36" t="s">
        <v>36</v>
      </c>
      <c r="M6" s="26"/>
      <c r="N6" s="22">
        <v>3</v>
      </c>
      <c r="O6" s="22" t="s">
        <v>72</v>
      </c>
    </row>
    <row r="7" spans="1:15" x14ac:dyDescent="0.25">
      <c r="C7" s="26"/>
      <c r="G7" s="26"/>
      <c r="J7" s="26"/>
      <c r="K7" s="22">
        <v>4</v>
      </c>
      <c r="L7" s="36" t="s">
        <v>32</v>
      </c>
      <c r="M7" s="26"/>
      <c r="N7" s="22">
        <v>4</v>
      </c>
      <c r="O7" s="22" t="s">
        <v>73</v>
      </c>
    </row>
    <row r="8" spans="1:15" x14ac:dyDescent="0.25">
      <c r="A8" s="18"/>
      <c r="B8" s="18"/>
      <c r="C8" s="26"/>
      <c r="G8" s="26"/>
      <c r="J8" s="26"/>
      <c r="K8" s="22">
        <v>5</v>
      </c>
      <c r="L8" s="36" t="s">
        <v>33</v>
      </c>
      <c r="M8" s="26"/>
      <c r="N8" s="22"/>
      <c r="O8" s="22"/>
    </row>
    <row r="9" spans="1:15" x14ac:dyDescent="0.25">
      <c r="A9" s="18"/>
      <c r="B9" s="18"/>
      <c r="C9" s="26"/>
      <c r="G9" s="26"/>
      <c r="J9" s="26"/>
      <c r="K9" s="22">
        <v>6</v>
      </c>
      <c r="L9" s="37" t="s">
        <v>34</v>
      </c>
      <c r="M9" s="26"/>
      <c r="N9" s="22"/>
      <c r="O9" s="1"/>
    </row>
    <row r="10" spans="1:15" x14ac:dyDescent="0.25">
      <c r="C10" s="26"/>
      <c r="G10" s="26"/>
      <c r="J10" s="26"/>
      <c r="K10" s="1">
        <v>7</v>
      </c>
      <c r="L10" s="37" t="s">
        <v>65</v>
      </c>
      <c r="M10" s="26"/>
      <c r="N10" s="1"/>
      <c r="O10" s="38"/>
    </row>
    <row r="11" spans="1:15" x14ac:dyDescent="0.25">
      <c r="C11" s="26"/>
      <c r="G11" s="26"/>
      <c r="J11" s="26"/>
      <c r="K11" s="1">
        <v>8</v>
      </c>
      <c r="L11" s="37" t="s">
        <v>64</v>
      </c>
      <c r="M11" s="26"/>
      <c r="N11" s="1"/>
      <c r="O11" s="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Contagem">
    <tabColor theme="9" tint="-0.249977111117893"/>
  </sheetPr>
  <dimension ref="B1:J10"/>
  <sheetViews>
    <sheetView showGridLines="0" zoomScaleNormal="100" workbookViewId="0">
      <selection activeCell="B10" sqref="B10"/>
    </sheetView>
  </sheetViews>
  <sheetFormatPr defaultColWidth="9.140625" defaultRowHeight="15" x14ac:dyDescent="0.25"/>
  <cols>
    <col min="1" max="1" width="1.7109375" style="42" customWidth="1"/>
    <col min="2" max="2" width="21.140625" style="42" bestFit="1" customWidth="1"/>
    <col min="3" max="3" width="18.85546875" style="42" bestFit="1" customWidth="1"/>
    <col min="4" max="4" width="10.5703125" style="42" bestFit="1" customWidth="1"/>
    <col min="5" max="6" width="9.140625" style="42"/>
    <col min="7" max="7" width="12.140625" style="42" bestFit="1" customWidth="1"/>
    <col min="8" max="8" width="9.140625" style="42"/>
    <col min="9" max="9" width="12.140625" style="42" bestFit="1" customWidth="1"/>
    <col min="10" max="10" width="14.28515625" style="42" bestFit="1" customWidth="1"/>
    <col min="11" max="16384" width="9.140625" style="42"/>
  </cols>
  <sheetData>
    <row r="1" spans="2:10" ht="22.5" customHeight="1" thickBot="1" x14ac:dyDescent="0.3">
      <c r="B1" s="47" t="s">
        <v>87</v>
      </c>
      <c r="C1" s="43" t="s">
        <v>97</v>
      </c>
    </row>
    <row r="2" spans="2:10" ht="22.5" customHeight="1" thickTop="1" thickBot="1" x14ac:dyDescent="0.3">
      <c r="B2" s="47" t="s">
        <v>86</v>
      </c>
      <c r="C2" s="43">
        <f t="array" ref="C2">IFERROR(SUMPRODUCT(--(IF(tbContagem[IMPORTÂNCIA]&lt;2,"MOEDA","CÉDULA")=B2),tbContagem[IMPORTÂNCIA],tbContagem[QUANTIDADE]),0)</f>
        <v>0</v>
      </c>
    </row>
    <row r="3" spans="2:10" ht="22.5" customHeight="1" thickTop="1" thickBot="1" x14ac:dyDescent="0.3">
      <c r="B3" s="47" t="s">
        <v>85</v>
      </c>
      <c r="C3" s="43">
        <f t="array" ref="C3">IFERROR(SUMPRODUCT(0+(IF(tbContagem[IMPORTÂNCIA]&lt;2,"MOEDA","CÉDULA")=B3),tbContagem[IMPORTÂNCIA],tbContagem[QUANTIDADE]),0)</f>
        <v>0</v>
      </c>
    </row>
    <row r="4" spans="2:10" ht="22.5" customHeight="1" thickTop="1" thickBot="1" x14ac:dyDescent="0.3">
      <c r="B4" s="47" t="s">
        <v>84</v>
      </c>
      <c r="C4" s="43">
        <f>IFERROR(SUMPRODUCT(tbContagem[IMPORTÂNCIA],tbContagem[QUANTIDADE]),0)</f>
        <v>0</v>
      </c>
    </row>
    <row r="5" spans="2:10" ht="22.5" hidden="1" customHeight="1" thickTop="1" thickBot="1" x14ac:dyDescent="0.3">
      <c r="B5" s="47" t="s">
        <v>83</v>
      </c>
      <c r="C5" s="43">
        <v>0</v>
      </c>
    </row>
    <row r="6" spans="2:10" ht="22.5" hidden="1" customHeight="1" thickTop="1" thickBot="1" x14ac:dyDescent="0.3">
      <c r="B6" s="47" t="s">
        <v>82</v>
      </c>
      <c r="C6" s="43">
        <v>0</v>
      </c>
    </row>
    <row r="7" spans="2:10" ht="21" hidden="1" customHeight="1" thickTop="1" thickBot="1" x14ac:dyDescent="0.3">
      <c r="B7" s="47" t="s">
        <v>81</v>
      </c>
      <c r="C7" s="43">
        <f>_xlfn.IFS(C4=0,0,C1="CONTAGEM",C4,C1="VENDA",(C4-C5) +C6)</f>
        <v>0</v>
      </c>
      <c r="E7" s="54"/>
    </row>
    <row r="8" spans="2:10" ht="15.75" thickTop="1" x14ac:dyDescent="0.25">
      <c r="E8" s="54"/>
      <c r="G8" s="86"/>
    </row>
    <row r="9" spans="2:10" x14ac:dyDescent="0.25">
      <c r="B9" s="1" t="s">
        <v>80</v>
      </c>
      <c r="C9" s="1" t="s">
        <v>79</v>
      </c>
      <c r="D9" s="77" t="s">
        <v>84</v>
      </c>
    </row>
    <row r="10" spans="2:10" x14ac:dyDescent="0.25">
      <c r="B10" s="46"/>
      <c r="C10" s="1"/>
      <c r="D10" s="78"/>
      <c r="G10" s="76"/>
      <c r="I10" s="76"/>
      <c r="J10" s="76"/>
    </row>
  </sheetData>
  <dataValidations count="1">
    <dataValidation type="list" allowBlank="1" showInputMessage="1" showErrorMessage="1" sqref="C1" xr:uid="{00000000-0002-0000-0700-000000000000}">
      <formula1>"CONTAGEM,VENDA"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Fechamentos">
    <tabColor theme="9" tint="-0.249977111117893"/>
  </sheetPr>
  <dimension ref="A1:J34"/>
  <sheetViews>
    <sheetView showGridLines="0" topLeftCell="A10" workbookViewId="0">
      <selection activeCell="A30" sqref="A30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19.42578125" bestFit="1" customWidth="1"/>
    <col min="4" max="4" width="19.7109375" bestFit="1" customWidth="1"/>
    <col min="5" max="5" width="14.140625" bestFit="1" customWidth="1"/>
    <col min="6" max="6" width="15.7109375" customWidth="1"/>
    <col min="7" max="7" width="9.5703125" bestFit="1" customWidth="1"/>
    <col min="8" max="10" width="10.5703125" bestFit="1" customWidth="1"/>
  </cols>
  <sheetData>
    <row r="1" spans="1:10" x14ac:dyDescent="0.25">
      <c r="A1" s="48" t="s">
        <v>66</v>
      </c>
      <c r="B1" s="48" t="s">
        <v>91</v>
      </c>
      <c r="C1" s="48" t="s">
        <v>92</v>
      </c>
      <c r="D1" s="48" t="s">
        <v>89</v>
      </c>
      <c r="E1" s="51" t="s">
        <v>90</v>
      </c>
    </row>
    <row r="2" spans="1:10" x14ac:dyDescent="0.25">
      <c r="A2" s="49">
        <v>43252</v>
      </c>
      <c r="B2" s="50">
        <v>151.25</v>
      </c>
      <c r="C2" s="50">
        <v>156.80000000000001</v>
      </c>
      <c r="D2" s="50">
        <v>-5.5500000000000114</v>
      </c>
      <c r="E2" s="52">
        <f>IFERROR(-tbFechamentos[[#This Row],[R$ Quebra]]/tbFechamentos[[#This Row],[VendaEsperada]],0)</f>
        <v>3.5395408163265377E-2</v>
      </c>
    </row>
    <row r="3" spans="1:10" x14ac:dyDescent="0.25">
      <c r="A3" s="49">
        <v>43255</v>
      </c>
      <c r="B3" s="50">
        <v>191.3</v>
      </c>
      <c r="C3" s="50">
        <v>196.4</v>
      </c>
      <c r="D3" s="50">
        <v>-5.0999999999999943</v>
      </c>
      <c r="E3" s="52">
        <f>IFERROR(-tbFechamentos[[#This Row],[R$ Quebra]]/tbFechamentos[[#This Row],[VendaEsperada]],0)</f>
        <v>2.5967413441955165E-2</v>
      </c>
    </row>
    <row r="4" spans="1:10" x14ac:dyDescent="0.25">
      <c r="A4" s="49">
        <v>43256</v>
      </c>
      <c r="B4" s="50">
        <v>245.5</v>
      </c>
      <c r="C4" s="50">
        <v>251.2</v>
      </c>
      <c r="D4" s="50">
        <v>-5.6999999999999886</v>
      </c>
      <c r="E4" s="53">
        <f>IFERROR(-tbFechamentos[[#This Row],[R$ Quebra]]/tbFechamentos[[#This Row],[VendaEsperada]],0)</f>
        <v>2.2691082802547727E-2</v>
      </c>
    </row>
    <row r="5" spans="1:10" x14ac:dyDescent="0.25">
      <c r="A5" s="49">
        <v>43257</v>
      </c>
      <c r="B5" s="50">
        <v>251.55</v>
      </c>
      <c r="C5" s="50">
        <v>278</v>
      </c>
      <c r="D5" s="50">
        <v>-26.449999999999989</v>
      </c>
      <c r="E5" s="53">
        <f>IFERROR(-tbFechamentos[[#This Row],[R$ Quebra]]/tbFechamentos[[#This Row],[VendaEsperada]],0)</f>
        <v>9.5143884892086292E-2</v>
      </c>
    </row>
    <row r="6" spans="1:10" x14ac:dyDescent="0.25">
      <c r="A6" s="49">
        <v>43258</v>
      </c>
      <c r="B6" s="50">
        <v>248.6</v>
      </c>
      <c r="C6" s="50">
        <v>260.2</v>
      </c>
      <c r="D6" s="50">
        <v>-11.599999999999994</v>
      </c>
      <c r="E6" s="53">
        <f>IFERROR(-tbFechamentos[[#This Row],[R$ Quebra]]/tbFechamentos[[#This Row],[VendaEsperada]],0)</f>
        <v>4.4581091468101443E-2</v>
      </c>
    </row>
    <row r="7" spans="1:10" x14ac:dyDescent="0.25">
      <c r="A7" s="49">
        <v>43259</v>
      </c>
      <c r="B7" s="50">
        <v>306</v>
      </c>
      <c r="C7" s="50">
        <v>296</v>
      </c>
      <c r="D7" s="50">
        <v>10</v>
      </c>
      <c r="E7" s="53">
        <f>IFERROR(-tbFechamentos[[#This Row],[R$ Quebra]]/tbFechamentos[[#This Row],[VendaEsperada]],0)</f>
        <v>-3.3783783783783786E-2</v>
      </c>
    </row>
    <row r="8" spans="1:10" x14ac:dyDescent="0.25">
      <c r="A8" s="49">
        <v>43262</v>
      </c>
      <c r="B8" s="50">
        <v>192.2</v>
      </c>
      <c r="C8" s="50">
        <v>218.6</v>
      </c>
      <c r="D8" s="50">
        <v>-26.400000000000006</v>
      </c>
      <c r="E8" s="53">
        <f>IFERROR(-tbFechamentos[[#This Row],[R$ Quebra]]/tbFechamentos[[#This Row],[VendaEsperada]],0)</f>
        <v>0.12076852698993598</v>
      </c>
    </row>
    <row r="9" spans="1:10" x14ac:dyDescent="0.25">
      <c r="A9" s="49">
        <v>43263</v>
      </c>
      <c r="B9" s="50">
        <v>183.4</v>
      </c>
      <c r="C9" s="50">
        <v>196.2</v>
      </c>
      <c r="D9" s="50">
        <v>-12.799999999999983</v>
      </c>
      <c r="E9" s="53">
        <f>IFERROR(-tbFechamentos[[#This Row],[R$ Quebra]]/tbFechamentos[[#This Row],[VendaEsperada]],0)</f>
        <v>6.523955147808351E-2</v>
      </c>
    </row>
    <row r="10" spans="1:10" x14ac:dyDescent="0.25">
      <c r="A10" s="49">
        <v>43264</v>
      </c>
      <c r="B10" s="50">
        <v>178.7</v>
      </c>
      <c r="C10" s="50">
        <v>196</v>
      </c>
      <c r="D10" s="50">
        <v>-17.300000000000011</v>
      </c>
      <c r="E10" s="53">
        <f>IFERROR(-tbFechamentos[[#This Row],[R$ Quebra]]/tbFechamentos[[#This Row],[VendaEsperada]],0)</f>
        <v>8.8265306122449039E-2</v>
      </c>
    </row>
    <row r="11" spans="1:10" x14ac:dyDescent="0.25">
      <c r="A11" s="49">
        <v>43265</v>
      </c>
      <c r="B11" s="50">
        <v>247</v>
      </c>
      <c r="C11" s="50">
        <v>277</v>
      </c>
      <c r="D11" s="50">
        <v>-30</v>
      </c>
      <c r="E11" s="53">
        <f>IFERROR(-tbFechamentos[[#This Row],[R$ Quebra]]/tbFechamentos[[#This Row],[VendaEsperada]],0)</f>
        <v>0.10830324909747292</v>
      </c>
      <c r="I11" s="44"/>
      <c r="J11" s="44"/>
    </row>
    <row r="12" spans="1:10" x14ac:dyDescent="0.25">
      <c r="A12" s="49">
        <v>43266</v>
      </c>
      <c r="B12" s="50">
        <v>213.75</v>
      </c>
      <c r="C12" s="50">
        <v>238.8</v>
      </c>
      <c r="D12" s="50">
        <v>-25.050000000000011</v>
      </c>
      <c r="E12" s="53">
        <f>IFERROR(-tbFechamentos[[#This Row],[R$ Quebra]]/tbFechamentos[[#This Row],[VendaEsperada]],0)</f>
        <v>0.10489949748743722</v>
      </c>
    </row>
    <row r="13" spans="1:10" x14ac:dyDescent="0.25">
      <c r="A13" s="49">
        <v>43269</v>
      </c>
      <c r="B13" s="50">
        <v>201.5</v>
      </c>
      <c r="C13" s="50">
        <v>217</v>
      </c>
      <c r="D13" s="50">
        <v>-15.5</v>
      </c>
      <c r="E13" s="53">
        <f>IFERROR(-tbFechamentos[[#This Row],[R$ Quebra]]/tbFechamentos[[#This Row],[VendaEsperada]],0)</f>
        <v>7.1428571428571425E-2</v>
      </c>
      <c r="G13" s="44"/>
    </row>
    <row r="14" spans="1:10" x14ac:dyDescent="0.25">
      <c r="A14" s="49">
        <v>43270</v>
      </c>
      <c r="B14" s="50">
        <v>264</v>
      </c>
      <c r="C14" s="50">
        <v>229</v>
      </c>
      <c r="D14" s="50">
        <v>35</v>
      </c>
      <c r="E14" s="53">
        <f>IFERROR(-tbFechamentos[[#This Row],[R$ Quebra]]/tbFechamentos[[#This Row],[VendaEsperada]],0)</f>
        <v>-0.15283842794759825</v>
      </c>
    </row>
    <row r="15" spans="1:10" x14ac:dyDescent="0.25">
      <c r="A15" s="49">
        <v>43271</v>
      </c>
      <c r="B15" s="50">
        <v>201.55</v>
      </c>
      <c r="C15" s="50">
        <v>199</v>
      </c>
      <c r="D15" s="50">
        <v>2.5500000000000114</v>
      </c>
      <c r="E15" s="53">
        <f>IFERROR(-tbFechamentos[[#This Row],[R$ Quebra]]/tbFechamentos[[#This Row],[VendaEsperada]],0)</f>
        <v>-1.2814070351758852E-2</v>
      </c>
    </row>
    <row r="16" spans="1:10" x14ac:dyDescent="0.25">
      <c r="A16" s="49">
        <v>43272</v>
      </c>
      <c r="B16" s="50">
        <v>238.85000000000002</v>
      </c>
      <c r="C16" s="50">
        <v>234</v>
      </c>
      <c r="D16" s="50">
        <v>4.8500000000000227</v>
      </c>
      <c r="E16" s="53">
        <f>IFERROR(-tbFechamentos[[#This Row],[R$ Quebra]]/tbFechamentos[[#This Row],[VendaEsperada]],0)</f>
        <v>-2.0726495726495823E-2</v>
      </c>
    </row>
    <row r="17" spans="1:10" x14ac:dyDescent="0.25">
      <c r="A17" s="49">
        <v>43273</v>
      </c>
      <c r="B17" s="50">
        <v>186</v>
      </c>
      <c r="C17" s="50">
        <v>178</v>
      </c>
      <c r="D17" s="50">
        <v>8</v>
      </c>
      <c r="E17" s="53">
        <f>IFERROR(-tbFechamentos[[#This Row],[R$ Quebra]]/tbFechamentos[[#This Row],[VendaEsperada]],0)</f>
        <v>-4.49438202247191E-2</v>
      </c>
    </row>
    <row r="18" spans="1:10" x14ac:dyDescent="0.25">
      <c r="A18" s="49">
        <v>43276</v>
      </c>
      <c r="B18" s="50">
        <v>157.94999999999999</v>
      </c>
      <c r="C18" s="50">
        <v>156</v>
      </c>
      <c r="D18" s="50">
        <v>1.9499999999999886</v>
      </c>
      <c r="E18" s="53">
        <f>IFERROR(-tbFechamentos[[#This Row],[R$ Quebra]]/tbFechamentos[[#This Row],[VendaEsperada]],0)</f>
        <v>-1.2499999999999928E-2</v>
      </c>
    </row>
    <row r="19" spans="1:10" x14ac:dyDescent="0.25">
      <c r="A19" s="49">
        <v>43277</v>
      </c>
      <c r="B19" s="50">
        <v>238.35000000000002</v>
      </c>
      <c r="C19" s="50">
        <v>238</v>
      </c>
      <c r="D19" s="50">
        <v>0.35000000000002274</v>
      </c>
      <c r="E19" s="53">
        <f>IFERROR(-tbFechamentos[[#This Row],[R$ Quebra]]/tbFechamentos[[#This Row],[VendaEsperada]],0)</f>
        <v>-1.4705882352942133E-3</v>
      </c>
      <c r="H19" s="44"/>
      <c r="I19" s="44"/>
      <c r="J19" s="44"/>
    </row>
    <row r="20" spans="1:10" x14ac:dyDescent="0.25">
      <c r="A20" s="49">
        <v>43279</v>
      </c>
      <c r="B20" s="50">
        <v>160.22</v>
      </c>
      <c r="C20" s="50">
        <v>162.69999999999999</v>
      </c>
      <c r="D20" s="50">
        <v>-2.4799999999999898</v>
      </c>
      <c r="E20" s="53">
        <f>IFERROR(-tbFechamentos[[#This Row],[R$ Quebra]]/tbFechamentos[[#This Row],[VendaEsperada]],0)</f>
        <v>1.5242778119237799E-2</v>
      </c>
    </row>
    <row r="21" spans="1:10" x14ac:dyDescent="0.25">
      <c r="A21" s="49">
        <v>43280</v>
      </c>
      <c r="B21" s="50">
        <v>233.5</v>
      </c>
      <c r="C21" s="50">
        <v>233</v>
      </c>
      <c r="D21" s="50">
        <v>0.5</v>
      </c>
      <c r="E21" s="53">
        <f>IFERROR(-tbFechamentos[[#This Row],[R$ Quebra]]/tbFechamentos[[#This Row],[VendaEsperada]],0)</f>
        <v>-2.1459227467811159E-3</v>
      </c>
    </row>
    <row r="22" spans="1:10" x14ac:dyDescent="0.25">
      <c r="A22" s="70">
        <v>43283</v>
      </c>
      <c r="B22" s="71">
        <v>135</v>
      </c>
      <c r="C22" s="71">
        <v>134</v>
      </c>
      <c r="D22" s="71">
        <v>1</v>
      </c>
      <c r="E22" s="72">
        <f>IFERROR(-tbFechamentos[[#This Row],[R$ Quebra]]/tbFechamentos[[#This Row],[VendaEsperada]],0)</f>
        <v>-7.462686567164179E-3</v>
      </c>
    </row>
    <row r="23" spans="1:10" x14ac:dyDescent="0.25">
      <c r="A23" s="70">
        <v>43284</v>
      </c>
      <c r="B23" s="71">
        <v>261</v>
      </c>
      <c r="C23" s="71">
        <v>255</v>
      </c>
      <c r="D23" s="71">
        <v>6</v>
      </c>
      <c r="E23" s="72">
        <f>IFERROR(-tbFechamentos[[#This Row],[R$ Quebra]]/tbFechamentos[[#This Row],[VendaEsperada]],0)</f>
        <v>-2.3529411764705882E-2</v>
      </c>
    </row>
    <row r="24" spans="1:10" x14ac:dyDescent="0.25">
      <c r="A24" s="70">
        <v>43285</v>
      </c>
      <c r="B24" s="71">
        <v>160.1</v>
      </c>
      <c r="C24" s="71">
        <v>156</v>
      </c>
      <c r="D24" s="71">
        <v>4.0999999999999943</v>
      </c>
      <c r="E24" s="72">
        <f>IFERROR(-tbFechamentos[[#This Row],[R$ Quebra]]/tbFechamentos[[#This Row],[VendaEsperada]],0)</f>
        <v>-2.6282051282051244E-2</v>
      </c>
    </row>
    <row r="25" spans="1:10" x14ac:dyDescent="0.25">
      <c r="A25" s="49">
        <v>43286</v>
      </c>
      <c r="B25" s="50">
        <v>206</v>
      </c>
      <c r="C25" s="50">
        <v>206</v>
      </c>
      <c r="D25" s="50">
        <v>0</v>
      </c>
      <c r="E25" s="53">
        <f>IFERROR(-tbFechamentos[[#This Row],[R$ Quebra]]/tbFechamentos[[#This Row],[VendaEsperada]],0)</f>
        <v>0</v>
      </c>
    </row>
    <row r="26" spans="1:10" x14ac:dyDescent="0.25">
      <c r="A26" s="49">
        <v>43291</v>
      </c>
      <c r="B26" s="50">
        <v>234</v>
      </c>
      <c r="C26" s="50">
        <v>234</v>
      </c>
      <c r="D26" s="50">
        <v>0</v>
      </c>
      <c r="E26" s="53">
        <f>IFERROR(-tbFechamentos[[#This Row],[R$ Quebra]]/tbFechamentos[[#This Row],[VendaEsperada]],0)</f>
        <v>0</v>
      </c>
    </row>
    <row r="27" spans="1:10" x14ac:dyDescent="0.25">
      <c r="A27" s="49">
        <v>43292</v>
      </c>
      <c r="B27" s="50">
        <v>292</v>
      </c>
      <c r="C27" s="50">
        <v>293</v>
      </c>
      <c r="D27" s="50">
        <v>-1</v>
      </c>
      <c r="E27" s="53">
        <f>IFERROR(-tbFechamentos[[#This Row],[R$ Quebra]]/tbFechamentos[[#This Row],[VendaEsperada]],0)</f>
        <v>3.4129692832764505E-3</v>
      </c>
    </row>
    <row r="28" spans="1:10" x14ac:dyDescent="0.25">
      <c r="A28" s="41">
        <v>43293</v>
      </c>
      <c r="B28" s="50">
        <v>197</v>
      </c>
      <c r="C28" s="50">
        <v>197</v>
      </c>
      <c r="D28" s="71">
        <v>0</v>
      </c>
      <c r="E28" s="72">
        <f>IFERROR(-tbFechamentos[[#This Row],[R$ Quebra]]/tbFechamentos[[#This Row],[VendaEsperada]],0)</f>
        <v>0</v>
      </c>
    </row>
    <row r="29" spans="1:10" x14ac:dyDescent="0.25">
      <c r="A29" s="70">
        <v>43294</v>
      </c>
      <c r="B29" s="71">
        <v>254</v>
      </c>
      <c r="C29" s="71">
        <v>254</v>
      </c>
      <c r="D29" s="71">
        <v>0</v>
      </c>
      <c r="E29" s="72">
        <f>IFERROR(-tbFechamentos[[#This Row],[R$ Quebra]]/tbFechamentos[[#This Row],[VendaEsperada]],0)</f>
        <v>0</v>
      </c>
    </row>
    <row r="30" spans="1:10" x14ac:dyDescent="0.25">
      <c r="A30" s="70">
        <v>43295</v>
      </c>
      <c r="B30" s="71">
        <v>190</v>
      </c>
      <c r="C30" s="71">
        <v>190</v>
      </c>
      <c r="D30" s="71">
        <v>0</v>
      </c>
      <c r="E30" s="72">
        <f>IFERROR(-tbFechamentos[[#This Row],[R$ Quebra]]/tbFechamentos[[#This Row],[VendaEsperada]],0)</f>
        <v>0</v>
      </c>
    </row>
    <row r="31" spans="1:10" x14ac:dyDescent="0.25">
      <c r="A31" s="49" t="s">
        <v>84</v>
      </c>
      <c r="B31" s="50"/>
      <c r="C31" s="50"/>
      <c r="D31" s="50">
        <f>SUBTOTAL(109,tbFechamentos[R$ Quebra])</f>
        <v>-110.62999999999994</v>
      </c>
      <c r="E31" s="55">
        <f>SUBTOTAL(101,tbFechamentos[% Quebra])</f>
        <v>1.5960071453243713E-2</v>
      </c>
    </row>
    <row r="34" spans="3:4" x14ac:dyDescent="0.25">
      <c r="C34" s="44"/>
      <c r="D34" s="44"/>
    </row>
  </sheetData>
  <conditionalFormatting sqref="D2:D31">
    <cfRule type="cellIs" dxfId="14" priority="1" operator="greaterThan">
      <formula>0</formula>
    </cfRule>
    <cfRule type="cellIs" dxfId="13" priority="3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ContagemAux">
    <tabColor theme="8" tint="-0.499984740745262"/>
  </sheetPr>
  <dimension ref="A1:A12"/>
  <sheetViews>
    <sheetView showGridLines="0" workbookViewId="0">
      <selection activeCell="A2" sqref="A2:A12"/>
    </sheetView>
  </sheetViews>
  <sheetFormatPr defaultRowHeight="15" x14ac:dyDescent="0.25"/>
  <cols>
    <col min="1" max="1" width="19.5703125" bestFit="1" customWidth="1"/>
    <col min="2" max="2" width="12.42578125" bestFit="1" customWidth="1"/>
  </cols>
  <sheetData>
    <row r="1" spans="1:1" x14ac:dyDescent="0.25">
      <c r="A1" s="45" t="s">
        <v>88</v>
      </c>
    </row>
    <row r="2" spans="1:1" x14ac:dyDescent="0.25">
      <c r="A2" s="44">
        <v>0.05</v>
      </c>
    </row>
    <row r="3" spans="1:1" x14ac:dyDescent="0.25">
      <c r="A3" s="44">
        <v>0.1</v>
      </c>
    </row>
    <row r="4" spans="1:1" x14ac:dyDescent="0.25">
      <c r="A4" s="44">
        <v>0.25</v>
      </c>
    </row>
    <row r="5" spans="1:1" x14ac:dyDescent="0.25">
      <c r="A5" s="44">
        <v>0.5</v>
      </c>
    </row>
    <row r="6" spans="1:1" x14ac:dyDescent="0.25">
      <c r="A6" s="44">
        <v>1</v>
      </c>
    </row>
    <row r="7" spans="1:1" x14ac:dyDescent="0.25">
      <c r="A7" s="44">
        <v>2</v>
      </c>
    </row>
    <row r="8" spans="1:1" x14ac:dyDescent="0.25">
      <c r="A8" s="44">
        <v>5</v>
      </c>
    </row>
    <row r="9" spans="1:1" x14ac:dyDescent="0.25">
      <c r="A9" s="44">
        <v>10</v>
      </c>
    </row>
    <row r="10" spans="1:1" x14ac:dyDescent="0.25">
      <c r="A10" s="44">
        <v>20</v>
      </c>
    </row>
    <row r="11" spans="1:1" x14ac:dyDescent="0.25">
      <c r="A11" s="44">
        <v>50</v>
      </c>
    </row>
    <row r="12" spans="1:1" x14ac:dyDescent="0.25">
      <c r="A12" s="44">
        <v>100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customUI/_rels/customUI.xml.rels><?xml version="1.0" encoding="UTF-8" standalone="yes"?>
<Relationships xmlns="http://schemas.openxmlformats.org/package/2006/relationships"><Relationship Id="btnPedidos" Type="http://schemas.openxmlformats.org/officeDocument/2006/relationships/image" Target="images/btnPedidos.png"/><Relationship Id="btnLancamentos" Type="http://schemas.openxmlformats.org/officeDocument/2006/relationships/image" Target="images/btnLancamentos.png"/><Relationship Id="btnContagem" Type="http://schemas.openxmlformats.org/officeDocument/2006/relationships/image" Target="images/btnContagem.png"/><Relationship Id="btnReport" Type="http://schemas.openxmlformats.org/officeDocument/2006/relationships/image" Target="images/btnReport.png"/><Relationship Id="btnTables" Type="http://schemas.openxmlformats.org/officeDocument/2006/relationships/image" Target="images/btnTables.png"/><Relationship Id="btnClear" Type="http://schemas.openxmlformats.org/officeDocument/2006/relationships/image" Target="images/btnCLear.png"/></Relationships>
</file>

<file path=customUI/customUI.xml><?xml version="1.0" encoding="utf-8"?>
<customUI xmlns="http://schemas.microsoft.com/office/2006/01/customui">
  <ribbon>
    <tabs>
      <tab id="MyTab" label="Gerencial PDV Fabrilícia" insertBeforeMso="TabHome">
        <group id="LancamentosGroup" label="Lançamentos e Pedidos">
          <button id="btnLancamentos" label="Gerenciar Lançamentos" size="large" onAction="RibbonCallBack" image="btnLancamentos"/>
          <button id="btnPedidos" label="Gerenciar Pedidos" size="large" onAction="RibbonCallBack" image="btnPedidos"/>
          <button id="btReport" label="Relatórios" size="large" onAction="RibbonCallBack" image="btnReport"/>
        </group>
        <group id="ContagemGroup" label="Contagem e Fechamentos">
          <button id="btContagem" label="Realizar Contagem" size="large" onAction="RibbonCallBack" image="btnContagem"/>
          <button id="btClear" label="Limpar Dados Atuais" size="large" onAction="RibbonCallBack" image="btnClear"/>
          <button id="btFechamento" label="Realizar Fechamento" size="large" onAction="RibbonCallBack" image="btnTabl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Props1.xml><?xml version="1.0" encoding="utf-8"?>
<ds:datastoreItem xmlns:ds="http://schemas.openxmlformats.org/officeDocument/2006/customXml" ds:itemID="{E5348793-B7C2-4511-B576-DC19525FB05F}">
  <ds:schemaRefs>
    <ds:schemaRef ds:uri="http://gemini/pivotcustomization/ae17cc58-b6bf-4edc-a516-7ac8dc1de2c7"/>
  </ds:schemaRefs>
</ds:datastoreItem>
</file>

<file path=customXml/itemProps2.xml><?xml version="1.0" encoding="utf-8"?>
<ds:datastoreItem xmlns:ds="http://schemas.openxmlformats.org/officeDocument/2006/customXml" ds:itemID="{91E30947-BE72-4D35-A226-C2891BDCF41D}">
  <ds:schemaRefs/>
</ds:datastoreItem>
</file>

<file path=customXml/itemProps3.xml><?xml version="1.0" encoding="utf-8"?>
<ds:datastoreItem xmlns:ds="http://schemas.openxmlformats.org/officeDocument/2006/customXml" ds:itemID="{3B75A608-E1E6-49A3-B4C7-A8795ED02F33}">
  <ds:schemaRefs>
    <ds:schemaRef ds:uri="http://gemini/pivotcustomization/TableXML_fPedidos"/>
  </ds:schemaRefs>
</ds:datastoreItem>
</file>

<file path=customXml/itemProps4.xml><?xml version="1.0" encoding="utf-8"?>
<ds:datastoreItem xmlns:ds="http://schemas.openxmlformats.org/officeDocument/2006/customXml" ds:itemID="{FA6B4470-0671-4BD5-87F4-1BBB93BCD1E7}">
  <ds:schemaRefs>
    <ds:schemaRef ds:uri="http://gemini/pivotcustomization/FormulaBarState"/>
  </ds:schemaRefs>
</ds:datastoreItem>
</file>

<file path=customXml/itemProps5.xml><?xml version="1.0" encoding="utf-8"?>
<ds:datastoreItem xmlns:ds="http://schemas.openxmlformats.org/officeDocument/2006/customXml" ds:itemID="{B39D77C3-1E11-44A2-868F-EA5F8E73DCFA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8E82B0A5-6343-4657-9CC2-B61C54470554}">
  <ds:schemaRefs/>
</ds:datastoreItem>
</file>

<file path=customXml/itemProps7.xml><?xml version="1.0" encoding="utf-8"?>
<ds:datastoreItem xmlns:ds="http://schemas.openxmlformats.org/officeDocument/2006/customXml" ds:itemID="{5FA2E352-E59B-49CE-8470-6BE5D5FC40D4}">
  <ds:schemaRefs>
    <ds:schemaRef ds:uri="http://gemini/pivotcustomization/4a4ebc39-d887-4cb0-9d06-9dc12a30e27e"/>
  </ds:schemaRefs>
</ds:datastoreItem>
</file>

<file path=customXml/itemProps8.xml><?xml version="1.0" encoding="utf-8"?>
<ds:datastoreItem xmlns:ds="http://schemas.openxmlformats.org/officeDocument/2006/customXml" ds:itemID="{B78B7AED-D11B-47F1-B660-E5D113C8198A}">
  <ds:schemaRefs>
    <ds:schemaRef ds:uri="http://gemini/pivotcustomization/837005f1-aa28-475d-88f6-552665f58461"/>
  </ds:schemaRefs>
</ds:datastoreItem>
</file>

<file path=customXml/itemProps9.xml><?xml version="1.0" encoding="utf-8"?>
<ds:datastoreItem xmlns:ds="http://schemas.openxmlformats.org/officeDocument/2006/customXml" ds:itemID="{ADB64904-7371-4178-A450-6C4EB07C3EAB}">
  <ds:schemaRefs>
    <ds:schemaRef ds:uri="http://gemini/pivotcustomization/3d6b28db-3bde-444d-94f1-ff846a4d3ae6"/>
  </ds:schemaRefs>
</ds:datastoreItem>
</file>

<file path=customXml/itemProps10.xml><?xml version="1.0" encoding="utf-8"?>
<ds:datastoreItem xmlns:ds="http://schemas.openxmlformats.org/officeDocument/2006/customXml" ds:itemID="{824A38A0-F540-4AA4-98C9-651C017C0499}">
  <ds:schemaRefs>
    <ds:schemaRef ds:uri="http://gemini/pivotcustomization/ecc33451-f25a-4b11-85c5-abef600b0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9</vt:i4>
      </vt:variant>
    </vt:vector>
  </HeadingPairs>
  <TitlesOfParts>
    <vt:vector size="19" baseType="lpstr">
      <vt:lpstr>Lançamentos</vt:lpstr>
      <vt:lpstr>Pedidos</vt:lpstr>
      <vt:lpstr>Tabela_Cartões</vt:lpstr>
      <vt:lpstr>Comparativo</vt:lpstr>
      <vt:lpstr>PedidosPicolé</vt:lpstr>
      <vt:lpstr>LançamentosPicolé</vt:lpstr>
      <vt:lpstr>Dimensões Apoio</vt:lpstr>
      <vt:lpstr>Contagem</vt:lpstr>
      <vt:lpstr>Fechamentos</vt:lpstr>
      <vt:lpstr>ContagemAux</vt:lpstr>
      <vt:lpstr>Cartao</vt:lpstr>
      <vt:lpstr>dPagamentos</vt:lpstr>
      <vt:lpstr>Imports</vt:lpstr>
      <vt:lpstr>Total</vt:lpstr>
      <vt:lpstr>TotalCédula</vt:lpstr>
      <vt:lpstr>TotalMoeda</vt:lpstr>
      <vt:lpstr>Troco</vt:lpstr>
      <vt:lpstr>Type</vt:lpstr>
      <vt:lpstr>Venda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Ivanildo Junior</dc:creator>
  <cp:keywords/>
  <dc:description/>
  <cp:lastModifiedBy>Ivanildo Junior</cp:lastModifiedBy>
  <cp:revision/>
  <cp:lastPrinted>2018-04-26T23:08:54Z</cp:lastPrinted>
  <dcterms:created xsi:type="dcterms:W3CDTF">2017-08-28T22:45:39Z</dcterms:created>
  <dcterms:modified xsi:type="dcterms:W3CDTF">2019-01-13T02:43:30Z</dcterms:modified>
  <cp:category/>
  <cp:contentStatus/>
</cp:coreProperties>
</file>