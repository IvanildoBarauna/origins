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o.moreira\Documents\ADRIANO\EXECEL AVANÇADO\Grupo do Guru\Enviados\"/>
    </mc:Choice>
  </mc:AlternateContent>
  <bookViews>
    <workbookView xWindow="0" yWindow="1980" windowWidth="20490" windowHeight="5775" tabRatio="834" activeTab="1"/>
  </bookViews>
  <sheets>
    <sheet name="Base" sheetId="190" r:id="rId1"/>
    <sheet name="Dinamica" sheetId="229" r:id="rId2"/>
    <sheet name="meses" sheetId="238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0" hidden="1">Base!$A$5:$BJ$34</definedName>
    <definedName name="acumppt">#REF!</definedName>
    <definedName name="acumreal">#REF!</definedName>
    <definedName name="adicional">Base!#REF!</definedName>
    <definedName name="anoorcamento">Base!#REF!</definedName>
    <definedName name="area">Base!#REF!</definedName>
    <definedName name="calendario">#REF!</definedName>
    <definedName name="CCATUAL" localSheetId="1">'[1]CC Atual '!$E$3:$F$480</definedName>
    <definedName name="CCATUAL">'[2]CC Atual '!$B$3:$F$487</definedName>
    <definedName name="ccdatasul" localSheetId="1">'[1]CC Datasul'!$A$3:$B$1300</definedName>
    <definedName name="ccdatasul">'[3]CC Datasul'!$C$3:$D$1145</definedName>
    <definedName name="ceco" localSheetId="1">'[4]Jerarquia CeCo'!$B$4:$M$233</definedName>
    <definedName name="ceco">'[5]Jerarquia CeCo'!$B$4:$M$196</definedName>
    <definedName name="centro" localSheetId="1">'[6]2014-S-A'!$A$2:$E$262</definedName>
    <definedName name="centro">#REF!</definedName>
    <definedName name="centrocusto">Base!#REF!</definedName>
    <definedName name="centrodados" localSheetId="1">'[1]Vlr 2012x2013'!$B$2:$C$309</definedName>
    <definedName name="centrodados">'[3]Vlr 2012x2013'!$B$2:$C$309</definedName>
    <definedName name="centrov2" localSheetId="1">'[1]CC Atual '!$E$2:$T$232</definedName>
    <definedName name="centrov2">'[7]CC Atual '!$E$2:$T$232</definedName>
    <definedName name="chave" localSheetId="1">#REF!</definedName>
    <definedName name="chave">Base!$T$1</definedName>
    <definedName name="classificação" localSheetId="1">[1]Classificação!$A$2:$D$49</definedName>
    <definedName name="classificação">[7]Classificação!$A$2:$D$49</definedName>
    <definedName name="conta" localSheetId="1">[8]conta!$A$3:$B$145</definedName>
    <definedName name="conta">[9]conta!$A:$C</definedName>
    <definedName name="contacontabil">Base!$E:$E</definedName>
    <definedName name="cuentas" localSheetId="1">'[4]Contas contables'!$A$2:$E$1048576</definedName>
    <definedName name="cuentas">#REF!</definedName>
    <definedName name="dados">'[10]centro de custo'!$A$1:$F$416</definedName>
    <definedName name="dinamica">Base!$A$5:$AJ$1048576</definedName>
    <definedName name="gestor">Base!#REF!</definedName>
    <definedName name="grupo">'[5]Contas contables'!$M$2:$O$22</definedName>
    <definedName name="grupo1">#REF!</definedName>
    <definedName name="grupoconta">Base!#REF!</definedName>
    <definedName name="mesesppto">Base!$Y$1:$AJ$1</definedName>
    <definedName name="mesesreal">Base!$H$1:$S$1</definedName>
    <definedName name="orcamento2015">Base!#REF!</definedName>
    <definedName name="orcamento2016">Base!$X:$X</definedName>
    <definedName name="pptmes">#REF!</definedName>
    <definedName name="rateio">[5]Rateio_Ent.Saf!$A$1:$T$30</definedName>
    <definedName name="real2014">Base!#REF!</definedName>
    <definedName name="real2015">Base!#REF!</definedName>
    <definedName name="realmes">#REF!</definedName>
    <definedName name="selecionames">#REF!</definedName>
    <definedName name="teste" localSheetId="1">#REF!</definedName>
    <definedName name="teste">#REF!</definedName>
    <definedName name="tipo">#REF!</definedName>
    <definedName name="tipoorcamento">Base!#REF!</definedName>
    <definedName name="USER" localSheetId="1">[11]users!$B$1:$F$57</definedName>
    <definedName name="USER">[12]users!$B$1:$F$57</definedName>
    <definedName name="user601" localSheetId="1">#REF!</definedName>
    <definedName name="user601">#REF!</definedName>
    <definedName name="USERS" localSheetId="1">#REF!</definedName>
    <definedName name="USERS">#REF!</definedName>
    <definedName name="usuarios601" localSheetId="1">#REF!</definedName>
    <definedName name="usuarios601">#REF!</definedName>
    <definedName name="versao">#REF!</definedName>
  </definedNames>
  <calcPr calcId="152511"/>
  <pivotCaches>
    <pivotCache cacheId="0" r:id="rId16"/>
  </pivotCaches>
</workbook>
</file>

<file path=xl/calcChain.xml><?xml version="1.0" encoding="utf-8"?>
<calcChain xmlns="http://schemas.openxmlformats.org/spreadsheetml/2006/main">
  <c r="I1" i="229" l="1"/>
  <c r="X19" i="190" l="1"/>
  <c r="X20" i="190"/>
  <c r="X21" i="190"/>
  <c r="X22" i="190"/>
  <c r="X23" i="190"/>
  <c r="X24" i="190"/>
  <c r="X25" i="190"/>
  <c r="X26" i="190"/>
  <c r="X27" i="190"/>
  <c r="X28" i="190"/>
  <c r="X29" i="190"/>
  <c r="X30" i="190"/>
  <c r="X31" i="190"/>
  <c r="X32" i="190"/>
  <c r="X33" i="190"/>
  <c r="X34" i="190"/>
  <c r="X6" i="190"/>
  <c r="X7" i="190"/>
  <c r="X8" i="190"/>
  <c r="X9" i="190"/>
  <c r="X10" i="190"/>
  <c r="X11" i="190"/>
  <c r="X12" i="190"/>
  <c r="X13" i="190"/>
  <c r="X14" i="190"/>
  <c r="X15" i="190"/>
  <c r="X16" i="190"/>
  <c r="X17" i="190"/>
  <c r="X18" i="190"/>
  <c r="I1" i="190" l="1"/>
  <c r="J4" i="190"/>
  <c r="Z1" i="190"/>
  <c r="G22" i="190"/>
  <c r="G23" i="190"/>
  <c r="G19" i="190"/>
  <c r="G20" i="190"/>
  <c r="G21" i="190"/>
  <c r="G24" i="190"/>
  <c r="G25" i="190"/>
  <c r="G26" i="190"/>
  <c r="G27" i="190"/>
  <c r="G28" i="190"/>
  <c r="G29" i="190"/>
  <c r="G30" i="190"/>
  <c r="G31" i="190"/>
  <c r="G32" i="190"/>
  <c r="G33" i="190"/>
  <c r="G34" i="190"/>
  <c r="H4" i="190"/>
  <c r="H3" i="190" s="1"/>
  <c r="I4" i="190"/>
  <c r="K4" i="190"/>
  <c r="L4" i="190"/>
  <c r="M4" i="190"/>
  <c r="N4" i="190"/>
  <c r="O4" i="190"/>
  <c r="P4" i="190"/>
  <c r="Q4" i="190"/>
  <c r="R4" i="190"/>
  <c r="S4" i="190"/>
  <c r="AA1" i="190" l="1"/>
  <c r="J1" i="190"/>
  <c r="AH4" i="190"/>
  <c r="AJ4" i="190"/>
  <c r="AB4" i="190"/>
  <c r="AA4" i="190"/>
  <c r="AE4" i="190"/>
  <c r="AI4" i="190"/>
  <c r="Y4" i="190"/>
  <c r="Y3" i="190" s="1"/>
  <c r="AD4" i="190"/>
  <c r="AG4" i="190"/>
  <c r="AC4" i="190"/>
  <c r="Z4" i="190"/>
  <c r="AF4" i="190"/>
  <c r="I3" i="190"/>
  <c r="J3" i="190" s="1"/>
  <c r="K3" i="190" s="1"/>
  <c r="L3" i="190" s="1"/>
  <c r="M3" i="190" s="1"/>
  <c r="N3" i="190" s="1"/>
  <c r="O3" i="190" s="1"/>
  <c r="P3" i="190" s="1"/>
  <c r="Q3" i="190" s="1"/>
  <c r="R3" i="190" s="1"/>
  <c r="S3" i="190" s="1"/>
  <c r="G4" i="190"/>
  <c r="G1" i="190" s="1"/>
  <c r="K1" i="190" l="1"/>
  <c r="L1" i="190" s="1"/>
  <c r="M1" i="190" s="1"/>
  <c r="AB1" i="190"/>
  <c r="Z3" i="190"/>
  <c r="AA3" i="190" s="1"/>
  <c r="AB3" i="190" s="1"/>
  <c r="AC3" i="190" s="1"/>
  <c r="AD3" i="190" s="1"/>
  <c r="AE3" i="190" s="1"/>
  <c r="AF3" i="190" s="1"/>
  <c r="AG3" i="190" s="1"/>
  <c r="AH3" i="190" s="1"/>
  <c r="AI3" i="190" s="1"/>
  <c r="AJ3" i="190" s="1"/>
  <c r="X4" i="190"/>
  <c r="X3" i="190" s="1"/>
  <c r="N1" i="190"/>
  <c r="AC1" i="190" l="1"/>
  <c r="O1" i="190"/>
  <c r="AD1" i="190" l="1"/>
  <c r="P1" i="190"/>
  <c r="T20" i="190" s="1"/>
  <c r="T19" i="190" l="1"/>
  <c r="T24" i="190"/>
  <c r="T30" i="190"/>
  <c r="T25" i="190"/>
  <c r="T33" i="190"/>
  <c r="T27" i="190"/>
  <c r="T31" i="190"/>
  <c r="T26" i="190"/>
  <c r="T32" i="190"/>
  <c r="AE1" i="190"/>
  <c r="T29" i="190"/>
  <c r="T28" i="190"/>
  <c r="T22" i="190"/>
  <c r="T23" i="190"/>
  <c r="T21" i="190"/>
  <c r="T34" i="190"/>
  <c r="Q1" i="190"/>
  <c r="T4" i="190" l="1"/>
  <c r="AF1" i="190"/>
  <c r="R1" i="190"/>
  <c r="AG1" i="190" l="1"/>
  <c r="S1" i="190"/>
  <c r="U19" i="190"/>
  <c r="V21" i="190" l="1"/>
  <c r="AH1" i="190"/>
  <c r="AI1" i="190" s="1"/>
  <c r="AJ1" i="190" s="1"/>
  <c r="V6" i="190"/>
  <c r="V10" i="190"/>
  <c r="V28" i="190"/>
  <c r="V25" i="190"/>
  <c r="V26" i="190"/>
  <c r="V19" i="190"/>
  <c r="V27" i="190"/>
  <c r="V32" i="190"/>
  <c r="V29" i="190"/>
  <c r="V30" i="190"/>
  <c r="V15" i="190"/>
  <c r="V13" i="190"/>
  <c r="V16" i="190"/>
  <c r="V8" i="190"/>
  <c r="V7" i="190"/>
  <c r="V14" i="190"/>
  <c r="V18" i="190"/>
  <c r="V9" i="190"/>
  <c r="W31" i="190"/>
  <c r="W33" i="190"/>
  <c r="W24" i="190"/>
  <c r="W27" i="190"/>
  <c r="W19" i="190"/>
  <c r="U30" i="190"/>
  <c r="U23" i="190"/>
  <c r="U22" i="190"/>
  <c r="U31" i="190"/>
  <c r="U21" i="190"/>
  <c r="U28" i="190"/>
  <c r="U27" i="190"/>
  <c r="U25" i="190"/>
  <c r="U24" i="190"/>
  <c r="U26" i="190"/>
  <c r="U29" i="190"/>
  <c r="U34" i="190"/>
  <c r="U20" i="190"/>
  <c r="U33" i="190"/>
  <c r="U32" i="190"/>
  <c r="W16" i="190"/>
  <c r="A16" i="190" s="1"/>
  <c r="W17" i="190"/>
  <c r="W15" i="190"/>
  <c r="A15" i="190" s="1"/>
  <c r="W8" i="190"/>
  <c r="W11" i="190"/>
  <c r="W18" i="190"/>
  <c r="W12" i="190"/>
  <c r="W14" i="190"/>
  <c r="W7" i="190"/>
  <c r="A7" i="190" s="1"/>
  <c r="W13" i="190"/>
  <c r="W6" i="190"/>
  <c r="A6" i="190" s="1"/>
  <c r="W10" i="190"/>
  <c r="A10" i="190" s="1"/>
  <c r="W9" i="190"/>
  <c r="A19" i="190" l="1"/>
  <c r="V11" i="190"/>
  <c r="A11" i="190" s="1"/>
  <c r="V12" i="190"/>
  <c r="A12" i="190" s="1"/>
  <c r="A14" i="190"/>
  <c r="V33" i="190"/>
  <c r="A33" i="190" s="1"/>
  <c r="A9" i="190"/>
  <c r="A27" i="190"/>
  <c r="A18" i="190"/>
  <c r="A8" i="190"/>
  <c r="A13" i="190"/>
  <c r="V22" i="190"/>
  <c r="V24" i="190"/>
  <c r="A24" i="190" s="1"/>
  <c r="W30" i="190"/>
  <c r="A30" i="190" s="1"/>
  <c r="W28" i="190"/>
  <c r="A28" i="190" s="1"/>
  <c r="W32" i="190"/>
  <c r="A32" i="190" s="1"/>
  <c r="W23" i="190"/>
  <c r="W22" i="190"/>
  <c r="W21" i="190"/>
  <c r="A21" i="190" s="1"/>
  <c r="W20" i="190"/>
  <c r="W34" i="190"/>
  <c r="W25" i="190"/>
  <c r="A25" i="190" s="1"/>
  <c r="W29" i="190"/>
  <c r="A29" i="190" s="1"/>
  <c r="W26" i="190"/>
  <c r="A26" i="190" s="1"/>
  <c r="V23" i="190"/>
  <c r="A23" i="190" s="1"/>
  <c r="V17" i="190"/>
  <c r="A17" i="190" s="1"/>
  <c r="V31" i="190"/>
  <c r="A31" i="190" s="1"/>
  <c r="V34" i="190"/>
  <c r="V20" i="190"/>
  <c r="U4" i="190"/>
  <c r="A20" i="190" l="1"/>
  <c r="W4" i="190"/>
  <c r="A34" i="190"/>
  <c r="V4" i="190"/>
  <c r="A22" i="190"/>
</calcChain>
</file>

<file path=xl/sharedStrings.xml><?xml version="1.0" encoding="utf-8"?>
<sst xmlns="http://schemas.openxmlformats.org/spreadsheetml/2006/main" count="142" uniqueCount="90">
  <si>
    <t>CC</t>
  </si>
  <si>
    <t>DESCRIÇÃO CENTO DE CUSTO</t>
  </si>
  <si>
    <t>C. CONT</t>
  </si>
  <si>
    <t>Depreciação - IFRS</t>
  </si>
  <si>
    <t>DIRETOR PRESIDENTE</t>
  </si>
  <si>
    <t>ADMINISTRACAO CORPORATIVA</t>
  </si>
  <si>
    <t>Pro-Labore</t>
  </si>
  <si>
    <t>Viagens e Estadias</t>
  </si>
  <si>
    <t>Bens de Natureza Permanente</t>
  </si>
  <si>
    <t>Impostos, Taxas e Licencas</t>
  </si>
  <si>
    <t>Plano Participacao Resultados</t>
  </si>
  <si>
    <t>Provisao de Ferias</t>
  </si>
  <si>
    <t>Salarios</t>
  </si>
  <si>
    <t>Doacoes</t>
  </si>
  <si>
    <t>Fretes e Carretos</t>
  </si>
  <si>
    <t>Transporte de Pessoal</t>
  </si>
  <si>
    <t>Provisao 13 Salario</t>
  </si>
  <si>
    <t>FGTS</t>
  </si>
  <si>
    <t>INSS</t>
  </si>
  <si>
    <t>Peças e Acessorios de Veiculos</t>
  </si>
  <si>
    <t>Combustiveis</t>
  </si>
  <si>
    <t>Lanches e Refeicoes</t>
  </si>
  <si>
    <t>Copa, Cozinha e Limpeza</t>
  </si>
  <si>
    <t>Acumulado ===&gt;&gt;&gt;</t>
  </si>
  <si>
    <t>Total Filtrado ===&gt;&gt;&gt;</t>
  </si>
  <si>
    <t>Gestor</t>
  </si>
  <si>
    <t>Desc. Conta</t>
  </si>
  <si>
    <t>Total Geral</t>
  </si>
  <si>
    <t>Materiais de Segurança</t>
  </si>
  <si>
    <t>Estab</t>
  </si>
  <si>
    <t>TOTAL 2016 - O</t>
  </si>
  <si>
    <t>JAN - 16 - O</t>
  </si>
  <si>
    <t>FEV - 16 - O</t>
  </si>
  <si>
    <t>MAR - 16 - O</t>
  </si>
  <si>
    <t>ABR - 16 - O</t>
  </si>
  <si>
    <t>MAI - 16 - O</t>
  </si>
  <si>
    <t>JUN - 16 - O</t>
  </si>
  <si>
    <t>JUL - 16 - O</t>
  </si>
  <si>
    <t>AGO - 16 - O</t>
  </si>
  <si>
    <t>SET - 16 - O</t>
  </si>
  <si>
    <t>OUT - 16 - O</t>
  </si>
  <si>
    <t>NOV - 16 - O</t>
  </si>
  <si>
    <t>DEZ - 16 - O</t>
  </si>
  <si>
    <t>Orçamento 2016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</si>
  <si>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</si>
  <si>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</si>
  <si>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</si>
  <si>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</si>
  <si>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</si>
  <si>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</si>
  <si>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</si>
  <si>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</si>
  <si>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</si>
  <si>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</si>
  <si>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</si>
  <si>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</si>
  <si>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(Tudo)</t>
  </si>
  <si>
    <t>01-Janeiro-2016</t>
  </si>
  <si>
    <t>02-Fevereiro-2016</t>
  </si>
  <si>
    <t>03-Março-2016</t>
  </si>
  <si>
    <t>04-Abril-2016</t>
  </si>
  <si>
    <t>05-Maio-2016</t>
  </si>
  <si>
    <t>06-Junho-2016</t>
  </si>
  <si>
    <t>07-Julho-2016</t>
  </si>
  <si>
    <t>08-Agosto-2016</t>
  </si>
  <si>
    <t>09-Setembro-2016</t>
  </si>
  <si>
    <t>10-Outubro-2016</t>
  </si>
  <si>
    <t>11-Novembro-2016</t>
  </si>
  <si>
    <t>12-Dezembro-2016</t>
  </si>
  <si>
    <t>Real Mês</t>
  </si>
  <si>
    <t>Ppto Mês</t>
  </si>
  <si>
    <t>Real Acumulado</t>
  </si>
  <si>
    <t>Ppto Acumulado</t>
  </si>
  <si>
    <t xml:space="preserve">  Real Mês</t>
  </si>
  <si>
    <t xml:space="preserve">  Ppto Mês</t>
  </si>
  <si>
    <t xml:space="preserve">  Real Acumulado</t>
  </si>
  <si>
    <t xml:space="preserve">  Ppto Acumulado</t>
  </si>
  <si>
    <t>Base Geral: Orçado 2016| Realizado e Orçado 2015 |  Realizado 2014</t>
  </si>
  <si>
    <t>Total 2016 - R</t>
  </si>
  <si>
    <r>
      <t xml:space="preserve">Selecione o Mês </t>
    </r>
    <r>
      <rPr>
        <b/>
        <sz val="11"/>
        <color theme="0"/>
        <rFont val="Wingdings 3"/>
        <family val="1"/>
        <charset val="2"/>
      </rPr>
      <t>Æ</t>
    </r>
  </si>
  <si>
    <t xml:space="preserve"> Dif Mes</t>
  </si>
  <si>
    <t xml:space="preserve"> Dif Acum</t>
  </si>
  <si>
    <t xml:space="preserve"> Var. Acum</t>
  </si>
  <si>
    <t xml:space="preserve"> Var Mes</t>
  </si>
  <si>
    <t>Desc. Centro</t>
  </si>
  <si>
    <t>Acumulado</t>
  </si>
  <si>
    <t>Mensal</t>
  </si>
  <si>
    <t>DOAÇOES</t>
  </si>
  <si>
    <t>Zero</t>
  </si>
  <si>
    <t>Orçamento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</si>
</sst>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[Red]\-#,##0\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0"/>
      <color theme="1"/>
      <name val="Century Gothic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6"/>
      <color rgb="FFEF4136"/>
      <name val="Arial"/>
      <family val="2"/>
    </font>
    <font>
      <sz val="10"/>
      <color indexed="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Wingdings 3"/>
      <family val="1"/>
      <charset val="2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tted">
        <color auto="1"/>
      </left>
      <right style="dotted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thin">
        <color theme="8" tint="-0.499984740745262"/>
      </left>
      <right/>
      <top/>
      <bottom/>
      <diagonal/>
    </border>
    <border>
      <left/>
      <right style="thin">
        <color theme="8" tint="-0.499984740745262"/>
      </right>
      <top/>
      <bottom/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24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/>
    <xf numFmtId="0" fontId="6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3" fillId="0" borderId="0" applyNumberFormat="0" applyFill="0" applyBorder="0" applyAlignment="0" applyProtection="0"/>
    <xf numFmtId="0" fontId="4" fillId="0" borderId="6" applyNumberFormat="0"/>
    <xf numFmtId="0" fontId="4" fillId="0" borderId="0"/>
  </cellStyleXfs>
  <cellXfs count="110">
    <xf numFmtId="0" fontId="0" fillId="0" borderId="0" xfId="0"/>
    <xf numFmtId="0" fontId="0" fillId="0" borderId="0" xfId="0" applyBorder="1"/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7" fillId="0" borderId="0" xfId="0" applyFont="1" applyBorder="1" applyProtection="1">
      <protection locked="0"/>
    </xf>
    <xf numFmtId="0" fontId="7" fillId="0" borderId="0" xfId="0" applyFont="1" applyBorder="1" applyAlignment="1" applyProtection="1">
      <alignment horizontal="center"/>
      <protection locked="0"/>
    </xf>
    <xf numFmtId="165" fontId="7" fillId="0" borderId="0" xfId="1" applyNumberFormat="1" applyFont="1" applyBorder="1" applyProtection="1">
      <protection locked="0"/>
    </xf>
    <xf numFmtId="165" fontId="7" fillId="0" borderId="0" xfId="1" applyNumberFormat="1" applyFont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right"/>
      <protection locked="0"/>
    </xf>
    <xf numFmtId="9" fontId="7" fillId="0" borderId="0" xfId="11" applyFont="1" applyBorder="1" applyAlignment="1" applyProtection="1">
      <alignment horizontal="center"/>
      <protection locked="0"/>
    </xf>
    <xf numFmtId="165" fontId="8" fillId="0" borderId="0" xfId="1" applyNumberFormat="1" applyFont="1" applyBorder="1" applyProtection="1">
      <protection locked="0"/>
    </xf>
    <xf numFmtId="43" fontId="0" fillId="0" borderId="0" xfId="1" applyFont="1" applyProtection="1"/>
    <xf numFmtId="3" fontId="0" fillId="0" borderId="0" xfId="0" applyNumberFormat="1" applyBorder="1"/>
    <xf numFmtId="165" fontId="8" fillId="3" borderId="0" xfId="1" applyNumberFormat="1" applyFont="1" applyFill="1" applyBorder="1" applyProtection="1"/>
    <xf numFmtId="166" fontId="0" fillId="0" borderId="0" xfId="0" applyNumberFormat="1" applyBorder="1"/>
    <xf numFmtId="43" fontId="7" fillId="6" borderId="0" xfId="1" applyFont="1" applyFill="1" applyBorder="1" applyProtection="1"/>
    <xf numFmtId="0" fontId="0" fillId="0" borderId="0" xfId="0" applyFont="1" applyBorder="1" applyAlignment="1">
      <alignment horizontal="left"/>
    </xf>
    <xf numFmtId="43" fontId="0" fillId="0" borderId="0" xfId="0" applyNumberFormat="1" applyProtection="1"/>
    <xf numFmtId="43" fontId="0" fillId="0" borderId="0" xfId="1" applyFont="1" applyBorder="1" applyAlignment="1">
      <alignment vertical="center"/>
    </xf>
    <xf numFmtId="165" fontId="0" fillId="2" borderId="0" xfId="1" applyNumberFormat="1" applyFont="1" applyFill="1" applyProtection="1">
      <protection locked="0"/>
    </xf>
    <xf numFmtId="165" fontId="8" fillId="0" borderId="0" xfId="1" applyNumberFormat="1" applyFont="1" applyBorder="1" applyAlignment="1" applyProtection="1">
      <alignment horizontal="center"/>
      <protection locked="0"/>
    </xf>
    <xf numFmtId="165" fontId="8" fillId="0" borderId="0" xfId="1" applyNumberFormat="1" applyFont="1" applyBorder="1" applyAlignment="1" applyProtection="1">
      <alignment horizontal="left" vertical="center"/>
      <protection locked="0"/>
    </xf>
    <xf numFmtId="165" fontId="8" fillId="3" borderId="0" xfId="1" applyNumberFormat="1" applyFont="1" applyFill="1" applyBorder="1" applyAlignment="1" applyProtection="1">
      <alignment horizontal="right"/>
      <protection locked="0"/>
    </xf>
    <xf numFmtId="165" fontId="8" fillId="7" borderId="7" xfId="1" applyNumberFormat="1" applyFont="1" applyFill="1" applyBorder="1" applyAlignment="1" applyProtection="1">
      <alignment horizontal="center" vertical="center"/>
      <protection locked="0"/>
    </xf>
    <xf numFmtId="43" fontId="10" fillId="7" borderId="11" xfId="1" applyFont="1" applyFill="1" applyBorder="1" applyAlignment="1" applyProtection="1">
      <alignment horizontal="center" vertical="center"/>
      <protection locked="0"/>
    </xf>
    <xf numFmtId="43" fontId="10" fillId="7" borderId="8" xfId="1" applyFont="1" applyFill="1" applyBorder="1" applyAlignment="1" applyProtection="1">
      <alignment horizontal="center" vertical="center"/>
      <protection locked="0"/>
    </xf>
    <xf numFmtId="43" fontId="10" fillId="7" borderId="1" xfId="1" applyFont="1" applyFill="1" applyBorder="1" applyAlignment="1" applyProtection="1">
      <alignment horizontal="center" vertical="center"/>
      <protection locked="0"/>
    </xf>
    <xf numFmtId="165" fontId="10" fillId="7" borderId="7" xfId="1" applyNumberFormat="1" applyFont="1" applyFill="1" applyBorder="1" applyAlignment="1" applyProtection="1">
      <alignment horizontal="center" vertical="center"/>
      <protection locked="0"/>
    </xf>
    <xf numFmtId="165" fontId="11" fillId="7" borderId="0" xfId="1" applyNumberFormat="1" applyFont="1" applyFill="1" applyBorder="1" applyProtection="1"/>
    <xf numFmtId="43" fontId="0" fillId="0" borderId="0" xfId="1" applyFont="1" applyFill="1"/>
    <xf numFmtId="165" fontId="10" fillId="7" borderId="0" xfId="1" applyNumberFormat="1" applyFont="1" applyFill="1" applyBorder="1" applyAlignment="1" applyProtection="1">
      <alignment horizontal="left"/>
    </xf>
    <xf numFmtId="0" fontId="2" fillId="0" borderId="0" xfId="0" applyFont="1" applyFill="1"/>
    <xf numFmtId="165" fontId="0" fillId="0" borderId="0" xfId="1" applyNumberFormat="1" applyFont="1" applyProtection="1"/>
    <xf numFmtId="0" fontId="0" fillId="0" borderId="0" xfId="0" applyProtection="1"/>
    <xf numFmtId="165" fontId="0" fillId="0" borderId="0" xfId="1" applyNumberFormat="1" applyFont="1" applyFill="1"/>
    <xf numFmtId="0" fontId="10" fillId="5" borderId="9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left" vertical="center"/>
      <protection locked="0"/>
    </xf>
    <xf numFmtId="0" fontId="10" fillId="5" borderId="4" xfId="0" applyNumberFormat="1" applyFont="1" applyFill="1" applyBorder="1" applyAlignment="1" applyProtection="1">
      <alignment horizontal="center" vertical="center"/>
      <protection locked="0"/>
    </xf>
    <xf numFmtId="0" fontId="10" fillId="5" borderId="10" xfId="0" applyFont="1" applyFill="1" applyBorder="1" applyAlignment="1" applyProtection="1">
      <alignment horizontal="center" vertical="center"/>
      <protection locked="0"/>
    </xf>
    <xf numFmtId="0" fontId="10" fillId="5" borderId="2" xfId="0" applyFont="1" applyFill="1" applyBorder="1" applyAlignment="1" applyProtection="1">
      <alignment horizontal="center" vertical="center"/>
      <protection locked="0"/>
    </xf>
    <xf numFmtId="165" fontId="8" fillId="3" borderId="0" xfId="1" applyNumberFormat="1" applyFont="1" applyFill="1" applyBorder="1" applyAlignment="1" applyProtection="1">
      <alignment horizontal="right"/>
    </xf>
    <xf numFmtId="0" fontId="0" fillId="5" borderId="0" xfId="0" applyFill="1"/>
    <xf numFmtId="0" fontId="3" fillId="5" borderId="0" xfId="0" applyFont="1" applyFill="1" applyAlignment="1">
      <alignment horizontal="left" indent="1"/>
    </xf>
    <xf numFmtId="0" fontId="14" fillId="5" borderId="0" xfId="0" applyFont="1" applyFill="1" applyAlignment="1">
      <alignment vertical="center"/>
    </xf>
    <xf numFmtId="0" fontId="10" fillId="8" borderId="8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0" borderId="0" xfId="0" pivotButton="1" applyAlignment="1">
      <alignment horizontal="center"/>
    </xf>
    <xf numFmtId="0" fontId="15" fillId="0" borderId="0" xfId="0" applyFont="1"/>
    <xf numFmtId="3" fontId="0" fillId="0" borderId="17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10" fontId="0" fillId="0" borderId="21" xfId="0" applyNumberFormat="1" applyBorder="1"/>
    <xf numFmtId="166" fontId="0" fillId="0" borderId="20" xfId="0" applyNumberFormat="1" applyBorder="1"/>
    <xf numFmtId="4" fontId="0" fillId="0" borderId="20" xfId="0" applyNumberFormat="1" applyBorder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5" fillId="0" borderId="0" xfId="0" applyFont="1" applyProtection="1">
      <protection locked="0"/>
    </xf>
    <xf numFmtId="0" fontId="15" fillId="0" borderId="0" xfId="0" applyFont="1" applyProtection="1"/>
    <xf numFmtId="43" fontId="8" fillId="3" borderId="0" xfId="1" applyFont="1" applyFill="1" applyBorder="1" applyAlignment="1" applyProtection="1">
      <alignment horizontal="right"/>
    </xf>
    <xf numFmtId="43" fontId="8" fillId="3" borderId="0" xfId="0" applyNumberFormat="1" applyFont="1" applyFill="1" applyBorder="1" applyAlignment="1" applyProtection="1">
      <alignment horizontal="right"/>
    </xf>
    <xf numFmtId="43" fontId="24" fillId="0" borderId="0" xfId="0" applyNumberFormat="1" applyFont="1" applyFill="1" applyBorder="1" applyProtection="1"/>
    <xf numFmtId="0" fontId="25" fillId="0" borderId="0" xfId="0" applyFont="1" applyProtection="1">
      <protection locked="0"/>
    </xf>
    <xf numFmtId="0" fontId="25" fillId="0" borderId="0" xfId="0" applyFont="1" applyProtection="1"/>
    <xf numFmtId="165" fontId="15" fillId="0" borderId="0" xfId="0" applyNumberFormat="1" applyFont="1" applyProtection="1"/>
    <xf numFmtId="0" fontId="16" fillId="4" borderId="0" xfId="0" applyFont="1" applyFill="1" applyAlignment="1" applyProtection="1">
      <alignment horizontal="center"/>
      <protection locked="0"/>
    </xf>
    <xf numFmtId="0" fontId="0" fillId="5" borderId="25" xfId="0" applyFill="1" applyBorder="1"/>
    <xf numFmtId="0" fontId="0" fillId="5" borderId="0" xfId="0" applyFill="1" applyBorder="1"/>
    <xf numFmtId="10" fontId="0" fillId="0" borderId="3" xfId="0" applyNumberFormat="1" applyBorder="1"/>
    <xf numFmtId="10" fontId="0" fillId="0" borderId="12" xfId="0" applyNumberFormat="1" applyBorder="1"/>
    <xf numFmtId="10" fontId="0" fillId="0" borderId="13" xfId="0" applyNumberFormat="1" applyBorder="1"/>
    <xf numFmtId="43" fontId="15" fillId="0" borderId="0" xfId="0" applyNumberFormat="1" applyFont="1" applyProtection="1">
      <protection locked="0"/>
    </xf>
    <xf numFmtId="0" fontId="2" fillId="0" borderId="0" xfId="0" applyFont="1" applyFill="1" applyAlignment="1">
      <alignment horizontal="left"/>
    </xf>
    <xf numFmtId="0" fontId="0" fillId="0" borderId="28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0" fontId="0" fillId="0" borderId="18" xfId="0" applyNumberFormat="1" applyBorder="1"/>
    <xf numFmtId="4" fontId="0" fillId="0" borderId="0" xfId="0" applyNumberFormat="1" applyBorder="1"/>
    <xf numFmtId="43" fontId="0" fillId="0" borderId="28" xfId="0" applyNumberFormat="1" applyFont="1" applyBorder="1"/>
    <xf numFmtId="3" fontId="0" fillId="0" borderId="14" xfId="0" applyNumberFormat="1" applyBorder="1"/>
    <xf numFmtId="3" fontId="0" fillId="0" borderId="15" xfId="0" applyNumberFormat="1" applyBorder="1"/>
    <xf numFmtId="10" fontId="0" fillId="0" borderId="16" xfId="0" applyNumberFormat="1" applyBorder="1"/>
    <xf numFmtId="166" fontId="0" fillId="0" borderId="15" xfId="0" applyNumberFormat="1" applyBorder="1"/>
    <xf numFmtId="4" fontId="0" fillId="0" borderId="15" xfId="0" applyNumberFormat="1" applyBorder="1"/>
    <xf numFmtId="0" fontId="0" fillId="0" borderId="0" xfId="0" applyFont="1" applyAlignment="1">
      <alignment horizontal="left" indent="1"/>
    </xf>
    <xf numFmtId="0" fontId="19" fillId="9" borderId="29" xfId="0" applyFont="1" applyFill="1" applyBorder="1" applyAlignment="1">
      <alignment horizontal="left" vertical="center"/>
    </xf>
    <xf numFmtId="0" fontId="27" fillId="9" borderId="29" xfId="0" applyFont="1" applyFill="1" applyBorder="1" applyAlignment="1">
      <alignment horizontal="left" vertical="center"/>
    </xf>
    <xf numFmtId="0" fontId="0" fillId="10" borderId="0" xfId="0" applyFill="1"/>
    <xf numFmtId="0" fontId="14" fillId="5" borderId="0" xfId="0" applyFont="1" applyFill="1" applyBorder="1" applyAlignment="1">
      <alignment horizontal="left" indent="1"/>
    </xf>
    <xf numFmtId="0" fontId="0" fillId="9" borderId="29" xfId="0" applyFill="1" applyBorder="1" applyAlignment="1">
      <alignment vertical="center"/>
    </xf>
    <xf numFmtId="0" fontId="20" fillId="9" borderId="29" xfId="0" applyFont="1" applyFill="1" applyBorder="1" applyAlignment="1">
      <alignment vertical="center"/>
    </xf>
    <xf numFmtId="0" fontId="0" fillId="9" borderId="30" xfId="0" applyFill="1" applyBorder="1" applyAlignment="1">
      <alignment vertical="center"/>
    </xf>
    <xf numFmtId="0" fontId="0" fillId="9" borderId="31" xfId="0" applyFill="1" applyBorder="1" applyAlignment="1">
      <alignment vertical="center"/>
    </xf>
    <xf numFmtId="165" fontId="9" fillId="4" borderId="0" xfId="1" applyNumberFormat="1" applyFont="1" applyFill="1" applyBorder="1" applyAlignment="1" applyProtection="1">
      <alignment horizontal="right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23" fillId="5" borderId="0" xfId="0" applyFont="1" applyFill="1" applyBorder="1" applyAlignment="1">
      <alignment horizontal="center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6" fillId="0" borderId="22" xfId="0" applyFont="1" applyBorder="1" applyAlignment="1">
      <alignment horizontal="center"/>
    </xf>
    <xf numFmtId="0" fontId="26" fillId="0" borderId="23" xfId="0" applyFont="1" applyBorder="1" applyAlignment="1">
      <alignment horizontal="center"/>
    </xf>
    <xf numFmtId="0" fontId="26" fillId="0" borderId="24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</cellXfs>
  <cellStyles count="24">
    <cellStyle name="Comma 3" xfId="8"/>
    <cellStyle name="Excel Built-in Normal" xfId="6"/>
    <cellStyle name="Excel Built-in Normal 1" xfId="20"/>
    <cellStyle name="Header1" xfId="12"/>
    <cellStyle name="InSheet" xfId="22"/>
    <cellStyle name="Millares 2" xfId="2"/>
    <cellStyle name="Normal" xfId="0" builtinId="0"/>
    <cellStyle name="Normal 10" xfId="13"/>
    <cellStyle name="Normal 2" xfId="9"/>
    <cellStyle name="Normal 2 2" xfId="3"/>
    <cellStyle name="Normal 2 3" xfId="21"/>
    <cellStyle name="Normal 3" xfId="10"/>
    <cellStyle name="Normal 3 2" xfId="14"/>
    <cellStyle name="Normal 3 2 2" xfId="15"/>
    <cellStyle name="Normal 4" xfId="16"/>
    <cellStyle name="Normal 5" xfId="17"/>
    <cellStyle name="Normal 6" xfId="18"/>
    <cellStyle name="Normal 7" xfId="19"/>
    <cellStyle name="Normal 8" xfId="23"/>
    <cellStyle name="Porcentagem" xfId="11" builtinId="5"/>
    <cellStyle name="Vírgula" xfId="1" builtinId="3"/>
    <cellStyle name="Vírgula 2" xfId="4"/>
    <cellStyle name="Vírgula 3" xfId="7"/>
    <cellStyle name="Vírgula 4" xfId="5"/>
  </cellStyles>
  <dxfs count="19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readingOrder="0"/>
    </dxf>
    <dxf>
      <fill>
        <patternFill patternType="none">
          <bgColor auto="1"/>
        </patternFill>
      </fill>
    </dxf>
    <dxf>
      <font>
        <b/>
      </font>
    </dxf>
    <dxf>
      <alignment horizontal="center" readingOrder="0"/>
    </dxf>
    <dxf>
      <border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border>
        <left style="thin">
          <color theme="8" tint="-0.499984740745262"/>
        </left>
        <right style="thin">
          <color theme="8" tint="-0.499984740745262"/>
        </right>
        <top style="thin">
          <color theme="8" tint="-0.499984740745262"/>
        </top>
        <bottom style="thin">
          <color theme="8" tint="-0.499984740745262"/>
        </bottom>
      </border>
    </dxf>
    <dxf>
      <numFmt numFmtId="4" formatCode="#,##0.00"/>
    </dxf>
    <dxf>
      <numFmt numFmtId="14" formatCode="0.00%"/>
    </dxf>
    <dxf>
      <numFmt numFmtId="14" formatCode="0.00%"/>
    </dxf>
    <dxf>
      <font>
        <b val="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z val="11"/>
        <color theme="0"/>
      </font>
      <border>
        <left/>
        <bottom style="thin">
          <color theme="0"/>
        </bottom>
        <vertical/>
        <horizontal/>
      </border>
    </dxf>
    <dxf>
      <font>
        <color theme="1"/>
      </font>
      <fill>
        <patternFill patternType="solid">
          <bgColor theme="8" tint="-0.2499465926084170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eu Estilo 2" pivot="0" table="0" count="10">
      <tableStyleElement type="wholeTable" dxfId="18"/>
      <tableStyleElement type="headerRow" dxfId="17"/>
    </tableStyle>
  </tableStyles>
  <colors>
    <mruColors>
      <color rgb="FFFFFFCC"/>
      <color rgb="FFCCFF99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patternFill patternType="solid">
              <fgColor auto="1"/>
              <bgColor theme="4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8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eu Estil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/Relationships>
</file>

<file path=xl/ctrlProps/ctrlProp1.xml><?xml version="1.0" encoding="utf-8"?>
<formControlPr xmlns="http://schemas.microsoft.com/office/spreadsheetml/2009/9/main" objectType="Radio" firstButton="1" fmlaLink="Base!$T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95250</xdr:colOff>
          <xdr:row>3</xdr:row>
          <xdr:rowOff>0</xdr:rowOff>
        </xdr:from>
        <xdr:to>
          <xdr:col>2</xdr:col>
          <xdr:colOff>590550</xdr:colOff>
          <xdr:row>3</xdr:row>
          <xdr:rowOff>209550</xdr:rowOff>
        </xdr:to>
        <xdr:sp macro="" textlink="">
          <xdr:nvSpPr>
            <xdr:cNvPr id="99329" name="Option Button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1 - 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3</xdr:row>
          <xdr:rowOff>0</xdr:rowOff>
        </xdr:from>
        <xdr:to>
          <xdr:col>3</xdr:col>
          <xdr:colOff>609600</xdr:colOff>
          <xdr:row>3</xdr:row>
          <xdr:rowOff>209550</xdr:rowOff>
        </xdr:to>
        <xdr:sp macro="" textlink="">
          <xdr:nvSpPr>
            <xdr:cNvPr id="99330" name="Option Button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2 - Fev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695325</xdr:colOff>
          <xdr:row>3</xdr:row>
          <xdr:rowOff>0</xdr:rowOff>
        </xdr:from>
        <xdr:to>
          <xdr:col>4</xdr:col>
          <xdr:colOff>390525</xdr:colOff>
          <xdr:row>3</xdr:row>
          <xdr:rowOff>209550</xdr:rowOff>
        </xdr:to>
        <xdr:sp macro="" textlink="">
          <xdr:nvSpPr>
            <xdr:cNvPr id="99331" name="Option Button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3 - 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485775</xdr:colOff>
          <xdr:row>3</xdr:row>
          <xdr:rowOff>0</xdr:rowOff>
        </xdr:from>
        <xdr:to>
          <xdr:col>4</xdr:col>
          <xdr:colOff>1095375</xdr:colOff>
          <xdr:row>3</xdr:row>
          <xdr:rowOff>209550</xdr:rowOff>
        </xdr:to>
        <xdr:sp macro="" textlink="">
          <xdr:nvSpPr>
            <xdr:cNvPr id="99332" name="Option Button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4 - Abr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1181100</xdr:colOff>
          <xdr:row>3</xdr:row>
          <xdr:rowOff>0</xdr:rowOff>
        </xdr:from>
        <xdr:to>
          <xdr:col>4</xdr:col>
          <xdr:colOff>1790700</xdr:colOff>
          <xdr:row>3</xdr:row>
          <xdr:rowOff>209550</xdr:rowOff>
        </xdr:to>
        <xdr:sp macro="" textlink="">
          <xdr:nvSpPr>
            <xdr:cNvPr id="99333" name="Option Button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5 - Maio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1876425</xdr:colOff>
          <xdr:row>3</xdr:row>
          <xdr:rowOff>0</xdr:rowOff>
        </xdr:from>
        <xdr:to>
          <xdr:col>5</xdr:col>
          <xdr:colOff>419100</xdr:colOff>
          <xdr:row>3</xdr:row>
          <xdr:rowOff>209550</xdr:rowOff>
        </xdr:to>
        <xdr:sp macro="" textlink="">
          <xdr:nvSpPr>
            <xdr:cNvPr id="99334" name="Option Button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6 - 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504825</xdr:colOff>
          <xdr:row>3</xdr:row>
          <xdr:rowOff>0</xdr:rowOff>
        </xdr:from>
        <xdr:to>
          <xdr:col>6</xdr:col>
          <xdr:colOff>447675</xdr:colOff>
          <xdr:row>3</xdr:row>
          <xdr:rowOff>209550</xdr:rowOff>
        </xdr:to>
        <xdr:sp macro="" textlink="">
          <xdr:nvSpPr>
            <xdr:cNvPr id="99335" name="Option Button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 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533400</xdr:colOff>
          <xdr:row>3</xdr:row>
          <xdr:rowOff>0</xdr:rowOff>
        </xdr:from>
        <xdr:to>
          <xdr:col>7</xdr:col>
          <xdr:colOff>457200</xdr:colOff>
          <xdr:row>3</xdr:row>
          <xdr:rowOff>209550</xdr:rowOff>
        </xdr:to>
        <xdr:sp macro="" textlink="">
          <xdr:nvSpPr>
            <xdr:cNvPr id="99336" name="Option Button 8" hidden="1">
              <a:extLst>
                <a:ext uri="{63B3BB69-23CF-44E3-9099-C40C66FF867C}">
                  <a14:compatExt spid="_x0000_s99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8 - 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3</xdr:row>
          <xdr:rowOff>0</xdr:rowOff>
        </xdr:from>
        <xdr:to>
          <xdr:col>8</xdr:col>
          <xdr:colOff>323850</xdr:colOff>
          <xdr:row>3</xdr:row>
          <xdr:rowOff>209550</xdr:rowOff>
        </xdr:to>
        <xdr:sp macro="" textlink="">
          <xdr:nvSpPr>
            <xdr:cNvPr id="99337" name="Option Button 9" hidden="1">
              <a:extLst>
                <a:ext uri="{63B3BB69-23CF-44E3-9099-C40C66FF867C}">
                  <a14:compatExt spid="_x0000_s99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9 - 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3</xdr:row>
          <xdr:rowOff>0</xdr:rowOff>
        </xdr:from>
        <xdr:to>
          <xdr:col>9</xdr:col>
          <xdr:colOff>419100</xdr:colOff>
          <xdr:row>3</xdr:row>
          <xdr:rowOff>209550</xdr:rowOff>
        </xdr:to>
        <xdr:sp macro="" textlink="">
          <xdr:nvSpPr>
            <xdr:cNvPr id="99338" name="Option Button 10" hidden="1">
              <a:extLst>
                <a:ext uri="{63B3BB69-23CF-44E3-9099-C40C66FF867C}">
                  <a14:compatExt spid="_x0000_s99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10 -Out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3</xdr:row>
          <xdr:rowOff>0</xdr:rowOff>
        </xdr:from>
        <xdr:to>
          <xdr:col>10</xdr:col>
          <xdr:colOff>28575</xdr:colOff>
          <xdr:row>3</xdr:row>
          <xdr:rowOff>209550</xdr:rowOff>
        </xdr:to>
        <xdr:sp macro="" textlink="">
          <xdr:nvSpPr>
            <xdr:cNvPr id="99339" name="Option Button 11" hidden="1">
              <a:extLst>
                <a:ext uri="{63B3BB69-23CF-44E3-9099-C40C66FF867C}">
                  <a14:compatExt spid="_x0000_s99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11 - 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3</xdr:row>
          <xdr:rowOff>0</xdr:rowOff>
        </xdr:from>
        <xdr:to>
          <xdr:col>10</xdr:col>
          <xdr:colOff>723900</xdr:colOff>
          <xdr:row>3</xdr:row>
          <xdr:rowOff>209550</xdr:rowOff>
        </xdr:to>
        <xdr:sp macro="" textlink="">
          <xdr:nvSpPr>
            <xdr:cNvPr id="99340" name="Option Button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>
                <a:alpha val="44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12 - Dez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38100</xdr:rowOff>
        </xdr:from>
        <xdr:to>
          <xdr:col>0</xdr:col>
          <xdr:colOff>352425</xdr:colOff>
          <xdr:row>0</xdr:row>
          <xdr:rowOff>285750</xdr:rowOff>
        </xdr:to>
        <xdr:sp macro="" textlink="">
          <xdr:nvSpPr>
            <xdr:cNvPr id="99341" name="Button 13" hidden="1">
              <a:extLst>
                <a:ext uri="{63B3BB69-23CF-44E3-9099-C40C66FF867C}">
                  <a14:compatExt spid="_x0000_s9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38100</xdr:rowOff>
        </xdr:from>
        <xdr:to>
          <xdr:col>0</xdr:col>
          <xdr:colOff>704850</xdr:colOff>
          <xdr:row>0</xdr:row>
          <xdr:rowOff>285750</xdr:rowOff>
        </xdr:to>
        <xdr:sp macro="" textlink="">
          <xdr:nvSpPr>
            <xdr:cNvPr id="99342" name="Button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Desktop/INFORMES/INFORMES%20MENSAIS%20CORPORATIVOS/INFORMES%20MENSAIS%202015/Centro%20de%20Custo%20Atualizado%20Versao%20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AppData/Local/Microsoft/Windows/Temporary%20Internet%20Files/Content.Outlook/2YC25AE3/OR&#199;AMENTO%20ADM%20GERAL%20201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illiam.klinger/Desktop/Ppto%202014%20VdP/Centro%20de%20Custo%20Atualizado%20Versao%20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rupo%20Manuelita/Valedo%20Parana/Informes/Seguimiento%20resultados%202015/12.%20Dezembro%202015/Archivos%20Adriano/Fluxo%20-%20Realizados%20601%20%20-%202015%20-%20Dezembr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AppData/Local/Microsoft/Windows/Temporary%20Internet%20Files/Content.Outlook/E85DZH15/Industria_2015/OR&#199;AMETNO%20INDUSTRIA%20REV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USTOS/RELATORIOS%202014/Relat&#243;rios%20Custo%20601/Or&#231;amento%20X%20Realizado%20601%20-%20Justificativas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adastro/Centro%20de%20Custo%20Atualizado%20Versao%205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OR&#199;AMENTO/OFICIAL%20DATASUL%202014/C&#243;pia%20de%20Administraci&#243;n%20Rev%2004%20ajustes%20Pantaleon%20ajsute%20gastos%20exportaci&#243;n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AppData/Local/Microsoft/Windows/Temporary%20Internet%20Files/Content.Outlook/E85DZH15/Comercial,%20Contratos%20e%20Logistica%20-%20Or&#231;amento%202015_V2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AppData/Local/Microsoft/Windows/Temporary%20Internet%20Files/Content.Outlook/2YC25AE3/CENTRO%20CUSTOS%20ATUAL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AppData/Local/Microsoft/Windows/Temporary%20Internet%20Files/Content.Outlook/6PFZ5FF9/Revis&#245;es%20CC/CC%20Industria%20-%20Aprova&#231;&#227;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moreira/Desktop/Revis&#245;es%20CC/CC%20Industria%20-%20Aprova&#231;&#227;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 de custo"/>
      <sheetName val="Usuario orçamentario"/>
      <sheetName val="CC Atual "/>
      <sheetName val="CC Atual Ind"/>
      <sheetName val="CC Atual Agr"/>
      <sheetName val="Vlr 2012x2013"/>
      <sheetName val="Desativados "/>
      <sheetName val="CC Datasul"/>
      <sheetName val="Classificação"/>
      <sheetName val="Plan1"/>
    </sheetNames>
    <sheetDataSet>
      <sheetData sheetId="0"/>
      <sheetData sheetId="1"/>
      <sheetData sheetId="2">
        <row r="2">
          <cell r="E2" t="str">
            <v>CODCC</v>
          </cell>
          <cell r="F2" t="str">
            <v>Título</v>
          </cell>
          <cell r="G2" t="str">
            <v>Un.Neg</v>
          </cell>
          <cell r="H2" t="str">
            <v>Tipo</v>
          </cell>
          <cell r="I2" t="str">
            <v>GESTOR</v>
          </cell>
          <cell r="J2" t="str">
            <v>Classificação</v>
          </cell>
          <cell r="K2" t="str">
            <v>STATUS</v>
          </cell>
          <cell r="L2" t="str">
            <v>Orçamento 2014</v>
          </cell>
          <cell r="M2" t="str">
            <v>APROVADOR</v>
          </cell>
          <cell r="N2" t="str">
            <v>DEPTO</v>
          </cell>
          <cell r="O2" t="str">
            <v>Status</v>
          </cell>
          <cell r="P2" t="str">
            <v>G1</v>
          </cell>
          <cell r="Q2" t="str">
            <v>G2</v>
          </cell>
          <cell r="R2" t="str">
            <v>G3</v>
          </cell>
          <cell r="S2" t="str">
            <v>G4</v>
          </cell>
          <cell r="T2" t="str">
            <v>G5</v>
          </cell>
        </row>
        <row r="3">
          <cell r="E3">
            <v>100100</v>
          </cell>
          <cell r="F3" t="str">
            <v>CONSELHO DE ADMINISTRACAO/FISCAL</v>
          </cell>
          <cell r="G3">
            <v>40</v>
          </cell>
          <cell r="H3" t="str">
            <v>ADM</v>
          </cell>
          <cell r="I3" t="str">
            <v>PAOLA LANDERAS</v>
          </cell>
          <cell r="J3" t="str">
            <v/>
          </cell>
          <cell r="N3" t="str">
            <v>CONSELHO</v>
          </cell>
          <cell r="O3" t="str">
            <v>ATIVO</v>
          </cell>
        </row>
        <row r="4">
          <cell r="E4">
            <v>100102</v>
          </cell>
          <cell r="F4" t="str">
            <v>CONSELHEIRO ADMINISTRATIVO/FISCAL</v>
          </cell>
          <cell r="G4">
            <v>40</v>
          </cell>
          <cell r="H4" t="str">
            <v>ADM</v>
          </cell>
          <cell r="I4" t="str">
            <v>PAOLA LANDERAS</v>
          </cell>
          <cell r="J4" t="str">
            <v>ADM PAIS</v>
          </cell>
          <cell r="K4" t="str">
            <v>Aguarda Contab.</v>
          </cell>
          <cell r="L4" t="str">
            <v>Mudar a 100106 e inactivar</v>
          </cell>
          <cell r="N4" t="str">
            <v>CONSELHO</v>
          </cell>
          <cell r="O4" t="str">
            <v>ATIVO</v>
          </cell>
          <cell r="P4" t="str">
            <v>E01</v>
          </cell>
          <cell r="Q4" t="str">
            <v>E20</v>
          </cell>
          <cell r="R4">
            <v>0</v>
          </cell>
        </row>
        <row r="5">
          <cell r="E5">
            <v>100102</v>
          </cell>
          <cell r="F5" t="str">
            <v>CONSELHEIRO ADMINISTRATIVO/FISCAL</v>
          </cell>
          <cell r="G5">
            <v>40</v>
          </cell>
          <cell r="H5" t="str">
            <v>ADM</v>
          </cell>
          <cell r="I5" t="str">
            <v>PAOLA LANDERAS</v>
          </cell>
          <cell r="J5" t="str">
            <v>ADM PAIS</v>
          </cell>
          <cell r="L5" t="str">
            <v>Mudar a 100106 e inactivar</v>
          </cell>
          <cell r="N5" t="str">
            <v>CONSELHO</v>
          </cell>
          <cell r="O5" t="str">
            <v>ATIVO</v>
          </cell>
          <cell r="P5" t="str">
            <v>E01</v>
          </cell>
          <cell r="Q5" t="str">
            <v>E03</v>
          </cell>
        </row>
        <row r="6">
          <cell r="E6">
            <v>100106</v>
          </cell>
          <cell r="F6" t="str">
            <v>CONSELHO FISCAL</v>
          </cell>
          <cell r="G6">
            <v>40</v>
          </cell>
          <cell r="H6" t="str">
            <v>ADM</v>
          </cell>
          <cell r="I6" t="str">
            <v>PAOLA LANDERAS</v>
          </cell>
          <cell r="J6" t="str">
            <v>ADM PAIS</v>
          </cell>
          <cell r="L6" t="str">
            <v>Despesa conselho fiscal</v>
          </cell>
          <cell r="N6" t="str">
            <v>CONSELHO</v>
          </cell>
          <cell r="O6" t="str">
            <v>ATIVO</v>
          </cell>
        </row>
        <row r="7">
          <cell r="E7">
            <v>100200</v>
          </cell>
          <cell r="F7" t="str">
            <v>DIRETORIA</v>
          </cell>
          <cell r="G7">
            <v>40</v>
          </cell>
          <cell r="H7" t="str">
            <v>ADM</v>
          </cell>
          <cell r="I7" t="str">
            <v>SALVADOR BIGURIA</v>
          </cell>
          <cell r="J7" t="str">
            <v/>
          </cell>
          <cell r="N7" t="str">
            <v>DIRETORIA</v>
          </cell>
          <cell r="O7" t="str">
            <v>ATIVO</v>
          </cell>
        </row>
        <row r="8">
          <cell r="E8">
            <v>100202</v>
          </cell>
          <cell r="F8" t="str">
            <v>DIRETOR PRESIDENTE</v>
          </cell>
          <cell r="G8">
            <v>40</v>
          </cell>
          <cell r="H8" t="str">
            <v>ADM</v>
          </cell>
          <cell r="I8" t="str">
            <v>SALVADOR BIGURIA</v>
          </cell>
          <cell r="J8" t="str">
            <v>ADM PAIS</v>
          </cell>
          <cell r="L8" t="str">
            <v>OK (Alfredo Maculet, Carlos Arce)</v>
          </cell>
          <cell r="N8" t="str">
            <v>CONSELHO</v>
          </cell>
          <cell r="O8" t="str">
            <v>ATIVO</v>
          </cell>
          <cell r="P8" t="str">
            <v>E01</v>
          </cell>
          <cell r="Q8" t="str">
            <v>E20</v>
          </cell>
          <cell r="R8">
            <v>0</v>
          </cell>
        </row>
        <row r="9">
          <cell r="E9">
            <v>100202</v>
          </cell>
          <cell r="F9" t="str">
            <v>DIRETOR PRESIDENTE</v>
          </cell>
          <cell r="G9">
            <v>40</v>
          </cell>
          <cell r="H9" t="str">
            <v>ADM</v>
          </cell>
          <cell r="I9" t="str">
            <v>SALVADOR BIGURIA</v>
          </cell>
          <cell r="J9" t="str">
            <v>ADM PAIS</v>
          </cell>
          <cell r="L9" t="str">
            <v>OK (Alfredo Maculet, Carlos Arce)</v>
          </cell>
          <cell r="N9" t="str">
            <v>CONSELHO</v>
          </cell>
          <cell r="O9" t="str">
            <v>ATIVO</v>
          </cell>
          <cell r="P9" t="str">
            <v>E01</v>
          </cell>
          <cell r="Q9" t="str">
            <v>E03</v>
          </cell>
        </row>
        <row r="10">
          <cell r="E10">
            <v>100300</v>
          </cell>
          <cell r="F10" t="str">
            <v>SUPERINTENDENCIA</v>
          </cell>
          <cell r="G10">
            <v>40</v>
          </cell>
          <cell r="H10" t="str">
            <v>ADM</v>
          </cell>
          <cell r="I10" t="str">
            <v>PAOLA LANDERAS</v>
          </cell>
          <cell r="J10" t="str">
            <v/>
          </cell>
          <cell r="N10" t="str">
            <v>DIRETORIA</v>
          </cell>
          <cell r="O10" t="str">
            <v>ATIVO</v>
          </cell>
        </row>
        <row r="11">
          <cell r="E11">
            <v>100302</v>
          </cell>
          <cell r="F11" t="str">
            <v>SUP.CONTROLADORIA E GESTAO</v>
          </cell>
          <cell r="G11">
            <v>40</v>
          </cell>
          <cell r="H11" t="str">
            <v>ADM</v>
          </cell>
          <cell r="I11" t="str">
            <v>PAOLA LANDERAS</v>
          </cell>
          <cell r="J11" t="str">
            <v>ADM ING</v>
          </cell>
          <cell r="K11" t="str">
            <v>ok - Email</v>
          </cell>
          <cell r="L11" t="str">
            <v>Preguntar A William que imobilizado esta com depreciaçao</v>
          </cell>
          <cell r="N11" t="str">
            <v>CONTROLADORIA</v>
          </cell>
          <cell r="O11" t="str">
            <v>ATIVO</v>
          </cell>
        </row>
        <row r="12">
          <cell r="E12">
            <v>100400</v>
          </cell>
          <cell r="F12" t="str">
            <v>ESCRITORIO DE SAO PAULO</v>
          </cell>
          <cell r="G12">
            <v>40</v>
          </cell>
          <cell r="H12" t="str">
            <v>ADM</v>
          </cell>
          <cell r="I12" t="str">
            <v>PAOLA LANDERAS</v>
          </cell>
          <cell r="J12" t="str">
            <v/>
          </cell>
          <cell r="N12" t="str">
            <v>CORPORATIVO</v>
          </cell>
          <cell r="O12" t="str">
            <v>ATIVO</v>
          </cell>
        </row>
        <row r="13">
          <cell r="E13">
            <v>100500</v>
          </cell>
          <cell r="F13" t="str">
            <v>ASSESSORIA DE IMPRENSA</v>
          </cell>
          <cell r="G13">
            <v>40</v>
          </cell>
          <cell r="H13" t="str">
            <v>ADM</v>
          </cell>
          <cell r="I13" t="str">
            <v>PAOLA LANDERAS</v>
          </cell>
          <cell r="J13" t="str">
            <v/>
          </cell>
          <cell r="N13" t="str">
            <v>DIRETORIA</v>
          </cell>
          <cell r="O13" t="str">
            <v>ATIVO</v>
          </cell>
        </row>
        <row r="14">
          <cell r="E14">
            <v>200000</v>
          </cell>
          <cell r="F14" t="str">
            <v>ADMINISTRACAO CORPORATIVA</v>
          </cell>
          <cell r="G14">
            <v>40</v>
          </cell>
          <cell r="H14" t="str">
            <v>ADM</v>
          </cell>
          <cell r="I14" t="str">
            <v>PAOLA LANDERAS</v>
          </cell>
          <cell r="J14" t="str">
            <v/>
          </cell>
          <cell r="N14" t="str">
            <v>CORPORATIVO</v>
          </cell>
          <cell r="O14" t="str">
            <v>ATIVO</v>
          </cell>
        </row>
        <row r="15">
          <cell r="E15">
            <v>200100</v>
          </cell>
          <cell r="F15" t="str">
            <v>GERENCIA ADMINISTRATIVA</v>
          </cell>
          <cell r="G15">
            <v>40</v>
          </cell>
          <cell r="H15" t="str">
            <v>ADM</v>
          </cell>
          <cell r="I15" t="str">
            <v>PAOLA LANDERAS</v>
          </cell>
          <cell r="J15" t="str">
            <v/>
          </cell>
          <cell r="N15" t="str">
            <v>ADMINISTRACAO GERAL</v>
          </cell>
          <cell r="O15" t="str">
            <v>ATIVO</v>
          </cell>
        </row>
        <row r="16">
          <cell r="E16">
            <v>200102</v>
          </cell>
          <cell r="F16" t="str">
            <v>ADMINISTRACAO CORPORATIVA</v>
          </cell>
          <cell r="G16">
            <v>40</v>
          </cell>
          <cell r="H16" t="str">
            <v>ADM</v>
          </cell>
          <cell r="I16" t="str">
            <v>PAOLA LANDERAS</v>
          </cell>
          <cell r="J16" t="str">
            <v>ADM CORP</v>
          </cell>
          <cell r="K16" t="str">
            <v>ok - Email</v>
          </cell>
          <cell r="L16" t="str">
            <v>Revisar alugueis, Orçamento de costo viajes/alimentación/Estadía comité administrativo y visita de dueños</v>
          </cell>
          <cell r="N16" t="str">
            <v>CORPORATIVO</v>
          </cell>
          <cell r="O16" t="str">
            <v>ATIVO</v>
          </cell>
          <cell r="P16" t="str">
            <v>E01</v>
          </cell>
          <cell r="Q16" t="str">
            <v>E20</v>
          </cell>
          <cell r="R16">
            <v>0</v>
          </cell>
        </row>
        <row r="17">
          <cell r="E17">
            <v>200103</v>
          </cell>
          <cell r="F17" t="str">
            <v>DESPESAS DE CAPACITAÇÕES</v>
          </cell>
          <cell r="G17">
            <v>40</v>
          </cell>
          <cell r="H17" t="str">
            <v>ADM</v>
          </cell>
          <cell r="I17" t="str">
            <v>PAOLA LANDERAS</v>
          </cell>
          <cell r="J17" t="str">
            <v>ADM CORP</v>
          </cell>
          <cell r="L17" t="str">
            <v>OK</v>
          </cell>
          <cell r="N17" t="str">
            <v>CORPORATIVO</v>
          </cell>
          <cell r="O17" t="str">
            <v>ATIVO</v>
          </cell>
          <cell r="P17" t="str">
            <v>E01</v>
          </cell>
          <cell r="Q17" t="str">
            <v>E20</v>
          </cell>
          <cell r="R17">
            <v>0</v>
          </cell>
        </row>
        <row r="18">
          <cell r="E18">
            <v>200200</v>
          </cell>
          <cell r="F18" t="str">
            <v>DEPTO CONTABILIDADE</v>
          </cell>
          <cell r="G18">
            <v>40</v>
          </cell>
          <cell r="H18" t="str">
            <v>ADM</v>
          </cell>
          <cell r="I18" t="str">
            <v>WILLIAN GUSTAVO</v>
          </cell>
          <cell r="J18" t="str">
            <v/>
          </cell>
          <cell r="N18" t="str">
            <v>CONTROLADORIA</v>
          </cell>
          <cell r="O18" t="str">
            <v>ATIVO</v>
          </cell>
        </row>
        <row r="19">
          <cell r="E19">
            <v>200202</v>
          </cell>
          <cell r="F19" t="str">
            <v>CONTABILIDADE/FISCAL/PATRIMONIAL</v>
          </cell>
          <cell r="G19">
            <v>40</v>
          </cell>
          <cell r="H19" t="str">
            <v>ADM</v>
          </cell>
          <cell r="I19" t="str">
            <v>WILLIAN GUSTAVO OLIVEIRA</v>
          </cell>
          <cell r="J19" t="str">
            <v>ADM ING</v>
          </cell>
          <cell r="K19" t="str">
            <v>Aguarda Contab.</v>
          </cell>
          <cell r="L19" t="str">
            <v>mudar nombre a CONTABILIDADES</v>
          </cell>
          <cell r="N19" t="str">
            <v>CONTROLADORIA</v>
          </cell>
          <cell r="O19" t="str">
            <v>ATIVO</v>
          </cell>
          <cell r="P19" t="str">
            <v>E01</v>
          </cell>
          <cell r="Q19" t="str">
            <v>E09</v>
          </cell>
          <cell r="R19">
            <v>0</v>
          </cell>
        </row>
        <row r="20">
          <cell r="E20">
            <v>200202</v>
          </cell>
          <cell r="F20" t="str">
            <v>CONTABILIDADE/FISCAL/PATRIMONIAL</v>
          </cell>
          <cell r="G20">
            <v>40</v>
          </cell>
          <cell r="H20" t="str">
            <v>ADM</v>
          </cell>
          <cell r="I20" t="str">
            <v>WILLIAN GUSTAVO OLIVEIRA</v>
          </cell>
          <cell r="J20" t="str">
            <v>ADM ING</v>
          </cell>
          <cell r="L20" t="str">
            <v>mudar nombre a CONTABILIDADES</v>
          </cell>
          <cell r="N20" t="str">
            <v>CONTROLADORIA</v>
          </cell>
          <cell r="O20" t="str">
            <v>ATIVO</v>
          </cell>
          <cell r="P20" t="str">
            <v>E01</v>
          </cell>
          <cell r="Q20" t="str">
            <v>E03</v>
          </cell>
          <cell r="R20" t="str">
            <v>E09</v>
          </cell>
        </row>
        <row r="21">
          <cell r="E21">
            <v>200300</v>
          </cell>
          <cell r="F21" t="str">
            <v>DEPARTAMENTO FISCAL</v>
          </cell>
          <cell r="G21">
            <v>40</v>
          </cell>
          <cell r="H21" t="str">
            <v>ADM</v>
          </cell>
          <cell r="I21" t="str">
            <v>RODOLFO LIMA</v>
          </cell>
          <cell r="J21" t="str">
            <v/>
          </cell>
          <cell r="N21" t="str">
            <v>CONTROLADORIA</v>
          </cell>
          <cell r="O21" t="str">
            <v>ATIVO</v>
          </cell>
        </row>
        <row r="22">
          <cell r="E22">
            <v>200302</v>
          </cell>
          <cell r="F22" t="str">
            <v>FISCAL</v>
          </cell>
          <cell r="G22">
            <v>40</v>
          </cell>
          <cell r="H22" t="str">
            <v>ADM</v>
          </cell>
          <cell r="I22" t="str">
            <v>RODOLFO LIMA</v>
          </cell>
          <cell r="J22" t="str">
            <v>ADM ING</v>
          </cell>
          <cell r="L22" t="str">
            <v>OK</v>
          </cell>
          <cell r="N22" t="str">
            <v>CONTROLADORIA</v>
          </cell>
          <cell r="O22" t="str">
            <v>ATIVO</v>
          </cell>
          <cell r="P22" t="str">
            <v>E01</v>
          </cell>
          <cell r="Q22" t="str">
            <v>E10</v>
          </cell>
          <cell r="R22">
            <v>0</v>
          </cell>
        </row>
        <row r="23">
          <cell r="E23">
            <v>200400</v>
          </cell>
          <cell r="F23" t="str">
            <v>RECURSOS HUMANOS</v>
          </cell>
          <cell r="G23">
            <v>40</v>
          </cell>
          <cell r="H23" t="str">
            <v>ADM</v>
          </cell>
          <cell r="I23" t="str">
            <v>CELSO SESTO</v>
          </cell>
          <cell r="J23" t="str">
            <v/>
          </cell>
          <cell r="N23" t="str">
            <v>Recursos Humanos</v>
          </cell>
          <cell r="O23" t="str">
            <v>ATIVO</v>
          </cell>
        </row>
        <row r="24">
          <cell r="E24">
            <v>200402</v>
          </cell>
          <cell r="F24" t="str">
            <v>ADMINISTRAÇÃO DE RECURSOS HUMANOS</v>
          </cell>
          <cell r="G24">
            <v>40</v>
          </cell>
          <cell r="H24" t="str">
            <v>ADM</v>
          </cell>
          <cell r="I24" t="str">
            <v>CELSO SESTO</v>
          </cell>
          <cell r="J24" t="str">
            <v>RH</v>
          </cell>
          <cell r="L24" t="str">
            <v>OK</v>
          </cell>
          <cell r="N24" t="str">
            <v>RECURSOS HUMANOS</v>
          </cell>
          <cell r="O24" t="str">
            <v>ATIVO</v>
          </cell>
          <cell r="P24" t="str">
            <v>E01</v>
          </cell>
          <cell r="Q24" t="str">
            <v>E12</v>
          </cell>
          <cell r="R24">
            <v>0</v>
          </cell>
        </row>
        <row r="25">
          <cell r="E25">
            <v>200402</v>
          </cell>
          <cell r="F25" t="str">
            <v>ADMINSITRAÇÃO DE RECURSOS HUMANOS</v>
          </cell>
          <cell r="G25">
            <v>40</v>
          </cell>
          <cell r="H25" t="str">
            <v>ADM</v>
          </cell>
          <cell r="I25" t="str">
            <v>CELSO SESTO</v>
          </cell>
          <cell r="J25" t="str">
            <v>RH</v>
          </cell>
          <cell r="L25" t="str">
            <v>OK</v>
          </cell>
          <cell r="N25" t="str">
            <v>RH</v>
          </cell>
          <cell r="O25" t="str">
            <v>ATIVO</v>
          </cell>
          <cell r="P25" t="str">
            <v>E01</v>
          </cell>
          <cell r="Q25" t="str">
            <v>E03</v>
          </cell>
        </row>
        <row r="26">
          <cell r="E26">
            <v>200410</v>
          </cell>
          <cell r="F26" t="str">
            <v>ASSISTÊNCIA SOCIAL</v>
          </cell>
          <cell r="G26">
            <v>40</v>
          </cell>
          <cell r="H26" t="str">
            <v>ADM</v>
          </cell>
          <cell r="I26" t="str">
            <v>CELSO SESTO</v>
          </cell>
          <cell r="J26" t="str">
            <v>RH</v>
          </cell>
          <cell r="K26" t="str">
            <v>ok</v>
          </cell>
          <cell r="L26" t="str">
            <v>Mudar nome a ASSISTÊNCIA SOCIAL</v>
          </cell>
          <cell r="N26" t="str">
            <v>ASSSITENTE SOCIAL</v>
          </cell>
          <cell r="O26" t="str">
            <v>ATIVO</v>
          </cell>
          <cell r="P26" t="str">
            <v>E01</v>
          </cell>
          <cell r="Q26" t="str">
            <v>E12</v>
          </cell>
          <cell r="R26" t="str">
            <v>E13</v>
          </cell>
        </row>
        <row r="27">
          <cell r="E27">
            <v>200410</v>
          </cell>
          <cell r="F27" t="str">
            <v>ASSISTÊNCIA SOCIAL</v>
          </cell>
          <cell r="G27">
            <v>40</v>
          </cell>
          <cell r="H27" t="str">
            <v>ADM</v>
          </cell>
          <cell r="I27" t="str">
            <v>CELSO SESTO</v>
          </cell>
          <cell r="J27" t="str">
            <v>RH</v>
          </cell>
          <cell r="L27" t="str">
            <v>OK</v>
          </cell>
          <cell r="N27" t="str">
            <v>Recursos Humanos</v>
          </cell>
          <cell r="O27" t="str">
            <v>ATIVO</v>
          </cell>
          <cell r="P27" t="str">
            <v>E01</v>
          </cell>
          <cell r="Q27" t="str">
            <v>E03</v>
          </cell>
        </row>
        <row r="28">
          <cell r="E28">
            <v>200600</v>
          </cell>
          <cell r="F28" t="str">
            <v>CUSTO E ORCAMENTO</v>
          </cell>
          <cell r="G28">
            <v>40</v>
          </cell>
          <cell r="H28" t="str">
            <v>ADM</v>
          </cell>
          <cell r="I28" t="str">
            <v>WILLIAN KLINGER</v>
          </cell>
          <cell r="J28" t="str">
            <v/>
          </cell>
          <cell r="N28" t="str">
            <v>CONTROLADORIA</v>
          </cell>
          <cell r="O28" t="str">
            <v>ATIVO</v>
          </cell>
        </row>
        <row r="29">
          <cell r="E29">
            <v>200602</v>
          </cell>
          <cell r="F29" t="str">
            <v>CUSTO E ORÇAMENTO</v>
          </cell>
          <cell r="G29">
            <v>40</v>
          </cell>
          <cell r="H29" t="str">
            <v>ADM</v>
          </cell>
          <cell r="I29" t="str">
            <v>WILLIAN KLINGER</v>
          </cell>
          <cell r="J29" t="str">
            <v>ADM ING</v>
          </cell>
          <cell r="L29" t="str">
            <v>OK</v>
          </cell>
          <cell r="N29" t="str">
            <v>CONTROLADORIA</v>
          </cell>
          <cell r="O29" t="str">
            <v>ATIVO</v>
          </cell>
          <cell r="P29" t="str">
            <v>E01</v>
          </cell>
          <cell r="Q29">
            <v>0</v>
          </cell>
          <cell r="R29">
            <v>0</v>
          </cell>
        </row>
        <row r="30">
          <cell r="E30">
            <v>200700</v>
          </cell>
          <cell r="F30" t="str">
            <v>ADMINISTRAÇÃO DE CONTRATOS</v>
          </cell>
          <cell r="G30">
            <v>40</v>
          </cell>
          <cell r="H30" t="str">
            <v>ADM</v>
          </cell>
          <cell r="I30" t="str">
            <v>MILTON VIERA</v>
          </cell>
          <cell r="J30" t="str">
            <v/>
          </cell>
          <cell r="N30" t="str">
            <v>CONTROLADORIA</v>
          </cell>
          <cell r="O30" t="str">
            <v>ATIVO</v>
          </cell>
        </row>
        <row r="31">
          <cell r="E31">
            <v>200702</v>
          </cell>
          <cell r="F31" t="str">
            <v>CONTRATOS</v>
          </cell>
          <cell r="G31">
            <v>40</v>
          </cell>
          <cell r="H31" t="str">
            <v>ADM</v>
          </cell>
          <cell r="I31" t="str">
            <v>MILTON VIERA</v>
          </cell>
          <cell r="J31" t="str">
            <v>ADM ING</v>
          </cell>
          <cell r="L31" t="str">
            <v>OK</v>
          </cell>
          <cell r="N31" t="str">
            <v>CONTROLADORIA</v>
          </cell>
          <cell r="O31" t="str">
            <v>ATIVO</v>
          </cell>
          <cell r="P31" t="str">
            <v>E01</v>
          </cell>
          <cell r="Q31" t="str">
            <v>E04</v>
          </cell>
          <cell r="R31">
            <v>0</v>
          </cell>
        </row>
        <row r="32">
          <cell r="E32">
            <v>200800</v>
          </cell>
          <cell r="F32" t="str">
            <v>TECNOLOGIA DA INFORMACAO</v>
          </cell>
          <cell r="G32">
            <v>40</v>
          </cell>
          <cell r="H32" t="str">
            <v>ADM</v>
          </cell>
          <cell r="I32" t="str">
            <v>EMERSON OLIVO</v>
          </cell>
          <cell r="J32" t="str">
            <v/>
          </cell>
          <cell r="N32" t="str">
            <v>TI</v>
          </cell>
          <cell r="O32" t="str">
            <v>ATIVO</v>
          </cell>
        </row>
        <row r="33">
          <cell r="E33">
            <v>200802</v>
          </cell>
          <cell r="F33" t="str">
            <v>TECNOLOGIA DA INFORMAÇÃO</v>
          </cell>
          <cell r="G33">
            <v>40</v>
          </cell>
          <cell r="H33" t="str">
            <v>ADM</v>
          </cell>
          <cell r="I33" t="str">
            <v>EMERSON OLIVO</v>
          </cell>
          <cell r="J33" t="str">
            <v>ADM ING</v>
          </cell>
          <cell r="K33" t="str">
            <v>Aguarda Contab.</v>
          </cell>
          <cell r="L33" t="str">
            <v>Pasar imobilizado al ceco  300802 (Inativar)</v>
          </cell>
          <cell r="N33" t="str">
            <v>TI</v>
          </cell>
          <cell r="O33" t="str">
            <v>ATIVO</v>
          </cell>
        </row>
        <row r="34">
          <cell r="E34">
            <v>201000</v>
          </cell>
          <cell r="F34" t="str">
            <v>SUPRIMENTOS</v>
          </cell>
          <cell r="G34">
            <v>40</v>
          </cell>
          <cell r="H34" t="str">
            <v>ADM</v>
          </cell>
          <cell r="I34" t="str">
            <v>GENNER FLORENCIO</v>
          </cell>
          <cell r="J34" t="str">
            <v/>
          </cell>
          <cell r="N34" t="str">
            <v>SUPRIMENTOS</v>
          </cell>
          <cell r="O34" t="str">
            <v>ATIVO</v>
          </cell>
        </row>
        <row r="35">
          <cell r="E35">
            <v>201002</v>
          </cell>
          <cell r="F35" t="str">
            <v>COMPRAS</v>
          </cell>
          <cell r="G35">
            <v>40</v>
          </cell>
          <cell r="H35" t="str">
            <v>ADM</v>
          </cell>
          <cell r="I35" t="str">
            <v>GENNER FLORENCIO</v>
          </cell>
          <cell r="J35" t="str">
            <v>LOGISTICA</v>
          </cell>
          <cell r="K35" t="str">
            <v>Aguarda Contab.</v>
          </cell>
          <cell r="L35" t="str">
            <v>Mudar nome a Logística</v>
          </cell>
          <cell r="N35" t="str">
            <v>SUPRIMENTOS</v>
          </cell>
          <cell r="O35" t="str">
            <v>ATIVO</v>
          </cell>
          <cell r="P35" t="str">
            <v>E01</v>
          </cell>
          <cell r="Q35" t="str">
            <v>E07</v>
          </cell>
          <cell r="R35" t="str">
            <v>E19</v>
          </cell>
        </row>
        <row r="36">
          <cell r="E36">
            <v>201200</v>
          </cell>
          <cell r="F36" t="str">
            <v>COMERCIAL</v>
          </cell>
          <cell r="G36">
            <v>30</v>
          </cell>
          <cell r="H36" t="str">
            <v>COM</v>
          </cell>
          <cell r="I36" t="str">
            <v>GENNER FLORENCIO</v>
          </cell>
          <cell r="J36" t="str">
            <v/>
          </cell>
          <cell r="N36" t="str">
            <v>COMERCIAL</v>
          </cell>
          <cell r="O36" t="str">
            <v>ATIVO</v>
          </cell>
        </row>
        <row r="37">
          <cell r="E37">
            <v>201202</v>
          </cell>
          <cell r="F37" t="str">
            <v>COMERCIAL</v>
          </cell>
          <cell r="G37">
            <v>30</v>
          </cell>
          <cell r="H37" t="str">
            <v>COM</v>
          </cell>
          <cell r="I37" t="str">
            <v>GENNER FLORENCIO</v>
          </cell>
          <cell r="J37" t="str">
            <v>LOGISTICA</v>
          </cell>
          <cell r="L37" t="str">
            <v>OK</v>
          </cell>
          <cell r="N37" t="str">
            <v>COMERCIAL</v>
          </cell>
          <cell r="O37" t="str">
            <v>ATIVO</v>
          </cell>
          <cell r="P37" t="str">
            <v>E01</v>
          </cell>
          <cell r="Q37" t="str">
            <v>E07</v>
          </cell>
          <cell r="R37" t="str">
            <v>E05</v>
          </cell>
        </row>
        <row r="38">
          <cell r="E38">
            <v>201204</v>
          </cell>
          <cell r="F38" t="str">
            <v>COMERCIALIZAÇÃO</v>
          </cell>
          <cell r="G38">
            <v>30</v>
          </cell>
          <cell r="H38" t="str">
            <v>COM</v>
          </cell>
          <cell r="I38" t="str">
            <v>GENNER FLORENCIO</v>
          </cell>
          <cell r="J38" t="str">
            <v>LOGISTICA</v>
          </cell>
          <cell r="L38" t="str">
            <v>OK (comissões e corretagens)</v>
          </cell>
          <cell r="N38" t="str">
            <v>COMERCIAL</v>
          </cell>
          <cell r="O38" t="str">
            <v>ATIVO</v>
          </cell>
          <cell r="P38" t="str">
            <v>E01</v>
          </cell>
          <cell r="Q38" t="str">
            <v>E07</v>
          </cell>
          <cell r="R38" t="str">
            <v>E05</v>
          </cell>
        </row>
        <row r="39">
          <cell r="E39">
            <v>201400</v>
          </cell>
          <cell r="F39" t="str">
            <v>FINANCEIRO</v>
          </cell>
          <cell r="G39">
            <v>40</v>
          </cell>
          <cell r="H39" t="str">
            <v>ADM</v>
          </cell>
          <cell r="I39" t="str">
            <v>SILVIO CABRIOTI</v>
          </cell>
          <cell r="J39" t="str">
            <v/>
          </cell>
          <cell r="N39" t="str">
            <v>CONTROLADORIA</v>
          </cell>
          <cell r="O39" t="str">
            <v>ATIVO</v>
          </cell>
        </row>
        <row r="40">
          <cell r="E40">
            <v>201402</v>
          </cell>
          <cell r="F40" t="str">
            <v>GERENCIA FINANCEIRA</v>
          </cell>
          <cell r="G40">
            <v>40</v>
          </cell>
          <cell r="H40" t="str">
            <v>ADM</v>
          </cell>
          <cell r="I40" t="str">
            <v>SILVIO CABRIOTI</v>
          </cell>
          <cell r="J40" t="str">
            <v>ADM ING</v>
          </cell>
          <cell r="K40" t="str">
            <v>Aguarda Contab.</v>
          </cell>
          <cell r="L40" t="str">
            <v>Pasar imobilizado al ceco 201.404 (inativar)</v>
          </cell>
          <cell r="N40" t="str">
            <v>CONTROLADORIA</v>
          </cell>
          <cell r="O40" t="str">
            <v>VERIFICAR</v>
          </cell>
        </row>
        <row r="41">
          <cell r="E41">
            <v>201404</v>
          </cell>
          <cell r="F41" t="str">
            <v>TESOURARIA</v>
          </cell>
          <cell r="G41">
            <v>40</v>
          </cell>
          <cell r="H41" t="str">
            <v>ADM</v>
          </cell>
          <cell r="I41" t="str">
            <v>SILVIO CABRIOTI</v>
          </cell>
          <cell r="J41" t="str">
            <v>ADM ING</v>
          </cell>
          <cell r="L41" t="str">
            <v>OK</v>
          </cell>
          <cell r="N41" t="str">
            <v>CONTROLADORIA</v>
          </cell>
          <cell r="O41" t="str">
            <v>ATIVO</v>
          </cell>
          <cell r="P41" t="str">
            <v>E01</v>
          </cell>
          <cell r="Q41" t="str">
            <v>E11</v>
          </cell>
          <cell r="R41">
            <v>0</v>
          </cell>
        </row>
        <row r="42">
          <cell r="E42">
            <v>201600</v>
          </cell>
          <cell r="F42" t="str">
            <v>JURIDICO</v>
          </cell>
          <cell r="G42">
            <v>40</v>
          </cell>
          <cell r="H42" t="str">
            <v>ADM</v>
          </cell>
          <cell r="I42" t="str">
            <v>THIAGO FOGAÇA</v>
          </cell>
          <cell r="J42" t="str">
            <v/>
          </cell>
          <cell r="N42" t="str">
            <v>JURIDICO</v>
          </cell>
          <cell r="O42" t="str">
            <v>ATIVO</v>
          </cell>
        </row>
        <row r="43">
          <cell r="E43">
            <v>201602</v>
          </cell>
          <cell r="F43" t="str">
            <v>JURÍDICO</v>
          </cell>
          <cell r="G43">
            <v>40</v>
          </cell>
          <cell r="H43" t="str">
            <v>ADM</v>
          </cell>
          <cell r="I43" t="str">
            <v>THIAGO FOGAÇA</v>
          </cell>
          <cell r="J43" t="str">
            <v>ADM PAIS</v>
          </cell>
          <cell r="L43" t="str">
            <v>OK</v>
          </cell>
          <cell r="N43" t="str">
            <v>JURIDICO</v>
          </cell>
          <cell r="O43" t="str">
            <v>ATIVO</v>
          </cell>
          <cell r="P43" t="str">
            <v>E01</v>
          </cell>
          <cell r="Q43" t="str">
            <v>E15</v>
          </cell>
          <cell r="R43">
            <v>0</v>
          </cell>
        </row>
        <row r="44">
          <cell r="E44">
            <v>201602</v>
          </cell>
          <cell r="F44" t="str">
            <v>JURÍDICO</v>
          </cell>
          <cell r="G44">
            <v>40</v>
          </cell>
          <cell r="H44" t="str">
            <v>ADM</v>
          </cell>
          <cell r="I44" t="str">
            <v>THIAGO FOGAÇA</v>
          </cell>
          <cell r="J44" t="str">
            <v>ADM PAIS</v>
          </cell>
          <cell r="L44" t="str">
            <v>OK</v>
          </cell>
          <cell r="N44" t="str">
            <v>JURIDICO</v>
          </cell>
          <cell r="O44" t="str">
            <v>ATIVO</v>
          </cell>
          <cell r="P44" t="str">
            <v>E01</v>
          </cell>
          <cell r="Q44" t="str">
            <v>E03</v>
          </cell>
          <cell r="R44" t="str">
            <v>E15</v>
          </cell>
        </row>
        <row r="45">
          <cell r="E45">
            <v>201800</v>
          </cell>
          <cell r="F45" t="str">
            <v>CONTROLE INTERNO</v>
          </cell>
          <cell r="G45">
            <v>40</v>
          </cell>
          <cell r="H45" t="str">
            <v>ADM</v>
          </cell>
          <cell r="I45" t="str">
            <v>PAOLA LANDERAS</v>
          </cell>
          <cell r="J45" t="str">
            <v/>
          </cell>
          <cell r="N45" t="str">
            <v>AUDITORIA INTERNA</v>
          </cell>
          <cell r="O45" t="str">
            <v>ATIVO</v>
          </cell>
        </row>
        <row r="46">
          <cell r="E46">
            <v>201802</v>
          </cell>
          <cell r="F46" t="str">
            <v>CONTROLE INTERNO</v>
          </cell>
          <cell r="G46">
            <v>40</v>
          </cell>
          <cell r="H46" t="str">
            <v>ADM</v>
          </cell>
          <cell r="I46" t="str">
            <v>PAOLA LANDERAS</v>
          </cell>
          <cell r="J46" t="str">
            <v>ADM ING</v>
          </cell>
          <cell r="K46" t="str">
            <v>ok - Email</v>
          </cell>
          <cell r="L46" t="str">
            <v>que imobilizado tem? (reclasificar e inativar)</v>
          </cell>
          <cell r="N46" t="str">
            <v>AUDITORIA INTERNA</v>
          </cell>
          <cell r="O46" t="str">
            <v>VERIFICAR</v>
          </cell>
        </row>
        <row r="47">
          <cell r="E47">
            <v>202000</v>
          </cell>
          <cell r="F47" t="str">
            <v>MEIO AMBIEMTE</v>
          </cell>
          <cell r="G47">
            <v>40</v>
          </cell>
          <cell r="H47" t="str">
            <v>ADM</v>
          </cell>
          <cell r="I47" t="str">
            <v>DINAEL VEIGA</v>
          </cell>
          <cell r="J47" t="str">
            <v/>
          </cell>
          <cell r="N47" t="str">
            <v>MEIO AMBIENTE</v>
          </cell>
          <cell r="O47" t="str">
            <v>ATIVO</v>
          </cell>
        </row>
        <row r="48">
          <cell r="E48">
            <v>202002</v>
          </cell>
          <cell r="F48" t="str">
            <v>MEIO AMBIENTE</v>
          </cell>
          <cell r="G48">
            <v>40</v>
          </cell>
          <cell r="H48" t="str">
            <v>ADM</v>
          </cell>
          <cell r="I48" t="str">
            <v>DINAEL VEIGA</v>
          </cell>
          <cell r="J48" t="str">
            <v>ADM PAIS</v>
          </cell>
          <cell r="L48" t="str">
            <v>OK</v>
          </cell>
          <cell r="N48" t="str">
            <v>MEIO AMBIENTE</v>
          </cell>
          <cell r="O48" t="str">
            <v>ATIVO</v>
          </cell>
          <cell r="P48" t="str">
            <v>E01</v>
          </cell>
          <cell r="Q48" t="str">
            <v>E06</v>
          </cell>
          <cell r="R48">
            <v>0</v>
          </cell>
        </row>
        <row r="49">
          <cell r="E49">
            <v>202002</v>
          </cell>
          <cell r="F49" t="str">
            <v>MEIO AMBIENTE</v>
          </cell>
          <cell r="G49">
            <v>40</v>
          </cell>
          <cell r="H49" t="str">
            <v>ADM</v>
          </cell>
          <cell r="I49" t="str">
            <v>DINAEL VEIGA</v>
          </cell>
          <cell r="J49" t="str">
            <v>ADM PAIS</v>
          </cell>
          <cell r="L49" t="str">
            <v>OK</v>
          </cell>
          <cell r="N49" t="str">
            <v>MEIO AMBIENTE</v>
          </cell>
          <cell r="O49" t="str">
            <v>ATIVO</v>
          </cell>
          <cell r="P49" t="str">
            <v>E01</v>
          </cell>
          <cell r="Q49" t="str">
            <v>E03</v>
          </cell>
        </row>
        <row r="50">
          <cell r="E50">
            <v>300000</v>
          </cell>
          <cell r="F50" t="str">
            <v>ADMINISTRACAO LOCAL</v>
          </cell>
          <cell r="G50">
            <v>40</v>
          </cell>
          <cell r="H50" t="str">
            <v>ADM</v>
          </cell>
          <cell r="I50" t="str">
            <v>PAOLA LANDERAS</v>
          </cell>
          <cell r="J50" t="str">
            <v/>
          </cell>
          <cell r="N50" t="str">
            <v>ADMINISTRACAO GERAL</v>
          </cell>
          <cell r="O50" t="str">
            <v>ATIVO</v>
          </cell>
        </row>
        <row r="51">
          <cell r="E51">
            <v>300200</v>
          </cell>
          <cell r="F51" t="str">
            <v>DEPTO CONTABIL</v>
          </cell>
          <cell r="G51">
            <v>40</v>
          </cell>
          <cell r="H51" t="str">
            <v>ADM</v>
          </cell>
          <cell r="I51" t="str">
            <v>WILLIAN GUSTAVO</v>
          </cell>
          <cell r="J51" t="str">
            <v/>
          </cell>
          <cell r="K51" t="str">
            <v>Sem movimento</v>
          </cell>
          <cell r="L51" t="str">
            <v>??????</v>
          </cell>
          <cell r="N51" t="str">
            <v>CONTROLADORIA</v>
          </cell>
          <cell r="O51" t="str">
            <v>ATIVO</v>
          </cell>
        </row>
        <row r="52">
          <cell r="E52">
            <v>300206</v>
          </cell>
          <cell r="F52" t="str">
            <v>FATURAMENTO</v>
          </cell>
          <cell r="G52">
            <v>40</v>
          </cell>
          <cell r="H52" t="str">
            <v>ADM</v>
          </cell>
          <cell r="I52" t="str">
            <v>GENNER FLORENCIO</v>
          </cell>
          <cell r="J52" t="str">
            <v>LOGISTICA</v>
          </cell>
          <cell r="L52" t="str">
            <v>OK</v>
          </cell>
          <cell r="N52" t="str">
            <v>CONTROLADORIA</v>
          </cell>
          <cell r="O52" t="str">
            <v>ATIVO</v>
          </cell>
          <cell r="P52" t="str">
            <v>E01</v>
          </cell>
          <cell r="Q52" t="str">
            <v>E07</v>
          </cell>
          <cell r="R52" t="str">
            <v>E22</v>
          </cell>
        </row>
        <row r="53">
          <cell r="E53">
            <v>300208</v>
          </cell>
          <cell r="F53" t="str">
            <v>RECEBIMENTO</v>
          </cell>
          <cell r="G53">
            <v>40</v>
          </cell>
          <cell r="H53" t="str">
            <v>ADM</v>
          </cell>
          <cell r="I53" t="str">
            <v>GENNER FLORENCIO</v>
          </cell>
          <cell r="J53" t="str">
            <v>ADM ING</v>
          </cell>
          <cell r="L53" t="str">
            <v>OK</v>
          </cell>
          <cell r="N53" t="str">
            <v>CONTROLADORIA</v>
          </cell>
          <cell r="O53" t="str">
            <v>ATIVO</v>
          </cell>
          <cell r="P53" t="str">
            <v>E01</v>
          </cell>
          <cell r="Q53" t="str">
            <v>E07</v>
          </cell>
          <cell r="R53" t="str">
            <v>E33</v>
          </cell>
        </row>
        <row r="54">
          <cell r="E54">
            <v>300210</v>
          </cell>
          <cell r="F54" t="str">
            <v>BALANÇA ENTRADA CANA</v>
          </cell>
          <cell r="G54">
            <v>40</v>
          </cell>
          <cell r="H54" t="str">
            <v>ADM</v>
          </cell>
          <cell r="I54" t="str">
            <v>GENNER FLORENCIO</v>
          </cell>
          <cell r="J54" t="str">
            <v>LOGISTICA</v>
          </cell>
          <cell r="L54" t="str">
            <v>OK</v>
          </cell>
          <cell r="N54" t="str">
            <v>CONTROLADORIA</v>
          </cell>
          <cell r="O54" t="str">
            <v>ATIVO</v>
          </cell>
          <cell r="P54" t="str">
            <v>E01</v>
          </cell>
          <cell r="Q54" t="str">
            <v>E07</v>
          </cell>
          <cell r="R54" t="str">
            <v>E22</v>
          </cell>
        </row>
        <row r="55">
          <cell r="E55">
            <v>300400</v>
          </cell>
          <cell r="F55" t="str">
            <v>RECURSOS HUMANOS</v>
          </cell>
          <cell r="G55">
            <v>40</v>
          </cell>
          <cell r="H55" t="str">
            <v>ADM</v>
          </cell>
          <cell r="I55" t="str">
            <v>CELSO SESTO</v>
          </cell>
          <cell r="J55" t="str">
            <v/>
          </cell>
          <cell r="N55" t="str">
            <v>Recursos Humanos</v>
          </cell>
          <cell r="O55" t="str">
            <v>ATIVO</v>
          </cell>
        </row>
        <row r="56">
          <cell r="E56">
            <v>300404</v>
          </cell>
          <cell r="F56" t="str">
            <v>ADMINISTRACAO DE PESSOAL</v>
          </cell>
          <cell r="G56">
            <v>40</v>
          </cell>
          <cell r="H56" t="str">
            <v>ADM</v>
          </cell>
          <cell r="I56" t="str">
            <v>CELSO SESTO</v>
          </cell>
          <cell r="J56" t="str">
            <v>RH</v>
          </cell>
          <cell r="L56" t="str">
            <v>OK</v>
          </cell>
          <cell r="N56" t="str">
            <v>DEPARTAMENTO PESSOAL</v>
          </cell>
          <cell r="O56" t="str">
            <v>ATIVO</v>
          </cell>
          <cell r="P56" t="str">
            <v>E01</v>
          </cell>
          <cell r="Q56" t="str">
            <v>E30</v>
          </cell>
          <cell r="R56" t="str">
            <v>E30</v>
          </cell>
        </row>
        <row r="57">
          <cell r="E57">
            <v>300404</v>
          </cell>
          <cell r="F57" t="str">
            <v>ADMINISTRACAO DE PESSOAL</v>
          </cell>
          <cell r="G57">
            <v>40</v>
          </cell>
          <cell r="H57" t="str">
            <v>ADM</v>
          </cell>
          <cell r="I57" t="str">
            <v>CELSO SESTO</v>
          </cell>
          <cell r="J57" t="str">
            <v>RH</v>
          </cell>
          <cell r="L57" t="str">
            <v>OK</v>
          </cell>
          <cell r="N57" t="str">
            <v>RH</v>
          </cell>
          <cell r="O57" t="str">
            <v>ATIVO</v>
          </cell>
          <cell r="P57" t="str">
            <v>E01</v>
          </cell>
          <cell r="Q57" t="str">
            <v>E03</v>
          </cell>
        </row>
        <row r="58">
          <cell r="E58">
            <v>300410</v>
          </cell>
          <cell r="F58" t="str">
            <v>MEDICINA DO TRABALHO</v>
          </cell>
          <cell r="G58">
            <v>40</v>
          </cell>
          <cell r="H58" t="str">
            <v>ADM</v>
          </cell>
          <cell r="I58" t="str">
            <v>CELSO SESTO</v>
          </cell>
          <cell r="J58" t="str">
            <v>RH</v>
          </cell>
          <cell r="L58" t="str">
            <v>OK</v>
          </cell>
          <cell r="N58" t="str">
            <v>MEDICINA DO TRABALHO</v>
          </cell>
          <cell r="O58" t="str">
            <v>ATIVO</v>
          </cell>
          <cell r="P58" t="str">
            <v>E01</v>
          </cell>
          <cell r="Q58" t="str">
            <v>E12</v>
          </cell>
          <cell r="R58" t="str">
            <v>E22</v>
          </cell>
        </row>
        <row r="59">
          <cell r="E59">
            <v>300410</v>
          </cell>
          <cell r="F59" t="str">
            <v>MEDICINA DO TRABALHO</v>
          </cell>
          <cell r="G59">
            <v>40</v>
          </cell>
          <cell r="H59" t="str">
            <v>ADM</v>
          </cell>
          <cell r="I59" t="str">
            <v>CELSO SESTO</v>
          </cell>
          <cell r="J59" t="str">
            <v>RH</v>
          </cell>
          <cell r="L59" t="str">
            <v>OK</v>
          </cell>
          <cell r="N59" t="str">
            <v>RH</v>
          </cell>
          <cell r="O59" t="str">
            <v>ATIVO</v>
          </cell>
          <cell r="P59" t="str">
            <v>E01</v>
          </cell>
          <cell r="Q59" t="str">
            <v>E03</v>
          </cell>
        </row>
        <row r="60">
          <cell r="E60">
            <v>300412</v>
          </cell>
          <cell r="F60" t="str">
            <v>SEGURANCA DO TRABALHO</v>
          </cell>
          <cell r="G60">
            <v>40</v>
          </cell>
          <cell r="H60" t="str">
            <v>ADM</v>
          </cell>
          <cell r="I60" t="str">
            <v>GABRIEL VIANA</v>
          </cell>
          <cell r="J60" t="str">
            <v>RH</v>
          </cell>
          <cell r="L60" t="str">
            <v>OK</v>
          </cell>
          <cell r="N60" t="str">
            <v>SEGURANÇA DO TRABALHO</v>
          </cell>
          <cell r="O60" t="str">
            <v>ATIVO</v>
          </cell>
          <cell r="P60" t="str">
            <v>E01</v>
          </cell>
          <cell r="Q60" t="str">
            <v>E14</v>
          </cell>
          <cell r="R60">
            <v>0</v>
          </cell>
        </row>
        <row r="61">
          <cell r="E61">
            <v>300412</v>
          </cell>
          <cell r="F61" t="str">
            <v>SEGURANCA DO TRABALHO</v>
          </cell>
          <cell r="G61">
            <v>40</v>
          </cell>
          <cell r="H61" t="str">
            <v>ADM</v>
          </cell>
          <cell r="I61" t="str">
            <v>GABRIEL VIANA</v>
          </cell>
          <cell r="J61" t="str">
            <v>RH</v>
          </cell>
          <cell r="L61" t="str">
            <v>OK</v>
          </cell>
          <cell r="N61" t="str">
            <v>RH</v>
          </cell>
          <cell r="O61" t="str">
            <v>ATIVO</v>
          </cell>
          <cell r="P61" t="str">
            <v>E01</v>
          </cell>
          <cell r="Q61" t="str">
            <v>E03</v>
          </cell>
          <cell r="R61" t="str">
            <v>E14</v>
          </cell>
        </row>
        <row r="62">
          <cell r="E62">
            <v>300414</v>
          </cell>
          <cell r="F62" t="str">
            <v>SEGURANCA PATRIMONIAL</v>
          </cell>
          <cell r="G62">
            <v>40</v>
          </cell>
          <cell r="H62" t="str">
            <v>ADM</v>
          </cell>
          <cell r="I62" t="str">
            <v>GABRIEL VIANA</v>
          </cell>
          <cell r="J62" t="str">
            <v>RH</v>
          </cell>
          <cell r="L62" t="str">
            <v>OK</v>
          </cell>
          <cell r="N62" t="str">
            <v>SERGURANÇA PATRIMONIAL</v>
          </cell>
          <cell r="O62" t="str">
            <v>ATIVO</v>
          </cell>
          <cell r="P62" t="str">
            <v>E01</v>
          </cell>
          <cell r="Q62" t="str">
            <v>E12</v>
          </cell>
          <cell r="R62">
            <v>0</v>
          </cell>
        </row>
        <row r="63">
          <cell r="E63">
            <v>300416</v>
          </cell>
          <cell r="F63" t="str">
            <v>RESTAURANTE</v>
          </cell>
          <cell r="G63">
            <v>40</v>
          </cell>
          <cell r="H63" t="str">
            <v>ADM</v>
          </cell>
          <cell r="I63" t="str">
            <v>GABRIEL VIANA</v>
          </cell>
          <cell r="J63" t="str">
            <v>RH</v>
          </cell>
          <cell r="L63" t="str">
            <v>OK</v>
          </cell>
          <cell r="N63" t="str">
            <v>REFEITÓRIO</v>
          </cell>
          <cell r="O63" t="str">
            <v>ATIVO</v>
          </cell>
          <cell r="P63" t="str">
            <v>E01</v>
          </cell>
          <cell r="Q63" t="str">
            <v>E14</v>
          </cell>
          <cell r="R63">
            <v>0</v>
          </cell>
        </row>
        <row r="64">
          <cell r="E64">
            <v>300420</v>
          </cell>
          <cell r="F64" t="str">
            <v>RECEPCAO, COPA E COZINHA</v>
          </cell>
          <cell r="G64">
            <v>40</v>
          </cell>
          <cell r="H64" t="str">
            <v>ADM</v>
          </cell>
          <cell r="I64" t="str">
            <v>WILLIAN GUSTAVO OLIVEIRA</v>
          </cell>
          <cell r="J64" t="str">
            <v>ADM ING</v>
          </cell>
          <cell r="K64" t="str">
            <v>ok - Email</v>
          </cell>
          <cell r="L64" t="str">
            <v>??? Que despesas tem</v>
          </cell>
          <cell r="N64" t="str">
            <v>ADMINISTRAÇÃO</v>
          </cell>
          <cell r="O64" t="str">
            <v>ATIVO</v>
          </cell>
          <cell r="P64" t="str">
            <v>E01</v>
          </cell>
          <cell r="Q64" t="str">
            <v>E14</v>
          </cell>
          <cell r="R64" t="str">
            <v>E20</v>
          </cell>
        </row>
        <row r="65">
          <cell r="E65">
            <v>300421</v>
          </cell>
          <cell r="F65" t="str">
            <v>SERVICOS GERAIS</v>
          </cell>
          <cell r="G65">
            <v>40</v>
          </cell>
          <cell r="H65" t="str">
            <v>ADM</v>
          </cell>
          <cell r="I65" t="str">
            <v>GABRIEL VIANA</v>
          </cell>
          <cell r="J65" t="str">
            <v/>
          </cell>
          <cell r="L65" t="str">
            <v>OK</v>
          </cell>
          <cell r="N65" t="str">
            <v>SEGURANÇA DO TRABALHO</v>
          </cell>
          <cell r="O65" t="str">
            <v>ATIVO</v>
          </cell>
          <cell r="P65" t="str">
            <v>E01</v>
          </cell>
          <cell r="Q65" t="str">
            <v>E14</v>
          </cell>
        </row>
        <row r="66">
          <cell r="E66">
            <v>300421</v>
          </cell>
          <cell r="F66" t="str">
            <v>SERVICOS GERAIS</v>
          </cell>
          <cell r="G66">
            <v>40</v>
          </cell>
          <cell r="H66" t="str">
            <v>ADM</v>
          </cell>
          <cell r="I66" t="str">
            <v>GABRIEL VIANA</v>
          </cell>
          <cell r="J66" t="str">
            <v/>
          </cell>
          <cell r="L66" t="str">
            <v>OK</v>
          </cell>
          <cell r="N66" t="str">
            <v>SEGURANÇA DO TRABALHO</v>
          </cell>
          <cell r="O66" t="str">
            <v>ATIVO</v>
          </cell>
        </row>
        <row r="67">
          <cell r="E67">
            <v>300600</v>
          </cell>
          <cell r="F67" t="str">
            <v>ADMINISTRAÇÃO GERAL</v>
          </cell>
          <cell r="G67">
            <v>40</v>
          </cell>
          <cell r="H67" t="str">
            <v>ADM</v>
          </cell>
          <cell r="I67" t="str">
            <v>PAOLA LANDERAS</v>
          </cell>
          <cell r="J67" t="str">
            <v/>
          </cell>
          <cell r="N67" t="str">
            <v>ADMINISTRACAO GERAL</v>
          </cell>
          <cell r="O67" t="str">
            <v>ATIVO</v>
          </cell>
        </row>
        <row r="68">
          <cell r="E68">
            <v>300602</v>
          </cell>
          <cell r="F68" t="str">
            <v>ADMINISTRAÇÃO GERAL</v>
          </cell>
          <cell r="G68">
            <v>40</v>
          </cell>
          <cell r="H68" t="str">
            <v>ADM</v>
          </cell>
          <cell r="I68" t="str">
            <v>PAOLA LANDERAS</v>
          </cell>
          <cell r="J68" t="str">
            <v>ADM PAIS</v>
          </cell>
          <cell r="K68" t="str">
            <v>Aguarda Contab.</v>
          </cell>
          <cell r="L68" t="str">
            <v>Mudar nome a GERÊNCIA ADMINISTRATIVA FINANCEIRA (Gastos de Paola)</v>
          </cell>
          <cell r="N68" t="str">
            <v>ADMINISTRACAO GERAL</v>
          </cell>
          <cell r="O68" t="str">
            <v>ATIVO</v>
          </cell>
          <cell r="P68" t="str">
            <v>E01</v>
          </cell>
          <cell r="Q68" t="str">
            <v>E20</v>
          </cell>
          <cell r="R68">
            <v>0</v>
          </cell>
        </row>
        <row r="69">
          <cell r="E69">
            <v>300602</v>
          </cell>
          <cell r="F69" t="str">
            <v>ADMINISTRAÇÃO GERAL</v>
          </cell>
          <cell r="G69">
            <v>40</v>
          </cell>
          <cell r="H69" t="str">
            <v>ADM</v>
          </cell>
          <cell r="I69" t="str">
            <v>MARTIM LOOSLI</v>
          </cell>
          <cell r="J69" t="str">
            <v>ADM PAIS</v>
          </cell>
          <cell r="L69" t="str">
            <v>Preguntar despesas (inativar)</v>
          </cell>
          <cell r="N69" t="str">
            <v>ADMINISTRACAO GERAL</v>
          </cell>
          <cell r="O69" t="str">
            <v>ATIVO</v>
          </cell>
          <cell r="P69" t="str">
            <v>E01</v>
          </cell>
          <cell r="Q69" t="str">
            <v>E03</v>
          </cell>
        </row>
        <row r="70">
          <cell r="E70">
            <v>300604</v>
          </cell>
          <cell r="F70" t="str">
            <v>GERÊNCIA GERAL</v>
          </cell>
          <cell r="G70">
            <v>40</v>
          </cell>
          <cell r="H70" t="str">
            <v>ADM</v>
          </cell>
          <cell r="I70" t="str">
            <v>ALBERTO OTOYA</v>
          </cell>
          <cell r="J70" t="str">
            <v>ADM ING</v>
          </cell>
          <cell r="K70" t="str">
            <v>ok</v>
          </cell>
          <cell r="L70" t="str">
            <v>Mudar gestor ALBERTO OTOYA</v>
          </cell>
          <cell r="N70" t="str">
            <v>ADMINISTRACAO GERAL</v>
          </cell>
          <cell r="O70" t="str">
            <v>ATIVO</v>
          </cell>
          <cell r="P70" t="str">
            <v>E01</v>
          </cell>
          <cell r="Q70" t="str">
            <v>E20</v>
          </cell>
          <cell r="R70">
            <v>0</v>
          </cell>
        </row>
        <row r="71">
          <cell r="E71">
            <v>300606</v>
          </cell>
          <cell r="F71" t="str">
            <v>GER.ADMINISTRACAO DE RISCO E AUDITORIA</v>
          </cell>
          <cell r="G71">
            <v>40</v>
          </cell>
          <cell r="H71" t="str">
            <v>ADM</v>
          </cell>
          <cell r="I71" t="str">
            <v>JOSE MARTINEZ</v>
          </cell>
          <cell r="J71" t="str">
            <v>ADM CORP</v>
          </cell>
          <cell r="L71" t="str">
            <v>OK</v>
          </cell>
          <cell r="N71" t="str">
            <v>AUDITORIA INTERNA</v>
          </cell>
          <cell r="O71" t="str">
            <v>ATIVO</v>
          </cell>
          <cell r="P71" t="str">
            <v>E01</v>
          </cell>
          <cell r="Q71">
            <v>0</v>
          </cell>
          <cell r="R71">
            <v>0</v>
          </cell>
        </row>
        <row r="72">
          <cell r="E72">
            <v>300607</v>
          </cell>
          <cell r="F72" t="str">
            <v>INDENIZACOES TRABALHISTAS</v>
          </cell>
          <cell r="G72">
            <v>40</v>
          </cell>
          <cell r="H72" t="str">
            <v>ADM</v>
          </cell>
          <cell r="I72" t="str">
            <v>ALBERTO OTOYA</v>
          </cell>
          <cell r="J72" t="str">
            <v/>
          </cell>
        </row>
        <row r="73">
          <cell r="E73">
            <v>300607</v>
          </cell>
          <cell r="F73" t="str">
            <v>INDENIZACOES TRABALHISTAS</v>
          </cell>
          <cell r="G73">
            <v>40</v>
          </cell>
          <cell r="H73" t="str">
            <v>ADM</v>
          </cell>
          <cell r="I73" t="str">
            <v>ALBERTO OTOYA</v>
          </cell>
          <cell r="J73" t="str">
            <v/>
          </cell>
        </row>
        <row r="74">
          <cell r="E74">
            <v>300608</v>
          </cell>
          <cell r="F74" t="str">
            <v>INDENIZACOES CIVEIS</v>
          </cell>
          <cell r="G74">
            <v>40</v>
          </cell>
          <cell r="H74" t="str">
            <v>ADM</v>
          </cell>
          <cell r="I74" t="str">
            <v>ALBERTO OTOYA</v>
          </cell>
          <cell r="J74" t="str">
            <v/>
          </cell>
        </row>
        <row r="75">
          <cell r="E75">
            <v>300608</v>
          </cell>
          <cell r="F75" t="str">
            <v>INDENIZACOES CIVEIS</v>
          </cell>
          <cell r="G75">
            <v>40</v>
          </cell>
          <cell r="H75" t="str">
            <v>ADM</v>
          </cell>
          <cell r="I75" t="str">
            <v>ALBERTO OTOYA</v>
          </cell>
          <cell r="J75" t="str">
            <v/>
          </cell>
        </row>
        <row r="76">
          <cell r="E76">
            <v>300609</v>
          </cell>
          <cell r="F76" t="str">
            <v>INDENIZACOES AMBIENTAIS</v>
          </cell>
          <cell r="G76">
            <v>40</v>
          </cell>
          <cell r="H76" t="str">
            <v>ADM</v>
          </cell>
          <cell r="I76" t="str">
            <v>ALBERTO OTOYA</v>
          </cell>
          <cell r="J76" t="str">
            <v/>
          </cell>
        </row>
        <row r="77">
          <cell r="E77">
            <v>300609</v>
          </cell>
          <cell r="F77" t="str">
            <v>INDENIZACOES AMBIENTAIS</v>
          </cell>
          <cell r="G77">
            <v>40</v>
          </cell>
          <cell r="H77" t="str">
            <v>ADM</v>
          </cell>
          <cell r="I77" t="str">
            <v>ALBERTO OTOYA</v>
          </cell>
          <cell r="J77" t="str">
            <v/>
          </cell>
        </row>
        <row r="78">
          <cell r="E78">
            <v>300610</v>
          </cell>
          <cell r="F78" t="str">
            <v>INDENIZACOES TRIBUTARIA</v>
          </cell>
          <cell r="G78">
            <v>40</v>
          </cell>
          <cell r="H78" t="str">
            <v>ADM</v>
          </cell>
          <cell r="I78" t="str">
            <v>ALBERTO OTOYA</v>
          </cell>
          <cell r="J78" t="str">
            <v/>
          </cell>
        </row>
        <row r="79">
          <cell r="E79">
            <v>300610</v>
          </cell>
          <cell r="F79" t="str">
            <v>INDENIZACOES TRIBUTARIA</v>
          </cell>
          <cell r="G79">
            <v>40</v>
          </cell>
          <cell r="H79" t="str">
            <v>ADM</v>
          </cell>
          <cell r="I79" t="str">
            <v>ALBERTO OTOYA</v>
          </cell>
          <cell r="J79" t="str">
            <v/>
          </cell>
        </row>
        <row r="80">
          <cell r="E80">
            <v>300800</v>
          </cell>
          <cell r="F80" t="str">
            <v>TECNOLOGIA DA INFORMACAO</v>
          </cell>
          <cell r="G80">
            <v>40</v>
          </cell>
          <cell r="H80" t="str">
            <v>ADM</v>
          </cell>
          <cell r="I80" t="str">
            <v>EMERSON OLIVO</v>
          </cell>
          <cell r="J80" t="str">
            <v/>
          </cell>
          <cell r="N80" t="str">
            <v>TI</v>
          </cell>
          <cell r="O80" t="str">
            <v>ATIVO</v>
          </cell>
        </row>
        <row r="81">
          <cell r="E81">
            <v>300802</v>
          </cell>
          <cell r="F81" t="str">
            <v>TECNOLOGIA DA INFORMAÇÃO</v>
          </cell>
          <cell r="G81">
            <v>40</v>
          </cell>
          <cell r="H81" t="str">
            <v>ADM</v>
          </cell>
          <cell r="I81" t="str">
            <v>EMERSON OLIVO</v>
          </cell>
          <cell r="J81" t="str">
            <v>ADM ING</v>
          </cell>
          <cell r="L81" t="str">
            <v>OK</v>
          </cell>
          <cell r="N81" t="str">
            <v>TI</v>
          </cell>
          <cell r="O81" t="str">
            <v>ATIVO</v>
          </cell>
          <cell r="P81" t="str">
            <v>E01</v>
          </cell>
          <cell r="Q81">
            <v>0</v>
          </cell>
          <cell r="R81">
            <v>0</v>
          </cell>
        </row>
        <row r="82">
          <cell r="E82">
            <v>300802</v>
          </cell>
          <cell r="F82" t="str">
            <v>TECNOLOGIA DA INFORMAÇÃO</v>
          </cell>
          <cell r="G82">
            <v>40</v>
          </cell>
          <cell r="H82" t="str">
            <v>ADM</v>
          </cell>
          <cell r="I82" t="str">
            <v>EMERSON OLIVO</v>
          </cell>
          <cell r="J82" t="str">
            <v>ADM ING</v>
          </cell>
          <cell r="L82" t="str">
            <v>OK</v>
          </cell>
          <cell r="N82" t="str">
            <v>TI</v>
          </cell>
          <cell r="O82" t="str">
            <v>ATIVO</v>
          </cell>
          <cell r="P82" t="str">
            <v>E01</v>
          </cell>
          <cell r="Q82" t="str">
            <v>E03</v>
          </cell>
        </row>
        <row r="83">
          <cell r="E83">
            <v>301000</v>
          </cell>
          <cell r="F83" t="str">
            <v>SUPRIMENTOS</v>
          </cell>
          <cell r="G83">
            <v>40</v>
          </cell>
          <cell r="H83" t="str">
            <v>ADM</v>
          </cell>
          <cell r="I83" t="str">
            <v>GENNER FLORENCIO</v>
          </cell>
          <cell r="J83" t="str">
            <v/>
          </cell>
          <cell r="N83" t="str">
            <v>SUPRIMENTOS</v>
          </cell>
          <cell r="O83" t="str">
            <v>ATIVO</v>
          </cell>
        </row>
        <row r="84">
          <cell r="E84">
            <v>301002</v>
          </cell>
          <cell r="F84" t="str">
            <v>ALMOXARIFADO AUTOMOTIVO</v>
          </cell>
          <cell r="G84">
            <v>40</v>
          </cell>
          <cell r="H84" t="str">
            <v>ADM</v>
          </cell>
          <cell r="I84" t="str">
            <v>GENNER FLORENCIO</v>
          </cell>
          <cell r="J84" t="str">
            <v>LOGISTICA</v>
          </cell>
          <cell r="L84" t="str">
            <v>OK</v>
          </cell>
          <cell r="N84" t="str">
            <v>SUPRIMENTOS</v>
          </cell>
          <cell r="O84" t="str">
            <v>ATIVO</v>
          </cell>
          <cell r="P84" t="str">
            <v>E01</v>
          </cell>
          <cell r="Q84" t="str">
            <v>E07</v>
          </cell>
          <cell r="R84" t="str">
            <v>E08</v>
          </cell>
        </row>
        <row r="85">
          <cell r="E85">
            <v>301002</v>
          </cell>
          <cell r="F85" t="str">
            <v>ALMOXARIFADO AUTOMOTIVO</v>
          </cell>
          <cell r="G85">
            <v>40</v>
          </cell>
          <cell r="H85" t="str">
            <v>ADM</v>
          </cell>
          <cell r="I85" t="str">
            <v>GENNER FLORENCIO</v>
          </cell>
          <cell r="J85" t="str">
            <v>LOGISTICA</v>
          </cell>
          <cell r="L85" t="str">
            <v>OK</v>
          </cell>
          <cell r="N85" t="str">
            <v>SUPRIMENTOS</v>
          </cell>
          <cell r="O85" t="str">
            <v>ATIVO</v>
          </cell>
          <cell r="P85" t="str">
            <v>E01</v>
          </cell>
          <cell r="Q85" t="str">
            <v>E03</v>
          </cell>
          <cell r="R85" t="str">
            <v>E07</v>
          </cell>
          <cell r="S85" t="str">
            <v>E08</v>
          </cell>
        </row>
        <row r="86">
          <cell r="E86">
            <v>301004</v>
          </cell>
          <cell r="F86" t="str">
            <v>ALMOXARIFADO INDUSTRIAL</v>
          </cell>
          <cell r="G86">
            <v>40</v>
          </cell>
          <cell r="H86" t="str">
            <v>ADM</v>
          </cell>
          <cell r="I86" t="str">
            <v>GENNER FLORENCIO</v>
          </cell>
          <cell r="J86" t="str">
            <v>LOGISTICA</v>
          </cell>
          <cell r="L86" t="str">
            <v>OK</v>
          </cell>
          <cell r="N86" t="str">
            <v>SUPRIMENTOS</v>
          </cell>
          <cell r="O86" t="str">
            <v>ATIVO</v>
          </cell>
          <cell r="P86" t="str">
            <v>E01</v>
          </cell>
          <cell r="Q86" t="str">
            <v>E07</v>
          </cell>
          <cell r="R86" t="str">
            <v>E08</v>
          </cell>
        </row>
        <row r="87">
          <cell r="E87">
            <v>301006</v>
          </cell>
          <cell r="F87" t="str">
            <v>POSTO ABASTECIMENTO</v>
          </cell>
          <cell r="G87">
            <v>40</v>
          </cell>
          <cell r="H87" t="str">
            <v>ADM</v>
          </cell>
          <cell r="I87" t="str">
            <v>GENNER FLORENCIO</v>
          </cell>
          <cell r="J87" t="str">
            <v>LOGISTICA</v>
          </cell>
          <cell r="L87" t="str">
            <v>OK</v>
          </cell>
          <cell r="N87" t="str">
            <v>SUPRIMENTOS</v>
          </cell>
          <cell r="O87" t="str">
            <v>ATIVO</v>
          </cell>
          <cell r="P87" t="str">
            <v>E01</v>
          </cell>
          <cell r="Q87" t="str">
            <v>E07</v>
          </cell>
          <cell r="R87" t="str">
            <v>E08</v>
          </cell>
        </row>
        <row r="88">
          <cell r="E88">
            <v>301006</v>
          </cell>
          <cell r="F88" t="str">
            <v>POSTO ABASTECIMENTO</v>
          </cell>
          <cell r="G88">
            <v>40</v>
          </cell>
          <cell r="H88" t="str">
            <v>ADM</v>
          </cell>
          <cell r="I88" t="str">
            <v>GENNER FLORENCIO</v>
          </cell>
          <cell r="J88" t="str">
            <v>LOGISTICA</v>
          </cell>
          <cell r="L88" t="str">
            <v>OK</v>
          </cell>
          <cell r="N88" t="str">
            <v>Verificar</v>
          </cell>
          <cell r="O88" t="str">
            <v>ATIVO</v>
          </cell>
          <cell r="P88" t="str">
            <v>E01</v>
          </cell>
          <cell r="Q88" t="str">
            <v>E03</v>
          </cell>
          <cell r="R88" t="str">
            <v>E07</v>
          </cell>
          <cell r="S88" t="str">
            <v>E08</v>
          </cell>
        </row>
        <row r="89">
          <cell r="E89">
            <v>301200</v>
          </cell>
          <cell r="F89" t="str">
            <v>DEPTO COMERCIAL</v>
          </cell>
          <cell r="G89">
            <v>30</v>
          </cell>
          <cell r="H89" t="str">
            <v>COM</v>
          </cell>
          <cell r="I89" t="str">
            <v>GENNER FLORENCIO</v>
          </cell>
          <cell r="J89" t="str">
            <v/>
          </cell>
          <cell r="N89" t="str">
            <v>COMERCIAL</v>
          </cell>
          <cell r="O89" t="str">
            <v>ATIVO</v>
          </cell>
        </row>
        <row r="90">
          <cell r="E90">
            <v>301202</v>
          </cell>
          <cell r="F90" t="str">
            <v>ARMAZENAGEM DE ALCOOL</v>
          </cell>
          <cell r="G90">
            <v>30</v>
          </cell>
          <cell r="H90" t="str">
            <v>COM</v>
          </cell>
          <cell r="I90" t="str">
            <v>GENNER FLORENCIO</v>
          </cell>
          <cell r="J90" t="str">
            <v>LOGISTICA</v>
          </cell>
          <cell r="L90" t="str">
            <v>OK</v>
          </cell>
          <cell r="N90" t="str">
            <v>COMERCIAL</v>
          </cell>
          <cell r="O90" t="str">
            <v>ATIVO</v>
          </cell>
          <cell r="P90" t="str">
            <v>E01</v>
          </cell>
          <cell r="Q90" t="str">
            <v>E07</v>
          </cell>
          <cell r="R90" t="str">
            <v>E05</v>
          </cell>
        </row>
        <row r="91">
          <cell r="E91">
            <v>301204</v>
          </cell>
          <cell r="F91" t="str">
            <v>ARMAZENAGEM DE ACUCAR</v>
          </cell>
          <cell r="G91">
            <v>30</v>
          </cell>
          <cell r="H91" t="str">
            <v>COM</v>
          </cell>
          <cell r="I91" t="str">
            <v>GENNER FLORENCIO</v>
          </cell>
          <cell r="J91" t="str">
            <v/>
          </cell>
          <cell r="L91" t="str">
            <v>OK</v>
          </cell>
          <cell r="N91" t="str">
            <v>COMERCIAL</v>
          </cell>
          <cell r="O91" t="str">
            <v>ATIVO</v>
          </cell>
        </row>
        <row r="92">
          <cell r="E92">
            <v>301206</v>
          </cell>
          <cell r="F92" t="str">
            <v>CARREGAMENTO</v>
          </cell>
          <cell r="G92">
            <v>30</v>
          </cell>
          <cell r="H92" t="str">
            <v>COM</v>
          </cell>
          <cell r="I92" t="str">
            <v>GENNER FLORENCIO</v>
          </cell>
          <cell r="J92" t="str">
            <v>LOGISTICA</v>
          </cell>
          <cell r="L92" t="str">
            <v>OK</v>
          </cell>
          <cell r="N92" t="str">
            <v>COMERCIAL</v>
          </cell>
          <cell r="O92" t="str">
            <v>ATIVO</v>
          </cell>
          <cell r="P92" t="str">
            <v>E01</v>
          </cell>
          <cell r="Q92" t="str">
            <v>E07</v>
          </cell>
          <cell r="R92" t="str">
            <v>E05</v>
          </cell>
        </row>
        <row r="93">
          <cell r="E93">
            <v>301208</v>
          </cell>
          <cell r="F93" t="str">
            <v>LOGISTICA E TRANSPORTE</v>
          </cell>
          <cell r="G93">
            <v>30</v>
          </cell>
          <cell r="H93" t="str">
            <v>COM</v>
          </cell>
          <cell r="I93" t="str">
            <v>GENNER FLORENCIO</v>
          </cell>
          <cell r="J93" t="str">
            <v/>
          </cell>
          <cell r="L93" t="str">
            <v>OK</v>
          </cell>
          <cell r="N93" t="str">
            <v>COMERCIAL</v>
          </cell>
          <cell r="O93" t="str">
            <v>ATIVO</v>
          </cell>
          <cell r="P93" t="str">
            <v>E01</v>
          </cell>
          <cell r="Q93" t="str">
            <v>E07</v>
          </cell>
          <cell r="R93" t="str">
            <v>E05</v>
          </cell>
        </row>
        <row r="94">
          <cell r="E94">
            <v>301290</v>
          </cell>
          <cell r="F94" t="str">
            <v>LOGISTICA E TRANSPORTE</v>
          </cell>
          <cell r="G94">
            <v>30</v>
          </cell>
          <cell r="H94" t="str">
            <v>COM</v>
          </cell>
          <cell r="I94" t="str">
            <v>GENNER FLORENCIO</v>
          </cell>
          <cell r="J94" t="str">
            <v/>
          </cell>
          <cell r="L94" t="str">
            <v>OK</v>
          </cell>
          <cell r="N94" t="str">
            <v>COMERCIAL</v>
          </cell>
          <cell r="O94" t="str">
            <v>ATIVO</v>
          </cell>
        </row>
        <row r="95">
          <cell r="E95">
            <v>302001</v>
          </cell>
          <cell r="F95" t="str">
            <v>APOIO OPERACIONAL</v>
          </cell>
          <cell r="G95">
            <v>40</v>
          </cell>
          <cell r="H95" t="str">
            <v>ADM</v>
          </cell>
          <cell r="I95" t="str">
            <v>WILLIAN KLINGER</v>
          </cell>
          <cell r="J95" t="str">
            <v>ADM ING</v>
          </cell>
          <cell r="L95" t="str">
            <v>OK</v>
          </cell>
          <cell r="N95" t="str">
            <v>CUSTO - RATEIO AGR</v>
          </cell>
          <cell r="O95" t="str">
            <v>ATIVO</v>
          </cell>
          <cell r="P95" t="str">
            <v>E01</v>
          </cell>
          <cell r="Q95">
            <v>0</v>
          </cell>
          <cell r="R95">
            <v>0</v>
          </cell>
        </row>
        <row r="96">
          <cell r="E96">
            <v>399990</v>
          </cell>
          <cell r="F96" t="str">
            <v>C.CUSTO PARA NÃO SER VALIDADO PELO ORÇAM</v>
          </cell>
          <cell r="G96">
            <v>40</v>
          </cell>
          <cell r="H96" t="str">
            <v>ADM</v>
          </cell>
          <cell r="I96" t="str">
            <v>WILLIAN KLINGER</v>
          </cell>
          <cell r="J96" t="str">
            <v/>
          </cell>
          <cell r="N96" t="str">
            <v>NA</v>
          </cell>
          <cell r="O96" t="str">
            <v>ATIVO</v>
          </cell>
        </row>
        <row r="97">
          <cell r="E97">
            <v>400102</v>
          </cell>
          <cell r="F97" t="str">
            <v>GERÊNCIA INDUSTRIAL</v>
          </cell>
          <cell r="G97">
            <v>10</v>
          </cell>
          <cell r="H97" t="str">
            <v>IND</v>
          </cell>
          <cell r="I97" t="str">
            <v>GILBERTO STUCHI</v>
          </cell>
          <cell r="J97" t="str">
            <v/>
          </cell>
          <cell r="M97" t="str">
            <v>Gilberto Stuchi</v>
          </cell>
          <cell r="N97" t="str">
            <v>ADM INDUSTRIAL</v>
          </cell>
          <cell r="O97" t="str">
            <v>ATIVO</v>
          </cell>
          <cell r="P97" t="str">
            <v>E1</v>
          </cell>
          <cell r="Q97" t="str">
            <v>E2</v>
          </cell>
        </row>
        <row r="98">
          <cell r="E98">
            <v>400202</v>
          </cell>
          <cell r="F98" t="str">
            <v>APOIO TÉCNICO INDUSTRIAL</v>
          </cell>
          <cell r="G98">
            <v>10</v>
          </cell>
          <cell r="H98" t="str">
            <v>IND</v>
          </cell>
          <cell r="I98" t="str">
            <v>SERGIO FIORENTINO</v>
          </cell>
          <cell r="J98" t="str">
            <v/>
          </cell>
          <cell r="M98" t="str">
            <v>Sergio Fiorentino / Gilberto</v>
          </cell>
          <cell r="N98" t="str">
            <v>ADM INDUSTRIAL</v>
          </cell>
          <cell r="O98" t="str">
            <v>ATIVO</v>
          </cell>
          <cell r="P98" t="str">
            <v>E1</v>
          </cell>
          <cell r="Q98" t="str">
            <v>E2</v>
          </cell>
        </row>
        <row r="99">
          <cell r="E99">
            <v>400402</v>
          </cell>
          <cell r="F99" t="str">
            <v>LABORATORIO PCTS</v>
          </cell>
          <cell r="G99">
            <v>10</v>
          </cell>
          <cell r="H99" t="str">
            <v>IND</v>
          </cell>
          <cell r="I99" t="str">
            <v>KELLY CRISTINA</v>
          </cell>
          <cell r="J99" t="str">
            <v/>
          </cell>
          <cell r="M99" t="str">
            <v>Sergio Fiorentino / Gilberto</v>
          </cell>
          <cell r="N99" t="str">
            <v>CONTROLE E QUALIDADE</v>
          </cell>
          <cell r="O99" t="str">
            <v>ATIVO</v>
          </cell>
          <cell r="P99" t="str">
            <v>E1</v>
          </cell>
          <cell r="Q99" t="str">
            <v>E2</v>
          </cell>
          <cell r="R99" t="str">
            <v>E23</v>
          </cell>
        </row>
        <row r="100">
          <cell r="E100">
            <v>400404</v>
          </cell>
          <cell r="F100" t="str">
            <v>LABORATORIO INDUSTRIAL</v>
          </cell>
          <cell r="G100">
            <v>10</v>
          </cell>
          <cell r="H100" t="str">
            <v>IND</v>
          </cell>
          <cell r="I100" t="str">
            <v>KELLY CRISTINA</v>
          </cell>
          <cell r="J100" t="str">
            <v/>
          </cell>
          <cell r="M100" t="str">
            <v>Sergio Fiorentino / Gilberto</v>
          </cell>
          <cell r="N100" t="str">
            <v>CONTROLE E QUALIDADE</v>
          </cell>
          <cell r="O100" t="str">
            <v>ATIVO</v>
          </cell>
          <cell r="P100" t="str">
            <v>E1</v>
          </cell>
          <cell r="Q100" t="str">
            <v>E2</v>
          </cell>
          <cell r="R100" t="str">
            <v>E23</v>
          </cell>
        </row>
        <row r="101">
          <cell r="E101">
            <v>400406</v>
          </cell>
          <cell r="F101" t="str">
            <v>LABORATORIO MICRO-BIOLOGIA</v>
          </cell>
          <cell r="G101">
            <v>10</v>
          </cell>
          <cell r="H101" t="str">
            <v>IND</v>
          </cell>
          <cell r="I101" t="str">
            <v>KELLY CRISTINA</v>
          </cell>
          <cell r="J101" t="str">
            <v/>
          </cell>
          <cell r="M101" t="str">
            <v>Sergio Fiorentino / Gilberto</v>
          </cell>
          <cell r="N101" t="str">
            <v>CONTROLE E QUALIDADE</v>
          </cell>
          <cell r="O101" t="str">
            <v>ATIVO</v>
          </cell>
          <cell r="P101" t="str">
            <v>E1</v>
          </cell>
          <cell r="Q101" t="str">
            <v>E2</v>
          </cell>
          <cell r="R101" t="str">
            <v>E23</v>
          </cell>
        </row>
        <row r="102">
          <cell r="E102">
            <v>401002</v>
          </cell>
          <cell r="F102" t="str">
            <v>BARRACAO / LIMPEZA</v>
          </cell>
          <cell r="G102">
            <v>10</v>
          </cell>
          <cell r="H102" t="str">
            <v>IND</v>
          </cell>
          <cell r="I102" t="str">
            <v>WILLIAN GUSTAVO OLIVEIRA</v>
          </cell>
          <cell r="J102" t="str">
            <v/>
          </cell>
          <cell r="N102" t="str">
            <v>Contabilidade - Depreciaçoes</v>
          </cell>
          <cell r="O102" t="str">
            <v>ATIVO</v>
          </cell>
          <cell r="P102" t="str">
            <v>E1</v>
          </cell>
        </row>
        <row r="103">
          <cell r="E103">
            <v>401004</v>
          </cell>
          <cell r="F103" t="str">
            <v>ALIMENTACAO E PREPARO</v>
          </cell>
          <cell r="G103">
            <v>10</v>
          </cell>
          <cell r="H103" t="str">
            <v>IND</v>
          </cell>
          <cell r="I103" t="str">
            <v>CARLOS JOSE DOS SANTOS</v>
          </cell>
          <cell r="J103" t="str">
            <v/>
          </cell>
          <cell r="M103" t="str">
            <v>Sergio Fiorentino / Gilberto</v>
          </cell>
          <cell r="N103" t="str">
            <v>RECEPÇÃO-MOAGEM</v>
          </cell>
          <cell r="O103" t="str">
            <v>ATIVO</v>
          </cell>
          <cell r="P103" t="str">
            <v>E1</v>
          </cell>
          <cell r="Q103" t="str">
            <v>E2</v>
          </cell>
          <cell r="R103" t="str">
            <v>E24</v>
          </cell>
        </row>
        <row r="104">
          <cell r="E104">
            <v>401006</v>
          </cell>
          <cell r="F104" t="str">
            <v>MOAGEM CANA</v>
          </cell>
          <cell r="G104">
            <v>10</v>
          </cell>
          <cell r="H104" t="str">
            <v>IND</v>
          </cell>
          <cell r="I104" t="str">
            <v>CARLOS JOSE DOS SANTOS</v>
          </cell>
          <cell r="J104" t="str">
            <v/>
          </cell>
          <cell r="M104" t="str">
            <v>Sergio Fiorentino / Gilberto</v>
          </cell>
          <cell r="N104" t="str">
            <v>RECEPÇÃO-MOAGEM</v>
          </cell>
          <cell r="O104" t="str">
            <v>ATIVO</v>
          </cell>
          <cell r="P104" t="str">
            <v>E1</v>
          </cell>
          <cell r="Q104" t="str">
            <v>E2</v>
          </cell>
          <cell r="R104" t="str">
            <v>E24</v>
          </cell>
        </row>
        <row r="105">
          <cell r="E105">
            <v>401008</v>
          </cell>
          <cell r="F105" t="str">
            <v>DIFUSOR</v>
          </cell>
          <cell r="G105">
            <v>10</v>
          </cell>
          <cell r="H105" t="str">
            <v>IND</v>
          </cell>
          <cell r="I105" t="str">
            <v>CARLOS JOSE DOS SANTOS</v>
          </cell>
          <cell r="J105" t="str">
            <v/>
          </cell>
          <cell r="M105" t="str">
            <v>Sergio Fiorentino / Gilberto</v>
          </cell>
          <cell r="N105" t="str">
            <v>RECEPÇÃO-MOAGEM</v>
          </cell>
          <cell r="O105" t="str">
            <v>ATIVO</v>
          </cell>
          <cell r="P105" t="str">
            <v>E1</v>
          </cell>
          <cell r="Q105" t="str">
            <v>E2</v>
          </cell>
          <cell r="R105" t="str">
            <v>E24</v>
          </cell>
        </row>
        <row r="106">
          <cell r="E106">
            <v>401010</v>
          </cell>
          <cell r="F106" t="str">
            <v>DESAGUADOR</v>
          </cell>
          <cell r="G106">
            <v>10</v>
          </cell>
          <cell r="H106" t="str">
            <v>IND</v>
          </cell>
          <cell r="I106" t="str">
            <v>CARLOS JOSE DOS SANTOS</v>
          </cell>
          <cell r="J106" t="str">
            <v/>
          </cell>
          <cell r="M106" t="str">
            <v>Sergio Fiorentino / Gilberto</v>
          </cell>
          <cell r="N106" t="str">
            <v>RECEPÇÃO-MOAGEM</v>
          </cell>
          <cell r="O106" t="str">
            <v>ATIVO</v>
          </cell>
          <cell r="P106" t="str">
            <v>E1</v>
          </cell>
          <cell r="Q106" t="str">
            <v>E2</v>
          </cell>
          <cell r="R106" t="str">
            <v>E24</v>
          </cell>
        </row>
        <row r="107">
          <cell r="E107">
            <v>401012</v>
          </cell>
          <cell r="F107" t="str">
            <v>SECAGEM DE BAGAÇO</v>
          </cell>
          <cell r="G107">
            <v>10</v>
          </cell>
          <cell r="H107" t="str">
            <v>IND</v>
          </cell>
          <cell r="I107" t="str">
            <v>CARLOS JOSE DOS SANTOS</v>
          </cell>
          <cell r="J107" t="str">
            <v/>
          </cell>
          <cell r="M107" t="str">
            <v>Sergio Fiorentino / Gilberto</v>
          </cell>
          <cell r="N107" t="str">
            <v>RECEPÇÃO-MOAGEM</v>
          </cell>
          <cell r="O107" t="str">
            <v>ATIVO</v>
          </cell>
          <cell r="P107" t="str">
            <v>E1</v>
          </cell>
          <cell r="Q107" t="str">
            <v>E2</v>
          </cell>
          <cell r="R107" t="str">
            <v>E24</v>
          </cell>
        </row>
        <row r="108">
          <cell r="E108">
            <v>401099</v>
          </cell>
          <cell r="F108" t="str">
            <v>MANUTENÇÃO DE ENTRESSAFRA</v>
          </cell>
          <cell r="G108">
            <v>10</v>
          </cell>
          <cell r="H108" t="str">
            <v>IND</v>
          </cell>
          <cell r="I108" t="str">
            <v>CARLOS JOSE DOS SANTOS</v>
          </cell>
          <cell r="J108" t="str">
            <v/>
          </cell>
          <cell r="M108" t="str">
            <v>Sergio Fiorentino / Gilberto</v>
          </cell>
          <cell r="N108" t="str">
            <v>RECEPÇÃO-MOAGEM</v>
          </cell>
          <cell r="O108" t="str">
            <v>ATIVO</v>
          </cell>
          <cell r="P108" t="str">
            <v>E1</v>
          </cell>
          <cell r="Q108" t="str">
            <v>E2</v>
          </cell>
          <cell r="R108" t="str">
            <v>E24</v>
          </cell>
        </row>
        <row r="109">
          <cell r="E109">
            <v>401402</v>
          </cell>
          <cell r="F109" t="str">
            <v>AQUECIMENTO/TROCADOR CALOR ALCOOL</v>
          </cell>
          <cell r="G109">
            <v>10</v>
          </cell>
          <cell r="H109" t="str">
            <v>IND</v>
          </cell>
          <cell r="I109" t="str">
            <v>CARLOS DOMICILIANO</v>
          </cell>
          <cell r="J109" t="str">
            <v/>
          </cell>
          <cell r="M109" t="str">
            <v>Sergio Fiorentino / Gilberto</v>
          </cell>
          <cell r="N109" t="str">
            <v>TRATAM. DISTR. CALDO</v>
          </cell>
          <cell r="O109" t="str">
            <v>ATIVO</v>
          </cell>
          <cell r="P109" t="str">
            <v>E1</v>
          </cell>
          <cell r="Q109" t="str">
            <v>E2</v>
          </cell>
          <cell r="R109" t="str">
            <v>E25</v>
          </cell>
        </row>
        <row r="110">
          <cell r="E110">
            <v>401404</v>
          </cell>
          <cell r="F110" t="str">
            <v>DECANTACAO DO ALCOOL</v>
          </cell>
          <cell r="G110">
            <v>10</v>
          </cell>
          <cell r="H110" t="str">
            <v>IND</v>
          </cell>
          <cell r="I110" t="str">
            <v>CARLOS DOMICILIANO</v>
          </cell>
          <cell r="J110" t="str">
            <v/>
          </cell>
          <cell r="M110" t="str">
            <v>Sergio Fiorentino / Gilberto</v>
          </cell>
          <cell r="N110" t="str">
            <v>TRATAM. DISTR. CALDO</v>
          </cell>
          <cell r="O110" t="str">
            <v>ATIVO</v>
          </cell>
          <cell r="P110" t="str">
            <v>E1</v>
          </cell>
          <cell r="Q110" t="str">
            <v>E2</v>
          </cell>
          <cell r="R110" t="str">
            <v>E25</v>
          </cell>
        </row>
        <row r="111">
          <cell r="E111">
            <v>401406</v>
          </cell>
          <cell r="F111" t="str">
            <v>PRE-EVAPORACAO DO ALCOOL</v>
          </cell>
          <cell r="G111">
            <v>10</v>
          </cell>
          <cell r="H111" t="str">
            <v>IND</v>
          </cell>
          <cell r="I111" t="str">
            <v>CARLOS DOMICILIANO</v>
          </cell>
          <cell r="J111" t="str">
            <v/>
          </cell>
          <cell r="M111" t="str">
            <v>Sergio Fiorentino / Gilberto</v>
          </cell>
          <cell r="N111" t="str">
            <v>TRATAM. DISTR. CALDO</v>
          </cell>
          <cell r="O111" t="str">
            <v>ATIVO</v>
          </cell>
          <cell r="P111" t="str">
            <v>E1</v>
          </cell>
          <cell r="Q111" t="str">
            <v>E2</v>
          </cell>
          <cell r="R111" t="str">
            <v>E25</v>
          </cell>
        </row>
        <row r="112">
          <cell r="E112">
            <v>401410</v>
          </cell>
          <cell r="F112" t="str">
            <v>CALEACAO</v>
          </cell>
          <cell r="G112">
            <v>10</v>
          </cell>
          <cell r="H112" t="str">
            <v>IND</v>
          </cell>
          <cell r="I112" t="str">
            <v>CARLOS DOMICILIANO</v>
          </cell>
          <cell r="J112" t="str">
            <v/>
          </cell>
          <cell r="M112" t="str">
            <v>Sergio Fiorentino / Gilberto</v>
          </cell>
          <cell r="N112" t="str">
            <v>TRATAM. DISTR. CALDO</v>
          </cell>
          <cell r="O112" t="str">
            <v>ATIVO</v>
          </cell>
          <cell r="P112" t="str">
            <v>E1</v>
          </cell>
          <cell r="Q112" t="str">
            <v>E2</v>
          </cell>
          <cell r="R112" t="str">
            <v>E25</v>
          </cell>
        </row>
        <row r="113">
          <cell r="E113">
            <v>401414</v>
          </cell>
          <cell r="F113" t="str">
            <v>DECANTACAO DO ACUCAR</v>
          </cell>
          <cell r="G113">
            <v>10</v>
          </cell>
          <cell r="H113" t="str">
            <v>IND</v>
          </cell>
          <cell r="I113" t="str">
            <v>WILLIAN GUSTAVO OLIVEIRA</v>
          </cell>
          <cell r="J113" t="str">
            <v/>
          </cell>
          <cell r="N113" t="str">
            <v>Contabilidade - Depreciaçoes</v>
          </cell>
          <cell r="O113" t="str">
            <v>ATIVO</v>
          </cell>
          <cell r="P113" t="str">
            <v>E1</v>
          </cell>
        </row>
        <row r="114">
          <cell r="E114">
            <v>401416</v>
          </cell>
          <cell r="F114" t="str">
            <v>FILTRACAO DO LODO DO ACUCAR</v>
          </cell>
          <cell r="G114">
            <v>10</v>
          </cell>
          <cell r="H114" t="str">
            <v>IND</v>
          </cell>
          <cell r="I114" t="str">
            <v>WILLIAN GUSTAVO OLIVEIRA</v>
          </cell>
          <cell r="J114" t="str">
            <v/>
          </cell>
          <cell r="N114" t="str">
            <v>Contabilidade - Depreciaçoes</v>
          </cell>
          <cell r="O114" t="str">
            <v>ATIVO</v>
          </cell>
          <cell r="P114" t="str">
            <v>E1</v>
          </cell>
        </row>
        <row r="115">
          <cell r="E115">
            <v>401420</v>
          </cell>
          <cell r="F115" t="str">
            <v>FILTRACAO DO LODO DO ALCOOL</v>
          </cell>
          <cell r="G115">
            <v>10</v>
          </cell>
          <cell r="H115" t="str">
            <v>IND</v>
          </cell>
          <cell r="I115" t="str">
            <v>CARLOS DOMICILIANO</v>
          </cell>
          <cell r="J115" t="str">
            <v/>
          </cell>
          <cell r="M115" t="str">
            <v>Sergio Fiorentino / Gilberto</v>
          </cell>
          <cell r="N115" t="str">
            <v>TRATAM. DISTR. CALDO</v>
          </cell>
          <cell r="O115" t="str">
            <v>ATIVO</v>
          </cell>
          <cell r="P115" t="str">
            <v>E1</v>
          </cell>
          <cell r="Q115" t="str">
            <v>E2</v>
          </cell>
          <cell r="R115" t="str">
            <v>E25</v>
          </cell>
        </row>
        <row r="116">
          <cell r="E116">
            <v>401499</v>
          </cell>
          <cell r="F116" t="str">
            <v>MANUTENÇÃO DE ENTRESSAFRA</v>
          </cell>
          <cell r="G116">
            <v>10</v>
          </cell>
          <cell r="H116" t="str">
            <v>IND</v>
          </cell>
          <cell r="I116" t="str">
            <v>CARLOS DOMICILIANO</v>
          </cell>
          <cell r="J116" t="str">
            <v/>
          </cell>
          <cell r="M116" t="str">
            <v>Sergio Fiorentino / Gilberto</v>
          </cell>
          <cell r="N116" t="str">
            <v>TRATAM. DISTR. CALDO</v>
          </cell>
          <cell r="O116" t="str">
            <v>ATIVO</v>
          </cell>
          <cell r="P116" t="str">
            <v>E1</v>
          </cell>
          <cell r="Q116" t="str">
            <v>E2</v>
          </cell>
          <cell r="R116" t="str">
            <v>E25</v>
          </cell>
        </row>
        <row r="117">
          <cell r="E117">
            <v>402002</v>
          </cell>
          <cell r="F117" t="str">
            <v>PRE-FERMENTACAO</v>
          </cell>
          <cell r="G117">
            <v>10</v>
          </cell>
          <cell r="H117" t="str">
            <v>IND</v>
          </cell>
          <cell r="I117" t="str">
            <v>MARCOS CESAR DE PAULA</v>
          </cell>
          <cell r="J117" t="str">
            <v/>
          </cell>
          <cell r="M117" t="str">
            <v>Sergio Fiorentino / Gilberto</v>
          </cell>
          <cell r="N117" t="str">
            <v>FABRICAÇÃO ÁLCOOL</v>
          </cell>
          <cell r="O117" t="str">
            <v>ATIVO</v>
          </cell>
          <cell r="P117" t="str">
            <v>E1</v>
          </cell>
          <cell r="Q117" t="str">
            <v>E2</v>
          </cell>
          <cell r="R117" t="str">
            <v>E27</v>
          </cell>
        </row>
        <row r="118">
          <cell r="E118">
            <v>402004</v>
          </cell>
          <cell r="F118" t="str">
            <v>FERMENTACAO</v>
          </cell>
          <cell r="G118">
            <v>10</v>
          </cell>
          <cell r="H118" t="str">
            <v>IND</v>
          </cell>
          <cell r="I118" t="str">
            <v>MARCOS CESAR DE PAULA</v>
          </cell>
          <cell r="J118" t="str">
            <v/>
          </cell>
          <cell r="M118" t="str">
            <v>Sergio Fiorentino / Gilberto</v>
          </cell>
          <cell r="N118" t="str">
            <v>FABRICAÇÃO ÁLCOOL</v>
          </cell>
          <cell r="O118" t="str">
            <v>ATIVO</v>
          </cell>
          <cell r="P118" t="str">
            <v>E1</v>
          </cell>
          <cell r="Q118" t="str">
            <v>E2</v>
          </cell>
          <cell r="R118" t="str">
            <v>E27</v>
          </cell>
        </row>
        <row r="119">
          <cell r="E119">
            <v>402006</v>
          </cell>
          <cell r="F119" t="str">
            <v>DESTILACAO HIDRATADO</v>
          </cell>
          <cell r="G119">
            <v>10</v>
          </cell>
          <cell r="H119" t="str">
            <v>IND</v>
          </cell>
          <cell r="I119" t="str">
            <v>MARCOS CESAR DE PAULA</v>
          </cell>
          <cell r="J119" t="str">
            <v/>
          </cell>
          <cell r="M119" t="str">
            <v>Sergio Fiorentino / Gilberto</v>
          </cell>
          <cell r="N119" t="str">
            <v>FABRICAÇÃO ÁLCOOL</v>
          </cell>
          <cell r="O119" t="str">
            <v>ATIVO</v>
          </cell>
          <cell r="P119" t="str">
            <v>E1</v>
          </cell>
          <cell r="Q119" t="str">
            <v>E2</v>
          </cell>
          <cell r="R119" t="str">
            <v>E27</v>
          </cell>
        </row>
        <row r="120">
          <cell r="E120">
            <v>402008</v>
          </cell>
          <cell r="F120" t="str">
            <v>DESTILACAO ANIDRO</v>
          </cell>
          <cell r="G120">
            <v>10</v>
          </cell>
          <cell r="H120" t="str">
            <v>IND</v>
          </cell>
          <cell r="I120" t="str">
            <v>WILLIAN GUSTAVO OLIVEIRA</v>
          </cell>
          <cell r="J120" t="str">
            <v/>
          </cell>
          <cell r="N120" t="str">
            <v>Contabilidade - Depreciaçoes</v>
          </cell>
          <cell r="O120" t="str">
            <v>ATIVO</v>
          </cell>
          <cell r="P120" t="str">
            <v>E1</v>
          </cell>
        </row>
        <row r="121">
          <cell r="E121">
            <v>402010</v>
          </cell>
          <cell r="F121" t="str">
            <v>TORRE DE RESFRIAMENTO</v>
          </cell>
          <cell r="G121">
            <v>10</v>
          </cell>
          <cell r="H121" t="str">
            <v>IND</v>
          </cell>
          <cell r="I121" t="str">
            <v>MARCOS CESAR DE PAULA</v>
          </cell>
          <cell r="J121" t="str">
            <v/>
          </cell>
          <cell r="M121" t="str">
            <v>Sergio Fiorentino / Gilberto</v>
          </cell>
          <cell r="N121" t="str">
            <v>FABRICAÇÃO ÁLCOOL</v>
          </cell>
          <cell r="O121" t="str">
            <v>ATIVO</v>
          </cell>
          <cell r="P121" t="str">
            <v>E1</v>
          </cell>
          <cell r="Q121" t="str">
            <v>E2</v>
          </cell>
          <cell r="R121" t="str">
            <v>E27</v>
          </cell>
        </row>
        <row r="122">
          <cell r="E122">
            <v>402012</v>
          </cell>
          <cell r="F122" t="str">
            <v>TANQUE SPRAY</v>
          </cell>
          <cell r="G122">
            <v>10</v>
          </cell>
          <cell r="H122" t="str">
            <v>IND</v>
          </cell>
          <cell r="I122" t="str">
            <v>WILLIAN GUSTAVO OLIVEIRA</v>
          </cell>
          <cell r="J122" t="str">
            <v/>
          </cell>
          <cell r="N122" t="str">
            <v>Contabilidade - Depreciaçoes</v>
          </cell>
          <cell r="O122" t="str">
            <v>ATIVO</v>
          </cell>
          <cell r="P122" t="str">
            <v>E1</v>
          </cell>
        </row>
        <row r="123">
          <cell r="E123">
            <v>402014</v>
          </cell>
          <cell r="F123" t="str">
            <v>CENTRIFUGAÇÃO</v>
          </cell>
          <cell r="G123">
            <v>10</v>
          </cell>
          <cell r="H123" t="str">
            <v>IND</v>
          </cell>
          <cell r="I123" t="str">
            <v>MARCOS CESAR DE PAULA</v>
          </cell>
          <cell r="J123" t="str">
            <v/>
          </cell>
          <cell r="M123" t="str">
            <v>Sergio Fiorentino / Gilberto</v>
          </cell>
          <cell r="N123" t="str">
            <v>FABRICAÇÃO ÁLCOOL</v>
          </cell>
          <cell r="O123" t="str">
            <v>ATIVO</v>
          </cell>
          <cell r="P123" t="str">
            <v>E1</v>
          </cell>
          <cell r="Q123" t="str">
            <v>E2</v>
          </cell>
          <cell r="R123" t="str">
            <v>E27</v>
          </cell>
        </row>
        <row r="124">
          <cell r="E124">
            <v>402099</v>
          </cell>
          <cell r="F124" t="str">
            <v>MANUTENÇÃO DE ENTRESSAFRA</v>
          </cell>
          <cell r="G124">
            <v>10</v>
          </cell>
          <cell r="H124" t="str">
            <v>IND</v>
          </cell>
          <cell r="I124" t="str">
            <v>MARCOS CESAR DE PAULA</v>
          </cell>
          <cell r="J124" t="str">
            <v/>
          </cell>
          <cell r="M124" t="str">
            <v>Sergio Fiorentino / Gilberto</v>
          </cell>
          <cell r="N124" t="str">
            <v>FABRICAÇÃO ÁLCOOL</v>
          </cell>
          <cell r="O124" t="str">
            <v>ATIVO</v>
          </cell>
          <cell r="P124" t="str">
            <v>E1</v>
          </cell>
          <cell r="Q124" t="str">
            <v>E2</v>
          </cell>
          <cell r="R124" t="str">
            <v>E27</v>
          </cell>
        </row>
        <row r="125">
          <cell r="E125">
            <v>407002</v>
          </cell>
          <cell r="F125" t="str">
            <v>GERACAO E DISTR.VAPOR</v>
          </cell>
          <cell r="G125">
            <v>10</v>
          </cell>
          <cell r="H125" t="str">
            <v>IND</v>
          </cell>
          <cell r="I125" t="str">
            <v>JOSE CATANA</v>
          </cell>
          <cell r="J125" t="str">
            <v/>
          </cell>
          <cell r="M125" t="str">
            <v>Sergio Fiorentino / Gilberto</v>
          </cell>
          <cell r="N125" t="str">
            <v>UTILIDADES</v>
          </cell>
          <cell r="O125" t="str">
            <v>ATIVO</v>
          </cell>
          <cell r="P125" t="str">
            <v>E1</v>
          </cell>
          <cell r="Q125" t="str">
            <v>E2</v>
          </cell>
          <cell r="R125" t="str">
            <v>E26</v>
          </cell>
        </row>
        <row r="126">
          <cell r="E126">
            <v>407004</v>
          </cell>
          <cell r="F126" t="str">
            <v>GERACAO E DISTR.AR COMPRIMIDO</v>
          </cell>
          <cell r="G126">
            <v>10</v>
          </cell>
          <cell r="H126" t="str">
            <v>IND</v>
          </cell>
          <cell r="I126" t="str">
            <v>EDSON BABOSA</v>
          </cell>
          <cell r="J126" t="str">
            <v/>
          </cell>
          <cell r="M126" t="str">
            <v>Sergio Fiorentino / Gilberto</v>
          </cell>
          <cell r="N126" t="str">
            <v>UTILIDADES</v>
          </cell>
          <cell r="O126" t="str">
            <v>ATIVO</v>
          </cell>
          <cell r="P126" t="str">
            <v>E1</v>
          </cell>
          <cell r="Q126" t="str">
            <v>E2</v>
          </cell>
          <cell r="R126">
            <v>0</v>
          </cell>
        </row>
        <row r="127">
          <cell r="E127">
            <v>407006</v>
          </cell>
          <cell r="F127" t="str">
            <v>GERACAO E DISTR.ENERGIA</v>
          </cell>
          <cell r="G127">
            <v>10</v>
          </cell>
          <cell r="H127" t="str">
            <v>IND</v>
          </cell>
          <cell r="I127" t="str">
            <v>EDSON BABOSA</v>
          </cell>
          <cell r="J127" t="str">
            <v/>
          </cell>
          <cell r="M127" t="str">
            <v>Sergio Fiorentino / Gilberto</v>
          </cell>
          <cell r="N127" t="str">
            <v>UTILIDADES</v>
          </cell>
          <cell r="O127" t="str">
            <v>ATIVO</v>
          </cell>
          <cell r="P127" t="str">
            <v>E1</v>
          </cell>
          <cell r="Q127" t="str">
            <v>E2</v>
          </cell>
          <cell r="R127">
            <v>0</v>
          </cell>
        </row>
        <row r="128">
          <cell r="E128">
            <v>407008</v>
          </cell>
          <cell r="F128" t="str">
            <v>CAPTACAO DE AGUA</v>
          </cell>
          <cell r="G128">
            <v>10</v>
          </cell>
          <cell r="H128" t="str">
            <v>IND</v>
          </cell>
          <cell r="I128" t="str">
            <v>JOSE CATANA</v>
          </cell>
          <cell r="J128" t="str">
            <v/>
          </cell>
          <cell r="M128" t="str">
            <v>Sergio Fiorentino / Gilberto</v>
          </cell>
          <cell r="N128" t="str">
            <v>UTILIDADES</v>
          </cell>
          <cell r="O128" t="str">
            <v>ATIVO</v>
          </cell>
          <cell r="P128" t="str">
            <v>E1</v>
          </cell>
          <cell r="Q128" t="str">
            <v>E2</v>
          </cell>
          <cell r="R128" t="str">
            <v>E26</v>
          </cell>
        </row>
        <row r="129">
          <cell r="E129">
            <v>407010</v>
          </cell>
          <cell r="F129" t="str">
            <v>ETA (ESTACAO DE TRATAMENTO AGUA)</v>
          </cell>
          <cell r="G129">
            <v>10</v>
          </cell>
          <cell r="H129" t="str">
            <v>IND</v>
          </cell>
          <cell r="I129" t="str">
            <v>JOSE CATANA</v>
          </cell>
          <cell r="J129" t="str">
            <v/>
          </cell>
          <cell r="M129" t="str">
            <v>Sergio Fiorentino / Gilberto</v>
          </cell>
          <cell r="N129" t="str">
            <v>UTILIDADES</v>
          </cell>
          <cell r="O129" t="str">
            <v>ATIVO</v>
          </cell>
          <cell r="P129" t="str">
            <v>E1</v>
          </cell>
          <cell r="Q129" t="str">
            <v>E2</v>
          </cell>
          <cell r="R129" t="str">
            <v>E26</v>
          </cell>
        </row>
        <row r="130">
          <cell r="E130">
            <v>407012</v>
          </cell>
          <cell r="F130" t="str">
            <v>PATIO DE BAGACO</v>
          </cell>
          <cell r="G130">
            <v>10</v>
          </cell>
          <cell r="H130" t="str">
            <v>IND</v>
          </cell>
          <cell r="I130" t="str">
            <v>GILSON MENEZES</v>
          </cell>
          <cell r="J130" t="str">
            <v/>
          </cell>
          <cell r="M130" t="str">
            <v>Sergio Fiorentino / Gilberto</v>
          </cell>
          <cell r="N130" t="str">
            <v>UTILIDADES</v>
          </cell>
          <cell r="O130" t="str">
            <v>ATIVO</v>
          </cell>
          <cell r="P130" t="str">
            <v>E1</v>
          </cell>
          <cell r="Q130" t="str">
            <v>E2</v>
          </cell>
          <cell r="R130" t="str">
            <v>E29</v>
          </cell>
        </row>
        <row r="131">
          <cell r="E131">
            <v>407016</v>
          </cell>
          <cell r="F131" t="str">
            <v>ENERGIA ELETRICA ADQUIRIDA</v>
          </cell>
          <cell r="G131">
            <v>10</v>
          </cell>
          <cell r="H131" t="str">
            <v>IND</v>
          </cell>
          <cell r="I131" t="str">
            <v>EDSON BABOSA</v>
          </cell>
          <cell r="J131" t="str">
            <v/>
          </cell>
          <cell r="M131" t="str">
            <v>Sergio Fiorentino / Gilberto</v>
          </cell>
          <cell r="N131" t="str">
            <v>UTILIDADES</v>
          </cell>
          <cell r="O131" t="str">
            <v>ATIVO</v>
          </cell>
          <cell r="P131" t="str">
            <v>E1</v>
          </cell>
          <cell r="Q131" t="str">
            <v>E2</v>
          </cell>
          <cell r="R131">
            <v>0</v>
          </cell>
        </row>
        <row r="132">
          <cell r="E132">
            <v>407018</v>
          </cell>
          <cell r="F132" t="str">
            <v>ETALC -ESTA TRAT AGUA DA LAVAGEM DE CANA</v>
          </cell>
          <cell r="G132">
            <v>10</v>
          </cell>
          <cell r="H132" t="str">
            <v>IND</v>
          </cell>
          <cell r="I132" t="str">
            <v>CARLOS JOSE DOS SANTOS</v>
          </cell>
          <cell r="J132" t="str">
            <v/>
          </cell>
          <cell r="M132" t="str">
            <v>Sergio Fiorentino / Gilberto</v>
          </cell>
          <cell r="N132" t="str">
            <v>UTILIDADES</v>
          </cell>
          <cell r="O132" t="str">
            <v>ATIVO</v>
          </cell>
          <cell r="P132" t="str">
            <v>E1</v>
          </cell>
          <cell r="Q132" t="str">
            <v>E2</v>
          </cell>
          <cell r="R132" t="str">
            <v>E24</v>
          </cell>
        </row>
        <row r="133">
          <cell r="E133">
            <v>407020</v>
          </cell>
          <cell r="F133" t="str">
            <v>ETE - ESTAÇÃO TRATAMENTO DE ESGOTO</v>
          </cell>
          <cell r="G133">
            <v>10</v>
          </cell>
          <cell r="H133" t="str">
            <v>IND</v>
          </cell>
          <cell r="I133" t="str">
            <v>JOSE CATANA</v>
          </cell>
          <cell r="J133" t="str">
            <v/>
          </cell>
          <cell r="M133" t="str">
            <v>Sergio Fiorentino / Gilberto</v>
          </cell>
          <cell r="N133" t="str">
            <v>UTILIDADES</v>
          </cell>
          <cell r="O133" t="str">
            <v>ATIVO</v>
          </cell>
          <cell r="P133" t="str">
            <v>E1</v>
          </cell>
          <cell r="Q133" t="str">
            <v>E2</v>
          </cell>
          <cell r="R133" t="str">
            <v>E26</v>
          </cell>
        </row>
        <row r="134">
          <cell r="E134">
            <v>407022</v>
          </cell>
          <cell r="F134" t="str">
            <v>ETALG - ESTAÇ.TRAT.ÁGUA DE LAVAGEM GASES</v>
          </cell>
          <cell r="G134">
            <v>10</v>
          </cell>
          <cell r="H134" t="str">
            <v>IND</v>
          </cell>
          <cell r="I134" t="str">
            <v>JOSE CATANA</v>
          </cell>
          <cell r="J134" t="str">
            <v/>
          </cell>
          <cell r="M134" t="str">
            <v>Sergio Fiorentino / Gilberto</v>
          </cell>
          <cell r="N134" t="str">
            <v>UTILIDADES</v>
          </cell>
          <cell r="O134" t="str">
            <v>ATIVO</v>
          </cell>
          <cell r="P134" t="str">
            <v>E1</v>
          </cell>
          <cell r="Q134" t="str">
            <v>E2</v>
          </cell>
          <cell r="R134" t="str">
            <v>E26</v>
          </cell>
        </row>
        <row r="135">
          <cell r="E135">
            <v>407099</v>
          </cell>
          <cell r="F135" t="str">
            <v>MANUTENÇÃO DE ENTRESSAFRA</v>
          </cell>
          <cell r="G135">
            <v>10</v>
          </cell>
          <cell r="H135" t="str">
            <v>IND</v>
          </cell>
          <cell r="I135" t="str">
            <v>JOSE CATANA / GILSON</v>
          </cell>
          <cell r="J135" t="str">
            <v/>
          </cell>
          <cell r="M135" t="str">
            <v>Sergio Fiorentino / Gilberto</v>
          </cell>
          <cell r="N135" t="str">
            <v>UTILIDADES</v>
          </cell>
          <cell r="O135" t="str">
            <v>ATIVO</v>
          </cell>
          <cell r="P135" t="str">
            <v>E1</v>
          </cell>
          <cell r="Q135" t="str">
            <v>E2</v>
          </cell>
          <cell r="R135" t="str">
            <v>E26</v>
          </cell>
          <cell r="S135" t="str">
            <v>E29</v>
          </cell>
        </row>
        <row r="136">
          <cell r="E136">
            <v>408002</v>
          </cell>
          <cell r="F136" t="str">
            <v>MANUTENÇÃO MECANICA</v>
          </cell>
          <cell r="G136">
            <v>10</v>
          </cell>
          <cell r="H136" t="str">
            <v>IND</v>
          </cell>
          <cell r="I136" t="str">
            <v>VANDERLEI FLORENCIO</v>
          </cell>
          <cell r="J136" t="str">
            <v/>
          </cell>
          <cell r="M136" t="str">
            <v>Sergio Fiorentino / Gilberto</v>
          </cell>
          <cell r="N136" t="str">
            <v>MANUTENÇÃO INDUSTRIAL</v>
          </cell>
          <cell r="O136" t="str">
            <v>ATIVO</v>
          </cell>
          <cell r="P136" t="str">
            <v>E1</v>
          </cell>
          <cell r="Q136" t="str">
            <v>E2</v>
          </cell>
          <cell r="R136">
            <v>0</v>
          </cell>
        </row>
        <row r="137">
          <cell r="E137">
            <v>408004</v>
          </cell>
          <cell r="F137" t="str">
            <v>CALDERARIA</v>
          </cell>
          <cell r="G137">
            <v>10</v>
          </cell>
          <cell r="H137" t="str">
            <v>IND</v>
          </cell>
          <cell r="I137" t="str">
            <v>VANDERLEI FLORENCIO</v>
          </cell>
          <cell r="J137" t="str">
            <v/>
          </cell>
          <cell r="M137" t="str">
            <v>Sergio Fiorentino / Gilberto</v>
          </cell>
          <cell r="N137" t="str">
            <v>MANUTENÇÃO INDUSTRIAL</v>
          </cell>
          <cell r="O137" t="str">
            <v>ATIVO</v>
          </cell>
          <cell r="P137" t="str">
            <v>E1</v>
          </cell>
          <cell r="Q137" t="str">
            <v>E2</v>
          </cell>
          <cell r="R137">
            <v>0</v>
          </cell>
        </row>
        <row r="138">
          <cell r="E138">
            <v>408006</v>
          </cell>
          <cell r="F138" t="str">
            <v>MANUTENÇÃO ELETRICA</v>
          </cell>
          <cell r="G138">
            <v>10</v>
          </cell>
          <cell r="H138" t="str">
            <v>IND</v>
          </cell>
          <cell r="I138" t="str">
            <v>EDSON BABOSA</v>
          </cell>
          <cell r="J138" t="str">
            <v/>
          </cell>
          <cell r="M138" t="str">
            <v>Sergio Fiorentino / Gilberto</v>
          </cell>
          <cell r="N138" t="str">
            <v>MANUTENÇÃO INDUSTRIAL</v>
          </cell>
          <cell r="O138" t="str">
            <v>ATIVO</v>
          </cell>
          <cell r="P138" t="str">
            <v>E1</v>
          </cell>
          <cell r="Q138" t="str">
            <v>E2</v>
          </cell>
          <cell r="R138">
            <v>0</v>
          </cell>
        </row>
        <row r="139">
          <cell r="E139">
            <v>408008</v>
          </cell>
          <cell r="F139" t="str">
            <v>INSTRUMENTAÇÃO</v>
          </cell>
          <cell r="G139">
            <v>10</v>
          </cell>
          <cell r="H139" t="str">
            <v>IND</v>
          </cell>
          <cell r="I139" t="str">
            <v>EDSON BABOSA</v>
          </cell>
          <cell r="J139" t="str">
            <v/>
          </cell>
          <cell r="M139" t="str">
            <v>Sergio Fiorentino / Gilberto</v>
          </cell>
          <cell r="N139" t="str">
            <v>MANUTENÇÃO INDUSTRIAL</v>
          </cell>
          <cell r="O139" t="str">
            <v>ATIVO</v>
          </cell>
          <cell r="P139" t="str">
            <v>E1</v>
          </cell>
          <cell r="Q139" t="str">
            <v>E2</v>
          </cell>
          <cell r="R139">
            <v>0</v>
          </cell>
        </row>
        <row r="140">
          <cell r="E140">
            <v>408010</v>
          </cell>
          <cell r="F140" t="str">
            <v>MANUTENCAO CIVIL</v>
          </cell>
          <cell r="G140">
            <v>10</v>
          </cell>
          <cell r="H140" t="str">
            <v>IND</v>
          </cell>
          <cell r="I140" t="str">
            <v>GILSON MENEZES</v>
          </cell>
          <cell r="J140" t="str">
            <v/>
          </cell>
          <cell r="M140" t="str">
            <v>Sergio Fiorentino / Gilberto</v>
          </cell>
          <cell r="N140" t="str">
            <v>MANUTENÇÃO INDUSTRIAL</v>
          </cell>
          <cell r="O140" t="str">
            <v>ATIVO</v>
          </cell>
          <cell r="P140" t="str">
            <v>E1</v>
          </cell>
          <cell r="Q140" t="str">
            <v>E2</v>
          </cell>
          <cell r="R140" t="str">
            <v>E29</v>
          </cell>
        </row>
        <row r="141">
          <cell r="E141">
            <v>408012</v>
          </cell>
          <cell r="F141" t="str">
            <v>PCM (PLANEJ. E CONTROLE DA MANUT</v>
          </cell>
          <cell r="G141">
            <v>10</v>
          </cell>
          <cell r="H141" t="str">
            <v>IND</v>
          </cell>
          <cell r="I141" t="str">
            <v>SERGIO FIORENTINO</v>
          </cell>
          <cell r="J141" t="str">
            <v/>
          </cell>
          <cell r="M141" t="str">
            <v>Sergio Fiorentino / Gilberto</v>
          </cell>
          <cell r="N141" t="str">
            <v>MANUTENÇÃO INDUSTRIAL</v>
          </cell>
          <cell r="O141" t="str">
            <v>ATIVO</v>
          </cell>
          <cell r="P141" t="str">
            <v>E1</v>
          </cell>
          <cell r="Q141" t="str">
            <v>E2</v>
          </cell>
          <cell r="R141" t="str">
            <v>E28</v>
          </cell>
        </row>
        <row r="142">
          <cell r="E142">
            <v>409002</v>
          </cell>
          <cell r="F142" t="str">
            <v>ESCOAMENTO DA VINHACA</v>
          </cell>
          <cell r="G142">
            <v>10</v>
          </cell>
          <cell r="H142" t="str">
            <v>IND</v>
          </cell>
          <cell r="I142" t="str">
            <v>GILSON MENEZES</v>
          </cell>
          <cell r="J142" t="str">
            <v/>
          </cell>
          <cell r="M142" t="str">
            <v>Sergio Fiorentino / Gilberto</v>
          </cell>
          <cell r="N142" t="str">
            <v>RESÍDUOS INDUSTRIAIS</v>
          </cell>
          <cell r="O142" t="str">
            <v>ATIVO</v>
          </cell>
          <cell r="P142" t="str">
            <v>E1</v>
          </cell>
          <cell r="Q142" t="str">
            <v>E2</v>
          </cell>
          <cell r="R142" t="str">
            <v>E29</v>
          </cell>
        </row>
        <row r="143">
          <cell r="E143">
            <v>409004</v>
          </cell>
          <cell r="F143" t="str">
            <v>SISTEMA DE BOMBEAMENTO</v>
          </cell>
          <cell r="G143">
            <v>10</v>
          </cell>
          <cell r="H143" t="str">
            <v>IND</v>
          </cell>
          <cell r="I143" t="str">
            <v>WILLIAN GUSTAVO OLIVEIRA</v>
          </cell>
          <cell r="J143" t="str">
            <v/>
          </cell>
          <cell r="N143" t="str">
            <v>Contabilidade - Depreciaçoes</v>
          </cell>
          <cell r="O143" t="str">
            <v>ATIVO</v>
          </cell>
          <cell r="P143" t="str">
            <v>E1</v>
          </cell>
        </row>
        <row r="144">
          <cell r="E144">
            <v>409099</v>
          </cell>
          <cell r="F144" t="str">
            <v>MANUTENÇÃO DE ENTRESSAFRA</v>
          </cell>
          <cell r="G144">
            <v>10</v>
          </cell>
          <cell r="H144" t="str">
            <v>IND</v>
          </cell>
          <cell r="I144" t="str">
            <v>GILSON MENEZES</v>
          </cell>
          <cell r="J144" t="str">
            <v/>
          </cell>
          <cell r="M144" t="str">
            <v>Sergio Fiorentino / Gilberto</v>
          </cell>
          <cell r="N144" t="str">
            <v>RESÍDUOS INDUSTRIAIS</v>
          </cell>
          <cell r="O144" t="str">
            <v>ATIVO</v>
          </cell>
          <cell r="P144" t="str">
            <v>E1</v>
          </cell>
          <cell r="Q144" t="str">
            <v>E2</v>
          </cell>
          <cell r="R144" t="str">
            <v>E29</v>
          </cell>
        </row>
        <row r="145">
          <cell r="E145">
            <v>500000</v>
          </cell>
          <cell r="F145" t="str">
            <v>GERENCIA AGRICOLA</v>
          </cell>
          <cell r="G145">
            <v>20</v>
          </cell>
          <cell r="H145" t="str">
            <v>AGR</v>
          </cell>
          <cell r="I145" t="str">
            <v>MARTIN LOOSLI</v>
          </cell>
          <cell r="J145" t="str">
            <v/>
          </cell>
          <cell r="N145" t="str">
            <v>ADM AGRICOLA</v>
          </cell>
          <cell r="O145" t="str">
            <v>ATIVO</v>
          </cell>
        </row>
        <row r="146">
          <cell r="E146">
            <v>500100</v>
          </cell>
          <cell r="F146" t="str">
            <v>GERENCIA AGRICOLA</v>
          </cell>
          <cell r="G146">
            <v>20</v>
          </cell>
          <cell r="H146" t="str">
            <v>AGR</v>
          </cell>
          <cell r="I146" t="str">
            <v>MARTIN LOOSLI</v>
          </cell>
          <cell r="J146" t="str">
            <v/>
          </cell>
          <cell r="N146" t="str">
            <v>ADM AGRICOLA</v>
          </cell>
          <cell r="O146" t="str">
            <v>ATIVO</v>
          </cell>
        </row>
        <row r="147">
          <cell r="E147">
            <v>500101</v>
          </cell>
          <cell r="F147" t="str">
            <v>GERENCIA AGRICOLA CORPORATIVA</v>
          </cell>
          <cell r="G147">
            <v>20</v>
          </cell>
          <cell r="H147" t="str">
            <v>AGR</v>
          </cell>
          <cell r="I147" t="str">
            <v>MARTIM LOOSLI</v>
          </cell>
          <cell r="J147" t="str">
            <v/>
          </cell>
          <cell r="N147" t="str">
            <v>ADM AGRICOLA</v>
          </cell>
          <cell r="O147" t="str">
            <v>ATIVO</v>
          </cell>
          <cell r="P147" t="str">
            <v>E01</v>
          </cell>
          <cell r="Q147" t="str">
            <v>E03</v>
          </cell>
        </row>
        <row r="148">
          <cell r="E148">
            <v>500102</v>
          </cell>
          <cell r="F148" t="str">
            <v>GERENCIA AGRICOLA</v>
          </cell>
          <cell r="G148">
            <v>20</v>
          </cell>
          <cell r="H148" t="str">
            <v>AGR</v>
          </cell>
          <cell r="I148" t="str">
            <v>MARTIM LOOSLI</v>
          </cell>
          <cell r="J148" t="str">
            <v/>
          </cell>
          <cell r="N148" t="str">
            <v>ADM AGRICOLA</v>
          </cell>
          <cell r="O148" t="str">
            <v>ATIVO</v>
          </cell>
          <cell r="P148" t="str">
            <v>E01</v>
          </cell>
          <cell r="Q148" t="str">
            <v>E03</v>
          </cell>
        </row>
        <row r="149">
          <cell r="E149">
            <v>500199</v>
          </cell>
          <cell r="F149" t="str">
            <v>MANUTENÇÃO DE ENTRESSAFRA</v>
          </cell>
          <cell r="G149">
            <v>20</v>
          </cell>
          <cell r="H149" t="str">
            <v>AGR</v>
          </cell>
          <cell r="I149" t="str">
            <v>MARTIN LOOSLI</v>
          </cell>
          <cell r="J149" t="str">
            <v/>
          </cell>
          <cell r="N149" t="str">
            <v>ADM AGRICOLA</v>
          </cell>
          <cell r="O149" t="str">
            <v>ATIVO</v>
          </cell>
        </row>
        <row r="150">
          <cell r="E150">
            <v>500200</v>
          </cell>
          <cell r="F150" t="str">
            <v>CONTROLE AGRICOLA</v>
          </cell>
          <cell r="G150">
            <v>20</v>
          </cell>
          <cell r="H150" t="str">
            <v>AGR</v>
          </cell>
          <cell r="I150" t="str">
            <v>ALEXANDRE MARINS</v>
          </cell>
          <cell r="J150" t="str">
            <v/>
          </cell>
          <cell r="N150" t="str">
            <v>ADM AGRICOLA</v>
          </cell>
          <cell r="O150" t="str">
            <v>ATIVO</v>
          </cell>
        </row>
        <row r="151">
          <cell r="E151">
            <v>500202</v>
          </cell>
          <cell r="F151" t="str">
            <v>ADM INFORMAÇÕES AGRÍCOLAS</v>
          </cell>
          <cell r="G151">
            <v>20</v>
          </cell>
          <cell r="H151" t="str">
            <v>AGR</v>
          </cell>
          <cell r="I151" t="str">
            <v>EVERTON PASSARINI</v>
          </cell>
          <cell r="J151" t="str">
            <v/>
          </cell>
          <cell r="N151" t="str">
            <v>ADM AGRICOLA</v>
          </cell>
          <cell r="O151" t="str">
            <v>ATIVO</v>
          </cell>
          <cell r="P151" t="str">
            <v>E01</v>
          </cell>
          <cell r="Q151" t="str">
            <v>E03</v>
          </cell>
          <cell r="R151" t="str">
            <v>E16</v>
          </cell>
        </row>
        <row r="152">
          <cell r="E152">
            <v>500204</v>
          </cell>
          <cell r="F152" t="str">
            <v>TECNICOS AGRICOLAS</v>
          </cell>
          <cell r="G152">
            <v>20</v>
          </cell>
          <cell r="H152" t="str">
            <v>AGR</v>
          </cell>
          <cell r="I152" t="str">
            <v>ALEXANDRE MARINS</v>
          </cell>
          <cell r="J152" t="str">
            <v/>
          </cell>
          <cell r="N152" t="str">
            <v>ADM AGRICOLA</v>
          </cell>
          <cell r="O152" t="str">
            <v>ATIVO</v>
          </cell>
        </row>
        <row r="153">
          <cell r="E153">
            <v>500206</v>
          </cell>
          <cell r="F153" t="str">
            <v>TOPOGRAFIA</v>
          </cell>
          <cell r="G153">
            <v>20</v>
          </cell>
          <cell r="H153" t="str">
            <v>AGR</v>
          </cell>
          <cell r="I153" t="str">
            <v>ALEXANDRE MARINS</v>
          </cell>
          <cell r="J153" t="str">
            <v/>
          </cell>
          <cell r="N153" t="str">
            <v>COLHEITA</v>
          </cell>
          <cell r="O153" t="str">
            <v>ATIVO</v>
          </cell>
          <cell r="P153" t="str">
            <v>E01</v>
          </cell>
          <cell r="Q153" t="str">
            <v>E03</v>
          </cell>
          <cell r="R153" t="str">
            <v>E16</v>
          </cell>
        </row>
        <row r="154">
          <cell r="E154">
            <v>500208</v>
          </cell>
          <cell r="F154" t="str">
            <v>NOVOS PROJETOS</v>
          </cell>
          <cell r="G154">
            <v>20</v>
          </cell>
          <cell r="H154" t="str">
            <v>AGR</v>
          </cell>
          <cell r="I154" t="str">
            <v>ALEXANDRE MARINS</v>
          </cell>
          <cell r="J154" t="str">
            <v/>
          </cell>
          <cell r="N154" t="str">
            <v>ADM AGRICOLA</v>
          </cell>
          <cell r="O154" t="str">
            <v>ATIVO</v>
          </cell>
        </row>
        <row r="155">
          <cell r="E155">
            <v>500210</v>
          </cell>
          <cell r="F155" t="str">
            <v>LAVANDERIA</v>
          </cell>
          <cell r="G155">
            <v>20</v>
          </cell>
          <cell r="H155" t="str">
            <v>AGR</v>
          </cell>
          <cell r="I155" t="str">
            <v>MIGUEL GARCIA</v>
          </cell>
          <cell r="J155" t="str">
            <v/>
          </cell>
          <cell r="N155" t="str">
            <v>ADM AGRICOLA</v>
          </cell>
          <cell r="O155" t="str">
            <v>ATIVO</v>
          </cell>
        </row>
        <row r="156">
          <cell r="E156">
            <v>500212</v>
          </cell>
          <cell r="F156" t="str">
            <v>ADM COLHEITA DE CANA</v>
          </cell>
          <cell r="G156">
            <v>20</v>
          </cell>
          <cell r="H156" t="str">
            <v>AGR</v>
          </cell>
          <cell r="I156" t="str">
            <v>JOEL GARCIA</v>
          </cell>
          <cell r="J156" t="str">
            <v/>
          </cell>
          <cell r="N156" t="str">
            <v>ADM AGRICOLA</v>
          </cell>
          <cell r="O156" t="str">
            <v>ATIVO</v>
          </cell>
          <cell r="P156" t="str">
            <v>E01</v>
          </cell>
          <cell r="Q156" t="str">
            <v>E03</v>
          </cell>
          <cell r="R156" t="str">
            <v>E16</v>
          </cell>
          <cell r="S156" t="str">
            <v>E17</v>
          </cell>
        </row>
        <row r="157">
          <cell r="E157">
            <v>500214</v>
          </cell>
          <cell r="F157" t="str">
            <v>ADM PRODUÇÃO AGRÍCOLA</v>
          </cell>
          <cell r="G157">
            <v>20</v>
          </cell>
          <cell r="H157" t="str">
            <v>AGR</v>
          </cell>
          <cell r="I157" t="str">
            <v>MIGUEL GARCIA</v>
          </cell>
          <cell r="J157" t="str">
            <v/>
          </cell>
          <cell r="N157" t="str">
            <v>ADM AGRICOLA</v>
          </cell>
          <cell r="O157" t="str">
            <v>ATIVO</v>
          </cell>
          <cell r="P157" t="str">
            <v>E01</v>
          </cell>
          <cell r="Q157" t="str">
            <v>E03</v>
          </cell>
          <cell r="R157" t="str">
            <v>E16</v>
          </cell>
        </row>
        <row r="158">
          <cell r="E158">
            <v>500216</v>
          </cell>
          <cell r="F158" t="str">
            <v>PLANEJAMENTO AGRICOLA</v>
          </cell>
          <cell r="G158">
            <v>20</v>
          </cell>
          <cell r="H158" t="str">
            <v>AGR</v>
          </cell>
          <cell r="I158" t="str">
            <v>ALEXANDRE MARINS</v>
          </cell>
          <cell r="J158" t="str">
            <v/>
          </cell>
          <cell r="N158" t="str">
            <v>ADM AGRICOLA</v>
          </cell>
          <cell r="O158" t="str">
            <v>ATIVO</v>
          </cell>
          <cell r="P158" t="str">
            <v>E01</v>
          </cell>
          <cell r="Q158" t="str">
            <v>E03</v>
          </cell>
          <cell r="R158" t="str">
            <v>E16</v>
          </cell>
        </row>
        <row r="159">
          <cell r="E159">
            <v>500218</v>
          </cell>
          <cell r="F159" t="str">
            <v>CONTROLE DE QUALIDADE AGRICOLA</v>
          </cell>
          <cell r="G159">
            <v>20</v>
          </cell>
          <cell r="H159" t="str">
            <v>AGR</v>
          </cell>
          <cell r="I159" t="str">
            <v>EVERTON GEROMINI</v>
          </cell>
          <cell r="J159" t="str">
            <v/>
          </cell>
          <cell r="N159" t="str">
            <v>ADM AGRICOLA</v>
          </cell>
          <cell r="O159" t="str">
            <v>ATIVO</v>
          </cell>
          <cell r="P159" t="str">
            <v>E01</v>
          </cell>
          <cell r="Q159" t="str">
            <v>E03</v>
          </cell>
          <cell r="R159" t="str">
            <v>E21</v>
          </cell>
        </row>
        <row r="160">
          <cell r="E160">
            <v>500220</v>
          </cell>
          <cell r="F160" t="str">
            <v>ADM PARCERIAS/FORN. AGRICOLA</v>
          </cell>
          <cell r="G160">
            <v>20</v>
          </cell>
          <cell r="H160" t="str">
            <v>AGR</v>
          </cell>
          <cell r="I160" t="str">
            <v>NELSON ESQUIVEL</v>
          </cell>
          <cell r="J160" t="str">
            <v/>
          </cell>
          <cell r="N160" t="str">
            <v>ADM AGRICOLA</v>
          </cell>
          <cell r="O160" t="str">
            <v>ATIVO</v>
          </cell>
          <cell r="P160" t="str">
            <v>E01</v>
          </cell>
          <cell r="Q160" t="str">
            <v>E03</v>
          </cell>
          <cell r="R160" t="str">
            <v>E16</v>
          </cell>
        </row>
        <row r="161">
          <cell r="E161">
            <v>500222</v>
          </cell>
          <cell r="F161" t="str">
            <v>CONTROLE DE TRÁFEGO (CENTRAL)</v>
          </cell>
          <cell r="G161">
            <v>20</v>
          </cell>
          <cell r="H161" t="str">
            <v>AGR</v>
          </cell>
          <cell r="I161" t="str">
            <v>JOEL GARCIA</v>
          </cell>
          <cell r="J161" t="str">
            <v/>
          </cell>
          <cell r="N161" t="str">
            <v>ADM AGRICOLA</v>
          </cell>
          <cell r="O161" t="str">
            <v>ATIVO</v>
          </cell>
          <cell r="P161" t="str">
            <v>E01</v>
          </cell>
          <cell r="Q161" t="str">
            <v>E03</v>
          </cell>
          <cell r="R161" t="str">
            <v>E16</v>
          </cell>
          <cell r="S161" t="str">
            <v>E17</v>
          </cell>
        </row>
        <row r="162">
          <cell r="E162">
            <v>500224</v>
          </cell>
          <cell r="F162" t="str">
            <v>CONTROLE BIOLÓGICO</v>
          </cell>
          <cell r="G162">
            <v>20</v>
          </cell>
          <cell r="H162" t="str">
            <v>AGR</v>
          </cell>
          <cell r="I162" t="str">
            <v>CARLOS ARCE</v>
          </cell>
          <cell r="J162" t="str">
            <v/>
          </cell>
          <cell r="N162" t="str">
            <v>ADM AGR</v>
          </cell>
          <cell r="O162" t="str">
            <v>ATIVO</v>
          </cell>
          <cell r="P162" t="str">
            <v>E01</v>
          </cell>
          <cell r="Q162" t="str">
            <v>E03</v>
          </cell>
          <cell r="R162" t="str">
            <v>E21</v>
          </cell>
        </row>
        <row r="163">
          <cell r="E163">
            <v>500226</v>
          </cell>
          <cell r="F163" t="str">
            <v>ADM TECNOLOGIA AGRÍCOLA</v>
          </cell>
          <cell r="G163">
            <v>20</v>
          </cell>
          <cell r="H163" t="str">
            <v>Agr</v>
          </cell>
          <cell r="I163" t="str">
            <v>MARTIM LOOSLI</v>
          </cell>
          <cell r="J163" t="str">
            <v/>
          </cell>
          <cell r="N163" t="str">
            <v>MDO-AGRICOLA</v>
          </cell>
          <cell r="O163" t="str">
            <v>ATIVO</v>
          </cell>
          <cell r="P163" t="str">
            <v>E01</v>
          </cell>
          <cell r="Q163" t="str">
            <v>E03</v>
          </cell>
          <cell r="R163" t="str">
            <v>E16</v>
          </cell>
        </row>
        <row r="164">
          <cell r="E164">
            <v>500299</v>
          </cell>
          <cell r="F164" t="str">
            <v>MANUTENÇÃO DE ENTRESSAFRA</v>
          </cell>
          <cell r="G164">
            <v>20</v>
          </cell>
          <cell r="H164" t="str">
            <v>AGR</v>
          </cell>
          <cell r="I164" t="str">
            <v>EVERTON PASSARINI</v>
          </cell>
          <cell r="J164" t="str">
            <v/>
          </cell>
          <cell r="N164" t="str">
            <v>ADM AGRICOLA</v>
          </cell>
          <cell r="O164" t="str">
            <v>ATIVO</v>
          </cell>
        </row>
        <row r="165">
          <cell r="E165">
            <v>500300</v>
          </cell>
          <cell r="F165" t="str">
            <v>ADMINISTRAÇÃO DE RURAL</v>
          </cell>
          <cell r="G165">
            <v>20</v>
          </cell>
          <cell r="H165" t="str">
            <v>AGR</v>
          </cell>
          <cell r="I165" t="str">
            <v>JOEL GARCIA</v>
          </cell>
          <cell r="J165" t="str">
            <v/>
          </cell>
          <cell r="N165" t="str">
            <v>MDO-AGRICOLA</v>
          </cell>
          <cell r="O165" t="str">
            <v>ATIVO</v>
          </cell>
        </row>
        <row r="166">
          <cell r="E166">
            <v>500302</v>
          </cell>
          <cell r="F166" t="str">
            <v>MDO FISCAIS CAMPO</v>
          </cell>
          <cell r="G166">
            <v>20</v>
          </cell>
          <cell r="H166" t="str">
            <v>AGR</v>
          </cell>
          <cell r="I166" t="str">
            <v>JOEL GARCIA</v>
          </cell>
          <cell r="J166" t="str">
            <v/>
          </cell>
          <cell r="N166" t="str">
            <v>COLHEITA</v>
          </cell>
          <cell r="O166" t="str">
            <v>ATIVO</v>
          </cell>
          <cell r="P166" t="str">
            <v>E01</v>
          </cell>
          <cell r="Q166" t="str">
            <v>E03</v>
          </cell>
          <cell r="R166" t="str">
            <v>E16</v>
          </cell>
          <cell r="S166" t="str">
            <v>E17</v>
          </cell>
        </row>
        <row r="167">
          <cell r="E167">
            <v>500304</v>
          </cell>
          <cell r="F167" t="str">
            <v>MDO QUEIMA DE CANA</v>
          </cell>
          <cell r="G167">
            <v>20</v>
          </cell>
          <cell r="H167" t="str">
            <v>AGR</v>
          </cell>
          <cell r="I167" t="str">
            <v>JOEL GARCIA</v>
          </cell>
          <cell r="J167" t="str">
            <v/>
          </cell>
          <cell r="N167" t="str">
            <v>COLHEITA</v>
          </cell>
          <cell r="O167" t="str">
            <v>ATIVO</v>
          </cell>
          <cell r="P167" t="str">
            <v>E01</v>
          </cell>
          <cell r="Q167" t="str">
            <v>E03</v>
          </cell>
          <cell r="R167" t="str">
            <v>E16</v>
          </cell>
          <cell r="S167" t="str">
            <v>E17</v>
          </cell>
        </row>
        <row r="168">
          <cell r="E168">
            <v>500306</v>
          </cell>
          <cell r="F168" t="str">
            <v>MDO BITUCA</v>
          </cell>
          <cell r="G168">
            <v>20</v>
          </cell>
          <cell r="H168" t="str">
            <v>AGR</v>
          </cell>
          <cell r="I168" t="str">
            <v>JOEL GARCIA</v>
          </cell>
          <cell r="J168" t="str">
            <v/>
          </cell>
          <cell r="N168" t="str">
            <v>TRATOS</v>
          </cell>
          <cell r="O168" t="str">
            <v>ATIVO</v>
          </cell>
          <cell r="P168" t="str">
            <v>E01</v>
          </cell>
          <cell r="Q168" t="str">
            <v>E03</v>
          </cell>
          <cell r="R168" t="str">
            <v>E16</v>
          </cell>
          <cell r="S168" t="str">
            <v>E17</v>
          </cell>
        </row>
        <row r="169">
          <cell r="E169">
            <v>500308</v>
          </cell>
          <cell r="F169" t="str">
            <v>MDO CATAÇÃO QUIMICA</v>
          </cell>
          <cell r="G169">
            <v>20</v>
          </cell>
          <cell r="H169" t="str">
            <v>AGR</v>
          </cell>
          <cell r="I169" t="str">
            <v>MIGUEL GARCIA</v>
          </cell>
          <cell r="J169" t="str">
            <v/>
          </cell>
          <cell r="N169" t="str">
            <v>MDO-AGRICOLA</v>
          </cell>
          <cell r="O169" t="str">
            <v>ATIVO</v>
          </cell>
          <cell r="P169" t="str">
            <v>E01</v>
          </cell>
          <cell r="Q169" t="str">
            <v>E03</v>
          </cell>
          <cell r="R169" t="str">
            <v>E16</v>
          </cell>
        </row>
        <row r="170">
          <cell r="E170">
            <v>500310</v>
          </cell>
          <cell r="F170" t="str">
            <v>MDO RURICOLAS - REGIONAIS</v>
          </cell>
          <cell r="G170">
            <v>20</v>
          </cell>
          <cell r="H170" t="str">
            <v>AGR</v>
          </cell>
          <cell r="I170" t="str">
            <v>JOEL GARCIA</v>
          </cell>
          <cell r="J170" t="str">
            <v/>
          </cell>
          <cell r="N170" t="str">
            <v>MDO-AGRICOLA</v>
          </cell>
          <cell r="O170" t="str">
            <v>ATIVO</v>
          </cell>
          <cell r="P170" t="str">
            <v>E01</v>
          </cell>
          <cell r="Q170" t="str">
            <v>E03</v>
          </cell>
          <cell r="R170" t="str">
            <v>E16</v>
          </cell>
          <cell r="S170" t="str">
            <v>E17</v>
          </cell>
        </row>
        <row r="171">
          <cell r="E171">
            <v>500312</v>
          </cell>
          <cell r="F171" t="str">
            <v>ENCARREGADO MDO RURAL</v>
          </cell>
          <cell r="G171">
            <v>20</v>
          </cell>
          <cell r="H171" t="str">
            <v>AGR</v>
          </cell>
          <cell r="I171" t="str">
            <v>JOEL GARCIA</v>
          </cell>
          <cell r="J171" t="str">
            <v/>
          </cell>
          <cell r="N171" t="str">
            <v>MDO-AGRICOLA</v>
          </cell>
          <cell r="O171" t="str">
            <v>ATIVO</v>
          </cell>
          <cell r="P171" t="str">
            <v>E01</v>
          </cell>
          <cell r="Q171" t="str">
            <v>E03</v>
          </cell>
          <cell r="R171" t="str">
            <v>E16</v>
          </cell>
          <cell r="S171" t="str">
            <v>E17</v>
          </cell>
        </row>
        <row r="172">
          <cell r="E172">
            <v>500314</v>
          </cell>
          <cell r="F172" t="str">
            <v>MDO MIGRANTES</v>
          </cell>
          <cell r="G172">
            <v>20</v>
          </cell>
          <cell r="H172" t="str">
            <v>AGR</v>
          </cell>
          <cell r="I172" t="str">
            <v>JOEL GARCIA</v>
          </cell>
          <cell r="J172" t="str">
            <v/>
          </cell>
          <cell r="N172" t="str">
            <v>FERTIRRIGAÇÃO</v>
          </cell>
          <cell r="O172" t="str">
            <v>ATIVO</v>
          </cell>
          <cell r="P172" t="str">
            <v>E01</v>
          </cell>
          <cell r="Q172" t="str">
            <v>E03</v>
          </cell>
          <cell r="R172" t="str">
            <v>E16</v>
          </cell>
          <cell r="S172" t="str">
            <v>E17</v>
          </cell>
        </row>
        <row r="173">
          <cell r="E173">
            <v>500399</v>
          </cell>
          <cell r="F173" t="str">
            <v>MANUTENÇÃO DE ENTRESSAFRA</v>
          </cell>
          <cell r="G173">
            <v>20</v>
          </cell>
          <cell r="H173" t="str">
            <v>AGR</v>
          </cell>
          <cell r="I173" t="str">
            <v>JOEL GARCIA</v>
          </cell>
          <cell r="J173" t="str">
            <v/>
          </cell>
          <cell r="N173" t="str">
            <v>MDO-AGRICOLA</v>
          </cell>
          <cell r="O173" t="str">
            <v>ATIVO</v>
          </cell>
        </row>
        <row r="174">
          <cell r="E174">
            <v>500400</v>
          </cell>
          <cell r="F174" t="str">
            <v>FERTIRRIGAÇÃO (ESTRUTURA)</v>
          </cell>
          <cell r="G174">
            <v>20</v>
          </cell>
          <cell r="H174" t="str">
            <v>AGR</v>
          </cell>
          <cell r="I174" t="str">
            <v>MIGUEL GARCIA</v>
          </cell>
          <cell r="J174" t="str">
            <v/>
          </cell>
          <cell r="N174" t="str">
            <v>FERTIRRIGAÇÃO</v>
          </cell>
          <cell r="O174" t="str">
            <v>ATIVO</v>
          </cell>
        </row>
        <row r="175">
          <cell r="E175">
            <v>500401</v>
          </cell>
          <cell r="F175" t="str">
            <v>ESTRUTURA DE FERTIRRIGAÇÃO</v>
          </cell>
          <cell r="G175">
            <v>20</v>
          </cell>
          <cell r="H175" t="str">
            <v>AGR</v>
          </cell>
          <cell r="I175" t="str">
            <v>MIGUEL GARCIA</v>
          </cell>
          <cell r="J175" t="str">
            <v/>
          </cell>
          <cell r="N175" t="str">
            <v>FERTIRRIGAÇÃO</v>
          </cell>
          <cell r="O175" t="str">
            <v>ATIVO</v>
          </cell>
        </row>
        <row r="176">
          <cell r="E176">
            <v>500402</v>
          </cell>
          <cell r="F176" t="str">
            <v>MANUT. CANAIS DE VINHAÇA</v>
          </cell>
          <cell r="G176">
            <v>20</v>
          </cell>
          <cell r="H176" t="str">
            <v>AGR</v>
          </cell>
          <cell r="I176" t="str">
            <v>MIGUEL GARCIA</v>
          </cell>
          <cell r="J176" t="str">
            <v/>
          </cell>
          <cell r="N176" t="str">
            <v>FERTIRRIGAÇÃO</v>
          </cell>
          <cell r="O176" t="str">
            <v>ATIVO</v>
          </cell>
        </row>
        <row r="177">
          <cell r="E177">
            <v>500404</v>
          </cell>
          <cell r="F177" t="str">
            <v>MDO FERTIRRIGAÇÃO</v>
          </cell>
          <cell r="G177">
            <v>20</v>
          </cell>
          <cell r="H177" t="str">
            <v>AGR</v>
          </cell>
          <cell r="I177" t="str">
            <v>MIGUEL GARCIA</v>
          </cell>
          <cell r="J177" t="str">
            <v/>
          </cell>
          <cell r="N177" t="str">
            <v>OFICINA</v>
          </cell>
          <cell r="O177" t="str">
            <v>ATIVO</v>
          </cell>
          <cell r="P177" t="str">
            <v>E01</v>
          </cell>
          <cell r="Q177" t="str">
            <v>E03</v>
          </cell>
          <cell r="R177" t="str">
            <v>E16</v>
          </cell>
        </row>
        <row r="178">
          <cell r="E178">
            <v>500406</v>
          </cell>
          <cell r="F178" t="str">
            <v>DISTRIBUIÇAO DE VINHAÇA</v>
          </cell>
          <cell r="G178">
            <v>20</v>
          </cell>
          <cell r="H178" t="str">
            <v>AGR</v>
          </cell>
          <cell r="I178" t="str">
            <v>MIGUEL GARCIA</v>
          </cell>
          <cell r="J178" t="str">
            <v/>
          </cell>
          <cell r="N178" t="str">
            <v>FERTIRRIGAÇÃO</v>
          </cell>
          <cell r="O178" t="str">
            <v>ATIVO</v>
          </cell>
        </row>
        <row r="179">
          <cell r="E179">
            <v>500499</v>
          </cell>
          <cell r="F179" t="str">
            <v>MANUTENÇÃO DE ENTRESSAFRA</v>
          </cell>
          <cell r="G179">
            <v>20</v>
          </cell>
          <cell r="H179" t="str">
            <v>AGR</v>
          </cell>
          <cell r="I179" t="str">
            <v>MIGUEL GARCIA</v>
          </cell>
          <cell r="J179" t="str">
            <v/>
          </cell>
          <cell r="N179" t="str">
            <v>FERTIRRIGAÇÃO</v>
          </cell>
          <cell r="O179" t="str">
            <v>ATIVO</v>
          </cell>
        </row>
        <row r="180">
          <cell r="E180">
            <v>500500</v>
          </cell>
          <cell r="F180" t="str">
            <v>MANUTENÇÃO AUTOMOTIVA</v>
          </cell>
          <cell r="G180">
            <v>20</v>
          </cell>
          <cell r="H180" t="str">
            <v>AGR</v>
          </cell>
          <cell r="I180" t="str">
            <v>GUSTAVO NAGUMO</v>
          </cell>
          <cell r="J180" t="str">
            <v/>
          </cell>
          <cell r="N180" t="str">
            <v>OFICINA</v>
          </cell>
          <cell r="O180" t="str">
            <v>ATIVO</v>
          </cell>
        </row>
        <row r="181">
          <cell r="E181">
            <v>500502</v>
          </cell>
          <cell r="F181" t="str">
            <v>ADM MANUTENÇÃO AUTOMOTIVA</v>
          </cell>
          <cell r="G181">
            <v>20</v>
          </cell>
          <cell r="H181" t="str">
            <v>AGR</v>
          </cell>
          <cell r="I181" t="str">
            <v>GUSTAVO NAGUMO</v>
          </cell>
          <cell r="J181" t="str">
            <v/>
          </cell>
          <cell r="N181" t="str">
            <v>OFICINA</v>
          </cell>
          <cell r="O181" t="str">
            <v>ATIVO</v>
          </cell>
          <cell r="P181" t="str">
            <v>E01</v>
          </cell>
          <cell r="Q181" t="str">
            <v>E03</v>
          </cell>
          <cell r="R181" t="str">
            <v>E18</v>
          </cell>
        </row>
        <row r="182">
          <cell r="E182">
            <v>500506</v>
          </cell>
          <cell r="F182" t="str">
            <v>POSTO DE LAVAGEM/ LUBRIFICAÇÃO</v>
          </cell>
          <cell r="G182">
            <v>20</v>
          </cell>
          <cell r="H182" t="str">
            <v>AGR</v>
          </cell>
          <cell r="I182" t="str">
            <v>GUSTAVO NAGUMO</v>
          </cell>
          <cell r="J182" t="str">
            <v/>
          </cell>
          <cell r="N182" t="str">
            <v>OFICINA</v>
          </cell>
          <cell r="O182" t="str">
            <v>ATIVO</v>
          </cell>
          <cell r="P182" t="str">
            <v>E01</v>
          </cell>
          <cell r="Q182" t="str">
            <v>E03</v>
          </cell>
          <cell r="R182" t="str">
            <v>E18</v>
          </cell>
        </row>
        <row r="183">
          <cell r="E183">
            <v>500508</v>
          </cell>
          <cell r="F183" t="str">
            <v>ELETRICISTA</v>
          </cell>
          <cell r="G183">
            <v>20</v>
          </cell>
          <cell r="H183" t="str">
            <v>AGR</v>
          </cell>
          <cell r="I183" t="str">
            <v>GUSTAVO NAGUMO</v>
          </cell>
          <cell r="J183" t="str">
            <v/>
          </cell>
          <cell r="N183" t="str">
            <v>OFICINA</v>
          </cell>
          <cell r="O183" t="str">
            <v>ATIVO</v>
          </cell>
          <cell r="P183" t="str">
            <v>E01</v>
          </cell>
          <cell r="Q183" t="str">
            <v>E03</v>
          </cell>
          <cell r="R183" t="str">
            <v>E18</v>
          </cell>
        </row>
        <row r="184">
          <cell r="E184">
            <v>500510</v>
          </cell>
          <cell r="F184" t="str">
            <v>SOLDADOR</v>
          </cell>
          <cell r="G184">
            <v>20</v>
          </cell>
          <cell r="H184" t="str">
            <v>AGR</v>
          </cell>
          <cell r="I184" t="str">
            <v>GUSTAVO NAGUMO</v>
          </cell>
          <cell r="J184" t="str">
            <v/>
          </cell>
          <cell r="N184" t="str">
            <v>OFICINA</v>
          </cell>
          <cell r="O184" t="str">
            <v>ATIVO</v>
          </cell>
          <cell r="P184" t="str">
            <v>E01</v>
          </cell>
          <cell r="Q184" t="str">
            <v>E03</v>
          </cell>
          <cell r="R184" t="str">
            <v>E18</v>
          </cell>
        </row>
        <row r="185">
          <cell r="E185">
            <v>500512</v>
          </cell>
          <cell r="F185" t="str">
            <v>MECÂNICO COLHEDORA</v>
          </cell>
          <cell r="G185">
            <v>20</v>
          </cell>
          <cell r="H185" t="str">
            <v>AGR</v>
          </cell>
          <cell r="I185" t="str">
            <v>GUSTAVO NAGUMO</v>
          </cell>
          <cell r="J185" t="str">
            <v/>
          </cell>
          <cell r="N185" t="str">
            <v>OFICINA</v>
          </cell>
          <cell r="O185" t="str">
            <v>ATIVO</v>
          </cell>
          <cell r="P185" t="str">
            <v>E01</v>
          </cell>
          <cell r="Q185" t="str">
            <v>E03</v>
          </cell>
          <cell r="R185" t="str">
            <v>E18</v>
          </cell>
        </row>
        <row r="186">
          <cell r="E186">
            <v>500514</v>
          </cell>
          <cell r="F186" t="str">
            <v>MECÂNICO MAQUINAS / IMPLEMENTOS</v>
          </cell>
          <cell r="G186">
            <v>20</v>
          </cell>
          <cell r="H186" t="str">
            <v>AGR</v>
          </cell>
          <cell r="I186" t="str">
            <v>GUSTAVO NAGUMO</v>
          </cell>
          <cell r="J186" t="str">
            <v/>
          </cell>
          <cell r="N186" t="str">
            <v>OFICINA</v>
          </cell>
          <cell r="O186" t="str">
            <v>ATIVO</v>
          </cell>
        </row>
        <row r="187">
          <cell r="E187">
            <v>500516</v>
          </cell>
          <cell r="F187" t="str">
            <v>BORRACHEIRO</v>
          </cell>
          <cell r="G187">
            <v>20</v>
          </cell>
          <cell r="H187" t="str">
            <v>AGR</v>
          </cell>
          <cell r="I187" t="str">
            <v>GUSTAVO NAGUMO</v>
          </cell>
          <cell r="J187" t="str">
            <v/>
          </cell>
          <cell r="N187" t="str">
            <v>OPERADORES/MOTORISTAS</v>
          </cell>
          <cell r="O187" t="str">
            <v>ATIVO</v>
          </cell>
          <cell r="P187" t="str">
            <v>E01</v>
          </cell>
          <cell r="Q187" t="str">
            <v>E03</v>
          </cell>
          <cell r="R187" t="str">
            <v>E18</v>
          </cell>
        </row>
        <row r="188">
          <cell r="E188">
            <v>500599</v>
          </cell>
          <cell r="F188" t="str">
            <v>MANUTENÇÃO DE ENTRESSAFRA</v>
          </cell>
          <cell r="G188">
            <v>20</v>
          </cell>
          <cell r="H188" t="str">
            <v>AGR</v>
          </cell>
          <cell r="I188" t="str">
            <v>GUSTAVO NAGUMO</v>
          </cell>
          <cell r="J188" t="str">
            <v/>
          </cell>
          <cell r="N188" t="str">
            <v>OFICINA</v>
          </cell>
          <cell r="O188" t="str">
            <v>ATIVO</v>
          </cell>
        </row>
        <row r="189">
          <cell r="E189">
            <v>500700</v>
          </cell>
          <cell r="F189" t="str">
            <v>MAO DE OBRA APONTADA</v>
          </cell>
          <cell r="G189">
            <v>20</v>
          </cell>
          <cell r="H189" t="str">
            <v>AGR</v>
          </cell>
          <cell r="I189" t="str">
            <v>JOEL GARCIA</v>
          </cell>
          <cell r="J189" t="str">
            <v/>
          </cell>
          <cell r="N189" t="str">
            <v>OPERADORES/MOTORISTAS</v>
          </cell>
          <cell r="O189" t="str">
            <v>ATIVO</v>
          </cell>
        </row>
        <row r="190">
          <cell r="E190">
            <v>500702</v>
          </cell>
          <cell r="F190" t="str">
            <v>MOTORISTAS TRANSP CANA</v>
          </cell>
          <cell r="G190">
            <v>20</v>
          </cell>
          <cell r="H190" t="str">
            <v>AGR</v>
          </cell>
          <cell r="I190" t="str">
            <v>JOEL GARCIA</v>
          </cell>
          <cell r="J190" t="str">
            <v/>
          </cell>
          <cell r="N190" t="str">
            <v>OPERADORES/MOTORISTAS</v>
          </cell>
          <cell r="O190" t="str">
            <v>ATIVO</v>
          </cell>
        </row>
        <row r="191">
          <cell r="E191">
            <v>500704</v>
          </cell>
          <cell r="F191" t="str">
            <v>MOTORISTAS DIVERSOS</v>
          </cell>
          <cell r="G191">
            <v>20</v>
          </cell>
          <cell r="H191" t="str">
            <v>AGR</v>
          </cell>
          <cell r="I191" t="str">
            <v>JOEL GARCIA</v>
          </cell>
          <cell r="J191" t="str">
            <v/>
          </cell>
          <cell r="N191" t="str">
            <v>OPERADORES/MOTORISTAS</v>
          </cell>
          <cell r="O191" t="str">
            <v>ATIVO</v>
          </cell>
        </row>
        <row r="192">
          <cell r="E192">
            <v>500706</v>
          </cell>
          <cell r="F192" t="str">
            <v>CARREGADORES</v>
          </cell>
          <cell r="G192">
            <v>20</v>
          </cell>
          <cell r="H192" t="str">
            <v>AGR</v>
          </cell>
          <cell r="I192" t="str">
            <v>JOEL GARCIA</v>
          </cell>
          <cell r="J192" t="str">
            <v/>
          </cell>
          <cell r="N192" t="str">
            <v>OPERADORES/MOTORISTAS</v>
          </cell>
          <cell r="O192" t="str">
            <v>ATIVO</v>
          </cell>
        </row>
        <row r="193">
          <cell r="E193">
            <v>500708</v>
          </cell>
          <cell r="F193" t="str">
            <v>REBOCADORES</v>
          </cell>
          <cell r="G193">
            <v>20</v>
          </cell>
          <cell r="H193" t="str">
            <v>AGR</v>
          </cell>
          <cell r="I193" t="str">
            <v>JOEL GARCIA</v>
          </cell>
          <cell r="J193" t="str">
            <v/>
          </cell>
          <cell r="N193" t="str">
            <v>OPERADORES/MOTORISTAS</v>
          </cell>
          <cell r="O193" t="str">
            <v>ATIVO</v>
          </cell>
        </row>
        <row r="194">
          <cell r="E194">
            <v>500710</v>
          </cell>
          <cell r="F194" t="str">
            <v>OPERADORES DE COLHEDORAS</v>
          </cell>
          <cell r="G194">
            <v>20</v>
          </cell>
          <cell r="H194" t="str">
            <v>AGR</v>
          </cell>
          <cell r="I194" t="str">
            <v>JOEL GARCIA</v>
          </cell>
          <cell r="J194" t="str">
            <v/>
          </cell>
          <cell r="N194" t="str">
            <v>OPERADORES/MOTORISTAS</v>
          </cell>
          <cell r="O194" t="str">
            <v>ATIVO</v>
          </cell>
          <cell r="P194" t="str">
            <v>E01</v>
          </cell>
          <cell r="Q194" t="str">
            <v>E03</v>
          </cell>
          <cell r="R194" t="str">
            <v>E16</v>
          </cell>
          <cell r="S194" t="str">
            <v>E17</v>
          </cell>
        </row>
        <row r="195">
          <cell r="E195">
            <v>500712</v>
          </cell>
          <cell r="F195" t="str">
            <v>MOTORISTAS TRANSBORDO</v>
          </cell>
          <cell r="G195">
            <v>20</v>
          </cell>
          <cell r="H195" t="str">
            <v>AGR</v>
          </cell>
          <cell r="I195" t="str">
            <v>JOEL GARCIA</v>
          </cell>
          <cell r="J195" t="str">
            <v/>
          </cell>
          <cell r="N195" t="str">
            <v>COLHEITA</v>
          </cell>
          <cell r="O195" t="str">
            <v>ATIVO</v>
          </cell>
          <cell r="P195" t="str">
            <v>E01</v>
          </cell>
          <cell r="Q195" t="str">
            <v>E03</v>
          </cell>
          <cell r="R195" t="str">
            <v>E16</v>
          </cell>
          <cell r="S195" t="str">
            <v>E17</v>
          </cell>
        </row>
        <row r="196">
          <cell r="E196">
            <v>500714</v>
          </cell>
          <cell r="F196" t="str">
            <v>TRATORISTAS MAQ LEVES</v>
          </cell>
          <cell r="G196">
            <v>20</v>
          </cell>
          <cell r="H196" t="str">
            <v>AGR</v>
          </cell>
          <cell r="I196" t="str">
            <v>JOEL GARCIA</v>
          </cell>
          <cell r="J196" t="str">
            <v/>
          </cell>
          <cell r="N196" t="str">
            <v>OPERADORES/MOTORISTAS</v>
          </cell>
          <cell r="O196" t="str">
            <v>ATIVO</v>
          </cell>
        </row>
        <row r="197">
          <cell r="E197">
            <v>500716</v>
          </cell>
          <cell r="F197" t="str">
            <v>TRATORISTAS MAQ MEDIAS</v>
          </cell>
          <cell r="G197">
            <v>20</v>
          </cell>
          <cell r="H197" t="str">
            <v>AGR</v>
          </cell>
          <cell r="I197" t="str">
            <v>JOEL GARCIA</v>
          </cell>
          <cell r="J197" t="str">
            <v/>
          </cell>
          <cell r="N197" t="str">
            <v>OPERADORES/MOTORISTAS</v>
          </cell>
          <cell r="O197" t="str">
            <v>ATIVO</v>
          </cell>
        </row>
        <row r="198">
          <cell r="E198">
            <v>500718</v>
          </cell>
          <cell r="F198" t="str">
            <v>TRATORISTAS MAQ PESADAS</v>
          </cell>
          <cell r="G198">
            <v>20</v>
          </cell>
          <cell r="H198" t="str">
            <v>AGR</v>
          </cell>
          <cell r="I198" t="str">
            <v>JOEL GARCIA</v>
          </cell>
          <cell r="J198" t="str">
            <v/>
          </cell>
          <cell r="N198" t="str">
            <v>ESTRUTURA DE APOIO</v>
          </cell>
          <cell r="O198" t="str">
            <v>ATIVO</v>
          </cell>
          <cell r="P198" t="str">
            <v>E01</v>
          </cell>
          <cell r="Q198" t="str">
            <v>E03</v>
          </cell>
          <cell r="R198" t="str">
            <v>E16</v>
          </cell>
          <cell r="S198" t="str">
            <v>E17</v>
          </cell>
        </row>
        <row r="199">
          <cell r="E199">
            <v>500720</v>
          </cell>
          <cell r="F199" t="str">
            <v>MOTORISTA TRANSPORTE DE APOIO</v>
          </cell>
          <cell r="G199">
            <v>20</v>
          </cell>
          <cell r="H199" t="str">
            <v>AGR</v>
          </cell>
          <cell r="I199" t="str">
            <v>JOEL GARCIA</v>
          </cell>
          <cell r="J199" t="str">
            <v/>
          </cell>
          <cell r="N199" t="str">
            <v>ESTRUTURA DE APOIO</v>
          </cell>
          <cell r="O199" t="str">
            <v>ATIVO</v>
          </cell>
          <cell r="P199" t="str">
            <v>E01</v>
          </cell>
          <cell r="Q199" t="str">
            <v>E03</v>
          </cell>
          <cell r="R199" t="str">
            <v>E16</v>
          </cell>
          <cell r="S199" t="str">
            <v>E17</v>
          </cell>
        </row>
        <row r="200">
          <cell r="E200">
            <v>500722</v>
          </cell>
          <cell r="F200" t="str">
            <v>MDO LÍDERES/FÍSCAIS DE OPERAÇÃO</v>
          </cell>
          <cell r="G200">
            <v>20</v>
          </cell>
          <cell r="H200" t="str">
            <v>AGR</v>
          </cell>
          <cell r="I200" t="str">
            <v>JOEL GARCIA</v>
          </cell>
          <cell r="J200" t="str">
            <v/>
          </cell>
          <cell r="N200" t="str">
            <v>ESTRUTURA DE APOIO</v>
          </cell>
          <cell r="O200" t="str">
            <v>ATIVO</v>
          </cell>
          <cell r="P200" t="str">
            <v>E01</v>
          </cell>
          <cell r="Q200" t="str">
            <v>E03</v>
          </cell>
          <cell r="R200" t="str">
            <v>E16</v>
          </cell>
          <cell r="S200" t="str">
            <v>E17</v>
          </cell>
        </row>
        <row r="201">
          <cell r="E201">
            <v>500724</v>
          </cell>
          <cell r="F201" t="str">
            <v>AUXILIAR DE CONTROLE DE QUALIDADE</v>
          </cell>
          <cell r="G201">
            <v>20</v>
          </cell>
          <cell r="H201" t="str">
            <v>AGR</v>
          </cell>
          <cell r="I201" t="str">
            <v>EVERTON GEROMINI</v>
          </cell>
          <cell r="J201" t="str">
            <v/>
          </cell>
          <cell r="N201" t="str">
            <v>ESTRUTURA DE APOIO</v>
          </cell>
          <cell r="O201" t="str">
            <v>ATIVO</v>
          </cell>
          <cell r="P201" t="str">
            <v>E01</v>
          </cell>
          <cell r="Q201" t="str">
            <v>E03</v>
          </cell>
          <cell r="R201" t="str">
            <v>E21</v>
          </cell>
        </row>
        <row r="202">
          <cell r="E202">
            <v>500726</v>
          </cell>
          <cell r="F202" t="str">
            <v>AUXILIARES AGRICOLAS</v>
          </cell>
          <cell r="G202">
            <v>20</v>
          </cell>
          <cell r="H202" t="str">
            <v>AGR</v>
          </cell>
          <cell r="I202" t="str">
            <v>CARLOS ARCE</v>
          </cell>
          <cell r="J202" t="str">
            <v/>
          </cell>
          <cell r="N202" t="str">
            <v>ESTRUTURA DE APOIO</v>
          </cell>
          <cell r="O202" t="str">
            <v>ATIVO</v>
          </cell>
        </row>
        <row r="203">
          <cell r="E203">
            <v>500728</v>
          </cell>
          <cell r="F203" t="str">
            <v>AUXILIARES DE AGRONOMIA</v>
          </cell>
          <cell r="G203">
            <v>20</v>
          </cell>
          <cell r="H203" t="str">
            <v>AGR</v>
          </cell>
          <cell r="I203" t="str">
            <v>CARLOS ARCE</v>
          </cell>
        </row>
        <row r="204">
          <cell r="E204">
            <v>500790</v>
          </cell>
          <cell r="F204" t="str">
            <v>FUNCIONARIOS DE TERCEIROS</v>
          </cell>
          <cell r="G204">
            <v>20</v>
          </cell>
          <cell r="H204" t="str">
            <v>AGR</v>
          </cell>
          <cell r="I204" t="str">
            <v>JOEL GARCIA</v>
          </cell>
          <cell r="J204" t="str">
            <v/>
          </cell>
          <cell r="N204" t="str">
            <v>ESTRUTURA DE APOIO</v>
          </cell>
          <cell r="O204" t="str">
            <v>ATIVO</v>
          </cell>
        </row>
        <row r="205">
          <cell r="E205">
            <v>500799</v>
          </cell>
          <cell r="F205" t="str">
            <v>MANUTENÇÃO DE ENTRESSAFRA</v>
          </cell>
          <cell r="G205">
            <v>20</v>
          </cell>
          <cell r="H205" t="str">
            <v>AGR</v>
          </cell>
          <cell r="I205" t="str">
            <v>JOEL GARCIA</v>
          </cell>
          <cell r="J205" t="str">
            <v/>
          </cell>
          <cell r="N205" t="str">
            <v>OPERADORES/MOTORISTAS</v>
          </cell>
          <cell r="O205" t="str">
            <v>ATIVO</v>
          </cell>
        </row>
        <row r="206">
          <cell r="E206">
            <v>501000</v>
          </cell>
          <cell r="F206" t="str">
            <v>CULTURA DE CANA</v>
          </cell>
          <cell r="G206">
            <v>20</v>
          </cell>
          <cell r="H206" t="str">
            <v>AGR</v>
          </cell>
          <cell r="I206" t="str">
            <v>MIGUEL GARCIA</v>
          </cell>
          <cell r="J206" t="str">
            <v/>
          </cell>
          <cell r="O206" t="str">
            <v>ATIVO</v>
          </cell>
        </row>
        <row r="207">
          <cell r="E207">
            <v>501002</v>
          </cell>
          <cell r="F207" t="str">
            <v>PREPARO DE SOLO</v>
          </cell>
          <cell r="G207">
            <v>20</v>
          </cell>
          <cell r="H207" t="str">
            <v>AGR</v>
          </cell>
          <cell r="I207" t="str">
            <v>ALEXANDRE MARINS</v>
          </cell>
          <cell r="J207" t="str">
            <v/>
          </cell>
          <cell r="N207" t="str">
            <v>PLANTIO</v>
          </cell>
          <cell r="O207" t="str">
            <v>ATIVO</v>
          </cell>
          <cell r="P207" t="str">
            <v>E01</v>
          </cell>
          <cell r="Q207" t="str">
            <v>E03</v>
          </cell>
          <cell r="R207" t="str">
            <v>E16</v>
          </cell>
        </row>
        <row r="208">
          <cell r="E208">
            <v>501004</v>
          </cell>
          <cell r="F208" t="str">
            <v>COLHEITA DE MUDA</v>
          </cell>
          <cell r="G208">
            <v>20</v>
          </cell>
          <cell r="H208" t="str">
            <v>AGR</v>
          </cell>
          <cell r="I208" t="str">
            <v>MIGUEL GARCIA</v>
          </cell>
          <cell r="J208" t="str">
            <v/>
          </cell>
          <cell r="N208" t="str">
            <v>PLANTIO</v>
          </cell>
          <cell r="O208" t="str">
            <v>ATIVO</v>
          </cell>
          <cell r="P208" t="str">
            <v>E01</v>
          </cell>
          <cell r="Q208" t="str">
            <v>E03</v>
          </cell>
          <cell r="R208" t="str">
            <v>E16</v>
          </cell>
        </row>
        <row r="209">
          <cell r="E209">
            <v>501006</v>
          </cell>
          <cell r="F209" t="str">
            <v>COLHEITA DE MUDA - TERCEIROS</v>
          </cell>
          <cell r="G209">
            <v>20</v>
          </cell>
          <cell r="H209" t="str">
            <v>AGR</v>
          </cell>
          <cell r="I209" t="str">
            <v>MIGUEL GARCIA</v>
          </cell>
          <cell r="J209" t="str">
            <v/>
          </cell>
          <cell r="N209" t="str">
            <v>PLANTIO</v>
          </cell>
          <cell r="O209" t="str">
            <v>ATIVO</v>
          </cell>
        </row>
        <row r="210">
          <cell r="E210">
            <v>501008</v>
          </cell>
          <cell r="F210" t="str">
            <v>PLANTIO DE CANA</v>
          </cell>
          <cell r="G210">
            <v>20</v>
          </cell>
          <cell r="H210" t="str">
            <v>AGR</v>
          </cell>
          <cell r="I210" t="str">
            <v>MIGUEL GARCIA</v>
          </cell>
          <cell r="J210" t="str">
            <v/>
          </cell>
          <cell r="N210" t="str">
            <v>PLANTIO</v>
          </cell>
          <cell r="O210" t="str">
            <v>ATIVO</v>
          </cell>
          <cell r="P210" t="str">
            <v>E01</v>
          </cell>
          <cell r="Q210" t="str">
            <v>E03</v>
          </cell>
          <cell r="R210" t="str">
            <v>E16</v>
          </cell>
        </row>
        <row r="211">
          <cell r="E211">
            <v>501010</v>
          </cell>
          <cell r="F211" t="str">
            <v>TRATOS CANA PLANTA</v>
          </cell>
          <cell r="G211">
            <v>20</v>
          </cell>
          <cell r="H211" t="str">
            <v>AGR</v>
          </cell>
          <cell r="I211" t="str">
            <v>MIGUEL GARCIA</v>
          </cell>
          <cell r="J211" t="str">
            <v/>
          </cell>
          <cell r="N211" t="str">
            <v>TRATOS</v>
          </cell>
          <cell r="O211" t="str">
            <v>ATIVO</v>
          </cell>
          <cell r="P211" t="str">
            <v>E01</v>
          </cell>
          <cell r="Q211" t="str">
            <v>E03</v>
          </cell>
          <cell r="R211" t="str">
            <v>E16</v>
          </cell>
        </row>
        <row r="212">
          <cell r="E212">
            <v>501012</v>
          </cell>
          <cell r="F212" t="str">
            <v>TRATOS CANA SOCA</v>
          </cell>
          <cell r="G212">
            <v>20</v>
          </cell>
          <cell r="H212" t="str">
            <v>AGR</v>
          </cell>
          <cell r="I212" t="str">
            <v>MIGUEL GARCIA</v>
          </cell>
          <cell r="J212" t="str">
            <v/>
          </cell>
          <cell r="N212" t="str">
            <v>COLHEITA</v>
          </cell>
          <cell r="O212" t="str">
            <v>ATIVO</v>
          </cell>
          <cell r="P212" t="str">
            <v>E01</v>
          </cell>
          <cell r="Q212" t="str">
            <v>E03</v>
          </cell>
          <cell r="R212" t="str">
            <v>E16</v>
          </cell>
        </row>
        <row r="213">
          <cell r="E213">
            <v>501014</v>
          </cell>
          <cell r="F213" t="str">
            <v>COLHEITA MANUAL</v>
          </cell>
          <cell r="G213">
            <v>20</v>
          </cell>
          <cell r="H213" t="str">
            <v>AGR</v>
          </cell>
          <cell r="I213" t="str">
            <v>JOEL GARCIA</v>
          </cell>
          <cell r="J213" t="str">
            <v/>
          </cell>
          <cell r="N213" t="str">
            <v>COLHEITA</v>
          </cell>
          <cell r="O213" t="str">
            <v>ATIVO</v>
          </cell>
          <cell r="P213" t="str">
            <v>E01</v>
          </cell>
          <cell r="Q213" t="str">
            <v>E03</v>
          </cell>
          <cell r="R213" t="str">
            <v>E16</v>
          </cell>
          <cell r="S213" t="str">
            <v>E17</v>
          </cell>
        </row>
        <row r="214">
          <cell r="E214">
            <v>501016</v>
          </cell>
          <cell r="F214" t="str">
            <v>COLHEITA MECANIZADA</v>
          </cell>
          <cell r="G214">
            <v>20</v>
          </cell>
          <cell r="H214" t="str">
            <v>AGR</v>
          </cell>
          <cell r="I214" t="str">
            <v>JOEL GARCIA</v>
          </cell>
          <cell r="J214" t="str">
            <v/>
          </cell>
          <cell r="N214" t="str">
            <v>PLANTIO</v>
          </cell>
          <cell r="O214" t="str">
            <v>ATIVO</v>
          </cell>
          <cell r="P214" t="str">
            <v>E01</v>
          </cell>
          <cell r="Q214" t="str">
            <v>E03</v>
          </cell>
          <cell r="R214" t="str">
            <v>E16</v>
          </cell>
          <cell r="S214" t="str">
            <v>E17</v>
          </cell>
        </row>
        <row r="215">
          <cell r="E215">
            <v>501018</v>
          </cell>
          <cell r="F215" t="str">
            <v>PÁTIO DE COMPOSTAGEM</v>
          </cell>
          <cell r="G215">
            <v>20</v>
          </cell>
          <cell r="H215" t="str">
            <v>AGR</v>
          </cell>
          <cell r="I215" t="str">
            <v>MIGUEL GARCIA</v>
          </cell>
          <cell r="J215" t="str">
            <v/>
          </cell>
          <cell r="N215" t="str">
            <v>PLANTIO</v>
          </cell>
          <cell r="O215" t="str">
            <v>ATIVO</v>
          </cell>
        </row>
        <row r="216">
          <cell r="E216">
            <v>501020</v>
          </cell>
          <cell r="F216" t="str">
            <v>REPLANTIO DA CANA PLANTA</v>
          </cell>
          <cell r="G216">
            <v>20</v>
          </cell>
          <cell r="H216" t="str">
            <v>AGR</v>
          </cell>
          <cell r="I216" t="str">
            <v>MIGUEL GARCIA</v>
          </cell>
          <cell r="J216" t="str">
            <v/>
          </cell>
          <cell r="N216" t="str">
            <v>PLANTIO</v>
          </cell>
          <cell r="O216" t="str">
            <v>ATIVO</v>
          </cell>
          <cell r="P216" t="str">
            <v>E01</v>
          </cell>
          <cell r="Q216" t="str">
            <v>E03</v>
          </cell>
          <cell r="R216" t="str">
            <v>E16</v>
          </cell>
        </row>
        <row r="217">
          <cell r="E217">
            <v>501022</v>
          </cell>
          <cell r="F217" t="str">
            <v>REPLANTIO DA CANA SOCA</v>
          </cell>
          <cell r="G217">
            <v>20</v>
          </cell>
          <cell r="H217" t="str">
            <v>AGR</v>
          </cell>
          <cell r="I217" t="str">
            <v>MIGUEL GARCIA</v>
          </cell>
          <cell r="J217" t="str">
            <v/>
          </cell>
          <cell r="N217" t="str">
            <v>ADM AGR</v>
          </cell>
          <cell r="O217" t="str">
            <v>ATIVO</v>
          </cell>
          <cell r="P217" t="str">
            <v>E01</v>
          </cell>
          <cell r="Q217" t="str">
            <v>E03</v>
          </cell>
          <cell r="R217" t="str">
            <v>E16</v>
          </cell>
        </row>
        <row r="218">
          <cell r="E218">
            <v>501030</v>
          </cell>
          <cell r="F218" t="str">
            <v>ADMINISTRAÇÃO AGRÍCOLA</v>
          </cell>
          <cell r="G218">
            <v>20</v>
          </cell>
          <cell r="H218" t="str">
            <v>Agr</v>
          </cell>
          <cell r="I218" t="str">
            <v>EVERTON PASSARINI</v>
          </cell>
          <cell r="J218" t="str">
            <v/>
          </cell>
          <cell r="N218" t="str">
            <v>OUTRAS CULTURAS</v>
          </cell>
          <cell r="O218" t="str">
            <v>ATIVO</v>
          </cell>
          <cell r="P218" t="str">
            <v>E01</v>
          </cell>
          <cell r="Q218" t="str">
            <v>E03</v>
          </cell>
          <cell r="R218" t="str">
            <v>E16</v>
          </cell>
        </row>
        <row r="219">
          <cell r="E219">
            <v>501099</v>
          </cell>
          <cell r="F219" t="str">
            <v>MANUTENÇÃO DE ENTRESSAFRA</v>
          </cell>
          <cell r="G219">
            <v>20</v>
          </cell>
          <cell r="H219" t="str">
            <v>AGR</v>
          </cell>
          <cell r="I219" t="str">
            <v>MIGUEL GARCIA</v>
          </cell>
          <cell r="J219" t="str">
            <v/>
          </cell>
          <cell r="N219" t="str">
            <v>Man. Entre safra</v>
          </cell>
          <cell r="O219" t="str">
            <v>ATIVO</v>
          </cell>
        </row>
        <row r="220">
          <cell r="E220">
            <v>501100</v>
          </cell>
          <cell r="F220" t="str">
            <v>OUTRAS CULTURAS</v>
          </cell>
          <cell r="G220">
            <v>20</v>
          </cell>
          <cell r="H220" t="str">
            <v>AGR</v>
          </cell>
          <cell r="I220" t="str">
            <v>EVERTON PASSARINI</v>
          </cell>
          <cell r="J220" t="str">
            <v/>
          </cell>
          <cell r="N220" t="str">
            <v>OUTRAS CULTURAS</v>
          </cell>
          <cell r="O220" t="str">
            <v>ATIVO</v>
          </cell>
        </row>
        <row r="221">
          <cell r="E221">
            <v>501102</v>
          </cell>
          <cell r="F221" t="str">
            <v>REFLORESTAMENTO</v>
          </cell>
          <cell r="G221">
            <v>20</v>
          </cell>
          <cell r="H221" t="str">
            <v>AGR</v>
          </cell>
          <cell r="I221" t="str">
            <v>CARLOS ARCE</v>
          </cell>
          <cell r="J221" t="str">
            <v/>
          </cell>
          <cell r="N221" t="str">
            <v>ADM AGRICOLA</v>
          </cell>
          <cell r="O221" t="str">
            <v>ATIVO</v>
          </cell>
          <cell r="P221" t="str">
            <v>E01</v>
          </cell>
          <cell r="Q221" t="str">
            <v>E03</v>
          </cell>
          <cell r="R221" t="str">
            <v>E21</v>
          </cell>
        </row>
        <row r="222">
          <cell r="E222">
            <v>501106</v>
          </cell>
          <cell r="F222" t="str">
            <v>EXPERIMENTO</v>
          </cell>
          <cell r="G222">
            <v>20</v>
          </cell>
          <cell r="H222" t="str">
            <v>AGR</v>
          </cell>
          <cell r="I222" t="str">
            <v>CARLOS ARCE</v>
          </cell>
          <cell r="J222" t="str">
            <v/>
          </cell>
          <cell r="N222" t="str">
            <v>OUTRAS CULTURAS</v>
          </cell>
          <cell r="O222" t="str">
            <v>ATIVO</v>
          </cell>
        </row>
        <row r="223">
          <cell r="E223">
            <v>501108</v>
          </cell>
          <cell r="F223" t="str">
            <v>ADUBACAO VERDE</v>
          </cell>
          <cell r="G223">
            <v>20</v>
          </cell>
          <cell r="H223" t="str">
            <v>AGR</v>
          </cell>
          <cell r="I223" t="str">
            <v>CARLOS ARCE</v>
          </cell>
          <cell r="J223" t="str">
            <v/>
          </cell>
          <cell r="N223" t="str">
            <v>OUTRAS CULTURAS</v>
          </cell>
          <cell r="O223" t="str">
            <v>ATIVO</v>
          </cell>
        </row>
        <row r="224">
          <cell r="E224">
            <v>501112</v>
          </cell>
          <cell r="F224" t="str">
            <v>OUTROS SERVICOS</v>
          </cell>
          <cell r="G224">
            <v>20</v>
          </cell>
          <cell r="H224" t="str">
            <v>AGR</v>
          </cell>
          <cell r="I224" t="str">
            <v>EVERTON PASSARINI</v>
          </cell>
          <cell r="J224" t="str">
            <v/>
          </cell>
          <cell r="N224" t="str">
            <v>OUTRAS CULTURAS</v>
          </cell>
          <cell r="O224" t="str">
            <v>ATIVO</v>
          </cell>
        </row>
        <row r="225">
          <cell r="E225">
            <v>501199</v>
          </cell>
          <cell r="F225" t="str">
            <v>MANUTENÇÃO DE ENTRESSAFRA</v>
          </cell>
          <cell r="G225">
            <v>20</v>
          </cell>
          <cell r="H225" t="str">
            <v>AGR</v>
          </cell>
          <cell r="I225" t="str">
            <v>EVERTON PASSARINI</v>
          </cell>
          <cell r="J225" t="str">
            <v/>
          </cell>
          <cell r="N225" t="str">
            <v>OUTRAS CULTURAS</v>
          </cell>
          <cell r="O225" t="str">
            <v>ATIVO</v>
          </cell>
        </row>
        <row r="226">
          <cell r="E226">
            <v>501202</v>
          </cell>
          <cell r="F226" t="str">
            <v>DESENVOLVIMENTO AGRONOMICO</v>
          </cell>
          <cell r="G226">
            <v>20</v>
          </cell>
          <cell r="H226" t="str">
            <v>AGR</v>
          </cell>
          <cell r="I226" t="str">
            <v>CARLOS ARCE</v>
          </cell>
          <cell r="J226" t="str">
            <v/>
          </cell>
          <cell r="N226" t="str">
            <v>ADM AGRICOLA</v>
          </cell>
          <cell r="O226" t="str">
            <v>ATIVO</v>
          </cell>
        </row>
        <row r="227">
          <cell r="E227">
            <v>509900</v>
          </cell>
          <cell r="F227" t="str">
            <v>CUSTO FINAL DE PRODUCAO</v>
          </cell>
          <cell r="G227">
            <v>20</v>
          </cell>
          <cell r="H227" t="str">
            <v>AGR</v>
          </cell>
          <cell r="I227" t="str">
            <v>N/A</v>
          </cell>
          <cell r="J227" t="str">
            <v/>
          </cell>
          <cell r="N227" t="str">
            <v>ADM AGRICOLA</v>
          </cell>
          <cell r="O227" t="str">
            <v>ATIVO</v>
          </cell>
        </row>
        <row r="228">
          <cell r="E228">
            <v>509902</v>
          </cell>
          <cell r="F228" t="str">
            <v>CUSTO MATERIA-PRIMA</v>
          </cell>
          <cell r="G228">
            <v>20</v>
          </cell>
          <cell r="H228" t="str">
            <v>AGR</v>
          </cell>
          <cell r="I228" t="str">
            <v>N/A</v>
          </cell>
          <cell r="J228" t="str">
            <v/>
          </cell>
          <cell r="N228" t="str">
            <v>ADM AGRICOLA</v>
          </cell>
          <cell r="O228" t="str">
            <v>ATIVO</v>
          </cell>
        </row>
        <row r="229">
          <cell r="E229">
            <v>509999</v>
          </cell>
          <cell r="F229" t="str">
            <v>MANUTENÇÃO DE ENTRESSAFRA</v>
          </cell>
          <cell r="G229">
            <v>20</v>
          </cell>
          <cell r="H229" t="str">
            <v>AGR</v>
          </cell>
          <cell r="I229" t="str">
            <v>N/A</v>
          </cell>
          <cell r="J229" t="str">
            <v/>
          </cell>
          <cell r="N229" t="str">
            <v>ADM AGRICOLA</v>
          </cell>
          <cell r="O229" t="str">
            <v>ATIVO</v>
          </cell>
        </row>
        <row r="230">
          <cell r="E230">
            <v>600000</v>
          </cell>
          <cell r="F230" t="str">
            <v>CONSERVACAO GERAL/BENFEITORIAS</v>
          </cell>
          <cell r="G230">
            <v>20</v>
          </cell>
          <cell r="H230" t="str">
            <v>AGR</v>
          </cell>
          <cell r="I230" t="str">
            <v>EVERTON PASSARINI</v>
          </cell>
          <cell r="J230" t="str">
            <v/>
          </cell>
          <cell r="N230" t="str">
            <v>ESTRUTURA DE APOIO</v>
          </cell>
          <cell r="O230" t="str">
            <v>ATIVO</v>
          </cell>
        </row>
        <row r="231">
          <cell r="E231">
            <v>600200</v>
          </cell>
          <cell r="F231" t="str">
            <v>CONSERVACAO DE SEDES</v>
          </cell>
          <cell r="G231">
            <v>20</v>
          </cell>
          <cell r="H231" t="str">
            <v>AGR</v>
          </cell>
          <cell r="I231" t="str">
            <v>EVERTON PASSARINI</v>
          </cell>
          <cell r="J231" t="str">
            <v/>
          </cell>
          <cell r="N231" t="str">
            <v>ESTRUTURA DE APOIO</v>
          </cell>
          <cell r="O231" t="str">
            <v>ATIVO</v>
          </cell>
        </row>
        <row r="232">
          <cell r="E232">
            <v>600400</v>
          </cell>
          <cell r="F232" t="str">
            <v>CONSTR.E CONSERVACAO DEPENDENCIAS</v>
          </cell>
          <cell r="G232">
            <v>20</v>
          </cell>
          <cell r="H232" t="str">
            <v>AGR</v>
          </cell>
          <cell r="I232" t="str">
            <v>EVERTON PASSARINI</v>
          </cell>
          <cell r="J232" t="str">
            <v/>
          </cell>
          <cell r="N232" t="str">
            <v>ESTRUTURA DE APOIO</v>
          </cell>
          <cell r="O232" t="str">
            <v>ATIVO</v>
          </cell>
        </row>
        <row r="233">
          <cell r="E233">
            <v>600600</v>
          </cell>
          <cell r="F233" t="str">
            <v>CONSTR.E CONSERVACAO DE CERCAS</v>
          </cell>
        </row>
        <row r="234">
          <cell r="E234">
            <v>600800</v>
          </cell>
          <cell r="F234" t="str">
            <v>CONSERVACAO DE ESTRADAS</v>
          </cell>
        </row>
        <row r="235">
          <cell r="E235">
            <v>600800</v>
          </cell>
          <cell r="F235" t="str">
            <v>CONSERVACAO DE ESTRADAS</v>
          </cell>
        </row>
        <row r="236">
          <cell r="E236">
            <v>601000</v>
          </cell>
          <cell r="F236" t="str">
            <v>CONSERVACAO PATIOS - INDUSTRIA</v>
          </cell>
        </row>
        <row r="237">
          <cell r="E237">
            <v>601018</v>
          </cell>
          <cell r="F237" t="str">
            <v>MOVIMENTAÇÃO DE RESÍDUOS INDUSTR</v>
          </cell>
        </row>
        <row r="238">
          <cell r="E238">
            <v>601200</v>
          </cell>
          <cell r="F238" t="str">
            <v>CONSERVACAO PATIOS - ADMINISTRACAO</v>
          </cell>
        </row>
        <row r="239">
          <cell r="E239">
            <v>601400</v>
          </cell>
          <cell r="F239" t="str">
            <v>URBANIZACAO E LIMPEZA</v>
          </cell>
        </row>
        <row r="240">
          <cell r="E240">
            <v>601499</v>
          </cell>
          <cell r="F240" t="str">
            <v>MANUTENÇÃO DE ENTRESSAFRA</v>
          </cell>
        </row>
        <row r="241">
          <cell r="E241">
            <v>601600</v>
          </cell>
          <cell r="F241" t="str">
            <v>REDE DE TRATAMENTO DE ÁGUA E ESGOTO</v>
          </cell>
        </row>
        <row r="242">
          <cell r="E242">
            <v>700000</v>
          </cell>
          <cell r="F242" t="str">
            <v>GRUPOS OPERATIVOS</v>
          </cell>
        </row>
        <row r="243">
          <cell r="E243">
            <v>700100</v>
          </cell>
          <cell r="F243" t="str">
            <v>CAMINHOES</v>
          </cell>
        </row>
        <row r="244">
          <cell r="E244">
            <v>700102</v>
          </cell>
          <cell r="F244" t="str">
            <v>CAMINHOES CANAVIEIRO</v>
          </cell>
        </row>
        <row r="245">
          <cell r="E245">
            <v>700103</v>
          </cell>
          <cell r="F245" t="str">
            <v>CAMINHÕES CANAVIEIRO ( PRÓPRIO)</v>
          </cell>
        </row>
        <row r="246">
          <cell r="E246">
            <v>700104</v>
          </cell>
          <cell r="F246" t="str">
            <v>CAMINHOES BASCULANTE (ALUGADO)</v>
          </cell>
        </row>
        <row r="247">
          <cell r="E247">
            <v>700105</v>
          </cell>
          <cell r="F247" t="str">
            <v>CAMINHÕES BASCULANTE ( PRÓPRIO)</v>
          </cell>
        </row>
        <row r="248">
          <cell r="E248">
            <v>700106</v>
          </cell>
          <cell r="F248" t="str">
            <v>CAMINHOES PIPA ( ALUGADO)</v>
          </cell>
        </row>
        <row r="249">
          <cell r="E249">
            <v>700107</v>
          </cell>
          <cell r="F249" t="str">
            <v>CAMINHÕES PIPA ( PRÓPRIO)</v>
          </cell>
        </row>
        <row r="250">
          <cell r="E250">
            <v>700108</v>
          </cell>
          <cell r="F250" t="str">
            <v>CAMINHOES COMBOIO ( ALUGADO)</v>
          </cell>
        </row>
        <row r="251">
          <cell r="E251">
            <v>700109</v>
          </cell>
          <cell r="F251" t="str">
            <v>CAMINHÕES COMBOIO ( PRÓPRIO)</v>
          </cell>
        </row>
        <row r="252">
          <cell r="E252">
            <v>700110</v>
          </cell>
          <cell r="F252" t="str">
            <v>CAMINHOES CARGA SECA ( ALUGADO)</v>
          </cell>
        </row>
        <row r="253">
          <cell r="E253">
            <v>700111</v>
          </cell>
          <cell r="F253" t="str">
            <v>CAMINHÕES CARGA SECA ( PRÓPRIO)</v>
          </cell>
        </row>
        <row r="254">
          <cell r="E254">
            <v>700112</v>
          </cell>
          <cell r="F254" t="str">
            <v>CAMINHOES PRANCHA ( ALUGADO)</v>
          </cell>
        </row>
        <row r="255">
          <cell r="E255">
            <v>700113</v>
          </cell>
          <cell r="F255" t="str">
            <v>CAMINHÕES PRANCHA ( PRÓPRIO)</v>
          </cell>
        </row>
        <row r="256">
          <cell r="E256">
            <v>700114</v>
          </cell>
          <cell r="F256" t="str">
            <v>CAMINHÃO MUNCK ( ALUGADO)</v>
          </cell>
        </row>
        <row r="257">
          <cell r="E257">
            <v>700115</v>
          </cell>
          <cell r="F257" t="str">
            <v>CAMINHÕES MUNCK ( PRÓPRIO)</v>
          </cell>
        </row>
        <row r="258">
          <cell r="E258">
            <v>700116</v>
          </cell>
          <cell r="F258" t="str">
            <v>CAMINHÕES BORRACHARIA (ALUGADO)</v>
          </cell>
        </row>
        <row r="259">
          <cell r="E259">
            <v>700117</v>
          </cell>
          <cell r="F259" t="str">
            <v>CAMINHÕES BORRACHARIA ( PRÓPRIO)</v>
          </cell>
        </row>
        <row r="260">
          <cell r="E260">
            <v>700118</v>
          </cell>
          <cell r="F260" t="str">
            <v>CAMINHÕES OFICINA ( ALUGADO)</v>
          </cell>
        </row>
        <row r="261">
          <cell r="E261">
            <v>700119</v>
          </cell>
          <cell r="F261" t="str">
            <v>CAMINHÕES OFICINA ( PRÓPRIO)</v>
          </cell>
        </row>
        <row r="262">
          <cell r="E262">
            <v>700199</v>
          </cell>
          <cell r="F262" t="str">
            <v>MANUTENÇÃO DE ENTRESSAFRA</v>
          </cell>
        </row>
        <row r="263">
          <cell r="E263">
            <v>700200</v>
          </cell>
          <cell r="F263" t="str">
            <v>TRATORES/MAQUINAS/COLHEDORAS</v>
          </cell>
        </row>
        <row r="264">
          <cell r="E264">
            <v>700202</v>
          </cell>
          <cell r="F264" t="str">
            <v>TRATORES PNEUS - LEVES ( ALUGADO)</v>
          </cell>
        </row>
        <row r="265">
          <cell r="E265">
            <v>700203</v>
          </cell>
          <cell r="F265" t="str">
            <v>TRATORES PNEUS - LEVES ( PRÓPRIO)</v>
          </cell>
        </row>
        <row r="266">
          <cell r="E266">
            <v>700204</v>
          </cell>
          <cell r="F266" t="str">
            <v>TRATORES PNEUS - MEDIOS ( ALUGADO)</v>
          </cell>
        </row>
        <row r="267">
          <cell r="E267">
            <v>700205</v>
          </cell>
          <cell r="F267" t="str">
            <v>TRATORES PNEUS - MEDIOS ( PRÓPRIO)</v>
          </cell>
        </row>
        <row r="268">
          <cell r="E268">
            <v>700206</v>
          </cell>
          <cell r="F268" t="str">
            <v>TRATORES PNEUS - PESADOS ( ALUGADO)</v>
          </cell>
        </row>
        <row r="269">
          <cell r="E269">
            <v>700207</v>
          </cell>
          <cell r="F269" t="str">
            <v>TRATORES PNEUS - PESADOS ( PRÓPRIO)</v>
          </cell>
        </row>
        <row r="270">
          <cell r="E270">
            <v>700208</v>
          </cell>
          <cell r="F270" t="str">
            <v>TRATORES ESTEIRAS ( ALUGADO)</v>
          </cell>
        </row>
        <row r="271">
          <cell r="E271">
            <v>700209</v>
          </cell>
          <cell r="F271" t="str">
            <v>TRATORES ESTEIRAS ( PRÓPRIO)</v>
          </cell>
        </row>
        <row r="272">
          <cell r="E272">
            <v>700210</v>
          </cell>
          <cell r="F272" t="str">
            <v>RETRO ESCAVADORAS ( ALUGADO)</v>
          </cell>
        </row>
        <row r="273">
          <cell r="E273">
            <v>700211</v>
          </cell>
          <cell r="F273" t="str">
            <v>RETRO ESCAVADORAS ( PRÓPRIO)</v>
          </cell>
        </row>
        <row r="274">
          <cell r="E274">
            <v>700212</v>
          </cell>
          <cell r="F274" t="str">
            <v>MOTONIVELADORAS ( ALUGADO)</v>
          </cell>
        </row>
        <row r="275">
          <cell r="E275">
            <v>700213</v>
          </cell>
          <cell r="F275" t="str">
            <v>MOTONIVELADORAS ( PRÓPRIO)</v>
          </cell>
        </row>
        <row r="276">
          <cell r="E276">
            <v>700214</v>
          </cell>
          <cell r="F276" t="str">
            <v>PA CARREGADORAS ( ALUGADO)</v>
          </cell>
        </row>
        <row r="277">
          <cell r="E277">
            <v>700215</v>
          </cell>
          <cell r="F277" t="str">
            <v>PA CARREGADORAS ( PRÓPRIO)</v>
          </cell>
        </row>
        <row r="278">
          <cell r="E278">
            <v>700216</v>
          </cell>
          <cell r="F278" t="str">
            <v>CARREGADORAS DE CANA ( ALUGADO)</v>
          </cell>
        </row>
        <row r="279">
          <cell r="E279">
            <v>700217</v>
          </cell>
          <cell r="F279" t="str">
            <v>CARREGADORAS DE CANA ( PRÓPRIO)</v>
          </cell>
        </row>
        <row r="280">
          <cell r="E280">
            <v>700218</v>
          </cell>
          <cell r="F280" t="str">
            <v>COLHEDORAS DE CANA ( ALUGADO)</v>
          </cell>
        </row>
        <row r="281">
          <cell r="E281">
            <v>700219</v>
          </cell>
          <cell r="F281" t="str">
            <v>COLHEDORAS DE CANA ( PRÓPRIA)</v>
          </cell>
        </row>
        <row r="282">
          <cell r="E282">
            <v>700220</v>
          </cell>
          <cell r="F282" t="str">
            <v>PLANTADORA DE CANA ( ALUGADO)</v>
          </cell>
        </row>
        <row r="283">
          <cell r="E283">
            <v>700221</v>
          </cell>
          <cell r="F283" t="str">
            <v>PLANTADORA DE CANA ( PRÓPRIA)</v>
          </cell>
        </row>
        <row r="284">
          <cell r="E284">
            <v>700222</v>
          </cell>
          <cell r="F284" t="str">
            <v>TRATORES PNEUS-SUPER PESADOS (ALUGADOS)</v>
          </cell>
        </row>
        <row r="285">
          <cell r="E285">
            <v>700223</v>
          </cell>
          <cell r="F285" t="str">
            <v>TRATORES PNEUS-SUPER PESADOS (PRÓPRIOS)</v>
          </cell>
        </row>
        <row r="286">
          <cell r="E286">
            <v>700224</v>
          </cell>
          <cell r="F286" t="str">
            <v>CAMINHÕES TRANSBORDOS (ALUGADOS)</v>
          </cell>
        </row>
        <row r="287">
          <cell r="E287">
            <v>700225</v>
          </cell>
          <cell r="F287" t="str">
            <v>CAMINHÕES TRANSBORDOS (PRÓPRIOS)</v>
          </cell>
        </row>
        <row r="288">
          <cell r="E288">
            <v>700299</v>
          </cell>
          <cell r="F288" t="str">
            <v>MANUTENÇÃO DE ENTRESSAFRA</v>
          </cell>
        </row>
        <row r="289">
          <cell r="E289">
            <v>700300</v>
          </cell>
          <cell r="F289" t="str">
            <v>VEICULOS/UTILITARIOS/ONIBUS</v>
          </cell>
        </row>
        <row r="290">
          <cell r="E290">
            <v>700302</v>
          </cell>
          <cell r="F290" t="str">
            <v>VEICULOS LEVES</v>
          </cell>
        </row>
        <row r="291">
          <cell r="E291">
            <v>700304</v>
          </cell>
          <cell r="F291" t="str">
            <v>CAMINHONETAS/UTILITARIOS</v>
          </cell>
        </row>
        <row r="292">
          <cell r="E292">
            <v>700399</v>
          </cell>
          <cell r="F292" t="str">
            <v>MANUTENÇÃO DE ENTRESSAFRA</v>
          </cell>
        </row>
        <row r="293">
          <cell r="E293">
            <v>701200</v>
          </cell>
          <cell r="F293" t="str">
            <v>IMPLEMENTOS AGRÍCOLA</v>
          </cell>
        </row>
        <row r="294">
          <cell r="E294">
            <v>701202</v>
          </cell>
          <cell r="F294" t="str">
            <v>ACERADORES DE CANA</v>
          </cell>
        </row>
        <row r="295">
          <cell r="E295">
            <v>701204</v>
          </cell>
          <cell r="F295" t="str">
            <v>ARADOS</v>
          </cell>
        </row>
        <row r="296">
          <cell r="E296">
            <v>701206</v>
          </cell>
          <cell r="F296" t="str">
            <v>CARRETAS DE ARRASTO(NAO USE)</v>
          </cell>
        </row>
        <row r="297">
          <cell r="E297">
            <v>701208</v>
          </cell>
          <cell r="F297" t="str">
            <v>CARROCERIAS(NAO USE)</v>
          </cell>
        </row>
        <row r="298">
          <cell r="E298">
            <v>701210</v>
          </cell>
          <cell r="F298" t="str">
            <v>COBRIDORES DE CANA</v>
          </cell>
        </row>
        <row r="299">
          <cell r="E299">
            <v>701212</v>
          </cell>
          <cell r="F299" t="str">
            <v>CONJUNTO DE IRRIGACAO (ROLAO)</v>
          </cell>
        </row>
        <row r="300">
          <cell r="E300">
            <v>701214</v>
          </cell>
          <cell r="F300" t="str">
            <v>CULTIVADORES</v>
          </cell>
        </row>
        <row r="301">
          <cell r="E301">
            <v>701216</v>
          </cell>
          <cell r="F301" t="str">
            <v>DISTRIBUIDORES DE CALCARIO</v>
          </cell>
        </row>
        <row r="302">
          <cell r="E302">
            <v>701218</v>
          </cell>
          <cell r="F302" t="str">
            <v>DISTRIBUIDORES DE TORTA</v>
          </cell>
        </row>
        <row r="303">
          <cell r="E303">
            <v>701220</v>
          </cell>
          <cell r="F303" t="str">
            <v>ENLEIRADORES DE PALHA</v>
          </cell>
        </row>
        <row r="304">
          <cell r="E304">
            <v>701222</v>
          </cell>
          <cell r="F304" t="str">
            <v>ESTEIRA DE ADUBO</v>
          </cell>
        </row>
        <row r="305">
          <cell r="E305">
            <v>701224</v>
          </cell>
          <cell r="F305" t="str">
            <v>GRADES</v>
          </cell>
        </row>
        <row r="306">
          <cell r="E306">
            <v>701226</v>
          </cell>
          <cell r="F306" t="str">
            <v>DISTRIBUIDORES DE CANA</v>
          </cell>
        </row>
        <row r="307">
          <cell r="E307">
            <v>701228</v>
          </cell>
          <cell r="F307" t="str">
            <v>GUINCHO HIDRAULICO</v>
          </cell>
        </row>
        <row r="308">
          <cell r="E308">
            <v>701230</v>
          </cell>
          <cell r="F308" t="str">
            <v>IMPLEMENTOS DIVERSOS</v>
          </cell>
        </row>
        <row r="309">
          <cell r="E309">
            <v>701232</v>
          </cell>
          <cell r="F309" t="str">
            <v>MOTOBOMBAS</v>
          </cell>
        </row>
        <row r="310">
          <cell r="E310">
            <v>701234</v>
          </cell>
          <cell r="F310" t="str">
            <v>MOTORES ESTACIONARIOS</v>
          </cell>
        </row>
        <row r="311">
          <cell r="E311">
            <v>701236</v>
          </cell>
          <cell r="F311" t="str">
            <v>MOTOSSERA</v>
          </cell>
        </row>
        <row r="312">
          <cell r="E312">
            <v>701238</v>
          </cell>
          <cell r="F312" t="str">
            <v>PULVERIZADORES</v>
          </cell>
        </row>
        <row r="313">
          <cell r="E313">
            <v>701240</v>
          </cell>
          <cell r="F313" t="str">
            <v>REBOQUES CANAVIEIROS</v>
          </cell>
        </row>
        <row r="314">
          <cell r="E314">
            <v>701242</v>
          </cell>
          <cell r="F314" t="str">
            <v>ROCADEIRAS</v>
          </cell>
        </row>
        <row r="315">
          <cell r="E315">
            <v>701244</v>
          </cell>
          <cell r="F315" t="str">
            <v>SUBSOLADORES</v>
          </cell>
        </row>
        <row r="316">
          <cell r="E316">
            <v>701246</v>
          </cell>
          <cell r="F316" t="str">
            <v>SULCADORES</v>
          </cell>
        </row>
        <row r="317">
          <cell r="E317">
            <v>701248</v>
          </cell>
          <cell r="F317" t="str">
            <v>TANQUES DE AGUA</v>
          </cell>
        </row>
        <row r="318">
          <cell r="E318">
            <v>701250</v>
          </cell>
          <cell r="F318" t="str">
            <v>TERRACEADORES</v>
          </cell>
        </row>
        <row r="319">
          <cell r="E319">
            <v>701252</v>
          </cell>
          <cell r="F319" t="str">
            <v>TOMADOR DE AMOSTRA</v>
          </cell>
        </row>
        <row r="320">
          <cell r="E320">
            <v>701254</v>
          </cell>
          <cell r="F320" t="str">
            <v>CONJ.TRANSBORDOS (ALUGADO)</v>
          </cell>
        </row>
        <row r="321">
          <cell r="E321">
            <v>701255</v>
          </cell>
          <cell r="F321" t="str">
            <v>CONJ. TRANSBORDO (PROPRIO)</v>
          </cell>
        </row>
        <row r="322">
          <cell r="E322">
            <v>701299</v>
          </cell>
          <cell r="F322" t="str">
            <v>MANUTENÇÃO DE ENTRESSAFRA</v>
          </cell>
        </row>
        <row r="323">
          <cell r="E323">
            <v>701300</v>
          </cell>
          <cell r="F323" t="str">
            <v>IMPLEMENTOS RODOVIÁRIOS</v>
          </cell>
        </row>
        <row r="324">
          <cell r="E324">
            <v>701301</v>
          </cell>
          <cell r="F324" t="str">
            <v>SEMI-REBOQUE CANAVIEIRO</v>
          </cell>
        </row>
        <row r="325">
          <cell r="E325">
            <v>701302</v>
          </cell>
          <cell r="F325" t="str">
            <v>SEMI-REBOQUE PRANCHA</v>
          </cell>
        </row>
        <row r="326">
          <cell r="E326">
            <v>701303</v>
          </cell>
          <cell r="F326" t="str">
            <v>SEMI-REBOQUE TANQUE VINHAÇA</v>
          </cell>
        </row>
        <row r="327">
          <cell r="E327">
            <v>701399</v>
          </cell>
          <cell r="F327" t="str">
            <v>MANUTENÇÃO DE ENTRESSAFRA</v>
          </cell>
        </row>
        <row r="328">
          <cell r="E328">
            <v>702021</v>
          </cell>
          <cell r="F328" t="str">
            <v>AP21 TR AG 176-200 HP 4WD</v>
          </cell>
        </row>
        <row r="329">
          <cell r="E329">
            <v>702034</v>
          </cell>
          <cell r="F329" t="str">
            <v>AP34 TR AG &gt; 300 HP 4WD</v>
          </cell>
        </row>
        <row r="330">
          <cell r="E330">
            <v>702035</v>
          </cell>
          <cell r="F330" t="str">
            <v>BP01 COLHEDORA ESTEIRA</v>
          </cell>
        </row>
        <row r="331">
          <cell r="E331">
            <v>702044</v>
          </cell>
          <cell r="F331" t="str">
            <v>DP04 MT DIESEL &gt; 150 HP</v>
          </cell>
        </row>
        <row r="332">
          <cell r="E332">
            <v>702053</v>
          </cell>
          <cell r="F332" t="str">
            <v>DP13 CONJUNTO IRRIGAÇÃO</v>
          </cell>
        </row>
        <row r="333">
          <cell r="E333">
            <v>702063</v>
          </cell>
          <cell r="F333" t="str">
            <v>EP10CAMINHÃO BOMBEIRO 4X6</v>
          </cell>
        </row>
        <row r="334">
          <cell r="E334">
            <v>702065</v>
          </cell>
          <cell r="F334" t="str">
            <v>EP12 CAMINHÃO COMBOIO</v>
          </cell>
        </row>
        <row r="335">
          <cell r="E335">
            <v>702067</v>
          </cell>
          <cell r="F335" t="str">
            <v>EP14 CAMINHÃO BORRACHARIA</v>
          </cell>
        </row>
        <row r="336">
          <cell r="E336">
            <v>702068</v>
          </cell>
          <cell r="F336" t="str">
            <v>EP15 CAMINHÃO OFICINA</v>
          </cell>
        </row>
        <row r="337">
          <cell r="E337">
            <v>702070</v>
          </cell>
          <cell r="F337" t="str">
            <v>FP02 CB CANA 91K-135K KG</v>
          </cell>
        </row>
        <row r="338">
          <cell r="E338">
            <v>702079</v>
          </cell>
          <cell r="F338" t="str">
            <v>GP05 SEMI-REBOQUE PRANCHA</v>
          </cell>
        </row>
        <row r="339">
          <cell r="E339">
            <v>702086</v>
          </cell>
          <cell r="F339" t="str">
            <v>GP12 CARRETA EQUIPTO IRRIGAÇÃO</v>
          </cell>
        </row>
        <row r="340">
          <cell r="E340">
            <v>702092</v>
          </cell>
          <cell r="F340" t="str">
            <v>GP18 TANQUE &gt; 11.350 LTS</v>
          </cell>
        </row>
        <row r="341">
          <cell r="E341">
            <v>702095</v>
          </cell>
          <cell r="F341" t="str">
            <v>HP 02 CARRETA DE CANA MEC</v>
          </cell>
        </row>
        <row r="342">
          <cell r="E342">
            <v>702096</v>
          </cell>
          <cell r="F342" t="str">
            <v>HP 03 CARRETA TRANSBORDO</v>
          </cell>
        </row>
        <row r="343">
          <cell r="E343">
            <v>702098</v>
          </cell>
          <cell r="F343" t="str">
            <v>HP05 DOLLY</v>
          </cell>
        </row>
        <row r="344">
          <cell r="E344">
            <v>702117</v>
          </cell>
          <cell r="F344" t="str">
            <v>KP18 MICRO ONIBUS 4 CILINDROS</v>
          </cell>
        </row>
        <row r="345">
          <cell r="E345">
            <v>702118</v>
          </cell>
          <cell r="F345" t="str">
            <v>KP19 VEÍC COMBUS FLEX</v>
          </cell>
        </row>
        <row r="346">
          <cell r="E346">
            <v>702119</v>
          </cell>
          <cell r="F346" t="str">
            <v>KP20 PU 4 CIL FLEX 4WD</v>
          </cell>
        </row>
        <row r="347">
          <cell r="E347">
            <v>702120</v>
          </cell>
          <cell r="F347" t="str">
            <v>KP21 SUV 6 CIL FLEX 4WD</v>
          </cell>
        </row>
        <row r="348">
          <cell r="E348">
            <v>702151</v>
          </cell>
          <cell r="F348" t="str">
            <v>MP04 MOTOSERRA</v>
          </cell>
        </row>
        <row r="349">
          <cell r="E349">
            <v>702164</v>
          </cell>
          <cell r="F349" t="str">
            <v>NP05 CULTIVADOR GRAN</v>
          </cell>
        </row>
        <row r="350">
          <cell r="E350">
            <v>702170</v>
          </cell>
          <cell r="F350" t="str">
            <v>NP11 ARADO</v>
          </cell>
        </row>
        <row r="351">
          <cell r="E351">
            <v>702171</v>
          </cell>
          <cell r="F351" t="str">
            <v>NP12 SUBSOLADOR</v>
          </cell>
        </row>
        <row r="352">
          <cell r="E352">
            <v>702172</v>
          </cell>
          <cell r="F352" t="str">
            <v>NP13 GRADES MÉDIA E PESADA</v>
          </cell>
        </row>
        <row r="353">
          <cell r="E353">
            <v>702178</v>
          </cell>
          <cell r="F353" t="str">
            <v>NP19 GRADES LEVES</v>
          </cell>
        </row>
        <row r="354">
          <cell r="E354">
            <v>702179</v>
          </cell>
          <cell r="F354" t="str">
            <v>NP20 COBRIDOR CANA</v>
          </cell>
        </row>
        <row r="355">
          <cell r="E355">
            <v>702180</v>
          </cell>
          <cell r="F355" t="str">
            <v>NP21 DISTRIBUIDORA DE CANA</v>
          </cell>
        </row>
        <row r="356">
          <cell r="E356">
            <v>703006</v>
          </cell>
          <cell r="F356" t="str">
            <v>AR06 TR AG 51-75 HP 4WD</v>
          </cell>
        </row>
        <row r="357">
          <cell r="E357">
            <v>703015</v>
          </cell>
          <cell r="F357" t="str">
            <v>AR15 TR MI 126-150 HP 4WD</v>
          </cell>
        </row>
        <row r="358">
          <cell r="E358">
            <v>703019</v>
          </cell>
          <cell r="F358" t="str">
            <v>AR19 TR MI 151-175 HP 4WD</v>
          </cell>
        </row>
        <row r="359">
          <cell r="E359">
            <v>703022</v>
          </cell>
          <cell r="F359" t="str">
            <v>AR22 TR MI 176-200 HP 4WD</v>
          </cell>
        </row>
        <row r="360">
          <cell r="E360">
            <v>703024</v>
          </cell>
          <cell r="F360" t="str">
            <v>AR24 TR AG 201-225 HP 4WD</v>
          </cell>
        </row>
        <row r="361">
          <cell r="E361">
            <v>703035</v>
          </cell>
          <cell r="F361" t="str">
            <v>BR01 COLHEDORA ESTEIRA</v>
          </cell>
        </row>
        <row r="362">
          <cell r="E362">
            <v>703063</v>
          </cell>
          <cell r="F362" t="str">
            <v>ER10 CAMINHÃO BOMBEIRO 4X6</v>
          </cell>
        </row>
        <row r="363">
          <cell r="E363">
            <v>703065</v>
          </cell>
          <cell r="F363" t="str">
            <v>ER12 CAMINHÃO COMBOIO</v>
          </cell>
        </row>
        <row r="364">
          <cell r="E364">
            <v>703068</v>
          </cell>
          <cell r="F364" t="str">
            <v>ER15 CAMINHÃO OFICINA</v>
          </cell>
        </row>
        <row r="365">
          <cell r="E365">
            <v>703096</v>
          </cell>
          <cell r="F365" t="str">
            <v>HR 03 CARRETA TRANSBORDO</v>
          </cell>
        </row>
        <row r="366">
          <cell r="E366">
            <v>703126</v>
          </cell>
          <cell r="F366" t="str">
            <v>LR06 GRUA 11K-20K KG</v>
          </cell>
        </row>
        <row r="367">
          <cell r="E367">
            <v>709900</v>
          </cell>
          <cell r="F367" t="str">
            <v>EQUIPAMENTOS DIVERSOS</v>
          </cell>
        </row>
        <row r="368">
          <cell r="E368">
            <v>709902</v>
          </cell>
          <cell r="F368" t="str">
            <v>EQUIPAMENTOS TESTE</v>
          </cell>
        </row>
        <row r="369">
          <cell r="E369">
            <v>709904</v>
          </cell>
          <cell r="F369" t="str">
            <v>EQUIPAMENTOS INDUSTRIA</v>
          </cell>
        </row>
        <row r="370">
          <cell r="E370">
            <v>709912</v>
          </cell>
          <cell r="F370" t="str">
            <v>EQPTOS FORNECEDORES/ACIONISTAS-DIESEL</v>
          </cell>
        </row>
        <row r="371">
          <cell r="E371">
            <v>709914</v>
          </cell>
          <cell r="F371" t="str">
            <v>EQUIPAMENTOS DE TERCEIROS</v>
          </cell>
        </row>
        <row r="372">
          <cell r="E372">
            <v>709999</v>
          </cell>
          <cell r="F372" t="str">
            <v>MANUTENÇÃO DE ENTRESSAFRA</v>
          </cell>
        </row>
        <row r="373">
          <cell r="E373">
            <v>800000</v>
          </cell>
          <cell r="F373" t="str">
            <v>OUTROS SERVIÃOS NA LAVOURA</v>
          </cell>
        </row>
        <row r="374">
          <cell r="E374">
            <v>801000</v>
          </cell>
          <cell r="F374" t="str">
            <v>CULTURA DE CANA</v>
          </cell>
        </row>
        <row r="375">
          <cell r="E375">
            <v>801002</v>
          </cell>
          <cell r="F375" t="str">
            <v>PREPARO DE SOLO</v>
          </cell>
        </row>
        <row r="376">
          <cell r="E376">
            <v>801004</v>
          </cell>
          <cell r="F376" t="str">
            <v>COLHEITA DE MUDA</v>
          </cell>
        </row>
        <row r="377">
          <cell r="E377">
            <v>801006</v>
          </cell>
          <cell r="F377" t="str">
            <v>COLHEITA DE MUDA</v>
          </cell>
        </row>
        <row r="378">
          <cell r="E378">
            <v>801008</v>
          </cell>
          <cell r="F378" t="str">
            <v>PLANTIO DE CANA</v>
          </cell>
        </row>
        <row r="379">
          <cell r="E379">
            <v>801010</v>
          </cell>
          <cell r="F379" t="str">
            <v>TRATOS CANA PLANTA</v>
          </cell>
        </row>
        <row r="380">
          <cell r="E380">
            <v>801012</v>
          </cell>
          <cell r="F380" t="str">
            <v>TRATOS CANA SOCA</v>
          </cell>
        </row>
        <row r="381">
          <cell r="E381">
            <v>801014</v>
          </cell>
          <cell r="F381" t="str">
            <v>COLHEITA MANUAL</v>
          </cell>
        </row>
        <row r="382">
          <cell r="E382">
            <v>801016</v>
          </cell>
          <cell r="F382" t="str">
            <v>COLHEITA MECANIZADA</v>
          </cell>
        </row>
        <row r="383">
          <cell r="E383">
            <v>801020</v>
          </cell>
          <cell r="F383" t="str">
            <v>REPLANTIO DA CANA PLANTA</v>
          </cell>
        </row>
        <row r="384">
          <cell r="E384">
            <v>801022</v>
          </cell>
          <cell r="F384" t="str">
            <v>REPLANTIO DA CANA SOCA</v>
          </cell>
        </row>
        <row r="385">
          <cell r="E385">
            <v>801099</v>
          </cell>
          <cell r="F385" t="str">
            <v>MANUTENÇÃO DE ENTRESSAFRA</v>
          </cell>
        </row>
        <row r="386">
          <cell r="E386">
            <v>900000</v>
          </cell>
          <cell r="F386" t="str">
            <v>CENTRO DE CUSTO PARA RATEIO</v>
          </cell>
        </row>
        <row r="387">
          <cell r="E387">
            <v>900100</v>
          </cell>
          <cell r="F387" t="str">
            <v>CENTRO DE CUSTO PARA RATEIO</v>
          </cell>
        </row>
        <row r="388">
          <cell r="E388">
            <v>900102</v>
          </cell>
          <cell r="F388" t="str">
            <v>CENTRO DE CUSTO PARA RATEIO</v>
          </cell>
        </row>
        <row r="389">
          <cell r="E389">
            <v>900104</v>
          </cell>
          <cell r="F389" t="str">
            <v>IMPLANTAÇÃO DE SALDO</v>
          </cell>
        </row>
        <row r="390">
          <cell r="E390">
            <v>950000</v>
          </cell>
          <cell r="F390" t="str">
            <v>INVESTIMENTOS</v>
          </cell>
        </row>
        <row r="391">
          <cell r="E391">
            <v>950100</v>
          </cell>
          <cell r="F391" t="str">
            <v>OBRAS EM ANDAMENTO</v>
          </cell>
        </row>
        <row r="392">
          <cell r="E392">
            <v>950101</v>
          </cell>
          <cell r="F392" t="str">
            <v>INVESTIMENTO FABRICA ACUCAR</v>
          </cell>
        </row>
        <row r="393">
          <cell r="E393">
            <v>950102</v>
          </cell>
          <cell r="F393" t="str">
            <v>REFORMA MOENDA 2012</v>
          </cell>
        </row>
        <row r="394">
          <cell r="E394">
            <v>401418</v>
          </cell>
          <cell r="F394" t="str">
            <v>PRE-EVAPORACAO DO ACUCAR</v>
          </cell>
        </row>
        <row r="395">
          <cell r="E395">
            <v>403099</v>
          </cell>
          <cell r="F395" t="str">
            <v>MANUTENÇÃO DE ENTRESSAFRA</v>
          </cell>
        </row>
        <row r="396">
          <cell r="E396">
            <v>405002</v>
          </cell>
          <cell r="F396" t="str">
            <v>SECAGEM LEVEDURA</v>
          </cell>
        </row>
        <row r="397">
          <cell r="E397">
            <v>407014</v>
          </cell>
          <cell r="F397" t="str">
            <v>HIDROLIZADOR DE BAGACO</v>
          </cell>
        </row>
        <row r="398">
          <cell r="E398">
            <v>409910</v>
          </cell>
          <cell r="F398" t="str">
            <v>CUSTO DE PRODUCAO DO A.E.H.C.</v>
          </cell>
        </row>
      </sheetData>
      <sheetData sheetId="3"/>
      <sheetData sheetId="4"/>
      <sheetData sheetId="5">
        <row r="2">
          <cell r="B2" t="str">
            <v>CC</v>
          </cell>
          <cell r="C2" t="str">
            <v>Desc CC</v>
          </cell>
        </row>
        <row r="3">
          <cell r="B3">
            <v>100102</v>
          </cell>
          <cell r="C3" t="str">
            <v>CONSELHEIRO ADMINISTRATIVO/FISCAL</v>
          </cell>
        </row>
        <row r="4">
          <cell r="B4">
            <v>100202</v>
          </cell>
          <cell r="C4" t="str">
            <v>DIRETOR PRESIDENTE</v>
          </cell>
        </row>
        <row r="5">
          <cell r="B5">
            <v>100302</v>
          </cell>
          <cell r="C5" t="str">
            <v>SUP.CONTROLADORIA E GESTAO</v>
          </cell>
        </row>
        <row r="6">
          <cell r="B6">
            <v>200102</v>
          </cell>
          <cell r="C6" t="str">
            <v>ADMINISTRACAO CORPORATIVA</v>
          </cell>
        </row>
        <row r="7">
          <cell r="B7">
            <v>200202</v>
          </cell>
          <cell r="C7" t="str">
            <v>CONTABILIDADE PATRIMONIAL</v>
          </cell>
        </row>
        <row r="8">
          <cell r="B8">
            <v>200302</v>
          </cell>
          <cell r="C8" t="str">
            <v>Fiscal</v>
          </cell>
        </row>
        <row r="9">
          <cell r="B9">
            <v>200402</v>
          </cell>
          <cell r="C9" t="str">
            <v>ADMINISTRAÇÃO DE RECURSOS HUMANOS</v>
          </cell>
        </row>
        <row r="10">
          <cell r="B10">
            <v>200410</v>
          </cell>
          <cell r="C10" t="str">
            <v>ASSISTÊNCIA SOCIAL</v>
          </cell>
        </row>
        <row r="11">
          <cell r="B11">
            <v>200602</v>
          </cell>
          <cell r="C11" t="str">
            <v>CUSTO E ORÇAMENTO</v>
          </cell>
        </row>
        <row r="12">
          <cell r="B12">
            <v>200702</v>
          </cell>
          <cell r="C12" t="str">
            <v>Contratos</v>
          </cell>
        </row>
        <row r="13">
          <cell r="B13">
            <v>200802</v>
          </cell>
          <cell r="C13" t="str">
            <v>TECNOLOGIA DA INFORMAÇÃO</v>
          </cell>
        </row>
        <row r="14">
          <cell r="B14">
            <v>201002</v>
          </cell>
          <cell r="C14" t="str">
            <v>COMPRAS</v>
          </cell>
        </row>
        <row r="15">
          <cell r="B15">
            <v>201202</v>
          </cell>
          <cell r="C15" t="str">
            <v>COMERCIAL</v>
          </cell>
        </row>
        <row r="16">
          <cell r="B16">
            <v>201204</v>
          </cell>
          <cell r="C16" t="str">
            <v>COMERCIALIZAÇÃO</v>
          </cell>
        </row>
        <row r="17">
          <cell r="B17">
            <v>201402</v>
          </cell>
          <cell r="C17" t="str">
            <v>GERENCIA FINANCEIRA</v>
          </cell>
        </row>
        <row r="18">
          <cell r="B18">
            <v>201404</v>
          </cell>
          <cell r="C18" t="str">
            <v>TESOURARIA</v>
          </cell>
        </row>
        <row r="19">
          <cell r="B19">
            <v>201602</v>
          </cell>
          <cell r="C19" t="str">
            <v>JURÍDICO</v>
          </cell>
        </row>
        <row r="20">
          <cell r="B20">
            <v>201604</v>
          </cell>
          <cell r="C20" t="str">
            <v>CONSULTORIA JURÍDICA EXTERNA</v>
          </cell>
        </row>
        <row r="21">
          <cell r="B21">
            <v>201802</v>
          </cell>
          <cell r="C21" t="str">
            <v>CONTROLE INTERNO</v>
          </cell>
        </row>
        <row r="22">
          <cell r="B22">
            <v>202002</v>
          </cell>
          <cell r="C22" t="str">
            <v>MEIO AMBIENTE</v>
          </cell>
        </row>
        <row r="23">
          <cell r="B23">
            <v>300206</v>
          </cell>
          <cell r="C23" t="str">
            <v>FATURAMENTO</v>
          </cell>
        </row>
        <row r="24">
          <cell r="B24">
            <v>300208</v>
          </cell>
          <cell r="C24" t="str">
            <v>RECEBIMENTO</v>
          </cell>
        </row>
        <row r="25">
          <cell r="B25">
            <v>300210</v>
          </cell>
          <cell r="C25" t="str">
            <v>BALANÇA ENTRADA CANA</v>
          </cell>
        </row>
        <row r="26">
          <cell r="B26">
            <v>300404</v>
          </cell>
          <cell r="C26" t="str">
            <v>ADMINISTRACAO DE PESSOAL</v>
          </cell>
        </row>
        <row r="27">
          <cell r="B27">
            <v>300410</v>
          </cell>
          <cell r="C27" t="str">
            <v>MEDICINA DO TRABALHO</v>
          </cell>
        </row>
        <row r="28">
          <cell r="B28">
            <v>300412</v>
          </cell>
          <cell r="C28" t="str">
            <v>SEGURANCA DO TRABALHO</v>
          </cell>
        </row>
        <row r="29">
          <cell r="B29">
            <v>300414</v>
          </cell>
          <cell r="C29" t="str">
            <v>SEGURANCA PATRIMONIAL</v>
          </cell>
        </row>
        <row r="30">
          <cell r="B30">
            <v>300416</v>
          </cell>
          <cell r="C30" t="str">
            <v>RESTAURANTE</v>
          </cell>
        </row>
        <row r="31">
          <cell r="B31">
            <v>300420</v>
          </cell>
          <cell r="C31" t="str">
            <v>RECEPCAO, COPA E COZINHA</v>
          </cell>
        </row>
        <row r="32">
          <cell r="B32">
            <v>300602</v>
          </cell>
          <cell r="C32" t="str">
            <v>ADMINISTRAÇÃO GERAL</v>
          </cell>
        </row>
        <row r="33">
          <cell r="B33">
            <v>300604</v>
          </cell>
          <cell r="C33" t="str">
            <v>Gerência Geral</v>
          </cell>
        </row>
        <row r="34">
          <cell r="B34">
            <v>300606</v>
          </cell>
          <cell r="C34" t="str">
            <v>Ger.Administracao de Risco e Auditoria</v>
          </cell>
        </row>
        <row r="35">
          <cell r="B35">
            <v>300802</v>
          </cell>
          <cell r="C35" t="str">
            <v>TECNOLOGIA DA INFORMAÇÃO</v>
          </cell>
        </row>
        <row r="36">
          <cell r="B36">
            <v>301004</v>
          </cell>
          <cell r="C36" t="str">
            <v>Almoxarifado Industrial</v>
          </cell>
        </row>
        <row r="37">
          <cell r="B37">
            <v>301006</v>
          </cell>
          <cell r="C37" t="str">
            <v>POSTO ABASTECIMENTO</v>
          </cell>
        </row>
        <row r="38">
          <cell r="B38">
            <v>301202</v>
          </cell>
          <cell r="C38" t="str">
            <v>ARMAZENAGEM DE ALCOOL</v>
          </cell>
        </row>
        <row r="39">
          <cell r="B39">
            <v>301206</v>
          </cell>
          <cell r="C39" t="str">
            <v>CARREGAMENTO</v>
          </cell>
        </row>
        <row r="40">
          <cell r="B40">
            <v>400101</v>
          </cell>
          <cell r="C40" t="str">
            <v>Gerência Industrial Corporativa</v>
          </cell>
        </row>
        <row r="41">
          <cell r="B41">
            <v>400102</v>
          </cell>
          <cell r="C41" t="str">
            <v>GERÊNCIA INDUSTRIAL</v>
          </cell>
        </row>
        <row r="42">
          <cell r="B42">
            <v>400199</v>
          </cell>
          <cell r="C42" t="str">
            <v>Manutenção de Entressafra</v>
          </cell>
        </row>
        <row r="43">
          <cell r="B43">
            <v>400202</v>
          </cell>
          <cell r="C43" t="str">
            <v>APOIO TÉCNICO INDUSTRIAL</v>
          </cell>
        </row>
        <row r="44">
          <cell r="B44">
            <v>400402</v>
          </cell>
          <cell r="C44" t="str">
            <v>LABORATORIO PCTS</v>
          </cell>
        </row>
        <row r="45">
          <cell r="B45">
            <v>400404</v>
          </cell>
          <cell r="C45" t="str">
            <v>LABORATORIO INDUSTRIAL</v>
          </cell>
        </row>
        <row r="46">
          <cell r="B46">
            <v>400406</v>
          </cell>
          <cell r="C46" t="str">
            <v>LABORATORIO MICRO-BIOLOGIA</v>
          </cell>
        </row>
        <row r="47">
          <cell r="B47">
            <v>401002</v>
          </cell>
          <cell r="C47" t="str">
            <v>BARRACAO / LIMPEZA</v>
          </cell>
        </row>
        <row r="48">
          <cell r="B48">
            <v>401004</v>
          </cell>
          <cell r="C48" t="str">
            <v>ALIMENTACAO E PREPARO</v>
          </cell>
        </row>
        <row r="49">
          <cell r="B49">
            <v>401006</v>
          </cell>
          <cell r="C49" t="str">
            <v>MOAGEM CANA</v>
          </cell>
        </row>
        <row r="50">
          <cell r="B50">
            <v>401008</v>
          </cell>
          <cell r="C50" t="str">
            <v>DIFUSOR</v>
          </cell>
        </row>
        <row r="51">
          <cell r="B51">
            <v>401010</v>
          </cell>
          <cell r="C51" t="str">
            <v>DESAGUADOR</v>
          </cell>
        </row>
        <row r="52">
          <cell r="B52">
            <v>401012</v>
          </cell>
          <cell r="C52" t="str">
            <v>Secagem de Bagaço</v>
          </cell>
        </row>
        <row r="53">
          <cell r="B53">
            <v>401099</v>
          </cell>
          <cell r="C53" t="str">
            <v>Manutenção de Entressafra</v>
          </cell>
        </row>
        <row r="54">
          <cell r="B54">
            <v>401402</v>
          </cell>
          <cell r="C54" t="str">
            <v>AQUECIMENTO/TROCADOR CALOR ALCOOL</v>
          </cell>
        </row>
        <row r="55">
          <cell r="B55">
            <v>401404</v>
          </cell>
          <cell r="C55" t="str">
            <v>DECANTACAO DO ALCOOL</v>
          </cell>
        </row>
        <row r="56">
          <cell r="B56">
            <v>401406</v>
          </cell>
          <cell r="C56" t="str">
            <v>PRE-EVAPORACAO DO ALCOOL</v>
          </cell>
        </row>
        <row r="57">
          <cell r="B57">
            <v>401410</v>
          </cell>
          <cell r="C57" t="str">
            <v>CALEACAO</v>
          </cell>
        </row>
        <row r="58">
          <cell r="B58">
            <v>401414</v>
          </cell>
          <cell r="C58" t="str">
            <v>DECANTACAO DO ACUCAR</v>
          </cell>
        </row>
        <row r="59">
          <cell r="B59">
            <v>401416</v>
          </cell>
          <cell r="C59" t="str">
            <v>FILTRACAO DO LODO DO ACUCAR</v>
          </cell>
        </row>
        <row r="60">
          <cell r="B60">
            <v>401418</v>
          </cell>
          <cell r="C60" t="str">
            <v>PRE-EVAPORACAO DO ACUCAR</v>
          </cell>
        </row>
        <row r="61">
          <cell r="B61">
            <v>401420</v>
          </cell>
          <cell r="C61" t="str">
            <v>FILTRACAO DO LODO DO ALCOOL</v>
          </cell>
        </row>
        <row r="62">
          <cell r="B62">
            <v>401499</v>
          </cell>
          <cell r="C62" t="str">
            <v>Manutenção de Entressafra</v>
          </cell>
        </row>
        <row r="63">
          <cell r="B63">
            <v>402002</v>
          </cell>
          <cell r="C63" t="str">
            <v>PRE-FERMENTACAO</v>
          </cell>
        </row>
        <row r="64">
          <cell r="B64">
            <v>402004</v>
          </cell>
          <cell r="C64" t="str">
            <v>FERMENTACAO</v>
          </cell>
        </row>
        <row r="65">
          <cell r="B65">
            <v>402006</v>
          </cell>
          <cell r="C65" t="str">
            <v>DESTILACAO HIDRATADO</v>
          </cell>
        </row>
        <row r="66">
          <cell r="B66">
            <v>402008</v>
          </cell>
          <cell r="C66" t="str">
            <v>DESTILACAO ANIDRO</v>
          </cell>
        </row>
        <row r="67">
          <cell r="B67">
            <v>402010</v>
          </cell>
          <cell r="C67" t="str">
            <v>TORRE DE RESFRIAMENTO</v>
          </cell>
        </row>
        <row r="68">
          <cell r="B68">
            <v>402012</v>
          </cell>
          <cell r="C68" t="str">
            <v>TANQUE SPRAY</v>
          </cell>
        </row>
        <row r="69">
          <cell r="B69">
            <v>402014</v>
          </cell>
          <cell r="C69" t="str">
            <v>Centrifugação</v>
          </cell>
        </row>
        <row r="70">
          <cell r="B70">
            <v>402099</v>
          </cell>
          <cell r="C70" t="str">
            <v>Manutenção de Entressafra</v>
          </cell>
        </row>
        <row r="71">
          <cell r="B71">
            <v>403002</v>
          </cell>
          <cell r="C71" t="str">
            <v>EVAPORACAO</v>
          </cell>
        </row>
        <row r="72">
          <cell r="B72">
            <v>403004</v>
          </cell>
          <cell r="C72" t="str">
            <v>COZIMENTO - MASSA A E B</v>
          </cell>
        </row>
        <row r="73">
          <cell r="B73">
            <v>403006</v>
          </cell>
          <cell r="C73" t="str">
            <v>CENTRIFUGACAO</v>
          </cell>
        </row>
        <row r="74">
          <cell r="B74">
            <v>403099</v>
          </cell>
          <cell r="C74" t="str">
            <v>Manutenção de Entressafra</v>
          </cell>
        </row>
        <row r="75">
          <cell r="B75">
            <v>405002</v>
          </cell>
          <cell r="C75" t="str">
            <v>SECAGEM LEVEDURA</v>
          </cell>
        </row>
        <row r="76">
          <cell r="B76">
            <v>407002</v>
          </cell>
          <cell r="C76" t="str">
            <v>GERACAO E DISTR.VAPOR</v>
          </cell>
        </row>
        <row r="77">
          <cell r="B77">
            <v>407004</v>
          </cell>
          <cell r="C77" t="str">
            <v>GERACAO E DISTR.AR COMPRIMIDO</v>
          </cell>
        </row>
        <row r="78">
          <cell r="B78">
            <v>407006</v>
          </cell>
          <cell r="C78" t="str">
            <v>GERACAO E DISTR.ENERGIA</v>
          </cell>
        </row>
        <row r="79">
          <cell r="B79">
            <v>407008</v>
          </cell>
          <cell r="C79" t="str">
            <v>CAPTACAO DE AGUA</v>
          </cell>
        </row>
        <row r="80">
          <cell r="B80">
            <v>407010</v>
          </cell>
          <cell r="C80" t="str">
            <v>ETA (ESTACAO DE TRATAMENTO AGUA)</v>
          </cell>
        </row>
        <row r="81">
          <cell r="B81">
            <v>407012</v>
          </cell>
          <cell r="C81" t="str">
            <v>PATIO DE BAGACO</v>
          </cell>
        </row>
        <row r="82">
          <cell r="B82">
            <v>407014</v>
          </cell>
          <cell r="C82" t="str">
            <v>HIDROLIZADOR DE BAGACO</v>
          </cell>
        </row>
        <row r="83">
          <cell r="B83">
            <v>407016</v>
          </cell>
          <cell r="C83" t="str">
            <v>ENERGIA ELETRICA ADQUIRIDA</v>
          </cell>
        </row>
        <row r="84">
          <cell r="B84">
            <v>407018</v>
          </cell>
          <cell r="C84" t="str">
            <v>ETALC -ESTA TRAT AGUA DA LAVAGEM DE CANA</v>
          </cell>
        </row>
        <row r="85">
          <cell r="B85">
            <v>407020</v>
          </cell>
          <cell r="C85" t="str">
            <v>ETE - Estação Tratamento de Esgoto</v>
          </cell>
        </row>
        <row r="86">
          <cell r="B86">
            <v>407022</v>
          </cell>
          <cell r="C86" t="str">
            <v>ETALG - Estaç.Trat.Água de Lavagem Gases</v>
          </cell>
        </row>
        <row r="87">
          <cell r="B87">
            <v>407099</v>
          </cell>
          <cell r="C87" t="str">
            <v>Manutenção de Entressafra</v>
          </cell>
        </row>
        <row r="88">
          <cell r="B88">
            <v>408002</v>
          </cell>
          <cell r="C88" t="str">
            <v>MANUTENÇÃO MECANICA</v>
          </cell>
        </row>
        <row r="89">
          <cell r="B89">
            <v>408004</v>
          </cell>
          <cell r="C89" t="str">
            <v>CALDERARIA</v>
          </cell>
        </row>
        <row r="90">
          <cell r="B90">
            <v>408006</v>
          </cell>
          <cell r="C90" t="str">
            <v>MANUTENÇÃO ELETRICA</v>
          </cell>
        </row>
        <row r="91">
          <cell r="B91">
            <v>408008</v>
          </cell>
          <cell r="C91" t="str">
            <v>INSTRUMENTAÇÃO</v>
          </cell>
        </row>
        <row r="92">
          <cell r="B92">
            <v>408010</v>
          </cell>
          <cell r="C92" t="str">
            <v>MANUTENCAO CIVIL</v>
          </cell>
        </row>
        <row r="93">
          <cell r="B93">
            <v>408012</v>
          </cell>
          <cell r="C93" t="str">
            <v>PCM (planej. e controle da manut</v>
          </cell>
        </row>
        <row r="94">
          <cell r="B94">
            <v>409002</v>
          </cell>
          <cell r="C94" t="str">
            <v>ESCOAMENTO DA VINHACA</v>
          </cell>
        </row>
        <row r="95">
          <cell r="B95">
            <v>409004</v>
          </cell>
          <cell r="C95" t="str">
            <v>SISTEMA DE BOMBEAMENTO</v>
          </cell>
        </row>
        <row r="96">
          <cell r="B96">
            <v>409099</v>
          </cell>
          <cell r="C96" t="str">
            <v>Manutenção de Entressafra</v>
          </cell>
        </row>
        <row r="97">
          <cell r="B97">
            <v>409910</v>
          </cell>
          <cell r="C97" t="str">
            <v>CUSTO DE PRODUCAO DO A.E.H.C.</v>
          </cell>
        </row>
        <row r="98">
          <cell r="B98">
            <v>500101</v>
          </cell>
          <cell r="C98" t="str">
            <v>Gerência Agrícola Corporativa</v>
          </cell>
        </row>
        <row r="99">
          <cell r="B99">
            <v>500102</v>
          </cell>
          <cell r="C99" t="str">
            <v>GERENCIA AGRICOLA</v>
          </cell>
        </row>
        <row r="100">
          <cell r="B100">
            <v>500202</v>
          </cell>
          <cell r="C100" t="str">
            <v>CONTROLE AGRICOLA</v>
          </cell>
        </row>
        <row r="101">
          <cell r="B101">
            <v>500204</v>
          </cell>
          <cell r="C101" t="str">
            <v>TECNICOS AGRICOLAS</v>
          </cell>
        </row>
        <row r="102">
          <cell r="B102">
            <v>500210</v>
          </cell>
          <cell r="C102" t="str">
            <v>Lavanderia</v>
          </cell>
        </row>
        <row r="103">
          <cell r="B103">
            <v>500310</v>
          </cell>
          <cell r="C103" t="str">
            <v>MDO RURICULAS - REGIONAIS</v>
          </cell>
        </row>
        <row r="104">
          <cell r="B104">
            <v>500314</v>
          </cell>
          <cell r="C104" t="str">
            <v>MDO RURICULAS - MIGRANTES</v>
          </cell>
        </row>
        <row r="105">
          <cell r="B105">
            <v>500502</v>
          </cell>
          <cell r="C105" t="str">
            <v>OFICINA MECANICA</v>
          </cell>
        </row>
        <row r="106">
          <cell r="B106">
            <v>500720</v>
          </cell>
          <cell r="C106" t="str">
            <v>MOTORISTA TRANSPORTE DE APOIO</v>
          </cell>
        </row>
        <row r="107">
          <cell r="B107">
            <v>501002</v>
          </cell>
          <cell r="C107" t="str">
            <v>PREPARO DE SOLO</v>
          </cell>
        </row>
        <row r="108">
          <cell r="B108">
            <v>501014</v>
          </cell>
          <cell r="C108" t="str">
            <v>COLHEITA MANUAL</v>
          </cell>
        </row>
        <row r="109">
          <cell r="B109">
            <v>501016</v>
          </cell>
          <cell r="C109" t="str">
            <v>COLHEITA MECANIZADA</v>
          </cell>
        </row>
        <row r="110">
          <cell r="B110">
            <v>501112</v>
          </cell>
          <cell r="C110" t="str">
            <v>OUTROS SERVICOS</v>
          </cell>
        </row>
        <row r="111">
          <cell r="B111">
            <v>509902</v>
          </cell>
          <cell r="C111" t="str">
            <v>CUSTO MATERIA-PRIMA</v>
          </cell>
        </row>
        <row r="112">
          <cell r="B112">
            <v>600800</v>
          </cell>
          <cell r="C112" t="str">
            <v>CONSTR.E CONSERVACAO DE ESTRADAS</v>
          </cell>
        </row>
        <row r="113">
          <cell r="B113">
            <v>601000</v>
          </cell>
          <cell r="C113" t="str">
            <v>CONSERVACAO PATIOS - INDUSTRIA</v>
          </cell>
        </row>
        <row r="114">
          <cell r="B114">
            <v>601200</v>
          </cell>
          <cell r="C114" t="str">
            <v>CONSERVACAO PATIOS - ADMINISTRACAO</v>
          </cell>
        </row>
        <row r="115">
          <cell r="B115">
            <v>700106</v>
          </cell>
          <cell r="C115" t="str">
            <v>CAMINHÕES PIPA ( ALUGADO )</v>
          </cell>
        </row>
        <row r="116">
          <cell r="B116">
            <v>700108</v>
          </cell>
          <cell r="C116" t="str">
            <v>CAMINHOES COMBOIO ( ALUGADO)</v>
          </cell>
        </row>
        <row r="117">
          <cell r="B117">
            <v>700110</v>
          </cell>
          <cell r="C117" t="str">
            <v>CAMINHÕES CARGA SECA (ALUGADO)</v>
          </cell>
        </row>
        <row r="118">
          <cell r="B118">
            <v>700118</v>
          </cell>
          <cell r="C118" t="str">
            <v>CAMINHÕES OFICINA (ALUGADO)</v>
          </cell>
        </row>
        <row r="119">
          <cell r="B119">
            <v>700204</v>
          </cell>
          <cell r="C119" t="str">
            <v>TRATORES PNEUS - MEDIOS (ALUGADO)</v>
          </cell>
        </row>
        <row r="120">
          <cell r="B120">
            <v>700206</v>
          </cell>
          <cell r="C120" t="str">
            <v>TRATORES PNEUS - PESADOS ( ALUGADO)</v>
          </cell>
        </row>
        <row r="121">
          <cell r="B121">
            <v>700218</v>
          </cell>
          <cell r="C121" t="str">
            <v>COLHEDORAS DE CANA (ALUGADO)</v>
          </cell>
        </row>
        <row r="122">
          <cell r="B122">
            <v>701254</v>
          </cell>
          <cell r="C122" t="str">
            <v>CONJ. TRANSBORDO (ALUGADO)</v>
          </cell>
        </row>
        <row r="123">
          <cell r="B123">
            <v>709902</v>
          </cell>
          <cell r="C123" t="str">
            <v>EQUIPAMENTOS TESTE</v>
          </cell>
        </row>
        <row r="124">
          <cell r="B124">
            <v>801014</v>
          </cell>
          <cell r="C124" t="str">
            <v>COLHEITA MANUAL</v>
          </cell>
        </row>
        <row r="125">
          <cell r="B125">
            <v>801016</v>
          </cell>
          <cell r="C125" t="str">
            <v>COLHEITA MECANIZADA</v>
          </cell>
        </row>
        <row r="126">
          <cell r="B126">
            <v>200103</v>
          </cell>
          <cell r="C126" t="str">
            <v>DESPESAS DE CAPACITAÇÕES</v>
          </cell>
        </row>
        <row r="127">
          <cell r="B127">
            <v>301002</v>
          </cell>
          <cell r="C127" t="str">
            <v>Almoxarifado Automotivo</v>
          </cell>
        </row>
        <row r="128">
          <cell r="B128">
            <v>301208</v>
          </cell>
          <cell r="C128" t="str">
            <v>LOGISTICA E TRANSPORTE</v>
          </cell>
        </row>
        <row r="129">
          <cell r="B129">
            <v>302001</v>
          </cell>
          <cell r="C129" t="str">
            <v>Apoio Operacional</v>
          </cell>
        </row>
        <row r="130">
          <cell r="B130">
            <v>700107</v>
          </cell>
          <cell r="C130" t="str">
            <v>CAMINHÕES PIPA ( PROPRIO)</v>
          </cell>
        </row>
        <row r="131">
          <cell r="B131">
            <v>700109</v>
          </cell>
          <cell r="C131" t="str">
            <v>CAMINHÕES COMBOIO ( PRÓPRIO)</v>
          </cell>
        </row>
        <row r="132">
          <cell r="B132">
            <v>700113</v>
          </cell>
          <cell r="C132" t="str">
            <v>CAMINHÕES PRANCHA ( PRÓPRIO)</v>
          </cell>
        </row>
        <row r="133">
          <cell r="B133">
            <v>700117</v>
          </cell>
          <cell r="C133" t="str">
            <v>CAMINHÕES BORRACHARIA ( PRÓPRIO)</v>
          </cell>
        </row>
        <row r="134">
          <cell r="B134">
            <v>700119</v>
          </cell>
          <cell r="C134" t="str">
            <v>CAMINHÕES OFICINA ( PRÓPRIO)</v>
          </cell>
        </row>
        <row r="135">
          <cell r="B135">
            <v>700207</v>
          </cell>
          <cell r="C135" t="str">
            <v>TRATORES PNEUS - PESADOS (PRÓPRIO)</v>
          </cell>
        </row>
        <row r="136">
          <cell r="B136">
            <v>700219</v>
          </cell>
          <cell r="C136" t="str">
            <v>COLHEDORAS DE CANA ( PRÓPRIA)</v>
          </cell>
        </row>
        <row r="137">
          <cell r="B137">
            <v>700223</v>
          </cell>
          <cell r="C137" t="str">
            <v>TRATORES PNEUS-SUPER PESADOS (PROPRIO)</v>
          </cell>
        </row>
        <row r="138">
          <cell r="B138">
            <v>700224</v>
          </cell>
          <cell r="C138" t="str">
            <v>CAMINHÕES TRANSBORDOS (ALUGADOS)</v>
          </cell>
        </row>
        <row r="139">
          <cell r="B139">
            <v>700302</v>
          </cell>
          <cell r="C139" t="str">
            <v>VEICULOS LEVES</v>
          </cell>
        </row>
        <row r="140">
          <cell r="B140">
            <v>700304</v>
          </cell>
          <cell r="C140" t="str">
            <v>CAMINHONETAS/UTILITARIOS</v>
          </cell>
        </row>
        <row r="141">
          <cell r="B141">
            <v>701204</v>
          </cell>
          <cell r="C141" t="str">
            <v>ARADOS</v>
          </cell>
        </row>
        <row r="142">
          <cell r="B142">
            <v>701255</v>
          </cell>
          <cell r="C142" t="str">
            <v>CONJ.TRANSBORDO (PRÓPRIO)</v>
          </cell>
        </row>
        <row r="143">
          <cell r="B143">
            <v>701301</v>
          </cell>
          <cell r="C143" t="str">
            <v>SEMI-REBOQUE CANAVIEIRO</v>
          </cell>
        </row>
        <row r="144">
          <cell r="B144">
            <v>701303</v>
          </cell>
          <cell r="C144" t="str">
            <v>SEMI-REBOQUE TANQUE VINHAÇA</v>
          </cell>
        </row>
        <row r="145">
          <cell r="B145">
            <v>100102</v>
          </cell>
          <cell r="C145" t="str">
            <v>CONSELHEIRO ADMINISTRATIVO/FISCAL</v>
          </cell>
        </row>
        <row r="146">
          <cell r="B146">
            <v>100202</v>
          </cell>
          <cell r="C146" t="str">
            <v>DIRETOR PRESIDENTE</v>
          </cell>
        </row>
        <row r="147">
          <cell r="B147">
            <v>200103</v>
          </cell>
          <cell r="C147" t="str">
            <v>DESPESAS DE CAPACITAÇÕES</v>
          </cell>
        </row>
        <row r="148">
          <cell r="B148">
            <v>200202</v>
          </cell>
          <cell r="C148" t="str">
            <v>CONTABILIDADE/FISCAL/PATRIMONIAL</v>
          </cell>
        </row>
        <row r="149">
          <cell r="B149">
            <v>200402</v>
          </cell>
          <cell r="C149" t="str">
            <v>ADMINSITRAÇÃO RECURSOS HUMANOS</v>
          </cell>
        </row>
        <row r="150">
          <cell r="B150">
            <v>201002</v>
          </cell>
          <cell r="C150" t="str">
            <v>COMPRAS</v>
          </cell>
        </row>
        <row r="151">
          <cell r="B151">
            <v>201404</v>
          </cell>
          <cell r="C151" t="str">
            <v>TESOURARIA</v>
          </cell>
        </row>
        <row r="152">
          <cell r="B152">
            <v>201602</v>
          </cell>
          <cell r="C152" t="str">
            <v>JURÍDICO</v>
          </cell>
        </row>
        <row r="153">
          <cell r="B153">
            <v>201604</v>
          </cell>
          <cell r="C153" t="str">
            <v>CONSULTORIA JURÍDICA EXTERNA</v>
          </cell>
        </row>
        <row r="154">
          <cell r="B154">
            <v>202002</v>
          </cell>
          <cell r="C154" t="str">
            <v>MEIO AMBIENTE</v>
          </cell>
        </row>
        <row r="155">
          <cell r="B155">
            <v>300404</v>
          </cell>
          <cell r="C155" t="str">
            <v>ADMINISTRACAO DE PESSOAL</v>
          </cell>
        </row>
        <row r="156">
          <cell r="B156">
            <v>300410</v>
          </cell>
          <cell r="C156" t="str">
            <v>MEDICINA DO TRABALHO</v>
          </cell>
        </row>
        <row r="157">
          <cell r="B157">
            <v>300412</v>
          </cell>
          <cell r="C157" t="str">
            <v>SEGURANCA DO TRABALHO</v>
          </cell>
        </row>
        <row r="158">
          <cell r="B158">
            <v>300602</v>
          </cell>
          <cell r="C158" t="str">
            <v>ADMINISTRAÇÃO GERAL</v>
          </cell>
        </row>
        <row r="159">
          <cell r="B159">
            <v>300802</v>
          </cell>
          <cell r="C159" t="str">
            <v>TECNOLOGIA DA INFORMAÇÃO</v>
          </cell>
        </row>
        <row r="160">
          <cell r="B160">
            <v>301002</v>
          </cell>
          <cell r="C160" t="str">
            <v>Almoxarifado Automotivo</v>
          </cell>
        </row>
        <row r="161">
          <cell r="B161">
            <v>301004</v>
          </cell>
          <cell r="C161" t="str">
            <v>Almoxarifado Industrial</v>
          </cell>
        </row>
        <row r="162">
          <cell r="B162">
            <v>301006</v>
          </cell>
          <cell r="C162" t="str">
            <v>POSTO ABASTECIMENTO</v>
          </cell>
        </row>
        <row r="163">
          <cell r="B163">
            <v>407099</v>
          </cell>
          <cell r="C163" t="str">
            <v>Manutenção de Entressafra</v>
          </cell>
        </row>
        <row r="164">
          <cell r="B164">
            <v>500101</v>
          </cell>
          <cell r="C164" t="str">
            <v>Gerencia Agricola Corporativa</v>
          </cell>
        </row>
        <row r="165">
          <cell r="B165">
            <v>500102</v>
          </cell>
          <cell r="C165" t="str">
            <v>GERENCIA AGRICOLA</v>
          </cell>
        </row>
        <row r="166">
          <cell r="B166">
            <v>500202</v>
          </cell>
          <cell r="C166" t="str">
            <v>ADM INFORMAÇÕES AGRÍCOLAS</v>
          </cell>
        </row>
        <row r="167">
          <cell r="B167">
            <v>500204</v>
          </cell>
          <cell r="C167" t="str">
            <v>TECNICOS AGRICOLAS</v>
          </cell>
        </row>
        <row r="168">
          <cell r="B168">
            <v>500206</v>
          </cell>
          <cell r="C168" t="str">
            <v>TOPOGRAFIA</v>
          </cell>
        </row>
        <row r="169">
          <cell r="B169">
            <v>500208</v>
          </cell>
          <cell r="C169" t="str">
            <v>NOVOS PROJETOS</v>
          </cell>
        </row>
        <row r="170">
          <cell r="B170">
            <v>500212</v>
          </cell>
          <cell r="C170" t="str">
            <v>ADM COLHEITA DE CANA</v>
          </cell>
        </row>
        <row r="171">
          <cell r="B171">
            <v>500214</v>
          </cell>
          <cell r="C171" t="str">
            <v>ADM PRODUÇÃO AGRÍCOLA</v>
          </cell>
        </row>
        <row r="172">
          <cell r="B172">
            <v>500216</v>
          </cell>
          <cell r="C172" t="str">
            <v>PLANEJAMENTO AGRICOLA</v>
          </cell>
        </row>
        <row r="173">
          <cell r="B173">
            <v>500218</v>
          </cell>
          <cell r="C173" t="str">
            <v>CONTROLE DE QUALIDADE AGRICOLA</v>
          </cell>
        </row>
        <row r="174">
          <cell r="B174">
            <v>500220</v>
          </cell>
          <cell r="C174" t="str">
            <v>ADM PARCERIAS/FORN. AGRICOLA</v>
          </cell>
        </row>
        <row r="175">
          <cell r="B175">
            <v>500222</v>
          </cell>
          <cell r="C175" t="str">
            <v>CONTROLE DE TRÁFEGO (CENTRAL)</v>
          </cell>
        </row>
        <row r="176">
          <cell r="B176">
            <v>500224</v>
          </cell>
          <cell r="C176" t="str">
            <v>CONTROLE BIOLÓGICO</v>
          </cell>
        </row>
        <row r="177">
          <cell r="B177">
            <v>500302</v>
          </cell>
          <cell r="C177" t="str">
            <v>MDO FISCAIS CAMPO</v>
          </cell>
        </row>
        <row r="178">
          <cell r="B178">
            <v>500304</v>
          </cell>
          <cell r="C178" t="str">
            <v>MDO QUEIMA DE CANA</v>
          </cell>
        </row>
        <row r="179">
          <cell r="B179">
            <v>500306</v>
          </cell>
          <cell r="C179" t="str">
            <v>MDO BITUCA</v>
          </cell>
        </row>
        <row r="180">
          <cell r="B180">
            <v>500308</v>
          </cell>
          <cell r="C180" t="str">
            <v>MDO CATACAO QUIMICA</v>
          </cell>
        </row>
        <row r="181">
          <cell r="B181">
            <v>500310</v>
          </cell>
          <cell r="C181" t="str">
            <v>MDO RURICOLAS - REGIONAIS</v>
          </cell>
        </row>
        <row r="182">
          <cell r="B182">
            <v>500312</v>
          </cell>
          <cell r="C182" t="str">
            <v>ENCARREGADO MDO RURAL</v>
          </cell>
        </row>
        <row r="183">
          <cell r="B183">
            <v>500314</v>
          </cell>
          <cell r="C183" t="str">
            <v>MDO MIGRANTES</v>
          </cell>
        </row>
        <row r="184">
          <cell r="B184">
            <v>500401</v>
          </cell>
          <cell r="C184" t="str">
            <v>ESTRUTURA DE FERTIRRIGAÇÃO</v>
          </cell>
        </row>
        <row r="185">
          <cell r="B185">
            <v>500402</v>
          </cell>
          <cell r="C185" t="str">
            <v>MANUT. CANAIS DE VINHAÇA</v>
          </cell>
        </row>
        <row r="186">
          <cell r="B186">
            <v>500404</v>
          </cell>
          <cell r="C186" t="str">
            <v>MDO FERTIRRIGAÇÃO</v>
          </cell>
        </row>
        <row r="187">
          <cell r="B187">
            <v>500406</v>
          </cell>
          <cell r="C187" t="str">
            <v>DISTRIBUIÇAO DE VINHAÇA</v>
          </cell>
        </row>
        <row r="188">
          <cell r="B188">
            <v>500502</v>
          </cell>
          <cell r="C188" t="str">
            <v>ADM MANUTENÇÃO AUTOMOTIVA</v>
          </cell>
        </row>
        <row r="189">
          <cell r="B189">
            <v>500506</v>
          </cell>
          <cell r="C189" t="str">
            <v>POSTO DE LAVAGEM/ LUBRIFICAÇÃO</v>
          </cell>
        </row>
        <row r="190">
          <cell r="B190">
            <v>500508</v>
          </cell>
          <cell r="C190" t="str">
            <v>ELETRICISTA</v>
          </cell>
        </row>
        <row r="191">
          <cell r="B191">
            <v>500510</v>
          </cell>
          <cell r="C191" t="str">
            <v>SOLDADOR</v>
          </cell>
        </row>
        <row r="192">
          <cell r="B192">
            <v>500512</v>
          </cell>
          <cell r="C192" t="str">
            <v>MECÂNICO COLHEDORA</v>
          </cell>
        </row>
        <row r="193">
          <cell r="B193">
            <v>500516</v>
          </cell>
          <cell r="C193" t="str">
            <v>BORRACHEIRO</v>
          </cell>
        </row>
        <row r="194">
          <cell r="B194">
            <v>500710</v>
          </cell>
          <cell r="C194" t="str">
            <v>OPERADORES DE COLHEDORAS</v>
          </cell>
        </row>
        <row r="195">
          <cell r="B195">
            <v>500712</v>
          </cell>
          <cell r="C195" t="str">
            <v>MOTORISTAS TRANSBORDO</v>
          </cell>
        </row>
        <row r="196">
          <cell r="B196">
            <v>500718</v>
          </cell>
          <cell r="C196" t="str">
            <v>TRATORISTAS MAQ PESADAS</v>
          </cell>
        </row>
        <row r="197">
          <cell r="B197">
            <v>500720</v>
          </cell>
          <cell r="C197" t="str">
            <v>MOTORISTA TRANSPORTE DE APOIO</v>
          </cell>
        </row>
        <row r="198">
          <cell r="B198">
            <v>500722</v>
          </cell>
          <cell r="C198" t="str">
            <v>MDO LÍDERES/FÍSCAIS DE OPERAÇÃO</v>
          </cell>
        </row>
        <row r="199">
          <cell r="B199">
            <v>500724</v>
          </cell>
          <cell r="C199" t="str">
            <v>AUXILIAR DE CONTROLE DE QUALIDADE</v>
          </cell>
        </row>
        <row r="200">
          <cell r="B200">
            <v>500726</v>
          </cell>
          <cell r="C200" t="str">
            <v>AUXILIARES AGRICOLAS</v>
          </cell>
        </row>
        <row r="201">
          <cell r="B201">
            <v>501002</v>
          </cell>
          <cell r="C201" t="str">
            <v>PREPARO DE SOLO</v>
          </cell>
        </row>
        <row r="202">
          <cell r="B202">
            <v>501004</v>
          </cell>
          <cell r="C202" t="str">
            <v>COLHEITA DE MUDA</v>
          </cell>
        </row>
        <row r="203">
          <cell r="B203">
            <v>501008</v>
          </cell>
          <cell r="C203" t="str">
            <v>PLANTIO DE CANA</v>
          </cell>
        </row>
        <row r="204">
          <cell r="B204">
            <v>501010</v>
          </cell>
          <cell r="C204" t="str">
            <v>TRATOS CANA PLANTA</v>
          </cell>
        </row>
        <row r="205">
          <cell r="B205">
            <v>501012</v>
          </cell>
          <cell r="C205" t="str">
            <v>TRATOS CANA SOCA</v>
          </cell>
        </row>
        <row r="206">
          <cell r="B206">
            <v>501014</v>
          </cell>
          <cell r="C206" t="str">
            <v>COLHEITA MANUAL</v>
          </cell>
        </row>
        <row r="207">
          <cell r="B207">
            <v>501016</v>
          </cell>
          <cell r="C207" t="str">
            <v>COLHEITA MECANIZADA</v>
          </cell>
        </row>
        <row r="208">
          <cell r="B208">
            <v>501018</v>
          </cell>
          <cell r="C208" t="str">
            <v>Pátio de compostagem</v>
          </cell>
        </row>
        <row r="209">
          <cell r="B209">
            <v>501020</v>
          </cell>
          <cell r="C209" t="str">
            <v>Replantio da cana planta</v>
          </cell>
        </row>
        <row r="210">
          <cell r="B210">
            <v>501022</v>
          </cell>
          <cell r="C210" t="str">
            <v>Replantio da cana soca</v>
          </cell>
        </row>
        <row r="211">
          <cell r="B211">
            <v>501102</v>
          </cell>
          <cell r="C211" t="str">
            <v>REFLORESTAMENTO</v>
          </cell>
        </row>
        <row r="212">
          <cell r="B212">
            <v>509902</v>
          </cell>
          <cell r="C212" t="str">
            <v>CUSTO MATERIA-PRIMA</v>
          </cell>
        </row>
        <row r="213">
          <cell r="B213">
            <v>600200</v>
          </cell>
          <cell r="C213" t="str">
            <v>CONSERVACAO DE SEDES</v>
          </cell>
        </row>
        <row r="214">
          <cell r="B214">
            <v>600600</v>
          </cell>
          <cell r="C214" t="str">
            <v>CONSTR.E CONSERVACAO DE CERCAS</v>
          </cell>
        </row>
        <row r="215">
          <cell r="B215">
            <v>600800</v>
          </cell>
          <cell r="C215" t="str">
            <v>CONSERVACAO DE ESTRADAS</v>
          </cell>
        </row>
        <row r="216">
          <cell r="B216">
            <v>601018</v>
          </cell>
          <cell r="C216" t="str">
            <v>Movimentação de Resíduos Industr</v>
          </cell>
        </row>
        <row r="217">
          <cell r="B217">
            <v>700106</v>
          </cell>
          <cell r="C217" t="str">
            <v>CAMINHOES PIPA ( ALUGADO)</v>
          </cell>
        </row>
        <row r="218">
          <cell r="B218">
            <v>700107</v>
          </cell>
          <cell r="C218" t="str">
            <v>CAMINHÕES PIPA ( PRÓPRIO)</v>
          </cell>
        </row>
        <row r="219">
          <cell r="B219">
            <v>700108</v>
          </cell>
          <cell r="C219" t="str">
            <v>CAMINHOES COMBOIO ( ALUGADO)</v>
          </cell>
        </row>
        <row r="220">
          <cell r="B220">
            <v>700109</v>
          </cell>
          <cell r="C220" t="str">
            <v>CAMINHÕES COMBOIO ( PRÓPRIO)</v>
          </cell>
        </row>
        <row r="221">
          <cell r="B221">
            <v>700113</v>
          </cell>
          <cell r="C221" t="str">
            <v>CAMINHÕES PRANCHA ( PRÓPRIO)</v>
          </cell>
        </row>
        <row r="222">
          <cell r="B222">
            <v>700114</v>
          </cell>
          <cell r="C222" t="str">
            <v>CAMINHÃO MUNCK ( ALUGADO)</v>
          </cell>
        </row>
        <row r="223">
          <cell r="B223">
            <v>700116</v>
          </cell>
          <cell r="C223" t="str">
            <v>CAMINHÕES BORRACHARIA (ALUGADO)</v>
          </cell>
        </row>
        <row r="224">
          <cell r="B224">
            <v>700117</v>
          </cell>
          <cell r="C224" t="str">
            <v>CAMINHÕES BORRACHARIA ( PRÓPRIO)</v>
          </cell>
        </row>
        <row r="225">
          <cell r="B225">
            <v>700118</v>
          </cell>
          <cell r="C225" t="str">
            <v>CAMINHÕES OFICINA ( ALUGADO)</v>
          </cell>
        </row>
        <row r="226">
          <cell r="B226">
            <v>700119</v>
          </cell>
          <cell r="C226" t="str">
            <v>CAMINHÕES OFICINA ( PRÓPRIO)</v>
          </cell>
        </row>
        <row r="227">
          <cell r="B227">
            <v>700202</v>
          </cell>
          <cell r="C227" t="str">
            <v>TRATORES PNEUS - LEVES ( ALUGADO)</v>
          </cell>
        </row>
        <row r="228">
          <cell r="B228">
            <v>700204</v>
          </cell>
          <cell r="C228" t="str">
            <v>TRATORES PNEUS - MEDIOS ( ALUGADO)</v>
          </cell>
        </row>
        <row r="229">
          <cell r="B229">
            <v>700206</v>
          </cell>
          <cell r="C229" t="str">
            <v>TRATORES PNEUS - PESADOS ( ALUGADO)</v>
          </cell>
        </row>
        <row r="230">
          <cell r="B230">
            <v>700207</v>
          </cell>
          <cell r="C230" t="str">
            <v>TRATORES PNEUS - PESADOS ( PRÓPRIO)</v>
          </cell>
        </row>
        <row r="231">
          <cell r="B231">
            <v>700216</v>
          </cell>
          <cell r="C231" t="str">
            <v>CARREGADORAS DE CANA ( ALUGADO)</v>
          </cell>
        </row>
        <row r="232">
          <cell r="B232">
            <v>700218</v>
          </cell>
          <cell r="C232" t="str">
            <v>COLHEDORAS DE CANA ( ALUGADO)</v>
          </cell>
        </row>
        <row r="233">
          <cell r="B233">
            <v>700219</v>
          </cell>
          <cell r="C233" t="str">
            <v>COLHEDORAS DE CANA ( PRÓPRIA)</v>
          </cell>
        </row>
        <row r="234">
          <cell r="B234">
            <v>700220</v>
          </cell>
          <cell r="C234" t="str">
            <v>PLANTADORA DE CANA ( ALUGADO)</v>
          </cell>
        </row>
        <row r="235">
          <cell r="B235">
            <v>700223</v>
          </cell>
          <cell r="C235" t="str">
            <v>TRATORES PNEUS-SUPER PESADOS (PRÓPRIOS)</v>
          </cell>
        </row>
        <row r="236">
          <cell r="B236">
            <v>700224</v>
          </cell>
          <cell r="C236" t="str">
            <v>CAMINHÕES TRANSBORDOS (ALUGADOS)</v>
          </cell>
        </row>
        <row r="237">
          <cell r="B237">
            <v>700302</v>
          </cell>
          <cell r="C237" t="str">
            <v>VEICULOS LEVES</v>
          </cell>
        </row>
        <row r="238">
          <cell r="B238">
            <v>700304</v>
          </cell>
          <cell r="C238" t="str">
            <v>CAMINHONETAS/UTILITARIOS</v>
          </cell>
        </row>
        <row r="239">
          <cell r="B239">
            <v>701204</v>
          </cell>
          <cell r="C239" t="str">
            <v>ARADOS</v>
          </cell>
        </row>
        <row r="240">
          <cell r="B240">
            <v>701206</v>
          </cell>
          <cell r="C240" t="str">
            <v>CARRETAS DE ARRASTO(NAO USE)</v>
          </cell>
        </row>
        <row r="241">
          <cell r="B241">
            <v>701210</v>
          </cell>
          <cell r="C241" t="str">
            <v>COBRIDORES DE CANA</v>
          </cell>
        </row>
        <row r="242">
          <cell r="B242">
            <v>701212</v>
          </cell>
          <cell r="C242" t="str">
            <v>CONJUNTO DE IRRIGACAO (ROLAO)</v>
          </cell>
        </row>
        <row r="243">
          <cell r="B243">
            <v>701214</v>
          </cell>
          <cell r="C243" t="str">
            <v>CULTIVADORES</v>
          </cell>
        </row>
        <row r="244">
          <cell r="B244">
            <v>701224</v>
          </cell>
          <cell r="C244" t="str">
            <v>GRADES</v>
          </cell>
        </row>
        <row r="245">
          <cell r="B245">
            <v>701226</v>
          </cell>
          <cell r="C245" t="str">
            <v>DISTRIBUIDORES DE CANA</v>
          </cell>
        </row>
        <row r="246">
          <cell r="B246">
            <v>701230</v>
          </cell>
          <cell r="C246" t="str">
            <v>IMPLEMENTOS DIVERSOS</v>
          </cell>
        </row>
        <row r="247">
          <cell r="B247">
            <v>701232</v>
          </cell>
          <cell r="C247" t="str">
            <v>MOTOBOMBAS</v>
          </cell>
        </row>
        <row r="248">
          <cell r="B248">
            <v>701236</v>
          </cell>
          <cell r="C248" t="str">
            <v>MOTOSSERA</v>
          </cell>
        </row>
        <row r="249">
          <cell r="B249">
            <v>701238</v>
          </cell>
          <cell r="C249" t="str">
            <v>PULVERIZADORES</v>
          </cell>
        </row>
        <row r="250">
          <cell r="B250">
            <v>701244</v>
          </cell>
          <cell r="C250" t="str">
            <v>SUBSOLADORES</v>
          </cell>
        </row>
        <row r="251">
          <cell r="B251">
            <v>701246</v>
          </cell>
          <cell r="C251" t="str">
            <v>SULCADORES</v>
          </cell>
        </row>
        <row r="252">
          <cell r="B252">
            <v>701250</v>
          </cell>
          <cell r="C252" t="str">
            <v>TERRACEADORES</v>
          </cell>
        </row>
        <row r="253">
          <cell r="B253">
            <v>701254</v>
          </cell>
          <cell r="C253" t="str">
            <v>CONJ.TRANSBORDOS (ALUGADO)</v>
          </cell>
        </row>
        <row r="254">
          <cell r="B254">
            <v>701255</v>
          </cell>
          <cell r="C254" t="str">
            <v>CONJ. TRANSBORDO (PROPRIO)</v>
          </cell>
        </row>
        <row r="255">
          <cell r="B255">
            <v>701301</v>
          </cell>
          <cell r="C255" t="str">
            <v>SEMI-REBOQUE CANAVIEIRO</v>
          </cell>
        </row>
        <row r="256">
          <cell r="B256">
            <v>701303</v>
          </cell>
          <cell r="C256" t="str">
            <v>SEMI-REBOQUE TANQUE VINHAÇA</v>
          </cell>
        </row>
        <row r="257">
          <cell r="B257">
            <v>709902</v>
          </cell>
          <cell r="C257" t="str">
            <v>EQUIPAMENTOS TESTE</v>
          </cell>
        </row>
        <row r="258">
          <cell r="B258">
            <v>709914</v>
          </cell>
          <cell r="C258" t="str">
            <v>EQUIPAMENTOS DE TERCEIROS</v>
          </cell>
        </row>
        <row r="259">
          <cell r="B259">
            <v>801002</v>
          </cell>
          <cell r="C259" t="str">
            <v>PREPARO DE SOLO</v>
          </cell>
        </row>
        <row r="260">
          <cell r="B260">
            <v>801004</v>
          </cell>
          <cell r="C260" t="str">
            <v>COLHEITA DE MUDA</v>
          </cell>
        </row>
        <row r="261">
          <cell r="B261">
            <v>801008</v>
          </cell>
          <cell r="C261" t="str">
            <v>PLANTIO DE CANA</v>
          </cell>
        </row>
        <row r="262">
          <cell r="B262">
            <v>801010</v>
          </cell>
          <cell r="C262" t="str">
            <v>TRATOS CANA PLANTA</v>
          </cell>
        </row>
        <row r="263">
          <cell r="B263">
            <v>801012</v>
          </cell>
          <cell r="C263" t="str">
            <v>TRATOS CANA SOCA</v>
          </cell>
        </row>
        <row r="264">
          <cell r="B264">
            <v>801014</v>
          </cell>
          <cell r="C264" t="str">
            <v>COLHEITA MANUAL</v>
          </cell>
        </row>
        <row r="265">
          <cell r="B265">
            <v>801016</v>
          </cell>
          <cell r="C265" t="str">
            <v>COLHEITA MECANIZADA</v>
          </cell>
        </row>
        <row r="266">
          <cell r="B266">
            <v>100102</v>
          </cell>
          <cell r="C266" t="str">
            <v>CONSELHEIRO ADMINISTRATIVO/FISCAL</v>
          </cell>
        </row>
        <row r="267">
          <cell r="B267">
            <v>100202</v>
          </cell>
          <cell r="C267" t="str">
            <v>DIRETOR PRESIDENTE</v>
          </cell>
        </row>
        <row r="268">
          <cell r="B268">
            <v>200102</v>
          </cell>
          <cell r="C268" t="str">
            <v>ADMINISTRACAO CORPORATIVA</v>
          </cell>
        </row>
        <row r="269">
          <cell r="B269">
            <v>200103</v>
          </cell>
          <cell r="C269" t="str">
            <v>DESPESAS DE CAPACITAÇÕES</v>
          </cell>
        </row>
        <row r="270">
          <cell r="B270">
            <v>200202</v>
          </cell>
          <cell r="C270" t="str">
            <v>CONTABILIDADE/FISCAL/PATRIMONIAL</v>
          </cell>
        </row>
        <row r="271">
          <cell r="B271">
            <v>200302</v>
          </cell>
          <cell r="C271" t="str">
            <v>Fiscal</v>
          </cell>
        </row>
        <row r="272">
          <cell r="B272">
            <v>200402</v>
          </cell>
          <cell r="C272" t="str">
            <v>ADMINSITRAÇÃO RECURSOS HUMANOS</v>
          </cell>
        </row>
        <row r="273">
          <cell r="B273">
            <v>200802</v>
          </cell>
          <cell r="C273" t="str">
            <v>TECNOLOGIA DA INFORMAÇÃO</v>
          </cell>
        </row>
        <row r="274">
          <cell r="B274">
            <v>201404</v>
          </cell>
          <cell r="C274" t="str">
            <v>TESOURARIA</v>
          </cell>
        </row>
        <row r="275">
          <cell r="B275">
            <v>201602</v>
          </cell>
          <cell r="C275" t="str">
            <v>JURÍDICO</v>
          </cell>
        </row>
        <row r="276">
          <cell r="B276">
            <v>201604</v>
          </cell>
          <cell r="C276" t="str">
            <v>CONSULTORIA JURÍDICA EXTERNA</v>
          </cell>
        </row>
        <row r="277">
          <cell r="B277">
            <v>202002</v>
          </cell>
          <cell r="C277" t="str">
            <v>MEIO AMBIENTE</v>
          </cell>
        </row>
        <row r="278">
          <cell r="B278">
            <v>300404</v>
          </cell>
          <cell r="C278" t="str">
            <v>ADMINISTRACAO DE PESSOAL</v>
          </cell>
        </row>
        <row r="279">
          <cell r="B279">
            <v>300410</v>
          </cell>
          <cell r="C279" t="str">
            <v>MEDICINA DO TRABALHO</v>
          </cell>
        </row>
        <row r="280">
          <cell r="B280">
            <v>300602</v>
          </cell>
          <cell r="C280" t="str">
            <v>ADMINISTRAÇÃO GERAL</v>
          </cell>
        </row>
        <row r="281">
          <cell r="B281">
            <v>300606</v>
          </cell>
          <cell r="C281" t="str">
            <v>Ger.Administracao de Risco e Auditoria</v>
          </cell>
        </row>
        <row r="282">
          <cell r="B282">
            <v>300802</v>
          </cell>
          <cell r="C282" t="str">
            <v>TECNOLOGIA DA INFORMAÇÃO</v>
          </cell>
        </row>
        <row r="283">
          <cell r="B283">
            <v>500101</v>
          </cell>
          <cell r="C283" t="str">
            <v>Gerência Agrícola Corporativa</v>
          </cell>
        </row>
        <row r="284">
          <cell r="B284">
            <v>500102</v>
          </cell>
          <cell r="C284" t="str">
            <v>GERENCIA AGRICOLA</v>
          </cell>
        </row>
        <row r="285">
          <cell r="B285">
            <v>500202</v>
          </cell>
          <cell r="C285" t="str">
            <v>CONTROLE AGRICOLA</v>
          </cell>
        </row>
        <row r="286">
          <cell r="B286">
            <v>500204</v>
          </cell>
          <cell r="C286" t="str">
            <v>TECNICOS AGRICOLAS</v>
          </cell>
        </row>
        <row r="287">
          <cell r="B287">
            <v>500212</v>
          </cell>
          <cell r="C287" t="str">
            <v>SUPERVISÃO DE CCT</v>
          </cell>
        </row>
        <row r="288">
          <cell r="B288">
            <v>500214</v>
          </cell>
          <cell r="C288" t="str">
            <v>SUPERVISÃO DE PRODUÇÃO</v>
          </cell>
        </row>
        <row r="289">
          <cell r="B289">
            <v>500302</v>
          </cell>
          <cell r="C289" t="str">
            <v>MDO FISCAIS CAMPO</v>
          </cell>
        </row>
        <row r="290">
          <cell r="B290">
            <v>500308</v>
          </cell>
          <cell r="C290" t="str">
            <v>MDO CATACAO QUIMICA</v>
          </cell>
        </row>
        <row r="291">
          <cell r="B291">
            <v>500310</v>
          </cell>
          <cell r="C291" t="str">
            <v>MDO RURICOLAS - REGIONAIS</v>
          </cell>
        </row>
        <row r="292">
          <cell r="B292">
            <v>500710</v>
          </cell>
          <cell r="C292" t="str">
            <v>OPERADORES DE COLHEDORAS</v>
          </cell>
        </row>
        <row r="293">
          <cell r="B293">
            <v>500720</v>
          </cell>
          <cell r="C293" t="str">
            <v>MOTORISTA TRANSPORTE DE APOIO</v>
          </cell>
        </row>
        <row r="294">
          <cell r="B294">
            <v>501002</v>
          </cell>
          <cell r="C294" t="str">
            <v>PREPARO DE SOLO</v>
          </cell>
        </row>
        <row r="295">
          <cell r="B295">
            <v>501008</v>
          </cell>
          <cell r="C295" t="str">
            <v>PLANTIO DE CANA</v>
          </cell>
        </row>
        <row r="296">
          <cell r="B296">
            <v>501010</v>
          </cell>
          <cell r="C296" t="str">
            <v>TRATOS CANA PLANTA</v>
          </cell>
        </row>
        <row r="297">
          <cell r="B297">
            <v>501012</v>
          </cell>
          <cell r="C297" t="str">
            <v>TRATOS CANA SOCA</v>
          </cell>
        </row>
        <row r="298">
          <cell r="B298">
            <v>501014</v>
          </cell>
          <cell r="C298" t="str">
            <v>COLHEITA MANUAL</v>
          </cell>
        </row>
        <row r="299">
          <cell r="B299">
            <v>501016</v>
          </cell>
          <cell r="C299" t="str">
            <v>COLHEITA MECANIZADA</v>
          </cell>
        </row>
        <row r="300">
          <cell r="B300">
            <v>509902</v>
          </cell>
          <cell r="C300" t="str">
            <v>CUSTO MATERIA-PRIMA</v>
          </cell>
        </row>
        <row r="301">
          <cell r="B301">
            <v>700206</v>
          </cell>
          <cell r="C301" t="str">
            <v>TRATORES PNEUS - PESADOS</v>
          </cell>
        </row>
        <row r="302">
          <cell r="B302">
            <v>700302</v>
          </cell>
          <cell r="C302" t="str">
            <v>VEICULOS LEVES</v>
          </cell>
        </row>
        <row r="303">
          <cell r="B303">
            <v>700304</v>
          </cell>
          <cell r="C303" t="str">
            <v>CAMINHONETAS/UTILITARIOS</v>
          </cell>
        </row>
        <row r="304">
          <cell r="B304">
            <v>701214</v>
          </cell>
          <cell r="C304" t="str">
            <v>CULTIVADORES</v>
          </cell>
        </row>
        <row r="305">
          <cell r="B305">
            <v>701238</v>
          </cell>
          <cell r="C305" t="str">
            <v>PULVERIZADORES</v>
          </cell>
        </row>
        <row r="306">
          <cell r="B306">
            <v>701244</v>
          </cell>
          <cell r="C306" t="str">
            <v>SUBSOLADORES</v>
          </cell>
        </row>
        <row r="307">
          <cell r="B307">
            <v>801012</v>
          </cell>
          <cell r="C307" t="str">
            <v>TRATOS CANA SOCA</v>
          </cell>
        </row>
        <row r="308">
          <cell r="B308">
            <v>801014</v>
          </cell>
          <cell r="C308" t="str">
            <v>COLHEITA MANUAL</v>
          </cell>
        </row>
        <row r="309">
          <cell r="B309">
            <v>801016</v>
          </cell>
          <cell r="C309" t="str">
            <v>COLHEITA MECANIZADA</v>
          </cell>
        </row>
      </sheetData>
      <sheetData sheetId="6"/>
      <sheetData sheetId="7">
        <row r="3">
          <cell r="A3">
            <v>100000</v>
          </cell>
          <cell r="B3" t="str">
            <v>DIRETORIA/CONSELHO/SUPERINTENDENCIA</v>
          </cell>
        </row>
        <row r="4">
          <cell r="A4">
            <v>100100</v>
          </cell>
          <cell r="B4" t="str">
            <v>CONSELHO DE ADMINISTRACAO/FISCAL</v>
          </cell>
        </row>
        <row r="5">
          <cell r="A5">
            <v>100102</v>
          </cell>
          <cell r="B5" t="str">
            <v>CONSELHEIRO ADMINISTRATIVO/FISCAL</v>
          </cell>
        </row>
        <row r="6">
          <cell r="A6">
            <v>100104</v>
          </cell>
          <cell r="B6" t="str">
            <v>CONSELHO CONSULTIVO</v>
          </cell>
        </row>
        <row r="7">
          <cell r="A7">
            <v>100106</v>
          </cell>
          <cell r="B7" t="str">
            <v>CONSELHO FISCAL</v>
          </cell>
        </row>
        <row r="8">
          <cell r="A8">
            <v>100200</v>
          </cell>
          <cell r="B8" t="str">
            <v>DIRETORIA</v>
          </cell>
        </row>
        <row r="9">
          <cell r="A9">
            <v>100202</v>
          </cell>
          <cell r="B9" t="str">
            <v>DIRETOR PRESIDENTE</v>
          </cell>
        </row>
        <row r="10">
          <cell r="A10">
            <v>100204</v>
          </cell>
          <cell r="B10" t="str">
            <v>DIRETOR EXECUTIVO</v>
          </cell>
        </row>
        <row r="11">
          <cell r="A11">
            <v>100206</v>
          </cell>
          <cell r="B11" t="str">
            <v>SECRETARIA</v>
          </cell>
        </row>
        <row r="12">
          <cell r="A12">
            <v>100207</v>
          </cell>
          <cell r="B12" t="str">
            <v>Diretor Administrativo/Financeiro</v>
          </cell>
        </row>
        <row r="13">
          <cell r="A13">
            <v>100208</v>
          </cell>
          <cell r="B13" t="str">
            <v>Diretor Comercial</v>
          </cell>
        </row>
        <row r="14">
          <cell r="A14">
            <v>100210</v>
          </cell>
          <cell r="B14" t="str">
            <v>Relação com Investidores</v>
          </cell>
        </row>
        <row r="15">
          <cell r="A15">
            <v>100300</v>
          </cell>
          <cell r="B15" t="str">
            <v>SUPERINTENDENCIA</v>
          </cell>
        </row>
        <row r="16">
          <cell r="A16">
            <v>100302</v>
          </cell>
          <cell r="B16" t="str">
            <v>SUP.CONTROLADORIA E GESTAO</v>
          </cell>
        </row>
        <row r="17">
          <cell r="A17">
            <v>100304</v>
          </cell>
          <cell r="B17" t="str">
            <v>SUP.PRODUCAO INDUSTRIAL E AGRICOLA</v>
          </cell>
        </row>
        <row r="18">
          <cell r="A18">
            <v>100306</v>
          </cell>
          <cell r="B18" t="str">
            <v>SUP.FINANCEIRA</v>
          </cell>
        </row>
        <row r="19">
          <cell r="A19">
            <v>100308</v>
          </cell>
          <cell r="B19" t="str">
            <v>SUP.COMERCIAL</v>
          </cell>
        </row>
        <row r="20">
          <cell r="A20">
            <v>100400</v>
          </cell>
          <cell r="B20" t="str">
            <v>ESCRITORIO DE SAO PAULO</v>
          </cell>
        </row>
        <row r="21">
          <cell r="A21">
            <v>100402</v>
          </cell>
          <cell r="B21" t="str">
            <v>ESCRITORIO DE SÃO PAULO - MATRIZ</v>
          </cell>
        </row>
        <row r="22">
          <cell r="A22">
            <v>100500</v>
          </cell>
          <cell r="B22" t="str">
            <v>ASSESSORIA DE IMPRENSA</v>
          </cell>
        </row>
        <row r="23">
          <cell r="A23">
            <v>100501</v>
          </cell>
          <cell r="B23" t="str">
            <v>ASSESSORIA DE IMPRENSA</v>
          </cell>
        </row>
        <row r="24">
          <cell r="A24">
            <v>200000</v>
          </cell>
          <cell r="B24" t="str">
            <v>ADMINISTRACAO CORPORATIVA</v>
          </cell>
        </row>
        <row r="25">
          <cell r="A25">
            <v>200100</v>
          </cell>
          <cell r="B25" t="str">
            <v>GERENCIA ADMINISTRATIVA</v>
          </cell>
        </row>
        <row r="26">
          <cell r="A26">
            <v>200102</v>
          </cell>
          <cell r="B26" t="str">
            <v>ADMINISTRACAO CORPORATIVA</v>
          </cell>
        </row>
        <row r="27">
          <cell r="A27">
            <v>200103</v>
          </cell>
          <cell r="B27" t="str">
            <v>DESPESAS DE CAPACITAÇÕES</v>
          </cell>
        </row>
        <row r="28">
          <cell r="A28">
            <v>200200</v>
          </cell>
          <cell r="B28" t="str">
            <v>DEPTO CONTABILIDADE</v>
          </cell>
        </row>
        <row r="29">
          <cell r="A29">
            <v>200202</v>
          </cell>
          <cell r="B29" t="str">
            <v>CONTABILIDADE/FISCAL/PATRIMONIAL</v>
          </cell>
        </row>
        <row r="30">
          <cell r="A30">
            <v>200204</v>
          </cell>
          <cell r="B30" t="str">
            <v>CONSULTORIA EXTERNA</v>
          </cell>
        </row>
        <row r="31">
          <cell r="A31">
            <v>200300</v>
          </cell>
          <cell r="B31" t="str">
            <v>Departamento Fiscal</v>
          </cell>
        </row>
        <row r="32">
          <cell r="A32">
            <v>200302</v>
          </cell>
          <cell r="B32" t="str">
            <v>Fiscal</v>
          </cell>
        </row>
        <row r="33">
          <cell r="A33">
            <v>200400</v>
          </cell>
          <cell r="B33" t="str">
            <v>RECURSOS HUMANOS</v>
          </cell>
        </row>
        <row r="34">
          <cell r="A34">
            <v>200402</v>
          </cell>
          <cell r="B34" t="str">
            <v>ADMINSITRAÇÃO RECURSOS HUMANOS</v>
          </cell>
        </row>
        <row r="35">
          <cell r="A35">
            <v>200404</v>
          </cell>
          <cell r="B35" t="str">
            <v>CARGOS E SALARIOS</v>
          </cell>
        </row>
        <row r="36">
          <cell r="A36">
            <v>200406</v>
          </cell>
          <cell r="B36" t="str">
            <v>ADMINISTRAÇÃO DE PESSOAL</v>
          </cell>
        </row>
        <row r="37">
          <cell r="A37">
            <v>200408</v>
          </cell>
          <cell r="B37" t="str">
            <v>RECRUTAMENTO E SELECAO</v>
          </cell>
        </row>
        <row r="38">
          <cell r="A38">
            <v>200410</v>
          </cell>
          <cell r="B38" t="str">
            <v>ASSISTÊNCIA PESSOAL</v>
          </cell>
        </row>
        <row r="39">
          <cell r="A39">
            <v>200600</v>
          </cell>
          <cell r="B39" t="str">
            <v>CUSTO E ORCAMENTO</v>
          </cell>
        </row>
        <row r="40">
          <cell r="A40">
            <v>200602</v>
          </cell>
          <cell r="B40" t="str">
            <v>CUSTOS E ORÇAMENTOS</v>
          </cell>
        </row>
        <row r="41">
          <cell r="A41">
            <v>200700</v>
          </cell>
          <cell r="B41" t="str">
            <v>Administração de Contratos</v>
          </cell>
        </row>
        <row r="42">
          <cell r="A42">
            <v>200702</v>
          </cell>
          <cell r="B42" t="str">
            <v>Contratos</v>
          </cell>
        </row>
        <row r="43">
          <cell r="A43">
            <v>200800</v>
          </cell>
          <cell r="B43" t="str">
            <v>TECNOLOGIA DA INFORMACAO</v>
          </cell>
        </row>
        <row r="44">
          <cell r="A44">
            <v>200802</v>
          </cell>
          <cell r="B44" t="str">
            <v>TECNOLOGIA DA INFORMAÇÃO</v>
          </cell>
        </row>
        <row r="45">
          <cell r="A45">
            <v>201000</v>
          </cell>
          <cell r="B45" t="str">
            <v>SUPRIMENTOS</v>
          </cell>
        </row>
        <row r="46">
          <cell r="A46">
            <v>201002</v>
          </cell>
          <cell r="B46" t="str">
            <v>COMPRAS</v>
          </cell>
        </row>
        <row r="47">
          <cell r="A47">
            <v>201099</v>
          </cell>
          <cell r="B47" t="str">
            <v>Manutenção de Entressafra</v>
          </cell>
        </row>
        <row r="48">
          <cell r="A48">
            <v>201200</v>
          </cell>
          <cell r="B48" t="str">
            <v>COMERCIAL</v>
          </cell>
        </row>
        <row r="49">
          <cell r="A49">
            <v>201202</v>
          </cell>
          <cell r="B49" t="str">
            <v>COMERCIAL</v>
          </cell>
        </row>
        <row r="50">
          <cell r="A50">
            <v>201204</v>
          </cell>
          <cell r="B50" t="str">
            <v>COMERCIALIZAÇÃO</v>
          </cell>
        </row>
        <row r="51">
          <cell r="A51">
            <v>201299</v>
          </cell>
          <cell r="B51" t="str">
            <v>Manutenção de Entressafra</v>
          </cell>
        </row>
        <row r="52">
          <cell r="A52">
            <v>201400</v>
          </cell>
          <cell r="B52" t="str">
            <v>FINANCEIRO</v>
          </cell>
        </row>
        <row r="53">
          <cell r="A53">
            <v>201402</v>
          </cell>
          <cell r="B53" t="str">
            <v>ADMINISTRAÇÃO FINANCEIRA</v>
          </cell>
        </row>
        <row r="54">
          <cell r="A54">
            <v>201404</v>
          </cell>
          <cell r="B54" t="str">
            <v>TESOURARIA</v>
          </cell>
        </row>
        <row r="55">
          <cell r="A55">
            <v>201600</v>
          </cell>
          <cell r="B55" t="str">
            <v>JURIDICO</v>
          </cell>
        </row>
        <row r="56">
          <cell r="A56">
            <v>201602</v>
          </cell>
          <cell r="B56" t="str">
            <v>JURÍDICO</v>
          </cell>
        </row>
        <row r="57">
          <cell r="A57">
            <v>201604</v>
          </cell>
          <cell r="B57" t="str">
            <v>CONSULTORIA JURÍDICA EXTERNA</v>
          </cell>
        </row>
        <row r="58">
          <cell r="A58">
            <v>201800</v>
          </cell>
          <cell r="B58" t="str">
            <v>CONTROLE INTERNO</v>
          </cell>
        </row>
        <row r="59">
          <cell r="A59">
            <v>201802</v>
          </cell>
          <cell r="B59" t="str">
            <v>CONTROLE INTERNO</v>
          </cell>
        </row>
        <row r="60">
          <cell r="A60">
            <v>202000</v>
          </cell>
          <cell r="B60" t="str">
            <v>MEIO AMBIENTE</v>
          </cell>
        </row>
        <row r="61">
          <cell r="A61">
            <v>202002</v>
          </cell>
          <cell r="B61" t="str">
            <v>MEIO AMBIENTE</v>
          </cell>
        </row>
        <row r="62">
          <cell r="A62">
            <v>300000</v>
          </cell>
          <cell r="B62" t="str">
            <v>ADMINISTRACAO LOCAL</v>
          </cell>
        </row>
        <row r="63">
          <cell r="A63">
            <v>300200</v>
          </cell>
          <cell r="B63" t="str">
            <v>DEPTO CONTABIL/FISCAL</v>
          </cell>
        </row>
        <row r="64">
          <cell r="A64">
            <v>300206</v>
          </cell>
          <cell r="B64" t="str">
            <v>FATURAMENTO</v>
          </cell>
        </row>
        <row r="65">
          <cell r="A65">
            <v>300208</v>
          </cell>
          <cell r="B65" t="str">
            <v>RECEBIMENTO FISCAL</v>
          </cell>
        </row>
        <row r="66">
          <cell r="A66">
            <v>300210</v>
          </cell>
          <cell r="B66" t="str">
            <v>BALANÇA ENTRADA CANA</v>
          </cell>
        </row>
        <row r="67">
          <cell r="A67">
            <v>300400</v>
          </cell>
          <cell r="B67" t="str">
            <v>RECURSOS HUMANOS</v>
          </cell>
        </row>
        <row r="68">
          <cell r="A68">
            <v>300404</v>
          </cell>
          <cell r="B68" t="str">
            <v>ADMINISTRACAO DE PESSOAL</v>
          </cell>
        </row>
        <row r="69">
          <cell r="A69">
            <v>300410</v>
          </cell>
          <cell r="B69" t="str">
            <v>MEDICINA DO TRABALHO</v>
          </cell>
        </row>
        <row r="70">
          <cell r="A70">
            <v>300412</v>
          </cell>
          <cell r="B70" t="str">
            <v>SEGURANCA DO TRABALHO</v>
          </cell>
        </row>
        <row r="71">
          <cell r="A71">
            <v>300414</v>
          </cell>
          <cell r="B71" t="str">
            <v>SEGURANCA PATRIMONIAL</v>
          </cell>
        </row>
        <row r="72">
          <cell r="A72">
            <v>300416</v>
          </cell>
          <cell r="B72" t="str">
            <v>RESTAURANTE</v>
          </cell>
        </row>
        <row r="73">
          <cell r="A73">
            <v>300418</v>
          </cell>
          <cell r="B73" t="str">
            <v>ALOJAMENTO</v>
          </cell>
        </row>
        <row r="74">
          <cell r="A74">
            <v>300420</v>
          </cell>
          <cell r="B74" t="str">
            <v>RECEPCAO, COPA E COZINHA</v>
          </cell>
        </row>
        <row r="75">
          <cell r="A75">
            <v>300600</v>
          </cell>
          <cell r="B75" t="str">
            <v>ADMINISTRAÇÃO GERAL</v>
          </cell>
        </row>
        <row r="76">
          <cell r="A76">
            <v>300602</v>
          </cell>
          <cell r="B76" t="str">
            <v>ADMINISTRAÇÃO GERAL</v>
          </cell>
        </row>
        <row r="77">
          <cell r="A77">
            <v>300604</v>
          </cell>
          <cell r="B77" t="str">
            <v>Gerência Geral</v>
          </cell>
        </row>
        <row r="78">
          <cell r="A78">
            <v>300606</v>
          </cell>
          <cell r="B78" t="str">
            <v>Ger.Administracao de Risco e Auditoria</v>
          </cell>
        </row>
        <row r="79">
          <cell r="A79">
            <v>300800</v>
          </cell>
          <cell r="B79" t="str">
            <v>TECNOLOGIA DA INFORMACAO</v>
          </cell>
        </row>
        <row r="80">
          <cell r="A80">
            <v>300802</v>
          </cell>
          <cell r="B80" t="str">
            <v>TECNOLOGIA DA INFORMAÇÃO</v>
          </cell>
        </row>
        <row r="81">
          <cell r="A81">
            <v>301000</v>
          </cell>
          <cell r="B81" t="str">
            <v>SUPRIMENTOS</v>
          </cell>
        </row>
        <row r="82">
          <cell r="A82">
            <v>301002</v>
          </cell>
          <cell r="B82" t="str">
            <v>Almoxarifado Automotivo</v>
          </cell>
        </row>
        <row r="83">
          <cell r="A83">
            <v>301004</v>
          </cell>
          <cell r="B83" t="str">
            <v>Almoxarifado Industrial</v>
          </cell>
        </row>
        <row r="84">
          <cell r="A84">
            <v>301006</v>
          </cell>
          <cell r="B84" t="str">
            <v>POSTO ABASTECIMENTO</v>
          </cell>
        </row>
        <row r="85">
          <cell r="A85">
            <v>301099</v>
          </cell>
          <cell r="B85" t="str">
            <v>Manutenção de Entressafra</v>
          </cell>
        </row>
        <row r="86">
          <cell r="A86">
            <v>301200</v>
          </cell>
          <cell r="B86" t="str">
            <v>DEPTO COMERCIAL</v>
          </cell>
        </row>
        <row r="87">
          <cell r="A87">
            <v>301202</v>
          </cell>
          <cell r="B87" t="str">
            <v>ARMAZENAGEM DE ALCOOL</v>
          </cell>
        </row>
        <row r="88">
          <cell r="A88">
            <v>301204</v>
          </cell>
          <cell r="B88" t="str">
            <v>ARMAZENAGEM DE ACUCAR</v>
          </cell>
        </row>
        <row r="89">
          <cell r="A89">
            <v>301206</v>
          </cell>
          <cell r="B89" t="str">
            <v>CARREGAMENTO</v>
          </cell>
        </row>
        <row r="90">
          <cell r="A90">
            <v>301208</v>
          </cell>
          <cell r="B90" t="str">
            <v>LOGISTICA E TRANSPORTE</v>
          </cell>
        </row>
        <row r="91">
          <cell r="A91">
            <v>301290</v>
          </cell>
          <cell r="B91" t="str">
            <v>LOGISTICA E TRANSPORTE</v>
          </cell>
        </row>
        <row r="92">
          <cell r="A92">
            <v>301299</v>
          </cell>
          <cell r="B92" t="str">
            <v>Manutenção de Entressafra</v>
          </cell>
        </row>
        <row r="93">
          <cell r="A93">
            <v>399990</v>
          </cell>
          <cell r="B93" t="str">
            <v>C.CUSTO NAO APROVAR ORÇAMENTO</v>
          </cell>
        </row>
        <row r="94">
          <cell r="A94">
            <v>399991</v>
          </cell>
          <cell r="B94" t="str">
            <v>C.CUSTO NÂO APROVA ORÇAMENTO</v>
          </cell>
        </row>
        <row r="95">
          <cell r="A95">
            <v>400000</v>
          </cell>
          <cell r="B95" t="str">
            <v>GERENCIA INDUSTRIAL</v>
          </cell>
        </row>
        <row r="96">
          <cell r="A96">
            <v>400100</v>
          </cell>
          <cell r="B96" t="str">
            <v>GERENCIA INDUSTRIAL</v>
          </cell>
        </row>
        <row r="97">
          <cell r="A97">
            <v>400101</v>
          </cell>
          <cell r="B97" t="str">
            <v>Gerência Industrial - Corporativa</v>
          </cell>
        </row>
        <row r="98">
          <cell r="A98">
            <v>400102</v>
          </cell>
          <cell r="B98" t="str">
            <v>GERENCIA INDUSTRIAL</v>
          </cell>
        </row>
        <row r="99">
          <cell r="A99">
            <v>400199</v>
          </cell>
          <cell r="B99" t="str">
            <v>Manutenção de Entressafra</v>
          </cell>
        </row>
        <row r="100">
          <cell r="A100">
            <v>400200</v>
          </cell>
          <cell r="B100" t="str">
            <v>APOIO TECNICO INDUSTRIAL</v>
          </cell>
        </row>
        <row r="101">
          <cell r="A101">
            <v>400202</v>
          </cell>
          <cell r="B101" t="str">
            <v>APOIO TECNICO INDUSTRIAL</v>
          </cell>
        </row>
        <row r="102">
          <cell r="A102">
            <v>400400</v>
          </cell>
          <cell r="B102" t="str">
            <v>CONTROLE DE QUALIDADE</v>
          </cell>
        </row>
        <row r="103">
          <cell r="A103">
            <v>400402</v>
          </cell>
          <cell r="B103" t="str">
            <v>LABORATORIO PCTS</v>
          </cell>
        </row>
        <row r="104">
          <cell r="A104">
            <v>400404</v>
          </cell>
          <cell r="B104" t="str">
            <v>LABORATORIO INDUSTRIAL</v>
          </cell>
        </row>
        <row r="105">
          <cell r="A105">
            <v>400406</v>
          </cell>
          <cell r="B105" t="str">
            <v>LABORATORIO MICRO-BIOLOGIA</v>
          </cell>
        </row>
        <row r="106">
          <cell r="A106">
            <v>400499</v>
          </cell>
          <cell r="B106" t="str">
            <v>Manutenção de Entressafra</v>
          </cell>
        </row>
        <row r="107">
          <cell r="A107">
            <v>401000</v>
          </cell>
          <cell r="B107" t="str">
            <v>RECEPCAO / MOAGEM</v>
          </cell>
        </row>
        <row r="108">
          <cell r="A108">
            <v>401002</v>
          </cell>
          <cell r="B108" t="str">
            <v>BARRACAO / LIMPEZA</v>
          </cell>
        </row>
        <row r="109">
          <cell r="A109">
            <v>401004</v>
          </cell>
          <cell r="B109" t="str">
            <v>ALIMENTACAO E PREPARO</v>
          </cell>
        </row>
        <row r="110">
          <cell r="A110">
            <v>401006</v>
          </cell>
          <cell r="B110" t="str">
            <v>MOAGEM CANA</v>
          </cell>
        </row>
        <row r="111">
          <cell r="A111">
            <v>401008</v>
          </cell>
          <cell r="B111" t="str">
            <v>DIFUSOR</v>
          </cell>
        </row>
        <row r="112">
          <cell r="A112">
            <v>401010</v>
          </cell>
          <cell r="B112" t="str">
            <v>DESAGUADOR</v>
          </cell>
        </row>
        <row r="113">
          <cell r="A113">
            <v>401012</v>
          </cell>
          <cell r="B113" t="str">
            <v>Secagem de Bagaço</v>
          </cell>
        </row>
        <row r="114">
          <cell r="A114">
            <v>401099</v>
          </cell>
          <cell r="B114" t="str">
            <v>Manutenção de Entressafra</v>
          </cell>
        </row>
        <row r="115">
          <cell r="A115">
            <v>401400</v>
          </cell>
          <cell r="B115" t="str">
            <v>TRATAMENTO E DISTR.DO CALDO</v>
          </cell>
        </row>
        <row r="116">
          <cell r="A116">
            <v>401402</v>
          </cell>
          <cell r="B116" t="str">
            <v>AQUECIMENTO/TROCADOR CALOR ALCOOL</v>
          </cell>
        </row>
        <row r="117">
          <cell r="A117">
            <v>401404</v>
          </cell>
          <cell r="B117" t="str">
            <v>DECANTACAO DO ALCOOL</v>
          </cell>
        </row>
        <row r="118">
          <cell r="A118">
            <v>401406</v>
          </cell>
          <cell r="B118" t="str">
            <v>PRE-EVAPORACAO DO ALCOOL</v>
          </cell>
        </row>
        <row r="119">
          <cell r="A119">
            <v>401408</v>
          </cell>
          <cell r="B119" t="str">
            <v>AQUECIMENTO/TROCADOR CALOR ACUCAR</v>
          </cell>
        </row>
        <row r="120">
          <cell r="A120">
            <v>401410</v>
          </cell>
          <cell r="B120" t="str">
            <v>CALEACAO</v>
          </cell>
        </row>
        <row r="121">
          <cell r="A121">
            <v>401412</v>
          </cell>
          <cell r="B121" t="str">
            <v>SULFITACAO</v>
          </cell>
        </row>
        <row r="122">
          <cell r="A122">
            <v>401414</v>
          </cell>
          <cell r="B122" t="str">
            <v>DECANTACAO DO ACUCAR</v>
          </cell>
        </row>
        <row r="123">
          <cell r="A123">
            <v>401416</v>
          </cell>
          <cell r="B123" t="str">
            <v>FILTRACAO DO LODO DO ACUCAR</v>
          </cell>
        </row>
        <row r="124">
          <cell r="A124">
            <v>401418</v>
          </cell>
          <cell r="B124" t="str">
            <v>PRE-EVAPORACAO DO ACUCAR</v>
          </cell>
        </row>
        <row r="125">
          <cell r="A125">
            <v>401420</v>
          </cell>
          <cell r="B125" t="str">
            <v>FILTRACAO DO LODO DO ALCOOL</v>
          </cell>
        </row>
        <row r="126">
          <cell r="A126">
            <v>401499</v>
          </cell>
          <cell r="B126" t="str">
            <v>Manutenção de Entressafra</v>
          </cell>
        </row>
        <row r="127">
          <cell r="A127">
            <v>402000</v>
          </cell>
          <cell r="B127" t="str">
            <v>FABRICACAO ALCOOL</v>
          </cell>
        </row>
        <row r="128">
          <cell r="A128">
            <v>402002</v>
          </cell>
          <cell r="B128" t="str">
            <v>PRE-FERMENTACAO</v>
          </cell>
        </row>
        <row r="129">
          <cell r="A129">
            <v>402004</v>
          </cell>
          <cell r="B129" t="str">
            <v>FERMENTACAO</v>
          </cell>
        </row>
        <row r="130">
          <cell r="A130">
            <v>402006</v>
          </cell>
          <cell r="B130" t="str">
            <v>DESTILACAO HIDRATADO</v>
          </cell>
        </row>
        <row r="131">
          <cell r="A131">
            <v>402008</v>
          </cell>
          <cell r="B131" t="str">
            <v>DESTILACAO ANIDRO</v>
          </cell>
        </row>
        <row r="132">
          <cell r="A132">
            <v>402010</v>
          </cell>
          <cell r="B132" t="str">
            <v>TORRE DE RESFRIAMENTO</v>
          </cell>
        </row>
        <row r="133">
          <cell r="A133">
            <v>402012</v>
          </cell>
          <cell r="B133" t="str">
            <v>TANQUE SPRAY</v>
          </cell>
        </row>
        <row r="134">
          <cell r="A134">
            <v>402014</v>
          </cell>
          <cell r="B134" t="str">
            <v>Centrifugação</v>
          </cell>
        </row>
        <row r="135">
          <cell r="A135">
            <v>402016</v>
          </cell>
          <cell r="B135" t="str">
            <v>Evaporação Álcool</v>
          </cell>
        </row>
        <row r="136">
          <cell r="A136">
            <v>402070</v>
          </cell>
          <cell r="B136" t="str">
            <v>EM PROCESSO (FERMENTACAO)</v>
          </cell>
        </row>
        <row r="137">
          <cell r="A137">
            <v>402099</v>
          </cell>
          <cell r="B137" t="str">
            <v>Manutenção de Entressafra</v>
          </cell>
        </row>
        <row r="138">
          <cell r="A138">
            <v>403000</v>
          </cell>
          <cell r="B138" t="str">
            <v>FABRICACAO ACUCAR</v>
          </cell>
        </row>
        <row r="139">
          <cell r="A139">
            <v>403002</v>
          </cell>
          <cell r="B139" t="str">
            <v>EVAPORACAO</v>
          </cell>
        </row>
        <row r="140">
          <cell r="A140">
            <v>403004</v>
          </cell>
          <cell r="B140" t="str">
            <v>COZIMENTO - MASSA A E B</v>
          </cell>
        </row>
        <row r="141">
          <cell r="A141">
            <v>403006</v>
          </cell>
          <cell r="B141" t="str">
            <v>CENTRIFUGACAO</v>
          </cell>
        </row>
        <row r="142">
          <cell r="A142">
            <v>403008</v>
          </cell>
          <cell r="B142" t="str">
            <v>MEL FINAL PARA ALCOOL</v>
          </cell>
        </row>
        <row r="143">
          <cell r="A143">
            <v>403010</v>
          </cell>
          <cell r="B143" t="str">
            <v>SECAGEM</v>
          </cell>
        </row>
        <row r="144">
          <cell r="A144">
            <v>403012</v>
          </cell>
          <cell r="B144" t="str">
            <v>ENSAQUE</v>
          </cell>
        </row>
        <row r="145">
          <cell r="A145">
            <v>403014</v>
          </cell>
          <cell r="B145" t="str">
            <v>TANQUE SPRAY</v>
          </cell>
        </row>
        <row r="146">
          <cell r="A146">
            <v>403070</v>
          </cell>
          <cell r="B146" t="str">
            <v>EM PROCESSO (COZIMENTO)</v>
          </cell>
        </row>
        <row r="147">
          <cell r="A147">
            <v>403099</v>
          </cell>
          <cell r="B147" t="str">
            <v>Manutenção de Entressafra</v>
          </cell>
        </row>
        <row r="148">
          <cell r="A148">
            <v>405000</v>
          </cell>
          <cell r="B148" t="str">
            <v>FABRICACAO LEVEDURA</v>
          </cell>
        </row>
        <row r="149">
          <cell r="A149">
            <v>405002</v>
          </cell>
          <cell r="B149" t="str">
            <v>SECAGEM LEVEDURA</v>
          </cell>
        </row>
        <row r="150">
          <cell r="A150">
            <v>405004</v>
          </cell>
          <cell r="B150" t="str">
            <v>ENSAQUE LEVEDURA</v>
          </cell>
        </row>
        <row r="151">
          <cell r="A151">
            <v>405099</v>
          </cell>
          <cell r="B151" t="str">
            <v>Manutenção de Entressafra</v>
          </cell>
        </row>
        <row r="152">
          <cell r="A152">
            <v>406000</v>
          </cell>
          <cell r="B152" t="str">
            <v>FABRICACAO XAROPE DE CANA</v>
          </cell>
        </row>
        <row r="153">
          <cell r="A153">
            <v>406002</v>
          </cell>
          <cell r="B153" t="str">
            <v>CARREGAMENTO</v>
          </cell>
        </row>
        <row r="154">
          <cell r="A154">
            <v>406099</v>
          </cell>
          <cell r="B154" t="str">
            <v>Manutenção de Entressafra</v>
          </cell>
        </row>
        <row r="155">
          <cell r="A155">
            <v>407000</v>
          </cell>
          <cell r="B155" t="str">
            <v>AUXILIARES</v>
          </cell>
        </row>
        <row r="156">
          <cell r="A156">
            <v>407002</v>
          </cell>
          <cell r="B156" t="str">
            <v>GERACAO E DISTR.VAPOR</v>
          </cell>
        </row>
        <row r="157">
          <cell r="A157">
            <v>407004</v>
          </cell>
          <cell r="B157" t="str">
            <v>GERACAO E DISTR.AR COMPRIMIDO</v>
          </cell>
        </row>
        <row r="158">
          <cell r="A158">
            <v>407006</v>
          </cell>
          <cell r="B158" t="str">
            <v>GERACAO E DISTR.ENERGIA</v>
          </cell>
        </row>
        <row r="159">
          <cell r="A159">
            <v>407008</v>
          </cell>
          <cell r="B159" t="str">
            <v>CAPTACAO DE AGUA</v>
          </cell>
        </row>
        <row r="160">
          <cell r="A160">
            <v>407010</v>
          </cell>
          <cell r="B160" t="str">
            <v>ETA (ESTACAO DE TRATAMENTO AGUA)</v>
          </cell>
        </row>
        <row r="161">
          <cell r="A161">
            <v>407012</v>
          </cell>
          <cell r="B161" t="str">
            <v>PATIO DE BAGACO</v>
          </cell>
        </row>
        <row r="162">
          <cell r="A162">
            <v>407014</v>
          </cell>
          <cell r="B162" t="str">
            <v>HIDROLIZADOR DE BAGACO</v>
          </cell>
        </row>
        <row r="163">
          <cell r="A163">
            <v>407016</v>
          </cell>
          <cell r="B163" t="str">
            <v>ENERGIA ELETRICA ADQUIRIDA</v>
          </cell>
        </row>
        <row r="164">
          <cell r="A164">
            <v>407018</v>
          </cell>
          <cell r="B164" t="str">
            <v>ETALC-Est.Trat.Água LAvagem de Cana</v>
          </cell>
        </row>
        <row r="165">
          <cell r="A165">
            <v>407020</v>
          </cell>
          <cell r="B165" t="str">
            <v>ETE-Estação Tratamento de Esgoto</v>
          </cell>
        </row>
        <row r="166">
          <cell r="A166">
            <v>407022</v>
          </cell>
          <cell r="B166" t="str">
            <v>ETALG-Est.Trat.Água LAvagem de Gases</v>
          </cell>
        </row>
        <row r="167">
          <cell r="A167">
            <v>407099</v>
          </cell>
          <cell r="B167" t="str">
            <v>Manutenção de Entressafra</v>
          </cell>
        </row>
        <row r="168">
          <cell r="A168">
            <v>408000</v>
          </cell>
          <cell r="B168" t="str">
            <v>MANUTENCAO INDUSTRIAL</v>
          </cell>
        </row>
        <row r="169">
          <cell r="A169">
            <v>408002</v>
          </cell>
          <cell r="B169" t="str">
            <v>MANUTENCAO MECANICA</v>
          </cell>
        </row>
        <row r="170">
          <cell r="A170">
            <v>408004</v>
          </cell>
          <cell r="B170" t="str">
            <v>CALDERARIA</v>
          </cell>
        </row>
        <row r="171">
          <cell r="A171">
            <v>408006</v>
          </cell>
          <cell r="B171" t="str">
            <v>MANUTENCAO ELETRICA</v>
          </cell>
        </row>
        <row r="172">
          <cell r="A172">
            <v>408008</v>
          </cell>
          <cell r="B172" t="str">
            <v>INSTRUMENTACAO</v>
          </cell>
        </row>
        <row r="173">
          <cell r="A173">
            <v>408010</v>
          </cell>
          <cell r="B173" t="str">
            <v>MANUTENCAO CIVIL</v>
          </cell>
        </row>
        <row r="174">
          <cell r="A174">
            <v>408099</v>
          </cell>
          <cell r="B174" t="str">
            <v>Manutenção de Entressafra</v>
          </cell>
        </row>
        <row r="175">
          <cell r="A175">
            <v>409000</v>
          </cell>
          <cell r="B175" t="str">
            <v>RESIDUOS INDUSTRIAIS</v>
          </cell>
        </row>
        <row r="176">
          <cell r="A176">
            <v>409002</v>
          </cell>
          <cell r="B176" t="str">
            <v>ESCOAMENTO DA VINHACA</v>
          </cell>
        </row>
        <row r="177">
          <cell r="A177">
            <v>409004</v>
          </cell>
          <cell r="B177" t="str">
            <v>SISTEMA DE BOMBEAMENTO</v>
          </cell>
        </row>
        <row r="178">
          <cell r="A178">
            <v>409099</v>
          </cell>
          <cell r="B178" t="str">
            <v>Manutenção de Entressafra</v>
          </cell>
        </row>
        <row r="179">
          <cell r="A179">
            <v>409900</v>
          </cell>
          <cell r="B179" t="str">
            <v>CUSTO FINAL DE PRODUCAO</v>
          </cell>
        </row>
        <row r="180">
          <cell r="A180">
            <v>409910</v>
          </cell>
          <cell r="B180" t="str">
            <v>CUSTO DE PRODUCAO DO A.E.H.C.</v>
          </cell>
        </row>
        <row r="181">
          <cell r="A181">
            <v>409920</v>
          </cell>
          <cell r="B181" t="str">
            <v>CUSTO DE PRODUCAO DO A.E.A.C.</v>
          </cell>
        </row>
        <row r="182">
          <cell r="A182">
            <v>409930</v>
          </cell>
          <cell r="B182" t="str">
            <v>CUSTO DE PRODUCAO DO ACUCAR</v>
          </cell>
        </row>
        <row r="183">
          <cell r="A183">
            <v>409940</v>
          </cell>
          <cell r="B183" t="str">
            <v>CUSTO DE PRODUCAO DO XAROPE</v>
          </cell>
        </row>
        <row r="184">
          <cell r="A184">
            <v>409950</v>
          </cell>
          <cell r="B184" t="str">
            <v>CUSTO DE PRODUCAO DE LEVEDURA</v>
          </cell>
        </row>
        <row r="185">
          <cell r="A185">
            <v>500000</v>
          </cell>
          <cell r="B185" t="str">
            <v>GERENCIA AGRICOLA</v>
          </cell>
        </row>
        <row r="186">
          <cell r="A186">
            <v>500100</v>
          </cell>
          <cell r="B186" t="str">
            <v>GERENCIA AGRICOLA</v>
          </cell>
        </row>
        <row r="187">
          <cell r="A187">
            <v>500101</v>
          </cell>
          <cell r="B187" t="str">
            <v>Gerência Agrícola Corporativa</v>
          </cell>
        </row>
        <row r="188">
          <cell r="A188">
            <v>500102</v>
          </cell>
          <cell r="B188" t="str">
            <v>GERENCIA AGRICOLA</v>
          </cell>
        </row>
        <row r="189">
          <cell r="A189">
            <v>500200</v>
          </cell>
          <cell r="B189" t="str">
            <v>CONTROLE AGRICOLA</v>
          </cell>
        </row>
        <row r="190">
          <cell r="A190">
            <v>500202</v>
          </cell>
          <cell r="B190" t="str">
            <v>CONTROLE AGRICOLA</v>
          </cell>
        </row>
        <row r="191">
          <cell r="A191">
            <v>500204</v>
          </cell>
          <cell r="B191" t="str">
            <v>TECNICOS AGRICOLAS</v>
          </cell>
        </row>
        <row r="192">
          <cell r="A192">
            <v>500206</v>
          </cell>
          <cell r="B192" t="str">
            <v>TOPOGRAFIA</v>
          </cell>
        </row>
        <row r="193">
          <cell r="A193">
            <v>500208</v>
          </cell>
          <cell r="B193" t="str">
            <v>NOVOS PROJETOS</v>
          </cell>
        </row>
        <row r="194">
          <cell r="A194">
            <v>500210</v>
          </cell>
          <cell r="B194" t="str">
            <v>LAVANDERIA</v>
          </cell>
        </row>
        <row r="195">
          <cell r="A195">
            <v>500212</v>
          </cell>
          <cell r="B195" t="str">
            <v>SUPERVISÃO DE CCT</v>
          </cell>
        </row>
        <row r="196">
          <cell r="A196">
            <v>500214</v>
          </cell>
          <cell r="B196" t="str">
            <v>SUPERVISÃO DE PRODUÇÃO</v>
          </cell>
        </row>
        <row r="197">
          <cell r="A197">
            <v>500222</v>
          </cell>
          <cell r="B197" t="str">
            <v>CONTROLE DE TRÁFEGO ( CENTRAL)</v>
          </cell>
        </row>
        <row r="198">
          <cell r="A198">
            <v>500224</v>
          </cell>
          <cell r="B198" t="str">
            <v>CONTROLE BIOLÓGICO</v>
          </cell>
        </row>
        <row r="199">
          <cell r="A199">
            <v>500300</v>
          </cell>
          <cell r="B199" t="str">
            <v>ADMINISTRAÇÃO DE RURAL</v>
          </cell>
        </row>
        <row r="200">
          <cell r="A200">
            <v>500302</v>
          </cell>
          <cell r="B200" t="str">
            <v>MDO FISCAIS CAMPO</v>
          </cell>
        </row>
        <row r="201">
          <cell r="A201">
            <v>500304</v>
          </cell>
          <cell r="B201" t="str">
            <v>MDO QUEIMA DE CANA</v>
          </cell>
        </row>
        <row r="202">
          <cell r="A202">
            <v>500306</v>
          </cell>
          <cell r="B202" t="str">
            <v>MDO BITUCA</v>
          </cell>
        </row>
        <row r="203">
          <cell r="A203">
            <v>500308</v>
          </cell>
          <cell r="B203" t="str">
            <v>MDO CATACAO QUIMICA</v>
          </cell>
        </row>
        <row r="204">
          <cell r="A204">
            <v>500310</v>
          </cell>
          <cell r="B204" t="str">
            <v>MDO RURICOLAS - REGIONAIS</v>
          </cell>
        </row>
        <row r="205">
          <cell r="A205">
            <v>500312</v>
          </cell>
          <cell r="B205" t="str">
            <v>ENCARREGADO MDO RURAL</v>
          </cell>
        </row>
        <row r="206">
          <cell r="A206">
            <v>500314</v>
          </cell>
          <cell r="B206" t="str">
            <v>MDO MIGRANTES</v>
          </cell>
        </row>
        <row r="207">
          <cell r="A207">
            <v>500400</v>
          </cell>
          <cell r="B207" t="str">
            <v>FERTIRRIGAÇÃO (ESTRUTURA)</v>
          </cell>
        </row>
        <row r="208">
          <cell r="A208">
            <v>500401</v>
          </cell>
          <cell r="B208" t="str">
            <v>ESTRUTURA DE FERTIRRIGAÇÃO</v>
          </cell>
        </row>
        <row r="209">
          <cell r="A209">
            <v>500402</v>
          </cell>
          <cell r="B209" t="str">
            <v>MANUT. CANAIS DE VINHAÇA</v>
          </cell>
        </row>
        <row r="210">
          <cell r="A210">
            <v>500404</v>
          </cell>
          <cell r="B210" t="str">
            <v>MDO AUX. FERTIRRIGAÇÃO</v>
          </cell>
        </row>
        <row r="211">
          <cell r="A211">
            <v>500406</v>
          </cell>
          <cell r="B211" t="str">
            <v>Distribuição de Vinhaça</v>
          </cell>
        </row>
        <row r="212">
          <cell r="A212">
            <v>500500</v>
          </cell>
          <cell r="B212" t="str">
            <v>MANUTENÇÃO AUTOMOTIVA</v>
          </cell>
        </row>
        <row r="213">
          <cell r="A213">
            <v>500502</v>
          </cell>
          <cell r="B213" t="str">
            <v>OFICINA MECANICA</v>
          </cell>
        </row>
        <row r="214">
          <cell r="A214">
            <v>500506</v>
          </cell>
          <cell r="B214" t="str">
            <v>POSTO DE LAVAGEM/ LUBRIFICAÇÃO</v>
          </cell>
        </row>
        <row r="215">
          <cell r="A215">
            <v>500700</v>
          </cell>
          <cell r="B215" t="str">
            <v>MAO DE OBRA APONTADA</v>
          </cell>
        </row>
        <row r="216">
          <cell r="A216">
            <v>500702</v>
          </cell>
          <cell r="B216" t="str">
            <v>MOTORISTAS TRANSP CANA</v>
          </cell>
        </row>
        <row r="217">
          <cell r="A217">
            <v>500704</v>
          </cell>
          <cell r="B217" t="str">
            <v>MOTORISTAS DIVERSOS</v>
          </cell>
        </row>
        <row r="218">
          <cell r="A218">
            <v>500706</v>
          </cell>
          <cell r="B218" t="str">
            <v>CARREGADORES</v>
          </cell>
        </row>
        <row r="219">
          <cell r="A219">
            <v>500708</v>
          </cell>
          <cell r="B219" t="str">
            <v>REBOCADORES</v>
          </cell>
        </row>
        <row r="220">
          <cell r="A220">
            <v>500710</v>
          </cell>
          <cell r="B220" t="str">
            <v>OPERADORES DE COLHEDORAS</v>
          </cell>
        </row>
        <row r="221">
          <cell r="A221">
            <v>500712</v>
          </cell>
          <cell r="B221" t="str">
            <v>MOTORISTAS TRANSBORDOS</v>
          </cell>
        </row>
        <row r="222">
          <cell r="A222">
            <v>500714</v>
          </cell>
          <cell r="B222" t="str">
            <v>TRATORISTAS MAQ LEVES</v>
          </cell>
        </row>
        <row r="223">
          <cell r="A223">
            <v>500716</v>
          </cell>
          <cell r="B223" t="str">
            <v>TRATORISTAS MAQ MEDIAS</v>
          </cell>
        </row>
        <row r="224">
          <cell r="A224">
            <v>500718</v>
          </cell>
          <cell r="B224" t="str">
            <v>TRATORISTAS MAQ PESADAS</v>
          </cell>
        </row>
        <row r="225">
          <cell r="A225">
            <v>500720</v>
          </cell>
          <cell r="B225" t="str">
            <v>MOTORISTA TRANSPORTE DE APOIO</v>
          </cell>
        </row>
        <row r="226">
          <cell r="A226">
            <v>500722</v>
          </cell>
          <cell r="B226" t="str">
            <v>MDO LÍDERES/FÍSCAIS DE OPERAÇÃO</v>
          </cell>
        </row>
        <row r="227">
          <cell r="A227">
            <v>500726</v>
          </cell>
          <cell r="B227" t="str">
            <v>AUXILIARES CONTROLE BIOLÓGICO</v>
          </cell>
        </row>
        <row r="228">
          <cell r="A228">
            <v>501000</v>
          </cell>
          <cell r="B228" t="str">
            <v>CULTURA DE CANA</v>
          </cell>
        </row>
        <row r="229">
          <cell r="A229">
            <v>501002</v>
          </cell>
          <cell r="B229" t="str">
            <v>PREPARO DE SOLO</v>
          </cell>
        </row>
        <row r="230">
          <cell r="A230">
            <v>501004</v>
          </cell>
          <cell r="B230" t="str">
            <v>COLHEITA DE MUDA</v>
          </cell>
        </row>
        <row r="231">
          <cell r="A231">
            <v>501006</v>
          </cell>
          <cell r="B231" t="str">
            <v>COLHEITA DE MUDA - TERCEIROS</v>
          </cell>
        </row>
        <row r="232">
          <cell r="A232">
            <v>501008</v>
          </cell>
          <cell r="B232" t="str">
            <v>PLANTIO DE CANA</v>
          </cell>
        </row>
        <row r="233">
          <cell r="A233">
            <v>501010</v>
          </cell>
          <cell r="B233" t="str">
            <v>TRATOS CANA PLANTA</v>
          </cell>
        </row>
        <row r="234">
          <cell r="A234">
            <v>501012</v>
          </cell>
          <cell r="B234" t="str">
            <v>TRATOS CANA SOCA</v>
          </cell>
        </row>
        <row r="235">
          <cell r="A235">
            <v>501014</v>
          </cell>
          <cell r="B235" t="str">
            <v>COLHEITA MANUAL</v>
          </cell>
        </row>
        <row r="236">
          <cell r="A236">
            <v>501016</v>
          </cell>
          <cell r="B236" t="str">
            <v>COLHEITA MECANIZADA</v>
          </cell>
        </row>
        <row r="237">
          <cell r="A237">
            <v>501018</v>
          </cell>
          <cell r="B237" t="str">
            <v>Pátio de compostagem</v>
          </cell>
        </row>
        <row r="238">
          <cell r="A238">
            <v>501020</v>
          </cell>
          <cell r="B238" t="str">
            <v>Replantio da cana planta</v>
          </cell>
        </row>
        <row r="239">
          <cell r="A239">
            <v>501022</v>
          </cell>
          <cell r="B239" t="str">
            <v>Replantio da cana soca</v>
          </cell>
        </row>
        <row r="240">
          <cell r="A240">
            <v>501100</v>
          </cell>
          <cell r="B240" t="str">
            <v>OUTRAS CULTURAS</v>
          </cell>
        </row>
        <row r="241">
          <cell r="A241">
            <v>501102</v>
          </cell>
          <cell r="B241" t="str">
            <v>REFLORESTAMENTO</v>
          </cell>
        </row>
        <row r="242">
          <cell r="A242">
            <v>501106</v>
          </cell>
          <cell r="B242" t="str">
            <v>EXPERIMENTO</v>
          </cell>
        </row>
        <row r="243">
          <cell r="A243">
            <v>501108</v>
          </cell>
          <cell r="B243" t="str">
            <v>ADUBACAO VERDE</v>
          </cell>
        </row>
        <row r="244">
          <cell r="A244">
            <v>501112</v>
          </cell>
          <cell r="B244" t="str">
            <v>OUTROS SERVICOS</v>
          </cell>
        </row>
        <row r="245">
          <cell r="A245">
            <v>501202</v>
          </cell>
          <cell r="B245" t="str">
            <v>Desenvolvimento Agronomico</v>
          </cell>
        </row>
        <row r="246">
          <cell r="A246">
            <v>509900</v>
          </cell>
          <cell r="B246" t="str">
            <v>CUSTO FINAL DE PRODUCAO</v>
          </cell>
        </row>
        <row r="247">
          <cell r="A247">
            <v>509902</v>
          </cell>
          <cell r="B247" t="str">
            <v>CUSTO MATERIA-PRIMA</v>
          </cell>
        </row>
        <row r="248">
          <cell r="A248">
            <v>600000</v>
          </cell>
          <cell r="B248" t="str">
            <v>CONSERVACAO GERAL/BENFEITORIAS</v>
          </cell>
        </row>
        <row r="249">
          <cell r="A249">
            <v>600200</v>
          </cell>
          <cell r="B249" t="str">
            <v>CONSERVACAO DE SEDES</v>
          </cell>
        </row>
        <row r="250">
          <cell r="A250">
            <v>600400</v>
          </cell>
          <cell r="B250" t="str">
            <v>CONSTR.E CONSERVACAO DEPENDENCIAS</v>
          </cell>
        </row>
        <row r="251">
          <cell r="A251">
            <v>600600</v>
          </cell>
          <cell r="B251" t="str">
            <v>CONSTR.E CONSERVACAO DE CERCAS</v>
          </cell>
        </row>
        <row r="252">
          <cell r="A252">
            <v>600800</v>
          </cell>
          <cell r="B252" t="str">
            <v>CONSTR.E CONSERVACAO DE ESTRADAS</v>
          </cell>
        </row>
        <row r="253">
          <cell r="A253">
            <v>601000</v>
          </cell>
          <cell r="B253" t="str">
            <v>CONSERVACAO PATIOS - INDUSTRIA</v>
          </cell>
        </row>
        <row r="254">
          <cell r="A254">
            <v>601018</v>
          </cell>
          <cell r="B254" t="str">
            <v>Movimentação de Resíduos Industr</v>
          </cell>
        </row>
        <row r="255">
          <cell r="A255">
            <v>601200</v>
          </cell>
          <cell r="B255" t="str">
            <v>CONSERVACAO PATIOS - ADMINISTRACAO</v>
          </cell>
        </row>
        <row r="256">
          <cell r="A256">
            <v>601400</v>
          </cell>
          <cell r="B256" t="str">
            <v>URBANIZACAO E LIMPEZA</v>
          </cell>
        </row>
        <row r="257">
          <cell r="A257">
            <v>601600</v>
          </cell>
          <cell r="B257" t="str">
            <v>Rede de Tratamento de Água e Esgoto</v>
          </cell>
        </row>
        <row r="258">
          <cell r="A258">
            <v>700000</v>
          </cell>
          <cell r="B258" t="str">
            <v>GRUPOS OPERATIVOS</v>
          </cell>
        </row>
        <row r="259">
          <cell r="A259">
            <v>700100</v>
          </cell>
          <cell r="B259" t="str">
            <v>CAMINHOES</v>
          </cell>
        </row>
        <row r="260">
          <cell r="A260">
            <v>700102</v>
          </cell>
          <cell r="B260" t="str">
            <v>CAMINHOES CANAVIEIRO</v>
          </cell>
        </row>
        <row r="261">
          <cell r="A261">
            <v>700104</v>
          </cell>
          <cell r="B261" t="str">
            <v>CAMINHOES BASCULANTE</v>
          </cell>
        </row>
        <row r="262">
          <cell r="A262">
            <v>700106</v>
          </cell>
          <cell r="B262" t="str">
            <v>CAMINHOES PIPA ( ALUGADO )</v>
          </cell>
        </row>
        <row r="263">
          <cell r="A263">
            <v>700108</v>
          </cell>
          <cell r="B263" t="str">
            <v>CAMINHOES COMBOIO</v>
          </cell>
        </row>
        <row r="264">
          <cell r="A264">
            <v>700110</v>
          </cell>
          <cell r="B264" t="str">
            <v>CAMINHOES CARGA SECA</v>
          </cell>
        </row>
        <row r="265">
          <cell r="A265">
            <v>700112</v>
          </cell>
          <cell r="B265" t="str">
            <v>CAMINHOES PRANCHA</v>
          </cell>
        </row>
        <row r="266">
          <cell r="A266">
            <v>700114</v>
          </cell>
          <cell r="B266" t="str">
            <v>CAMINHOES TRANSP ACUCAR</v>
          </cell>
        </row>
        <row r="267">
          <cell r="A267">
            <v>700116</v>
          </cell>
          <cell r="B267" t="str">
            <v>CAVALO MECANICO</v>
          </cell>
        </row>
        <row r="268">
          <cell r="A268">
            <v>700200</v>
          </cell>
          <cell r="B268" t="str">
            <v>TRATORES/MAQUINAS/COLHEDORAS</v>
          </cell>
        </row>
        <row r="269">
          <cell r="A269">
            <v>700202</v>
          </cell>
          <cell r="B269" t="str">
            <v>TRATORES PNEUS - LEVES</v>
          </cell>
        </row>
        <row r="270">
          <cell r="A270">
            <v>700204</v>
          </cell>
          <cell r="B270" t="str">
            <v>TRATORES PNEUS - MEDIOS ( ALUGADO )</v>
          </cell>
        </row>
        <row r="271">
          <cell r="A271">
            <v>700206</v>
          </cell>
          <cell r="B271" t="str">
            <v>TRATORES PNEUS - PESADOS</v>
          </cell>
        </row>
        <row r="272">
          <cell r="A272">
            <v>700208</v>
          </cell>
          <cell r="B272" t="str">
            <v>TRATORES ESTEIRAS ( ALUGADO )</v>
          </cell>
        </row>
        <row r="273">
          <cell r="A273">
            <v>700209</v>
          </cell>
          <cell r="B273" t="str">
            <v>TRATORES ESTEIRAS ( PROPRIO )</v>
          </cell>
        </row>
        <row r="274">
          <cell r="A274">
            <v>700210</v>
          </cell>
          <cell r="B274" t="str">
            <v>RETRO ESCAVADORAS</v>
          </cell>
        </row>
        <row r="275">
          <cell r="A275">
            <v>700212</v>
          </cell>
          <cell r="B275" t="str">
            <v>MOTONIVELADORAS</v>
          </cell>
        </row>
        <row r="276">
          <cell r="A276">
            <v>700214</v>
          </cell>
          <cell r="B276" t="str">
            <v>PA CARREGADORAS</v>
          </cell>
        </row>
        <row r="277">
          <cell r="A277">
            <v>700216</v>
          </cell>
          <cell r="B277" t="str">
            <v>CARREGADORAS DE CANA</v>
          </cell>
        </row>
        <row r="278">
          <cell r="A278">
            <v>700218</v>
          </cell>
          <cell r="B278" t="str">
            <v>COLHEDORAS DE CANA</v>
          </cell>
        </row>
        <row r="279">
          <cell r="A279">
            <v>700220</v>
          </cell>
          <cell r="B279" t="str">
            <v>Plantadeira de Cana</v>
          </cell>
        </row>
        <row r="280">
          <cell r="A280">
            <v>700222</v>
          </cell>
          <cell r="B280" t="str">
            <v>TRATORES PNEUS-SUPER PESADOS(ALUGADOS)</v>
          </cell>
        </row>
        <row r="281">
          <cell r="A281">
            <v>700223</v>
          </cell>
          <cell r="B281" t="str">
            <v>TRATORES PNEUS-SUPER PESADOS(PRÓPRIOS)</v>
          </cell>
        </row>
        <row r="282">
          <cell r="A282">
            <v>700224</v>
          </cell>
          <cell r="B282" t="str">
            <v>CAMINHÕES TRANSBORDOS (ALUGADOS)</v>
          </cell>
        </row>
        <row r="283">
          <cell r="A283">
            <v>700225</v>
          </cell>
          <cell r="B283" t="str">
            <v>CAMINHÕES TRANSBORDOS (PRÓPRIO)</v>
          </cell>
        </row>
        <row r="284">
          <cell r="A284">
            <v>700300</v>
          </cell>
          <cell r="B284" t="str">
            <v>VEICULOS/UTILITARIOS/ONIBUS</v>
          </cell>
        </row>
        <row r="285">
          <cell r="A285">
            <v>700302</v>
          </cell>
          <cell r="B285" t="str">
            <v>VEICULOS LEVES</v>
          </cell>
        </row>
        <row r="286">
          <cell r="A286">
            <v>700304</v>
          </cell>
          <cell r="B286" t="str">
            <v>CAMINHONETAS/UTILITARIOS</v>
          </cell>
        </row>
        <row r="287">
          <cell r="A287">
            <v>701200</v>
          </cell>
          <cell r="B287" t="str">
            <v>IMPLEMENTOS</v>
          </cell>
        </row>
        <row r="288">
          <cell r="A288">
            <v>701202</v>
          </cell>
          <cell r="B288" t="str">
            <v>ACERADORES DE CANA</v>
          </cell>
        </row>
        <row r="289">
          <cell r="A289">
            <v>701204</v>
          </cell>
          <cell r="B289" t="str">
            <v>ARADORES</v>
          </cell>
        </row>
        <row r="290">
          <cell r="A290">
            <v>701206</v>
          </cell>
          <cell r="B290" t="str">
            <v>CARRETAS DE ARRASTO</v>
          </cell>
        </row>
        <row r="291">
          <cell r="A291">
            <v>701208</v>
          </cell>
          <cell r="B291" t="str">
            <v>CARROCERIAS</v>
          </cell>
        </row>
        <row r="292">
          <cell r="A292">
            <v>701210</v>
          </cell>
          <cell r="B292" t="str">
            <v>COBRIDORES DE CANA</v>
          </cell>
        </row>
        <row r="293">
          <cell r="A293">
            <v>701212</v>
          </cell>
          <cell r="B293" t="str">
            <v>CONJUNTO DE IRRIGACAO (ROLAO)</v>
          </cell>
        </row>
        <row r="294">
          <cell r="A294">
            <v>701214</v>
          </cell>
          <cell r="B294" t="str">
            <v>CULTIVADORES</v>
          </cell>
        </row>
        <row r="295">
          <cell r="A295">
            <v>701216</v>
          </cell>
          <cell r="B295" t="str">
            <v>DISTRIBUIDORES DE CALCARIO</v>
          </cell>
        </row>
        <row r="296">
          <cell r="A296">
            <v>701218</v>
          </cell>
          <cell r="B296" t="str">
            <v>DISTRIBUIDORES DE TORTA</v>
          </cell>
        </row>
        <row r="297">
          <cell r="A297">
            <v>701220</v>
          </cell>
          <cell r="B297" t="str">
            <v>ENLEIRADORES DE PALHA</v>
          </cell>
        </row>
        <row r="298">
          <cell r="A298">
            <v>701222</v>
          </cell>
          <cell r="B298" t="str">
            <v>ESTEIRA DE ADUBO</v>
          </cell>
        </row>
        <row r="299">
          <cell r="A299">
            <v>701224</v>
          </cell>
          <cell r="B299" t="str">
            <v>GRADES ARADORAS</v>
          </cell>
        </row>
        <row r="300">
          <cell r="A300">
            <v>701226</v>
          </cell>
          <cell r="B300" t="str">
            <v>GRADES NIVELADORAS</v>
          </cell>
        </row>
        <row r="301">
          <cell r="A301">
            <v>701228</v>
          </cell>
          <cell r="B301" t="str">
            <v>GUINCHO HIDRAULICO</v>
          </cell>
        </row>
        <row r="302">
          <cell r="A302">
            <v>701230</v>
          </cell>
          <cell r="B302" t="str">
            <v>IMPLEMENTOS DIVERSOS</v>
          </cell>
        </row>
        <row r="303">
          <cell r="A303">
            <v>701232</v>
          </cell>
          <cell r="B303" t="str">
            <v>MOTOBOMBAS</v>
          </cell>
        </row>
        <row r="304">
          <cell r="A304">
            <v>701234</v>
          </cell>
          <cell r="B304" t="str">
            <v>MOTORES ESTACIONARIOS</v>
          </cell>
        </row>
        <row r="305">
          <cell r="A305">
            <v>701236</v>
          </cell>
          <cell r="B305" t="str">
            <v>MOTOSSERA</v>
          </cell>
        </row>
        <row r="306">
          <cell r="A306">
            <v>701238</v>
          </cell>
          <cell r="B306" t="str">
            <v>PULVERIZADORES</v>
          </cell>
        </row>
        <row r="307">
          <cell r="A307">
            <v>701240</v>
          </cell>
          <cell r="B307" t="str">
            <v>REBOQUES CANAVIEIROS</v>
          </cell>
        </row>
        <row r="308">
          <cell r="A308">
            <v>701242</v>
          </cell>
          <cell r="B308" t="str">
            <v>ROCADEIRAS</v>
          </cell>
        </row>
        <row r="309">
          <cell r="A309">
            <v>701244</v>
          </cell>
          <cell r="B309" t="str">
            <v>SUBSOLADORES</v>
          </cell>
        </row>
        <row r="310">
          <cell r="A310">
            <v>701246</v>
          </cell>
          <cell r="B310" t="str">
            <v>SULCADORES</v>
          </cell>
        </row>
        <row r="311">
          <cell r="A311">
            <v>701248</v>
          </cell>
          <cell r="B311" t="str">
            <v>TANQUES DE AGUA</v>
          </cell>
        </row>
        <row r="312">
          <cell r="A312">
            <v>701250</v>
          </cell>
          <cell r="B312" t="str">
            <v>TERRACEADORES</v>
          </cell>
        </row>
        <row r="313">
          <cell r="A313">
            <v>701252</v>
          </cell>
          <cell r="B313" t="str">
            <v>TOMADOR DE AMOSTRA</v>
          </cell>
        </row>
        <row r="314">
          <cell r="A314">
            <v>701254</v>
          </cell>
          <cell r="B314" t="str">
            <v>CONJ. TRANSBORDO (ALUGADO)</v>
          </cell>
        </row>
        <row r="315">
          <cell r="A315">
            <v>701255</v>
          </cell>
          <cell r="B315" t="str">
            <v>CONJ. TRANSBORDO (PRÓPRIO)</v>
          </cell>
        </row>
        <row r="316">
          <cell r="A316">
            <v>709900</v>
          </cell>
          <cell r="B316" t="str">
            <v>EQUIPAMENTOS DIVERSOS (T)</v>
          </cell>
        </row>
        <row r="317">
          <cell r="A317">
            <v>709902</v>
          </cell>
          <cell r="B317" t="str">
            <v>EQUIPAMENTOS DIVERSOS (T)</v>
          </cell>
        </row>
        <row r="318">
          <cell r="A318">
            <v>709912</v>
          </cell>
          <cell r="B318" t="str">
            <v>Eqptos Fornecedores/Acionistas-Diesel</v>
          </cell>
        </row>
        <row r="319">
          <cell r="A319">
            <v>709916</v>
          </cell>
          <cell r="B319" t="str">
            <v>Equipamentos Transporte Açúcar</v>
          </cell>
        </row>
        <row r="320">
          <cell r="A320">
            <v>800000</v>
          </cell>
          <cell r="B320" t="str">
            <v>OUTROS SERVIÃOS NA LAVOURA</v>
          </cell>
        </row>
        <row r="321">
          <cell r="A321">
            <v>801000</v>
          </cell>
          <cell r="B321" t="str">
            <v>CULTURA DE CANA</v>
          </cell>
        </row>
        <row r="322">
          <cell r="A322">
            <v>801002</v>
          </cell>
          <cell r="B322" t="str">
            <v>PREPARO DE SOLO</v>
          </cell>
        </row>
        <row r="323">
          <cell r="A323">
            <v>801004</v>
          </cell>
          <cell r="B323" t="str">
            <v>COLHEITA DE MUDA</v>
          </cell>
        </row>
        <row r="324">
          <cell r="A324">
            <v>801006</v>
          </cell>
          <cell r="B324" t="str">
            <v>COLHEITA DE MUDA</v>
          </cell>
        </row>
        <row r="325">
          <cell r="A325">
            <v>801008</v>
          </cell>
          <cell r="B325" t="str">
            <v>PLANTIO DE CANA</v>
          </cell>
        </row>
        <row r="326">
          <cell r="A326">
            <v>801010</v>
          </cell>
          <cell r="B326" t="str">
            <v>TRATOS CANA PLANTA</v>
          </cell>
        </row>
        <row r="327">
          <cell r="A327">
            <v>801012</v>
          </cell>
          <cell r="B327" t="str">
            <v>TRATOS CANA SOCA</v>
          </cell>
        </row>
        <row r="328">
          <cell r="A328">
            <v>801014</v>
          </cell>
          <cell r="B328" t="str">
            <v>COLHEITA MANUAL</v>
          </cell>
        </row>
        <row r="329">
          <cell r="A329">
            <v>801016</v>
          </cell>
          <cell r="B329" t="str">
            <v>COLHEITA MECANIZADA</v>
          </cell>
        </row>
        <row r="330">
          <cell r="A330">
            <v>801020</v>
          </cell>
          <cell r="B330" t="str">
            <v>Replantio da cana planta</v>
          </cell>
        </row>
        <row r="331">
          <cell r="A331">
            <v>801022</v>
          </cell>
          <cell r="B331" t="str">
            <v>Replantio da cana soca</v>
          </cell>
        </row>
        <row r="332">
          <cell r="A332">
            <v>900000</v>
          </cell>
          <cell r="B332" t="str">
            <v>CENTRO DE CUSTO PARA RATEIO</v>
          </cell>
        </row>
        <row r="333">
          <cell r="A333">
            <v>900100</v>
          </cell>
          <cell r="B333" t="str">
            <v>CENTRO DE CUSTO PARA RATEIO</v>
          </cell>
        </row>
        <row r="334">
          <cell r="A334">
            <v>900102</v>
          </cell>
          <cell r="B334" t="str">
            <v>CENTRO DE CUSTO PARA RATEIO</v>
          </cell>
        </row>
        <row r="335">
          <cell r="A335">
            <v>900104</v>
          </cell>
          <cell r="B335" t="str">
            <v>IMPLANTAÇÃO DE SALDO</v>
          </cell>
        </row>
        <row r="336">
          <cell r="A336">
            <v>100000</v>
          </cell>
          <cell r="B336" t="str">
            <v>DIRETORIA/CONSELHO/SUPERINTENDENCI</v>
          </cell>
        </row>
        <row r="337">
          <cell r="A337">
            <v>100100</v>
          </cell>
          <cell r="B337" t="str">
            <v>CONSELHO DE ADMINISTRACAO/FISCAL</v>
          </cell>
        </row>
        <row r="338">
          <cell r="A338">
            <v>100102</v>
          </cell>
          <cell r="B338" t="str">
            <v>CONSELHEIRO ADMINISTRATIVO/FISCAL</v>
          </cell>
        </row>
        <row r="339">
          <cell r="A339">
            <v>100104</v>
          </cell>
          <cell r="B339" t="str">
            <v>CONSELHO CONSULTIVO</v>
          </cell>
        </row>
        <row r="340">
          <cell r="A340">
            <v>100106</v>
          </cell>
          <cell r="B340" t="str">
            <v>CONSELHO FISCAL</v>
          </cell>
        </row>
        <row r="341">
          <cell r="A341">
            <v>100199</v>
          </cell>
          <cell r="B341" t="str">
            <v>Manutenção de Entressafra</v>
          </cell>
        </row>
        <row r="342">
          <cell r="A342">
            <v>100200</v>
          </cell>
          <cell r="B342" t="str">
            <v>DIRETORIA</v>
          </cell>
        </row>
        <row r="343">
          <cell r="A343">
            <v>100202</v>
          </cell>
          <cell r="B343" t="str">
            <v>DIRETOR PRESIDENTE</v>
          </cell>
        </row>
        <row r="344">
          <cell r="A344">
            <v>100204</v>
          </cell>
          <cell r="B344" t="str">
            <v>DIRETOR EXECUTIVO</v>
          </cell>
        </row>
        <row r="345">
          <cell r="A345">
            <v>100206</v>
          </cell>
          <cell r="B345" t="str">
            <v>SECRETARIA</v>
          </cell>
        </row>
        <row r="346">
          <cell r="A346">
            <v>100207</v>
          </cell>
          <cell r="B346" t="str">
            <v>Diretor Administrativo/Financeiro</v>
          </cell>
        </row>
        <row r="347">
          <cell r="A347">
            <v>100208</v>
          </cell>
          <cell r="B347" t="str">
            <v>Diretor Comercial</v>
          </cell>
        </row>
        <row r="348">
          <cell r="A348">
            <v>100210</v>
          </cell>
          <cell r="B348" t="str">
            <v>Relação com Investidores</v>
          </cell>
        </row>
        <row r="349">
          <cell r="A349">
            <v>100299</v>
          </cell>
          <cell r="B349" t="str">
            <v>Manutenção de Entressafra</v>
          </cell>
        </row>
        <row r="350">
          <cell r="A350">
            <v>100300</v>
          </cell>
          <cell r="B350" t="str">
            <v>SUPERINTENDENCIA</v>
          </cell>
        </row>
        <row r="351">
          <cell r="A351">
            <v>100302</v>
          </cell>
          <cell r="B351" t="str">
            <v>SUP.CONTROLADORIA E GESTAO</v>
          </cell>
        </row>
        <row r="352">
          <cell r="A352">
            <v>100304</v>
          </cell>
          <cell r="B352" t="str">
            <v>SUP.PRODUCAO INDUSTRIAL E AGRICOLA</v>
          </cell>
        </row>
        <row r="353">
          <cell r="A353">
            <v>100306</v>
          </cell>
          <cell r="B353" t="str">
            <v>SUP.FINANCEIRA</v>
          </cell>
        </row>
        <row r="354">
          <cell r="A354">
            <v>100308</v>
          </cell>
          <cell r="B354" t="str">
            <v>SUP.COMERCIAL</v>
          </cell>
        </row>
        <row r="355">
          <cell r="A355">
            <v>100399</v>
          </cell>
          <cell r="B355" t="str">
            <v>Manutenção de Entressafra</v>
          </cell>
        </row>
        <row r="356">
          <cell r="A356">
            <v>100400</v>
          </cell>
          <cell r="B356" t="str">
            <v>ESCRITORIO DE SAO PAULO</v>
          </cell>
        </row>
        <row r="357">
          <cell r="A357">
            <v>100402</v>
          </cell>
          <cell r="B357" t="str">
            <v>ESCRITORIO DE SÃO PAULO - MATRIZ</v>
          </cell>
        </row>
        <row r="358">
          <cell r="A358">
            <v>100499</v>
          </cell>
          <cell r="B358" t="str">
            <v>Manutenção de Entressafra</v>
          </cell>
        </row>
        <row r="359">
          <cell r="A359">
            <v>100500</v>
          </cell>
          <cell r="B359" t="str">
            <v>ASSESSORIA DE IMPRENSA</v>
          </cell>
        </row>
        <row r="360">
          <cell r="A360">
            <v>100501</v>
          </cell>
          <cell r="B360" t="str">
            <v>ASSESSORIA DE IMPRENSA</v>
          </cell>
        </row>
        <row r="361">
          <cell r="A361">
            <v>200000</v>
          </cell>
          <cell r="B361" t="str">
            <v>ADMINISTRACAO CORPORATIVA</v>
          </cell>
        </row>
        <row r="362">
          <cell r="A362">
            <v>200100</v>
          </cell>
          <cell r="B362" t="str">
            <v>GERENCIA ADMINISTRATIVA</v>
          </cell>
        </row>
        <row r="363">
          <cell r="A363">
            <v>200102</v>
          </cell>
          <cell r="B363" t="str">
            <v>ADMINISTRACAO CORPORATIVA</v>
          </cell>
        </row>
        <row r="364">
          <cell r="A364">
            <v>200103</v>
          </cell>
          <cell r="B364" t="str">
            <v>DESPESAS DE CAPACITAÇÕES</v>
          </cell>
        </row>
        <row r="365">
          <cell r="A365">
            <v>200199</v>
          </cell>
          <cell r="B365" t="str">
            <v>Manutenção de Entressafra</v>
          </cell>
        </row>
        <row r="366">
          <cell r="A366">
            <v>200200</v>
          </cell>
          <cell r="B366" t="str">
            <v>DEPTO CONTABILIDADE</v>
          </cell>
        </row>
        <row r="367">
          <cell r="A367">
            <v>200202</v>
          </cell>
          <cell r="B367" t="str">
            <v>CONTABILIDADE/FISCAL/PATRIMONIAL</v>
          </cell>
        </row>
        <row r="368">
          <cell r="A368">
            <v>200204</v>
          </cell>
          <cell r="B368" t="str">
            <v>CONSULTORIA EXTERNA</v>
          </cell>
        </row>
        <row r="369">
          <cell r="A369">
            <v>200299</v>
          </cell>
          <cell r="B369" t="str">
            <v>Manutenção de Entressafra</v>
          </cell>
        </row>
        <row r="370">
          <cell r="A370">
            <v>200300</v>
          </cell>
          <cell r="B370" t="str">
            <v>Departamento Fiscal</v>
          </cell>
        </row>
        <row r="371">
          <cell r="A371">
            <v>200302</v>
          </cell>
          <cell r="B371" t="str">
            <v>Fiscal</v>
          </cell>
        </row>
        <row r="372">
          <cell r="A372">
            <v>200400</v>
          </cell>
          <cell r="B372" t="str">
            <v>RECURSOS HUMANOS</v>
          </cell>
        </row>
        <row r="373">
          <cell r="A373">
            <v>200402</v>
          </cell>
          <cell r="B373" t="str">
            <v>ADMINISTRAÇÃO DE RECURSOS HUMANOS</v>
          </cell>
        </row>
        <row r="374">
          <cell r="A374">
            <v>200404</v>
          </cell>
          <cell r="B374" t="str">
            <v>CARGOS E SALARIOS</v>
          </cell>
        </row>
        <row r="375">
          <cell r="A375">
            <v>200406</v>
          </cell>
          <cell r="B375" t="str">
            <v>ADMINISTRAÇÃO DE PESSOAL</v>
          </cell>
        </row>
        <row r="376">
          <cell r="A376">
            <v>200408</v>
          </cell>
          <cell r="B376" t="str">
            <v>RECRUTAMENTO E SELEÇÃO</v>
          </cell>
        </row>
        <row r="377">
          <cell r="A377">
            <v>200410</v>
          </cell>
          <cell r="B377" t="str">
            <v>ASSISTÊNCIA SOCIAL</v>
          </cell>
        </row>
        <row r="378">
          <cell r="A378">
            <v>200499</v>
          </cell>
          <cell r="B378" t="str">
            <v>Manutenção de Entressafra</v>
          </cell>
        </row>
        <row r="379">
          <cell r="A379">
            <v>200600</v>
          </cell>
          <cell r="B379" t="str">
            <v>CUSTO E ORCAMENTO</v>
          </cell>
        </row>
        <row r="380">
          <cell r="A380">
            <v>200602</v>
          </cell>
          <cell r="B380" t="str">
            <v>CUSTO E ORÇAMENTO</v>
          </cell>
        </row>
        <row r="381">
          <cell r="A381">
            <v>200699</v>
          </cell>
          <cell r="B381" t="str">
            <v>Manutenção de Entressafra</v>
          </cell>
        </row>
        <row r="382">
          <cell r="A382">
            <v>200700</v>
          </cell>
          <cell r="B382" t="str">
            <v>Administração de Contratos</v>
          </cell>
        </row>
        <row r="383">
          <cell r="A383">
            <v>200702</v>
          </cell>
          <cell r="B383" t="str">
            <v>Contratos</v>
          </cell>
        </row>
        <row r="384">
          <cell r="A384">
            <v>200800</v>
          </cell>
          <cell r="B384" t="str">
            <v>TECNOLOGIA DA INFORMACAO</v>
          </cell>
        </row>
        <row r="385">
          <cell r="A385">
            <v>200802</v>
          </cell>
          <cell r="B385" t="str">
            <v>TECNOLOGIA DA INFORMAÇÃO</v>
          </cell>
        </row>
        <row r="386">
          <cell r="A386">
            <v>200899</v>
          </cell>
          <cell r="B386" t="str">
            <v>Manutenção de Entressafra</v>
          </cell>
        </row>
        <row r="387">
          <cell r="A387">
            <v>201000</v>
          </cell>
          <cell r="B387" t="str">
            <v>SUPRIMENTOS</v>
          </cell>
        </row>
        <row r="388">
          <cell r="A388">
            <v>201002</v>
          </cell>
          <cell r="B388" t="str">
            <v>COMPRAS</v>
          </cell>
        </row>
        <row r="389">
          <cell r="A389">
            <v>201099</v>
          </cell>
          <cell r="B389" t="str">
            <v>Manutenção de Entressafra</v>
          </cell>
        </row>
        <row r="390">
          <cell r="A390">
            <v>201200</v>
          </cell>
          <cell r="B390" t="str">
            <v>COMERCIAL</v>
          </cell>
        </row>
        <row r="391">
          <cell r="A391">
            <v>201202</v>
          </cell>
          <cell r="B391" t="str">
            <v>COMERCIAL</v>
          </cell>
        </row>
        <row r="392">
          <cell r="A392">
            <v>201204</v>
          </cell>
          <cell r="B392" t="str">
            <v>COMERCIALIZAÇÃO</v>
          </cell>
        </row>
        <row r="393">
          <cell r="A393">
            <v>201299</v>
          </cell>
          <cell r="B393" t="str">
            <v>Manutenção de Entressafra</v>
          </cell>
        </row>
        <row r="394">
          <cell r="A394">
            <v>201400</v>
          </cell>
          <cell r="B394" t="str">
            <v>FINANCEIRO</v>
          </cell>
        </row>
        <row r="395">
          <cell r="A395">
            <v>201402</v>
          </cell>
          <cell r="B395" t="str">
            <v>GERENCIA FINANCEIRA</v>
          </cell>
        </row>
        <row r="396">
          <cell r="A396">
            <v>201404</v>
          </cell>
          <cell r="B396" t="str">
            <v>TESOURARIA</v>
          </cell>
        </row>
        <row r="397">
          <cell r="A397">
            <v>201499</v>
          </cell>
          <cell r="B397" t="str">
            <v>Manutenção de Entressafra</v>
          </cell>
        </row>
        <row r="398">
          <cell r="A398">
            <v>201600</v>
          </cell>
          <cell r="B398" t="str">
            <v>JURIDICO</v>
          </cell>
        </row>
        <row r="399">
          <cell r="A399">
            <v>201602</v>
          </cell>
          <cell r="B399" t="str">
            <v>JURÍDICO</v>
          </cell>
        </row>
        <row r="400">
          <cell r="A400">
            <v>201604</v>
          </cell>
          <cell r="B400" t="str">
            <v>CONSULTORIA JURÍDICA EXTERNA</v>
          </cell>
        </row>
        <row r="401">
          <cell r="A401">
            <v>201699</v>
          </cell>
          <cell r="B401" t="str">
            <v>Manutenção de Entressafra</v>
          </cell>
        </row>
        <row r="402">
          <cell r="A402">
            <v>201800</v>
          </cell>
          <cell r="B402" t="str">
            <v>CONTROLE INTERNO</v>
          </cell>
        </row>
        <row r="403">
          <cell r="A403">
            <v>201802</v>
          </cell>
          <cell r="B403" t="str">
            <v>CONTROLE INTERNO</v>
          </cell>
        </row>
        <row r="404">
          <cell r="A404">
            <v>201899</v>
          </cell>
          <cell r="B404" t="str">
            <v>Manutenção de Entressafra</v>
          </cell>
        </row>
        <row r="405">
          <cell r="A405">
            <v>202000</v>
          </cell>
          <cell r="B405" t="str">
            <v>MEIO AMBIEMTE</v>
          </cell>
        </row>
        <row r="406">
          <cell r="A406">
            <v>202002</v>
          </cell>
          <cell r="B406" t="str">
            <v>MEIO AMBIENTE</v>
          </cell>
        </row>
        <row r="407">
          <cell r="A407">
            <v>202099</v>
          </cell>
          <cell r="B407" t="str">
            <v>Manutenção de Entressafra</v>
          </cell>
        </row>
        <row r="408">
          <cell r="A408">
            <v>300000</v>
          </cell>
          <cell r="B408" t="str">
            <v>ADMINISTRACAO LOCAL</v>
          </cell>
        </row>
        <row r="409">
          <cell r="A409">
            <v>300200</v>
          </cell>
          <cell r="B409" t="str">
            <v>DEPTO CONTABIL</v>
          </cell>
        </row>
        <row r="410">
          <cell r="A410">
            <v>300206</v>
          </cell>
          <cell r="B410" t="str">
            <v>FATURAMENTO</v>
          </cell>
        </row>
        <row r="411">
          <cell r="A411">
            <v>300208</v>
          </cell>
          <cell r="B411" t="str">
            <v>RECEBIMENTO</v>
          </cell>
        </row>
        <row r="412">
          <cell r="A412">
            <v>300210</v>
          </cell>
          <cell r="B412" t="str">
            <v>BALANÇA ENTRADA CANA</v>
          </cell>
        </row>
        <row r="413">
          <cell r="A413">
            <v>300299</v>
          </cell>
          <cell r="B413" t="str">
            <v>Manutenção de Entressafra</v>
          </cell>
        </row>
        <row r="414">
          <cell r="A414">
            <v>300400</v>
          </cell>
          <cell r="B414" t="str">
            <v>RECURSOS HUMANOS</v>
          </cell>
        </row>
        <row r="415">
          <cell r="A415">
            <v>300404</v>
          </cell>
          <cell r="B415" t="str">
            <v>ADMINISTRACAO DE PESSOAL</v>
          </cell>
        </row>
        <row r="416">
          <cell r="A416">
            <v>300410</v>
          </cell>
          <cell r="B416" t="str">
            <v>MEDICINA DO TRABALHO</v>
          </cell>
        </row>
        <row r="417">
          <cell r="A417">
            <v>300412</v>
          </cell>
          <cell r="B417" t="str">
            <v>SEGURANCA DO TRABALHO</v>
          </cell>
        </row>
        <row r="418">
          <cell r="A418">
            <v>300414</v>
          </cell>
          <cell r="B418" t="str">
            <v>SEGURANCA PATRIMONIAL</v>
          </cell>
        </row>
        <row r="419">
          <cell r="A419">
            <v>300416</v>
          </cell>
          <cell r="B419" t="str">
            <v>RESTAURANTE</v>
          </cell>
        </row>
        <row r="420">
          <cell r="A420">
            <v>300418</v>
          </cell>
          <cell r="B420" t="str">
            <v>ALOJAMENTO</v>
          </cell>
        </row>
        <row r="421">
          <cell r="A421">
            <v>300420</v>
          </cell>
          <cell r="B421" t="str">
            <v>RECEPCAO, COPA E COZINHA</v>
          </cell>
        </row>
        <row r="422">
          <cell r="A422">
            <v>300499</v>
          </cell>
          <cell r="B422" t="str">
            <v>Manutenção de Entressafra</v>
          </cell>
        </row>
        <row r="423">
          <cell r="A423">
            <v>300600</v>
          </cell>
          <cell r="B423" t="str">
            <v>ADMINISTRAÇÃO GERAL</v>
          </cell>
        </row>
        <row r="424">
          <cell r="A424">
            <v>300602</v>
          </cell>
          <cell r="B424" t="str">
            <v>ADMINISTRAÇÃO GERAL</v>
          </cell>
        </row>
        <row r="425">
          <cell r="A425">
            <v>300604</v>
          </cell>
          <cell r="B425" t="str">
            <v>Gerência Geral</v>
          </cell>
        </row>
        <row r="426">
          <cell r="A426">
            <v>300606</v>
          </cell>
          <cell r="B426" t="str">
            <v>Ger.Administracao de Risco e Auditoria</v>
          </cell>
        </row>
        <row r="427">
          <cell r="A427">
            <v>300699</v>
          </cell>
          <cell r="B427" t="str">
            <v>Manutenção de Entressafra</v>
          </cell>
        </row>
        <row r="428">
          <cell r="A428">
            <v>300800</v>
          </cell>
          <cell r="B428" t="str">
            <v>TECNOLOGIA DA INFORMACAO</v>
          </cell>
        </row>
        <row r="429">
          <cell r="A429">
            <v>300802</v>
          </cell>
          <cell r="B429" t="str">
            <v>TECNOLOGIA DA INFORMAÇÃO</v>
          </cell>
        </row>
        <row r="430">
          <cell r="A430">
            <v>300899</v>
          </cell>
          <cell r="B430" t="str">
            <v>Manutenção de Entressafra</v>
          </cell>
        </row>
        <row r="431">
          <cell r="A431">
            <v>301000</v>
          </cell>
          <cell r="B431" t="str">
            <v>SUPRIMENTOS</v>
          </cell>
        </row>
        <row r="432">
          <cell r="A432">
            <v>301002</v>
          </cell>
          <cell r="B432" t="str">
            <v>Almoxarifado Automotivo</v>
          </cell>
        </row>
        <row r="433">
          <cell r="A433">
            <v>301004</v>
          </cell>
          <cell r="B433" t="str">
            <v>Almoxarifado Industrial</v>
          </cell>
        </row>
        <row r="434">
          <cell r="A434">
            <v>301006</v>
          </cell>
          <cell r="B434" t="str">
            <v>POSTO ABASTECIMENTO</v>
          </cell>
        </row>
        <row r="435">
          <cell r="A435">
            <v>301099</v>
          </cell>
          <cell r="B435" t="str">
            <v>Manutenção de Entressafra</v>
          </cell>
        </row>
        <row r="436">
          <cell r="A436">
            <v>301200</v>
          </cell>
          <cell r="B436" t="str">
            <v>DEPTO COMERCIAL</v>
          </cell>
        </row>
        <row r="437">
          <cell r="A437">
            <v>301202</v>
          </cell>
          <cell r="B437" t="str">
            <v>ARMAZENAGEM DE ALCOOL</v>
          </cell>
        </row>
        <row r="438">
          <cell r="A438">
            <v>301204</v>
          </cell>
          <cell r="B438" t="str">
            <v>ARMAZENAGEM DE ACUCAR</v>
          </cell>
        </row>
        <row r="439">
          <cell r="A439">
            <v>301206</v>
          </cell>
          <cell r="B439" t="str">
            <v>CARREGAMENTO</v>
          </cell>
        </row>
        <row r="440">
          <cell r="A440">
            <v>301208</v>
          </cell>
          <cell r="B440" t="str">
            <v>LOGISTICA E TRANSPORTE</v>
          </cell>
        </row>
        <row r="441">
          <cell r="A441">
            <v>301290</v>
          </cell>
          <cell r="B441" t="str">
            <v>LOGISTICA E TRANSPORTE</v>
          </cell>
        </row>
        <row r="442">
          <cell r="A442">
            <v>301299</v>
          </cell>
          <cell r="B442" t="str">
            <v>Manutenção de Entressafra</v>
          </cell>
        </row>
        <row r="443">
          <cell r="A443">
            <v>302001</v>
          </cell>
          <cell r="B443" t="str">
            <v>Apoio Operacional</v>
          </cell>
        </row>
        <row r="444">
          <cell r="A444">
            <v>399990</v>
          </cell>
          <cell r="B444" t="str">
            <v>C.CUSTO PARA NÃO SER VALIDADO PELO ORÇAM</v>
          </cell>
        </row>
        <row r="445">
          <cell r="A445">
            <v>300421</v>
          </cell>
          <cell r="B445" t="str">
            <v>SERVICOS GERAIS</v>
          </cell>
        </row>
        <row r="446">
          <cell r="A446">
            <v>399991</v>
          </cell>
          <cell r="B446" t="str">
            <v>C.CUSTO PARA NÃO SER VALIDADO PELO ORÇAM</v>
          </cell>
        </row>
        <row r="447">
          <cell r="A447">
            <v>399999</v>
          </cell>
          <cell r="B447" t="str">
            <v>Manutenção de Entressafra</v>
          </cell>
        </row>
        <row r="448">
          <cell r="A448">
            <v>400000</v>
          </cell>
          <cell r="B448" t="str">
            <v>GERENCIA INDUSTRIAL</v>
          </cell>
        </row>
        <row r="449">
          <cell r="A449">
            <v>400100</v>
          </cell>
          <cell r="B449" t="str">
            <v>GERENCIA INDUSTRIAL</v>
          </cell>
        </row>
        <row r="450">
          <cell r="A450">
            <v>400101</v>
          </cell>
          <cell r="B450" t="str">
            <v>Gerência Industrial Corporativa</v>
          </cell>
        </row>
        <row r="451">
          <cell r="A451">
            <v>400102</v>
          </cell>
          <cell r="B451" t="str">
            <v>GERÊNCIA INDUSTRIAL</v>
          </cell>
        </row>
        <row r="452">
          <cell r="A452">
            <v>400199</v>
          </cell>
          <cell r="B452" t="str">
            <v>Manutenção de Entressafra</v>
          </cell>
        </row>
        <row r="453">
          <cell r="A453">
            <v>400200</v>
          </cell>
          <cell r="B453" t="str">
            <v>APOIO TECNICO INDUSTRIAL</v>
          </cell>
        </row>
        <row r="454">
          <cell r="A454">
            <v>400202</v>
          </cell>
          <cell r="B454" t="str">
            <v>APOIO TÉCNICO INDUSTRIAL</v>
          </cell>
        </row>
        <row r="455">
          <cell r="A455">
            <v>400400</v>
          </cell>
          <cell r="B455" t="str">
            <v>CONTROLE DE QUALIDADE</v>
          </cell>
        </row>
        <row r="456">
          <cell r="A456">
            <v>400402</v>
          </cell>
          <cell r="B456" t="str">
            <v>LABORATORIO PCTS</v>
          </cell>
        </row>
        <row r="457">
          <cell r="A457">
            <v>400404</v>
          </cell>
          <cell r="B457" t="str">
            <v>LABORATORIO INDUSTRIAL</v>
          </cell>
        </row>
        <row r="458">
          <cell r="A458">
            <v>400406</v>
          </cell>
          <cell r="B458" t="str">
            <v>LABORATORIO MICRO-BIOLOGIA</v>
          </cell>
        </row>
        <row r="459">
          <cell r="A459">
            <v>400499</v>
          </cell>
          <cell r="B459" t="str">
            <v>Manutenção de Entressafra</v>
          </cell>
        </row>
        <row r="460">
          <cell r="A460">
            <v>401000</v>
          </cell>
          <cell r="B460" t="str">
            <v>RECEPCAO / MOAGEM</v>
          </cell>
        </row>
        <row r="461">
          <cell r="A461">
            <v>401002</v>
          </cell>
          <cell r="B461" t="str">
            <v>BARRACAO / LIMPEZA</v>
          </cell>
        </row>
        <row r="462">
          <cell r="A462">
            <v>401004</v>
          </cell>
          <cell r="B462" t="str">
            <v>ALIMENTACAO E PREPARO</v>
          </cell>
        </row>
        <row r="463">
          <cell r="A463">
            <v>401006</v>
          </cell>
          <cell r="B463" t="str">
            <v>MOAGEM CANA</v>
          </cell>
        </row>
        <row r="464">
          <cell r="A464">
            <v>401008</v>
          </cell>
          <cell r="B464" t="str">
            <v>DIFUSOR</v>
          </cell>
        </row>
        <row r="465">
          <cell r="A465">
            <v>401010</v>
          </cell>
          <cell r="B465" t="str">
            <v>DESAGUADOR</v>
          </cell>
        </row>
        <row r="466">
          <cell r="A466">
            <v>401012</v>
          </cell>
          <cell r="B466" t="str">
            <v>Secagem de Bagaço</v>
          </cell>
        </row>
        <row r="467">
          <cell r="A467">
            <v>401098</v>
          </cell>
          <cell r="B467" t="str">
            <v>ABSORÇÃO DO RATEIO INDUSTRIAL</v>
          </cell>
        </row>
        <row r="468">
          <cell r="A468">
            <v>401099</v>
          </cell>
          <cell r="B468" t="str">
            <v>Manutenção de Entressafra</v>
          </cell>
        </row>
        <row r="469">
          <cell r="A469">
            <v>401400</v>
          </cell>
          <cell r="B469" t="str">
            <v>TRATAMENTO E DISTR.DO CALDO</v>
          </cell>
        </row>
        <row r="470">
          <cell r="A470">
            <v>401402</v>
          </cell>
          <cell r="B470" t="str">
            <v>AQUECIMENTO/TROCADOR CALOR ALCOOL</v>
          </cell>
        </row>
        <row r="471">
          <cell r="A471">
            <v>401404</v>
          </cell>
          <cell r="B471" t="str">
            <v>DECANTACAO DO ALCOOL</v>
          </cell>
        </row>
        <row r="472">
          <cell r="A472">
            <v>401406</v>
          </cell>
          <cell r="B472" t="str">
            <v>PRE-EVAPORACAO DO ALCOOL</v>
          </cell>
        </row>
        <row r="473">
          <cell r="A473">
            <v>401408</v>
          </cell>
          <cell r="B473" t="str">
            <v>AQUECIMENTO/TROCADOR CALOR ACUCAR</v>
          </cell>
        </row>
        <row r="474">
          <cell r="A474">
            <v>401410</v>
          </cell>
          <cell r="B474" t="str">
            <v>CALEACAO</v>
          </cell>
        </row>
        <row r="475">
          <cell r="A475">
            <v>401412</v>
          </cell>
          <cell r="B475" t="str">
            <v>SULFITACAO</v>
          </cell>
        </row>
        <row r="476">
          <cell r="A476">
            <v>401414</v>
          </cell>
          <cell r="B476" t="str">
            <v>DECANTACAO DO ACUCAR</v>
          </cell>
        </row>
        <row r="477">
          <cell r="A477">
            <v>401416</v>
          </cell>
          <cell r="B477" t="str">
            <v>FILTRACAO DO LODO DO ACUCAR</v>
          </cell>
        </row>
        <row r="478">
          <cell r="A478">
            <v>401418</v>
          </cell>
          <cell r="B478" t="str">
            <v>PRE-EVAPORACAO DO ACUCAR</v>
          </cell>
        </row>
        <row r="479">
          <cell r="A479">
            <v>401420</v>
          </cell>
          <cell r="B479" t="str">
            <v>FILTRACAO DO LODO DO ALCOOL</v>
          </cell>
        </row>
        <row r="480">
          <cell r="A480">
            <v>401499</v>
          </cell>
          <cell r="B480" t="str">
            <v>Manutenção de Entressafra</v>
          </cell>
        </row>
        <row r="481">
          <cell r="A481">
            <v>402000</v>
          </cell>
          <cell r="B481" t="str">
            <v>FABRICACAO ALCOOL</v>
          </cell>
        </row>
        <row r="482">
          <cell r="A482">
            <v>402002</v>
          </cell>
          <cell r="B482" t="str">
            <v>PRE-FERMENTACAO</v>
          </cell>
        </row>
        <row r="483">
          <cell r="A483">
            <v>402004</v>
          </cell>
          <cell r="B483" t="str">
            <v>FERMENTACAO</v>
          </cell>
        </row>
        <row r="484">
          <cell r="A484">
            <v>402006</v>
          </cell>
          <cell r="B484" t="str">
            <v>DESTILACAO HIDRATADO</v>
          </cell>
        </row>
        <row r="485">
          <cell r="A485">
            <v>402008</v>
          </cell>
          <cell r="B485" t="str">
            <v>DESTILACAO ANIDRO</v>
          </cell>
        </row>
        <row r="486">
          <cell r="A486">
            <v>402010</v>
          </cell>
          <cell r="B486" t="str">
            <v>TORRE DE RESFRIAMENTO</v>
          </cell>
        </row>
        <row r="487">
          <cell r="A487">
            <v>402012</v>
          </cell>
          <cell r="B487" t="str">
            <v>TANQUE SPRAY</v>
          </cell>
        </row>
        <row r="488">
          <cell r="A488">
            <v>402014</v>
          </cell>
          <cell r="B488" t="str">
            <v>Centrifugação</v>
          </cell>
        </row>
        <row r="489">
          <cell r="A489">
            <v>402016</v>
          </cell>
          <cell r="B489" t="str">
            <v>Evaporação do ALcool</v>
          </cell>
        </row>
        <row r="490">
          <cell r="A490">
            <v>402070</v>
          </cell>
          <cell r="B490" t="str">
            <v>EM PROCESSO (FERMENTACAO)</v>
          </cell>
        </row>
        <row r="491">
          <cell r="A491">
            <v>402098</v>
          </cell>
          <cell r="B491" t="str">
            <v>ABSORCAO DO RATEIO INDUSTRIAL</v>
          </cell>
        </row>
        <row r="492">
          <cell r="A492">
            <v>402099</v>
          </cell>
          <cell r="B492" t="str">
            <v>Manutenção de Entressafra</v>
          </cell>
        </row>
        <row r="493">
          <cell r="A493">
            <v>403000</v>
          </cell>
          <cell r="B493" t="str">
            <v>FABRICACAO ACUCAR</v>
          </cell>
        </row>
        <row r="494">
          <cell r="A494">
            <v>403002</v>
          </cell>
          <cell r="B494" t="str">
            <v>EVAPORACAO</v>
          </cell>
        </row>
        <row r="495">
          <cell r="A495">
            <v>403004</v>
          </cell>
          <cell r="B495" t="str">
            <v>COZIMENTO - MASSA A E B</v>
          </cell>
        </row>
        <row r="496">
          <cell r="A496">
            <v>403006</v>
          </cell>
          <cell r="B496" t="str">
            <v>CENTRIFUGACAO</v>
          </cell>
        </row>
        <row r="497">
          <cell r="A497">
            <v>403008</v>
          </cell>
          <cell r="B497" t="str">
            <v>MEL FINAL PARA ALCOOL</v>
          </cell>
        </row>
        <row r="498">
          <cell r="A498">
            <v>403010</v>
          </cell>
          <cell r="B498" t="str">
            <v>SECAGEM</v>
          </cell>
        </row>
        <row r="499">
          <cell r="A499">
            <v>403012</v>
          </cell>
          <cell r="B499" t="str">
            <v>ENSAQUE</v>
          </cell>
        </row>
        <row r="500">
          <cell r="A500">
            <v>403014</v>
          </cell>
          <cell r="B500" t="str">
            <v>TANQUE SPRAY</v>
          </cell>
        </row>
        <row r="501">
          <cell r="A501">
            <v>403070</v>
          </cell>
          <cell r="B501" t="str">
            <v>EM PROCESSO (COZIMENTO)</v>
          </cell>
        </row>
        <row r="502">
          <cell r="A502">
            <v>403098</v>
          </cell>
          <cell r="B502" t="str">
            <v>ABSORCAO DO RATEIO INDUSTRIAL</v>
          </cell>
        </row>
        <row r="503">
          <cell r="A503">
            <v>403099</v>
          </cell>
          <cell r="B503" t="str">
            <v>Manutenção de Entressafra</v>
          </cell>
        </row>
        <row r="504">
          <cell r="A504">
            <v>405000</v>
          </cell>
          <cell r="B504" t="str">
            <v>FABRICACAO LEVEDURA</v>
          </cell>
        </row>
        <row r="505">
          <cell r="A505">
            <v>405002</v>
          </cell>
          <cell r="B505" t="str">
            <v>SECAGEM LEVEDURA</v>
          </cell>
        </row>
        <row r="506">
          <cell r="A506">
            <v>405004</v>
          </cell>
          <cell r="B506" t="str">
            <v>ENSAQUE LEVEDURA</v>
          </cell>
        </row>
        <row r="507">
          <cell r="A507">
            <v>405099</v>
          </cell>
          <cell r="B507" t="str">
            <v>Manutenção de Entressafra</v>
          </cell>
        </row>
        <row r="508">
          <cell r="A508">
            <v>406000</v>
          </cell>
          <cell r="B508" t="str">
            <v>FABRICACAO XAROPE DE CANA</v>
          </cell>
        </row>
        <row r="509">
          <cell r="A509">
            <v>406002</v>
          </cell>
          <cell r="B509" t="str">
            <v>CARREGAMENTO</v>
          </cell>
        </row>
        <row r="510">
          <cell r="A510">
            <v>406099</v>
          </cell>
          <cell r="B510" t="str">
            <v>Manutenção de Entressafra</v>
          </cell>
        </row>
        <row r="511">
          <cell r="A511">
            <v>407000</v>
          </cell>
          <cell r="B511" t="str">
            <v>AUXILIARES</v>
          </cell>
        </row>
        <row r="512">
          <cell r="A512">
            <v>407002</v>
          </cell>
          <cell r="B512" t="str">
            <v>GERACAO E DISTR.VAPOR</v>
          </cell>
        </row>
        <row r="513">
          <cell r="A513">
            <v>407004</v>
          </cell>
          <cell r="B513" t="str">
            <v>GERACAO E DISTR.AR COMPRIMIDO</v>
          </cell>
        </row>
        <row r="514">
          <cell r="A514">
            <v>407006</v>
          </cell>
          <cell r="B514" t="str">
            <v>GERACAO E DISTR.ENERGIA</v>
          </cell>
        </row>
        <row r="515">
          <cell r="A515">
            <v>407008</v>
          </cell>
          <cell r="B515" t="str">
            <v>CAPTACAO DE AGUA</v>
          </cell>
        </row>
        <row r="516">
          <cell r="A516">
            <v>407010</v>
          </cell>
          <cell r="B516" t="str">
            <v>ETA (ESTACAO DE TRATAMENTO AGUA)</v>
          </cell>
        </row>
        <row r="517">
          <cell r="A517">
            <v>407012</v>
          </cell>
          <cell r="B517" t="str">
            <v>PATIO DE BAGACO</v>
          </cell>
        </row>
        <row r="518">
          <cell r="A518">
            <v>407014</v>
          </cell>
          <cell r="B518" t="str">
            <v>HIDROLIZADOR DE BAGACO</v>
          </cell>
        </row>
        <row r="519">
          <cell r="A519">
            <v>407016</v>
          </cell>
          <cell r="B519" t="str">
            <v>ENERGIA ELETRICA ADQUIRIDA</v>
          </cell>
        </row>
        <row r="520">
          <cell r="A520">
            <v>407018</v>
          </cell>
          <cell r="B520" t="str">
            <v>ETALC -ESTA TRAT AGUA DA LAVAGEM DE CANA</v>
          </cell>
        </row>
        <row r="521">
          <cell r="A521">
            <v>407020</v>
          </cell>
          <cell r="B521" t="str">
            <v>ETE - Estação Tratamento de Esgoto</v>
          </cell>
        </row>
        <row r="522">
          <cell r="A522">
            <v>407022</v>
          </cell>
          <cell r="B522" t="str">
            <v>ETALG - Estaç.Trat.Água de Lavagem Gases</v>
          </cell>
        </row>
        <row r="523">
          <cell r="A523">
            <v>407099</v>
          </cell>
          <cell r="B523" t="str">
            <v>Manutenção de Entressafra</v>
          </cell>
        </row>
        <row r="524">
          <cell r="A524">
            <v>408000</v>
          </cell>
          <cell r="B524" t="str">
            <v>MANUTENCAO INDUSTRIAL</v>
          </cell>
        </row>
        <row r="525">
          <cell r="A525">
            <v>408002</v>
          </cell>
          <cell r="B525" t="str">
            <v>MANUTENÇÃO MECANICA</v>
          </cell>
        </row>
        <row r="526">
          <cell r="A526">
            <v>408004</v>
          </cell>
          <cell r="B526" t="str">
            <v>CALDERARIA</v>
          </cell>
        </row>
        <row r="527">
          <cell r="A527">
            <v>408006</v>
          </cell>
          <cell r="B527" t="str">
            <v>MANUTENÇÃO ELETRICA</v>
          </cell>
        </row>
        <row r="528">
          <cell r="A528">
            <v>408008</v>
          </cell>
          <cell r="B528" t="str">
            <v>INSTRUMENTAÇÃO</v>
          </cell>
        </row>
        <row r="529">
          <cell r="A529">
            <v>408010</v>
          </cell>
          <cell r="B529" t="str">
            <v>MANUTENCAO CIVIL</v>
          </cell>
        </row>
        <row r="530">
          <cell r="A530">
            <v>408012</v>
          </cell>
          <cell r="B530" t="str">
            <v>PCM (planej. e controle da manut</v>
          </cell>
        </row>
        <row r="531">
          <cell r="A531">
            <v>408098</v>
          </cell>
          <cell r="B531" t="str">
            <v>ABSORCAO DO RATEIO INDUSTRIAL</v>
          </cell>
        </row>
        <row r="532">
          <cell r="A532">
            <v>408099</v>
          </cell>
          <cell r="B532" t="str">
            <v>Manutenção de Entressafra</v>
          </cell>
        </row>
        <row r="533">
          <cell r="A533">
            <v>409000</v>
          </cell>
          <cell r="B533" t="str">
            <v>RESIDUOS INDUSTRIAIS</v>
          </cell>
        </row>
        <row r="534">
          <cell r="A534">
            <v>409002</v>
          </cell>
          <cell r="B534" t="str">
            <v>ESCOAMENTO DA VINHACA</v>
          </cell>
        </row>
        <row r="535">
          <cell r="A535">
            <v>409004</v>
          </cell>
          <cell r="B535" t="str">
            <v>SISTEMA DE BOMBEAMENTO</v>
          </cell>
        </row>
        <row r="536">
          <cell r="A536">
            <v>409099</v>
          </cell>
          <cell r="B536" t="str">
            <v>Manutenção de Entressafra</v>
          </cell>
        </row>
        <row r="537">
          <cell r="A537">
            <v>409900</v>
          </cell>
          <cell r="B537" t="str">
            <v>CUSTO FINAL DE PRODUCAO</v>
          </cell>
        </row>
        <row r="538">
          <cell r="A538">
            <v>409910</v>
          </cell>
          <cell r="B538" t="str">
            <v>CUSTO DE PRODUCAO DO A.E.H.C.</v>
          </cell>
        </row>
        <row r="539">
          <cell r="A539">
            <v>409920</v>
          </cell>
          <cell r="B539" t="str">
            <v>CUSTO DE PRODUCAO DO A.E.A.C.</v>
          </cell>
        </row>
        <row r="540">
          <cell r="A540">
            <v>409930</v>
          </cell>
          <cell r="B540" t="str">
            <v>CUSTO DE PRODUCAO DO ACUCAR</v>
          </cell>
        </row>
        <row r="541">
          <cell r="A541">
            <v>409940</v>
          </cell>
          <cell r="B541" t="str">
            <v>CUSTO DE PRODUCAO DO XAROPE</v>
          </cell>
        </row>
        <row r="542">
          <cell r="A542">
            <v>409950</v>
          </cell>
          <cell r="B542" t="str">
            <v>CUSTO DE PRODUCAO DE LEVEDURA</v>
          </cell>
        </row>
        <row r="543">
          <cell r="A543">
            <v>500000</v>
          </cell>
          <cell r="B543" t="str">
            <v>GERENCIA AGRICOLA</v>
          </cell>
        </row>
        <row r="544">
          <cell r="A544">
            <v>500100</v>
          </cell>
          <cell r="B544" t="str">
            <v>GERENCIA AGRICOLA</v>
          </cell>
        </row>
        <row r="545">
          <cell r="A545">
            <v>500101</v>
          </cell>
          <cell r="B545" t="str">
            <v>Gerência Agrícola Corporativa</v>
          </cell>
        </row>
        <row r="546">
          <cell r="A546">
            <v>500102</v>
          </cell>
          <cell r="B546" t="str">
            <v>GERENCIA AGRICOLA</v>
          </cell>
        </row>
        <row r="547">
          <cell r="A547">
            <v>500199</v>
          </cell>
          <cell r="B547" t="str">
            <v>Manutenção de Entressafra</v>
          </cell>
        </row>
        <row r="548">
          <cell r="A548">
            <v>500200</v>
          </cell>
          <cell r="B548" t="str">
            <v>APOIO TECNICO</v>
          </cell>
        </row>
        <row r="549">
          <cell r="A549">
            <v>500202</v>
          </cell>
          <cell r="B549" t="str">
            <v>CONTROLE AGRICOLA</v>
          </cell>
        </row>
        <row r="550">
          <cell r="A550">
            <v>500204</v>
          </cell>
          <cell r="B550" t="str">
            <v>TECNICOS AGRICOLAS</v>
          </cell>
        </row>
        <row r="551">
          <cell r="A551">
            <v>500206</v>
          </cell>
          <cell r="B551" t="str">
            <v>TOPOGRAFIA</v>
          </cell>
        </row>
        <row r="552">
          <cell r="A552">
            <v>500208</v>
          </cell>
          <cell r="B552" t="str">
            <v>NOVOS PROJETOS</v>
          </cell>
        </row>
        <row r="553">
          <cell r="A553">
            <v>500210</v>
          </cell>
          <cell r="B553" t="str">
            <v>Lavanderia</v>
          </cell>
        </row>
        <row r="554">
          <cell r="A554">
            <v>500212</v>
          </cell>
          <cell r="B554" t="str">
            <v>SUPERVISÃO CCT</v>
          </cell>
        </row>
        <row r="555">
          <cell r="A555">
            <v>500214</v>
          </cell>
          <cell r="B555" t="str">
            <v>SUPERVISÃO DE PRODUÇÃO</v>
          </cell>
        </row>
        <row r="556">
          <cell r="A556">
            <v>500222</v>
          </cell>
          <cell r="B556" t="str">
            <v>CONTROLE DE TRÁFEGO (CENTRAL)</v>
          </cell>
        </row>
        <row r="557">
          <cell r="A557">
            <v>500224</v>
          </cell>
          <cell r="B557" t="str">
            <v>CONTROLE BIOLÓGICO</v>
          </cell>
        </row>
        <row r="558">
          <cell r="A558">
            <v>500299</v>
          </cell>
          <cell r="B558" t="str">
            <v>Manutenção de Entressafra</v>
          </cell>
        </row>
        <row r="559">
          <cell r="A559">
            <v>500300</v>
          </cell>
          <cell r="B559" t="str">
            <v>ADMINISTRAÇÃO DE RURAL</v>
          </cell>
        </row>
        <row r="560">
          <cell r="A560">
            <v>500302</v>
          </cell>
          <cell r="B560" t="str">
            <v>MDO FISCAIS CAMPO</v>
          </cell>
        </row>
        <row r="561">
          <cell r="A561">
            <v>500304</v>
          </cell>
          <cell r="B561" t="str">
            <v>MO QUEIMA DE CANA</v>
          </cell>
        </row>
        <row r="562">
          <cell r="A562">
            <v>500306</v>
          </cell>
          <cell r="B562" t="str">
            <v>MDO BITUCA</v>
          </cell>
        </row>
        <row r="563">
          <cell r="A563">
            <v>500308</v>
          </cell>
          <cell r="B563" t="str">
            <v>MDO CATAÇÃO QUIMICA</v>
          </cell>
        </row>
        <row r="564">
          <cell r="A564">
            <v>500310</v>
          </cell>
          <cell r="B564" t="str">
            <v>MDO RURICULAS - REGIONAIS</v>
          </cell>
        </row>
        <row r="565">
          <cell r="A565">
            <v>500312</v>
          </cell>
          <cell r="B565" t="str">
            <v>ENCARREGADO MDO RURAL</v>
          </cell>
        </row>
        <row r="566">
          <cell r="A566">
            <v>500314</v>
          </cell>
          <cell r="B566" t="str">
            <v>MDO RURICULAS - MIGRANTES</v>
          </cell>
        </row>
        <row r="567">
          <cell r="A567">
            <v>500399</v>
          </cell>
          <cell r="B567" t="str">
            <v>Manutenção de Entressafra</v>
          </cell>
        </row>
        <row r="568">
          <cell r="A568">
            <v>500400</v>
          </cell>
          <cell r="B568" t="str">
            <v>FERTIRRIGAÇÃO (ESTRUTURA)</v>
          </cell>
        </row>
        <row r="569">
          <cell r="A569">
            <v>500401</v>
          </cell>
          <cell r="B569" t="str">
            <v>ESTRUTURA FERTIRRIGAÇÃO</v>
          </cell>
        </row>
        <row r="570">
          <cell r="A570">
            <v>500402</v>
          </cell>
          <cell r="B570" t="str">
            <v>MANUT CANAIS DE VINHAÇA</v>
          </cell>
        </row>
        <row r="571">
          <cell r="A571">
            <v>500406</v>
          </cell>
          <cell r="B571" t="str">
            <v>DISTRIBUIÇAO DE VINHAÇA</v>
          </cell>
        </row>
        <row r="572">
          <cell r="A572">
            <v>500499</v>
          </cell>
          <cell r="B572" t="str">
            <v>Manutenção de Entressafra</v>
          </cell>
        </row>
        <row r="573">
          <cell r="A573">
            <v>500500</v>
          </cell>
          <cell r="B573" t="str">
            <v>MANUTENÇÃ AUTOMOTIVA</v>
          </cell>
        </row>
        <row r="574">
          <cell r="A574">
            <v>500502</v>
          </cell>
          <cell r="B574" t="str">
            <v>OFICINA MECANICA</v>
          </cell>
        </row>
        <row r="575">
          <cell r="A575">
            <v>500506</v>
          </cell>
          <cell r="B575" t="str">
            <v>POSTO DE LAVAGEM / LUBRIFICAÇÃO</v>
          </cell>
        </row>
        <row r="576">
          <cell r="A576">
            <v>500516</v>
          </cell>
          <cell r="B576" t="str">
            <v>BORRACHEIRO</v>
          </cell>
        </row>
        <row r="577">
          <cell r="A577">
            <v>500599</v>
          </cell>
          <cell r="B577" t="str">
            <v>Manutenção de Entressafra</v>
          </cell>
        </row>
        <row r="578">
          <cell r="A578">
            <v>500700</v>
          </cell>
          <cell r="B578" t="str">
            <v>MAO DE OBRA APONTADA</v>
          </cell>
        </row>
        <row r="579">
          <cell r="A579">
            <v>500702</v>
          </cell>
          <cell r="B579" t="str">
            <v>MOTORISTAS TRANSP CANA</v>
          </cell>
        </row>
        <row r="580">
          <cell r="A580">
            <v>500704</v>
          </cell>
          <cell r="B580" t="str">
            <v>MOTORISTAS DIVERSOS</v>
          </cell>
        </row>
        <row r="581">
          <cell r="A581">
            <v>500706</v>
          </cell>
          <cell r="B581" t="str">
            <v>CARREGADORES</v>
          </cell>
        </row>
        <row r="582">
          <cell r="A582">
            <v>500708</v>
          </cell>
          <cell r="B582" t="str">
            <v>REBOCADORES</v>
          </cell>
        </row>
        <row r="583">
          <cell r="A583">
            <v>500710</v>
          </cell>
          <cell r="B583" t="str">
            <v>OPERADORES DE COLHEDORAS</v>
          </cell>
        </row>
        <row r="584">
          <cell r="A584">
            <v>500712</v>
          </cell>
          <cell r="B584" t="str">
            <v>MOTORISTAS TRANBORDOS</v>
          </cell>
        </row>
        <row r="585">
          <cell r="A585">
            <v>500714</v>
          </cell>
          <cell r="B585" t="str">
            <v>TRATORISTAS MAQ LEVES</v>
          </cell>
        </row>
        <row r="586">
          <cell r="A586">
            <v>500716</v>
          </cell>
          <cell r="B586" t="str">
            <v>TRATORISTAS MAQ MEDIAS</v>
          </cell>
        </row>
        <row r="587">
          <cell r="A587">
            <v>500718</v>
          </cell>
          <cell r="B587" t="str">
            <v>TRATORISTAS MAQ PESADAS</v>
          </cell>
        </row>
        <row r="588">
          <cell r="A588">
            <v>500720</v>
          </cell>
          <cell r="B588" t="str">
            <v>MOTORISTA TRANSPORTE DE APOIO</v>
          </cell>
        </row>
        <row r="589">
          <cell r="A589">
            <v>500722</v>
          </cell>
          <cell r="B589" t="str">
            <v>MDO LÍDERES/FÍSCAIS DE OPERAÇÃO</v>
          </cell>
        </row>
        <row r="590">
          <cell r="A590">
            <v>500724</v>
          </cell>
          <cell r="B590" t="str">
            <v>AUXILIAR DE CONTROLE DE QUALIDADE</v>
          </cell>
        </row>
        <row r="591">
          <cell r="A591">
            <v>500726</v>
          </cell>
          <cell r="B591" t="str">
            <v>AUXILIARES CONTROLE BIOLÓGICO</v>
          </cell>
        </row>
        <row r="592">
          <cell r="A592">
            <v>500790</v>
          </cell>
          <cell r="B592" t="str">
            <v>FUNCIONARIOS DE TERCEIROS</v>
          </cell>
        </row>
        <row r="593">
          <cell r="A593">
            <v>500799</v>
          </cell>
          <cell r="B593" t="str">
            <v>Manutenção de Entressafra</v>
          </cell>
        </row>
        <row r="594">
          <cell r="A594">
            <v>501000</v>
          </cell>
          <cell r="B594" t="str">
            <v>CULTURA DE CANA</v>
          </cell>
        </row>
        <row r="595">
          <cell r="A595">
            <v>501002</v>
          </cell>
          <cell r="B595" t="str">
            <v>PREPARO DE SOLO</v>
          </cell>
        </row>
        <row r="596">
          <cell r="A596">
            <v>501004</v>
          </cell>
          <cell r="B596" t="str">
            <v>COLHEITA DE MUDA</v>
          </cell>
        </row>
        <row r="597">
          <cell r="A597">
            <v>501006</v>
          </cell>
          <cell r="B597" t="str">
            <v>COLHEITA DE MUDA - TERCEIROS</v>
          </cell>
        </row>
        <row r="598">
          <cell r="A598">
            <v>501008</v>
          </cell>
          <cell r="B598" t="str">
            <v>PLANTIO DE CANA</v>
          </cell>
        </row>
        <row r="599">
          <cell r="A599">
            <v>501010</v>
          </cell>
          <cell r="B599" t="str">
            <v>TRATOS CANA PLANTA</v>
          </cell>
        </row>
        <row r="600">
          <cell r="A600">
            <v>501012</v>
          </cell>
          <cell r="B600" t="str">
            <v>TRATOS CANA SOCA</v>
          </cell>
        </row>
        <row r="601">
          <cell r="A601">
            <v>501014</v>
          </cell>
          <cell r="B601" t="str">
            <v>COLHEITA MANUAL</v>
          </cell>
        </row>
        <row r="602">
          <cell r="A602">
            <v>501016</v>
          </cell>
          <cell r="B602" t="str">
            <v>COLHEITA MECANIZADA</v>
          </cell>
        </row>
        <row r="603">
          <cell r="A603">
            <v>501018</v>
          </cell>
          <cell r="B603" t="str">
            <v>Pátio de compostagem</v>
          </cell>
        </row>
        <row r="604">
          <cell r="A604">
            <v>501020</v>
          </cell>
          <cell r="B604" t="str">
            <v>Replantio de Cana Planta</v>
          </cell>
        </row>
        <row r="605">
          <cell r="A605">
            <v>501022</v>
          </cell>
          <cell r="B605" t="str">
            <v>Replantio da Cana Soca</v>
          </cell>
        </row>
        <row r="606">
          <cell r="A606">
            <v>501099</v>
          </cell>
          <cell r="B606" t="str">
            <v>Manutenção de Entressafra</v>
          </cell>
        </row>
        <row r="607">
          <cell r="A607">
            <v>501100</v>
          </cell>
          <cell r="B607" t="str">
            <v>OUTRAS CULTURAS</v>
          </cell>
        </row>
        <row r="608">
          <cell r="A608">
            <v>501102</v>
          </cell>
          <cell r="B608" t="str">
            <v>REFLORESTAMENTO</v>
          </cell>
        </row>
        <row r="609">
          <cell r="A609">
            <v>501106</v>
          </cell>
          <cell r="B609" t="str">
            <v>EXPERIMENTO</v>
          </cell>
        </row>
        <row r="610">
          <cell r="A610">
            <v>501108</v>
          </cell>
          <cell r="B610" t="str">
            <v>ADUBACAO VERDE</v>
          </cell>
        </row>
        <row r="611">
          <cell r="A611">
            <v>501112</v>
          </cell>
          <cell r="B611" t="str">
            <v>OUTROS SERVICOS</v>
          </cell>
        </row>
        <row r="612">
          <cell r="A612">
            <v>501199</v>
          </cell>
          <cell r="B612" t="str">
            <v>Manutenção de Entressafra</v>
          </cell>
        </row>
        <row r="613">
          <cell r="A613">
            <v>509900</v>
          </cell>
          <cell r="B613" t="str">
            <v>CUSTO FINAL DE PRODUCAO</v>
          </cell>
        </row>
        <row r="614">
          <cell r="A614">
            <v>509902</v>
          </cell>
          <cell r="B614" t="str">
            <v>CUSTO MATERIA-PRIMA</v>
          </cell>
        </row>
        <row r="615">
          <cell r="A615">
            <v>509999</v>
          </cell>
          <cell r="B615" t="str">
            <v>Manutenção de Entressafra</v>
          </cell>
        </row>
        <row r="616">
          <cell r="A616">
            <v>600000</v>
          </cell>
          <cell r="B616" t="str">
            <v>CONSERVACAO GERAL/BENFEITORIAS</v>
          </cell>
        </row>
        <row r="617">
          <cell r="A617">
            <v>600200</v>
          </cell>
          <cell r="B617" t="str">
            <v>CONSERVACAO DE SEDES</v>
          </cell>
        </row>
        <row r="618">
          <cell r="A618">
            <v>600400</v>
          </cell>
          <cell r="B618" t="str">
            <v>CONSTR.E CONSERVACAO DEPENDENCIAS</v>
          </cell>
        </row>
        <row r="619">
          <cell r="A619">
            <v>600600</v>
          </cell>
          <cell r="B619" t="str">
            <v>CONSTR.E CONSERVACAO DE CERCAS</v>
          </cell>
        </row>
        <row r="620">
          <cell r="A620">
            <v>600800</v>
          </cell>
          <cell r="B620" t="str">
            <v>CONSTR.E CONSERVACAO DE ESTRADAS</v>
          </cell>
        </row>
        <row r="621">
          <cell r="A621">
            <v>601000</v>
          </cell>
          <cell r="B621" t="str">
            <v>CONSERVACAO PATIOS - INDUSTRIA</v>
          </cell>
        </row>
        <row r="622">
          <cell r="A622">
            <v>601200</v>
          </cell>
          <cell r="B622" t="str">
            <v>CONSERVACAO PATIOS - ADMINISTRACAO</v>
          </cell>
        </row>
        <row r="623">
          <cell r="A623">
            <v>601400</v>
          </cell>
          <cell r="B623" t="str">
            <v>URBANIZACAO E LIMPEZA</v>
          </cell>
        </row>
        <row r="624">
          <cell r="A624">
            <v>601499</v>
          </cell>
          <cell r="B624" t="str">
            <v>Manutenção de Entressafra</v>
          </cell>
        </row>
        <row r="625">
          <cell r="A625">
            <v>601600</v>
          </cell>
          <cell r="B625" t="str">
            <v>Rede de Tratamento de Água e Esgoto</v>
          </cell>
        </row>
        <row r="626">
          <cell r="A626">
            <v>700000</v>
          </cell>
          <cell r="B626" t="str">
            <v>GRUPOS OPERATIVOS</v>
          </cell>
        </row>
        <row r="627">
          <cell r="A627">
            <v>700100</v>
          </cell>
          <cell r="B627" t="str">
            <v>CAMINHOES</v>
          </cell>
        </row>
        <row r="628">
          <cell r="A628">
            <v>700102</v>
          </cell>
          <cell r="B628" t="str">
            <v>CAMINHÕES CANAVIEIRO (ALUGADO)</v>
          </cell>
        </row>
        <row r="629">
          <cell r="A629">
            <v>700103</v>
          </cell>
          <cell r="B629" t="str">
            <v>CAMINHÕES CANAVIEIRO ( PROPRIO)</v>
          </cell>
        </row>
        <row r="630">
          <cell r="A630">
            <v>700104</v>
          </cell>
          <cell r="B630" t="str">
            <v>CAMINHÕES BASCULANTE ( ALUGADO)</v>
          </cell>
        </row>
        <row r="631">
          <cell r="A631">
            <v>700105</v>
          </cell>
          <cell r="B631" t="str">
            <v>CAMINHÕES BASCULANTE ( PRÓPRIO)</v>
          </cell>
        </row>
        <row r="632">
          <cell r="A632">
            <v>700106</v>
          </cell>
          <cell r="B632" t="str">
            <v>CAMINHÕES PIPA ( ALUGADO )</v>
          </cell>
        </row>
        <row r="633">
          <cell r="A633">
            <v>700107</v>
          </cell>
          <cell r="B633" t="str">
            <v>CAMINHÕES PIPA ( PROPRIO)</v>
          </cell>
        </row>
        <row r="634">
          <cell r="A634">
            <v>700108</v>
          </cell>
          <cell r="B634" t="str">
            <v>CAMINHOES COMBOIO ( ALUGADO)</v>
          </cell>
        </row>
        <row r="635">
          <cell r="A635">
            <v>700109</v>
          </cell>
          <cell r="B635" t="str">
            <v>CAMINHÕES COMBOIO ( PRÓPRIO)</v>
          </cell>
        </row>
        <row r="636">
          <cell r="A636">
            <v>700110</v>
          </cell>
          <cell r="B636" t="str">
            <v>CAMINHÕES CARGA SECA (ALUGADO)</v>
          </cell>
        </row>
        <row r="637">
          <cell r="A637">
            <v>700111</v>
          </cell>
          <cell r="B637" t="str">
            <v>CAMINHÕES CARGA SECA (PRÓPRIO)</v>
          </cell>
        </row>
        <row r="638">
          <cell r="A638">
            <v>700112</v>
          </cell>
          <cell r="B638" t="str">
            <v>CAMINHÕES PRANCHA (ALUGADO)</v>
          </cell>
        </row>
        <row r="639">
          <cell r="A639">
            <v>700113</v>
          </cell>
          <cell r="B639" t="str">
            <v>CAMINHÕES PRANCHA ( PRÓPRIO)</v>
          </cell>
        </row>
        <row r="640">
          <cell r="A640">
            <v>700114</v>
          </cell>
          <cell r="B640" t="str">
            <v>CAMINHOES MUNCK ( ALUGADO)</v>
          </cell>
        </row>
        <row r="641">
          <cell r="A641">
            <v>700115</v>
          </cell>
          <cell r="B641" t="str">
            <v>CAMINHÕES MUNCK ( PRÓPRIO)</v>
          </cell>
        </row>
        <row r="642">
          <cell r="A642">
            <v>700116</v>
          </cell>
          <cell r="B642" t="str">
            <v>CAMINHÕES BORRACHARIA ( ALUGADO)</v>
          </cell>
        </row>
        <row r="643">
          <cell r="A643">
            <v>700117</v>
          </cell>
          <cell r="B643" t="str">
            <v>CAMINHÕES BORRACHARIA ( PRÓPRIO)</v>
          </cell>
        </row>
        <row r="644">
          <cell r="A644">
            <v>700118</v>
          </cell>
          <cell r="B644" t="str">
            <v>CAMINHÕES OFICINA (ALUGADO)</v>
          </cell>
        </row>
        <row r="645">
          <cell r="A645">
            <v>700119</v>
          </cell>
          <cell r="B645" t="str">
            <v>CAMINHÕES OFICINA ( PRÓPRIO)</v>
          </cell>
        </row>
        <row r="646">
          <cell r="A646">
            <v>700199</v>
          </cell>
          <cell r="B646" t="str">
            <v>Manutenção de Entressafra</v>
          </cell>
        </row>
        <row r="647">
          <cell r="A647">
            <v>700200</v>
          </cell>
          <cell r="B647" t="str">
            <v>TRATORES/MAQUINAS/COLHEDORAS</v>
          </cell>
        </row>
        <row r="648">
          <cell r="A648">
            <v>700202</v>
          </cell>
          <cell r="B648" t="str">
            <v>TRATORES PNEUS - LEVES (ALUGADO)</v>
          </cell>
        </row>
        <row r="649">
          <cell r="A649">
            <v>700203</v>
          </cell>
          <cell r="B649" t="str">
            <v>TRATORES PNEUS - LEVES ( PRÓPRIO)</v>
          </cell>
        </row>
        <row r="650">
          <cell r="A650">
            <v>700204</v>
          </cell>
          <cell r="B650" t="str">
            <v>TRATORES PNEUS - MEDIOS (ALUGADO)</v>
          </cell>
        </row>
        <row r="651">
          <cell r="A651">
            <v>700205</v>
          </cell>
          <cell r="B651" t="str">
            <v>TRATORES PNEUS - MEDIOS ( PRÓPRIO)</v>
          </cell>
        </row>
        <row r="652">
          <cell r="A652">
            <v>700206</v>
          </cell>
          <cell r="B652" t="str">
            <v>TRATORES PNEUS - PESADOS ( ALUGADO)</v>
          </cell>
        </row>
        <row r="653">
          <cell r="A653">
            <v>700207</v>
          </cell>
          <cell r="B653" t="str">
            <v>TRATORES PNEUS - PESADOS (PRÓPRIO)</v>
          </cell>
        </row>
        <row r="654">
          <cell r="A654">
            <v>700208</v>
          </cell>
          <cell r="B654" t="str">
            <v>TRATORES ESTEIRAS (ALUGADO)</v>
          </cell>
        </row>
        <row r="655">
          <cell r="A655">
            <v>700209</v>
          </cell>
          <cell r="B655" t="str">
            <v>TRATORES ESTEIRAS ( PRÓPRIO)</v>
          </cell>
        </row>
        <row r="656">
          <cell r="A656">
            <v>700210</v>
          </cell>
          <cell r="B656" t="str">
            <v>RETRO ESCAVADORAS ( ALUGADO)</v>
          </cell>
        </row>
        <row r="657">
          <cell r="A657">
            <v>700211</v>
          </cell>
          <cell r="B657" t="str">
            <v>RETRO ESCAVADORAS ( PRÓPRIO)</v>
          </cell>
        </row>
        <row r="658">
          <cell r="A658">
            <v>700212</v>
          </cell>
          <cell r="B658" t="str">
            <v>MOTONIVELADORAS ( ALUGADO)</v>
          </cell>
        </row>
        <row r="659">
          <cell r="A659">
            <v>700213</v>
          </cell>
          <cell r="B659" t="str">
            <v>MOTONIVELADORAS ( PRÓPRIO)</v>
          </cell>
        </row>
        <row r="660">
          <cell r="A660">
            <v>700214</v>
          </cell>
          <cell r="B660" t="str">
            <v>PA CARREGADORAS ( ALUGADO)</v>
          </cell>
        </row>
        <row r="661">
          <cell r="A661">
            <v>700215</v>
          </cell>
          <cell r="B661" t="str">
            <v>PA CARREGADORAS ( PRÓPRIO)</v>
          </cell>
        </row>
        <row r="662">
          <cell r="A662">
            <v>700216</v>
          </cell>
          <cell r="B662" t="str">
            <v>CARREGADORAS DE CANA ( ALUGADO)</v>
          </cell>
        </row>
        <row r="663">
          <cell r="A663">
            <v>700217</v>
          </cell>
          <cell r="B663" t="str">
            <v>CARREGADORAS DE CANA ( PRÓPRIO)</v>
          </cell>
        </row>
        <row r="664">
          <cell r="A664">
            <v>700218</v>
          </cell>
          <cell r="B664" t="str">
            <v>COLHEDORAS DE CANA (ALUGADO)</v>
          </cell>
        </row>
        <row r="665">
          <cell r="A665">
            <v>700219</v>
          </cell>
          <cell r="B665" t="str">
            <v>COLHEDORAS DE CANA ( PRÓPRIA)</v>
          </cell>
        </row>
        <row r="666">
          <cell r="A666">
            <v>700220</v>
          </cell>
          <cell r="B666" t="str">
            <v>PLANTADORA DE CANA ( ALUGADA)</v>
          </cell>
        </row>
        <row r="667">
          <cell r="A667">
            <v>700221</v>
          </cell>
          <cell r="B667" t="str">
            <v>PLANTADORA DE CANA (PRÓPRIA)</v>
          </cell>
        </row>
        <row r="668">
          <cell r="A668">
            <v>700222</v>
          </cell>
          <cell r="B668" t="str">
            <v>TRATORES PNEUS-SUPER PESADOS (ALUGADOS)</v>
          </cell>
        </row>
        <row r="669">
          <cell r="A669">
            <v>700223</v>
          </cell>
          <cell r="B669" t="str">
            <v>TRATORES PNEUS-SUPER PESADOS (PROPRIO)</v>
          </cell>
        </row>
        <row r="670">
          <cell r="A670">
            <v>700224</v>
          </cell>
          <cell r="B670" t="str">
            <v>CAMINHÕES TRANSBORDOS (ALUGADOS)</v>
          </cell>
        </row>
        <row r="671">
          <cell r="A671">
            <v>700225</v>
          </cell>
          <cell r="B671" t="str">
            <v>CAMINHÕES TRANSBORDOS (PRÓPRIOS)</v>
          </cell>
        </row>
        <row r="672">
          <cell r="A672">
            <v>700299</v>
          </cell>
          <cell r="B672" t="str">
            <v>Manutenção de Entressafra</v>
          </cell>
        </row>
        <row r="673">
          <cell r="A673">
            <v>700300</v>
          </cell>
          <cell r="B673" t="str">
            <v>VEICULOS/UTILITARIOS/ONIBUS</v>
          </cell>
        </row>
        <row r="674">
          <cell r="A674">
            <v>700302</v>
          </cell>
          <cell r="B674" t="str">
            <v>VEICULOS LEVES</v>
          </cell>
        </row>
        <row r="675">
          <cell r="A675">
            <v>700304</v>
          </cell>
          <cell r="B675" t="str">
            <v>CAMINHONETAS/UTILITARIOS</v>
          </cell>
        </row>
        <row r="676">
          <cell r="A676">
            <v>700399</v>
          </cell>
          <cell r="B676" t="str">
            <v>Manutenção de Entressafra</v>
          </cell>
        </row>
        <row r="677">
          <cell r="A677">
            <v>701200</v>
          </cell>
          <cell r="B677" t="str">
            <v>IMPLEMENTOS AGRICOLAS</v>
          </cell>
        </row>
        <row r="678">
          <cell r="A678">
            <v>701202</v>
          </cell>
          <cell r="B678" t="str">
            <v>ACERADORES DE CANA</v>
          </cell>
        </row>
        <row r="679">
          <cell r="A679">
            <v>701204</v>
          </cell>
          <cell r="B679" t="str">
            <v>ARADOS</v>
          </cell>
        </row>
        <row r="680">
          <cell r="A680">
            <v>701206</v>
          </cell>
          <cell r="B680" t="str">
            <v>CARRETAS DE ARRASTO(NAO USE)</v>
          </cell>
        </row>
        <row r="681">
          <cell r="A681">
            <v>701208</v>
          </cell>
          <cell r="B681" t="str">
            <v>CARROCERIAS(NAO USE)</v>
          </cell>
        </row>
        <row r="682">
          <cell r="A682">
            <v>701210</v>
          </cell>
          <cell r="B682" t="str">
            <v>COBRIDORES DE CANA</v>
          </cell>
        </row>
        <row r="683">
          <cell r="A683">
            <v>701212</v>
          </cell>
          <cell r="B683" t="str">
            <v>CONJUNTO DE IRRIGACAO TURBOMAQ</v>
          </cell>
        </row>
        <row r="684">
          <cell r="A684">
            <v>701214</v>
          </cell>
          <cell r="B684" t="str">
            <v>CULTIVADORES</v>
          </cell>
        </row>
        <row r="685">
          <cell r="A685">
            <v>701216</v>
          </cell>
          <cell r="B685" t="str">
            <v>DISTRIBUIDORES DE CALCARIO</v>
          </cell>
        </row>
        <row r="686">
          <cell r="A686">
            <v>701218</v>
          </cell>
          <cell r="B686" t="str">
            <v>DISTRIBUIDORES DE TORTA</v>
          </cell>
        </row>
        <row r="687">
          <cell r="A687">
            <v>701220</v>
          </cell>
          <cell r="B687" t="str">
            <v>ENLEIRADORES DE PALHA</v>
          </cell>
        </row>
        <row r="688">
          <cell r="A688">
            <v>701222</v>
          </cell>
          <cell r="B688" t="str">
            <v>ESTEIRA DE ADUBO</v>
          </cell>
        </row>
        <row r="689">
          <cell r="A689">
            <v>701224</v>
          </cell>
          <cell r="B689" t="str">
            <v>GRADES</v>
          </cell>
        </row>
        <row r="690">
          <cell r="A690">
            <v>701226</v>
          </cell>
          <cell r="B690" t="str">
            <v>DISTRIBUIDORES DE CANA</v>
          </cell>
        </row>
        <row r="691">
          <cell r="A691">
            <v>701228</v>
          </cell>
          <cell r="B691" t="str">
            <v>GUINCHO HIDRAULICO</v>
          </cell>
        </row>
        <row r="692">
          <cell r="A692">
            <v>701230</v>
          </cell>
          <cell r="B692" t="str">
            <v>IMPLEMENTOS DIVERSOS</v>
          </cell>
        </row>
        <row r="693">
          <cell r="A693">
            <v>701232</v>
          </cell>
          <cell r="B693" t="str">
            <v>MOTOBOMBAS</v>
          </cell>
        </row>
        <row r="694">
          <cell r="A694">
            <v>701234</v>
          </cell>
          <cell r="B694" t="str">
            <v>MOTORES ESTACIONARIOS</v>
          </cell>
        </row>
        <row r="695">
          <cell r="A695">
            <v>701236</v>
          </cell>
          <cell r="B695" t="str">
            <v>MOTOSSERA</v>
          </cell>
        </row>
        <row r="696">
          <cell r="A696">
            <v>701238</v>
          </cell>
          <cell r="B696" t="str">
            <v>PULVERIZADORES</v>
          </cell>
        </row>
        <row r="697">
          <cell r="A697">
            <v>701240</v>
          </cell>
          <cell r="B697" t="str">
            <v>REBOQUES CANAVIEIROS</v>
          </cell>
        </row>
        <row r="698">
          <cell r="A698">
            <v>701242</v>
          </cell>
          <cell r="B698" t="str">
            <v>ROCADEIRAS</v>
          </cell>
        </row>
        <row r="699">
          <cell r="A699">
            <v>701244</v>
          </cell>
          <cell r="B699" t="str">
            <v>SUBSOLADORES</v>
          </cell>
        </row>
        <row r="700">
          <cell r="A700">
            <v>701246</v>
          </cell>
          <cell r="B700" t="str">
            <v>SULCADORES</v>
          </cell>
        </row>
        <row r="701">
          <cell r="A701">
            <v>701248</v>
          </cell>
          <cell r="B701" t="str">
            <v>TANQUES DE AGUA</v>
          </cell>
        </row>
        <row r="702">
          <cell r="A702">
            <v>701250</v>
          </cell>
          <cell r="B702" t="str">
            <v>TERRACEADORES</v>
          </cell>
        </row>
        <row r="703">
          <cell r="A703">
            <v>701252</v>
          </cell>
          <cell r="B703" t="str">
            <v>TOMADOR DE AMOSTRA</v>
          </cell>
        </row>
        <row r="704">
          <cell r="A704">
            <v>701254</v>
          </cell>
          <cell r="B704" t="str">
            <v>CONJ. TRANSBORDO (ALUGADO)</v>
          </cell>
        </row>
        <row r="705">
          <cell r="A705">
            <v>701255</v>
          </cell>
          <cell r="B705" t="str">
            <v>CONJ.TRANSBORDO (PRÓPRIO)</v>
          </cell>
        </row>
        <row r="706">
          <cell r="A706">
            <v>701299</v>
          </cell>
          <cell r="B706" t="str">
            <v>Manutenção de Entressafra</v>
          </cell>
        </row>
        <row r="707">
          <cell r="A707">
            <v>701300</v>
          </cell>
          <cell r="B707" t="str">
            <v>IMPLEMENTOS RODOVIÁRIOS</v>
          </cell>
        </row>
        <row r="708">
          <cell r="A708">
            <v>701301</v>
          </cell>
          <cell r="B708" t="str">
            <v>SEMI-REBOQUE CANAVIEIRO</v>
          </cell>
        </row>
        <row r="709">
          <cell r="A709">
            <v>701302</v>
          </cell>
          <cell r="B709" t="str">
            <v>SEMI-REBOQUE PRANCHA</v>
          </cell>
        </row>
        <row r="710">
          <cell r="A710">
            <v>701303</v>
          </cell>
          <cell r="B710" t="str">
            <v>SEMI-REBOQUE TANQUE VINHAÇA</v>
          </cell>
        </row>
        <row r="711">
          <cell r="A711">
            <v>709900</v>
          </cell>
          <cell r="B711" t="str">
            <v>EQUIPAMENTOS DIVERSOS</v>
          </cell>
        </row>
        <row r="712">
          <cell r="A712">
            <v>709902</v>
          </cell>
          <cell r="B712" t="str">
            <v>EQUIPAMENTOS TESTE</v>
          </cell>
        </row>
        <row r="713">
          <cell r="A713">
            <v>709904</v>
          </cell>
          <cell r="B713" t="str">
            <v>Equipamentos Industria</v>
          </cell>
        </row>
        <row r="714">
          <cell r="A714">
            <v>709912</v>
          </cell>
          <cell r="B714" t="str">
            <v>Equip Fornecedores/Acionistas-Diesel</v>
          </cell>
        </row>
        <row r="715">
          <cell r="A715">
            <v>709914</v>
          </cell>
          <cell r="B715" t="str">
            <v>EQUIPAMENTOS DE TERCEIROS</v>
          </cell>
        </row>
        <row r="716">
          <cell r="A716">
            <v>709916</v>
          </cell>
          <cell r="B716" t="str">
            <v>Equipamentos Transporte Açúcar</v>
          </cell>
        </row>
        <row r="717">
          <cell r="A717">
            <v>709999</v>
          </cell>
          <cell r="B717" t="str">
            <v>Manutenção de Entressafra</v>
          </cell>
        </row>
        <row r="718">
          <cell r="A718">
            <v>800000</v>
          </cell>
          <cell r="B718" t="str">
            <v>CANA DE ACIONISTAS\FORNECEDOR</v>
          </cell>
        </row>
        <row r="719">
          <cell r="A719">
            <v>801000</v>
          </cell>
          <cell r="B719" t="str">
            <v>CULTURA DE CANA</v>
          </cell>
        </row>
        <row r="720">
          <cell r="A720">
            <v>801002</v>
          </cell>
          <cell r="B720" t="str">
            <v>PREPARO DE SOLO</v>
          </cell>
        </row>
        <row r="721">
          <cell r="A721">
            <v>801004</v>
          </cell>
          <cell r="B721" t="str">
            <v>COLHEITA DE MUDA</v>
          </cell>
        </row>
        <row r="722">
          <cell r="A722">
            <v>801006</v>
          </cell>
          <cell r="B722" t="str">
            <v>COLHEITA DE MUDA</v>
          </cell>
        </row>
        <row r="723">
          <cell r="A723">
            <v>801008</v>
          </cell>
          <cell r="B723" t="str">
            <v>PLANTIO DE CANA</v>
          </cell>
        </row>
        <row r="724">
          <cell r="A724">
            <v>801010</v>
          </cell>
          <cell r="B724" t="str">
            <v>TRATOS CANA PLANTA</v>
          </cell>
        </row>
        <row r="725">
          <cell r="A725">
            <v>801012</v>
          </cell>
          <cell r="B725" t="str">
            <v>TRATOS CANA SOCA</v>
          </cell>
        </row>
        <row r="726">
          <cell r="A726">
            <v>801014</v>
          </cell>
          <cell r="B726" t="str">
            <v>COLHEITA MANUAL</v>
          </cell>
        </row>
        <row r="727">
          <cell r="A727">
            <v>801016</v>
          </cell>
          <cell r="B727" t="str">
            <v>COLHEITA MECANIZADA</v>
          </cell>
        </row>
        <row r="728">
          <cell r="A728">
            <v>801020</v>
          </cell>
          <cell r="B728" t="str">
            <v>Replantio de Cana Planta</v>
          </cell>
        </row>
        <row r="729">
          <cell r="A729">
            <v>801099</v>
          </cell>
          <cell r="B729" t="str">
            <v>Manutenção de Entressafra</v>
          </cell>
        </row>
        <row r="730">
          <cell r="A730">
            <v>900000</v>
          </cell>
          <cell r="B730" t="str">
            <v>CENTRO DE CUSTO RATEIOS/INVESTIMENTOS</v>
          </cell>
        </row>
        <row r="731">
          <cell r="A731">
            <v>900100</v>
          </cell>
          <cell r="B731" t="str">
            <v>CENTRO DE CUSTO PARA RATEIOS</v>
          </cell>
        </row>
        <row r="732">
          <cell r="A732">
            <v>900102</v>
          </cell>
          <cell r="B732" t="str">
            <v>CENTRO DE CUSTO PARA RATEIOS</v>
          </cell>
        </row>
        <row r="733">
          <cell r="A733">
            <v>900104</v>
          </cell>
          <cell r="B733" t="str">
            <v>IMPLANTAÇÃO DE SALDO</v>
          </cell>
        </row>
        <row r="734">
          <cell r="A734">
            <v>950000</v>
          </cell>
          <cell r="B734" t="str">
            <v>INVESTIMENTOS</v>
          </cell>
        </row>
        <row r="735">
          <cell r="A735">
            <v>950100</v>
          </cell>
          <cell r="B735" t="str">
            <v>OBRAS EM ANDAMENTO</v>
          </cell>
        </row>
        <row r="736">
          <cell r="A736">
            <v>950101</v>
          </cell>
          <cell r="B736" t="str">
            <v>INVESTIMENTO FABRICA ACUCAR</v>
          </cell>
        </row>
        <row r="737">
          <cell r="A737">
            <v>950102</v>
          </cell>
          <cell r="B737" t="str">
            <v>REFORMA MOENDA 2012</v>
          </cell>
        </row>
        <row r="738">
          <cell r="A738">
            <v>100000</v>
          </cell>
          <cell r="B738" t="str">
            <v>DIRETORIA/CONSELHO/SUPERINTENDENCIA</v>
          </cell>
        </row>
        <row r="739">
          <cell r="A739">
            <v>100100</v>
          </cell>
          <cell r="B739" t="str">
            <v>CONSELHO DE ADMINISTRACAO/FISCAL</v>
          </cell>
        </row>
        <row r="740">
          <cell r="A740">
            <v>100102</v>
          </cell>
          <cell r="B740" t="str">
            <v>CONSELHEIRO ADMINISTRATIVO/FISCAL</v>
          </cell>
        </row>
        <row r="741">
          <cell r="A741">
            <v>100104</v>
          </cell>
          <cell r="B741" t="str">
            <v>CONSELHO CONSULTIVO</v>
          </cell>
        </row>
        <row r="742">
          <cell r="A742">
            <v>100106</v>
          </cell>
          <cell r="B742" t="str">
            <v>CONSELHO FISCAL</v>
          </cell>
        </row>
        <row r="743">
          <cell r="A743">
            <v>100200</v>
          </cell>
          <cell r="B743" t="str">
            <v>DIRETORIA</v>
          </cell>
        </row>
        <row r="744">
          <cell r="A744">
            <v>100202</v>
          </cell>
          <cell r="B744" t="str">
            <v>DIRETOR PRESIDENTE</v>
          </cell>
        </row>
        <row r="745">
          <cell r="A745">
            <v>100204</v>
          </cell>
          <cell r="B745" t="str">
            <v>DIRETOR EXECUTIVO</v>
          </cell>
        </row>
        <row r="746">
          <cell r="A746">
            <v>100206</v>
          </cell>
          <cell r="B746" t="str">
            <v>SECRETARIA</v>
          </cell>
        </row>
        <row r="747">
          <cell r="A747">
            <v>100207</v>
          </cell>
          <cell r="B747" t="str">
            <v>Diretor Administrativo/Financeiro</v>
          </cell>
        </row>
        <row r="748">
          <cell r="A748">
            <v>100208</v>
          </cell>
          <cell r="B748" t="str">
            <v>Diretor Comercial</v>
          </cell>
        </row>
        <row r="749">
          <cell r="A749">
            <v>100210</v>
          </cell>
          <cell r="B749" t="str">
            <v>Relação com Investidores</v>
          </cell>
        </row>
        <row r="750">
          <cell r="A750">
            <v>100300</v>
          </cell>
          <cell r="B750" t="str">
            <v>SUPERINTENDENCIA</v>
          </cell>
        </row>
        <row r="751">
          <cell r="A751">
            <v>100302</v>
          </cell>
          <cell r="B751" t="str">
            <v>SUP.CONTROLADORIA E GESTAO</v>
          </cell>
        </row>
        <row r="752">
          <cell r="A752">
            <v>100304</v>
          </cell>
          <cell r="B752" t="str">
            <v>SUP.PRODUCAO INDUSTRIAL E AGRICOLA</v>
          </cell>
        </row>
        <row r="753">
          <cell r="A753">
            <v>100306</v>
          </cell>
          <cell r="B753" t="str">
            <v>SUP.FINANCEIRA</v>
          </cell>
        </row>
        <row r="754">
          <cell r="A754">
            <v>100308</v>
          </cell>
          <cell r="B754" t="str">
            <v>SUP.COMERCIAL</v>
          </cell>
        </row>
        <row r="755">
          <cell r="A755">
            <v>100400</v>
          </cell>
          <cell r="B755" t="str">
            <v>ESCRITORIO DE SAO PAULO</v>
          </cell>
        </row>
        <row r="756">
          <cell r="A756">
            <v>100402</v>
          </cell>
          <cell r="B756" t="str">
            <v>ESCRITORIO DE SÃO PAULO - MATRIZ</v>
          </cell>
        </row>
        <row r="757">
          <cell r="A757">
            <v>100500</v>
          </cell>
          <cell r="B757" t="str">
            <v>ASSESSORIA DE IMPRENSA</v>
          </cell>
        </row>
        <row r="758">
          <cell r="A758">
            <v>100501</v>
          </cell>
          <cell r="B758" t="str">
            <v>ASSESSORIA DE IMPRENSA</v>
          </cell>
        </row>
        <row r="759">
          <cell r="A759">
            <v>200000</v>
          </cell>
          <cell r="B759" t="str">
            <v>ADMINISTRACAO CORPORATIVA</v>
          </cell>
        </row>
        <row r="760">
          <cell r="A760">
            <v>200100</v>
          </cell>
          <cell r="B760" t="str">
            <v>GERENCIA ADMINISTRATIVA</v>
          </cell>
        </row>
        <row r="761">
          <cell r="A761">
            <v>200102</v>
          </cell>
          <cell r="B761" t="str">
            <v>ADMINISTRACAO CORPORATIVA</v>
          </cell>
        </row>
        <row r="762">
          <cell r="A762">
            <v>200103</v>
          </cell>
          <cell r="B762" t="str">
            <v>DESPESAS DE CAPACITAÇÕES</v>
          </cell>
        </row>
        <row r="763">
          <cell r="A763">
            <v>200200</v>
          </cell>
          <cell r="B763" t="str">
            <v>DEPTO CONTABILIDADE</v>
          </cell>
        </row>
        <row r="764">
          <cell r="A764">
            <v>200202</v>
          </cell>
          <cell r="B764" t="str">
            <v>CONTABILIDADE/FISCAL/PATRIMONIAL</v>
          </cell>
        </row>
        <row r="765">
          <cell r="A765">
            <v>200204</v>
          </cell>
          <cell r="B765" t="str">
            <v>CONSULTORIA EXTERNA</v>
          </cell>
        </row>
        <row r="766">
          <cell r="A766">
            <v>200300</v>
          </cell>
          <cell r="B766" t="str">
            <v>Departamento Fiscal</v>
          </cell>
        </row>
        <row r="767">
          <cell r="A767">
            <v>200302</v>
          </cell>
          <cell r="B767" t="str">
            <v>Fiscal</v>
          </cell>
        </row>
        <row r="768">
          <cell r="A768">
            <v>200400</v>
          </cell>
          <cell r="B768" t="str">
            <v>RECURSOS HUMANOS</v>
          </cell>
        </row>
        <row r="769">
          <cell r="A769">
            <v>200402</v>
          </cell>
          <cell r="B769" t="str">
            <v>ADMINSITRAÇÃO RECURSOS HUMANOS</v>
          </cell>
        </row>
        <row r="770">
          <cell r="A770">
            <v>200404</v>
          </cell>
          <cell r="B770" t="str">
            <v>CARGOS E SALARIOS</v>
          </cell>
        </row>
        <row r="771">
          <cell r="A771">
            <v>200406</v>
          </cell>
          <cell r="B771" t="str">
            <v>ADMINISTRAÇÃO DE PESSOAL</v>
          </cell>
        </row>
        <row r="772">
          <cell r="A772">
            <v>200408</v>
          </cell>
          <cell r="B772" t="str">
            <v>RECRUTAMENTO E SELECAO</v>
          </cell>
        </row>
        <row r="773">
          <cell r="A773">
            <v>200410</v>
          </cell>
          <cell r="B773" t="str">
            <v>ASSISTÊNCIA SOCIAL</v>
          </cell>
        </row>
        <row r="774">
          <cell r="A774">
            <v>200600</v>
          </cell>
          <cell r="B774" t="str">
            <v>CUSTO E ORCAMENTO</v>
          </cell>
        </row>
        <row r="775">
          <cell r="A775">
            <v>200602</v>
          </cell>
          <cell r="B775" t="str">
            <v>CUSTOS E ORÇAMENTOS</v>
          </cell>
        </row>
        <row r="776">
          <cell r="A776">
            <v>200700</v>
          </cell>
          <cell r="B776" t="str">
            <v>Administração de Contratos</v>
          </cell>
        </row>
        <row r="777">
          <cell r="A777">
            <v>200702</v>
          </cell>
          <cell r="B777" t="str">
            <v>Contratos</v>
          </cell>
        </row>
        <row r="778">
          <cell r="A778">
            <v>200800</v>
          </cell>
          <cell r="B778" t="str">
            <v>TECNOLOGIA DA INFORMACAO</v>
          </cell>
        </row>
        <row r="779">
          <cell r="A779">
            <v>200802</v>
          </cell>
          <cell r="B779" t="str">
            <v>TECNOLOGIA DA INFORMAÇÃO</v>
          </cell>
        </row>
        <row r="780">
          <cell r="A780">
            <v>201000</v>
          </cell>
          <cell r="B780" t="str">
            <v>SUPRIMENTOS</v>
          </cell>
        </row>
        <row r="781">
          <cell r="A781">
            <v>201002</v>
          </cell>
          <cell r="B781" t="str">
            <v>COMPRAS</v>
          </cell>
        </row>
        <row r="782">
          <cell r="A782">
            <v>201099</v>
          </cell>
          <cell r="B782" t="str">
            <v>Manutenção de Entressafra</v>
          </cell>
        </row>
        <row r="783">
          <cell r="A783">
            <v>201200</v>
          </cell>
          <cell r="B783" t="str">
            <v>COMERCIAL</v>
          </cell>
        </row>
        <row r="784">
          <cell r="A784">
            <v>201202</v>
          </cell>
          <cell r="B784" t="str">
            <v>COMERCIAL</v>
          </cell>
        </row>
        <row r="785">
          <cell r="A785">
            <v>201204</v>
          </cell>
          <cell r="B785" t="str">
            <v>COMERCIALIZAÇÃO</v>
          </cell>
        </row>
        <row r="786">
          <cell r="A786">
            <v>201299</v>
          </cell>
          <cell r="B786" t="str">
            <v>Manutenção de Entressafra</v>
          </cell>
        </row>
        <row r="787">
          <cell r="A787">
            <v>201400</v>
          </cell>
          <cell r="B787" t="str">
            <v>FINANCEIRO</v>
          </cell>
        </row>
        <row r="788">
          <cell r="A788">
            <v>201402</v>
          </cell>
          <cell r="B788" t="str">
            <v>ADMINISTRAÇÃO FINANCEIRA</v>
          </cell>
        </row>
        <row r="789">
          <cell r="A789">
            <v>201404</v>
          </cell>
          <cell r="B789" t="str">
            <v>TESOURARIA</v>
          </cell>
        </row>
        <row r="790">
          <cell r="A790">
            <v>201600</v>
          </cell>
          <cell r="B790" t="str">
            <v>JURIDICO</v>
          </cell>
        </row>
        <row r="791">
          <cell r="A791">
            <v>201602</v>
          </cell>
          <cell r="B791" t="str">
            <v>JURÍDICO</v>
          </cell>
        </row>
        <row r="792">
          <cell r="A792">
            <v>201604</v>
          </cell>
          <cell r="B792" t="str">
            <v>CONSULTORIA JURÍDICA EXTERNA</v>
          </cell>
        </row>
        <row r="793">
          <cell r="A793">
            <v>201800</v>
          </cell>
          <cell r="B793" t="str">
            <v>CONTROLE INTERNO</v>
          </cell>
        </row>
        <row r="794">
          <cell r="A794">
            <v>201802</v>
          </cell>
          <cell r="B794" t="str">
            <v>CONTROLE INTERNO</v>
          </cell>
        </row>
        <row r="795">
          <cell r="A795">
            <v>202000</v>
          </cell>
          <cell r="B795" t="str">
            <v>MEIO AMBIENTE</v>
          </cell>
        </row>
        <row r="796">
          <cell r="A796">
            <v>202002</v>
          </cell>
          <cell r="B796" t="str">
            <v>MEIO AMBIENTE</v>
          </cell>
        </row>
        <row r="797">
          <cell r="A797">
            <v>300000</v>
          </cell>
          <cell r="B797" t="str">
            <v>ADMINISTRACAO LOCAL</v>
          </cell>
        </row>
        <row r="798">
          <cell r="A798">
            <v>300200</v>
          </cell>
          <cell r="B798" t="str">
            <v>DEPTO CONTABIL/FISCAL</v>
          </cell>
        </row>
        <row r="799">
          <cell r="A799">
            <v>300206</v>
          </cell>
          <cell r="B799" t="str">
            <v>FATURAMENTO</v>
          </cell>
        </row>
        <row r="800">
          <cell r="A800">
            <v>300208</v>
          </cell>
          <cell r="B800" t="str">
            <v>RECEBIMENTO FISCAL</v>
          </cell>
        </row>
        <row r="801">
          <cell r="A801">
            <v>300210</v>
          </cell>
          <cell r="B801" t="str">
            <v>BALANÇA ENTRADA CANA</v>
          </cell>
        </row>
        <row r="802">
          <cell r="A802">
            <v>300400</v>
          </cell>
          <cell r="B802" t="str">
            <v>RECURSOS HUMANOS</v>
          </cell>
        </row>
        <row r="803">
          <cell r="A803">
            <v>300404</v>
          </cell>
          <cell r="B803" t="str">
            <v>ADMINISTRACAO DE PESSOAL</v>
          </cell>
        </row>
        <row r="804">
          <cell r="A804">
            <v>300410</v>
          </cell>
          <cell r="B804" t="str">
            <v>MEDICINA DO TRABALHO</v>
          </cell>
        </row>
        <row r="805">
          <cell r="A805">
            <v>300412</v>
          </cell>
          <cell r="B805" t="str">
            <v>SEGURANCA DO TRABALHO</v>
          </cell>
        </row>
        <row r="806">
          <cell r="A806">
            <v>300414</v>
          </cell>
          <cell r="B806" t="str">
            <v>SEGURANCA PATRIMONIAL</v>
          </cell>
        </row>
        <row r="807">
          <cell r="A807">
            <v>300416</v>
          </cell>
          <cell r="B807" t="str">
            <v>RESTAURANTE</v>
          </cell>
        </row>
        <row r="808">
          <cell r="A808">
            <v>300418</v>
          </cell>
          <cell r="B808" t="str">
            <v>ALOJAMENTO</v>
          </cell>
        </row>
        <row r="809">
          <cell r="A809">
            <v>300420</v>
          </cell>
          <cell r="B809" t="str">
            <v>RECEPCAO, COPA E COZINHA</v>
          </cell>
        </row>
        <row r="810">
          <cell r="A810">
            <v>300600</v>
          </cell>
          <cell r="B810" t="str">
            <v>ADMINISTRAÇÃO GERAL</v>
          </cell>
        </row>
        <row r="811">
          <cell r="A811">
            <v>300602</v>
          </cell>
          <cell r="B811" t="str">
            <v>ADMINISTRAÇÃO GERAL</v>
          </cell>
        </row>
        <row r="812">
          <cell r="A812">
            <v>300604</v>
          </cell>
          <cell r="B812" t="str">
            <v>Gerência Geral</v>
          </cell>
        </row>
        <row r="813">
          <cell r="A813">
            <v>300606</v>
          </cell>
          <cell r="B813" t="str">
            <v>Ger.Administracao de Risco e Auditoria</v>
          </cell>
        </row>
        <row r="814">
          <cell r="A814">
            <v>300800</v>
          </cell>
          <cell r="B814" t="str">
            <v>TECNOLOGIA DA INFORMACAO</v>
          </cell>
        </row>
        <row r="815">
          <cell r="A815">
            <v>300802</v>
          </cell>
          <cell r="B815" t="str">
            <v>TECNOLOGIA DA INFORMAÇÃO</v>
          </cell>
        </row>
        <row r="816">
          <cell r="A816">
            <v>301000</v>
          </cell>
          <cell r="B816" t="str">
            <v>SUPRIMENTOS</v>
          </cell>
        </row>
        <row r="817">
          <cell r="A817">
            <v>301002</v>
          </cell>
          <cell r="B817" t="str">
            <v>Almoxarifado Automotivo</v>
          </cell>
        </row>
        <row r="818">
          <cell r="A818">
            <v>301004</v>
          </cell>
          <cell r="B818" t="str">
            <v>Almoxarifado Industrial</v>
          </cell>
        </row>
        <row r="819">
          <cell r="A819">
            <v>301006</v>
          </cell>
          <cell r="B819" t="str">
            <v>POSTO ABASTECIMENTO</v>
          </cell>
        </row>
        <row r="820">
          <cell r="A820">
            <v>301099</v>
          </cell>
          <cell r="B820" t="str">
            <v>Manutenção de Entressafra</v>
          </cell>
        </row>
        <row r="821">
          <cell r="A821">
            <v>301200</v>
          </cell>
          <cell r="B821" t="str">
            <v>DEPTO COMERCIAL</v>
          </cell>
        </row>
        <row r="822">
          <cell r="A822">
            <v>301202</v>
          </cell>
          <cell r="B822" t="str">
            <v>ARMAZENAGEM DE ALCOOL</v>
          </cell>
        </row>
        <row r="823">
          <cell r="A823">
            <v>301204</v>
          </cell>
          <cell r="B823" t="str">
            <v>ARMAZENAGEM DE ACUCAR</v>
          </cell>
        </row>
        <row r="824">
          <cell r="A824">
            <v>301206</v>
          </cell>
          <cell r="B824" t="str">
            <v>CARREGAMENTO</v>
          </cell>
        </row>
        <row r="825">
          <cell r="A825">
            <v>301208</v>
          </cell>
          <cell r="B825" t="str">
            <v>LOGISTICA E TRANSPORTE</v>
          </cell>
        </row>
        <row r="826">
          <cell r="A826">
            <v>301290</v>
          </cell>
          <cell r="B826" t="str">
            <v>LOGISTICA E TRANSPORTE</v>
          </cell>
        </row>
        <row r="827">
          <cell r="A827">
            <v>301299</v>
          </cell>
          <cell r="B827" t="str">
            <v>Manutenção de Entressafra</v>
          </cell>
        </row>
        <row r="828">
          <cell r="A828">
            <v>399990</v>
          </cell>
          <cell r="B828" t="str">
            <v>C.CUSTO NAO APROVAR ORÇAMENTO</v>
          </cell>
        </row>
        <row r="829">
          <cell r="A829">
            <v>399991</v>
          </cell>
          <cell r="B829" t="str">
            <v>C.CUSTO NÂO APROVA ORÇAMENTO</v>
          </cell>
        </row>
        <row r="830">
          <cell r="A830">
            <v>400000</v>
          </cell>
          <cell r="B830" t="str">
            <v>GERENCIA INDUSTRIAL</v>
          </cell>
        </row>
        <row r="831">
          <cell r="A831">
            <v>400100</v>
          </cell>
          <cell r="B831" t="str">
            <v>GERENCIA INDUSTRIAL</v>
          </cell>
        </row>
        <row r="832">
          <cell r="A832">
            <v>400101</v>
          </cell>
          <cell r="B832" t="str">
            <v>Gerência Industria Corporativa</v>
          </cell>
        </row>
        <row r="833">
          <cell r="A833">
            <v>400102</v>
          </cell>
          <cell r="B833" t="str">
            <v>GERENCIA INDUSTRIAL</v>
          </cell>
        </row>
        <row r="834">
          <cell r="A834">
            <v>400199</v>
          </cell>
          <cell r="B834" t="str">
            <v>Manutenção de Entressafra</v>
          </cell>
        </row>
        <row r="835">
          <cell r="A835">
            <v>400200</v>
          </cell>
          <cell r="B835" t="str">
            <v>APOIO TECNICO INDUSTRIAL</v>
          </cell>
        </row>
        <row r="836">
          <cell r="A836">
            <v>400202</v>
          </cell>
          <cell r="B836" t="str">
            <v>APOIO TECNICO INDUSTRIAL</v>
          </cell>
        </row>
        <row r="837">
          <cell r="A837">
            <v>400400</v>
          </cell>
          <cell r="B837" t="str">
            <v>CONTROLE DE QUALIDADE</v>
          </cell>
        </row>
        <row r="838">
          <cell r="A838">
            <v>400402</v>
          </cell>
          <cell r="B838" t="str">
            <v>LABORATORIO PCTS</v>
          </cell>
        </row>
        <row r="839">
          <cell r="A839">
            <v>400404</v>
          </cell>
          <cell r="B839" t="str">
            <v>LABORATORIO INDUSTRIAL</v>
          </cell>
        </row>
        <row r="840">
          <cell r="A840">
            <v>400406</v>
          </cell>
          <cell r="B840" t="str">
            <v>LABORATORIO MICRO-BIOLOGIA</v>
          </cell>
        </row>
        <row r="841">
          <cell r="A841">
            <v>400499</v>
          </cell>
          <cell r="B841" t="str">
            <v>Manutenção de Entressafra</v>
          </cell>
        </row>
        <row r="842">
          <cell r="A842">
            <v>401000</v>
          </cell>
          <cell r="B842" t="str">
            <v>RECEPCAO / MOAGEM</v>
          </cell>
        </row>
        <row r="843">
          <cell r="A843">
            <v>401002</v>
          </cell>
          <cell r="B843" t="str">
            <v>BARRACAO / LIMPEZA</v>
          </cell>
        </row>
        <row r="844">
          <cell r="A844">
            <v>401004</v>
          </cell>
          <cell r="B844" t="str">
            <v>ALIMENTACAO E PREPARO</v>
          </cell>
        </row>
        <row r="845">
          <cell r="A845">
            <v>401006</v>
          </cell>
          <cell r="B845" t="str">
            <v>MOAGEM CANA</v>
          </cell>
        </row>
        <row r="846">
          <cell r="A846">
            <v>401008</v>
          </cell>
          <cell r="B846" t="str">
            <v>DIFUSOR</v>
          </cell>
        </row>
        <row r="847">
          <cell r="A847">
            <v>401010</v>
          </cell>
          <cell r="B847" t="str">
            <v>DESAGUADOR</v>
          </cell>
        </row>
        <row r="848">
          <cell r="A848">
            <v>401012</v>
          </cell>
          <cell r="B848" t="str">
            <v>Secagem de Bagaço</v>
          </cell>
        </row>
        <row r="849">
          <cell r="A849">
            <v>401099</v>
          </cell>
          <cell r="B849" t="str">
            <v>Manutenção de Entressafra</v>
          </cell>
        </row>
        <row r="850">
          <cell r="A850">
            <v>401400</v>
          </cell>
          <cell r="B850" t="str">
            <v>TRATAMENTO E DISTR.DO CALDO</v>
          </cell>
        </row>
        <row r="851">
          <cell r="A851">
            <v>401402</v>
          </cell>
          <cell r="B851" t="str">
            <v>AQUECIMENTO/TROCADOR CALOR ALCOOL</v>
          </cell>
        </row>
        <row r="852">
          <cell r="A852">
            <v>401404</v>
          </cell>
          <cell r="B852" t="str">
            <v>DECANTACAO DO ALCOOL</v>
          </cell>
        </row>
        <row r="853">
          <cell r="A853">
            <v>401406</v>
          </cell>
          <cell r="B853" t="str">
            <v>PRE-EVAPORACAO DO ALCOOL</v>
          </cell>
        </row>
        <row r="854">
          <cell r="A854">
            <v>401408</v>
          </cell>
          <cell r="B854" t="str">
            <v>AQUECIMENTO/TROCADOR CALOR ACUCAR</v>
          </cell>
        </row>
        <row r="855">
          <cell r="A855">
            <v>401410</v>
          </cell>
          <cell r="B855" t="str">
            <v>CALEACAO</v>
          </cell>
        </row>
        <row r="856">
          <cell r="A856">
            <v>401412</v>
          </cell>
          <cell r="B856" t="str">
            <v>SULFITACAO</v>
          </cell>
        </row>
        <row r="857">
          <cell r="A857">
            <v>401414</v>
          </cell>
          <cell r="B857" t="str">
            <v>DECANTACAO DO ACUCAR</v>
          </cell>
        </row>
        <row r="858">
          <cell r="A858">
            <v>401416</v>
          </cell>
          <cell r="B858" t="str">
            <v>FILTRACAO DO LODO DO ACUCAR</v>
          </cell>
        </row>
        <row r="859">
          <cell r="A859">
            <v>401418</v>
          </cell>
          <cell r="B859" t="str">
            <v>PRE-EVAPORACAO DO ACUCAR</v>
          </cell>
        </row>
        <row r="860">
          <cell r="A860">
            <v>401420</v>
          </cell>
          <cell r="B860" t="str">
            <v>FILTRACAO DO LODO DO ALCOOL</v>
          </cell>
        </row>
        <row r="861">
          <cell r="A861">
            <v>401499</v>
          </cell>
          <cell r="B861" t="str">
            <v>Manutenção de Entressafra</v>
          </cell>
        </row>
        <row r="862">
          <cell r="A862">
            <v>402000</v>
          </cell>
          <cell r="B862" t="str">
            <v>FABRICACAO ALCOOL</v>
          </cell>
        </row>
        <row r="863">
          <cell r="A863">
            <v>402002</v>
          </cell>
          <cell r="B863" t="str">
            <v>PRE-FERMENTACAO</v>
          </cell>
        </row>
        <row r="864">
          <cell r="A864">
            <v>402004</v>
          </cell>
          <cell r="B864" t="str">
            <v>FERMENTACAO</v>
          </cell>
        </row>
        <row r="865">
          <cell r="A865">
            <v>402006</v>
          </cell>
          <cell r="B865" t="str">
            <v>DESTILACAO HIDRATADO</v>
          </cell>
        </row>
        <row r="866">
          <cell r="A866">
            <v>402008</v>
          </cell>
          <cell r="B866" t="str">
            <v>DESTILACAO ANIDRO</v>
          </cell>
        </row>
        <row r="867">
          <cell r="A867">
            <v>402010</v>
          </cell>
          <cell r="B867" t="str">
            <v>TORRE DE RESFRIAMENTO</v>
          </cell>
        </row>
        <row r="868">
          <cell r="A868">
            <v>402012</v>
          </cell>
          <cell r="B868" t="str">
            <v>TANQUE SPRAY</v>
          </cell>
        </row>
        <row r="869">
          <cell r="A869">
            <v>402014</v>
          </cell>
          <cell r="B869" t="str">
            <v>Centrifugação</v>
          </cell>
        </row>
        <row r="870">
          <cell r="A870">
            <v>402016</v>
          </cell>
          <cell r="B870" t="str">
            <v>Evaporação Álcool</v>
          </cell>
        </row>
        <row r="871">
          <cell r="A871">
            <v>402070</v>
          </cell>
          <cell r="B871" t="str">
            <v>EM PROCESSO (FERMENTACAO)</v>
          </cell>
        </row>
        <row r="872">
          <cell r="A872">
            <v>402099</v>
          </cell>
          <cell r="B872" t="str">
            <v>Manutenção de Entressafra</v>
          </cell>
        </row>
        <row r="873">
          <cell r="A873">
            <v>403000</v>
          </cell>
          <cell r="B873" t="str">
            <v>FABRICACAO ACUCAR</v>
          </cell>
        </row>
        <row r="874">
          <cell r="A874">
            <v>403002</v>
          </cell>
          <cell r="B874" t="str">
            <v>EVAPORACAO</v>
          </cell>
        </row>
        <row r="875">
          <cell r="A875">
            <v>403004</v>
          </cell>
          <cell r="B875" t="str">
            <v>COZIMENTO - MASSA A E B</v>
          </cell>
        </row>
        <row r="876">
          <cell r="A876">
            <v>403006</v>
          </cell>
          <cell r="B876" t="str">
            <v>CENTRIFUGACAO</v>
          </cell>
        </row>
        <row r="877">
          <cell r="A877">
            <v>403008</v>
          </cell>
          <cell r="B877" t="str">
            <v>MEL FINAL PARA ALCOOL</v>
          </cell>
        </row>
        <row r="878">
          <cell r="A878">
            <v>403010</v>
          </cell>
          <cell r="B878" t="str">
            <v>SECAGEM</v>
          </cell>
        </row>
        <row r="879">
          <cell r="A879">
            <v>403012</v>
          </cell>
          <cell r="B879" t="str">
            <v>ENSAQUE</v>
          </cell>
        </row>
        <row r="880">
          <cell r="A880">
            <v>403014</v>
          </cell>
          <cell r="B880" t="str">
            <v>TANQUE SPRAY</v>
          </cell>
        </row>
        <row r="881">
          <cell r="A881">
            <v>403070</v>
          </cell>
          <cell r="B881" t="str">
            <v>EM PROCESSO (COZIMENTO)</v>
          </cell>
        </row>
        <row r="882">
          <cell r="A882">
            <v>403099</v>
          </cell>
          <cell r="B882" t="str">
            <v>Manutenção de Entressafra</v>
          </cell>
        </row>
        <row r="883">
          <cell r="A883">
            <v>405000</v>
          </cell>
          <cell r="B883" t="str">
            <v>FABRICACAO LEVEDURA</v>
          </cell>
        </row>
        <row r="884">
          <cell r="A884">
            <v>405002</v>
          </cell>
          <cell r="B884" t="str">
            <v>SECAGEM LEVEDURA</v>
          </cell>
        </row>
        <row r="885">
          <cell r="A885">
            <v>405004</v>
          </cell>
          <cell r="B885" t="str">
            <v>ENSAQUE LEVEDURA</v>
          </cell>
        </row>
        <row r="886">
          <cell r="A886">
            <v>405099</v>
          </cell>
          <cell r="B886" t="str">
            <v>Manutenção de Entressafra</v>
          </cell>
        </row>
        <row r="887">
          <cell r="A887">
            <v>406000</v>
          </cell>
          <cell r="B887" t="str">
            <v>FABRICACAO XAROPE DE CANA</v>
          </cell>
        </row>
        <row r="888">
          <cell r="A888">
            <v>406002</v>
          </cell>
          <cell r="B888" t="str">
            <v>CARREGAMENTO</v>
          </cell>
        </row>
        <row r="889">
          <cell r="A889">
            <v>406099</v>
          </cell>
          <cell r="B889" t="str">
            <v>Manutenção de Entressafra</v>
          </cell>
        </row>
        <row r="890">
          <cell r="A890">
            <v>407000</v>
          </cell>
          <cell r="B890" t="str">
            <v>AUXILIARES</v>
          </cell>
        </row>
        <row r="891">
          <cell r="A891">
            <v>407002</v>
          </cell>
          <cell r="B891" t="str">
            <v>GERACAO E DISTR.VAPOR</v>
          </cell>
        </row>
        <row r="892">
          <cell r="A892">
            <v>407004</v>
          </cell>
          <cell r="B892" t="str">
            <v>GERACAO E DISTR.AR COMPRIMIDO</v>
          </cell>
        </row>
        <row r="893">
          <cell r="A893">
            <v>407006</v>
          </cell>
          <cell r="B893" t="str">
            <v>GERACAO E DISTR.ENERGIA</v>
          </cell>
        </row>
        <row r="894">
          <cell r="A894">
            <v>407008</v>
          </cell>
          <cell r="B894" t="str">
            <v>CAPTACAO DE AGUA</v>
          </cell>
        </row>
        <row r="895">
          <cell r="A895">
            <v>407010</v>
          </cell>
          <cell r="B895" t="str">
            <v>ETA (ESTACAO DE TRATAMENTO AGUA)</v>
          </cell>
        </row>
        <row r="896">
          <cell r="A896">
            <v>407012</v>
          </cell>
          <cell r="B896" t="str">
            <v>PATIO DE BAGACO</v>
          </cell>
        </row>
        <row r="897">
          <cell r="A897">
            <v>407014</v>
          </cell>
          <cell r="B897" t="str">
            <v>HIDROLIZADOR DE BAGACO</v>
          </cell>
        </row>
        <row r="898">
          <cell r="A898">
            <v>407016</v>
          </cell>
          <cell r="B898" t="str">
            <v>ENERGIA ELETRICA ADQUIRIDA</v>
          </cell>
        </row>
        <row r="899">
          <cell r="A899">
            <v>407018</v>
          </cell>
          <cell r="B899" t="str">
            <v>ETALC-Est.Trat.Água LAvagem de Cana</v>
          </cell>
        </row>
        <row r="900">
          <cell r="A900">
            <v>407020</v>
          </cell>
          <cell r="B900" t="str">
            <v>ETE-Estação Tratamento de Esgoto</v>
          </cell>
        </row>
        <row r="901">
          <cell r="A901">
            <v>407022</v>
          </cell>
          <cell r="B901" t="str">
            <v>ETALG-Est.Trat.Água LAvagem de Gases</v>
          </cell>
        </row>
        <row r="902">
          <cell r="A902">
            <v>407099</v>
          </cell>
          <cell r="B902" t="str">
            <v>Manutenção de Entressafra</v>
          </cell>
        </row>
        <row r="903">
          <cell r="A903">
            <v>408000</v>
          </cell>
          <cell r="B903" t="str">
            <v>MANUTENCAO INDUSTRIAL</v>
          </cell>
        </row>
        <row r="904">
          <cell r="A904">
            <v>408002</v>
          </cell>
          <cell r="B904" t="str">
            <v>MANUTENCAO MECANICA</v>
          </cell>
        </row>
        <row r="905">
          <cell r="A905">
            <v>408004</v>
          </cell>
          <cell r="B905" t="str">
            <v>CALDERARIA</v>
          </cell>
        </row>
        <row r="906">
          <cell r="A906">
            <v>408006</v>
          </cell>
          <cell r="B906" t="str">
            <v>MANUTENCAO ELETRICA</v>
          </cell>
        </row>
        <row r="907">
          <cell r="A907">
            <v>408008</v>
          </cell>
          <cell r="B907" t="str">
            <v>INSTRUMENTACAO</v>
          </cell>
        </row>
        <row r="908">
          <cell r="A908">
            <v>408010</v>
          </cell>
          <cell r="B908" t="str">
            <v>MANUTENCAO CIVIL</v>
          </cell>
        </row>
        <row r="909">
          <cell r="A909">
            <v>408099</v>
          </cell>
          <cell r="B909" t="str">
            <v>Manutenção de Entressafra</v>
          </cell>
        </row>
        <row r="910">
          <cell r="A910">
            <v>409000</v>
          </cell>
          <cell r="B910" t="str">
            <v>RESIDUOS INDUSTRIAIS</v>
          </cell>
        </row>
        <row r="911">
          <cell r="A911">
            <v>409002</v>
          </cell>
          <cell r="B911" t="str">
            <v>ESCOAMENTO DA VINHACA</v>
          </cell>
        </row>
        <row r="912">
          <cell r="A912">
            <v>409004</v>
          </cell>
          <cell r="B912" t="str">
            <v>SISTEMA DE BOMBEAMENTO</v>
          </cell>
        </row>
        <row r="913">
          <cell r="A913">
            <v>409099</v>
          </cell>
          <cell r="B913" t="str">
            <v>Manutenção de Entressafra</v>
          </cell>
        </row>
        <row r="914">
          <cell r="A914">
            <v>409900</v>
          </cell>
          <cell r="B914" t="str">
            <v>CUSTO FINAL DE PRODUCAO</v>
          </cell>
        </row>
        <row r="915">
          <cell r="A915">
            <v>409910</v>
          </cell>
          <cell r="B915" t="str">
            <v>CUSTO DE PRODUCAO DO A.E.H.C.</v>
          </cell>
        </row>
        <row r="916">
          <cell r="A916">
            <v>409920</v>
          </cell>
          <cell r="B916" t="str">
            <v>CUSTO DE PRODUCAO DO A.E.A.C.</v>
          </cell>
        </row>
        <row r="917">
          <cell r="A917">
            <v>409930</v>
          </cell>
          <cell r="B917" t="str">
            <v>CUSTO DE PRODUCAO DO ACUCAR</v>
          </cell>
        </row>
        <row r="918">
          <cell r="A918">
            <v>409940</v>
          </cell>
          <cell r="B918" t="str">
            <v>CUSTO DE PRODUCAO DO XAROPE</v>
          </cell>
        </row>
        <row r="919">
          <cell r="A919">
            <v>409950</v>
          </cell>
          <cell r="B919" t="str">
            <v>CUSTO DE PRODUCAO DE LEVEDURA</v>
          </cell>
        </row>
        <row r="920">
          <cell r="A920">
            <v>500000</v>
          </cell>
          <cell r="B920" t="str">
            <v>GERENCIA AGRICOLA</v>
          </cell>
        </row>
        <row r="921">
          <cell r="A921">
            <v>500100</v>
          </cell>
          <cell r="B921" t="str">
            <v>GERENCIA AGRICOLA</v>
          </cell>
        </row>
        <row r="922">
          <cell r="A922">
            <v>500101</v>
          </cell>
          <cell r="B922" t="str">
            <v>Gerencia Agricola Corporativa</v>
          </cell>
        </row>
        <row r="923">
          <cell r="A923">
            <v>500102</v>
          </cell>
          <cell r="B923" t="str">
            <v>GERENCIA AGRICOLA</v>
          </cell>
        </row>
        <row r="924">
          <cell r="A924">
            <v>500200</v>
          </cell>
          <cell r="B924" t="str">
            <v>CONTROLE AGRICOLA</v>
          </cell>
        </row>
        <row r="925">
          <cell r="A925">
            <v>500202</v>
          </cell>
          <cell r="B925" t="str">
            <v>ADM INFORMAÇÕES AGRÍCOLAS</v>
          </cell>
        </row>
        <row r="926">
          <cell r="A926">
            <v>500204</v>
          </cell>
          <cell r="B926" t="str">
            <v>TECNICOS AGRICOLAS</v>
          </cell>
        </row>
        <row r="927">
          <cell r="A927">
            <v>500206</v>
          </cell>
          <cell r="B927" t="str">
            <v>TOPOGRAFIA</v>
          </cell>
        </row>
        <row r="928">
          <cell r="A928">
            <v>500208</v>
          </cell>
          <cell r="B928" t="str">
            <v>NOVOS PROJETOS</v>
          </cell>
        </row>
        <row r="929">
          <cell r="A929">
            <v>500210</v>
          </cell>
          <cell r="B929" t="str">
            <v>LAVANDERIA</v>
          </cell>
        </row>
        <row r="930">
          <cell r="A930">
            <v>500212</v>
          </cell>
          <cell r="B930" t="str">
            <v>ADM COLHEITA DE CANA</v>
          </cell>
        </row>
        <row r="931">
          <cell r="A931">
            <v>500214</v>
          </cell>
          <cell r="B931" t="str">
            <v>ADM PRODUÇÃO AGRÍCOLA</v>
          </cell>
        </row>
        <row r="932">
          <cell r="A932">
            <v>500216</v>
          </cell>
          <cell r="B932" t="str">
            <v>PLANEJAMENTO AGRICOLA</v>
          </cell>
        </row>
        <row r="933">
          <cell r="A933">
            <v>500218</v>
          </cell>
          <cell r="B933" t="str">
            <v>CONTROLE DE QUALIDADE AGRICOLA</v>
          </cell>
        </row>
        <row r="934">
          <cell r="A934">
            <v>500220</v>
          </cell>
          <cell r="B934" t="str">
            <v>ADM PARCERIAS/FORN. AGRICOLA</v>
          </cell>
        </row>
        <row r="935">
          <cell r="A935">
            <v>500222</v>
          </cell>
          <cell r="B935" t="str">
            <v>CONTROLE DE TRÁFEGO (CENTRAL)</v>
          </cell>
        </row>
        <row r="936">
          <cell r="A936">
            <v>500224</v>
          </cell>
          <cell r="B936" t="str">
            <v>CONTROLE BIOLÓGICO</v>
          </cell>
        </row>
        <row r="937">
          <cell r="A937">
            <v>500226</v>
          </cell>
          <cell r="B937" t="str">
            <v>ADM TECNOLOGIA AGRÍCOLA</v>
          </cell>
        </row>
        <row r="938">
          <cell r="A938">
            <v>500300</v>
          </cell>
          <cell r="B938" t="str">
            <v>ADMINISTRAÇÃO DE RURAL</v>
          </cell>
        </row>
        <row r="939">
          <cell r="A939">
            <v>500302</v>
          </cell>
          <cell r="B939" t="str">
            <v>MDO FISCAIS CAMPO</v>
          </cell>
        </row>
        <row r="940">
          <cell r="A940">
            <v>500304</v>
          </cell>
          <cell r="B940" t="str">
            <v>MDO QUEIMA DE CANA</v>
          </cell>
        </row>
        <row r="941">
          <cell r="A941">
            <v>500306</v>
          </cell>
          <cell r="B941" t="str">
            <v>MDO BITUCA</v>
          </cell>
        </row>
        <row r="942">
          <cell r="A942">
            <v>500308</v>
          </cell>
          <cell r="B942" t="str">
            <v>MDO CATACAO QUIMICA</v>
          </cell>
        </row>
        <row r="943">
          <cell r="A943">
            <v>500310</v>
          </cell>
          <cell r="B943" t="str">
            <v>MDO RURICOLAS - REGIONAIS</v>
          </cell>
        </row>
        <row r="944">
          <cell r="A944">
            <v>500312</v>
          </cell>
          <cell r="B944" t="str">
            <v>ENCARREGADO MDO RURAL</v>
          </cell>
        </row>
        <row r="945">
          <cell r="A945">
            <v>500314</v>
          </cell>
          <cell r="B945" t="str">
            <v>MDO MIGRANTES</v>
          </cell>
        </row>
        <row r="946">
          <cell r="A946">
            <v>500400</v>
          </cell>
          <cell r="B946" t="str">
            <v>FERTIRRIGAÇÃO (ESTRUTURA)</v>
          </cell>
        </row>
        <row r="947">
          <cell r="A947">
            <v>500401</v>
          </cell>
          <cell r="B947" t="str">
            <v>ESTRUTURA DE FERTIRRIGAÇÃO</v>
          </cell>
        </row>
        <row r="948">
          <cell r="A948">
            <v>500402</v>
          </cell>
          <cell r="B948" t="str">
            <v>MANUT. CANAIS DE VINHAÇA</v>
          </cell>
        </row>
        <row r="949">
          <cell r="A949">
            <v>500404</v>
          </cell>
          <cell r="B949" t="str">
            <v>MDO FERTIRRIGAÇÃO</v>
          </cell>
        </row>
        <row r="950">
          <cell r="A950">
            <v>500406</v>
          </cell>
          <cell r="B950" t="str">
            <v>DISTRIBUIÇAO DE VINHAÇA</v>
          </cell>
        </row>
        <row r="951">
          <cell r="A951">
            <v>500500</v>
          </cell>
          <cell r="B951" t="str">
            <v>MANUTENÇÃO AUTOMOTIVA</v>
          </cell>
        </row>
        <row r="952">
          <cell r="A952">
            <v>500502</v>
          </cell>
          <cell r="B952" t="str">
            <v>ADM MANUTENÇÃO AUTOMOTIVA</v>
          </cell>
        </row>
        <row r="953">
          <cell r="A953">
            <v>500506</v>
          </cell>
          <cell r="B953" t="str">
            <v>POSTO DE LAVAGEM/ LUBRIFICAÇÃO</v>
          </cell>
        </row>
        <row r="954">
          <cell r="A954">
            <v>500508</v>
          </cell>
          <cell r="B954" t="str">
            <v>ELETRICISTA</v>
          </cell>
        </row>
        <row r="955">
          <cell r="A955">
            <v>500510</v>
          </cell>
          <cell r="B955" t="str">
            <v>SOLDADOR</v>
          </cell>
        </row>
        <row r="956">
          <cell r="A956">
            <v>500512</v>
          </cell>
          <cell r="B956" t="str">
            <v>MECÂNICO COLHEDORA</v>
          </cell>
        </row>
        <row r="957">
          <cell r="A957">
            <v>500514</v>
          </cell>
          <cell r="B957" t="str">
            <v>MECÂNICO MAQUINAS / IMPLEMENTOS</v>
          </cell>
        </row>
        <row r="958">
          <cell r="A958">
            <v>500516</v>
          </cell>
          <cell r="B958" t="str">
            <v>BORRACHEIRO</v>
          </cell>
        </row>
        <row r="959">
          <cell r="A959">
            <v>500700</v>
          </cell>
          <cell r="B959" t="str">
            <v>MAO DE OBRA APONTADA</v>
          </cell>
        </row>
        <row r="960">
          <cell r="A960">
            <v>500702</v>
          </cell>
          <cell r="B960" t="str">
            <v>MOTORISTAS TRANSP CANA</v>
          </cell>
        </row>
        <row r="961">
          <cell r="A961">
            <v>500704</v>
          </cell>
          <cell r="B961" t="str">
            <v>MOTORISTAS DIVERSOS</v>
          </cell>
        </row>
        <row r="962">
          <cell r="A962">
            <v>500706</v>
          </cell>
          <cell r="B962" t="str">
            <v>CARREGADORES</v>
          </cell>
        </row>
        <row r="963">
          <cell r="A963">
            <v>500708</v>
          </cell>
          <cell r="B963" t="str">
            <v>REBOCADORES</v>
          </cell>
        </row>
        <row r="964">
          <cell r="A964">
            <v>500710</v>
          </cell>
          <cell r="B964" t="str">
            <v>OPERADORES DE COLHEDORAS</v>
          </cell>
        </row>
        <row r="965">
          <cell r="A965">
            <v>500712</v>
          </cell>
          <cell r="B965" t="str">
            <v>MOTORISTAS TRANSBORDO</v>
          </cell>
        </row>
        <row r="966">
          <cell r="A966">
            <v>500714</v>
          </cell>
          <cell r="B966" t="str">
            <v>TRATORISTAS MAQ LEVES</v>
          </cell>
        </row>
        <row r="967">
          <cell r="A967">
            <v>500716</v>
          </cell>
          <cell r="B967" t="str">
            <v>TRATORISTAS MAQ MEDIAS</v>
          </cell>
        </row>
        <row r="968">
          <cell r="A968">
            <v>500718</v>
          </cell>
          <cell r="B968" t="str">
            <v>TRATORISTAS MAQ PESADAS</v>
          </cell>
        </row>
        <row r="969">
          <cell r="A969">
            <v>500720</v>
          </cell>
          <cell r="B969" t="str">
            <v>MOTORISTA TRANSPORTE DE APOIO</v>
          </cell>
        </row>
        <row r="970">
          <cell r="A970">
            <v>500722</v>
          </cell>
          <cell r="B970" t="str">
            <v>MDO LÍDERES/FÍSCAIS DE OPERAÇÃO</v>
          </cell>
        </row>
        <row r="971">
          <cell r="A971">
            <v>500724</v>
          </cell>
          <cell r="B971" t="str">
            <v>AUXILIAR DE CONTROLE DE QUALIDADE</v>
          </cell>
        </row>
        <row r="972">
          <cell r="A972">
            <v>500726</v>
          </cell>
          <cell r="B972" t="str">
            <v>AUXILIARES AGRICOLAS</v>
          </cell>
        </row>
        <row r="973">
          <cell r="A973">
            <v>500790</v>
          </cell>
          <cell r="B973" t="str">
            <v>FUNCIONARIOS DE TERCEIROS</v>
          </cell>
        </row>
        <row r="974">
          <cell r="A974">
            <v>501000</v>
          </cell>
          <cell r="B974" t="str">
            <v>CULTURA DE CANA</v>
          </cell>
        </row>
        <row r="975">
          <cell r="A975">
            <v>501002</v>
          </cell>
          <cell r="B975" t="str">
            <v>PREPARO DE SOLO</v>
          </cell>
        </row>
        <row r="976">
          <cell r="A976">
            <v>501004</v>
          </cell>
          <cell r="B976" t="str">
            <v>COLHEITA DE MUDA</v>
          </cell>
        </row>
        <row r="977">
          <cell r="A977">
            <v>501006</v>
          </cell>
          <cell r="B977" t="str">
            <v>COLHEITA DE MUDA - TERCEIROS</v>
          </cell>
        </row>
        <row r="978">
          <cell r="A978">
            <v>501008</v>
          </cell>
          <cell r="B978" t="str">
            <v>PLANTIO DE CANA</v>
          </cell>
        </row>
        <row r="979">
          <cell r="A979">
            <v>501010</v>
          </cell>
          <cell r="B979" t="str">
            <v>TRATOS CANA PLANTA</v>
          </cell>
        </row>
        <row r="980">
          <cell r="A980">
            <v>501012</v>
          </cell>
          <cell r="B980" t="str">
            <v>TRATOS CANA SOCA</v>
          </cell>
        </row>
        <row r="981">
          <cell r="A981">
            <v>501014</v>
          </cell>
          <cell r="B981" t="str">
            <v>COLHEITA MANUAL</v>
          </cell>
        </row>
        <row r="982">
          <cell r="A982">
            <v>501016</v>
          </cell>
          <cell r="B982" t="str">
            <v>COLHEITA MECANIZADA</v>
          </cell>
        </row>
        <row r="983">
          <cell r="A983">
            <v>501018</v>
          </cell>
          <cell r="B983" t="str">
            <v>Pátio de compostagem</v>
          </cell>
        </row>
        <row r="984">
          <cell r="A984">
            <v>501020</v>
          </cell>
          <cell r="B984" t="str">
            <v>Replantio da cana planta</v>
          </cell>
        </row>
        <row r="985">
          <cell r="A985">
            <v>501022</v>
          </cell>
          <cell r="B985" t="str">
            <v>Replantio da cana soca</v>
          </cell>
        </row>
        <row r="986">
          <cell r="A986">
            <v>501030</v>
          </cell>
          <cell r="B986" t="str">
            <v>ADMINISTRAÇÃO AGRÍCOLA</v>
          </cell>
        </row>
        <row r="987">
          <cell r="A987">
            <v>501100</v>
          </cell>
          <cell r="B987" t="str">
            <v>OUTRAS CULTURAS</v>
          </cell>
        </row>
        <row r="988">
          <cell r="A988">
            <v>501102</v>
          </cell>
          <cell r="B988" t="str">
            <v>REFLORESTAMENTO</v>
          </cell>
        </row>
        <row r="989">
          <cell r="A989">
            <v>501106</v>
          </cell>
          <cell r="B989" t="str">
            <v>EXPERIMENTO</v>
          </cell>
        </row>
        <row r="990">
          <cell r="A990">
            <v>501108</v>
          </cell>
          <cell r="B990" t="str">
            <v>ADUBACAO VERDE</v>
          </cell>
        </row>
        <row r="991">
          <cell r="A991">
            <v>501112</v>
          </cell>
          <cell r="B991" t="str">
            <v>OUTROS SERVICOS</v>
          </cell>
        </row>
        <row r="992">
          <cell r="A992">
            <v>501202</v>
          </cell>
          <cell r="B992" t="str">
            <v>Desenvolvimento Agronomico</v>
          </cell>
        </row>
        <row r="993">
          <cell r="A993">
            <v>509900</v>
          </cell>
          <cell r="B993" t="str">
            <v>CUSTO FINAL DE PRODUCAO</v>
          </cell>
        </row>
        <row r="994">
          <cell r="A994">
            <v>509902</v>
          </cell>
          <cell r="B994" t="str">
            <v>CUSTO MATERIA-PRIMA</v>
          </cell>
        </row>
        <row r="995">
          <cell r="A995">
            <v>600000</v>
          </cell>
          <cell r="B995" t="str">
            <v>CONSERVACAO GERAL/BENFEITORIAS</v>
          </cell>
        </row>
        <row r="996">
          <cell r="A996">
            <v>600200</v>
          </cell>
          <cell r="B996" t="str">
            <v>CONSERVACAO DE SEDES</v>
          </cell>
        </row>
        <row r="997">
          <cell r="A997">
            <v>600400</v>
          </cell>
          <cell r="B997" t="str">
            <v>CONSTR.E CONSERVACAO DEPENDENCIAS</v>
          </cell>
        </row>
        <row r="998">
          <cell r="A998">
            <v>600600</v>
          </cell>
          <cell r="B998" t="str">
            <v>CONSTR.E CONSERVACAO DE CERCAS</v>
          </cell>
        </row>
        <row r="999">
          <cell r="A999">
            <v>600800</v>
          </cell>
          <cell r="B999" t="str">
            <v>CONSERVACAO DE ESTRADAS</v>
          </cell>
        </row>
        <row r="1000">
          <cell r="A1000">
            <v>601000</v>
          </cell>
          <cell r="B1000" t="str">
            <v>CONSERVACAO PATIOS - INDUSTRIA</v>
          </cell>
        </row>
        <row r="1001">
          <cell r="A1001">
            <v>601018</v>
          </cell>
          <cell r="B1001" t="str">
            <v>Movimentação de Resíduos Industr</v>
          </cell>
        </row>
        <row r="1002">
          <cell r="A1002">
            <v>601200</v>
          </cell>
          <cell r="B1002" t="str">
            <v>CONSERVACAO PATIOS - ADMINISTRACAO</v>
          </cell>
        </row>
        <row r="1003">
          <cell r="A1003">
            <v>601400</v>
          </cell>
          <cell r="B1003" t="str">
            <v>URBANIZACAO E LIMPEZA</v>
          </cell>
        </row>
        <row r="1004">
          <cell r="A1004">
            <v>601600</v>
          </cell>
          <cell r="B1004" t="str">
            <v>Rede de Tratamento de Água e Esgoto</v>
          </cell>
        </row>
        <row r="1005">
          <cell r="A1005">
            <v>700000</v>
          </cell>
          <cell r="B1005" t="str">
            <v>GRUPOS OPERATIVOS</v>
          </cell>
        </row>
        <row r="1006">
          <cell r="A1006">
            <v>700100</v>
          </cell>
          <cell r="B1006" t="str">
            <v>CAMINHOES</v>
          </cell>
        </row>
        <row r="1007">
          <cell r="A1007">
            <v>700102</v>
          </cell>
          <cell r="B1007" t="str">
            <v>CAMINHOES CANAVIEIRO</v>
          </cell>
        </row>
        <row r="1008">
          <cell r="A1008">
            <v>700103</v>
          </cell>
          <cell r="B1008" t="str">
            <v>CAMINHÕES CANAVIEIRO ( PRÓPRIO)</v>
          </cell>
        </row>
        <row r="1009">
          <cell r="A1009">
            <v>700104</v>
          </cell>
          <cell r="B1009" t="str">
            <v>CAMINHOES BASCULANTE (ALUGADO)</v>
          </cell>
        </row>
        <row r="1010">
          <cell r="A1010">
            <v>700105</v>
          </cell>
          <cell r="B1010" t="str">
            <v>CAMINHÕES BASCULANTE ( PRÓPRIO)</v>
          </cell>
        </row>
        <row r="1011">
          <cell r="A1011">
            <v>700106</v>
          </cell>
          <cell r="B1011" t="str">
            <v>CAMINHOES PIPA ( ALUGADO)</v>
          </cell>
        </row>
        <row r="1012">
          <cell r="A1012">
            <v>700107</v>
          </cell>
          <cell r="B1012" t="str">
            <v>CAMINHÕES PIPA ( PRÓPRIO)</v>
          </cell>
        </row>
        <row r="1013">
          <cell r="A1013">
            <v>700108</v>
          </cell>
          <cell r="B1013" t="str">
            <v>CAMINHOES COMBOIO ( ALUGADO)</v>
          </cell>
        </row>
        <row r="1014">
          <cell r="A1014">
            <v>700109</v>
          </cell>
          <cell r="B1014" t="str">
            <v>CAMINHÕES COMBOIO ( PRÓPRIO)</v>
          </cell>
        </row>
        <row r="1015">
          <cell r="A1015">
            <v>700110</v>
          </cell>
          <cell r="B1015" t="str">
            <v>CAMINHOES CARGA SECA ( ALUGADO)</v>
          </cell>
        </row>
        <row r="1016">
          <cell r="A1016">
            <v>700111</v>
          </cell>
          <cell r="B1016" t="str">
            <v>CAMINHÕES CARGA SECA ( PRÓPRIO)</v>
          </cell>
        </row>
        <row r="1017">
          <cell r="A1017">
            <v>700112</v>
          </cell>
          <cell r="B1017" t="str">
            <v>CAMINHOES PRANCHA ( ALUGADO)</v>
          </cell>
        </row>
        <row r="1018">
          <cell r="A1018">
            <v>700113</v>
          </cell>
          <cell r="B1018" t="str">
            <v>CAMINHÕES PRANCHA ( PRÓPRIO)</v>
          </cell>
        </row>
        <row r="1019">
          <cell r="A1019">
            <v>700114</v>
          </cell>
          <cell r="B1019" t="str">
            <v>CAMINHÃO MUNCK ( ALUGADO)</v>
          </cell>
        </row>
        <row r="1020">
          <cell r="A1020">
            <v>700115</v>
          </cell>
          <cell r="B1020" t="str">
            <v>CAMINHÕES MUNCK ( PRÓPRIO)</v>
          </cell>
        </row>
        <row r="1021">
          <cell r="A1021">
            <v>700116</v>
          </cell>
          <cell r="B1021" t="str">
            <v>CAMINHÕES BORRACHARIA (ALUGADO)</v>
          </cell>
        </row>
        <row r="1022">
          <cell r="A1022">
            <v>700117</v>
          </cell>
          <cell r="B1022" t="str">
            <v>CAMINHÕES BORRACHARIA ( PRÓPRIO)</v>
          </cell>
        </row>
        <row r="1023">
          <cell r="A1023">
            <v>700118</v>
          </cell>
          <cell r="B1023" t="str">
            <v>CAMINHÕES OFICINA ( ALUGADO)</v>
          </cell>
        </row>
        <row r="1024">
          <cell r="A1024">
            <v>700119</v>
          </cell>
          <cell r="B1024" t="str">
            <v>CAMINHÕES OFICINA ( PRÓPRIO)</v>
          </cell>
        </row>
        <row r="1025">
          <cell r="A1025">
            <v>700200</v>
          </cell>
          <cell r="B1025" t="str">
            <v>TRATORES/MAQUINAS/COLHEDORAS</v>
          </cell>
        </row>
        <row r="1026">
          <cell r="A1026">
            <v>700202</v>
          </cell>
          <cell r="B1026" t="str">
            <v>TRATORES PNEUS - LEVES ( ALUGADO)</v>
          </cell>
        </row>
        <row r="1027">
          <cell r="A1027">
            <v>700203</v>
          </cell>
          <cell r="B1027" t="str">
            <v>TRATORES PNEUS - LEVES ( PRÓPRIO)</v>
          </cell>
        </row>
        <row r="1028">
          <cell r="A1028">
            <v>700204</v>
          </cell>
          <cell r="B1028" t="str">
            <v>TRATORES PNEUS - MEDIOS ( ALUGADO)</v>
          </cell>
        </row>
        <row r="1029">
          <cell r="A1029">
            <v>700205</v>
          </cell>
          <cell r="B1029" t="str">
            <v>TRATORES PNEUS - MEDIOS ( PRÓPRIO)</v>
          </cell>
        </row>
        <row r="1030">
          <cell r="A1030">
            <v>700206</v>
          </cell>
          <cell r="B1030" t="str">
            <v>TRATORES PNEUS - PESADOS ( ALUGADO)</v>
          </cell>
        </row>
        <row r="1031">
          <cell r="A1031">
            <v>700207</v>
          </cell>
          <cell r="B1031" t="str">
            <v>TRATORES PNEUS - PESADOS ( PRÓPRIO)</v>
          </cell>
        </row>
        <row r="1032">
          <cell r="A1032">
            <v>700208</v>
          </cell>
          <cell r="B1032" t="str">
            <v>TRATORES ESTEIRAS ( ALUGADO)</v>
          </cell>
        </row>
        <row r="1033">
          <cell r="A1033">
            <v>700209</v>
          </cell>
          <cell r="B1033" t="str">
            <v>TRATORES ESTEIRAS ( PRÓPRIO)</v>
          </cell>
        </row>
        <row r="1034">
          <cell r="A1034">
            <v>700210</v>
          </cell>
          <cell r="B1034" t="str">
            <v>RETRO ESCAVADORAS ( ALUGADO)</v>
          </cell>
        </row>
        <row r="1035">
          <cell r="A1035">
            <v>700211</v>
          </cell>
          <cell r="B1035" t="str">
            <v>RETRO ESCAVADORAS ( PRÓPRIO)</v>
          </cell>
        </row>
        <row r="1036">
          <cell r="A1036">
            <v>700212</v>
          </cell>
          <cell r="B1036" t="str">
            <v>MOTONIVELADORAS ( ALUGADO)</v>
          </cell>
        </row>
        <row r="1037">
          <cell r="A1037">
            <v>700213</v>
          </cell>
          <cell r="B1037" t="str">
            <v>MOTONIVELADORAS ( PRÓPRIO)</v>
          </cell>
        </row>
        <row r="1038">
          <cell r="A1038">
            <v>700214</v>
          </cell>
          <cell r="B1038" t="str">
            <v>PA CARREGADORAS ( ALUGADO)</v>
          </cell>
        </row>
        <row r="1039">
          <cell r="A1039">
            <v>700215</v>
          </cell>
          <cell r="B1039" t="str">
            <v>PA CARREGADORAS ( PRÓPRIO)</v>
          </cell>
        </row>
        <row r="1040">
          <cell r="A1040">
            <v>700216</v>
          </cell>
          <cell r="B1040" t="str">
            <v>CARREGADORAS DE CANA ( ALUGADO)</v>
          </cell>
        </row>
        <row r="1041">
          <cell r="A1041">
            <v>700217</v>
          </cell>
          <cell r="B1041" t="str">
            <v>CARREGADORAS DE CANA ( PRÓPRIO)</v>
          </cell>
        </row>
        <row r="1042">
          <cell r="A1042">
            <v>700218</v>
          </cell>
          <cell r="B1042" t="str">
            <v>COLHEDORAS DE CANA ( ALUGADO)</v>
          </cell>
        </row>
        <row r="1043">
          <cell r="A1043">
            <v>700219</v>
          </cell>
          <cell r="B1043" t="str">
            <v>COLHEDORAS DE CANA ( PRÓPRIA)</v>
          </cell>
        </row>
        <row r="1044">
          <cell r="A1044">
            <v>700220</v>
          </cell>
          <cell r="B1044" t="str">
            <v>PLANTADORA DE CANA ( ALUGADO)</v>
          </cell>
        </row>
        <row r="1045">
          <cell r="A1045">
            <v>700221</v>
          </cell>
          <cell r="B1045" t="str">
            <v>PLANTADORA DE CANA ( PRÓPRIA)</v>
          </cell>
        </row>
        <row r="1046">
          <cell r="A1046">
            <v>700222</v>
          </cell>
          <cell r="B1046" t="str">
            <v>TRATORES PNEUS-SUPER PESADOS (ALUGADOS)</v>
          </cell>
        </row>
        <row r="1047">
          <cell r="A1047">
            <v>700223</v>
          </cell>
          <cell r="B1047" t="str">
            <v>TRATORES PNEUS-SUPER PESADOS (PRÓPRIOS)</v>
          </cell>
        </row>
        <row r="1048">
          <cell r="A1048">
            <v>700224</v>
          </cell>
          <cell r="B1048" t="str">
            <v>CAMINHÕES TRANSBORDOS (ALUGADOS)</v>
          </cell>
        </row>
        <row r="1049">
          <cell r="A1049">
            <v>700225</v>
          </cell>
          <cell r="B1049" t="str">
            <v>CAMINHÕES TRANSBORDOS (PRÓPRIOS)</v>
          </cell>
        </row>
        <row r="1050">
          <cell r="A1050">
            <v>700300</v>
          </cell>
          <cell r="B1050" t="str">
            <v>VEICULOS/UTILITARIOS/ONIBUS</v>
          </cell>
        </row>
        <row r="1051">
          <cell r="A1051">
            <v>700302</v>
          </cell>
          <cell r="B1051" t="str">
            <v>VEICULOS LEVES</v>
          </cell>
        </row>
        <row r="1052">
          <cell r="A1052">
            <v>700304</v>
          </cell>
          <cell r="B1052" t="str">
            <v>CAMINHONETAS/UTILITARIOS</v>
          </cell>
        </row>
        <row r="1053">
          <cell r="A1053">
            <v>701200</v>
          </cell>
          <cell r="B1053" t="str">
            <v>IMPLEMENTOS AGRÍCOLA</v>
          </cell>
        </row>
        <row r="1054">
          <cell r="A1054">
            <v>701202</v>
          </cell>
          <cell r="B1054" t="str">
            <v>ACERADORES DE CANA</v>
          </cell>
        </row>
        <row r="1055">
          <cell r="A1055">
            <v>701204</v>
          </cell>
          <cell r="B1055" t="str">
            <v>ARADOS</v>
          </cell>
        </row>
        <row r="1056">
          <cell r="A1056">
            <v>701206</v>
          </cell>
          <cell r="B1056" t="str">
            <v>CARRETAS DE ARRASTO(NAO USE)</v>
          </cell>
        </row>
        <row r="1057">
          <cell r="A1057">
            <v>701208</v>
          </cell>
          <cell r="B1057" t="str">
            <v>CARROCERIAS(NAO USE)</v>
          </cell>
        </row>
        <row r="1058">
          <cell r="A1058">
            <v>701210</v>
          </cell>
          <cell r="B1058" t="str">
            <v>COBRIDORES DE CANA</v>
          </cell>
        </row>
        <row r="1059">
          <cell r="A1059">
            <v>701212</v>
          </cell>
          <cell r="B1059" t="str">
            <v>CONJUNTO DE IRRIGACAO (ROLAO)</v>
          </cell>
        </row>
        <row r="1060">
          <cell r="A1060">
            <v>701214</v>
          </cell>
          <cell r="B1060" t="str">
            <v>CULTIVADORES</v>
          </cell>
        </row>
        <row r="1061">
          <cell r="A1061">
            <v>701216</v>
          </cell>
          <cell r="B1061" t="str">
            <v>DISTRIBUIDORES DE CALCARIO</v>
          </cell>
        </row>
        <row r="1062">
          <cell r="A1062">
            <v>701218</v>
          </cell>
          <cell r="B1062" t="str">
            <v>DISTRIBUIDORES DE TORTA</v>
          </cell>
        </row>
        <row r="1063">
          <cell r="A1063">
            <v>701220</v>
          </cell>
          <cell r="B1063" t="str">
            <v>ENLEIRADORES DE PALHA</v>
          </cell>
        </row>
        <row r="1064">
          <cell r="A1064">
            <v>701222</v>
          </cell>
          <cell r="B1064" t="str">
            <v>ESTEIRA DE ADUBO</v>
          </cell>
        </row>
        <row r="1065">
          <cell r="A1065">
            <v>701224</v>
          </cell>
          <cell r="B1065" t="str">
            <v>GRADES</v>
          </cell>
        </row>
        <row r="1066">
          <cell r="A1066">
            <v>701226</v>
          </cell>
          <cell r="B1066" t="str">
            <v>DISTRIBUIDORES DE CANA</v>
          </cell>
        </row>
        <row r="1067">
          <cell r="A1067">
            <v>701228</v>
          </cell>
          <cell r="B1067" t="str">
            <v>GUINCHO HIDRAULICO</v>
          </cell>
        </row>
        <row r="1068">
          <cell r="A1068">
            <v>701230</v>
          </cell>
          <cell r="B1068" t="str">
            <v>IMPLEMENTOS DIVERSOS</v>
          </cell>
        </row>
        <row r="1069">
          <cell r="A1069">
            <v>701232</v>
          </cell>
          <cell r="B1069" t="str">
            <v>MOTOBOMBAS</v>
          </cell>
        </row>
        <row r="1070">
          <cell r="A1070">
            <v>701234</v>
          </cell>
          <cell r="B1070" t="str">
            <v>MOTORES ESTACIONARIOS</v>
          </cell>
        </row>
        <row r="1071">
          <cell r="A1071">
            <v>701236</v>
          </cell>
          <cell r="B1071" t="str">
            <v>MOTOSSERA</v>
          </cell>
        </row>
        <row r="1072">
          <cell r="A1072">
            <v>701238</v>
          </cell>
          <cell r="B1072" t="str">
            <v>PULVERIZADORES</v>
          </cell>
        </row>
        <row r="1073">
          <cell r="A1073">
            <v>701240</v>
          </cell>
          <cell r="B1073" t="str">
            <v>REBOQUES CANAVIEIROS</v>
          </cell>
        </row>
        <row r="1074">
          <cell r="A1074">
            <v>701242</v>
          </cell>
          <cell r="B1074" t="str">
            <v>ROCADEIRAS</v>
          </cell>
        </row>
        <row r="1075">
          <cell r="A1075">
            <v>701244</v>
          </cell>
          <cell r="B1075" t="str">
            <v>SUBSOLADORES</v>
          </cell>
        </row>
        <row r="1076">
          <cell r="A1076">
            <v>701246</v>
          </cell>
          <cell r="B1076" t="str">
            <v>SULCADORES</v>
          </cell>
        </row>
        <row r="1077">
          <cell r="A1077">
            <v>701248</v>
          </cell>
          <cell r="B1077" t="str">
            <v>TANQUES DE AGUA</v>
          </cell>
        </row>
        <row r="1078">
          <cell r="A1078">
            <v>701250</v>
          </cell>
          <cell r="B1078" t="str">
            <v>TERRACEADORES</v>
          </cell>
        </row>
        <row r="1079">
          <cell r="A1079">
            <v>701252</v>
          </cell>
          <cell r="B1079" t="str">
            <v>TOMADOR DE AMOSTRA</v>
          </cell>
        </row>
        <row r="1080">
          <cell r="A1080">
            <v>701254</v>
          </cell>
          <cell r="B1080" t="str">
            <v>CONJ.TRANSBORDOS (ALUGADO)</v>
          </cell>
        </row>
        <row r="1081">
          <cell r="A1081">
            <v>701255</v>
          </cell>
          <cell r="B1081" t="str">
            <v>CONJ. TRANSBORDO (PROPRIO)</v>
          </cell>
        </row>
        <row r="1082">
          <cell r="A1082">
            <v>701300</v>
          </cell>
          <cell r="B1082" t="str">
            <v>IMPLEMENTOS RODOVIÁRIOS</v>
          </cell>
        </row>
        <row r="1083">
          <cell r="A1083">
            <v>701301</v>
          </cell>
          <cell r="B1083" t="str">
            <v>SEMI-REBOQUE CANAVIEIRO</v>
          </cell>
        </row>
        <row r="1084">
          <cell r="A1084">
            <v>701302</v>
          </cell>
          <cell r="B1084" t="str">
            <v>SEMI-REBOQUE PRANCHA</v>
          </cell>
        </row>
        <row r="1085">
          <cell r="A1085">
            <v>701303</v>
          </cell>
          <cell r="B1085" t="str">
            <v>SEMI-REBOQUE TANQUE VINHAÇA</v>
          </cell>
        </row>
        <row r="1086">
          <cell r="A1086">
            <v>701399</v>
          </cell>
          <cell r="B1086" t="str">
            <v>MANUTENÇÃO DE ENTRESSAFRA</v>
          </cell>
        </row>
        <row r="1087">
          <cell r="A1087">
            <v>702021</v>
          </cell>
          <cell r="B1087" t="str">
            <v>AP21 TR AG 176-200 HP 4WD</v>
          </cell>
        </row>
        <row r="1088">
          <cell r="A1088">
            <v>702034</v>
          </cell>
          <cell r="B1088" t="str">
            <v>AP34 TR AG &gt; 300 HP 4WD</v>
          </cell>
        </row>
        <row r="1089">
          <cell r="A1089">
            <v>702035</v>
          </cell>
          <cell r="B1089" t="str">
            <v>BP01 COLHEDORA ESTEIRA</v>
          </cell>
        </row>
        <row r="1090">
          <cell r="A1090">
            <v>702044</v>
          </cell>
          <cell r="B1090" t="str">
            <v>DP04 MT DIESEL &gt; 150 HP</v>
          </cell>
        </row>
        <row r="1091">
          <cell r="A1091">
            <v>702053</v>
          </cell>
          <cell r="B1091" t="str">
            <v>DP13 CONJUNTO IRRIGAÇÃO</v>
          </cell>
        </row>
        <row r="1092">
          <cell r="A1092">
            <v>702063</v>
          </cell>
          <cell r="B1092" t="str">
            <v>EP10CAMINHÃO BOMBEIRO 4X6</v>
          </cell>
        </row>
        <row r="1093">
          <cell r="A1093">
            <v>702065</v>
          </cell>
          <cell r="B1093" t="str">
            <v>EP12 CAMINHÃO COMBOIO</v>
          </cell>
        </row>
        <row r="1094">
          <cell r="A1094">
            <v>702067</v>
          </cell>
          <cell r="B1094" t="str">
            <v>EP14 CAMINHÃO BORRACHARIA</v>
          </cell>
        </row>
        <row r="1095">
          <cell r="A1095">
            <v>702068</v>
          </cell>
          <cell r="B1095" t="str">
            <v>EP15 CAMINHÃO OFICINA</v>
          </cell>
        </row>
        <row r="1096">
          <cell r="A1096">
            <v>702070</v>
          </cell>
          <cell r="B1096" t="str">
            <v>FP02 CB CANA 91K-135K KG</v>
          </cell>
        </row>
        <row r="1097">
          <cell r="A1097">
            <v>702079</v>
          </cell>
          <cell r="B1097" t="str">
            <v>GP05 SEMI-REBOQUE PRANCHA</v>
          </cell>
        </row>
        <row r="1098">
          <cell r="A1098">
            <v>702086</v>
          </cell>
          <cell r="B1098" t="str">
            <v>GP12 CARRETA EQUIPTO IRRIGAÇÃO</v>
          </cell>
        </row>
        <row r="1099">
          <cell r="A1099">
            <v>702092</v>
          </cell>
          <cell r="B1099" t="str">
            <v>GP18 TANQUE &gt; 11.350 LTS</v>
          </cell>
        </row>
        <row r="1100">
          <cell r="A1100">
            <v>702095</v>
          </cell>
          <cell r="B1100" t="str">
            <v>HP 02 CARRETA DE CANA MEC</v>
          </cell>
        </row>
        <row r="1101">
          <cell r="A1101">
            <v>702096</v>
          </cell>
          <cell r="B1101" t="str">
            <v>HP 03 CARRETA TRANSBORDO</v>
          </cell>
        </row>
        <row r="1102">
          <cell r="A1102">
            <v>702098</v>
          </cell>
          <cell r="B1102" t="str">
            <v>HP05 DOLLY</v>
          </cell>
        </row>
        <row r="1103">
          <cell r="A1103">
            <v>702117</v>
          </cell>
          <cell r="B1103" t="str">
            <v>KP18 MICRO ONIBUS 4 CILINDROS</v>
          </cell>
        </row>
        <row r="1104">
          <cell r="A1104">
            <v>702118</v>
          </cell>
          <cell r="B1104" t="str">
            <v>KP19 VEÍC COMBUS FLEX</v>
          </cell>
        </row>
        <row r="1105">
          <cell r="A1105">
            <v>702119</v>
          </cell>
          <cell r="B1105" t="str">
            <v>KP20 PU 4 CIL FLEX 4WD</v>
          </cell>
        </row>
        <row r="1106">
          <cell r="A1106">
            <v>702120</v>
          </cell>
          <cell r="B1106" t="str">
            <v>KP21 SUV 6 CIL FLEX 4WD</v>
          </cell>
        </row>
        <row r="1107">
          <cell r="A1107">
            <v>702151</v>
          </cell>
          <cell r="B1107" t="str">
            <v>MP04 MOTOSERRA</v>
          </cell>
        </row>
        <row r="1108">
          <cell r="A1108">
            <v>702164</v>
          </cell>
          <cell r="B1108" t="str">
            <v>NP05 CULTIVADOR GRAN</v>
          </cell>
        </row>
        <row r="1109">
          <cell r="A1109">
            <v>702170</v>
          </cell>
          <cell r="B1109" t="str">
            <v>NP11 ARADO</v>
          </cell>
        </row>
        <row r="1110">
          <cell r="A1110">
            <v>702171</v>
          </cell>
          <cell r="B1110" t="str">
            <v>NP12 SUBSOLADOR</v>
          </cell>
        </row>
        <row r="1111">
          <cell r="A1111">
            <v>702172</v>
          </cell>
          <cell r="B1111" t="str">
            <v>NP13 GRADES MÉDIA E PESADA</v>
          </cell>
        </row>
        <row r="1112">
          <cell r="A1112">
            <v>702178</v>
          </cell>
          <cell r="B1112" t="str">
            <v>NP19 GRADES LEVES</v>
          </cell>
        </row>
        <row r="1113">
          <cell r="A1113">
            <v>702179</v>
          </cell>
          <cell r="B1113" t="str">
            <v>NP20 COBRIDOR CANA</v>
          </cell>
        </row>
        <row r="1114">
          <cell r="A1114">
            <v>702180</v>
          </cell>
          <cell r="B1114" t="str">
            <v>NP21 DISTRIBUIDORA DE CANA</v>
          </cell>
        </row>
        <row r="1115">
          <cell r="A1115">
            <v>703006</v>
          </cell>
          <cell r="B1115" t="str">
            <v>AR06 TR AG 51-75 HP 4WD</v>
          </cell>
        </row>
        <row r="1116">
          <cell r="A1116">
            <v>703015</v>
          </cell>
          <cell r="B1116" t="str">
            <v>AR15 TR MI 126-150 HP 4WD</v>
          </cell>
        </row>
        <row r="1117">
          <cell r="A1117">
            <v>703019</v>
          </cell>
          <cell r="B1117" t="str">
            <v>AR19 TR MI 151-175 HP 4WD</v>
          </cell>
        </row>
        <row r="1118">
          <cell r="A1118">
            <v>703022</v>
          </cell>
          <cell r="B1118" t="str">
            <v>AR22 TR MI 176-200 HP 4WD</v>
          </cell>
        </row>
        <row r="1119">
          <cell r="A1119">
            <v>703024</v>
          </cell>
          <cell r="B1119" t="str">
            <v>AR24 TR AG 201-225 HP 4WD</v>
          </cell>
        </row>
        <row r="1120">
          <cell r="A1120">
            <v>703035</v>
          </cell>
          <cell r="B1120" t="str">
            <v>BR01 COLHEDORA ESTEIRA</v>
          </cell>
        </row>
        <row r="1121">
          <cell r="A1121">
            <v>703063</v>
          </cell>
          <cell r="B1121" t="str">
            <v>ER10 CAMINHÃO BOMBEIRO 4X6</v>
          </cell>
        </row>
        <row r="1122">
          <cell r="A1122">
            <v>703065</v>
          </cell>
          <cell r="B1122" t="str">
            <v>ER12 CAMINHÃO COMBOIO</v>
          </cell>
        </row>
        <row r="1123">
          <cell r="A1123">
            <v>703068</v>
          </cell>
          <cell r="B1123" t="str">
            <v>ER15 CAMINHÃO OFICINA</v>
          </cell>
        </row>
        <row r="1124">
          <cell r="A1124">
            <v>703096</v>
          </cell>
          <cell r="B1124" t="str">
            <v>HR 03 CARRETA TRANSBORDO</v>
          </cell>
        </row>
        <row r="1125">
          <cell r="A1125">
            <v>703126</v>
          </cell>
          <cell r="B1125" t="str">
            <v>LR06 GRUA 11K-20K KG</v>
          </cell>
        </row>
        <row r="1126">
          <cell r="A1126">
            <v>709900</v>
          </cell>
          <cell r="B1126" t="str">
            <v>EQUIPAMENTOS DIVERSOS</v>
          </cell>
        </row>
        <row r="1127">
          <cell r="A1127">
            <v>709902</v>
          </cell>
          <cell r="B1127" t="str">
            <v>EQUIPAMENTOS TESTE</v>
          </cell>
        </row>
        <row r="1128">
          <cell r="A1128">
            <v>709912</v>
          </cell>
          <cell r="B1128" t="str">
            <v>Eqptos Fornecedores/Acionistas-Diesel</v>
          </cell>
        </row>
        <row r="1129">
          <cell r="A1129">
            <v>709914</v>
          </cell>
          <cell r="B1129" t="str">
            <v>EQUIPAMENTOS DE TERCEIROS</v>
          </cell>
        </row>
        <row r="1130">
          <cell r="A1130">
            <v>709916</v>
          </cell>
          <cell r="B1130" t="str">
            <v>Equipamentos Transporte Açúcar</v>
          </cell>
        </row>
        <row r="1131">
          <cell r="A1131">
            <v>800000</v>
          </cell>
          <cell r="B1131" t="str">
            <v>OUTROS SERVIÃOS NA LAVOURA</v>
          </cell>
        </row>
        <row r="1132">
          <cell r="A1132">
            <v>801000</v>
          </cell>
          <cell r="B1132" t="str">
            <v>CULTURA DE CANA</v>
          </cell>
        </row>
        <row r="1133">
          <cell r="A1133">
            <v>801002</v>
          </cell>
          <cell r="B1133" t="str">
            <v>PREPARO DE SOLO</v>
          </cell>
        </row>
        <row r="1134">
          <cell r="A1134">
            <v>801004</v>
          </cell>
          <cell r="B1134" t="str">
            <v>COLHEITA DE MUDA</v>
          </cell>
        </row>
        <row r="1135">
          <cell r="A1135">
            <v>801006</v>
          </cell>
          <cell r="B1135" t="str">
            <v>COLHEITA DE MUDA</v>
          </cell>
        </row>
        <row r="1136">
          <cell r="A1136">
            <v>801008</v>
          </cell>
          <cell r="B1136" t="str">
            <v>PLANTIO DE CANA</v>
          </cell>
        </row>
        <row r="1137">
          <cell r="A1137">
            <v>801010</v>
          </cell>
          <cell r="B1137" t="str">
            <v>TRATOS CANA PLANTA</v>
          </cell>
        </row>
        <row r="1138">
          <cell r="A1138">
            <v>801012</v>
          </cell>
          <cell r="B1138" t="str">
            <v>TRATOS CANA SOCA</v>
          </cell>
        </row>
        <row r="1139">
          <cell r="A1139">
            <v>801014</v>
          </cell>
          <cell r="B1139" t="str">
            <v>COLHEITA MANUAL</v>
          </cell>
        </row>
        <row r="1140">
          <cell r="A1140">
            <v>801016</v>
          </cell>
          <cell r="B1140" t="str">
            <v>COLHEITA MECANIZADA</v>
          </cell>
        </row>
        <row r="1141">
          <cell r="A1141">
            <v>801020</v>
          </cell>
          <cell r="B1141" t="str">
            <v>Replantio da cana planta</v>
          </cell>
        </row>
        <row r="1142">
          <cell r="A1142">
            <v>801022</v>
          </cell>
          <cell r="B1142" t="str">
            <v>Replantio da cana soca</v>
          </cell>
        </row>
        <row r="1143">
          <cell r="A1143">
            <v>900000</v>
          </cell>
          <cell r="B1143" t="str">
            <v>CENTRO DE CUSTO PARA RATEIO</v>
          </cell>
        </row>
        <row r="1144">
          <cell r="A1144">
            <v>900100</v>
          </cell>
          <cell r="B1144" t="str">
            <v>CENTRO DE CUSTO PARA RATEIO</v>
          </cell>
        </row>
        <row r="1145">
          <cell r="A1145">
            <v>900102</v>
          </cell>
          <cell r="B1145" t="str">
            <v>CENTRO DE CUSTO PARA RATEIO</v>
          </cell>
        </row>
        <row r="1146">
          <cell r="A1146">
            <v>300421</v>
          </cell>
          <cell r="B1146" t="str">
            <v>SERVICOS GERAIS</v>
          </cell>
        </row>
        <row r="1147">
          <cell r="A1147">
            <v>900104</v>
          </cell>
          <cell r="B1147" t="str">
            <v>IMPLANTAÇÃO DE SALDO</v>
          </cell>
        </row>
        <row r="1148">
          <cell r="A1148">
            <v>300607</v>
          </cell>
          <cell r="B1148" t="str">
            <v>INDENIZACOES TRABALHISTAS</v>
          </cell>
        </row>
        <row r="1149">
          <cell r="A1149">
            <v>300607</v>
          </cell>
          <cell r="B1149" t="str">
            <v>INDENIZACOES TRABALHISTAS</v>
          </cell>
        </row>
        <row r="1150">
          <cell r="A1150">
            <v>300608</v>
          </cell>
          <cell r="B1150" t="str">
            <v>INDENIZACOES CIVEIS</v>
          </cell>
        </row>
        <row r="1151">
          <cell r="A1151">
            <v>300608</v>
          </cell>
          <cell r="B1151" t="str">
            <v>INDENIZACOES CIVEIS</v>
          </cell>
        </row>
        <row r="1152">
          <cell r="A1152">
            <v>300609</v>
          </cell>
          <cell r="B1152" t="str">
            <v>INDENIZACOES AMBIENTAIS</v>
          </cell>
        </row>
        <row r="1153">
          <cell r="A1153">
            <v>300609</v>
          </cell>
          <cell r="B1153" t="str">
            <v>INDENIZACOES AMBIENTAIS</v>
          </cell>
        </row>
        <row r="1154">
          <cell r="A1154">
            <v>300610</v>
          </cell>
          <cell r="B1154" t="str">
            <v>INDENIZACOES TRIBUTARIA</v>
          </cell>
        </row>
        <row r="1155">
          <cell r="A1155">
            <v>300610</v>
          </cell>
          <cell r="B1155" t="str">
            <v>INDENIZACOES TRIBUTARIA</v>
          </cell>
        </row>
      </sheetData>
      <sheetData sheetId="8">
        <row r="2">
          <cell r="A2">
            <v>200102</v>
          </cell>
          <cell r="B2" t="str">
            <v>ADMINISTRACAO CORPORATIVA</v>
          </cell>
          <cell r="C2" t="str">
            <v>Presidencia y Gerencia General</v>
          </cell>
          <cell r="D2" t="str">
            <v>ADM CORP</v>
          </cell>
        </row>
        <row r="3">
          <cell r="A3">
            <v>300606</v>
          </cell>
          <cell r="B3" t="str">
            <v>GER.ADMINISTRACAO DE RISCO E AUDITORIA</v>
          </cell>
          <cell r="C3" t="str">
            <v>Presidencia y Gerencia General</v>
          </cell>
          <cell r="D3" t="str">
            <v>ADM CORP</v>
          </cell>
        </row>
        <row r="4">
          <cell r="A4">
            <v>200202</v>
          </cell>
          <cell r="B4" t="str">
            <v>CONTABILIDADE/FISCAL/PATRIMONIAL</v>
          </cell>
          <cell r="C4" t="str">
            <v>Contabilidad</v>
          </cell>
          <cell r="D4" t="str">
            <v>ADM ING</v>
          </cell>
        </row>
        <row r="5">
          <cell r="A5">
            <v>200302</v>
          </cell>
          <cell r="B5" t="str">
            <v>Fiscal</v>
          </cell>
          <cell r="C5" t="str">
            <v>Impuestos</v>
          </cell>
          <cell r="D5" t="str">
            <v>ADM ING</v>
          </cell>
        </row>
        <row r="6">
          <cell r="A6">
            <v>200602</v>
          </cell>
          <cell r="B6" t="str">
            <v>CUSTOS E ORÇAMENTOS</v>
          </cell>
          <cell r="C6" t="str">
            <v>Presupuesto Central</v>
          </cell>
          <cell r="D6" t="str">
            <v>ADM ING</v>
          </cell>
        </row>
        <row r="7">
          <cell r="A7">
            <v>200702</v>
          </cell>
          <cell r="B7" t="str">
            <v>Contratos</v>
          </cell>
          <cell r="C7" t="str">
            <v>Gerencia Financiera</v>
          </cell>
          <cell r="D7" t="str">
            <v>ADM ING</v>
          </cell>
        </row>
        <row r="8">
          <cell r="A8">
            <v>201404</v>
          </cell>
          <cell r="B8" t="str">
            <v>TESOURARIA</v>
          </cell>
          <cell r="C8" t="str">
            <v>Tesoreria</v>
          </cell>
          <cell r="D8" t="str">
            <v>ADM ING</v>
          </cell>
        </row>
        <row r="9">
          <cell r="A9">
            <v>300208</v>
          </cell>
          <cell r="B9" t="str">
            <v>RECEBIMENTO FISCAL</v>
          </cell>
          <cell r="C9" t="str">
            <v>Impuestos</v>
          </cell>
          <cell r="D9" t="str">
            <v>ADM ING</v>
          </cell>
        </row>
        <row r="10">
          <cell r="A10">
            <v>300420</v>
          </cell>
          <cell r="B10" t="str">
            <v>RECEPCAO, COPA E COZINHA</v>
          </cell>
          <cell r="C10" t="str">
            <v>Gerencia Administrativa</v>
          </cell>
          <cell r="D10" t="str">
            <v>ADM ING</v>
          </cell>
        </row>
        <row r="11">
          <cell r="A11">
            <v>300604</v>
          </cell>
          <cell r="B11" t="str">
            <v>GERENCIA ADMINISTRATIVA LOCAL</v>
          </cell>
          <cell r="C11" t="str">
            <v>Gerencia Administrativa</v>
          </cell>
          <cell r="D11" t="str">
            <v>ADM ING</v>
          </cell>
        </row>
        <row r="12">
          <cell r="A12">
            <v>300802</v>
          </cell>
          <cell r="B12" t="str">
            <v>TECNOLOGIA DA INFORMAÇÃO</v>
          </cell>
          <cell r="C12" t="str">
            <v>Soporte Informatico</v>
          </cell>
          <cell r="D12" t="str">
            <v>ADM ING</v>
          </cell>
        </row>
        <row r="13">
          <cell r="A13">
            <v>200802</v>
          </cell>
          <cell r="B13" t="str">
            <v>TECNOLOGIA DA INFORMAÇÃO</v>
          </cell>
          <cell r="C13" t="str">
            <v>Soporte Informatico</v>
          </cell>
          <cell r="D13" t="str">
            <v>ADM ING</v>
          </cell>
        </row>
        <row r="14">
          <cell r="A14">
            <v>201802</v>
          </cell>
          <cell r="B14" t="str">
            <v>CONTROLE INTERNO</v>
          </cell>
          <cell r="C14" t="str">
            <v>Gerencia Financiera</v>
          </cell>
          <cell r="D14" t="str">
            <v>ADM ING</v>
          </cell>
        </row>
        <row r="15">
          <cell r="A15">
            <v>200102</v>
          </cell>
          <cell r="B15" t="str">
            <v>GERENCIA ADMINISTRATIVA</v>
          </cell>
          <cell r="C15" t="str">
            <v>Gerencia Administrativa</v>
          </cell>
          <cell r="D15" t="str">
            <v>ADM ING</v>
          </cell>
        </row>
        <row r="16">
          <cell r="A16">
            <v>201402</v>
          </cell>
          <cell r="B16" t="str">
            <v>ADMINISTRAÇÃO FINANCEIRA</v>
          </cell>
          <cell r="C16" t="str">
            <v>Gerencia Administrativa</v>
          </cell>
          <cell r="D16" t="str">
            <v>ADM ING</v>
          </cell>
        </row>
        <row r="17">
          <cell r="A17">
            <v>100302</v>
          </cell>
          <cell r="B17" t="str">
            <v>SUP.CONTROLADORIA E GESTAO</v>
          </cell>
          <cell r="C17" t="str">
            <v>Presupuesto Central</v>
          </cell>
          <cell r="D17" t="str">
            <v>ADM ING</v>
          </cell>
        </row>
        <row r="18">
          <cell r="A18">
            <v>100102</v>
          </cell>
          <cell r="B18" t="str">
            <v>CONSELHEIRO ADMINISTRATIVO/FISCAL</v>
          </cell>
          <cell r="C18" t="str">
            <v>Gerencia Pais</v>
          </cell>
          <cell r="D18" t="str">
            <v>ADM PAIS</v>
          </cell>
        </row>
        <row r="19">
          <cell r="A19">
            <v>100202</v>
          </cell>
          <cell r="B19" t="str">
            <v>DIRETOR PRESIDENTE</v>
          </cell>
          <cell r="C19" t="str">
            <v>Gerencia Pais</v>
          </cell>
          <cell r="D19" t="str">
            <v>ADM PAIS</v>
          </cell>
        </row>
        <row r="20">
          <cell r="A20">
            <v>200204</v>
          </cell>
          <cell r="B20" t="str">
            <v>CONSULTORIA E AUDITORIA EXTERNA</v>
          </cell>
          <cell r="C20" t="str">
            <v>Gerencia Pais</v>
          </cell>
          <cell r="D20" t="str">
            <v>ADM PAIS</v>
          </cell>
        </row>
        <row r="21">
          <cell r="A21">
            <v>201602</v>
          </cell>
          <cell r="B21" t="str">
            <v>JURÍDICO</v>
          </cell>
          <cell r="C21" t="str">
            <v>Gerencia Pais</v>
          </cell>
          <cell r="D21" t="str">
            <v>ADM PAIS</v>
          </cell>
        </row>
        <row r="22">
          <cell r="A22">
            <v>201604</v>
          </cell>
          <cell r="B22" t="str">
            <v>CONSULTORIA JURÍDICA EXTERNA</v>
          </cell>
          <cell r="C22" t="str">
            <v>Gerencia Pais</v>
          </cell>
          <cell r="D22" t="str">
            <v>ADM PAIS</v>
          </cell>
        </row>
        <row r="23">
          <cell r="A23">
            <v>202002</v>
          </cell>
          <cell r="B23" t="str">
            <v>MEIO AMBIENTE</v>
          </cell>
          <cell r="C23" t="str">
            <v>Gestion Ambiental</v>
          </cell>
          <cell r="D23" t="str">
            <v>ADM PAIS</v>
          </cell>
        </row>
        <row r="24">
          <cell r="A24">
            <v>300602</v>
          </cell>
          <cell r="B24" t="str">
            <v>ADMINISTRAÇÃO GERAL</v>
          </cell>
          <cell r="C24" t="str">
            <v>Gerencia Pais</v>
          </cell>
          <cell r="D24" t="str">
            <v>ADM PAIS</v>
          </cell>
        </row>
        <row r="25">
          <cell r="A25">
            <v>100106</v>
          </cell>
          <cell r="B25" t="str">
            <v>CONSELHO FISCAL</v>
          </cell>
          <cell r="C25" t="str">
            <v>Gerencia Pais</v>
          </cell>
          <cell r="D25" t="str">
            <v>ADM PAIS</v>
          </cell>
        </row>
        <row r="26">
          <cell r="A26">
            <v>201002</v>
          </cell>
          <cell r="B26" t="str">
            <v>COMPRAS</v>
          </cell>
          <cell r="C26" t="str">
            <v>Compra</v>
          </cell>
          <cell r="D26" t="str">
            <v>LOGISTICA</v>
          </cell>
        </row>
        <row r="27">
          <cell r="A27">
            <v>201202</v>
          </cell>
          <cell r="B27" t="str">
            <v>COMERCIAL</v>
          </cell>
          <cell r="C27" t="str">
            <v>Gerencia</v>
          </cell>
          <cell r="D27" t="str">
            <v>LOGISTICA</v>
          </cell>
        </row>
        <row r="28">
          <cell r="A28">
            <v>300206</v>
          </cell>
          <cell r="B28" t="str">
            <v>FATURAMENTO</v>
          </cell>
          <cell r="C28" t="str">
            <v>Bascula</v>
          </cell>
          <cell r="D28" t="str">
            <v>LOGISTICA</v>
          </cell>
        </row>
        <row r="29">
          <cell r="A29">
            <v>300210</v>
          </cell>
          <cell r="B29" t="str">
            <v>BALANÇA ENTRADA CANA</v>
          </cell>
          <cell r="C29" t="str">
            <v>Bascula</v>
          </cell>
          <cell r="D29" t="str">
            <v>LOGISTICA</v>
          </cell>
        </row>
        <row r="30">
          <cell r="A30">
            <v>301004</v>
          </cell>
          <cell r="B30" t="str">
            <v>ALMOXARIFADO INDUSTRIAL</v>
          </cell>
          <cell r="C30" t="str">
            <v>Materiales</v>
          </cell>
          <cell r="D30" t="str">
            <v>LOGISTICA</v>
          </cell>
        </row>
        <row r="31">
          <cell r="A31">
            <v>301006</v>
          </cell>
          <cell r="B31" t="str">
            <v>POSTO ABASTECIMENTO</v>
          </cell>
          <cell r="C31" t="str">
            <v>Materiales</v>
          </cell>
          <cell r="D31" t="str">
            <v>LOGISTICA</v>
          </cell>
        </row>
        <row r="32">
          <cell r="A32">
            <v>301202</v>
          </cell>
          <cell r="B32" t="str">
            <v>ARMAZENAGEM DE ALCOOL</v>
          </cell>
          <cell r="C32" t="str">
            <v>Manejo de alcohol</v>
          </cell>
          <cell r="D32" t="str">
            <v>LOGISTICA</v>
          </cell>
        </row>
        <row r="33">
          <cell r="A33">
            <v>301206</v>
          </cell>
          <cell r="B33" t="str">
            <v>CARREGAMENTO DE ALCOOL</v>
          </cell>
          <cell r="C33" t="str">
            <v>Manejo de alcohol</v>
          </cell>
          <cell r="D33" t="str">
            <v>LOGISTICA</v>
          </cell>
        </row>
        <row r="34">
          <cell r="A34">
            <v>201204</v>
          </cell>
          <cell r="B34" t="str">
            <v>COMERCIALIZAÇÃO</v>
          </cell>
          <cell r="C34" t="str">
            <v>Gerencia</v>
          </cell>
          <cell r="D34" t="str">
            <v>LOGISTICA</v>
          </cell>
        </row>
        <row r="35">
          <cell r="A35">
            <v>200402</v>
          </cell>
          <cell r="B35" t="str">
            <v>ADMINISTRAÇÃO DE RECURSOS HUMANOS</v>
          </cell>
          <cell r="C35" t="str">
            <v>Administracion</v>
          </cell>
          <cell r="D35" t="str">
            <v>RH</v>
          </cell>
        </row>
        <row r="36">
          <cell r="A36">
            <v>200404</v>
          </cell>
          <cell r="B36" t="str">
            <v>CARGOS E SALÁRIOS</v>
          </cell>
          <cell r="C36" t="str">
            <v>Dotacion de personal</v>
          </cell>
          <cell r="D36" t="str">
            <v>RH</v>
          </cell>
        </row>
        <row r="37">
          <cell r="A37">
            <v>200408</v>
          </cell>
          <cell r="B37" t="str">
            <v>RECRUTAMENTO E SELEÇÃO</v>
          </cell>
          <cell r="C37" t="str">
            <v>Dotacion de personal</v>
          </cell>
          <cell r="D37" t="str">
            <v>RH</v>
          </cell>
        </row>
        <row r="38">
          <cell r="A38">
            <v>200410</v>
          </cell>
          <cell r="B38" t="str">
            <v>ASSISTÊNCIA SOCIAL</v>
          </cell>
          <cell r="C38" t="str">
            <v>Atencion al personal</v>
          </cell>
          <cell r="D38" t="str">
            <v>RH</v>
          </cell>
        </row>
        <row r="39">
          <cell r="A39">
            <v>300404</v>
          </cell>
          <cell r="B39" t="str">
            <v>ADMINISTRACAO DE PESSOAL</v>
          </cell>
          <cell r="C39" t="str">
            <v>Administracion</v>
          </cell>
          <cell r="D39" t="str">
            <v>RH</v>
          </cell>
        </row>
        <row r="40">
          <cell r="A40">
            <v>300410</v>
          </cell>
          <cell r="B40" t="str">
            <v>MEDICINA DO TRABALHO</v>
          </cell>
          <cell r="C40" t="str">
            <v>Servicios de salud</v>
          </cell>
          <cell r="D40" t="str">
            <v>RH</v>
          </cell>
        </row>
        <row r="41">
          <cell r="A41">
            <v>300412</v>
          </cell>
          <cell r="B41" t="str">
            <v>SEGURANCA DO TRABALHO</v>
          </cell>
          <cell r="C41" t="str">
            <v>Administracion</v>
          </cell>
          <cell r="D41" t="str">
            <v>RH</v>
          </cell>
        </row>
        <row r="42">
          <cell r="A42">
            <v>300414</v>
          </cell>
          <cell r="B42" t="str">
            <v>SEGURANCA PATRIMONIAL</v>
          </cell>
          <cell r="C42" t="str">
            <v>Seguridad</v>
          </cell>
          <cell r="D42" t="str">
            <v>RH</v>
          </cell>
        </row>
        <row r="43">
          <cell r="A43">
            <v>200402</v>
          </cell>
          <cell r="B43" t="str">
            <v>ADMINISTRAÇÃO DE RECURSOS HUMANOS</v>
          </cell>
          <cell r="C43" t="str">
            <v>Dotacion de personal</v>
          </cell>
          <cell r="D43" t="str">
            <v>RH</v>
          </cell>
        </row>
        <row r="44">
          <cell r="A44">
            <v>200103</v>
          </cell>
          <cell r="B44" t="str">
            <v>DESPESAS CAPACITAÇÕES</v>
          </cell>
          <cell r="C44" t="str">
            <v>Presidencia y Gerencia General</v>
          </cell>
          <cell r="D44" t="str">
            <v>ADM CORP</v>
          </cell>
        </row>
        <row r="45">
          <cell r="A45">
            <v>300416</v>
          </cell>
          <cell r="B45" t="str">
            <v>RESTAURANTE</v>
          </cell>
          <cell r="C45" t="str">
            <v>Clubs y restaurantes</v>
          </cell>
          <cell r="D45" t="str">
            <v>RH</v>
          </cell>
        </row>
        <row r="46">
          <cell r="A46">
            <v>601200</v>
          </cell>
          <cell r="B46" t="str">
            <v>CONSERVACAO PATIOS - ADMINISTRACAO</v>
          </cell>
          <cell r="C46" t="str">
            <v>Servicios Generales</v>
          </cell>
          <cell r="D46" t="str">
            <v>RH</v>
          </cell>
        </row>
        <row r="47">
          <cell r="A47">
            <v>200406</v>
          </cell>
          <cell r="B47" t="str">
            <v>ADMINISTRAÇÃO DE PESSOAL</v>
          </cell>
          <cell r="C47" t="str">
            <v>Administracion</v>
          </cell>
          <cell r="D47" t="str">
            <v>RH</v>
          </cell>
        </row>
        <row r="48">
          <cell r="A48">
            <v>301002</v>
          </cell>
          <cell r="B48" t="str">
            <v>Almoxarifado Automotivo</v>
          </cell>
          <cell r="C48" t="str">
            <v>Materiales</v>
          </cell>
          <cell r="D48" t="str">
            <v>LOGISTICA</v>
          </cell>
        </row>
        <row r="49">
          <cell r="A49">
            <v>302001</v>
          </cell>
          <cell r="B49" t="str">
            <v>Apoio Operacional</v>
          </cell>
          <cell r="D49" t="str">
            <v>ADM ING</v>
          </cell>
        </row>
      </sheetData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namica601"/>
      <sheetName val="Plan1"/>
      <sheetName val="601"/>
      <sheetName val="Dina901"/>
      <sheetName val="901"/>
      <sheetName val="CC Atual "/>
      <sheetName val="Conta"/>
      <sheetName val="2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3">
          <cell r="B3">
            <v>100100</v>
          </cell>
          <cell r="C3" t="str">
            <v>CONSELHO DE ADMINISTRACAO/FISCAL</v>
          </cell>
          <cell r="D3">
            <v>40</v>
          </cell>
          <cell r="E3" t="str">
            <v>ADM</v>
          </cell>
          <cell r="F3" t="str">
            <v>PAOLA LANDERAS</v>
          </cell>
        </row>
        <row r="4">
          <cell r="B4">
            <v>100102</v>
          </cell>
          <cell r="C4" t="str">
            <v>CONSELHEIRO ADMINISTRATIVO/FISCAL</v>
          </cell>
          <cell r="D4">
            <v>40</v>
          </cell>
          <cell r="E4" t="str">
            <v>ADM</v>
          </cell>
          <cell r="F4" t="str">
            <v>PAOLA LANDERAS</v>
          </cell>
        </row>
        <row r="5">
          <cell r="B5">
            <v>100102</v>
          </cell>
          <cell r="C5" t="str">
            <v>CONSELHEIRO ADMINISTRATIVO/FISCAL</v>
          </cell>
          <cell r="D5">
            <v>40</v>
          </cell>
          <cell r="E5" t="str">
            <v>ADM</v>
          </cell>
          <cell r="F5" t="str">
            <v>PAOLA LANDERAS</v>
          </cell>
        </row>
        <row r="6">
          <cell r="B6">
            <v>100106</v>
          </cell>
          <cell r="C6" t="str">
            <v>CONSELHO FISCAL</v>
          </cell>
          <cell r="D6">
            <v>40</v>
          </cell>
          <cell r="E6" t="str">
            <v>ADM</v>
          </cell>
          <cell r="F6" t="str">
            <v>PAOLA LANDERAS</v>
          </cell>
        </row>
        <row r="7">
          <cell r="B7">
            <v>100200</v>
          </cell>
          <cell r="C7" t="str">
            <v>DIRETORIA</v>
          </cell>
          <cell r="D7">
            <v>40</v>
          </cell>
          <cell r="E7" t="str">
            <v>ADM</v>
          </cell>
          <cell r="F7" t="str">
            <v>PAOLA LANDERAS</v>
          </cell>
        </row>
        <row r="8">
          <cell r="B8">
            <v>100202</v>
          </cell>
          <cell r="C8" t="str">
            <v>DIRETOR PRESIDENTE</v>
          </cell>
          <cell r="D8">
            <v>40</v>
          </cell>
          <cell r="E8" t="str">
            <v>ADM</v>
          </cell>
          <cell r="F8" t="str">
            <v>PAOLA LANDERAS</v>
          </cell>
        </row>
        <row r="9">
          <cell r="B9">
            <v>100202</v>
          </cell>
          <cell r="C9" t="str">
            <v>DIRETOR PRESIDENTE</v>
          </cell>
          <cell r="D9">
            <v>40</v>
          </cell>
          <cell r="E9" t="str">
            <v>ADM</v>
          </cell>
          <cell r="F9" t="str">
            <v>PAOLA LANDERAS</v>
          </cell>
        </row>
        <row r="10">
          <cell r="B10">
            <v>100300</v>
          </cell>
          <cell r="C10" t="str">
            <v>SUPERINTENDENCIA</v>
          </cell>
          <cell r="D10">
            <v>40</v>
          </cell>
          <cell r="E10" t="str">
            <v>ADM</v>
          </cell>
          <cell r="F10" t="str">
            <v>PAOLA LANDERAS</v>
          </cell>
        </row>
        <row r="11">
          <cell r="B11">
            <v>100302</v>
          </cell>
          <cell r="C11" t="str">
            <v>SUP.CONTROLADORIA E GESTAO</v>
          </cell>
          <cell r="D11">
            <v>40</v>
          </cell>
          <cell r="E11" t="str">
            <v>ADM</v>
          </cell>
          <cell r="F11" t="str">
            <v>PAOLA LANDERAS</v>
          </cell>
        </row>
        <row r="12">
          <cell r="B12">
            <v>100400</v>
          </cell>
          <cell r="C12" t="str">
            <v>ESCRITORIO DE SAO PAULO</v>
          </cell>
          <cell r="D12">
            <v>40</v>
          </cell>
          <cell r="E12" t="str">
            <v>ADM</v>
          </cell>
          <cell r="F12" t="str">
            <v>PAOLA LANDERAS</v>
          </cell>
        </row>
        <row r="13">
          <cell r="B13">
            <v>100500</v>
          </cell>
          <cell r="C13" t="str">
            <v>ASSESSORIA DE IMPRENSA</v>
          </cell>
          <cell r="D13">
            <v>40</v>
          </cell>
          <cell r="E13" t="str">
            <v>ADM</v>
          </cell>
          <cell r="F13" t="str">
            <v>PAOLA LANDERAS</v>
          </cell>
        </row>
        <row r="14">
          <cell r="B14">
            <v>200000</v>
          </cell>
          <cell r="C14" t="str">
            <v>ADMINISTRACAO CORPORATIVA</v>
          </cell>
          <cell r="D14">
            <v>40</v>
          </cell>
          <cell r="E14" t="str">
            <v>ADM</v>
          </cell>
          <cell r="F14" t="str">
            <v>PAOLA LANDERAS</v>
          </cell>
        </row>
        <row r="15">
          <cell r="B15">
            <v>200100</v>
          </cell>
          <cell r="C15" t="str">
            <v>GERENCIA ADMINISTRATIVA</v>
          </cell>
          <cell r="D15">
            <v>40</v>
          </cell>
          <cell r="E15" t="str">
            <v>ADM</v>
          </cell>
          <cell r="F15" t="str">
            <v>PAOLA LANDERAS</v>
          </cell>
        </row>
        <row r="16">
          <cell r="B16">
            <v>200102</v>
          </cell>
          <cell r="C16" t="str">
            <v>ADMINISTRACAO CORPORATIVA</v>
          </cell>
          <cell r="D16">
            <v>40</v>
          </cell>
          <cell r="E16" t="str">
            <v>ADM</v>
          </cell>
          <cell r="F16" t="str">
            <v>PAOLA LANDERAS</v>
          </cell>
        </row>
        <row r="17">
          <cell r="B17">
            <v>200103</v>
          </cell>
          <cell r="C17" t="str">
            <v>DESPESAS DE CAPACITAÇÕES</v>
          </cell>
          <cell r="D17">
            <v>40</v>
          </cell>
          <cell r="E17" t="str">
            <v>ADM</v>
          </cell>
          <cell r="F17" t="str">
            <v>PAOLA LANDERAS</v>
          </cell>
        </row>
        <row r="18">
          <cell r="B18">
            <v>200200</v>
          </cell>
          <cell r="C18" t="str">
            <v>DEPTO CONTABILIDADE</v>
          </cell>
          <cell r="D18">
            <v>40</v>
          </cell>
          <cell r="E18" t="str">
            <v>ADM</v>
          </cell>
          <cell r="F18" t="str">
            <v>WILLIAN GUSTAVO</v>
          </cell>
        </row>
        <row r="19">
          <cell r="B19">
            <v>200202</v>
          </cell>
          <cell r="C19" t="str">
            <v>CONTABILIDADE/FISCAL/PATRIMONIAL</v>
          </cell>
          <cell r="D19">
            <v>40</v>
          </cell>
          <cell r="E19" t="str">
            <v>ADM</v>
          </cell>
          <cell r="F19" t="str">
            <v>WILLIAN GUSTAVO OLIVEIRA</v>
          </cell>
        </row>
        <row r="20">
          <cell r="B20">
            <v>200202</v>
          </cell>
          <cell r="C20" t="str">
            <v>CONTABILIDADE/FISCAL/PATRIMONIAL</v>
          </cell>
          <cell r="D20">
            <v>40</v>
          </cell>
          <cell r="E20" t="str">
            <v>ADM</v>
          </cell>
          <cell r="F20" t="str">
            <v>WILLIAN GUSTAVO OLIVEIRA</v>
          </cell>
        </row>
        <row r="21">
          <cell r="B21">
            <v>200300</v>
          </cell>
          <cell r="C21" t="str">
            <v>DEPARTAMENTO FISCAL</v>
          </cell>
          <cell r="D21">
            <v>40</v>
          </cell>
          <cell r="E21" t="str">
            <v>ADM</v>
          </cell>
          <cell r="F21" t="str">
            <v>RODOLFO LIMA</v>
          </cell>
        </row>
        <row r="22">
          <cell r="B22">
            <v>200302</v>
          </cell>
          <cell r="C22" t="str">
            <v>FISCAL</v>
          </cell>
          <cell r="D22">
            <v>40</v>
          </cell>
          <cell r="E22" t="str">
            <v>ADM</v>
          </cell>
          <cell r="F22" t="str">
            <v>RODOLFO LIMA</v>
          </cell>
        </row>
        <row r="23">
          <cell r="B23">
            <v>200400</v>
          </cell>
          <cell r="C23" t="str">
            <v>RECURSOS HUMANOS</v>
          </cell>
          <cell r="D23">
            <v>40</v>
          </cell>
          <cell r="E23" t="str">
            <v>ADM</v>
          </cell>
          <cell r="F23" t="str">
            <v>CELSO SESTO</v>
          </cell>
        </row>
        <row r="24">
          <cell r="B24">
            <v>200402</v>
          </cell>
          <cell r="C24" t="str">
            <v>ADMINISTRAÇÃO DE RECURSOS HUMANOS</v>
          </cell>
          <cell r="D24">
            <v>40</v>
          </cell>
          <cell r="E24" t="str">
            <v>ADM</v>
          </cell>
          <cell r="F24" t="str">
            <v>CELSO SESTO</v>
          </cell>
        </row>
        <row r="25">
          <cell r="B25">
            <v>200402</v>
          </cell>
          <cell r="C25" t="str">
            <v>ADMINSITRAÇÃO DE RECURSOS HUMANOS</v>
          </cell>
          <cell r="D25">
            <v>40</v>
          </cell>
          <cell r="E25" t="str">
            <v>ADM</v>
          </cell>
          <cell r="F25" t="str">
            <v>CELSO SESTO</v>
          </cell>
        </row>
        <row r="26">
          <cell r="B26">
            <v>200410</v>
          </cell>
          <cell r="C26" t="str">
            <v>ASSISTÊNCIA SOCIAL</v>
          </cell>
          <cell r="D26">
            <v>40</v>
          </cell>
          <cell r="E26" t="str">
            <v>ADM</v>
          </cell>
          <cell r="F26" t="str">
            <v>CELSO SESTO</v>
          </cell>
        </row>
        <row r="27">
          <cell r="B27">
            <v>200410</v>
          </cell>
          <cell r="C27" t="str">
            <v>ASSISTÊNCIA SOCIAL</v>
          </cell>
          <cell r="D27">
            <v>40</v>
          </cell>
          <cell r="E27" t="str">
            <v>ADM</v>
          </cell>
          <cell r="F27" t="str">
            <v>CELSO SESTO</v>
          </cell>
        </row>
        <row r="28">
          <cell r="B28">
            <v>200600</v>
          </cell>
          <cell r="C28" t="str">
            <v>CUSTO E ORCAMENTO</v>
          </cell>
          <cell r="D28">
            <v>40</v>
          </cell>
          <cell r="E28" t="str">
            <v>ADM</v>
          </cell>
          <cell r="F28" t="str">
            <v>WILLIAN KLINGER</v>
          </cell>
        </row>
        <row r="29">
          <cell r="B29">
            <v>200602</v>
          </cell>
          <cell r="C29" t="str">
            <v>CUSTO E ORÇAMENTO</v>
          </cell>
          <cell r="D29">
            <v>40</v>
          </cell>
          <cell r="E29" t="str">
            <v>ADM</v>
          </cell>
          <cell r="F29" t="str">
            <v>WILLIAN KLINGER</v>
          </cell>
        </row>
        <row r="30">
          <cell r="B30">
            <v>200700</v>
          </cell>
          <cell r="C30" t="str">
            <v>ADMINISTRAÇÃO DE CONTRATOS</v>
          </cell>
          <cell r="D30">
            <v>40</v>
          </cell>
          <cell r="E30" t="str">
            <v>ADM</v>
          </cell>
          <cell r="F30" t="str">
            <v>MILTON VIERA</v>
          </cell>
        </row>
        <row r="31">
          <cell r="B31">
            <v>200702</v>
          </cell>
          <cell r="C31" t="str">
            <v>CONTRATOS</v>
          </cell>
          <cell r="D31">
            <v>40</v>
          </cell>
          <cell r="E31" t="str">
            <v>ADM</v>
          </cell>
          <cell r="F31" t="str">
            <v>MILTON VIERA</v>
          </cell>
        </row>
        <row r="32">
          <cell r="B32">
            <v>200800</v>
          </cell>
          <cell r="C32" t="str">
            <v>TECNOLOGIA DA INFORMACAO</v>
          </cell>
          <cell r="D32">
            <v>40</v>
          </cell>
          <cell r="E32" t="str">
            <v>ADM</v>
          </cell>
          <cell r="F32" t="str">
            <v>EMERSON OLIVO</v>
          </cell>
        </row>
        <row r="33">
          <cell r="B33">
            <v>200802</v>
          </cell>
          <cell r="C33" t="str">
            <v>TECNOLOGIA DA INFORMAÇÃO</v>
          </cell>
          <cell r="D33">
            <v>40</v>
          </cell>
          <cell r="E33" t="str">
            <v>ADM</v>
          </cell>
          <cell r="F33" t="str">
            <v>EMERSON OLIVO</v>
          </cell>
        </row>
        <row r="34">
          <cell r="B34">
            <v>201000</v>
          </cell>
          <cell r="C34" t="str">
            <v>SUPRIMENTOS</v>
          </cell>
          <cell r="D34">
            <v>40</v>
          </cell>
          <cell r="E34" t="str">
            <v>ADM</v>
          </cell>
          <cell r="F34" t="str">
            <v>GENNER FLORENCIO</v>
          </cell>
        </row>
        <row r="35">
          <cell r="B35">
            <v>201002</v>
          </cell>
          <cell r="C35" t="str">
            <v>COMPRAS</v>
          </cell>
          <cell r="D35">
            <v>40</v>
          </cell>
          <cell r="E35" t="str">
            <v>ADM</v>
          </cell>
          <cell r="F35" t="str">
            <v>GENNER FLORENCIO</v>
          </cell>
        </row>
        <row r="36">
          <cell r="B36">
            <v>201200</v>
          </cell>
          <cell r="C36" t="str">
            <v>COMERCIAL</v>
          </cell>
          <cell r="D36">
            <v>30</v>
          </cell>
          <cell r="E36" t="str">
            <v>COM</v>
          </cell>
          <cell r="F36" t="str">
            <v>GENNER FLORENCIO</v>
          </cell>
        </row>
        <row r="37">
          <cell r="B37">
            <v>201202</v>
          </cell>
          <cell r="C37" t="str">
            <v>COMERCIAL</v>
          </cell>
          <cell r="D37">
            <v>30</v>
          </cell>
          <cell r="E37" t="str">
            <v>COM</v>
          </cell>
          <cell r="F37" t="str">
            <v>GENNER FLORENCIO</v>
          </cell>
        </row>
        <row r="38">
          <cell r="B38">
            <v>201204</v>
          </cell>
          <cell r="C38" t="str">
            <v>COMERCIALIZAÇÃO</v>
          </cell>
          <cell r="D38">
            <v>30</v>
          </cell>
          <cell r="E38" t="str">
            <v>COM</v>
          </cell>
          <cell r="F38" t="str">
            <v>GENNER FLORENCIO</v>
          </cell>
        </row>
        <row r="39">
          <cell r="B39">
            <v>201400</v>
          </cell>
          <cell r="C39" t="str">
            <v>FINANCEIRO</v>
          </cell>
          <cell r="D39">
            <v>40</v>
          </cell>
          <cell r="E39" t="str">
            <v>ADM</v>
          </cell>
          <cell r="F39" t="str">
            <v>SILVIO CABRIOTI</v>
          </cell>
        </row>
        <row r="40">
          <cell r="B40">
            <v>201402</v>
          </cell>
          <cell r="C40" t="str">
            <v>GERENCIA FINANCEIRA</v>
          </cell>
          <cell r="D40">
            <v>40</v>
          </cell>
          <cell r="E40" t="str">
            <v>ADM</v>
          </cell>
          <cell r="F40" t="str">
            <v>SILVIO CABRIOTI</v>
          </cell>
        </row>
        <row r="41">
          <cell r="B41">
            <v>201404</v>
          </cell>
          <cell r="C41" t="str">
            <v>TESOURARIA</v>
          </cell>
          <cell r="D41">
            <v>40</v>
          </cell>
          <cell r="E41" t="str">
            <v>ADM</v>
          </cell>
          <cell r="F41" t="str">
            <v>SILVIO CABRIOTI</v>
          </cell>
        </row>
        <row r="42">
          <cell r="B42">
            <v>201600</v>
          </cell>
          <cell r="C42" t="str">
            <v>JURIDICO</v>
          </cell>
          <cell r="D42">
            <v>40</v>
          </cell>
          <cell r="E42" t="str">
            <v>ADM</v>
          </cell>
          <cell r="F42" t="str">
            <v>THIAGO FOGAÇA</v>
          </cell>
        </row>
        <row r="43">
          <cell r="B43">
            <v>201602</v>
          </cell>
          <cell r="C43" t="str">
            <v>JURÍDICO</v>
          </cell>
          <cell r="D43">
            <v>40</v>
          </cell>
          <cell r="E43" t="str">
            <v>ADM</v>
          </cell>
          <cell r="F43" t="str">
            <v>THIAGO FOGAÇA</v>
          </cell>
        </row>
        <row r="44">
          <cell r="B44">
            <v>201602</v>
          </cell>
          <cell r="C44" t="str">
            <v>JURÍDICO</v>
          </cell>
          <cell r="D44">
            <v>40</v>
          </cell>
          <cell r="E44" t="str">
            <v>ADM</v>
          </cell>
          <cell r="F44" t="str">
            <v>THIAGO FOGAÇA</v>
          </cell>
        </row>
        <row r="45">
          <cell r="B45">
            <v>201800</v>
          </cell>
          <cell r="C45" t="str">
            <v>CONTROLE INTERNO</v>
          </cell>
          <cell r="D45">
            <v>40</v>
          </cell>
          <cell r="E45" t="str">
            <v>ADM</v>
          </cell>
          <cell r="F45" t="str">
            <v>PAOLA LANDERAS</v>
          </cell>
        </row>
        <row r="46">
          <cell r="B46">
            <v>201802</v>
          </cell>
          <cell r="C46" t="str">
            <v>CONTROLE INTERNO</v>
          </cell>
          <cell r="D46">
            <v>40</v>
          </cell>
          <cell r="E46" t="str">
            <v>ADM</v>
          </cell>
          <cell r="F46" t="str">
            <v>PAOLA LANDERAS</v>
          </cell>
        </row>
        <row r="47">
          <cell r="B47">
            <v>202000</v>
          </cell>
          <cell r="C47" t="str">
            <v>MEIO AMBIEMTE</v>
          </cell>
          <cell r="D47">
            <v>40</v>
          </cell>
          <cell r="E47" t="str">
            <v>ADM</v>
          </cell>
          <cell r="F47" t="str">
            <v>DINAEL VEIGA</v>
          </cell>
        </row>
        <row r="48">
          <cell r="B48">
            <v>202002</v>
          </cell>
          <cell r="C48" t="str">
            <v>MEIO AMBIENTE</v>
          </cell>
          <cell r="D48">
            <v>40</v>
          </cell>
          <cell r="E48" t="str">
            <v>ADM</v>
          </cell>
          <cell r="F48" t="str">
            <v>DINAEL VEIGA</v>
          </cell>
        </row>
        <row r="49">
          <cell r="B49">
            <v>202002</v>
          </cell>
          <cell r="C49" t="str">
            <v>MEIO AMBIENTE</v>
          </cell>
          <cell r="D49">
            <v>40</v>
          </cell>
          <cell r="E49" t="str">
            <v>ADM</v>
          </cell>
          <cell r="F49" t="str">
            <v>DINAEL VEIGA</v>
          </cell>
        </row>
        <row r="50">
          <cell r="B50">
            <v>300000</v>
          </cell>
          <cell r="C50" t="str">
            <v>ADMINISTRACAO LOCAL</v>
          </cell>
          <cell r="D50">
            <v>40</v>
          </cell>
          <cell r="E50" t="str">
            <v>ADM</v>
          </cell>
          <cell r="F50" t="str">
            <v>PAOLA LANDERAS</v>
          </cell>
        </row>
        <row r="51">
          <cell r="B51">
            <v>300200</v>
          </cell>
          <cell r="C51" t="str">
            <v>DEPTO CONTABIL</v>
          </cell>
          <cell r="D51">
            <v>40</v>
          </cell>
          <cell r="E51" t="str">
            <v>ADM</v>
          </cell>
          <cell r="F51" t="str">
            <v>WILLIAN GUSTAVO</v>
          </cell>
        </row>
        <row r="52">
          <cell r="B52">
            <v>300206</v>
          </cell>
          <cell r="C52" t="str">
            <v>FATURAMENTO</v>
          </cell>
          <cell r="D52">
            <v>30</v>
          </cell>
          <cell r="E52" t="str">
            <v>COM</v>
          </cell>
          <cell r="F52" t="str">
            <v>GENNER FLORENCIO</v>
          </cell>
        </row>
        <row r="53">
          <cell r="B53">
            <v>300208</v>
          </cell>
          <cell r="C53" t="str">
            <v>RECEBIMENTO</v>
          </cell>
          <cell r="D53">
            <v>40</v>
          </cell>
          <cell r="E53" t="str">
            <v>ADM</v>
          </cell>
          <cell r="F53" t="str">
            <v>GENNER FLORENCIO</v>
          </cell>
        </row>
        <row r="54">
          <cell r="B54">
            <v>300210</v>
          </cell>
          <cell r="C54" t="str">
            <v>BALANÇA ENTRADA CANA</v>
          </cell>
          <cell r="D54">
            <v>30</v>
          </cell>
          <cell r="E54" t="str">
            <v>COM</v>
          </cell>
          <cell r="F54" t="str">
            <v>GENNER FLORENCIO</v>
          </cell>
        </row>
        <row r="55">
          <cell r="B55">
            <v>300400</v>
          </cell>
          <cell r="C55" t="str">
            <v>RECURSOS HUMANOS</v>
          </cell>
          <cell r="D55">
            <v>40</v>
          </cell>
          <cell r="E55" t="str">
            <v>ADM</v>
          </cell>
          <cell r="F55" t="str">
            <v>CELSO SESTO</v>
          </cell>
        </row>
        <row r="56">
          <cell r="B56">
            <v>300404</v>
          </cell>
          <cell r="C56" t="str">
            <v>ADMINISTRACAO DE PESSOAL</v>
          </cell>
          <cell r="D56">
            <v>40</v>
          </cell>
          <cell r="E56" t="str">
            <v>ADM</v>
          </cell>
          <cell r="F56" t="str">
            <v>CELSO SESTO</v>
          </cell>
        </row>
        <row r="57">
          <cell r="B57">
            <v>300404</v>
          </cell>
          <cell r="C57" t="str">
            <v>ADMINISTRACAO DE PESSOAL</v>
          </cell>
          <cell r="D57">
            <v>40</v>
          </cell>
          <cell r="E57" t="str">
            <v>ADM</v>
          </cell>
          <cell r="F57" t="str">
            <v>CELSO SESTO</v>
          </cell>
        </row>
        <row r="58">
          <cell r="B58">
            <v>300410</v>
          </cell>
          <cell r="C58" t="str">
            <v>MEDICINA DO TRABALHO</v>
          </cell>
          <cell r="D58">
            <v>40</v>
          </cell>
          <cell r="E58" t="str">
            <v>ADM</v>
          </cell>
          <cell r="F58" t="str">
            <v>CELSO SESTO</v>
          </cell>
        </row>
        <row r="59">
          <cell r="B59">
            <v>300410</v>
          </cell>
          <cell r="C59" t="str">
            <v>MEDICINA DO TRABALHO</v>
          </cell>
          <cell r="D59">
            <v>40</v>
          </cell>
          <cell r="E59" t="str">
            <v>ADM</v>
          </cell>
          <cell r="F59" t="str">
            <v>CELSO SESTO</v>
          </cell>
        </row>
        <row r="60">
          <cell r="B60">
            <v>300412</v>
          </cell>
          <cell r="C60" t="str">
            <v>SEGURANCA DO TRABALHO</v>
          </cell>
          <cell r="D60">
            <v>40</v>
          </cell>
          <cell r="E60" t="str">
            <v>ADM</v>
          </cell>
          <cell r="F60" t="str">
            <v>GABRIEL VIANA</v>
          </cell>
        </row>
        <row r="61">
          <cell r="B61">
            <v>300412</v>
          </cell>
          <cell r="C61" t="str">
            <v>SEGURANCA DO TRABALHO</v>
          </cell>
          <cell r="D61">
            <v>40</v>
          </cell>
          <cell r="E61" t="str">
            <v>ADM</v>
          </cell>
          <cell r="F61" t="str">
            <v>GABRIEL VIANA</v>
          </cell>
        </row>
        <row r="62">
          <cell r="B62">
            <v>300414</v>
          </cell>
          <cell r="C62" t="str">
            <v>SEGURANCA PATRIMONIAL</v>
          </cell>
          <cell r="D62">
            <v>40</v>
          </cell>
          <cell r="E62" t="str">
            <v>ADM</v>
          </cell>
          <cell r="F62" t="str">
            <v>GABRIEL VIANA</v>
          </cell>
        </row>
        <row r="63">
          <cell r="B63">
            <v>300416</v>
          </cell>
          <cell r="C63" t="str">
            <v>RESTAURANTE</v>
          </cell>
          <cell r="D63">
            <v>40</v>
          </cell>
          <cell r="E63" t="str">
            <v>ADM</v>
          </cell>
          <cell r="F63" t="str">
            <v>GABRIEL VIANA</v>
          </cell>
        </row>
        <row r="64">
          <cell r="B64">
            <v>300420</v>
          </cell>
          <cell r="C64" t="str">
            <v>RECEPCAO, COPA E COZINHA</v>
          </cell>
          <cell r="D64">
            <v>40</v>
          </cell>
          <cell r="E64" t="str">
            <v>ADM</v>
          </cell>
          <cell r="F64" t="str">
            <v>GABRIEL VIANA</v>
          </cell>
        </row>
        <row r="65">
          <cell r="B65">
            <v>300421</v>
          </cell>
          <cell r="C65" t="str">
            <v>SERVICOS GERAIS</v>
          </cell>
          <cell r="D65">
            <v>40</v>
          </cell>
          <cell r="E65" t="str">
            <v>ADM</v>
          </cell>
          <cell r="F65" t="str">
            <v>GABRIEL VIANA</v>
          </cell>
        </row>
        <row r="66">
          <cell r="B66">
            <v>300421</v>
          </cell>
          <cell r="C66" t="str">
            <v>SERVICOS GERAIS</v>
          </cell>
          <cell r="D66">
            <v>40</v>
          </cell>
          <cell r="E66" t="str">
            <v>ADM</v>
          </cell>
          <cell r="F66" t="str">
            <v>GABRIEL VIANA</v>
          </cell>
        </row>
        <row r="67">
          <cell r="B67">
            <v>300600</v>
          </cell>
          <cell r="C67" t="str">
            <v>ADMINISTRAÇÃO GERAL</v>
          </cell>
          <cell r="D67">
            <v>40</v>
          </cell>
          <cell r="E67" t="str">
            <v>ADM</v>
          </cell>
          <cell r="F67" t="str">
            <v>PAOLA LANDERAS</v>
          </cell>
        </row>
        <row r="68">
          <cell r="B68">
            <v>300602</v>
          </cell>
          <cell r="C68" t="str">
            <v>ADMINISTRAÇÃO GERAL</v>
          </cell>
          <cell r="D68">
            <v>40</v>
          </cell>
          <cell r="E68" t="str">
            <v>ADM</v>
          </cell>
          <cell r="F68" t="str">
            <v>PAOLA LANDERAS</v>
          </cell>
        </row>
        <row r="69">
          <cell r="B69">
            <v>300602</v>
          </cell>
          <cell r="C69" t="str">
            <v>ADMINISTRAÇÃO GERAL</v>
          </cell>
          <cell r="D69">
            <v>40</v>
          </cell>
          <cell r="E69" t="str">
            <v>ADM</v>
          </cell>
          <cell r="F69" t="str">
            <v>MARTIM LOOSLI</v>
          </cell>
        </row>
        <row r="70">
          <cell r="B70">
            <v>300604</v>
          </cell>
          <cell r="C70" t="str">
            <v>GERÊNCIA GERAL</v>
          </cell>
          <cell r="D70">
            <v>40</v>
          </cell>
          <cell r="E70" t="str">
            <v>ADM</v>
          </cell>
          <cell r="F70" t="str">
            <v>ALBERTO OTOYA</v>
          </cell>
        </row>
        <row r="71">
          <cell r="B71">
            <v>300606</v>
          </cell>
          <cell r="C71" t="str">
            <v>GER.ADMINISTRACAO DE RISCO E AUDITORIA</v>
          </cell>
          <cell r="D71">
            <v>40</v>
          </cell>
          <cell r="E71" t="str">
            <v>ADM</v>
          </cell>
          <cell r="F71" t="str">
            <v>JOSE MARTINEZ</v>
          </cell>
        </row>
        <row r="72">
          <cell r="B72">
            <v>300607</v>
          </cell>
          <cell r="C72" t="str">
            <v>INDENIZACOES TRABALHISTAS</v>
          </cell>
          <cell r="D72">
            <v>40</v>
          </cell>
          <cell r="E72" t="str">
            <v>ADM</v>
          </cell>
          <cell r="F72" t="str">
            <v>ALBERTO OTOYA</v>
          </cell>
        </row>
        <row r="73">
          <cell r="B73">
            <v>300607</v>
          </cell>
          <cell r="C73" t="str">
            <v>INDENIZACOES TRABALHISTAS</v>
          </cell>
          <cell r="D73">
            <v>40</v>
          </cell>
          <cell r="E73" t="str">
            <v>ADM</v>
          </cell>
          <cell r="F73" t="str">
            <v>ALBERTO OTOYA</v>
          </cell>
        </row>
        <row r="74">
          <cell r="B74">
            <v>300608</v>
          </cell>
          <cell r="C74" t="str">
            <v>INDENIZACOES CIVEIS</v>
          </cell>
          <cell r="D74">
            <v>40</v>
          </cell>
          <cell r="E74" t="str">
            <v>ADM</v>
          </cell>
          <cell r="F74" t="str">
            <v>ALBERTO OTOYA</v>
          </cell>
        </row>
        <row r="75">
          <cell r="B75">
            <v>300608</v>
          </cell>
          <cell r="C75" t="str">
            <v>INDENIZACOES CIVEIS</v>
          </cell>
          <cell r="D75">
            <v>40</v>
          </cell>
          <cell r="E75" t="str">
            <v>ADM</v>
          </cell>
          <cell r="F75" t="str">
            <v>ALBERTO OTOYA</v>
          </cell>
        </row>
        <row r="76">
          <cell r="B76">
            <v>300609</v>
          </cell>
          <cell r="C76" t="str">
            <v>INDENIZACOES AMBIENTAIS</v>
          </cell>
          <cell r="D76">
            <v>40</v>
          </cell>
          <cell r="E76" t="str">
            <v>ADM</v>
          </cell>
          <cell r="F76" t="str">
            <v>ALBERTO OTOYA</v>
          </cell>
        </row>
        <row r="77">
          <cell r="B77">
            <v>300609</v>
          </cell>
          <cell r="C77" t="str">
            <v>INDENIZACOES AMBIENTAIS</v>
          </cell>
          <cell r="D77">
            <v>40</v>
          </cell>
          <cell r="E77" t="str">
            <v>ADM</v>
          </cell>
          <cell r="F77" t="str">
            <v>ALBERTO OTOYA</v>
          </cell>
        </row>
        <row r="78">
          <cell r="B78">
            <v>300610</v>
          </cell>
          <cell r="C78" t="str">
            <v>INDENIZACOES TRIBUTARIA</v>
          </cell>
          <cell r="D78">
            <v>40</v>
          </cell>
          <cell r="E78" t="str">
            <v>ADM</v>
          </cell>
          <cell r="F78" t="str">
            <v>ALBERTO OTOYA</v>
          </cell>
        </row>
        <row r="79">
          <cell r="B79">
            <v>300610</v>
          </cell>
          <cell r="C79" t="str">
            <v>INDENIZACOES TRIBUTARIA</v>
          </cell>
          <cell r="D79">
            <v>40</v>
          </cell>
          <cell r="E79" t="str">
            <v>ADM</v>
          </cell>
          <cell r="F79" t="str">
            <v>ALBERTO OTOYA</v>
          </cell>
        </row>
        <row r="80">
          <cell r="B80">
            <v>300800</v>
          </cell>
          <cell r="C80" t="str">
            <v>TECNOLOGIA DA INFORMACAO</v>
          </cell>
          <cell r="D80">
            <v>40</v>
          </cell>
          <cell r="E80" t="str">
            <v>ADM</v>
          </cell>
          <cell r="F80" t="str">
            <v>EMERSON OLIVO</v>
          </cell>
        </row>
        <row r="81">
          <cell r="B81">
            <v>300802</v>
          </cell>
          <cell r="C81" t="str">
            <v>TECNOLOGIA DA INFORMAÇÃO</v>
          </cell>
          <cell r="D81">
            <v>40</v>
          </cell>
          <cell r="E81" t="str">
            <v>ADM</v>
          </cell>
          <cell r="F81" t="str">
            <v>EMERSON OLIVO</v>
          </cell>
        </row>
        <row r="82">
          <cell r="B82">
            <v>300802</v>
          </cell>
          <cell r="C82" t="str">
            <v>TECNOLOGIA DA INFORMAÇÃO</v>
          </cell>
          <cell r="D82">
            <v>40</v>
          </cell>
          <cell r="E82" t="str">
            <v>ADM</v>
          </cell>
          <cell r="F82" t="str">
            <v>EMERSON OLIVO</v>
          </cell>
        </row>
        <row r="83">
          <cell r="B83">
            <v>301000</v>
          </cell>
          <cell r="C83" t="str">
            <v>SUPRIMENTOS</v>
          </cell>
          <cell r="D83">
            <v>40</v>
          </cell>
          <cell r="E83" t="str">
            <v>ADM</v>
          </cell>
          <cell r="F83" t="str">
            <v>GENNER FLORENCIO</v>
          </cell>
        </row>
        <row r="84">
          <cell r="B84">
            <v>301002</v>
          </cell>
          <cell r="C84" t="str">
            <v>ALMOXARIFADO AUTOMOTIVO</v>
          </cell>
          <cell r="D84">
            <v>40</v>
          </cell>
          <cell r="E84" t="str">
            <v>ADM</v>
          </cell>
          <cell r="F84" t="str">
            <v>GENNER FLORENCIO</v>
          </cell>
        </row>
        <row r="85">
          <cell r="B85">
            <v>301002</v>
          </cell>
          <cell r="C85" t="str">
            <v>ALMOXARIFADO AUTOMOTIVO</v>
          </cell>
          <cell r="D85">
            <v>40</v>
          </cell>
          <cell r="E85" t="str">
            <v>ADM</v>
          </cell>
          <cell r="F85" t="str">
            <v>GENNER FLORENCIO</v>
          </cell>
        </row>
        <row r="86">
          <cell r="B86">
            <v>301004</v>
          </cell>
          <cell r="C86" t="str">
            <v>ALMOXARIFADO INDUSTRIAL</v>
          </cell>
          <cell r="D86">
            <v>40</v>
          </cell>
          <cell r="E86" t="str">
            <v>ADM</v>
          </cell>
          <cell r="F86" t="str">
            <v>GENNER FLORENCIO</v>
          </cell>
        </row>
        <row r="87">
          <cell r="B87">
            <v>301006</v>
          </cell>
          <cell r="C87" t="str">
            <v>POSTO ABASTECIMENTO</v>
          </cell>
          <cell r="D87">
            <v>40</v>
          </cell>
          <cell r="E87" t="str">
            <v>ADM</v>
          </cell>
          <cell r="F87" t="str">
            <v>GENNER FLORENCIO</v>
          </cell>
        </row>
        <row r="88">
          <cell r="B88">
            <v>301006</v>
          </cell>
          <cell r="C88" t="str">
            <v>POSTO ABASTECIMENTO</v>
          </cell>
          <cell r="D88">
            <v>40</v>
          </cell>
          <cell r="E88" t="str">
            <v>ADM</v>
          </cell>
          <cell r="F88" t="str">
            <v>GENNER FLORENCIO</v>
          </cell>
        </row>
        <row r="89">
          <cell r="B89">
            <v>301200</v>
          </cell>
          <cell r="C89" t="str">
            <v>DEPTO COMERCIAL</v>
          </cell>
          <cell r="D89">
            <v>30</v>
          </cell>
          <cell r="E89" t="str">
            <v>COM</v>
          </cell>
          <cell r="F89" t="str">
            <v>GENNER FLORENCIO</v>
          </cell>
        </row>
        <row r="90">
          <cell r="B90">
            <v>301202</v>
          </cell>
          <cell r="C90" t="str">
            <v>ARMAZENAGEM DE ALCOOL</v>
          </cell>
          <cell r="D90">
            <v>30</v>
          </cell>
          <cell r="E90" t="str">
            <v>COM</v>
          </cell>
          <cell r="F90" t="str">
            <v>GENNER FLORENCIO</v>
          </cell>
        </row>
        <row r="91">
          <cell r="B91">
            <v>301204</v>
          </cell>
          <cell r="C91" t="str">
            <v>ARMAZENAGEM DE ACUCAR</v>
          </cell>
          <cell r="D91">
            <v>30</v>
          </cell>
          <cell r="E91" t="str">
            <v>COM</v>
          </cell>
          <cell r="F91" t="str">
            <v>GENNER FLORENCIO</v>
          </cell>
        </row>
        <row r="92">
          <cell r="B92">
            <v>301206</v>
          </cell>
          <cell r="C92" t="str">
            <v>CARREGAMENTO</v>
          </cell>
          <cell r="D92">
            <v>30</v>
          </cell>
          <cell r="E92" t="str">
            <v>COM</v>
          </cell>
          <cell r="F92" t="str">
            <v>GENNER FLORENCIO</v>
          </cell>
        </row>
        <row r="93">
          <cell r="B93">
            <v>301208</v>
          </cell>
          <cell r="C93" t="str">
            <v>LOGISTICA E TRANSPORTE</v>
          </cell>
          <cell r="D93">
            <v>30</v>
          </cell>
          <cell r="E93" t="str">
            <v>COM</v>
          </cell>
          <cell r="F93" t="str">
            <v>GENNER FLORENCIO</v>
          </cell>
        </row>
        <row r="94">
          <cell r="B94">
            <v>301290</v>
          </cell>
          <cell r="C94" t="str">
            <v>LOGISTICA E TRANSPORTE</v>
          </cell>
          <cell r="D94">
            <v>30</v>
          </cell>
          <cell r="E94" t="str">
            <v>COM</v>
          </cell>
          <cell r="F94" t="str">
            <v>GENNER FLORENCIO</v>
          </cell>
        </row>
        <row r="95">
          <cell r="B95">
            <v>302001</v>
          </cell>
          <cell r="C95" t="str">
            <v>APOIO OPERACIONAL</v>
          </cell>
          <cell r="D95">
            <v>40</v>
          </cell>
          <cell r="E95" t="str">
            <v>ADM</v>
          </cell>
          <cell r="F95" t="str">
            <v>WILLIAN KLINGER</v>
          </cell>
        </row>
        <row r="96">
          <cell r="B96">
            <v>399990</v>
          </cell>
          <cell r="C96" t="str">
            <v>C.CUSTO PARA NÃO SER VALIDADO PELO ORÇAM</v>
          </cell>
          <cell r="D96">
            <v>40</v>
          </cell>
          <cell r="E96" t="str">
            <v>ADM</v>
          </cell>
          <cell r="F96" t="str">
            <v>WILLIAN KLINGER</v>
          </cell>
        </row>
        <row r="97">
          <cell r="B97">
            <v>400102</v>
          </cell>
          <cell r="C97" t="str">
            <v>GERÊNCIA INDUSTRIAL</v>
          </cell>
          <cell r="D97">
            <v>10</v>
          </cell>
          <cell r="E97" t="str">
            <v>IND</v>
          </cell>
          <cell r="F97" t="str">
            <v>GILBERTO STUCHI</v>
          </cell>
        </row>
        <row r="98">
          <cell r="B98">
            <v>400202</v>
          </cell>
          <cell r="C98" t="str">
            <v>APOIO TÉCNICO INDUSTRIAL</v>
          </cell>
          <cell r="D98">
            <v>10</v>
          </cell>
          <cell r="E98" t="str">
            <v>IND</v>
          </cell>
          <cell r="F98" t="str">
            <v>SERGIO FIORENTINO</v>
          </cell>
        </row>
        <row r="99">
          <cell r="B99">
            <v>400402</v>
          </cell>
          <cell r="C99" t="str">
            <v>LABORATORIO PCTS</v>
          </cell>
          <cell r="D99">
            <v>10</v>
          </cell>
          <cell r="E99" t="str">
            <v>IND</v>
          </cell>
          <cell r="F99" t="str">
            <v>KELLY CRISTINA</v>
          </cell>
        </row>
        <row r="100">
          <cell r="B100">
            <v>400404</v>
          </cell>
          <cell r="C100" t="str">
            <v>LABORATORIO INDUSTRIAL</v>
          </cell>
          <cell r="D100">
            <v>10</v>
          </cell>
          <cell r="E100" t="str">
            <v>IND</v>
          </cell>
          <cell r="F100" t="str">
            <v>KELLY CRISTINA</v>
          </cell>
        </row>
        <row r="101">
          <cell r="B101">
            <v>400406</v>
          </cell>
          <cell r="C101" t="str">
            <v>LABORATORIO MICRO-BIOLOGIA</v>
          </cell>
          <cell r="D101">
            <v>10</v>
          </cell>
          <cell r="E101" t="str">
            <v>IND</v>
          </cell>
          <cell r="F101" t="str">
            <v>KELLY CRISTINA</v>
          </cell>
        </row>
        <row r="102">
          <cell r="B102">
            <v>401002</v>
          </cell>
          <cell r="C102" t="str">
            <v>BARRACAO / LIMPEZA</v>
          </cell>
          <cell r="D102">
            <v>10</v>
          </cell>
          <cell r="E102" t="str">
            <v>IND</v>
          </cell>
          <cell r="F102" t="str">
            <v>WILLIAN GUSTAVO OLIVEIRA</v>
          </cell>
        </row>
        <row r="103">
          <cell r="B103">
            <v>401004</v>
          </cell>
          <cell r="C103" t="str">
            <v>ALIMENTACAO E PREPARO</v>
          </cell>
          <cell r="D103">
            <v>10</v>
          </cell>
          <cell r="E103" t="str">
            <v>IND</v>
          </cell>
          <cell r="F103" t="str">
            <v>CARLOS JOSE DOS SANTOS</v>
          </cell>
        </row>
        <row r="104">
          <cell r="B104">
            <v>401006</v>
          </cell>
          <cell r="C104" t="str">
            <v>MOAGEM CANA</v>
          </cell>
          <cell r="D104">
            <v>10</v>
          </cell>
          <cell r="E104" t="str">
            <v>IND</v>
          </cell>
          <cell r="F104" t="str">
            <v>CARLOS JOSE DOS SANTOS</v>
          </cell>
        </row>
        <row r="105">
          <cell r="B105">
            <v>401008</v>
          </cell>
          <cell r="C105" t="str">
            <v>DIFUSOR</v>
          </cell>
          <cell r="D105">
            <v>10</v>
          </cell>
          <cell r="E105" t="str">
            <v>IND</v>
          </cell>
          <cell r="F105" t="str">
            <v>CARLOS JOSE DOS SANTOS</v>
          </cell>
        </row>
        <row r="106">
          <cell r="B106">
            <v>401010</v>
          </cell>
          <cell r="C106" t="str">
            <v>DESAGUADOR</v>
          </cell>
          <cell r="D106">
            <v>10</v>
          </cell>
          <cell r="E106" t="str">
            <v>IND</v>
          </cell>
          <cell r="F106" t="str">
            <v>CARLOS JOSE DOS SANTOS</v>
          </cell>
        </row>
        <row r="107">
          <cell r="B107">
            <v>401012</v>
          </cell>
          <cell r="C107" t="str">
            <v>SECAGEM DE BAGAÇO</v>
          </cell>
          <cell r="D107">
            <v>10</v>
          </cell>
          <cell r="E107" t="str">
            <v>IND</v>
          </cell>
          <cell r="F107" t="str">
            <v>CARLOS JOSE DOS SANTOS</v>
          </cell>
        </row>
        <row r="108">
          <cell r="B108">
            <v>401099</v>
          </cell>
          <cell r="C108" t="str">
            <v>MANUTENÇÃO DE ENTRESSAFRA</v>
          </cell>
          <cell r="D108">
            <v>10</v>
          </cell>
          <cell r="E108" t="str">
            <v>IND</v>
          </cell>
          <cell r="F108" t="str">
            <v>CARLOS JOSE DOS SANTOS</v>
          </cell>
        </row>
        <row r="109">
          <cell r="B109">
            <v>401402</v>
          </cell>
          <cell r="C109" t="str">
            <v>AQUECIMENTO/TROCADOR CALOR ALCOOL</v>
          </cell>
          <cell r="D109">
            <v>10</v>
          </cell>
          <cell r="E109" t="str">
            <v>IND</v>
          </cell>
          <cell r="F109" t="str">
            <v>CARLOS DOMICILIANO</v>
          </cell>
        </row>
        <row r="110">
          <cell r="B110">
            <v>401404</v>
          </cell>
          <cell r="C110" t="str">
            <v>DECANTACAO DO ALCOOL</v>
          </cell>
          <cell r="D110">
            <v>10</v>
          </cell>
          <cell r="E110" t="str">
            <v>IND</v>
          </cell>
          <cell r="F110" t="str">
            <v>CARLOS DOMICILIANO</v>
          </cell>
        </row>
        <row r="111">
          <cell r="B111">
            <v>401406</v>
          </cell>
          <cell r="C111" t="str">
            <v>PRE-EVAPORACAO DO ALCOOL</v>
          </cell>
          <cell r="D111">
            <v>10</v>
          </cell>
          <cell r="E111" t="str">
            <v>IND</v>
          </cell>
          <cell r="F111" t="str">
            <v>CARLOS DOMICILIANO</v>
          </cell>
        </row>
        <row r="112">
          <cell r="B112">
            <v>401410</v>
          </cell>
          <cell r="C112" t="str">
            <v>CALEACAO</v>
          </cell>
          <cell r="D112">
            <v>10</v>
          </cell>
          <cell r="E112" t="str">
            <v>IND</v>
          </cell>
          <cell r="F112" t="str">
            <v>CARLOS DOMICILIANO</v>
          </cell>
        </row>
        <row r="113">
          <cell r="B113">
            <v>401414</v>
          </cell>
          <cell r="C113" t="str">
            <v>DECANTACAO DO ACUCAR</v>
          </cell>
          <cell r="D113">
            <v>10</v>
          </cell>
          <cell r="E113" t="str">
            <v>IND</v>
          </cell>
          <cell r="F113" t="str">
            <v>WILLIAN GUSTAVO OLIVEIRA</v>
          </cell>
        </row>
        <row r="114">
          <cell r="B114">
            <v>401416</v>
          </cell>
          <cell r="C114" t="str">
            <v>FILTRACAO DO LODO DO ACUCAR</v>
          </cell>
          <cell r="D114">
            <v>10</v>
          </cell>
          <cell r="E114" t="str">
            <v>IND</v>
          </cell>
          <cell r="F114" t="str">
            <v>WILLIAN GUSTAVO OLIVEIRA</v>
          </cell>
        </row>
        <row r="115">
          <cell r="B115">
            <v>401420</v>
          </cell>
          <cell r="C115" t="str">
            <v>FILTRACAO DO LODO DO ALCOOL</v>
          </cell>
          <cell r="D115">
            <v>10</v>
          </cell>
          <cell r="E115" t="str">
            <v>IND</v>
          </cell>
          <cell r="F115" t="str">
            <v>CARLOS DOMICILIANO</v>
          </cell>
        </row>
        <row r="116">
          <cell r="B116">
            <v>401499</v>
          </cell>
          <cell r="C116" t="str">
            <v>MANUTENÇÃO DE ENTRESSAFRA</v>
          </cell>
          <cell r="D116">
            <v>10</v>
          </cell>
          <cell r="E116" t="str">
            <v>IND</v>
          </cell>
          <cell r="F116" t="str">
            <v>CARLOS DOMICILIANO</v>
          </cell>
        </row>
        <row r="117">
          <cell r="B117">
            <v>402002</v>
          </cell>
          <cell r="C117" t="str">
            <v>PRE-FERMENTACAO</v>
          </cell>
          <cell r="D117">
            <v>10</v>
          </cell>
          <cell r="E117" t="str">
            <v>IND</v>
          </cell>
          <cell r="F117" t="str">
            <v>MARCOS CESAR DE PAULA</v>
          </cell>
        </row>
        <row r="118">
          <cell r="B118">
            <v>402004</v>
          </cell>
          <cell r="C118" t="str">
            <v>FERMENTACAO</v>
          </cell>
          <cell r="D118">
            <v>10</v>
          </cell>
          <cell r="E118" t="str">
            <v>IND</v>
          </cell>
          <cell r="F118" t="str">
            <v>MARCOS CESAR DE PAULA</v>
          </cell>
        </row>
        <row r="119">
          <cell r="B119">
            <v>402006</v>
          </cell>
          <cell r="C119" t="str">
            <v>DESTILACAO HIDRATADO</v>
          </cell>
          <cell r="D119">
            <v>10</v>
          </cell>
          <cell r="E119" t="str">
            <v>IND</v>
          </cell>
          <cell r="F119" t="str">
            <v>MARCOS CESAR DE PAULA</v>
          </cell>
        </row>
        <row r="120">
          <cell r="B120">
            <v>402008</v>
          </cell>
          <cell r="C120" t="str">
            <v>DESTILACAO ANIDRO</v>
          </cell>
          <cell r="D120">
            <v>10</v>
          </cell>
          <cell r="E120" t="str">
            <v>IND</v>
          </cell>
          <cell r="F120" t="str">
            <v>WILLIAN GUSTAVO OLIVEIRA</v>
          </cell>
        </row>
        <row r="121">
          <cell r="B121">
            <v>402010</v>
          </cell>
          <cell r="C121" t="str">
            <v>TORRE DE RESFRIAMENTO</v>
          </cell>
          <cell r="D121">
            <v>10</v>
          </cell>
          <cell r="E121" t="str">
            <v>IND</v>
          </cell>
          <cell r="F121" t="str">
            <v>MARCOS CESAR DE PAULA</v>
          </cell>
        </row>
        <row r="122">
          <cell r="B122">
            <v>402012</v>
          </cell>
          <cell r="C122" t="str">
            <v>TANQUE SPRAY</v>
          </cell>
          <cell r="D122">
            <v>10</v>
          </cell>
          <cell r="E122" t="str">
            <v>IND</v>
          </cell>
          <cell r="F122" t="str">
            <v>WILLIAN GUSTAVO OLIVEIRA</v>
          </cell>
        </row>
        <row r="123">
          <cell r="B123">
            <v>402014</v>
          </cell>
          <cell r="C123" t="str">
            <v>CENTRIFUGAÇÃO</v>
          </cell>
          <cell r="D123">
            <v>10</v>
          </cell>
          <cell r="E123" t="str">
            <v>IND</v>
          </cell>
          <cell r="F123" t="str">
            <v>MARCOS CESAR DE PAULA</v>
          </cell>
        </row>
        <row r="124">
          <cell r="B124">
            <v>402099</v>
          </cell>
          <cell r="C124" t="str">
            <v>MANUTENÇÃO DE ENTRESSAFRA</v>
          </cell>
          <cell r="D124">
            <v>10</v>
          </cell>
          <cell r="E124" t="str">
            <v>IND</v>
          </cell>
          <cell r="F124" t="str">
            <v>MARCOS CESAR DE PAULA</v>
          </cell>
        </row>
        <row r="125">
          <cell r="B125">
            <v>407002</v>
          </cell>
          <cell r="C125" t="str">
            <v>GERACAO E DISTR.VAPOR</v>
          </cell>
          <cell r="D125">
            <v>10</v>
          </cell>
          <cell r="E125" t="str">
            <v>IND</v>
          </cell>
          <cell r="F125" t="str">
            <v>JOSE CATANA</v>
          </cell>
        </row>
        <row r="126">
          <cell r="B126">
            <v>407004</v>
          </cell>
          <cell r="C126" t="str">
            <v>GERACAO E DISTR.AR COMPRIMIDO</v>
          </cell>
          <cell r="D126">
            <v>10</v>
          </cell>
          <cell r="E126" t="str">
            <v>IND</v>
          </cell>
          <cell r="F126" t="str">
            <v>EDSON BABOSA</v>
          </cell>
        </row>
        <row r="127">
          <cell r="B127">
            <v>407006</v>
          </cell>
          <cell r="C127" t="str">
            <v>GERACAO E DISTR.ENERGIA</v>
          </cell>
          <cell r="D127">
            <v>10</v>
          </cell>
          <cell r="E127" t="str">
            <v>IND</v>
          </cell>
          <cell r="F127" t="str">
            <v>EDSON BABOSA</v>
          </cell>
        </row>
        <row r="128">
          <cell r="B128">
            <v>407008</v>
          </cell>
          <cell r="C128" t="str">
            <v>CAPTACAO DE AGUA</v>
          </cell>
          <cell r="D128">
            <v>10</v>
          </cell>
          <cell r="E128" t="str">
            <v>IND</v>
          </cell>
          <cell r="F128" t="str">
            <v>JOSE CATANA</v>
          </cell>
        </row>
        <row r="129">
          <cell r="B129">
            <v>407010</v>
          </cell>
          <cell r="C129" t="str">
            <v>ETA (ESTACAO DE TRATAMENTO AGUA)</v>
          </cell>
          <cell r="D129">
            <v>10</v>
          </cell>
          <cell r="E129" t="str">
            <v>IND</v>
          </cell>
          <cell r="F129" t="str">
            <v>JOSE CATANA</v>
          </cell>
        </row>
        <row r="130">
          <cell r="B130">
            <v>407012</v>
          </cell>
          <cell r="C130" t="str">
            <v>PATIO DE BAGACO</v>
          </cell>
          <cell r="D130">
            <v>10</v>
          </cell>
          <cell r="E130" t="str">
            <v>IND</v>
          </cell>
          <cell r="F130" t="str">
            <v>GILSON MENEZES</v>
          </cell>
        </row>
        <row r="131">
          <cell r="B131">
            <v>407016</v>
          </cell>
          <cell r="C131" t="str">
            <v>ENERGIA ELETRICA ADQUIRIDA</v>
          </cell>
          <cell r="D131">
            <v>10</v>
          </cell>
          <cell r="E131" t="str">
            <v>IND</v>
          </cell>
          <cell r="F131" t="str">
            <v>EDSON BABOSA</v>
          </cell>
        </row>
        <row r="132">
          <cell r="B132">
            <v>407018</v>
          </cell>
          <cell r="C132" t="str">
            <v>ETALC -ESTA TRAT AGUA DA LAVAGEM DE CANA</v>
          </cell>
          <cell r="D132">
            <v>10</v>
          </cell>
          <cell r="E132" t="str">
            <v>IND</v>
          </cell>
          <cell r="F132" t="str">
            <v>CARLOS JOSE DOS SANTOS</v>
          </cell>
        </row>
        <row r="133">
          <cell r="B133">
            <v>407020</v>
          </cell>
          <cell r="C133" t="str">
            <v>ETE - ESTAÇÃO TRATAMENTO DE ESGOTO</v>
          </cell>
          <cell r="D133">
            <v>10</v>
          </cell>
          <cell r="E133" t="str">
            <v>IND</v>
          </cell>
          <cell r="F133" t="str">
            <v>JOSE CATANA</v>
          </cell>
        </row>
        <row r="134">
          <cell r="B134">
            <v>407022</v>
          </cell>
          <cell r="C134" t="str">
            <v>ETALG - ESTAÇ.TRAT.ÁGUA DE LAVAGEM GASES</v>
          </cell>
          <cell r="D134">
            <v>10</v>
          </cell>
          <cell r="E134" t="str">
            <v>IND</v>
          </cell>
          <cell r="F134" t="str">
            <v>JOSE CATANA</v>
          </cell>
        </row>
        <row r="135">
          <cell r="B135">
            <v>407099</v>
          </cell>
          <cell r="C135" t="str">
            <v>MANUTENÇÃO DE ENTRESSAFRA</v>
          </cell>
          <cell r="D135">
            <v>10</v>
          </cell>
          <cell r="E135" t="str">
            <v>IND</v>
          </cell>
          <cell r="F135" t="str">
            <v>JOSE CATANA / GILSON</v>
          </cell>
        </row>
        <row r="136">
          <cell r="B136">
            <v>408002</v>
          </cell>
          <cell r="C136" t="str">
            <v>MANUTENÇÃO MECANICA</v>
          </cell>
          <cell r="D136">
            <v>10</v>
          </cell>
          <cell r="E136" t="str">
            <v>IND</v>
          </cell>
          <cell r="F136" t="str">
            <v>VANDERLEI FLORENCIO</v>
          </cell>
        </row>
        <row r="137">
          <cell r="B137">
            <v>408004</v>
          </cell>
          <cell r="C137" t="str">
            <v>CALDERARIA</v>
          </cell>
          <cell r="D137">
            <v>10</v>
          </cell>
          <cell r="E137" t="str">
            <v>IND</v>
          </cell>
          <cell r="F137" t="str">
            <v>VANDERLEI FLORENCIO</v>
          </cell>
        </row>
        <row r="138">
          <cell r="B138">
            <v>408006</v>
          </cell>
          <cell r="C138" t="str">
            <v>MANUTENÇÃO ELETRICA</v>
          </cell>
          <cell r="D138">
            <v>10</v>
          </cell>
          <cell r="E138" t="str">
            <v>IND</v>
          </cell>
          <cell r="F138" t="str">
            <v>EDSON BABOSA</v>
          </cell>
        </row>
        <row r="139">
          <cell r="B139">
            <v>408008</v>
          </cell>
          <cell r="C139" t="str">
            <v>INSTRUMENTAÇÃO</v>
          </cell>
          <cell r="D139">
            <v>10</v>
          </cell>
          <cell r="E139" t="str">
            <v>IND</v>
          </cell>
          <cell r="F139" t="str">
            <v>EDSON BABOSA</v>
          </cell>
        </row>
        <row r="140">
          <cell r="B140">
            <v>408010</v>
          </cell>
          <cell r="C140" t="str">
            <v>MANUTENCAO CIVIL</v>
          </cell>
          <cell r="D140">
            <v>10</v>
          </cell>
          <cell r="E140" t="str">
            <v>IND</v>
          </cell>
          <cell r="F140" t="str">
            <v>GILSON MENEZES</v>
          </cell>
        </row>
        <row r="141">
          <cell r="B141">
            <v>408012</v>
          </cell>
          <cell r="C141" t="str">
            <v>PCM (PLANEJ. E CONTROLE DA MANUT</v>
          </cell>
          <cell r="D141">
            <v>10</v>
          </cell>
          <cell r="E141" t="str">
            <v>IND</v>
          </cell>
          <cell r="F141" t="str">
            <v>SERGIO FIORENTINO</v>
          </cell>
        </row>
        <row r="142">
          <cell r="B142">
            <v>409002</v>
          </cell>
          <cell r="C142" t="str">
            <v>ESCOAMENTO DA VINHACA</v>
          </cell>
          <cell r="D142">
            <v>10</v>
          </cell>
          <cell r="E142" t="str">
            <v>IND</v>
          </cell>
          <cell r="F142" t="str">
            <v>GILSON MENEZES</v>
          </cell>
        </row>
        <row r="143">
          <cell r="B143">
            <v>409004</v>
          </cell>
          <cell r="C143" t="str">
            <v>SISTEMA DE BOMBEAMENTO</v>
          </cell>
          <cell r="D143">
            <v>10</v>
          </cell>
          <cell r="E143" t="str">
            <v>IND</v>
          </cell>
          <cell r="F143" t="str">
            <v>WILLIAN GUSTAVO OLIVEIRA</v>
          </cell>
        </row>
        <row r="144">
          <cell r="B144">
            <v>409099</v>
          </cell>
          <cell r="C144" t="str">
            <v>MANUTENÇÃO DE ENTRESSAFRA</v>
          </cell>
          <cell r="D144">
            <v>10</v>
          </cell>
          <cell r="E144" t="str">
            <v>IND</v>
          </cell>
          <cell r="F144" t="str">
            <v>GILSON MENEZES</v>
          </cell>
        </row>
        <row r="145">
          <cell r="B145">
            <v>500000</v>
          </cell>
          <cell r="C145" t="str">
            <v>GERENCIA AGRICOLA</v>
          </cell>
          <cell r="D145">
            <v>20</v>
          </cell>
          <cell r="E145" t="str">
            <v>AGR</v>
          </cell>
          <cell r="F145" t="str">
            <v>MARTIN LOOSLI</v>
          </cell>
        </row>
        <row r="146">
          <cell r="B146">
            <v>500100</v>
          </cell>
          <cell r="C146" t="str">
            <v>GERENCIA AGRICOLA</v>
          </cell>
          <cell r="D146">
            <v>20</v>
          </cell>
          <cell r="E146" t="str">
            <v>AGR</v>
          </cell>
          <cell r="F146" t="str">
            <v>MARTIN LOOSLI</v>
          </cell>
        </row>
        <row r="147">
          <cell r="B147">
            <v>500101</v>
          </cell>
          <cell r="C147" t="str">
            <v>GERENCIA AGRICOLA CORPORATIVA</v>
          </cell>
          <cell r="D147">
            <v>20</v>
          </cell>
          <cell r="E147" t="str">
            <v>AGR</v>
          </cell>
          <cell r="F147" t="str">
            <v>MARTIM LOOSLI</v>
          </cell>
        </row>
        <row r="148">
          <cell r="B148">
            <v>500102</v>
          </cell>
          <cell r="C148" t="str">
            <v>GERENCIA AGRICOLA</v>
          </cell>
          <cell r="D148">
            <v>20</v>
          </cell>
          <cell r="E148" t="str">
            <v>AGR</v>
          </cell>
          <cell r="F148" t="str">
            <v>MARTIM LOOSLI</v>
          </cell>
        </row>
        <row r="149">
          <cell r="B149">
            <v>500199</v>
          </cell>
          <cell r="C149" t="str">
            <v>MANUTENÇÃO DE ENTRESSAFRA</v>
          </cell>
          <cell r="D149">
            <v>20</v>
          </cell>
          <cell r="E149" t="str">
            <v>AGR</v>
          </cell>
          <cell r="F149" t="str">
            <v>MARTIN LOOSLI</v>
          </cell>
        </row>
        <row r="150">
          <cell r="B150">
            <v>500200</v>
          </cell>
          <cell r="C150" t="str">
            <v>CONTROLE AGRICOLA</v>
          </cell>
          <cell r="D150">
            <v>20</v>
          </cell>
          <cell r="E150" t="str">
            <v>AGR</v>
          </cell>
          <cell r="F150" t="str">
            <v>ALEXANDRE MARINS</v>
          </cell>
        </row>
        <row r="151">
          <cell r="B151">
            <v>500202</v>
          </cell>
          <cell r="C151" t="str">
            <v>ADM INFORMAÇÕES AGRÍCOLAS</v>
          </cell>
          <cell r="D151">
            <v>20</v>
          </cell>
          <cell r="E151" t="str">
            <v>AGR</v>
          </cell>
          <cell r="F151" t="str">
            <v>EVERTON PASSARINI</v>
          </cell>
        </row>
        <row r="152">
          <cell r="B152">
            <v>500204</v>
          </cell>
          <cell r="C152" t="str">
            <v>TECNICOS AGRICOLAS</v>
          </cell>
          <cell r="D152">
            <v>20</v>
          </cell>
          <cell r="E152" t="str">
            <v>AGR</v>
          </cell>
          <cell r="F152" t="str">
            <v>ALEXANDRE MARINS</v>
          </cell>
        </row>
        <row r="153">
          <cell r="B153">
            <v>500206</v>
          </cell>
          <cell r="C153" t="str">
            <v>TOPOGRAFIA</v>
          </cell>
          <cell r="D153">
            <v>20</v>
          </cell>
          <cell r="E153" t="str">
            <v>AGR</v>
          </cell>
          <cell r="F153" t="str">
            <v>ALEXANDRE MARINS</v>
          </cell>
        </row>
        <row r="154">
          <cell r="B154">
            <v>500208</v>
          </cell>
          <cell r="C154" t="str">
            <v>NOVOS PROJETOS</v>
          </cell>
          <cell r="D154">
            <v>20</v>
          </cell>
          <cell r="E154" t="str">
            <v>AGR</v>
          </cell>
          <cell r="F154" t="str">
            <v>ALEXANDRE MARINS</v>
          </cell>
        </row>
        <row r="155">
          <cell r="B155">
            <v>500210</v>
          </cell>
          <cell r="C155" t="str">
            <v>LAVANDERIA</v>
          </cell>
          <cell r="D155">
            <v>20</v>
          </cell>
          <cell r="E155" t="str">
            <v>AGR</v>
          </cell>
          <cell r="F155" t="str">
            <v>MIGUEL GARCIA</v>
          </cell>
        </row>
        <row r="156">
          <cell r="B156">
            <v>500212</v>
          </cell>
          <cell r="C156" t="str">
            <v>ADM COLHEITA DE CANA</v>
          </cell>
          <cell r="D156">
            <v>20</v>
          </cell>
          <cell r="E156" t="str">
            <v>AGR</v>
          </cell>
          <cell r="F156" t="str">
            <v>JOEL GARCIA</v>
          </cell>
        </row>
        <row r="157">
          <cell r="B157">
            <v>500214</v>
          </cell>
          <cell r="C157" t="str">
            <v>ADM PRODUÇÃO AGRÍCOLA</v>
          </cell>
          <cell r="D157">
            <v>20</v>
          </cell>
          <cell r="E157" t="str">
            <v>AGR</v>
          </cell>
          <cell r="F157" t="str">
            <v>MIGUEL GARCIA</v>
          </cell>
        </row>
        <row r="158">
          <cell r="B158">
            <v>500216</v>
          </cell>
          <cell r="C158" t="str">
            <v>PLANEJAMENTO AGRICOLA</v>
          </cell>
          <cell r="D158">
            <v>20</v>
          </cell>
          <cell r="E158" t="str">
            <v>AGR</v>
          </cell>
          <cell r="F158" t="str">
            <v>ALEXANDRE MARINS</v>
          </cell>
        </row>
        <row r="159">
          <cell r="B159">
            <v>500218</v>
          </cell>
          <cell r="C159" t="str">
            <v>CONTROLE DE QUALIDADE AGRICOLA</v>
          </cell>
          <cell r="D159">
            <v>20</v>
          </cell>
          <cell r="E159" t="str">
            <v>AGR</v>
          </cell>
          <cell r="F159" t="str">
            <v>EVERTON GEROMINI</v>
          </cell>
        </row>
        <row r="160">
          <cell r="B160">
            <v>500220</v>
          </cell>
          <cell r="C160" t="str">
            <v>ADM PARCERIAS/FORN. AGRICOLA</v>
          </cell>
          <cell r="D160">
            <v>20</v>
          </cell>
          <cell r="E160" t="str">
            <v>AGR</v>
          </cell>
          <cell r="F160" t="str">
            <v>NELSON ESQUIVEL</v>
          </cell>
        </row>
        <row r="161">
          <cell r="B161">
            <v>500222</v>
          </cell>
          <cell r="C161" t="str">
            <v>CONTROLE DE TRÁFEGO (CENTRAL)</v>
          </cell>
          <cell r="D161">
            <v>20</v>
          </cell>
          <cell r="E161" t="str">
            <v>AGR</v>
          </cell>
          <cell r="F161" t="str">
            <v>JOEL GARCIA</v>
          </cell>
        </row>
        <row r="162">
          <cell r="B162">
            <v>500224</v>
          </cell>
          <cell r="C162" t="str">
            <v>CONTROLE BIOLÓGICO</v>
          </cell>
          <cell r="D162">
            <v>20</v>
          </cell>
          <cell r="E162" t="str">
            <v>AGR</v>
          </cell>
          <cell r="F162" t="str">
            <v>CARLOS ARCE</v>
          </cell>
        </row>
        <row r="163">
          <cell r="B163">
            <v>500226</v>
          </cell>
          <cell r="C163" t="str">
            <v>ADM TECNOLOGIA AGRÍCOLA</v>
          </cell>
          <cell r="D163">
            <v>20</v>
          </cell>
          <cell r="E163" t="str">
            <v>Agr</v>
          </cell>
          <cell r="F163" t="str">
            <v>MARTIM LOOSLI</v>
          </cell>
        </row>
        <row r="164">
          <cell r="B164">
            <v>500299</v>
          </cell>
          <cell r="C164" t="str">
            <v>MANUTENÇÃO DE ENTRESSAFRA</v>
          </cell>
          <cell r="D164">
            <v>20</v>
          </cell>
          <cell r="E164" t="str">
            <v>AGR</v>
          </cell>
          <cell r="F164" t="str">
            <v>EVERTON PASSARINI</v>
          </cell>
        </row>
        <row r="165">
          <cell r="B165">
            <v>500300</v>
          </cell>
          <cell r="C165" t="str">
            <v>ADMINISTRAÇÃO DE RURAL</v>
          </cell>
          <cell r="D165">
            <v>20</v>
          </cell>
          <cell r="E165" t="str">
            <v>AGR</v>
          </cell>
          <cell r="F165" t="str">
            <v>JOEL GARCIA</v>
          </cell>
        </row>
        <row r="166">
          <cell r="B166">
            <v>500302</v>
          </cell>
          <cell r="C166" t="str">
            <v>MDO FISCAIS CAMPO</v>
          </cell>
          <cell r="D166">
            <v>20</v>
          </cell>
          <cell r="E166" t="str">
            <v>AGR</v>
          </cell>
          <cell r="F166" t="str">
            <v>JOEL GARCIA</v>
          </cell>
        </row>
        <row r="167">
          <cell r="B167">
            <v>500304</v>
          </cell>
          <cell r="C167" t="str">
            <v>MDO QUEIMA DE CANA</v>
          </cell>
          <cell r="D167">
            <v>20</v>
          </cell>
          <cell r="E167" t="str">
            <v>AGR</v>
          </cell>
          <cell r="F167" t="str">
            <v>JOEL GARCIA</v>
          </cell>
        </row>
        <row r="168">
          <cell r="B168">
            <v>500306</v>
          </cell>
          <cell r="C168" t="str">
            <v>MDO BITUCA</v>
          </cell>
          <cell r="D168">
            <v>20</v>
          </cell>
          <cell r="E168" t="str">
            <v>AGR</v>
          </cell>
          <cell r="F168" t="str">
            <v>JOEL GARCIA</v>
          </cell>
        </row>
        <row r="169">
          <cell r="B169">
            <v>500308</v>
          </cell>
          <cell r="C169" t="str">
            <v>MDO CATAÇÃO QUIMICA</v>
          </cell>
          <cell r="D169">
            <v>20</v>
          </cell>
          <cell r="E169" t="str">
            <v>AGR</v>
          </cell>
          <cell r="F169" t="str">
            <v>MIGUEL GARCIA</v>
          </cell>
        </row>
        <row r="170">
          <cell r="B170">
            <v>500310</v>
          </cell>
          <cell r="C170" t="str">
            <v>MDO RURICOLAS - REGIONAIS</v>
          </cell>
          <cell r="D170">
            <v>20</v>
          </cell>
          <cell r="E170" t="str">
            <v>AGR</v>
          </cell>
          <cell r="F170" t="str">
            <v>JOEL GARCIA</v>
          </cell>
        </row>
        <row r="171">
          <cell r="B171">
            <v>500312</v>
          </cell>
          <cell r="C171" t="str">
            <v>ENCARREGADO MDO RURAL</v>
          </cell>
          <cell r="D171">
            <v>20</v>
          </cell>
          <cell r="E171" t="str">
            <v>AGR</v>
          </cell>
          <cell r="F171" t="str">
            <v>JOEL GARCIA</v>
          </cell>
        </row>
        <row r="172">
          <cell r="B172">
            <v>500314</v>
          </cell>
          <cell r="C172" t="str">
            <v>MDO MIGRANTES</v>
          </cell>
          <cell r="D172">
            <v>20</v>
          </cell>
          <cell r="E172" t="str">
            <v>AGR</v>
          </cell>
          <cell r="F172" t="str">
            <v>JOEL GARCIA</v>
          </cell>
        </row>
        <row r="173">
          <cell r="B173">
            <v>500399</v>
          </cell>
          <cell r="C173" t="str">
            <v>MANUTENÇÃO DE ENTRESSAFRA</v>
          </cell>
          <cell r="D173">
            <v>20</v>
          </cell>
          <cell r="E173" t="str">
            <v>AGR</v>
          </cell>
          <cell r="F173" t="str">
            <v>JOEL GARCIA</v>
          </cell>
        </row>
        <row r="174">
          <cell r="B174">
            <v>500400</v>
          </cell>
          <cell r="C174" t="str">
            <v>FERTIRRIGAÇÃO (ESTRUTURA)</v>
          </cell>
          <cell r="D174">
            <v>20</v>
          </cell>
          <cell r="E174" t="str">
            <v>AGR</v>
          </cell>
          <cell r="F174" t="str">
            <v>MIGUEL GARCIA</v>
          </cell>
        </row>
        <row r="175">
          <cell r="B175">
            <v>500401</v>
          </cell>
          <cell r="C175" t="str">
            <v>ESTRUTURA DE FERTIRRIGAÇÃO</v>
          </cell>
          <cell r="D175">
            <v>20</v>
          </cell>
          <cell r="E175" t="str">
            <v>AGR</v>
          </cell>
          <cell r="F175" t="str">
            <v>MIGUEL GARCIA</v>
          </cell>
        </row>
        <row r="176">
          <cell r="B176">
            <v>500402</v>
          </cell>
          <cell r="C176" t="str">
            <v>MANUT. CANAIS DE VINHAÇA</v>
          </cell>
          <cell r="D176">
            <v>20</v>
          </cell>
          <cell r="E176" t="str">
            <v>AGR</v>
          </cell>
          <cell r="F176" t="str">
            <v>MIGUEL GARCIA</v>
          </cell>
        </row>
        <row r="177">
          <cell r="B177">
            <v>500404</v>
          </cell>
          <cell r="C177" t="str">
            <v>MDO FERTIRRIGAÇÃO</v>
          </cell>
          <cell r="D177">
            <v>20</v>
          </cell>
          <cell r="E177" t="str">
            <v>AGR</v>
          </cell>
          <cell r="F177" t="str">
            <v>MIGUEL GARCIA</v>
          </cell>
        </row>
        <row r="178">
          <cell r="B178">
            <v>500406</v>
          </cell>
          <cell r="C178" t="str">
            <v>DISTRIBUIÇAO DE VINHAÇA</v>
          </cell>
          <cell r="D178">
            <v>20</v>
          </cell>
          <cell r="E178" t="str">
            <v>AGR</v>
          </cell>
          <cell r="F178" t="str">
            <v>MIGUEL GARCIA</v>
          </cell>
        </row>
        <row r="179">
          <cell r="B179">
            <v>500499</v>
          </cell>
          <cell r="C179" t="str">
            <v>MANUTENÇÃO DE ENTRESSAFRA</v>
          </cell>
          <cell r="D179">
            <v>20</v>
          </cell>
          <cell r="E179" t="str">
            <v>AGR</v>
          </cell>
          <cell r="F179" t="str">
            <v>MIGUEL GARCIA</v>
          </cell>
        </row>
        <row r="180">
          <cell r="B180">
            <v>500500</v>
          </cell>
          <cell r="C180" t="str">
            <v>MANUTENÇÃO AUTOMOTIVA</v>
          </cell>
          <cell r="D180">
            <v>20</v>
          </cell>
          <cell r="E180" t="str">
            <v>AGR</v>
          </cell>
          <cell r="F180" t="str">
            <v>GUSTAVO NAGUMO</v>
          </cell>
        </row>
        <row r="181">
          <cell r="B181">
            <v>500502</v>
          </cell>
          <cell r="C181" t="str">
            <v>ADM MANUTENÇÃO AUTOMOTIVA</v>
          </cell>
          <cell r="D181">
            <v>20</v>
          </cell>
          <cell r="E181" t="str">
            <v>AGR</v>
          </cell>
          <cell r="F181" t="str">
            <v>GUSTAVO NAGUMO</v>
          </cell>
        </row>
        <row r="182">
          <cell r="B182">
            <v>500506</v>
          </cell>
          <cell r="C182" t="str">
            <v>POSTO DE LAVAGEM/ LUBRIFICAÇÃO</v>
          </cell>
          <cell r="D182">
            <v>20</v>
          </cell>
          <cell r="E182" t="str">
            <v>AGR</v>
          </cell>
          <cell r="F182" t="str">
            <v>GUSTAVO NAGUMO</v>
          </cell>
        </row>
        <row r="183">
          <cell r="B183">
            <v>500508</v>
          </cell>
          <cell r="C183" t="str">
            <v>ELETRICISTA</v>
          </cell>
          <cell r="D183">
            <v>20</v>
          </cell>
          <cell r="E183" t="str">
            <v>AGR</v>
          </cell>
          <cell r="F183" t="str">
            <v>GUSTAVO NAGUMO</v>
          </cell>
        </row>
        <row r="184">
          <cell r="B184">
            <v>500510</v>
          </cell>
          <cell r="C184" t="str">
            <v>SOLDADOR</v>
          </cell>
          <cell r="D184">
            <v>20</v>
          </cell>
          <cell r="E184" t="str">
            <v>AGR</v>
          </cell>
          <cell r="F184" t="str">
            <v>GUSTAVO NAGUMO</v>
          </cell>
        </row>
        <row r="185">
          <cell r="B185">
            <v>500512</v>
          </cell>
          <cell r="C185" t="str">
            <v>MECÂNICO COLHEDORA</v>
          </cell>
          <cell r="D185">
            <v>20</v>
          </cell>
          <cell r="E185" t="str">
            <v>AGR</v>
          </cell>
          <cell r="F185" t="str">
            <v>GUSTAVO NAGUMO</v>
          </cell>
        </row>
        <row r="186">
          <cell r="B186">
            <v>500514</v>
          </cell>
          <cell r="C186" t="str">
            <v>MECÂNICO MAQUINAS / IMPLEMENTOS</v>
          </cell>
          <cell r="D186">
            <v>20</v>
          </cell>
          <cell r="E186" t="str">
            <v>AGR</v>
          </cell>
          <cell r="F186" t="str">
            <v>GUSTAVO NAGUMO</v>
          </cell>
        </row>
        <row r="187">
          <cell r="B187">
            <v>500516</v>
          </cell>
          <cell r="C187" t="str">
            <v>BORRACHEIRO</v>
          </cell>
          <cell r="D187">
            <v>20</v>
          </cell>
          <cell r="E187" t="str">
            <v>AGR</v>
          </cell>
          <cell r="F187" t="str">
            <v>GUSTAVO NAGUMO</v>
          </cell>
        </row>
        <row r="188">
          <cell r="B188">
            <v>500599</v>
          </cell>
          <cell r="C188" t="str">
            <v>MANUTENÇÃO DE ENTRESSAFRA</v>
          </cell>
          <cell r="D188">
            <v>20</v>
          </cell>
          <cell r="E188" t="str">
            <v>AGR</v>
          </cell>
          <cell r="F188" t="str">
            <v>GUSTAVO NAGUMO</v>
          </cell>
        </row>
        <row r="189">
          <cell r="B189">
            <v>500700</v>
          </cell>
          <cell r="C189" t="str">
            <v>MAO DE OBRA APONTADA</v>
          </cell>
          <cell r="D189">
            <v>20</v>
          </cell>
          <cell r="E189" t="str">
            <v>AGR</v>
          </cell>
          <cell r="F189" t="str">
            <v>JOEL GARCIA</v>
          </cell>
        </row>
        <row r="190">
          <cell r="B190">
            <v>500702</v>
          </cell>
          <cell r="C190" t="str">
            <v>MOTORISTAS TRANSP CANA</v>
          </cell>
          <cell r="D190">
            <v>20</v>
          </cell>
          <cell r="E190" t="str">
            <v>AGR</v>
          </cell>
          <cell r="F190" t="str">
            <v>JOEL GARCIA</v>
          </cell>
        </row>
        <row r="191">
          <cell r="B191">
            <v>500704</v>
          </cell>
          <cell r="C191" t="str">
            <v>MOTORISTAS DIVERSOS</v>
          </cell>
          <cell r="D191">
            <v>20</v>
          </cell>
          <cell r="E191" t="str">
            <v>AGR</v>
          </cell>
          <cell r="F191" t="str">
            <v>JOEL GARCIA</v>
          </cell>
        </row>
        <row r="192">
          <cell r="B192">
            <v>500706</v>
          </cell>
          <cell r="C192" t="str">
            <v>CARREGADORES</v>
          </cell>
          <cell r="D192">
            <v>20</v>
          </cell>
          <cell r="E192" t="str">
            <v>AGR</v>
          </cell>
          <cell r="F192" t="str">
            <v>JOEL GARCIA</v>
          </cell>
        </row>
        <row r="193">
          <cell r="B193">
            <v>500708</v>
          </cell>
          <cell r="C193" t="str">
            <v>REBOCADORES</v>
          </cell>
          <cell r="D193">
            <v>20</v>
          </cell>
          <cell r="E193" t="str">
            <v>AGR</v>
          </cell>
          <cell r="F193" t="str">
            <v>JOEL GARCIA</v>
          </cell>
        </row>
        <row r="194">
          <cell r="B194">
            <v>500710</v>
          </cell>
          <cell r="C194" t="str">
            <v>OPERADORES DE COLHEDORAS</v>
          </cell>
          <cell r="D194">
            <v>20</v>
          </cell>
          <cell r="E194" t="str">
            <v>AGR</v>
          </cell>
          <cell r="F194" t="str">
            <v>JOEL GARCIA</v>
          </cell>
        </row>
        <row r="195">
          <cell r="B195">
            <v>500712</v>
          </cell>
          <cell r="C195" t="str">
            <v>MOTORISTAS TRANSBORDO</v>
          </cell>
          <cell r="D195">
            <v>20</v>
          </cell>
          <cell r="E195" t="str">
            <v>AGR</v>
          </cell>
          <cell r="F195" t="str">
            <v>JOEL GARCIA</v>
          </cell>
        </row>
        <row r="196">
          <cell r="B196">
            <v>500714</v>
          </cell>
          <cell r="C196" t="str">
            <v>TRATORISTAS MAQ LEVES</v>
          </cell>
          <cell r="D196">
            <v>20</v>
          </cell>
          <cell r="E196" t="str">
            <v>AGR</v>
          </cell>
          <cell r="F196" t="str">
            <v>JOEL GARCIA</v>
          </cell>
        </row>
        <row r="197">
          <cell r="B197">
            <v>500716</v>
          </cell>
          <cell r="C197" t="str">
            <v>TRATORISTAS MAQ MEDIAS</v>
          </cell>
          <cell r="D197">
            <v>20</v>
          </cell>
          <cell r="E197" t="str">
            <v>AGR</v>
          </cell>
          <cell r="F197" t="str">
            <v>JOEL GARCIA</v>
          </cell>
        </row>
        <row r="198">
          <cell r="B198">
            <v>500718</v>
          </cell>
          <cell r="C198" t="str">
            <v>TRATORISTAS MAQ PESADAS</v>
          </cell>
          <cell r="D198">
            <v>20</v>
          </cell>
          <cell r="E198" t="str">
            <v>AGR</v>
          </cell>
          <cell r="F198" t="str">
            <v>JOEL GARCIA</v>
          </cell>
        </row>
        <row r="199">
          <cell r="B199">
            <v>500720</v>
          </cell>
          <cell r="C199" t="str">
            <v>MOTORISTA TRANSPORTE DE APOIO</v>
          </cell>
          <cell r="D199">
            <v>20</v>
          </cell>
          <cell r="E199" t="str">
            <v>AGR</v>
          </cell>
          <cell r="F199" t="str">
            <v>JOEL GARCIA</v>
          </cell>
        </row>
        <row r="200">
          <cell r="B200">
            <v>500722</v>
          </cell>
          <cell r="C200" t="str">
            <v>MDO LÍDERES/FÍSCAIS DE OPERAÇÃO</v>
          </cell>
          <cell r="D200">
            <v>20</v>
          </cell>
          <cell r="E200" t="str">
            <v>AGR</v>
          </cell>
          <cell r="F200" t="str">
            <v>JOEL GARCIA</v>
          </cell>
        </row>
        <row r="201">
          <cell r="B201">
            <v>500724</v>
          </cell>
          <cell r="C201" t="str">
            <v>AUXILIAR DE CONTROLE DE QUALIDADE</v>
          </cell>
          <cell r="D201">
            <v>20</v>
          </cell>
          <cell r="E201" t="str">
            <v>AGR</v>
          </cell>
          <cell r="F201" t="str">
            <v>EVERTON GEROMINI</v>
          </cell>
        </row>
        <row r="202">
          <cell r="B202">
            <v>500726</v>
          </cell>
          <cell r="C202" t="str">
            <v>AUXILIARES AGRICOLAS</v>
          </cell>
          <cell r="D202">
            <v>20</v>
          </cell>
          <cell r="E202" t="str">
            <v>AGR</v>
          </cell>
          <cell r="F202" t="str">
            <v>CARLOS ARCE</v>
          </cell>
        </row>
        <row r="203">
          <cell r="B203">
            <v>500790</v>
          </cell>
          <cell r="C203" t="str">
            <v>FUNCIONARIOS DE TERCEIROS</v>
          </cell>
          <cell r="D203">
            <v>20</v>
          </cell>
          <cell r="E203" t="str">
            <v>AGR</v>
          </cell>
          <cell r="F203" t="str">
            <v>JOEL GARCIA</v>
          </cell>
        </row>
        <row r="204">
          <cell r="B204">
            <v>500799</v>
          </cell>
          <cell r="C204" t="str">
            <v>MANUTENÇÃO DE ENTRESSAFRA</v>
          </cell>
          <cell r="D204">
            <v>20</v>
          </cell>
          <cell r="E204" t="str">
            <v>AGR</v>
          </cell>
          <cell r="F204" t="str">
            <v>JOEL GARCIA</v>
          </cell>
        </row>
        <row r="205">
          <cell r="B205">
            <v>501000</v>
          </cell>
          <cell r="C205" t="str">
            <v>CULTURA DE CANA</v>
          </cell>
          <cell r="D205">
            <v>20</v>
          </cell>
          <cell r="E205" t="str">
            <v>AGR</v>
          </cell>
          <cell r="F205" t="str">
            <v>MIGUEL GARCIA</v>
          </cell>
        </row>
        <row r="206">
          <cell r="B206">
            <v>501002</v>
          </cell>
          <cell r="C206" t="str">
            <v>PREPARO DE SOLO</v>
          </cell>
          <cell r="D206">
            <v>20</v>
          </cell>
          <cell r="E206" t="str">
            <v>AGR</v>
          </cell>
          <cell r="F206" t="str">
            <v>ALEXANDRE MARINS</v>
          </cell>
        </row>
        <row r="207">
          <cell r="B207">
            <v>501004</v>
          </cell>
          <cell r="C207" t="str">
            <v>COLHEITA DE MUDA</v>
          </cell>
          <cell r="D207">
            <v>20</v>
          </cell>
          <cell r="E207" t="str">
            <v>AGR</v>
          </cell>
          <cell r="F207" t="str">
            <v>MIGUEL GARCIA</v>
          </cell>
        </row>
        <row r="208">
          <cell r="B208">
            <v>501006</v>
          </cell>
          <cell r="C208" t="str">
            <v>COLHEITA DE MUDA - TERCEIROS</v>
          </cell>
          <cell r="D208">
            <v>20</v>
          </cell>
          <cell r="E208" t="str">
            <v>AGR</v>
          </cell>
          <cell r="F208" t="str">
            <v>MIGUEL GARCIA</v>
          </cell>
        </row>
        <row r="209">
          <cell r="B209">
            <v>501008</v>
          </cell>
          <cell r="C209" t="str">
            <v>PLANTIO DE CANA</v>
          </cell>
          <cell r="D209">
            <v>20</v>
          </cell>
          <cell r="E209" t="str">
            <v>AGR</v>
          </cell>
          <cell r="F209" t="str">
            <v>MIGUEL GARCIA</v>
          </cell>
        </row>
        <row r="210">
          <cell r="B210">
            <v>501010</v>
          </cell>
          <cell r="C210" t="str">
            <v>TRATOS CANA PLANTA</v>
          </cell>
          <cell r="D210">
            <v>20</v>
          </cell>
          <cell r="E210" t="str">
            <v>AGR</v>
          </cell>
          <cell r="F210" t="str">
            <v>MIGUEL GARCIA</v>
          </cell>
        </row>
        <row r="211">
          <cell r="B211">
            <v>501012</v>
          </cell>
          <cell r="C211" t="str">
            <v>TRATOS CANA SOCA</v>
          </cell>
          <cell r="D211">
            <v>20</v>
          </cell>
          <cell r="E211" t="str">
            <v>AGR</v>
          </cell>
          <cell r="F211" t="str">
            <v>MIGUEL GARCIA</v>
          </cell>
        </row>
        <row r="212">
          <cell r="B212">
            <v>501014</v>
          </cell>
          <cell r="C212" t="str">
            <v>COLHEITA MANUAL</v>
          </cell>
          <cell r="D212">
            <v>20</v>
          </cell>
          <cell r="E212" t="str">
            <v>AGR</v>
          </cell>
          <cell r="F212" t="str">
            <v>JOEL GARCIA</v>
          </cell>
        </row>
        <row r="213">
          <cell r="B213">
            <v>501016</v>
          </cell>
          <cell r="C213" t="str">
            <v>COLHEITA MECANIZADA</v>
          </cell>
          <cell r="D213">
            <v>20</v>
          </cell>
          <cell r="E213" t="str">
            <v>AGR</v>
          </cell>
          <cell r="F213" t="str">
            <v>JOEL GARCIA</v>
          </cell>
        </row>
        <row r="214">
          <cell r="B214">
            <v>501018</v>
          </cell>
          <cell r="C214" t="str">
            <v>PÁTIO DE COMPOSTAGEM</v>
          </cell>
          <cell r="D214">
            <v>20</v>
          </cell>
          <cell r="E214" t="str">
            <v>AGR</v>
          </cell>
          <cell r="F214" t="str">
            <v>MIGUEL GARCIA</v>
          </cell>
        </row>
        <row r="215">
          <cell r="B215">
            <v>501020</v>
          </cell>
          <cell r="C215" t="str">
            <v>REPLANTIO DA CANA PLANTA</v>
          </cell>
          <cell r="D215">
            <v>20</v>
          </cell>
          <cell r="E215" t="str">
            <v>AGR</v>
          </cell>
          <cell r="F215" t="str">
            <v>MIGUEL GARCIA</v>
          </cell>
        </row>
        <row r="216">
          <cell r="B216">
            <v>501022</v>
          </cell>
          <cell r="C216" t="str">
            <v>REPLANTIO DA CANA SOCA</v>
          </cell>
          <cell r="D216">
            <v>20</v>
          </cell>
          <cell r="E216" t="str">
            <v>AGR</v>
          </cell>
          <cell r="F216" t="str">
            <v>MIGUEL GARCIA</v>
          </cell>
        </row>
        <row r="217">
          <cell r="B217">
            <v>501030</v>
          </cell>
          <cell r="C217" t="str">
            <v>ADMINISTRAÇÃO AGRÍCOLA</v>
          </cell>
          <cell r="D217">
            <v>20</v>
          </cell>
          <cell r="E217" t="str">
            <v>Agr</v>
          </cell>
          <cell r="F217" t="str">
            <v>EVERTON PASSARINI</v>
          </cell>
        </row>
        <row r="218">
          <cell r="B218">
            <v>501099</v>
          </cell>
          <cell r="C218" t="str">
            <v>MANUTENÇÃO DE ENTRESSAFRA</v>
          </cell>
          <cell r="D218">
            <v>20</v>
          </cell>
          <cell r="E218" t="str">
            <v>AGR</v>
          </cell>
          <cell r="F218" t="str">
            <v>MIGUEL GARCIA</v>
          </cell>
        </row>
        <row r="219">
          <cell r="B219">
            <v>501100</v>
          </cell>
          <cell r="C219" t="str">
            <v>OUTRAS CULTURAS</v>
          </cell>
          <cell r="D219">
            <v>20</v>
          </cell>
          <cell r="E219" t="str">
            <v>AGR</v>
          </cell>
          <cell r="F219" t="str">
            <v>EVERTON PASSARINI</v>
          </cell>
        </row>
        <row r="220">
          <cell r="B220">
            <v>501102</v>
          </cell>
          <cell r="C220" t="str">
            <v>REFLORESTAMENTO</v>
          </cell>
          <cell r="D220">
            <v>20</v>
          </cell>
          <cell r="E220" t="str">
            <v>AGR</v>
          </cell>
          <cell r="F220" t="str">
            <v>CARLOS ARCE</v>
          </cell>
        </row>
        <row r="221">
          <cell r="B221">
            <v>501106</v>
          </cell>
          <cell r="C221" t="str">
            <v>EXPERIMENTO</v>
          </cell>
          <cell r="D221">
            <v>20</v>
          </cell>
          <cell r="E221" t="str">
            <v>AGR</v>
          </cell>
          <cell r="F221" t="str">
            <v>CARLOS ARCE</v>
          </cell>
        </row>
        <row r="222">
          <cell r="B222">
            <v>501108</v>
          </cell>
          <cell r="C222" t="str">
            <v>ADUBACAO VERDE</v>
          </cell>
          <cell r="D222">
            <v>20</v>
          </cell>
          <cell r="E222" t="str">
            <v>AGR</v>
          </cell>
          <cell r="F222" t="str">
            <v>CARLOS ARCE</v>
          </cell>
        </row>
        <row r="223">
          <cell r="B223">
            <v>501112</v>
          </cell>
          <cell r="C223" t="str">
            <v>OUTROS SERVICOS</v>
          </cell>
          <cell r="D223">
            <v>20</v>
          </cell>
          <cell r="E223" t="str">
            <v>AGR</v>
          </cell>
          <cell r="F223" t="str">
            <v>EVERTON PASSARINI</v>
          </cell>
        </row>
        <row r="224">
          <cell r="B224">
            <v>501199</v>
          </cell>
          <cell r="C224" t="str">
            <v>MANUTENÇÃO DE ENTRESSAFRA</v>
          </cell>
          <cell r="D224">
            <v>20</v>
          </cell>
          <cell r="E224" t="str">
            <v>AGR</v>
          </cell>
          <cell r="F224" t="str">
            <v>EVERTON PASSARINI</v>
          </cell>
        </row>
        <row r="225">
          <cell r="B225">
            <v>501202</v>
          </cell>
          <cell r="C225" t="str">
            <v>DESENVOLVIMENTO AGRONOMICO</v>
          </cell>
          <cell r="D225">
            <v>20</v>
          </cell>
          <cell r="E225" t="str">
            <v>AGR</v>
          </cell>
          <cell r="F225" t="str">
            <v>CARLOS ARCE</v>
          </cell>
        </row>
        <row r="226">
          <cell r="B226">
            <v>509900</v>
          </cell>
          <cell r="C226" t="str">
            <v>CUSTO FINAL DE PRODUCAO</v>
          </cell>
          <cell r="D226">
            <v>20</v>
          </cell>
          <cell r="E226" t="str">
            <v>AGR</v>
          </cell>
          <cell r="F226" t="str">
            <v>N/A</v>
          </cell>
        </row>
        <row r="227">
          <cell r="B227">
            <v>509902</v>
          </cell>
          <cell r="C227" t="str">
            <v>CUSTO MATERIA-PRIMA</v>
          </cell>
          <cell r="D227">
            <v>20</v>
          </cell>
          <cell r="E227" t="str">
            <v>AGR</v>
          </cell>
          <cell r="F227" t="str">
            <v>N/A</v>
          </cell>
        </row>
        <row r="228">
          <cell r="B228">
            <v>509999</v>
          </cell>
          <cell r="C228" t="str">
            <v>MANUTENÇÃO DE ENTRESSAFRA</v>
          </cell>
          <cell r="D228">
            <v>20</v>
          </cell>
          <cell r="E228" t="str">
            <v>AGR</v>
          </cell>
          <cell r="F228" t="str">
            <v>N/A</v>
          </cell>
        </row>
        <row r="229">
          <cell r="B229">
            <v>600000</v>
          </cell>
          <cell r="C229" t="str">
            <v>CONSERVACAO GERAL/BENFEITORIAS</v>
          </cell>
          <cell r="D229">
            <v>20</v>
          </cell>
          <cell r="E229" t="str">
            <v>AGR</v>
          </cell>
          <cell r="F229" t="str">
            <v>EVERTON PASSARINI</v>
          </cell>
        </row>
        <row r="230">
          <cell r="B230">
            <v>600200</v>
          </cell>
          <cell r="C230" t="str">
            <v>CONSERVACAO DE SEDES</v>
          </cell>
          <cell r="D230">
            <v>20</v>
          </cell>
          <cell r="E230" t="str">
            <v>AGR</v>
          </cell>
          <cell r="F230" t="str">
            <v>EVERTON PASSARINI</v>
          </cell>
        </row>
        <row r="231">
          <cell r="B231">
            <v>600400</v>
          </cell>
          <cell r="C231" t="str">
            <v>CONSTR.E CONSERVACAO DEPENDENCIAS</v>
          </cell>
          <cell r="D231">
            <v>20</v>
          </cell>
          <cell r="E231" t="str">
            <v>AGR</v>
          </cell>
          <cell r="F231" t="str">
            <v>EVERTON PASSARINI</v>
          </cell>
        </row>
        <row r="232">
          <cell r="B232">
            <v>600600</v>
          </cell>
          <cell r="C232" t="str">
            <v>CONSTR.E CONSERVACAO DE CERCAS</v>
          </cell>
          <cell r="D232">
            <v>20</v>
          </cell>
          <cell r="E232" t="str">
            <v>AGR</v>
          </cell>
          <cell r="F232" t="str">
            <v>MIGUEL GARCIA</v>
          </cell>
        </row>
        <row r="233">
          <cell r="B233">
            <v>600800</v>
          </cell>
          <cell r="C233" t="str">
            <v>CONSERVACAO DE ESTRADAS</v>
          </cell>
          <cell r="D233">
            <v>20</v>
          </cell>
          <cell r="E233" t="str">
            <v>AGR</v>
          </cell>
          <cell r="F233" t="str">
            <v>JOEL GARCIA</v>
          </cell>
        </row>
        <row r="234">
          <cell r="B234">
            <v>600800</v>
          </cell>
          <cell r="C234" t="str">
            <v>CONSERVACAO DE ESTRADAS</v>
          </cell>
          <cell r="D234">
            <v>20</v>
          </cell>
          <cell r="E234" t="str">
            <v>Agr</v>
          </cell>
          <cell r="F234" t="str">
            <v>EVERTON  CARDOSO</v>
          </cell>
        </row>
        <row r="235">
          <cell r="B235">
            <v>601000</v>
          </cell>
          <cell r="C235" t="str">
            <v>CONSERVACAO PATIOS - INDUSTRIA</v>
          </cell>
          <cell r="D235">
            <v>10</v>
          </cell>
          <cell r="E235" t="str">
            <v>IND</v>
          </cell>
          <cell r="F235" t="str">
            <v>GILSON MENEZES</v>
          </cell>
        </row>
        <row r="236">
          <cell r="B236">
            <v>601018</v>
          </cell>
          <cell r="C236" t="str">
            <v>MOVIMENTAÇÃO DE RESÍDUOS INDUSTR</v>
          </cell>
          <cell r="D236">
            <v>20</v>
          </cell>
          <cell r="E236" t="str">
            <v>AGR</v>
          </cell>
          <cell r="F236" t="str">
            <v>EVERTON PASSARINI</v>
          </cell>
        </row>
        <row r="237">
          <cell r="B237">
            <v>601200</v>
          </cell>
          <cell r="C237" t="str">
            <v>CONSERVACAO PATIOS - ADMINISTRACAO</v>
          </cell>
          <cell r="D237">
            <v>40</v>
          </cell>
          <cell r="E237" t="str">
            <v>ADM</v>
          </cell>
          <cell r="F237" t="str">
            <v>EVERTON PASSARINI</v>
          </cell>
        </row>
        <row r="238">
          <cell r="B238">
            <v>601400</v>
          </cell>
          <cell r="C238" t="str">
            <v>URBANIZACAO E LIMPEZA</v>
          </cell>
          <cell r="D238">
            <v>20</v>
          </cell>
          <cell r="E238" t="str">
            <v>AGR</v>
          </cell>
          <cell r="F238" t="str">
            <v>EVERTON PASSARINI</v>
          </cell>
        </row>
        <row r="239">
          <cell r="B239">
            <v>601499</v>
          </cell>
          <cell r="C239" t="str">
            <v>MANUTENÇÃO DE ENTRESSAFRA</v>
          </cell>
          <cell r="D239">
            <v>20</v>
          </cell>
          <cell r="E239" t="str">
            <v>AGR</v>
          </cell>
          <cell r="F239" t="str">
            <v>EVERTON PASSARINI</v>
          </cell>
        </row>
        <row r="240">
          <cell r="B240">
            <v>601600</v>
          </cell>
          <cell r="C240" t="str">
            <v>REDE DE TRATAMENTO DE ÁGUA E ESGOTO</v>
          </cell>
          <cell r="D240">
            <v>20</v>
          </cell>
          <cell r="E240" t="str">
            <v>AGR</v>
          </cell>
          <cell r="F240" t="str">
            <v>ALEXANDRE MARINS</v>
          </cell>
        </row>
        <row r="241">
          <cell r="B241">
            <v>700000</v>
          </cell>
          <cell r="C241" t="str">
            <v>GRUPOS OPERATIVOS</v>
          </cell>
          <cell r="D241">
            <v>20</v>
          </cell>
          <cell r="E241" t="str">
            <v>AGR</v>
          </cell>
          <cell r="F241" t="str">
            <v>GUSTAVO NAGUMO</v>
          </cell>
        </row>
        <row r="242">
          <cell r="B242">
            <v>700100</v>
          </cell>
          <cell r="C242" t="str">
            <v>CAMINHOES</v>
          </cell>
          <cell r="D242">
            <v>20</v>
          </cell>
          <cell r="E242" t="str">
            <v>AGR</v>
          </cell>
          <cell r="F242" t="str">
            <v>GUSTAVO NAGUMO</v>
          </cell>
        </row>
        <row r="243">
          <cell r="B243">
            <v>700102</v>
          </cell>
          <cell r="C243" t="str">
            <v>CAMINHOES CANAVIEIRO</v>
          </cell>
          <cell r="D243">
            <v>20</v>
          </cell>
          <cell r="E243" t="str">
            <v>AGR</v>
          </cell>
          <cell r="F243" t="str">
            <v>GUSTAVO NAGUMO</v>
          </cell>
        </row>
        <row r="244">
          <cell r="B244">
            <v>700103</v>
          </cell>
          <cell r="C244" t="str">
            <v>CAMINHÕES CANAVIEIRO ( PRÓPRIO)</v>
          </cell>
          <cell r="D244">
            <v>20</v>
          </cell>
          <cell r="E244" t="str">
            <v>AGR</v>
          </cell>
          <cell r="F244" t="str">
            <v>GUSTAVO NAGUMO</v>
          </cell>
        </row>
        <row r="245">
          <cell r="B245">
            <v>700104</v>
          </cell>
          <cell r="C245" t="str">
            <v>CAMINHOES BASCULANTE (ALUGADO)</v>
          </cell>
          <cell r="D245">
            <v>20</v>
          </cell>
          <cell r="E245" t="str">
            <v>AGR</v>
          </cell>
          <cell r="F245" t="str">
            <v>GUSTAVO NAGUMO</v>
          </cell>
        </row>
        <row r="246">
          <cell r="B246">
            <v>700105</v>
          </cell>
          <cell r="C246" t="str">
            <v>CAMINHÕES BASCULANTE ( PRÓPRIO)</v>
          </cell>
          <cell r="D246">
            <v>20</v>
          </cell>
          <cell r="E246" t="str">
            <v>AGR</v>
          </cell>
          <cell r="F246" t="str">
            <v>GUSTAVO NAGUMO</v>
          </cell>
        </row>
        <row r="247">
          <cell r="B247">
            <v>700106</v>
          </cell>
          <cell r="C247" t="str">
            <v>CAMINHOES PIPA ( ALUGADO)</v>
          </cell>
          <cell r="D247">
            <v>20</v>
          </cell>
          <cell r="E247" t="str">
            <v>AGR</v>
          </cell>
          <cell r="F247" t="str">
            <v>GUSTAVO NAGUMO</v>
          </cell>
        </row>
        <row r="248">
          <cell r="B248">
            <v>700107</v>
          </cell>
          <cell r="C248" t="str">
            <v>CAMINHÕES PIPA ( PRÓPRIO)</v>
          </cell>
          <cell r="D248">
            <v>20</v>
          </cell>
          <cell r="E248" t="str">
            <v>AGR</v>
          </cell>
          <cell r="F248" t="str">
            <v>GUSTAVO NAGUMO</v>
          </cell>
        </row>
        <row r="249">
          <cell r="B249">
            <v>700108</v>
          </cell>
          <cell r="C249" t="str">
            <v>CAMINHOES COMBOIO ( ALUGADO)</v>
          </cell>
          <cell r="D249">
            <v>20</v>
          </cell>
          <cell r="E249" t="str">
            <v>AGR</v>
          </cell>
          <cell r="F249" t="str">
            <v>GUSTAVO NAGUMO</v>
          </cell>
        </row>
        <row r="250">
          <cell r="B250">
            <v>700109</v>
          </cell>
          <cell r="C250" t="str">
            <v>CAMINHÕES COMBOIO ( PRÓPRIO)</v>
          </cell>
          <cell r="D250">
            <v>20</v>
          </cell>
          <cell r="E250" t="str">
            <v>AGR</v>
          </cell>
          <cell r="F250" t="str">
            <v>GUSTAVO NAGUMO</v>
          </cell>
        </row>
        <row r="251">
          <cell r="B251">
            <v>700110</v>
          </cell>
          <cell r="C251" t="str">
            <v>CAMINHOES CARGA SECA ( ALUGADO)</v>
          </cell>
          <cell r="D251">
            <v>20</v>
          </cell>
          <cell r="E251" t="str">
            <v>AGR</v>
          </cell>
          <cell r="F251" t="str">
            <v>GUSTAVO NAGUMO</v>
          </cell>
        </row>
        <row r="252">
          <cell r="B252">
            <v>700111</v>
          </cell>
          <cell r="C252" t="str">
            <v>CAMINHÕES CARGA SECA ( PRÓPRIO)</v>
          </cell>
          <cell r="D252">
            <v>20</v>
          </cell>
          <cell r="E252" t="str">
            <v>AGR</v>
          </cell>
          <cell r="F252" t="str">
            <v>GUSTAVO NAGUMO</v>
          </cell>
        </row>
        <row r="253">
          <cell r="B253">
            <v>700112</v>
          </cell>
          <cell r="C253" t="str">
            <v>CAMINHOES PRANCHA ( ALUGADO)</v>
          </cell>
          <cell r="D253">
            <v>20</v>
          </cell>
          <cell r="E253" t="str">
            <v>AGR</v>
          </cell>
          <cell r="F253" t="str">
            <v>GUSTAVO NAGUMO</v>
          </cell>
        </row>
        <row r="254">
          <cell r="B254">
            <v>700113</v>
          </cell>
          <cell r="C254" t="str">
            <v>CAMINHÕES PRANCHA ( PRÓPRIO)</v>
          </cell>
          <cell r="D254">
            <v>20</v>
          </cell>
          <cell r="E254" t="str">
            <v>AGR</v>
          </cell>
          <cell r="F254" t="str">
            <v>GUSTAVO NAGUMO</v>
          </cell>
        </row>
        <row r="255">
          <cell r="B255">
            <v>700114</v>
          </cell>
          <cell r="C255" t="str">
            <v>CAMINHÃO MUNCK ( ALUGADO)</v>
          </cell>
          <cell r="D255">
            <v>20</v>
          </cell>
          <cell r="E255" t="str">
            <v>AGR</v>
          </cell>
          <cell r="F255" t="str">
            <v>GUSTAVO NAGUMO</v>
          </cell>
        </row>
        <row r="256">
          <cell r="B256">
            <v>700115</v>
          </cell>
          <cell r="C256" t="str">
            <v>CAMINHÕES MUNCK ( PRÓPRIO)</v>
          </cell>
          <cell r="D256">
            <v>20</v>
          </cell>
          <cell r="E256" t="str">
            <v>AGR</v>
          </cell>
          <cell r="F256" t="str">
            <v>GUSTAVO NAGUMO</v>
          </cell>
        </row>
        <row r="257">
          <cell r="B257">
            <v>700116</v>
          </cell>
          <cell r="C257" t="str">
            <v>CAMINHÕES BORRACHARIA (ALUGADO)</v>
          </cell>
          <cell r="D257">
            <v>20</v>
          </cell>
          <cell r="E257" t="str">
            <v>AGR</v>
          </cell>
          <cell r="F257" t="str">
            <v>GUSTAVO NAGUMO</v>
          </cell>
        </row>
        <row r="258">
          <cell r="B258">
            <v>700117</v>
          </cell>
          <cell r="C258" t="str">
            <v>CAMINHÕES BORRACHARIA ( PRÓPRIO)</v>
          </cell>
          <cell r="D258">
            <v>20</v>
          </cell>
          <cell r="E258" t="str">
            <v>AGR</v>
          </cell>
          <cell r="F258" t="str">
            <v>GUSTAVO NAGUMO</v>
          </cell>
        </row>
        <row r="259">
          <cell r="B259">
            <v>700118</v>
          </cell>
          <cell r="C259" t="str">
            <v>CAMINHÕES OFICINA ( ALUGADO)</v>
          </cell>
          <cell r="D259">
            <v>20</v>
          </cell>
          <cell r="E259" t="str">
            <v>AGR</v>
          </cell>
          <cell r="F259" t="str">
            <v>GUSTAVO NAGUMO</v>
          </cell>
        </row>
        <row r="260">
          <cell r="B260">
            <v>700119</v>
          </cell>
          <cell r="C260" t="str">
            <v>CAMINHÕES OFICINA ( PRÓPRIO)</v>
          </cell>
          <cell r="D260">
            <v>20</v>
          </cell>
          <cell r="E260" t="str">
            <v>AGR</v>
          </cell>
          <cell r="F260" t="str">
            <v>GUSTAVO NAGUMO</v>
          </cell>
        </row>
        <row r="261">
          <cell r="B261">
            <v>700199</v>
          </cell>
          <cell r="C261" t="str">
            <v>MANUTENÇÃO DE ENTRESSAFRA</v>
          </cell>
          <cell r="D261">
            <v>20</v>
          </cell>
          <cell r="E261" t="str">
            <v>AGR</v>
          </cell>
          <cell r="F261" t="str">
            <v>GUSTAVO NAGUMO</v>
          </cell>
        </row>
        <row r="262">
          <cell r="B262">
            <v>700200</v>
          </cell>
          <cell r="C262" t="str">
            <v>TRATORES/MAQUINAS/COLHEDORAS</v>
          </cell>
          <cell r="D262">
            <v>20</v>
          </cell>
          <cell r="E262" t="str">
            <v>AGR</v>
          </cell>
          <cell r="F262" t="str">
            <v>GUSTAVO NAGUMO</v>
          </cell>
        </row>
        <row r="263">
          <cell r="B263">
            <v>700202</v>
          </cell>
          <cell r="C263" t="str">
            <v>TRATORES PNEUS - LEVES ( ALUGADO)</v>
          </cell>
          <cell r="D263">
            <v>20</v>
          </cell>
          <cell r="E263" t="str">
            <v>AGR</v>
          </cell>
          <cell r="F263" t="str">
            <v>GUSTAVO NAGUMO</v>
          </cell>
        </row>
        <row r="264">
          <cell r="B264">
            <v>700203</v>
          </cell>
          <cell r="C264" t="str">
            <v>TRATORES PNEUS - LEVES ( PRÓPRIO)</v>
          </cell>
          <cell r="D264">
            <v>20</v>
          </cell>
          <cell r="E264" t="str">
            <v>AGR</v>
          </cell>
          <cell r="F264" t="str">
            <v>GUSTAVO NAGUMO</v>
          </cell>
        </row>
        <row r="265">
          <cell r="B265">
            <v>700204</v>
          </cell>
          <cell r="C265" t="str">
            <v>TRATORES PNEUS - MEDIOS ( ALUGADO)</v>
          </cell>
          <cell r="D265">
            <v>20</v>
          </cell>
          <cell r="E265" t="str">
            <v>AGR</v>
          </cell>
          <cell r="F265" t="str">
            <v>GUSTAVO NAGUMO</v>
          </cell>
        </row>
        <row r="266">
          <cell r="B266">
            <v>700205</v>
          </cell>
          <cell r="C266" t="str">
            <v>TRATORES PNEUS - MEDIOS ( PRÓPRIO)</v>
          </cell>
          <cell r="D266">
            <v>20</v>
          </cell>
          <cell r="E266" t="str">
            <v>AGR</v>
          </cell>
          <cell r="F266" t="str">
            <v>GUSTAVO NAGUMO</v>
          </cell>
        </row>
        <row r="267">
          <cell r="B267">
            <v>700206</v>
          </cell>
          <cell r="C267" t="str">
            <v>TRATORES PNEUS - PESADOS ( ALUGADO)</v>
          </cell>
          <cell r="D267">
            <v>20</v>
          </cell>
          <cell r="E267" t="str">
            <v>AGR</v>
          </cell>
          <cell r="F267" t="str">
            <v>GUSTAVO NAGUMO</v>
          </cell>
        </row>
        <row r="268">
          <cell r="B268">
            <v>700207</v>
          </cell>
          <cell r="C268" t="str">
            <v>TRATORES PNEUS - PESADOS ( PRÓPRIO)</v>
          </cell>
          <cell r="D268">
            <v>20</v>
          </cell>
          <cell r="E268" t="str">
            <v>AGR</v>
          </cell>
          <cell r="F268" t="str">
            <v>GUSTAVO NAGUMO</v>
          </cell>
        </row>
        <row r="269">
          <cell r="B269">
            <v>700208</v>
          </cell>
          <cell r="C269" t="str">
            <v>TRATORES ESTEIRAS ( ALUGADO)</v>
          </cell>
          <cell r="D269">
            <v>20</v>
          </cell>
          <cell r="E269" t="str">
            <v>AGR</v>
          </cell>
          <cell r="F269" t="str">
            <v>GUSTAVO NAGUMO</v>
          </cell>
        </row>
        <row r="270">
          <cell r="B270">
            <v>700209</v>
          </cell>
          <cell r="C270" t="str">
            <v>TRATORES ESTEIRAS ( PRÓPRIO)</v>
          </cell>
          <cell r="D270">
            <v>20</v>
          </cell>
          <cell r="E270" t="str">
            <v>AGR</v>
          </cell>
          <cell r="F270" t="str">
            <v>GUSTAVO NAGUMO</v>
          </cell>
        </row>
        <row r="271">
          <cell r="B271">
            <v>700210</v>
          </cell>
          <cell r="C271" t="str">
            <v>RETRO ESCAVADORAS ( ALUGADO)</v>
          </cell>
          <cell r="D271">
            <v>20</v>
          </cell>
          <cell r="E271" t="str">
            <v>AGR</v>
          </cell>
          <cell r="F271" t="str">
            <v>GUSTAVO NAGUMO</v>
          </cell>
        </row>
        <row r="272">
          <cell r="B272">
            <v>700211</v>
          </cell>
          <cell r="C272" t="str">
            <v>RETRO ESCAVADORAS ( PRÓPRIO)</v>
          </cell>
          <cell r="D272">
            <v>20</v>
          </cell>
          <cell r="E272" t="str">
            <v>AGR</v>
          </cell>
          <cell r="F272" t="str">
            <v>GUSTAVO NAGUMO</v>
          </cell>
        </row>
        <row r="273">
          <cell r="B273">
            <v>700212</v>
          </cell>
          <cell r="C273" t="str">
            <v>MOTONIVELADORAS ( ALUGADO)</v>
          </cell>
          <cell r="D273">
            <v>20</v>
          </cell>
          <cell r="E273" t="str">
            <v>AGR</v>
          </cell>
          <cell r="F273" t="str">
            <v>GUSTAVO NAGUMO</v>
          </cell>
        </row>
        <row r="274">
          <cell r="B274">
            <v>700213</v>
          </cell>
          <cell r="C274" t="str">
            <v>MOTONIVELADORAS ( PRÓPRIO)</v>
          </cell>
          <cell r="D274">
            <v>20</v>
          </cell>
          <cell r="E274" t="str">
            <v>AGR</v>
          </cell>
          <cell r="F274" t="str">
            <v>GUSTAVO NAGUMO</v>
          </cell>
        </row>
        <row r="275">
          <cell r="B275">
            <v>700214</v>
          </cell>
          <cell r="C275" t="str">
            <v>PA CARREGADORAS ( ALUGADO)</v>
          </cell>
          <cell r="D275">
            <v>20</v>
          </cell>
          <cell r="E275" t="str">
            <v>AGR</v>
          </cell>
          <cell r="F275" t="str">
            <v>GUSTAVO NAGUMO</v>
          </cell>
        </row>
        <row r="276">
          <cell r="B276">
            <v>700215</v>
          </cell>
          <cell r="C276" t="str">
            <v>PA CARREGADORAS ( PRÓPRIO)</v>
          </cell>
          <cell r="D276">
            <v>20</v>
          </cell>
          <cell r="E276" t="str">
            <v>AGR</v>
          </cell>
          <cell r="F276" t="str">
            <v>GUSTAVO NAGUMO</v>
          </cell>
        </row>
        <row r="277">
          <cell r="B277">
            <v>700216</v>
          </cell>
          <cell r="C277" t="str">
            <v>CARREGADORAS DE CANA ( ALUGADO)</v>
          </cell>
          <cell r="D277">
            <v>20</v>
          </cell>
          <cell r="E277" t="str">
            <v>AGR</v>
          </cell>
          <cell r="F277" t="str">
            <v>GUSTAVO NAGUMO</v>
          </cell>
        </row>
        <row r="278">
          <cell r="B278">
            <v>700217</v>
          </cell>
          <cell r="C278" t="str">
            <v>CARREGADORAS DE CANA ( PRÓPRIO)</v>
          </cell>
          <cell r="D278">
            <v>20</v>
          </cell>
          <cell r="E278" t="str">
            <v>AGR</v>
          </cell>
          <cell r="F278" t="str">
            <v>GUSTAVO NAGUMO</v>
          </cell>
        </row>
        <row r="279">
          <cell r="B279">
            <v>700218</v>
          </cell>
          <cell r="C279" t="str">
            <v>COLHEDORAS DE CANA ( ALUGADO)</v>
          </cell>
          <cell r="D279">
            <v>20</v>
          </cell>
          <cell r="E279" t="str">
            <v>AGR</v>
          </cell>
          <cell r="F279" t="str">
            <v>GUSTAVO NAGUMO</v>
          </cell>
        </row>
        <row r="280">
          <cell r="B280">
            <v>700219</v>
          </cell>
          <cell r="C280" t="str">
            <v>COLHEDORAS DE CANA ( PRÓPRIA)</v>
          </cell>
          <cell r="D280">
            <v>20</v>
          </cell>
          <cell r="E280" t="str">
            <v>AGR</v>
          </cell>
          <cell r="F280" t="str">
            <v>GUSTAVO NAGUMO</v>
          </cell>
        </row>
        <row r="281">
          <cell r="B281">
            <v>700220</v>
          </cell>
          <cell r="C281" t="str">
            <v>PLANTADORA DE CANA ( ALUGADO)</v>
          </cell>
          <cell r="D281">
            <v>20</v>
          </cell>
          <cell r="E281" t="str">
            <v>AGR</v>
          </cell>
          <cell r="F281" t="str">
            <v>GUSTAVO NAGUMO</v>
          </cell>
        </row>
        <row r="282">
          <cell r="B282">
            <v>700221</v>
          </cell>
          <cell r="C282" t="str">
            <v>PLANTADORA DE CANA ( PRÓPRIA)</v>
          </cell>
          <cell r="D282">
            <v>20</v>
          </cell>
          <cell r="E282" t="str">
            <v>AGR</v>
          </cell>
          <cell r="F282" t="str">
            <v>GUSTAVO NAGUMO</v>
          </cell>
        </row>
        <row r="283">
          <cell r="B283">
            <v>700222</v>
          </cell>
          <cell r="C283" t="str">
            <v>TRATORES PNEUS-SUPER PESADOS (ALUGADOS)</v>
          </cell>
          <cell r="D283">
            <v>20</v>
          </cell>
          <cell r="E283" t="str">
            <v>AGR</v>
          </cell>
          <cell r="F283" t="str">
            <v>GUSTAVO NAGUMO</v>
          </cell>
        </row>
        <row r="284">
          <cell r="B284">
            <v>700223</v>
          </cell>
          <cell r="C284" t="str">
            <v>TRATORES PNEUS-SUPER PESADOS (PRÓPRIOS)</v>
          </cell>
          <cell r="D284">
            <v>20</v>
          </cell>
          <cell r="E284" t="str">
            <v>AGR</v>
          </cell>
          <cell r="F284" t="str">
            <v>GUSTAVO NAGUMO</v>
          </cell>
        </row>
        <row r="285">
          <cell r="B285">
            <v>700224</v>
          </cell>
          <cell r="C285" t="str">
            <v>CAMINHÕES TRANSBORDOS (ALUGADOS)</v>
          </cell>
          <cell r="D285">
            <v>20</v>
          </cell>
          <cell r="E285" t="str">
            <v>AGR</v>
          </cell>
          <cell r="F285" t="str">
            <v>GUSTAVO NAGUMO</v>
          </cell>
        </row>
        <row r="286">
          <cell r="B286">
            <v>700225</v>
          </cell>
          <cell r="C286" t="str">
            <v>CAMINHÕES TRANSBORDOS (PRÓPRIOS)</v>
          </cell>
          <cell r="D286">
            <v>20</v>
          </cell>
          <cell r="E286" t="str">
            <v>AGR</v>
          </cell>
          <cell r="F286" t="str">
            <v>GUSTAVO NAGUMO</v>
          </cell>
        </row>
        <row r="287">
          <cell r="B287">
            <v>700299</v>
          </cell>
          <cell r="C287" t="str">
            <v>MANUTENÇÃO DE ENTRESSAFRA</v>
          </cell>
          <cell r="D287">
            <v>20</v>
          </cell>
          <cell r="E287" t="str">
            <v>AGR</v>
          </cell>
          <cell r="F287" t="str">
            <v>GUSTAVO NAGUMO</v>
          </cell>
        </row>
        <row r="288">
          <cell r="B288">
            <v>700300</v>
          </cell>
          <cell r="C288" t="str">
            <v>VEICULOS/UTILITARIOS/ONIBUS</v>
          </cell>
          <cell r="D288">
            <v>20</v>
          </cell>
          <cell r="E288" t="str">
            <v>AGR</v>
          </cell>
          <cell r="F288" t="str">
            <v>GUSTAVO NAGUMO</v>
          </cell>
        </row>
        <row r="289">
          <cell r="B289">
            <v>700302</v>
          </cell>
          <cell r="C289" t="str">
            <v>VEICULOS LEVES</v>
          </cell>
          <cell r="D289">
            <v>20</v>
          </cell>
          <cell r="E289" t="str">
            <v>AGR</v>
          </cell>
          <cell r="F289" t="str">
            <v>GUSTAVO NAGUMO</v>
          </cell>
        </row>
        <row r="290">
          <cell r="B290">
            <v>700304</v>
          </cell>
          <cell r="C290" t="str">
            <v>CAMINHONETAS/UTILITARIOS</v>
          </cell>
          <cell r="D290">
            <v>20</v>
          </cell>
          <cell r="E290" t="str">
            <v>AGR</v>
          </cell>
          <cell r="F290" t="str">
            <v>GUSTAVO NAGUMO</v>
          </cell>
        </row>
        <row r="291">
          <cell r="B291">
            <v>700399</v>
          </cell>
          <cell r="C291" t="str">
            <v>MANUTENÇÃO DE ENTRESSAFRA</v>
          </cell>
          <cell r="D291">
            <v>20</v>
          </cell>
          <cell r="E291" t="str">
            <v>AGR</v>
          </cell>
          <cell r="F291" t="str">
            <v>GUSTAVO NAGUMO</v>
          </cell>
        </row>
        <row r="292">
          <cell r="B292">
            <v>701200</v>
          </cell>
          <cell r="C292" t="str">
            <v>IMPLEMENTOS AGRÍCOLA</v>
          </cell>
          <cell r="D292">
            <v>20</v>
          </cell>
          <cell r="E292" t="str">
            <v>AGR</v>
          </cell>
          <cell r="F292" t="str">
            <v>GUSTAVO NAGUMO</v>
          </cell>
        </row>
        <row r="293">
          <cell r="B293">
            <v>701202</v>
          </cell>
          <cell r="C293" t="str">
            <v>ACERADORES DE CANA</v>
          </cell>
          <cell r="D293">
            <v>20</v>
          </cell>
          <cell r="E293" t="str">
            <v>AGR</v>
          </cell>
          <cell r="F293" t="str">
            <v>GUSTAVO NAGUMO</v>
          </cell>
        </row>
        <row r="294">
          <cell r="B294">
            <v>701204</v>
          </cell>
          <cell r="C294" t="str">
            <v>ARADOS</v>
          </cell>
          <cell r="D294">
            <v>20</v>
          </cell>
          <cell r="E294" t="str">
            <v>AGR</v>
          </cell>
          <cell r="F294" t="str">
            <v>GUSTAVO NAGUMO</v>
          </cell>
        </row>
        <row r="295">
          <cell r="B295">
            <v>701206</v>
          </cell>
          <cell r="C295" t="str">
            <v>CARRETAS DE ARRASTO(NAO USE)</v>
          </cell>
          <cell r="D295">
            <v>20</v>
          </cell>
          <cell r="E295" t="str">
            <v>AGR</v>
          </cell>
          <cell r="F295" t="str">
            <v>GUSTAVO NAGUMO</v>
          </cell>
        </row>
        <row r="296">
          <cell r="B296">
            <v>701208</v>
          </cell>
          <cell r="C296" t="str">
            <v>CARROCERIAS(NAO USE)</v>
          </cell>
          <cell r="D296">
            <v>20</v>
          </cell>
          <cell r="E296" t="str">
            <v>AGR</v>
          </cell>
          <cell r="F296" t="str">
            <v>GUSTAVO NAGUMO</v>
          </cell>
        </row>
        <row r="297">
          <cell r="B297">
            <v>701210</v>
          </cell>
          <cell r="C297" t="str">
            <v>COBRIDORES DE CANA</v>
          </cell>
          <cell r="D297">
            <v>20</v>
          </cell>
          <cell r="E297" t="str">
            <v>AGR</v>
          </cell>
          <cell r="F297" t="str">
            <v>GUSTAVO NAGUMO</v>
          </cell>
        </row>
        <row r="298">
          <cell r="B298">
            <v>701212</v>
          </cell>
          <cell r="C298" t="str">
            <v>CONJUNTO DE IRRIGACAO (ROLAO)</v>
          </cell>
          <cell r="D298">
            <v>20</v>
          </cell>
          <cell r="E298" t="str">
            <v>AGR</v>
          </cell>
          <cell r="F298" t="str">
            <v>GUSTAVO NAGUMO</v>
          </cell>
        </row>
        <row r="299">
          <cell r="B299">
            <v>701214</v>
          </cell>
          <cell r="C299" t="str">
            <v>CULTIVADORES</v>
          </cell>
          <cell r="D299">
            <v>20</v>
          </cell>
          <cell r="E299" t="str">
            <v>AGR</v>
          </cell>
          <cell r="F299" t="str">
            <v>GUSTAVO NAGUMO</v>
          </cell>
        </row>
        <row r="300">
          <cell r="B300">
            <v>701216</v>
          </cell>
          <cell r="C300" t="str">
            <v>DISTRIBUIDORES DE CALCARIO</v>
          </cell>
          <cell r="D300">
            <v>20</v>
          </cell>
          <cell r="E300" t="str">
            <v>AGR</v>
          </cell>
          <cell r="F300" t="str">
            <v>GUSTAVO NAGUMO</v>
          </cell>
        </row>
        <row r="301">
          <cell r="B301">
            <v>701218</v>
          </cell>
          <cell r="C301" t="str">
            <v>DISTRIBUIDORES DE TORTA</v>
          </cell>
          <cell r="D301">
            <v>20</v>
          </cell>
          <cell r="E301" t="str">
            <v>AGR</v>
          </cell>
          <cell r="F301" t="str">
            <v>GUSTAVO NAGUMO</v>
          </cell>
        </row>
        <row r="302">
          <cell r="B302">
            <v>701220</v>
          </cell>
          <cell r="C302" t="str">
            <v>ENLEIRADORES DE PALHA</v>
          </cell>
          <cell r="D302">
            <v>20</v>
          </cell>
          <cell r="E302" t="str">
            <v>AGR</v>
          </cell>
          <cell r="F302" t="str">
            <v>GUSTAVO NAGUMO</v>
          </cell>
        </row>
        <row r="303">
          <cell r="B303">
            <v>701222</v>
          </cell>
          <cell r="C303" t="str">
            <v>ESTEIRA DE ADUBO</v>
          </cell>
          <cell r="D303">
            <v>20</v>
          </cell>
          <cell r="E303" t="str">
            <v>AGR</v>
          </cell>
          <cell r="F303" t="str">
            <v>GUSTAVO NAGUMO</v>
          </cell>
        </row>
        <row r="304">
          <cell r="B304">
            <v>701224</v>
          </cell>
          <cell r="C304" t="str">
            <v>GRADES</v>
          </cell>
          <cell r="D304">
            <v>20</v>
          </cell>
          <cell r="E304" t="str">
            <v>AGR</v>
          </cell>
          <cell r="F304" t="str">
            <v>GUSTAVO NAGUMO</v>
          </cell>
        </row>
        <row r="305">
          <cell r="B305">
            <v>701226</v>
          </cell>
          <cell r="C305" t="str">
            <v>DISTRIBUIDORES DE CANA</v>
          </cell>
          <cell r="D305">
            <v>20</v>
          </cell>
          <cell r="E305" t="str">
            <v>AGR</v>
          </cell>
          <cell r="F305" t="str">
            <v>GUSTAVO NAGUMO</v>
          </cell>
        </row>
        <row r="306">
          <cell r="B306">
            <v>701228</v>
          </cell>
          <cell r="C306" t="str">
            <v>GUINCHO HIDRAULICO</v>
          </cell>
          <cell r="D306">
            <v>20</v>
          </cell>
          <cell r="E306" t="str">
            <v>AGR</v>
          </cell>
          <cell r="F306" t="str">
            <v>GUSTAVO NAGUMO</v>
          </cell>
        </row>
        <row r="307">
          <cell r="B307">
            <v>701230</v>
          </cell>
          <cell r="C307" t="str">
            <v>IMPLEMENTOS DIVERSOS</v>
          </cell>
          <cell r="D307">
            <v>20</v>
          </cell>
          <cell r="E307" t="str">
            <v>AGR</v>
          </cell>
          <cell r="F307" t="str">
            <v>GUSTAVO NAGUMO</v>
          </cell>
        </row>
        <row r="308">
          <cell r="B308">
            <v>701232</v>
          </cell>
          <cell r="C308" t="str">
            <v>MOTOBOMBAS</v>
          </cell>
          <cell r="D308">
            <v>20</v>
          </cell>
          <cell r="E308" t="str">
            <v>AGR</v>
          </cell>
          <cell r="F308" t="str">
            <v>GUSTAVO NAGUMO</v>
          </cell>
        </row>
        <row r="309">
          <cell r="B309">
            <v>701234</v>
          </cell>
          <cell r="C309" t="str">
            <v>MOTORES ESTACIONARIOS</v>
          </cell>
          <cell r="D309">
            <v>20</v>
          </cell>
          <cell r="E309" t="str">
            <v>AGR</v>
          </cell>
          <cell r="F309" t="str">
            <v>GUSTAVO NAGUMO</v>
          </cell>
        </row>
        <row r="310">
          <cell r="B310">
            <v>701236</v>
          </cell>
          <cell r="C310" t="str">
            <v>MOTOSSERA</v>
          </cell>
          <cell r="D310">
            <v>20</v>
          </cell>
          <cell r="E310" t="str">
            <v>AGR</v>
          </cell>
          <cell r="F310" t="str">
            <v>GUSTAVO NAGUMO</v>
          </cell>
        </row>
        <row r="311">
          <cell r="B311">
            <v>701238</v>
          </cell>
          <cell r="C311" t="str">
            <v>PULVERIZADORES</v>
          </cell>
          <cell r="D311">
            <v>20</v>
          </cell>
          <cell r="E311" t="str">
            <v>AGR</v>
          </cell>
          <cell r="F311" t="str">
            <v>GUSTAVO NAGUMO</v>
          </cell>
        </row>
        <row r="312">
          <cell r="B312">
            <v>701240</v>
          </cell>
          <cell r="C312" t="str">
            <v>REBOQUES CANAVIEIROS</v>
          </cell>
          <cell r="D312">
            <v>20</v>
          </cell>
          <cell r="E312" t="str">
            <v>AGR</v>
          </cell>
          <cell r="F312" t="str">
            <v>GUSTAVO NAGUMO</v>
          </cell>
        </row>
        <row r="313">
          <cell r="B313">
            <v>701242</v>
          </cell>
          <cell r="C313" t="str">
            <v>ROCADEIRAS</v>
          </cell>
          <cell r="D313">
            <v>20</v>
          </cell>
          <cell r="E313" t="str">
            <v>AGR</v>
          </cell>
          <cell r="F313" t="str">
            <v>GUSTAVO NAGUMO</v>
          </cell>
        </row>
        <row r="314">
          <cell r="B314">
            <v>701244</v>
          </cell>
          <cell r="C314" t="str">
            <v>SUBSOLADORES</v>
          </cell>
          <cell r="D314">
            <v>20</v>
          </cell>
          <cell r="E314" t="str">
            <v>AGR</v>
          </cell>
          <cell r="F314" t="str">
            <v>GUSTAVO NAGUMO</v>
          </cell>
        </row>
        <row r="315">
          <cell r="B315">
            <v>701246</v>
          </cell>
          <cell r="C315" t="str">
            <v>SULCADORES</v>
          </cell>
          <cell r="D315">
            <v>20</v>
          </cell>
          <cell r="E315" t="str">
            <v>AGR</v>
          </cell>
          <cell r="F315" t="str">
            <v>GUSTAVO NAGUMO</v>
          </cell>
        </row>
        <row r="316">
          <cell r="B316">
            <v>701248</v>
          </cell>
          <cell r="C316" t="str">
            <v>TANQUES DE AGUA</v>
          </cell>
          <cell r="D316">
            <v>20</v>
          </cell>
          <cell r="E316" t="str">
            <v>AGR</v>
          </cell>
          <cell r="F316" t="str">
            <v>GUSTAVO NAGUMO</v>
          </cell>
        </row>
        <row r="317">
          <cell r="B317">
            <v>701250</v>
          </cell>
          <cell r="C317" t="str">
            <v>TERRACEADORES</v>
          </cell>
          <cell r="D317">
            <v>20</v>
          </cell>
          <cell r="E317" t="str">
            <v>AGR</v>
          </cell>
          <cell r="F317" t="str">
            <v>GUSTAVO NAGUMO</v>
          </cell>
        </row>
        <row r="318">
          <cell r="B318">
            <v>701252</v>
          </cell>
          <cell r="C318" t="str">
            <v>TOMADOR DE AMOSTRA</v>
          </cell>
          <cell r="D318">
            <v>20</v>
          </cell>
          <cell r="E318" t="str">
            <v>AGR</v>
          </cell>
          <cell r="F318" t="str">
            <v>GUSTAVO NAGUMO</v>
          </cell>
        </row>
        <row r="319">
          <cell r="B319">
            <v>701254</v>
          </cell>
          <cell r="C319" t="str">
            <v>CONJ.TRANSBORDOS (ALUGADO)</v>
          </cell>
          <cell r="D319">
            <v>20</v>
          </cell>
          <cell r="E319" t="str">
            <v>AGR</v>
          </cell>
          <cell r="F319" t="str">
            <v>GUSTAVO NAGUMO</v>
          </cell>
        </row>
        <row r="320">
          <cell r="B320">
            <v>701255</v>
          </cell>
          <cell r="C320" t="str">
            <v>CONJ. TRANSBORDO (PROPRIO)</v>
          </cell>
          <cell r="D320">
            <v>20</v>
          </cell>
          <cell r="E320" t="str">
            <v>AGR</v>
          </cell>
          <cell r="F320" t="str">
            <v>GUSTAVO NAGUMO</v>
          </cell>
        </row>
        <row r="321">
          <cell r="B321">
            <v>701299</v>
          </cell>
          <cell r="C321" t="str">
            <v>MANUTENÇÃO DE ENTRESSAFRA</v>
          </cell>
          <cell r="D321">
            <v>20</v>
          </cell>
          <cell r="E321" t="str">
            <v>AGR</v>
          </cell>
          <cell r="F321" t="str">
            <v>GUSTAVO NAGUMO</v>
          </cell>
        </row>
        <row r="322">
          <cell r="B322">
            <v>701300</v>
          </cell>
          <cell r="C322" t="str">
            <v>IMPLEMENTOS RODOVIÁRIOS</v>
          </cell>
          <cell r="D322">
            <v>20</v>
          </cell>
          <cell r="E322" t="str">
            <v>AGR</v>
          </cell>
          <cell r="F322" t="str">
            <v>GUSTAVO NAGUMO</v>
          </cell>
        </row>
        <row r="323">
          <cell r="B323">
            <v>701301</v>
          </cell>
          <cell r="C323" t="str">
            <v>SEMI-REBOQUE CANAVIEIRO</v>
          </cell>
          <cell r="D323">
            <v>20</v>
          </cell>
          <cell r="E323" t="str">
            <v>AGR</v>
          </cell>
          <cell r="F323" t="str">
            <v>GUSTAVO NAGUMO</v>
          </cell>
        </row>
        <row r="324">
          <cell r="B324">
            <v>701302</v>
          </cell>
          <cell r="C324" t="str">
            <v>SEMI-REBOQUE PRANCHA</v>
          </cell>
          <cell r="D324">
            <v>20</v>
          </cell>
          <cell r="E324" t="str">
            <v>AGR</v>
          </cell>
          <cell r="F324" t="str">
            <v>GUSTAVO NAGUMO</v>
          </cell>
        </row>
        <row r="325">
          <cell r="B325">
            <v>701303</v>
          </cell>
          <cell r="C325" t="str">
            <v>SEMI-REBOQUE TANQUE VINHAÇA</v>
          </cell>
          <cell r="D325">
            <v>20</v>
          </cell>
          <cell r="E325" t="str">
            <v>AGR</v>
          </cell>
          <cell r="F325" t="str">
            <v>GUSTAVO NAGUMO</v>
          </cell>
        </row>
        <row r="326">
          <cell r="B326">
            <v>701399</v>
          </cell>
          <cell r="C326" t="str">
            <v>MANUTENÇÃO DE ENTRESSAFRA</v>
          </cell>
          <cell r="D326">
            <v>20</v>
          </cell>
          <cell r="E326" t="str">
            <v>AGR</v>
          </cell>
          <cell r="F326" t="str">
            <v>GUSTAVO NAGUMO</v>
          </cell>
        </row>
        <row r="327">
          <cell r="B327">
            <v>702021</v>
          </cell>
          <cell r="C327" t="str">
            <v>AP21 TR AG 176-200 HP 4WD</v>
          </cell>
          <cell r="D327">
            <v>20</v>
          </cell>
          <cell r="E327" t="str">
            <v>Agr</v>
          </cell>
          <cell r="F327" t="str">
            <v>GUSTAVO NAGUMO</v>
          </cell>
        </row>
        <row r="328">
          <cell r="B328">
            <v>702034</v>
          </cell>
          <cell r="C328" t="str">
            <v>AP34 TR AG &gt; 300 HP 4WD</v>
          </cell>
          <cell r="D328">
            <v>20</v>
          </cell>
          <cell r="E328" t="str">
            <v>Agr</v>
          </cell>
          <cell r="F328" t="str">
            <v>GUSTAVO NAGUMO</v>
          </cell>
        </row>
        <row r="329">
          <cell r="B329">
            <v>702035</v>
          </cell>
          <cell r="C329" t="str">
            <v>BP01 COLHEDORA ESTEIRA</v>
          </cell>
          <cell r="D329">
            <v>20</v>
          </cell>
          <cell r="E329" t="str">
            <v>Agr</v>
          </cell>
          <cell r="F329" t="str">
            <v>GUSTAVO NAGUMO</v>
          </cell>
        </row>
        <row r="330">
          <cell r="B330">
            <v>702044</v>
          </cell>
          <cell r="C330" t="str">
            <v>DP04 MT DIESEL &gt; 150 HP</v>
          </cell>
          <cell r="D330">
            <v>20</v>
          </cell>
          <cell r="E330" t="str">
            <v>Agr</v>
          </cell>
          <cell r="F330" t="str">
            <v>GUSTAVO NAGUMO</v>
          </cell>
        </row>
        <row r="331">
          <cell r="B331">
            <v>702053</v>
          </cell>
          <cell r="C331" t="str">
            <v>DP13 CONJUNTO IRRIGAÇÃO</v>
          </cell>
          <cell r="D331">
            <v>20</v>
          </cell>
          <cell r="E331" t="str">
            <v>Agr</v>
          </cell>
          <cell r="F331" t="str">
            <v>GUSTAVO NAGUMO</v>
          </cell>
        </row>
        <row r="332">
          <cell r="B332">
            <v>702063</v>
          </cell>
          <cell r="C332" t="str">
            <v>EP10CAMINHÃO BOMBEIRO 4X6</v>
          </cell>
          <cell r="D332">
            <v>20</v>
          </cell>
          <cell r="E332" t="str">
            <v>Agr</v>
          </cell>
          <cell r="F332" t="str">
            <v>GUSTAVO NAGUMO</v>
          </cell>
        </row>
        <row r="333">
          <cell r="B333">
            <v>702065</v>
          </cell>
          <cell r="C333" t="str">
            <v>EP12 CAMINHÃO COMBOIO</v>
          </cell>
          <cell r="D333">
            <v>20</v>
          </cell>
          <cell r="E333" t="str">
            <v>Agr</v>
          </cell>
          <cell r="F333" t="str">
            <v>GUSTAVO NAGUMO</v>
          </cell>
        </row>
        <row r="334">
          <cell r="B334">
            <v>702067</v>
          </cell>
          <cell r="C334" t="str">
            <v>EP14 CAMINHÃO BORRACHARIA</v>
          </cell>
          <cell r="D334">
            <v>20</v>
          </cell>
          <cell r="E334" t="str">
            <v>Agr</v>
          </cell>
          <cell r="F334" t="str">
            <v>GUSTAVO NAGUMO</v>
          </cell>
        </row>
        <row r="335">
          <cell r="B335">
            <v>702068</v>
          </cell>
          <cell r="C335" t="str">
            <v>EP15 CAMINHÃO OFICINA</v>
          </cell>
          <cell r="D335">
            <v>20</v>
          </cell>
          <cell r="E335" t="str">
            <v>Agr</v>
          </cell>
          <cell r="F335" t="str">
            <v>GUSTAVO NAGUMO</v>
          </cell>
        </row>
        <row r="336">
          <cell r="B336">
            <v>702070</v>
          </cell>
          <cell r="C336" t="str">
            <v>FP02 CB CANA 91K-135K KG</v>
          </cell>
          <cell r="D336">
            <v>20</v>
          </cell>
          <cell r="E336" t="str">
            <v>Agr</v>
          </cell>
          <cell r="F336" t="str">
            <v>GUSTAVO NAGUMO</v>
          </cell>
        </row>
        <row r="337">
          <cell r="B337">
            <v>702079</v>
          </cell>
          <cell r="C337" t="str">
            <v>GP05 SEMI-REBOQUE PRANCHA</v>
          </cell>
          <cell r="D337">
            <v>20</v>
          </cell>
          <cell r="E337" t="str">
            <v>Agr</v>
          </cell>
          <cell r="F337" t="str">
            <v>GUSTAVO NAGUMO</v>
          </cell>
        </row>
        <row r="338">
          <cell r="B338">
            <v>702086</v>
          </cell>
          <cell r="C338" t="str">
            <v>GP12 CARRETA EQUIPTO IRRIGAÇÃO</v>
          </cell>
          <cell r="D338">
            <v>20</v>
          </cell>
          <cell r="E338" t="str">
            <v>Agr</v>
          </cell>
          <cell r="F338" t="str">
            <v>GUSTAVO NAGUMO</v>
          </cell>
        </row>
        <row r="339">
          <cell r="B339">
            <v>702092</v>
          </cell>
          <cell r="C339" t="str">
            <v>GP18 TANQUE &gt; 11.350 LTS</v>
          </cell>
          <cell r="D339">
            <v>20</v>
          </cell>
          <cell r="E339" t="str">
            <v>Agr</v>
          </cell>
          <cell r="F339" t="str">
            <v>GUSTAVO NAGUMO</v>
          </cell>
        </row>
        <row r="340">
          <cell r="B340">
            <v>702095</v>
          </cell>
          <cell r="C340" t="str">
            <v>HP 02 CARRETA DE CANA MEC</v>
          </cell>
          <cell r="D340">
            <v>20</v>
          </cell>
          <cell r="E340" t="str">
            <v>Agr</v>
          </cell>
          <cell r="F340" t="str">
            <v>GUSTAVO NAGUMO</v>
          </cell>
        </row>
        <row r="341">
          <cell r="B341">
            <v>702096</v>
          </cell>
          <cell r="C341" t="str">
            <v>HP 03 CARRETA TRANSBORDO</v>
          </cell>
          <cell r="D341">
            <v>20</v>
          </cell>
          <cell r="E341" t="str">
            <v>Agr</v>
          </cell>
          <cell r="F341" t="str">
            <v>GUSTAVO NAGUMO</v>
          </cell>
        </row>
        <row r="342">
          <cell r="B342">
            <v>702098</v>
          </cell>
          <cell r="C342" t="str">
            <v>HP05 DOLLY</v>
          </cell>
          <cell r="D342">
            <v>20</v>
          </cell>
          <cell r="E342" t="str">
            <v>Agr</v>
          </cell>
          <cell r="F342" t="str">
            <v>GUSTAVO NAGUMO</v>
          </cell>
        </row>
        <row r="343">
          <cell r="B343">
            <v>702117</v>
          </cell>
          <cell r="C343" t="str">
            <v>KP18 MICRO ONIBUS 4 CILINDROS</v>
          </cell>
          <cell r="D343">
            <v>20</v>
          </cell>
          <cell r="E343" t="str">
            <v>Agr</v>
          </cell>
          <cell r="F343" t="str">
            <v>GUSTAVO NAGUMO</v>
          </cell>
        </row>
        <row r="344">
          <cell r="B344">
            <v>702118</v>
          </cell>
          <cell r="C344" t="str">
            <v>KP19 VEÍC COMBUS FLEX</v>
          </cell>
          <cell r="D344">
            <v>20</v>
          </cell>
          <cell r="E344" t="str">
            <v>Agr</v>
          </cell>
          <cell r="F344" t="str">
            <v>GUSTAVO NAGUMO</v>
          </cell>
        </row>
        <row r="345">
          <cell r="B345">
            <v>702119</v>
          </cell>
          <cell r="C345" t="str">
            <v>KP20 PU 4 CIL FLEX 4WD</v>
          </cell>
          <cell r="D345">
            <v>20</v>
          </cell>
          <cell r="E345" t="str">
            <v>Agr</v>
          </cell>
          <cell r="F345" t="str">
            <v>GUSTAVO NAGUMO</v>
          </cell>
        </row>
        <row r="346">
          <cell r="B346">
            <v>702120</v>
          </cell>
          <cell r="C346" t="str">
            <v>KP21 SUV 6 CIL FLEX 4WD</v>
          </cell>
          <cell r="D346">
            <v>20</v>
          </cell>
          <cell r="E346" t="str">
            <v>Agr</v>
          </cell>
          <cell r="F346" t="str">
            <v>GUSTAVO NAGUMO</v>
          </cell>
        </row>
        <row r="347">
          <cell r="B347">
            <v>702151</v>
          </cell>
          <cell r="C347" t="str">
            <v>MP04 MOTOSERRA</v>
          </cell>
          <cell r="D347">
            <v>20</v>
          </cell>
          <cell r="E347" t="str">
            <v>Agr</v>
          </cell>
          <cell r="F347" t="str">
            <v>GUSTAVO NAGUMO</v>
          </cell>
        </row>
        <row r="348">
          <cell r="B348">
            <v>702164</v>
          </cell>
          <cell r="C348" t="str">
            <v>NP05 CULTIVADOR GRAN</v>
          </cell>
          <cell r="D348">
            <v>20</v>
          </cell>
          <cell r="E348" t="str">
            <v>Agr</v>
          </cell>
          <cell r="F348" t="str">
            <v>GUSTAVO NAGUMO</v>
          </cell>
        </row>
        <row r="349">
          <cell r="B349">
            <v>702170</v>
          </cell>
          <cell r="C349" t="str">
            <v>NP11 ARADO</v>
          </cell>
          <cell r="D349">
            <v>20</v>
          </cell>
          <cell r="E349" t="str">
            <v>Agr</v>
          </cell>
          <cell r="F349" t="str">
            <v>GUSTAVO NAGUMO</v>
          </cell>
        </row>
        <row r="350">
          <cell r="B350">
            <v>702171</v>
          </cell>
          <cell r="C350" t="str">
            <v>NP12 SUBSOLADOR</v>
          </cell>
          <cell r="D350">
            <v>20</v>
          </cell>
          <cell r="E350" t="str">
            <v>Agr</v>
          </cell>
          <cell r="F350" t="str">
            <v>GUSTAVO NAGUMO</v>
          </cell>
        </row>
        <row r="351">
          <cell r="B351">
            <v>702172</v>
          </cell>
          <cell r="C351" t="str">
            <v>NP13 GRADES MÉDIA E PESADA</v>
          </cell>
          <cell r="D351">
            <v>20</v>
          </cell>
          <cell r="E351" t="str">
            <v>Agr</v>
          </cell>
          <cell r="F351" t="str">
            <v>GUSTAVO NAGUMO</v>
          </cell>
        </row>
        <row r="352">
          <cell r="B352">
            <v>702178</v>
          </cell>
          <cell r="C352" t="str">
            <v>NP19 GRADES LEVES</v>
          </cell>
          <cell r="D352">
            <v>20</v>
          </cell>
          <cell r="E352" t="str">
            <v>Agr</v>
          </cell>
          <cell r="F352" t="str">
            <v>GUSTAVO NAGUMO</v>
          </cell>
        </row>
        <row r="353">
          <cell r="B353">
            <v>702179</v>
          </cell>
          <cell r="C353" t="str">
            <v>NP20 COBRIDOR CANA</v>
          </cell>
          <cell r="D353">
            <v>20</v>
          </cell>
          <cell r="E353" t="str">
            <v>Agr</v>
          </cell>
          <cell r="F353" t="str">
            <v>GUSTAVO NAGUMO</v>
          </cell>
        </row>
        <row r="354">
          <cell r="B354">
            <v>702180</v>
          </cell>
          <cell r="C354" t="str">
            <v>NP21 DISTRIBUIDORA DE CANA</v>
          </cell>
          <cell r="D354">
            <v>20</v>
          </cell>
          <cell r="E354" t="str">
            <v>Agr</v>
          </cell>
          <cell r="F354" t="str">
            <v>GUSTAVO NAGUMO</v>
          </cell>
        </row>
        <row r="355">
          <cell r="B355">
            <v>703006</v>
          </cell>
          <cell r="C355" t="str">
            <v>AR06 TR AG 51-75 HP 4WD</v>
          </cell>
          <cell r="D355">
            <v>20</v>
          </cell>
          <cell r="E355" t="str">
            <v>Agr</v>
          </cell>
          <cell r="F355" t="str">
            <v>GUSTAVO NAGUMO</v>
          </cell>
        </row>
        <row r="356">
          <cell r="B356">
            <v>703015</v>
          </cell>
          <cell r="C356" t="str">
            <v>AR15 TR MI 126-150 HP 4WD</v>
          </cell>
          <cell r="D356">
            <v>20</v>
          </cell>
          <cell r="E356" t="str">
            <v>Agr</v>
          </cell>
          <cell r="F356" t="str">
            <v>GUSTAVO NAGUMO</v>
          </cell>
        </row>
        <row r="357">
          <cell r="B357">
            <v>703019</v>
          </cell>
          <cell r="C357" t="str">
            <v>AR19 TR MI 151-175 HP 4WD</v>
          </cell>
          <cell r="D357">
            <v>20</v>
          </cell>
          <cell r="E357" t="str">
            <v>Agr</v>
          </cell>
          <cell r="F357" t="str">
            <v>GUSTAVO NAGUMO</v>
          </cell>
        </row>
        <row r="358">
          <cell r="B358">
            <v>703022</v>
          </cell>
          <cell r="C358" t="str">
            <v>AR22 TR MI 176-200 HP 4WD</v>
          </cell>
          <cell r="D358">
            <v>20</v>
          </cell>
          <cell r="E358" t="str">
            <v>Agr</v>
          </cell>
          <cell r="F358" t="str">
            <v>GUSTAVO NAGUMO</v>
          </cell>
        </row>
        <row r="359">
          <cell r="B359">
            <v>703024</v>
          </cell>
          <cell r="C359" t="str">
            <v>AR24 TR AG 201-225 HP 4WD</v>
          </cell>
          <cell r="D359">
            <v>20</v>
          </cell>
          <cell r="E359" t="str">
            <v>Agr</v>
          </cell>
          <cell r="F359" t="str">
            <v>GUSTAVO NAGUMO</v>
          </cell>
        </row>
        <row r="360">
          <cell r="B360">
            <v>703035</v>
          </cell>
          <cell r="C360" t="str">
            <v>BR01 COLHEDORA ESTEIRA</v>
          </cell>
          <cell r="D360">
            <v>20</v>
          </cell>
          <cell r="E360" t="str">
            <v>Agr</v>
          </cell>
          <cell r="F360" t="str">
            <v>GUSTAVO NAGUMO</v>
          </cell>
        </row>
        <row r="361">
          <cell r="B361">
            <v>703063</v>
          </cell>
          <cell r="C361" t="str">
            <v>ER10 CAMINHÃO BOMBEIRO 4X6</v>
          </cell>
          <cell r="D361">
            <v>20</v>
          </cell>
          <cell r="E361" t="str">
            <v>Agr</v>
          </cell>
          <cell r="F361" t="str">
            <v>GUSTAVO NAGUMO</v>
          </cell>
        </row>
        <row r="362">
          <cell r="B362">
            <v>703065</v>
          </cell>
          <cell r="C362" t="str">
            <v>ER12 CAMINHÃO COMBOIO</v>
          </cell>
          <cell r="D362">
            <v>20</v>
          </cell>
          <cell r="E362" t="str">
            <v>Agr</v>
          </cell>
          <cell r="F362" t="str">
            <v>GUSTAVO NAGUMO</v>
          </cell>
        </row>
        <row r="363">
          <cell r="B363">
            <v>703068</v>
          </cell>
          <cell r="C363" t="str">
            <v>ER15 CAMINHÃO OFICINA</v>
          </cell>
          <cell r="D363">
            <v>20</v>
          </cell>
          <cell r="E363" t="str">
            <v>Agr</v>
          </cell>
          <cell r="F363" t="str">
            <v>GUSTAVO NAGUMO</v>
          </cell>
        </row>
        <row r="364">
          <cell r="B364">
            <v>703096</v>
          </cell>
          <cell r="C364" t="str">
            <v>HR 03 CARRETA TRANSBORDO</v>
          </cell>
          <cell r="D364">
            <v>20</v>
          </cell>
          <cell r="E364" t="str">
            <v>Agr</v>
          </cell>
          <cell r="F364" t="str">
            <v>GUSTAVO NAGUMO</v>
          </cell>
        </row>
        <row r="365">
          <cell r="B365">
            <v>703126</v>
          </cell>
          <cell r="C365" t="str">
            <v>LR06 GRUA 11K-20K KG</v>
          </cell>
          <cell r="D365">
            <v>20</v>
          </cell>
          <cell r="E365" t="str">
            <v>Agr</v>
          </cell>
          <cell r="F365" t="str">
            <v>GUSTAVO NAGUMO</v>
          </cell>
        </row>
        <row r="366">
          <cell r="B366">
            <v>709900</v>
          </cell>
          <cell r="C366" t="str">
            <v>EQUIPAMENTOS DIVERSOS</v>
          </cell>
          <cell r="D366">
            <v>20</v>
          </cell>
          <cell r="E366" t="str">
            <v>AGR</v>
          </cell>
          <cell r="F366" t="str">
            <v>GUSTAVO NAGUMO</v>
          </cell>
        </row>
        <row r="367">
          <cell r="B367">
            <v>709902</v>
          </cell>
          <cell r="C367" t="str">
            <v>EQUIPAMENTOS TESTE</v>
          </cell>
          <cell r="D367">
            <v>20</v>
          </cell>
          <cell r="E367" t="str">
            <v>AGR</v>
          </cell>
          <cell r="F367" t="str">
            <v>GUSTAVO NAGUMO</v>
          </cell>
        </row>
        <row r="368">
          <cell r="B368">
            <v>709904</v>
          </cell>
          <cell r="C368" t="str">
            <v>EQUIPAMENTOS INDUSTRIA</v>
          </cell>
          <cell r="D368">
            <v>20</v>
          </cell>
          <cell r="E368" t="str">
            <v>AGR</v>
          </cell>
          <cell r="F368" t="str">
            <v>GUSTAVO NAGUMO</v>
          </cell>
        </row>
        <row r="369">
          <cell r="B369">
            <v>709912</v>
          </cell>
          <cell r="C369" t="str">
            <v>EQPTOS FORNECEDORES/ACIONISTAS-DIESEL</v>
          </cell>
          <cell r="D369">
            <v>20</v>
          </cell>
          <cell r="E369" t="str">
            <v>AGR</v>
          </cell>
          <cell r="F369" t="str">
            <v>GUSTAVO NAGUMO</v>
          </cell>
        </row>
        <row r="370">
          <cell r="B370">
            <v>709914</v>
          </cell>
          <cell r="C370" t="str">
            <v>EQUIPAMENTOS DE TERCEIROS</v>
          </cell>
          <cell r="D370">
            <v>20</v>
          </cell>
          <cell r="E370" t="str">
            <v>AGR</v>
          </cell>
          <cell r="F370" t="str">
            <v>GUSTAVO NAGUMO</v>
          </cell>
        </row>
        <row r="371">
          <cell r="B371">
            <v>709999</v>
          </cell>
          <cell r="C371" t="str">
            <v>MANUTENÇÃO DE ENTRESSAFRA</v>
          </cell>
          <cell r="D371">
            <v>20</v>
          </cell>
          <cell r="E371" t="str">
            <v>AGR</v>
          </cell>
          <cell r="F371" t="str">
            <v>GUSTAVO NAGUMO</v>
          </cell>
        </row>
        <row r="372">
          <cell r="B372">
            <v>800000</v>
          </cell>
          <cell r="C372" t="str">
            <v>OUTROS SERVIÃOS NA LAVOURA</v>
          </cell>
          <cell r="D372">
            <v>20</v>
          </cell>
          <cell r="E372" t="str">
            <v>AGR</v>
          </cell>
          <cell r="F372" t="str">
            <v>MIGUEL GARCIA</v>
          </cell>
        </row>
        <row r="373">
          <cell r="B373">
            <v>801000</v>
          </cell>
          <cell r="C373" t="str">
            <v>CULTURA DE CANA</v>
          </cell>
          <cell r="D373">
            <v>20</v>
          </cell>
          <cell r="E373" t="str">
            <v>AGR</v>
          </cell>
          <cell r="F373" t="str">
            <v>MIGUEL GARCIA</v>
          </cell>
        </row>
        <row r="374">
          <cell r="B374">
            <v>801002</v>
          </cell>
          <cell r="C374" t="str">
            <v>PREPARO DE SOLO</v>
          </cell>
          <cell r="D374">
            <v>20</v>
          </cell>
          <cell r="E374" t="str">
            <v>AGR</v>
          </cell>
          <cell r="F374" t="str">
            <v>ALEXANDRE MARINS</v>
          </cell>
        </row>
        <row r="375">
          <cell r="B375">
            <v>801004</v>
          </cell>
          <cell r="C375" t="str">
            <v>COLHEITA DE MUDA</v>
          </cell>
          <cell r="D375">
            <v>20</v>
          </cell>
          <cell r="E375" t="str">
            <v>AGR</v>
          </cell>
          <cell r="F375" t="str">
            <v>MIGUEL GARCIA</v>
          </cell>
        </row>
        <row r="376">
          <cell r="B376">
            <v>801006</v>
          </cell>
          <cell r="C376" t="str">
            <v>COLHEITA DE MUDA</v>
          </cell>
          <cell r="D376">
            <v>20</v>
          </cell>
          <cell r="E376" t="str">
            <v>AGR</v>
          </cell>
          <cell r="F376" t="str">
            <v>MIGUEL GARCIA</v>
          </cell>
        </row>
        <row r="377">
          <cell r="B377">
            <v>801008</v>
          </cell>
          <cell r="C377" t="str">
            <v>PLANTIO DE CANA</v>
          </cell>
          <cell r="D377">
            <v>20</v>
          </cell>
          <cell r="E377" t="str">
            <v>AGR</v>
          </cell>
          <cell r="F377" t="str">
            <v>MIGUEL GARCIA</v>
          </cell>
        </row>
        <row r="378">
          <cell r="B378">
            <v>801010</v>
          </cell>
          <cell r="C378" t="str">
            <v>TRATOS CANA PLANTA</v>
          </cell>
          <cell r="D378">
            <v>20</v>
          </cell>
          <cell r="E378" t="str">
            <v>AGR</v>
          </cell>
          <cell r="F378" t="str">
            <v>MIGUEL GARCIA</v>
          </cell>
        </row>
        <row r="379">
          <cell r="B379">
            <v>801012</v>
          </cell>
          <cell r="C379" t="str">
            <v>TRATOS CANA SOCA</v>
          </cell>
          <cell r="D379">
            <v>20</v>
          </cell>
          <cell r="E379" t="str">
            <v>AGR</v>
          </cell>
          <cell r="F379" t="str">
            <v>MIGUEL GARCIA</v>
          </cell>
        </row>
        <row r="380">
          <cell r="B380">
            <v>801014</v>
          </cell>
          <cell r="C380" t="str">
            <v>COLHEITA MANUAL</v>
          </cell>
          <cell r="D380">
            <v>20</v>
          </cell>
          <cell r="E380" t="str">
            <v>AGR</v>
          </cell>
          <cell r="F380" t="str">
            <v>JOEL GARCIA</v>
          </cell>
        </row>
        <row r="381">
          <cell r="B381">
            <v>801016</v>
          </cell>
          <cell r="C381" t="str">
            <v>COLHEITA MECANIZADA</v>
          </cell>
          <cell r="D381">
            <v>20</v>
          </cell>
          <cell r="E381" t="str">
            <v>AGR</v>
          </cell>
          <cell r="F381" t="str">
            <v>JOEL GARCIA</v>
          </cell>
        </row>
        <row r="382">
          <cell r="B382">
            <v>801020</v>
          </cell>
          <cell r="C382" t="str">
            <v>REPLANTIO DA CANA PLANTA</v>
          </cell>
          <cell r="D382">
            <v>20</v>
          </cell>
          <cell r="E382" t="str">
            <v>AGR</v>
          </cell>
          <cell r="F382" t="str">
            <v>MIGUEL GARCIA</v>
          </cell>
        </row>
        <row r="383">
          <cell r="B383">
            <v>801022</v>
          </cell>
          <cell r="C383" t="str">
            <v>REPLANTIO DA CANA SOCA</v>
          </cell>
          <cell r="D383">
            <v>20</v>
          </cell>
          <cell r="E383" t="str">
            <v>AGR</v>
          </cell>
          <cell r="F383" t="str">
            <v>MIGUEL GARCIA</v>
          </cell>
        </row>
        <row r="384">
          <cell r="B384">
            <v>801099</v>
          </cell>
          <cell r="C384" t="str">
            <v>MANUTENÇÃO DE ENTRESSAFRA</v>
          </cell>
          <cell r="D384">
            <v>20</v>
          </cell>
          <cell r="E384" t="str">
            <v>AGR</v>
          </cell>
          <cell r="F384" t="str">
            <v>MIGUEL GARCIA</v>
          </cell>
        </row>
        <row r="385">
          <cell r="B385">
            <v>900000</v>
          </cell>
          <cell r="C385" t="str">
            <v>CENTRO DE CUSTO PARA RATEIO</v>
          </cell>
          <cell r="D385">
            <v>0</v>
          </cell>
          <cell r="E385">
            <v>0</v>
          </cell>
          <cell r="F385" t="str">
            <v>WILLIAN KLINGER</v>
          </cell>
        </row>
        <row r="386">
          <cell r="B386">
            <v>900100</v>
          </cell>
          <cell r="C386" t="str">
            <v>CENTRO DE CUSTO PARA RATEIO</v>
          </cell>
          <cell r="D386">
            <v>0</v>
          </cell>
          <cell r="E386">
            <v>0</v>
          </cell>
          <cell r="F386" t="str">
            <v>WILLIAN KLINGER</v>
          </cell>
        </row>
        <row r="387">
          <cell r="B387">
            <v>900102</v>
          </cell>
          <cell r="C387" t="str">
            <v>CENTRO DE CUSTO PARA RATEIO</v>
          </cell>
          <cell r="D387">
            <v>0</v>
          </cell>
          <cell r="E387">
            <v>0</v>
          </cell>
          <cell r="F387" t="str">
            <v>WILLIAN KLINGER</v>
          </cell>
        </row>
        <row r="388">
          <cell r="B388">
            <v>900104</v>
          </cell>
          <cell r="C388" t="str">
            <v>IMPLANTAÇÃO DE SALDO</v>
          </cell>
          <cell r="D388">
            <v>0</v>
          </cell>
          <cell r="E388">
            <v>0</v>
          </cell>
          <cell r="F388" t="str">
            <v>WILLIAN KLINGER</v>
          </cell>
        </row>
        <row r="389">
          <cell r="B389">
            <v>950000</v>
          </cell>
          <cell r="C389" t="str">
            <v>INVESTIMENTOS</v>
          </cell>
          <cell r="D389">
            <v>0</v>
          </cell>
          <cell r="E389">
            <v>0</v>
          </cell>
          <cell r="F389" t="str">
            <v/>
          </cell>
        </row>
        <row r="390">
          <cell r="B390">
            <v>950100</v>
          </cell>
          <cell r="C390" t="str">
            <v>OBRAS EM ANDAMENTO</v>
          </cell>
          <cell r="D390">
            <v>0</v>
          </cell>
          <cell r="E390">
            <v>0</v>
          </cell>
          <cell r="F390" t="str">
            <v/>
          </cell>
        </row>
        <row r="391">
          <cell r="B391">
            <v>950101</v>
          </cell>
          <cell r="C391" t="str">
            <v>INVESTIMENTO FABRICA ACUCAR</v>
          </cell>
          <cell r="D391">
            <v>0</v>
          </cell>
          <cell r="E391">
            <v>0</v>
          </cell>
          <cell r="F391" t="str">
            <v/>
          </cell>
        </row>
        <row r="392">
          <cell r="B392">
            <v>950102</v>
          </cell>
          <cell r="C392" t="str">
            <v>REFORMA MOENDA 2012</v>
          </cell>
          <cell r="D392">
            <v>0</v>
          </cell>
          <cell r="E392">
            <v>0</v>
          </cell>
          <cell r="F392" t="str">
            <v/>
          </cell>
        </row>
        <row r="393">
          <cell r="B393">
            <v>701220</v>
          </cell>
          <cell r="C393" t="str">
            <v>ENLEIRADORES DE PALHA</v>
          </cell>
          <cell r="D393">
            <v>20</v>
          </cell>
          <cell r="E393" t="str">
            <v>AGR</v>
          </cell>
          <cell r="F393" t="str">
            <v>GUSTAVO NAGUMO</v>
          </cell>
        </row>
        <row r="394">
          <cell r="B394">
            <v>701222</v>
          </cell>
          <cell r="C394" t="str">
            <v>ESTEIRA DE ADUBO</v>
          </cell>
          <cell r="D394">
            <v>20</v>
          </cell>
          <cell r="E394" t="str">
            <v>AGR</v>
          </cell>
          <cell r="F394" t="str">
            <v>GUSTAVO NAGUMO</v>
          </cell>
        </row>
        <row r="395">
          <cell r="B395">
            <v>701224</v>
          </cell>
          <cell r="C395" t="str">
            <v>GRADES</v>
          </cell>
          <cell r="D395">
            <v>20</v>
          </cell>
          <cell r="E395" t="str">
            <v>AGR</v>
          </cell>
          <cell r="F395" t="str">
            <v>GUSTAVO NAGUMO</v>
          </cell>
        </row>
        <row r="396">
          <cell r="B396">
            <v>701226</v>
          </cell>
          <cell r="C396" t="str">
            <v>DISTRIBUIDORES DE CANA</v>
          </cell>
          <cell r="D396">
            <v>20</v>
          </cell>
          <cell r="E396" t="str">
            <v>AGR</v>
          </cell>
          <cell r="F396" t="str">
            <v>GUSTAVO NAGUMO</v>
          </cell>
        </row>
        <row r="397">
          <cell r="B397">
            <v>701228</v>
          </cell>
          <cell r="C397" t="str">
            <v>GUINCHO HIDRAULICO</v>
          </cell>
          <cell r="D397">
            <v>20</v>
          </cell>
          <cell r="E397" t="str">
            <v>AGR</v>
          </cell>
          <cell r="F397" t="str">
            <v>GUSTAVO NAGUMO</v>
          </cell>
        </row>
        <row r="398">
          <cell r="B398">
            <v>701230</v>
          </cell>
          <cell r="C398" t="str">
            <v>IMPLEMENTOS DIVERSOS</v>
          </cell>
          <cell r="D398">
            <v>20</v>
          </cell>
          <cell r="E398" t="str">
            <v>AGR</v>
          </cell>
          <cell r="F398" t="str">
            <v>GUSTAVO NAGUMO</v>
          </cell>
        </row>
        <row r="399">
          <cell r="B399">
            <v>701232</v>
          </cell>
          <cell r="C399" t="str">
            <v>MOTOBOMBAS</v>
          </cell>
          <cell r="D399">
            <v>20</v>
          </cell>
          <cell r="E399" t="str">
            <v>AGR</v>
          </cell>
          <cell r="F399" t="str">
            <v>GUSTAVO NAGUMO</v>
          </cell>
        </row>
        <row r="400">
          <cell r="B400">
            <v>701234</v>
          </cell>
          <cell r="C400" t="str">
            <v>MOTORES ESTACIONARIOS</v>
          </cell>
          <cell r="D400">
            <v>20</v>
          </cell>
          <cell r="E400" t="str">
            <v>AGR</v>
          </cell>
          <cell r="F400" t="str">
            <v>GUSTAVO NAGUMO</v>
          </cell>
        </row>
        <row r="401">
          <cell r="B401">
            <v>701236</v>
          </cell>
          <cell r="C401" t="str">
            <v>MOTOSSERA</v>
          </cell>
          <cell r="D401">
            <v>20</v>
          </cell>
          <cell r="E401" t="str">
            <v>AGR</v>
          </cell>
          <cell r="F401" t="str">
            <v>GUSTAVO NAGUMO</v>
          </cell>
        </row>
        <row r="402">
          <cell r="B402">
            <v>701238</v>
          </cell>
          <cell r="C402" t="str">
            <v>PULVERIZADORES</v>
          </cell>
          <cell r="D402">
            <v>20</v>
          </cell>
          <cell r="E402" t="str">
            <v>AGR</v>
          </cell>
          <cell r="F402" t="str">
            <v>GUSTAVO NAGUMO</v>
          </cell>
        </row>
        <row r="403">
          <cell r="B403">
            <v>701240</v>
          </cell>
          <cell r="C403" t="str">
            <v>REBOQUES CANAVIEIROS</v>
          </cell>
          <cell r="D403">
            <v>20</v>
          </cell>
          <cell r="E403" t="str">
            <v>AGR</v>
          </cell>
          <cell r="F403" t="str">
            <v>GUSTAVO NAGUMO</v>
          </cell>
        </row>
        <row r="404">
          <cell r="B404">
            <v>701242</v>
          </cell>
          <cell r="C404" t="str">
            <v>ROCADEIRAS</v>
          </cell>
          <cell r="D404">
            <v>20</v>
          </cell>
          <cell r="E404" t="str">
            <v>AGR</v>
          </cell>
          <cell r="F404" t="str">
            <v>GUSTAVO NAGUMO</v>
          </cell>
        </row>
        <row r="405">
          <cell r="B405">
            <v>701244</v>
          </cell>
          <cell r="C405" t="str">
            <v>SUBSOLADORES</v>
          </cell>
          <cell r="D405">
            <v>20</v>
          </cell>
          <cell r="E405" t="str">
            <v>AGR</v>
          </cell>
          <cell r="F405" t="str">
            <v>GUSTAVO NAGUMO</v>
          </cell>
        </row>
        <row r="406">
          <cell r="B406">
            <v>701246</v>
          </cell>
          <cell r="C406" t="str">
            <v>SULCADORES</v>
          </cell>
          <cell r="D406">
            <v>20</v>
          </cell>
          <cell r="E406" t="str">
            <v>AGR</v>
          </cell>
          <cell r="F406" t="str">
            <v>GUSTAVO NAGUMO</v>
          </cell>
        </row>
        <row r="407">
          <cell r="B407">
            <v>701248</v>
          </cell>
          <cell r="C407" t="str">
            <v>TANQUES DE AGUA</v>
          </cell>
          <cell r="D407">
            <v>20</v>
          </cell>
          <cell r="E407" t="str">
            <v>AGR</v>
          </cell>
          <cell r="F407" t="str">
            <v>GUSTAVO NAGUMO</v>
          </cell>
        </row>
        <row r="408">
          <cell r="B408">
            <v>701250</v>
          </cell>
          <cell r="C408" t="str">
            <v>TERRACEADORES</v>
          </cell>
          <cell r="D408">
            <v>20</v>
          </cell>
          <cell r="E408" t="str">
            <v>AGR</v>
          </cell>
          <cell r="F408" t="str">
            <v>GUSTAVO NAGUMO</v>
          </cell>
        </row>
        <row r="409">
          <cell r="B409">
            <v>701252</v>
          </cell>
          <cell r="C409" t="str">
            <v>TOMADOR DE AMOSTRA</v>
          </cell>
          <cell r="D409">
            <v>20</v>
          </cell>
          <cell r="E409" t="str">
            <v>AGR</v>
          </cell>
          <cell r="F409" t="str">
            <v>GUSTAVO NAGUMO</v>
          </cell>
        </row>
        <row r="410">
          <cell r="B410">
            <v>701254</v>
          </cell>
          <cell r="C410" t="str">
            <v>CONJ.TRANSBORDOS (ALUGADO)</v>
          </cell>
          <cell r="D410">
            <v>20</v>
          </cell>
          <cell r="E410" t="str">
            <v>AGR</v>
          </cell>
          <cell r="F410" t="str">
            <v>GUSTAVO NAGUMO</v>
          </cell>
        </row>
        <row r="411">
          <cell r="B411">
            <v>701255</v>
          </cell>
          <cell r="C411" t="str">
            <v>CONJ. TRANSBORDO (PROPRIO)</v>
          </cell>
          <cell r="D411">
            <v>20</v>
          </cell>
          <cell r="E411" t="str">
            <v>AGR</v>
          </cell>
          <cell r="F411" t="str">
            <v>GUSTAVO NAGUMO</v>
          </cell>
        </row>
        <row r="412">
          <cell r="B412">
            <v>701299</v>
          </cell>
          <cell r="C412" t="str">
            <v>MANUTENÇÃO DE ENTRESSAFRA</v>
          </cell>
          <cell r="D412">
            <v>20</v>
          </cell>
          <cell r="E412" t="str">
            <v>AGR</v>
          </cell>
          <cell r="F412" t="str">
            <v>GUSTAVO NAGUMO</v>
          </cell>
        </row>
        <row r="413">
          <cell r="B413">
            <v>701300</v>
          </cell>
          <cell r="C413" t="str">
            <v>IMPLEMENTOS RODOVIÁRIOS</v>
          </cell>
          <cell r="D413">
            <v>20</v>
          </cell>
          <cell r="E413" t="str">
            <v>AGR</v>
          </cell>
          <cell r="F413" t="str">
            <v>GUSTAVO NAGUMO</v>
          </cell>
        </row>
        <row r="414">
          <cell r="B414">
            <v>701301</v>
          </cell>
          <cell r="C414" t="str">
            <v>SEMI-REBOQUE CANAVIEIRO</v>
          </cell>
          <cell r="D414">
            <v>20</v>
          </cell>
          <cell r="E414" t="str">
            <v>AGR</v>
          </cell>
          <cell r="F414" t="str">
            <v>GUSTAVO NAGUMO</v>
          </cell>
        </row>
        <row r="415">
          <cell r="B415">
            <v>701302</v>
          </cell>
          <cell r="C415" t="str">
            <v>SEMI-REBOQUE PRANCHA</v>
          </cell>
          <cell r="D415">
            <v>20</v>
          </cell>
          <cell r="E415" t="str">
            <v>AGR</v>
          </cell>
          <cell r="F415" t="str">
            <v>GUSTAVO NAGUMO</v>
          </cell>
        </row>
        <row r="416">
          <cell r="B416">
            <v>701303</v>
          </cell>
          <cell r="C416" t="str">
            <v>SEMI-REBOQUE TANQUE VINHAÇA</v>
          </cell>
          <cell r="D416">
            <v>20</v>
          </cell>
          <cell r="E416" t="str">
            <v>AGR</v>
          </cell>
          <cell r="F416" t="str">
            <v>GUSTAVO NAGUMO</v>
          </cell>
        </row>
        <row r="417">
          <cell r="B417">
            <v>701399</v>
          </cell>
          <cell r="C417" t="str">
            <v>MANUTENÇÃO DE ENTRESSAFRA</v>
          </cell>
          <cell r="D417">
            <v>20</v>
          </cell>
          <cell r="E417" t="str">
            <v>AGR</v>
          </cell>
          <cell r="F417" t="str">
            <v>GUSTAVO NAGUMO</v>
          </cell>
        </row>
        <row r="418">
          <cell r="B418">
            <v>702021</v>
          </cell>
          <cell r="C418" t="str">
            <v>AP21 TR AG 176-200 HP 4WD</v>
          </cell>
          <cell r="D418">
            <v>20</v>
          </cell>
          <cell r="E418" t="str">
            <v>Agr</v>
          </cell>
          <cell r="F418" t="str">
            <v>GUSTAVO NAGUMO</v>
          </cell>
        </row>
        <row r="419">
          <cell r="B419">
            <v>702034</v>
          </cell>
          <cell r="C419" t="str">
            <v>AP34 TR AG &gt; 300 HP 4WD</v>
          </cell>
          <cell r="D419">
            <v>20</v>
          </cell>
          <cell r="E419" t="str">
            <v>Agr</v>
          </cell>
          <cell r="F419" t="str">
            <v>GUSTAVO NAGUMO</v>
          </cell>
        </row>
        <row r="420">
          <cell r="B420">
            <v>702035</v>
          </cell>
          <cell r="C420" t="str">
            <v>BP01 COLHEDORA ESTEIRA</v>
          </cell>
          <cell r="D420">
            <v>20</v>
          </cell>
          <cell r="E420" t="str">
            <v>Agr</v>
          </cell>
          <cell r="F420" t="str">
            <v>GUSTAVO NAGUMO</v>
          </cell>
        </row>
        <row r="421">
          <cell r="B421">
            <v>702044</v>
          </cell>
          <cell r="C421" t="str">
            <v>DP04 MT DIESEL &gt; 150 HP</v>
          </cell>
          <cell r="D421">
            <v>20</v>
          </cell>
          <cell r="E421" t="str">
            <v>Agr</v>
          </cell>
          <cell r="F421" t="str">
            <v>GUSTAVO NAGUMO</v>
          </cell>
        </row>
        <row r="422">
          <cell r="B422">
            <v>702053</v>
          </cell>
          <cell r="C422" t="str">
            <v>DP13 CONJUNTO IRRIGAÇÃO</v>
          </cell>
          <cell r="D422">
            <v>20</v>
          </cell>
          <cell r="E422" t="str">
            <v>Agr</v>
          </cell>
          <cell r="F422" t="str">
            <v>GUSTAVO NAGUMO</v>
          </cell>
        </row>
        <row r="423">
          <cell r="B423">
            <v>702063</v>
          </cell>
          <cell r="C423" t="str">
            <v>EP10CAMINHÃO BOMBEIRO 4X6</v>
          </cell>
          <cell r="D423">
            <v>20</v>
          </cell>
          <cell r="E423" t="str">
            <v>Agr</v>
          </cell>
          <cell r="F423" t="str">
            <v>GUSTAVO NAGUMO</v>
          </cell>
        </row>
        <row r="424">
          <cell r="B424">
            <v>702065</v>
          </cell>
          <cell r="C424" t="str">
            <v>EP12 CAMINHÃO COMBOIO</v>
          </cell>
          <cell r="D424">
            <v>20</v>
          </cell>
          <cell r="E424" t="str">
            <v>Agr</v>
          </cell>
          <cell r="F424" t="str">
            <v>GUSTAVO NAGUMO</v>
          </cell>
        </row>
        <row r="425">
          <cell r="B425">
            <v>702067</v>
          </cell>
          <cell r="C425" t="str">
            <v>EP14 CAMINHÃO BORRACHARIA</v>
          </cell>
          <cell r="D425">
            <v>20</v>
          </cell>
          <cell r="E425" t="str">
            <v>Agr</v>
          </cell>
          <cell r="F425" t="str">
            <v>GUSTAVO NAGUMO</v>
          </cell>
        </row>
        <row r="426">
          <cell r="B426">
            <v>702068</v>
          </cell>
          <cell r="C426" t="str">
            <v>EP15 CAMINHÃO OFICINA</v>
          </cell>
          <cell r="D426">
            <v>20</v>
          </cell>
          <cell r="E426" t="str">
            <v>Agr</v>
          </cell>
          <cell r="F426" t="str">
            <v>GUSTAVO NAGUMO</v>
          </cell>
        </row>
        <row r="427">
          <cell r="B427">
            <v>702070</v>
          </cell>
          <cell r="C427" t="str">
            <v>FP02 CB CANA 91K-135K KG</v>
          </cell>
          <cell r="D427">
            <v>20</v>
          </cell>
          <cell r="E427" t="str">
            <v>Agr</v>
          </cell>
          <cell r="F427" t="str">
            <v>GUSTAVO NAGUMO</v>
          </cell>
        </row>
        <row r="428">
          <cell r="B428">
            <v>702079</v>
          </cell>
          <cell r="C428" t="str">
            <v>GP05 SEMI-REBOQUE PRANCHA</v>
          </cell>
          <cell r="D428">
            <v>20</v>
          </cell>
          <cell r="E428" t="str">
            <v>Agr</v>
          </cell>
          <cell r="F428" t="str">
            <v>GUSTAVO NAGUMO</v>
          </cell>
        </row>
        <row r="429">
          <cell r="B429">
            <v>702086</v>
          </cell>
          <cell r="C429" t="str">
            <v>GP12 CARRETA EQUIPTO IRRIGAÇÃO</v>
          </cell>
          <cell r="D429">
            <v>20</v>
          </cell>
          <cell r="E429" t="str">
            <v>Agr</v>
          </cell>
          <cell r="F429" t="str">
            <v>GUSTAVO NAGUMO</v>
          </cell>
        </row>
        <row r="430">
          <cell r="B430">
            <v>702092</v>
          </cell>
          <cell r="C430" t="str">
            <v>GP18 TANQUE &gt; 11.350 LTS</v>
          </cell>
          <cell r="D430">
            <v>20</v>
          </cell>
          <cell r="E430" t="str">
            <v>Agr</v>
          </cell>
          <cell r="F430" t="str">
            <v>GUSTAVO NAGUMO</v>
          </cell>
        </row>
        <row r="431">
          <cell r="B431">
            <v>702095</v>
          </cell>
          <cell r="C431" t="str">
            <v>HP 02 CARRETA DE CANA MEC</v>
          </cell>
          <cell r="D431">
            <v>20</v>
          </cell>
          <cell r="E431" t="str">
            <v>Agr</v>
          </cell>
          <cell r="F431" t="str">
            <v>GUSTAVO NAGUMO</v>
          </cell>
        </row>
        <row r="432">
          <cell r="B432">
            <v>702096</v>
          </cell>
          <cell r="C432" t="str">
            <v>HP 03 CARRETA TRANSBORDO</v>
          </cell>
          <cell r="D432">
            <v>20</v>
          </cell>
          <cell r="E432" t="str">
            <v>Agr</v>
          </cell>
          <cell r="F432" t="str">
            <v>GUSTAVO NAGUMO</v>
          </cell>
        </row>
        <row r="433">
          <cell r="B433">
            <v>702098</v>
          </cell>
          <cell r="C433" t="str">
            <v>HP05 DOLLY</v>
          </cell>
          <cell r="D433">
            <v>20</v>
          </cell>
          <cell r="E433" t="str">
            <v>Agr</v>
          </cell>
          <cell r="F433" t="str">
            <v>GUSTAVO NAGUMO</v>
          </cell>
        </row>
        <row r="434">
          <cell r="B434">
            <v>702117</v>
          </cell>
          <cell r="C434" t="str">
            <v>KP18 MICRO ONIBUS 4 CILINDROS</v>
          </cell>
          <cell r="D434">
            <v>20</v>
          </cell>
          <cell r="E434" t="str">
            <v>Agr</v>
          </cell>
          <cell r="F434" t="str">
            <v>GUSTAVO NAGUMO</v>
          </cell>
        </row>
        <row r="435">
          <cell r="B435">
            <v>702118</v>
          </cell>
          <cell r="C435" t="str">
            <v>KP19 VEÍC COMBUS FLEX</v>
          </cell>
          <cell r="D435">
            <v>20</v>
          </cell>
          <cell r="E435" t="str">
            <v>Agr</v>
          </cell>
          <cell r="F435" t="str">
            <v>GUSTAVO NAGUMO</v>
          </cell>
        </row>
        <row r="436">
          <cell r="B436">
            <v>702119</v>
          </cell>
          <cell r="C436" t="str">
            <v>KP20 PU 4 CIL FLEX 4WD</v>
          </cell>
          <cell r="D436">
            <v>20</v>
          </cell>
          <cell r="E436" t="str">
            <v>Agr</v>
          </cell>
          <cell r="F436" t="str">
            <v>GUSTAVO NAGUMO</v>
          </cell>
        </row>
        <row r="437">
          <cell r="B437">
            <v>702120</v>
          </cell>
          <cell r="C437" t="str">
            <v>KP21 SUV 6 CIL FLEX 4WD</v>
          </cell>
          <cell r="D437">
            <v>20</v>
          </cell>
          <cell r="E437" t="str">
            <v>Agr</v>
          </cell>
          <cell r="F437" t="str">
            <v>GUSTAVO NAGUMO</v>
          </cell>
        </row>
        <row r="438">
          <cell r="B438">
            <v>702151</v>
          </cell>
          <cell r="C438" t="str">
            <v>MP04 MOTOSERRA</v>
          </cell>
          <cell r="D438">
            <v>20</v>
          </cell>
          <cell r="E438" t="str">
            <v>Agr</v>
          </cell>
          <cell r="F438" t="str">
            <v>GUSTAVO NAGUMO</v>
          </cell>
        </row>
        <row r="439">
          <cell r="B439">
            <v>702164</v>
          </cell>
          <cell r="C439" t="str">
            <v>NP05 CULTIVADOR GRAN</v>
          </cell>
          <cell r="D439">
            <v>20</v>
          </cell>
          <cell r="E439" t="str">
            <v>Agr</v>
          </cell>
          <cell r="F439" t="str">
            <v>GUSTAVO NAGUMO</v>
          </cell>
        </row>
        <row r="440">
          <cell r="B440">
            <v>702170</v>
          </cell>
          <cell r="C440" t="str">
            <v>NP11 ARADO</v>
          </cell>
          <cell r="D440">
            <v>20</v>
          </cell>
          <cell r="E440" t="str">
            <v>Agr</v>
          </cell>
          <cell r="F440" t="str">
            <v>GUSTAVO NAGUMO</v>
          </cell>
        </row>
        <row r="441">
          <cell r="B441">
            <v>702171</v>
          </cell>
          <cell r="C441" t="str">
            <v>NP12 SUBSOLADOR</v>
          </cell>
          <cell r="D441">
            <v>20</v>
          </cell>
          <cell r="E441" t="str">
            <v>Agr</v>
          </cell>
          <cell r="F441" t="str">
            <v>GUSTAVO NAGUMO</v>
          </cell>
        </row>
        <row r="442">
          <cell r="B442">
            <v>702172</v>
          </cell>
          <cell r="C442" t="str">
            <v>NP13 GRADES MÉDIA E PESADA</v>
          </cell>
          <cell r="D442">
            <v>20</v>
          </cell>
          <cell r="E442" t="str">
            <v>Agr</v>
          </cell>
          <cell r="F442" t="str">
            <v>GUSTAVO NAGUMO</v>
          </cell>
        </row>
        <row r="443">
          <cell r="B443">
            <v>702178</v>
          </cell>
          <cell r="C443" t="str">
            <v>NP19 GRADES LEVES</v>
          </cell>
          <cell r="D443">
            <v>20</v>
          </cell>
          <cell r="E443" t="str">
            <v>Agr</v>
          </cell>
          <cell r="F443" t="str">
            <v>GUSTAVO NAGUMO</v>
          </cell>
        </row>
        <row r="444">
          <cell r="B444">
            <v>702179</v>
          </cell>
          <cell r="C444" t="str">
            <v>NP20 COBRIDOR CANA</v>
          </cell>
          <cell r="D444">
            <v>20</v>
          </cell>
          <cell r="E444" t="str">
            <v>Agr</v>
          </cell>
          <cell r="F444" t="str">
            <v>GUSTAVO NAGUMO</v>
          </cell>
        </row>
        <row r="445">
          <cell r="B445">
            <v>702180</v>
          </cell>
          <cell r="C445" t="str">
            <v>NP21 DISTRIBUIDORA DE CANA</v>
          </cell>
          <cell r="D445">
            <v>20</v>
          </cell>
          <cell r="E445" t="str">
            <v>Agr</v>
          </cell>
          <cell r="F445" t="str">
            <v>GUSTAVO NAGUMO</v>
          </cell>
        </row>
        <row r="446">
          <cell r="B446">
            <v>703006</v>
          </cell>
          <cell r="C446" t="str">
            <v>AR06 TR AG 51-75 HP 4WD</v>
          </cell>
          <cell r="D446">
            <v>20</v>
          </cell>
          <cell r="E446" t="str">
            <v>Agr</v>
          </cell>
          <cell r="F446" t="str">
            <v>GUSTAVO NAGUMO</v>
          </cell>
        </row>
        <row r="447">
          <cell r="B447">
            <v>703015</v>
          </cell>
          <cell r="C447" t="str">
            <v>AR15 TR MI 126-150 HP 4WD</v>
          </cell>
          <cell r="D447">
            <v>20</v>
          </cell>
          <cell r="E447" t="str">
            <v>Agr</v>
          </cell>
          <cell r="F447" t="str">
            <v>GUSTAVO NAGUMO</v>
          </cell>
        </row>
        <row r="448">
          <cell r="B448">
            <v>703019</v>
          </cell>
          <cell r="C448" t="str">
            <v>AR19 TR MI 151-175 HP 4WD</v>
          </cell>
          <cell r="D448">
            <v>20</v>
          </cell>
          <cell r="E448" t="str">
            <v>Agr</v>
          </cell>
          <cell r="F448" t="str">
            <v>GUSTAVO NAGUMO</v>
          </cell>
        </row>
        <row r="449">
          <cell r="B449">
            <v>703022</v>
          </cell>
          <cell r="C449" t="str">
            <v>AR22 TR MI 176-200 HP 4WD</v>
          </cell>
          <cell r="D449">
            <v>20</v>
          </cell>
          <cell r="E449" t="str">
            <v>Agr</v>
          </cell>
          <cell r="F449" t="str">
            <v>GUSTAVO NAGUMO</v>
          </cell>
        </row>
        <row r="450">
          <cell r="B450">
            <v>703024</v>
          </cell>
          <cell r="C450" t="str">
            <v>AR24 TR AG 201-225 HP 4WD</v>
          </cell>
          <cell r="D450">
            <v>20</v>
          </cell>
          <cell r="E450" t="str">
            <v>Agr</v>
          </cell>
          <cell r="F450" t="str">
            <v>GUSTAVO NAGUMO</v>
          </cell>
        </row>
        <row r="451">
          <cell r="B451">
            <v>703035</v>
          </cell>
          <cell r="C451" t="str">
            <v>BR01 COLHEDORA ESTEIRA</v>
          </cell>
          <cell r="D451">
            <v>20</v>
          </cell>
          <cell r="E451" t="str">
            <v>Agr</v>
          </cell>
          <cell r="F451" t="str">
            <v>GUSTAVO NAGUMO</v>
          </cell>
        </row>
        <row r="452">
          <cell r="B452">
            <v>703063</v>
          </cell>
          <cell r="C452" t="str">
            <v>ER10 CAMINHÃO BOMBEIRO 4X6</v>
          </cell>
          <cell r="D452">
            <v>20</v>
          </cell>
          <cell r="E452" t="str">
            <v>Agr</v>
          </cell>
          <cell r="F452" t="str">
            <v>GUSTAVO NAGUMO</v>
          </cell>
        </row>
        <row r="453">
          <cell r="B453">
            <v>703065</v>
          </cell>
          <cell r="C453" t="str">
            <v>ER12 CAMINHÃO COMBOIO</v>
          </cell>
          <cell r="D453">
            <v>20</v>
          </cell>
          <cell r="E453" t="str">
            <v>Agr</v>
          </cell>
          <cell r="F453" t="str">
            <v>GUSTAVO NAGUMO</v>
          </cell>
        </row>
        <row r="454">
          <cell r="B454">
            <v>703068</v>
          </cell>
          <cell r="C454" t="str">
            <v>ER15 CAMINHÃO OFICINA</v>
          </cell>
          <cell r="D454">
            <v>20</v>
          </cell>
          <cell r="E454" t="str">
            <v>Agr</v>
          </cell>
          <cell r="F454" t="str">
            <v>GUSTAVO NAGUMO</v>
          </cell>
        </row>
        <row r="455">
          <cell r="B455">
            <v>703096</v>
          </cell>
          <cell r="C455" t="str">
            <v>HR 03 CARRETA TRANSBORDO</v>
          </cell>
          <cell r="D455">
            <v>20</v>
          </cell>
          <cell r="E455" t="str">
            <v>Agr</v>
          </cell>
          <cell r="F455" t="str">
            <v>GUSTAVO NAGUMO</v>
          </cell>
        </row>
        <row r="456">
          <cell r="B456">
            <v>703126</v>
          </cell>
          <cell r="C456" t="str">
            <v>LR06 GRUA 11K-20K KG</v>
          </cell>
          <cell r="D456">
            <v>20</v>
          </cell>
          <cell r="E456" t="str">
            <v>Agr</v>
          </cell>
          <cell r="F456" t="str">
            <v>GUSTAVO NAGUMO</v>
          </cell>
        </row>
        <row r="457">
          <cell r="B457">
            <v>709900</v>
          </cell>
          <cell r="C457" t="str">
            <v>EQUIPAMENTOS DIVERSOS</v>
          </cell>
          <cell r="D457">
            <v>20</v>
          </cell>
          <cell r="E457" t="str">
            <v>AGR</v>
          </cell>
          <cell r="F457" t="str">
            <v>GUSTAVO NAGUMO</v>
          </cell>
        </row>
        <row r="458">
          <cell r="B458">
            <v>709902</v>
          </cell>
          <cell r="C458" t="str">
            <v xml:space="preserve">EQUIPAMENTOS DIVERSOS </v>
          </cell>
          <cell r="D458">
            <v>20</v>
          </cell>
          <cell r="E458" t="str">
            <v>AGR</v>
          </cell>
          <cell r="F458" t="str">
            <v>GUSTAVO NAGUMO</v>
          </cell>
        </row>
        <row r="459">
          <cell r="B459">
            <v>709904</v>
          </cell>
          <cell r="C459" t="str">
            <v>EQUIPAMENTOS INDUSTRIA</v>
          </cell>
          <cell r="D459">
            <v>20</v>
          </cell>
          <cell r="E459" t="str">
            <v>AGR</v>
          </cell>
          <cell r="F459" t="str">
            <v>GUSTAVO NAGUMO</v>
          </cell>
        </row>
        <row r="460">
          <cell r="B460">
            <v>709906</v>
          </cell>
          <cell r="C460" t="str">
            <v>EQUIPAMENTOS TRANSPORTE DE ALCOOL</v>
          </cell>
          <cell r="D460">
            <v>20</v>
          </cell>
          <cell r="E460" t="str">
            <v>AGR</v>
          </cell>
          <cell r="F460" t="str">
            <v>GUSTAVO NAGUMO</v>
          </cell>
        </row>
        <row r="461">
          <cell r="B461">
            <v>709908</v>
          </cell>
          <cell r="C461" t="str">
            <v>EQUIPAMENTOS DOAÇÃO</v>
          </cell>
          <cell r="D461">
            <v>20</v>
          </cell>
          <cell r="E461" t="str">
            <v>AGR</v>
          </cell>
          <cell r="F461" t="str">
            <v>GUSTAVO NAGUMO</v>
          </cell>
        </row>
        <row r="462">
          <cell r="B462">
            <v>709910</v>
          </cell>
          <cell r="C462" t="str">
            <v>EQPTOS FORNECEDORES/ACIONISTAS-ALCOOL</v>
          </cell>
          <cell r="D462">
            <v>20</v>
          </cell>
          <cell r="E462" t="str">
            <v>AGR</v>
          </cell>
          <cell r="F462" t="str">
            <v>GUSTAVO NAGUMO</v>
          </cell>
        </row>
        <row r="463">
          <cell r="B463">
            <v>709912</v>
          </cell>
          <cell r="C463" t="str">
            <v>EQPTOS FORNECEDORES/ACIONISTAS-DIESEL</v>
          </cell>
          <cell r="D463">
            <v>20</v>
          </cell>
          <cell r="E463" t="str">
            <v>AGR</v>
          </cell>
          <cell r="F463" t="str">
            <v>GUSTAVO NAGUMO</v>
          </cell>
        </row>
        <row r="464">
          <cell r="B464">
            <v>709914</v>
          </cell>
          <cell r="C464" t="str">
            <v>EQUIPAMENTOS DE TERCEIROS</v>
          </cell>
          <cell r="D464">
            <v>20</v>
          </cell>
          <cell r="E464" t="str">
            <v>AGR</v>
          </cell>
          <cell r="F464" t="str">
            <v>GUSTAVO NAGUMO</v>
          </cell>
        </row>
        <row r="465">
          <cell r="B465">
            <v>709999</v>
          </cell>
          <cell r="C465" t="str">
            <v>MANUTENÇÃO DE ENTRESSAFRA</v>
          </cell>
          <cell r="D465">
            <v>20</v>
          </cell>
          <cell r="E465" t="str">
            <v>AGR</v>
          </cell>
          <cell r="F465" t="str">
            <v>GUSTAVO NAGUMO</v>
          </cell>
        </row>
        <row r="466">
          <cell r="B466">
            <v>800000</v>
          </cell>
          <cell r="C466" t="str">
            <v>OUTROS SERVIÇOS NA LAVOURA</v>
          </cell>
          <cell r="D466">
            <v>20</v>
          </cell>
          <cell r="E466" t="str">
            <v>AGR</v>
          </cell>
          <cell r="F466" t="str">
            <v>MIGUEL GARCIA</v>
          </cell>
        </row>
        <row r="467">
          <cell r="B467">
            <v>801000</v>
          </cell>
          <cell r="C467" t="str">
            <v>CULTURA DE CANA</v>
          </cell>
          <cell r="D467">
            <v>20</v>
          </cell>
          <cell r="E467" t="str">
            <v>AGR</v>
          </cell>
          <cell r="F467" t="str">
            <v>MIGUEL GARCIA</v>
          </cell>
        </row>
        <row r="468">
          <cell r="B468">
            <v>801002</v>
          </cell>
          <cell r="C468" t="str">
            <v>PREPARO DE SOLO</v>
          </cell>
          <cell r="D468">
            <v>20</v>
          </cell>
          <cell r="E468" t="str">
            <v>AGR</v>
          </cell>
          <cell r="F468" t="str">
            <v>ALEXANDRE MARINS</v>
          </cell>
        </row>
        <row r="469">
          <cell r="B469">
            <v>801004</v>
          </cell>
          <cell r="C469" t="str">
            <v>COLHEITA DE MUDA - PROPRIA</v>
          </cell>
          <cell r="D469">
            <v>20</v>
          </cell>
          <cell r="E469" t="str">
            <v>AGR</v>
          </cell>
          <cell r="F469" t="str">
            <v>MIGUEL GARCIA</v>
          </cell>
        </row>
        <row r="470">
          <cell r="B470">
            <v>801006</v>
          </cell>
          <cell r="C470" t="str">
            <v>COLHEITA DE MUDA</v>
          </cell>
          <cell r="D470">
            <v>20</v>
          </cell>
          <cell r="E470" t="str">
            <v>AGR</v>
          </cell>
          <cell r="F470" t="str">
            <v>MIGUEL GARCIA</v>
          </cell>
        </row>
        <row r="471">
          <cell r="B471">
            <v>801008</v>
          </cell>
          <cell r="C471" t="str">
            <v>PLANTIO DE CANA</v>
          </cell>
          <cell r="D471">
            <v>20</v>
          </cell>
          <cell r="E471" t="str">
            <v>AGR</v>
          </cell>
          <cell r="F471" t="str">
            <v>MIGUEL GARCIA</v>
          </cell>
        </row>
        <row r="472">
          <cell r="B472">
            <v>801010</v>
          </cell>
          <cell r="C472" t="str">
            <v>TRATOS CANA PLANTA</v>
          </cell>
          <cell r="D472">
            <v>20</v>
          </cell>
          <cell r="E472" t="str">
            <v>AGR</v>
          </cell>
          <cell r="F472" t="str">
            <v>MIGUEL GARCIA</v>
          </cell>
        </row>
        <row r="473">
          <cell r="B473">
            <v>801012</v>
          </cell>
          <cell r="C473" t="str">
            <v>TRATOS CANA SOCA</v>
          </cell>
          <cell r="D473">
            <v>20</v>
          </cell>
          <cell r="E473" t="str">
            <v>AGR</v>
          </cell>
          <cell r="F473" t="str">
            <v>MIGUEL GARCIA</v>
          </cell>
        </row>
        <row r="474">
          <cell r="B474">
            <v>801014</v>
          </cell>
          <cell r="C474" t="str">
            <v>COLHEITA MANUAL</v>
          </cell>
          <cell r="D474">
            <v>20</v>
          </cell>
          <cell r="E474" t="str">
            <v>AGR</v>
          </cell>
          <cell r="F474" t="str">
            <v>JOEL GARCIA</v>
          </cell>
        </row>
        <row r="475">
          <cell r="B475">
            <v>801016</v>
          </cell>
          <cell r="C475" t="str">
            <v>COLHEITA MECANIZADA</v>
          </cell>
          <cell r="D475">
            <v>20</v>
          </cell>
          <cell r="E475" t="str">
            <v>AGR</v>
          </cell>
          <cell r="F475" t="str">
            <v>JOEL GARCIA</v>
          </cell>
        </row>
        <row r="476">
          <cell r="B476">
            <v>801020</v>
          </cell>
          <cell r="C476" t="str">
            <v>REPLANTIO DA CANA PLANTA</v>
          </cell>
          <cell r="D476">
            <v>20</v>
          </cell>
          <cell r="E476" t="str">
            <v>AGR</v>
          </cell>
          <cell r="F476" t="str">
            <v>MIGUEL GARCIA</v>
          </cell>
        </row>
        <row r="477">
          <cell r="B477">
            <v>801022</v>
          </cell>
          <cell r="C477" t="str">
            <v>REPLANTIO DA CANA SOCA</v>
          </cell>
          <cell r="D477">
            <v>20</v>
          </cell>
          <cell r="E477" t="str">
            <v>AGR</v>
          </cell>
          <cell r="F477" t="str">
            <v>MIGUEL GARCIA</v>
          </cell>
        </row>
        <row r="478">
          <cell r="B478">
            <v>801099</v>
          </cell>
          <cell r="C478" t="str">
            <v>MANUTENÇÃO DE ENTRESSAFRA</v>
          </cell>
          <cell r="D478">
            <v>20</v>
          </cell>
          <cell r="E478" t="str">
            <v>AGR</v>
          </cell>
          <cell r="F478" t="str">
            <v>MIGUEL GARCIA</v>
          </cell>
        </row>
        <row r="479">
          <cell r="B479">
            <v>900000</v>
          </cell>
          <cell r="C479" t="str">
            <v>CENTRO DE CUSTO DE RATEIO</v>
          </cell>
          <cell r="D479">
            <v>0</v>
          </cell>
          <cell r="E479">
            <v>0</v>
          </cell>
          <cell r="F479" t="str">
            <v>WILLIAN KLINGER</v>
          </cell>
        </row>
        <row r="480">
          <cell r="B480">
            <v>900100</v>
          </cell>
          <cell r="C480" t="str">
            <v>CENTRO DE CUSTO PARA RATEIO</v>
          </cell>
          <cell r="D480">
            <v>0</v>
          </cell>
          <cell r="E480">
            <v>0</v>
          </cell>
          <cell r="F480" t="str">
            <v>WILLIAN KLINGER</v>
          </cell>
        </row>
        <row r="481">
          <cell r="B481">
            <v>900102</v>
          </cell>
          <cell r="C481" t="str">
            <v>CENTRO DE CUSTO PARA RATEIO</v>
          </cell>
          <cell r="D481">
            <v>0</v>
          </cell>
          <cell r="E481">
            <v>0</v>
          </cell>
          <cell r="F481" t="str">
            <v>WILLIAN KLINGER</v>
          </cell>
        </row>
        <row r="482">
          <cell r="B482">
            <v>900104</v>
          </cell>
          <cell r="C482" t="str">
            <v>IMPLANTAÇÃO DE SALDO</v>
          </cell>
          <cell r="D482">
            <v>0</v>
          </cell>
          <cell r="E482">
            <v>0</v>
          </cell>
          <cell r="F482" t="str">
            <v>WILLIAN KLINGER</v>
          </cell>
        </row>
        <row r="483">
          <cell r="B483">
            <v>900199</v>
          </cell>
          <cell r="C483" t="str">
            <v>ABSORÇÃO CUSTOS NÃO UTILIZADOS ORÇAMENTO</v>
          </cell>
          <cell r="D483">
            <v>0</v>
          </cell>
          <cell r="E483">
            <v>0</v>
          </cell>
          <cell r="F483" t="str">
            <v>WILLIAN KLINGER</v>
          </cell>
        </row>
        <row r="484">
          <cell r="B484">
            <v>950000</v>
          </cell>
          <cell r="C484" t="str">
            <v>INVESTIMENTOS</v>
          </cell>
          <cell r="D484">
            <v>0</v>
          </cell>
          <cell r="E484">
            <v>0</v>
          </cell>
          <cell r="F484">
            <v>0</v>
          </cell>
        </row>
        <row r="485">
          <cell r="B485">
            <v>950100</v>
          </cell>
          <cell r="C485" t="str">
            <v>OBRAS EM ANDAMENTO</v>
          </cell>
          <cell r="D485">
            <v>0</v>
          </cell>
          <cell r="E485">
            <v>0</v>
          </cell>
          <cell r="F485" t="str">
            <v/>
          </cell>
        </row>
        <row r="486">
          <cell r="B486">
            <v>950101</v>
          </cell>
          <cell r="C486" t="str">
            <v>INVESTIMENTO FABRICA ACUCAR</v>
          </cell>
          <cell r="D486">
            <v>0</v>
          </cell>
          <cell r="E486">
            <v>0</v>
          </cell>
          <cell r="F486" t="str">
            <v/>
          </cell>
        </row>
        <row r="487">
          <cell r="B487">
            <v>950102</v>
          </cell>
          <cell r="C487" t="str">
            <v>REFORMA MOENDA 2012</v>
          </cell>
          <cell r="D487">
            <v>0</v>
          </cell>
          <cell r="E487">
            <v>0</v>
          </cell>
          <cell r="F487" t="str">
            <v/>
          </cell>
        </row>
      </sheetData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 de custo"/>
      <sheetName val="Usuario orçamentario"/>
      <sheetName val="CC Atual "/>
      <sheetName val="CC Atual Ind"/>
      <sheetName val="CC Atual Agr"/>
      <sheetName val="Vlr 2012x2013"/>
      <sheetName val="CC Datasul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CC</v>
          </cell>
          <cell r="C2" t="str">
            <v>Desc CC</v>
          </cell>
        </row>
        <row r="3">
          <cell r="B3">
            <v>100102</v>
          </cell>
          <cell r="C3" t="str">
            <v>CONSELHEIRO ADMINISTRATIVO/FISCAL</v>
          </cell>
        </row>
        <row r="4">
          <cell r="B4">
            <v>100202</v>
          </cell>
          <cell r="C4" t="str">
            <v>DIRETOR PRESIDENTE</v>
          </cell>
        </row>
        <row r="5">
          <cell r="B5">
            <v>100302</v>
          </cell>
          <cell r="C5" t="str">
            <v>SUP.CONTROLADORIA E GESTAO</v>
          </cell>
        </row>
        <row r="6">
          <cell r="B6">
            <v>200102</v>
          </cell>
          <cell r="C6" t="str">
            <v>ADMINISTRACAO CORPORATIVA</v>
          </cell>
        </row>
        <row r="7">
          <cell r="B7">
            <v>200202</v>
          </cell>
          <cell r="C7" t="str">
            <v>CONTABILIDADE PATRIMONIAL</v>
          </cell>
        </row>
        <row r="8">
          <cell r="B8">
            <v>200302</v>
          </cell>
          <cell r="C8" t="str">
            <v>Fiscal</v>
          </cell>
        </row>
        <row r="9">
          <cell r="B9">
            <v>200402</v>
          </cell>
          <cell r="C9" t="str">
            <v>ADMINISTRAÇÃO DE RECURSOS HUMANOS</v>
          </cell>
        </row>
        <row r="10">
          <cell r="B10">
            <v>200410</v>
          </cell>
          <cell r="C10" t="str">
            <v>ASSISTÊNCIA SOCIAL</v>
          </cell>
        </row>
        <row r="11">
          <cell r="B11">
            <v>200602</v>
          </cell>
          <cell r="C11" t="str">
            <v>CUSTO E ORÇAMENTO</v>
          </cell>
        </row>
        <row r="12">
          <cell r="B12">
            <v>200702</v>
          </cell>
          <cell r="C12" t="str">
            <v>Contratos</v>
          </cell>
        </row>
        <row r="13">
          <cell r="B13">
            <v>200802</v>
          </cell>
          <cell r="C13" t="str">
            <v>TECNOLOGIA DA INFORMAÇÃO</v>
          </cell>
        </row>
        <row r="14">
          <cell r="B14">
            <v>201002</v>
          </cell>
          <cell r="C14" t="str">
            <v>COMPRAS</v>
          </cell>
        </row>
        <row r="15">
          <cell r="B15">
            <v>201202</v>
          </cell>
          <cell r="C15" t="str">
            <v>COMERCIAL</v>
          </cell>
        </row>
        <row r="16">
          <cell r="B16">
            <v>201204</v>
          </cell>
          <cell r="C16" t="str">
            <v>COMERCIALIZAÇÃO</v>
          </cell>
        </row>
        <row r="17">
          <cell r="B17">
            <v>201402</v>
          </cell>
          <cell r="C17" t="str">
            <v>GERENCIA FINANCEIRA</v>
          </cell>
        </row>
        <row r="18">
          <cell r="B18">
            <v>201404</v>
          </cell>
          <cell r="C18" t="str">
            <v>TESOURARIA</v>
          </cell>
        </row>
        <row r="19">
          <cell r="B19">
            <v>201602</v>
          </cell>
          <cell r="C19" t="str">
            <v>JURÍDICO</v>
          </cell>
        </row>
        <row r="20">
          <cell r="B20">
            <v>201604</v>
          </cell>
          <cell r="C20" t="str">
            <v>CONSULTORIA JURÍDICA EXTERNA</v>
          </cell>
        </row>
        <row r="21">
          <cell r="B21">
            <v>201802</v>
          </cell>
          <cell r="C21" t="str">
            <v>CONTROLE INTERNO</v>
          </cell>
        </row>
        <row r="22">
          <cell r="B22">
            <v>202002</v>
          </cell>
          <cell r="C22" t="str">
            <v>MEIO AMBIENTE</v>
          </cell>
        </row>
        <row r="23">
          <cell r="B23">
            <v>300206</v>
          </cell>
          <cell r="C23" t="str">
            <v>FATURAMENTO</v>
          </cell>
        </row>
        <row r="24">
          <cell r="B24">
            <v>300208</v>
          </cell>
          <cell r="C24" t="str">
            <v>RECEBIMENTO</v>
          </cell>
        </row>
        <row r="25">
          <cell r="B25">
            <v>300210</v>
          </cell>
          <cell r="C25" t="str">
            <v>BALANÇA ENTRADA CANA</v>
          </cell>
        </row>
        <row r="26">
          <cell r="B26">
            <v>300404</v>
          </cell>
          <cell r="C26" t="str">
            <v>ADMINISTRACAO DE PESSOAL</v>
          </cell>
        </row>
        <row r="27">
          <cell r="B27">
            <v>300410</v>
          </cell>
          <cell r="C27" t="str">
            <v>MEDICINA DO TRABALHO</v>
          </cell>
        </row>
        <row r="28">
          <cell r="B28">
            <v>300412</v>
          </cell>
          <cell r="C28" t="str">
            <v>SEGURANCA DO TRABALHO</v>
          </cell>
        </row>
        <row r="29">
          <cell r="B29">
            <v>300414</v>
          </cell>
          <cell r="C29" t="str">
            <v>SEGURANCA PATRIMONIAL</v>
          </cell>
        </row>
        <row r="30">
          <cell r="B30">
            <v>300416</v>
          </cell>
          <cell r="C30" t="str">
            <v>RESTAURANTE</v>
          </cell>
        </row>
        <row r="31">
          <cell r="B31">
            <v>300420</v>
          </cell>
          <cell r="C31" t="str">
            <v>RECEPCAO, COPA E COZINHA</v>
          </cell>
        </row>
        <row r="32">
          <cell r="B32">
            <v>300602</v>
          </cell>
          <cell r="C32" t="str">
            <v>ADMINISTRAÇÃO GERAL</v>
          </cell>
        </row>
        <row r="33">
          <cell r="B33">
            <v>300604</v>
          </cell>
          <cell r="C33" t="str">
            <v>Gerência Geral</v>
          </cell>
        </row>
        <row r="34">
          <cell r="B34">
            <v>300606</v>
          </cell>
          <cell r="C34" t="str">
            <v>Ger.Administracao de Risco e Auditoria</v>
          </cell>
        </row>
        <row r="35">
          <cell r="B35">
            <v>300802</v>
          </cell>
          <cell r="C35" t="str">
            <v>TECNOLOGIA DA INFORMAÇÃO</v>
          </cell>
        </row>
        <row r="36">
          <cell r="B36">
            <v>301004</v>
          </cell>
          <cell r="C36" t="str">
            <v>Almoxarifado Industrial</v>
          </cell>
        </row>
        <row r="37">
          <cell r="B37">
            <v>301006</v>
          </cell>
          <cell r="C37" t="str">
            <v>POSTO ABASTECIMENTO</v>
          </cell>
        </row>
        <row r="38">
          <cell r="B38">
            <v>301202</v>
          </cell>
          <cell r="C38" t="str">
            <v>ARMAZENAGEM DE ALCOOL</v>
          </cell>
        </row>
        <row r="39">
          <cell r="B39">
            <v>301206</v>
          </cell>
          <cell r="C39" t="str">
            <v>CARREGAMENTO</v>
          </cell>
        </row>
        <row r="40">
          <cell r="B40">
            <v>400101</v>
          </cell>
          <cell r="C40" t="str">
            <v>Gerência Industrial Corporativa</v>
          </cell>
        </row>
        <row r="41">
          <cell r="B41">
            <v>400102</v>
          </cell>
          <cell r="C41" t="str">
            <v>GERÊNCIA INDUSTRIAL</v>
          </cell>
        </row>
        <row r="42">
          <cell r="B42">
            <v>400199</v>
          </cell>
          <cell r="C42" t="str">
            <v>Manutenção de Entressafra</v>
          </cell>
        </row>
        <row r="43">
          <cell r="B43">
            <v>400202</v>
          </cell>
          <cell r="C43" t="str">
            <v>APOIO TÉCNICO INDUSTRIAL</v>
          </cell>
        </row>
        <row r="44">
          <cell r="B44">
            <v>400402</v>
          </cell>
          <cell r="C44" t="str">
            <v>LABORATORIO PCTS</v>
          </cell>
        </row>
        <row r="45">
          <cell r="B45">
            <v>400404</v>
          </cell>
          <cell r="C45" t="str">
            <v>LABORATORIO INDUSTRIAL</v>
          </cell>
        </row>
        <row r="46">
          <cell r="B46">
            <v>400406</v>
          </cell>
          <cell r="C46" t="str">
            <v>LABORATORIO MICRO-BIOLOGIA</v>
          </cell>
        </row>
        <row r="47">
          <cell r="B47">
            <v>401002</v>
          </cell>
          <cell r="C47" t="str">
            <v>BARRACAO / LIMPEZA</v>
          </cell>
        </row>
        <row r="48">
          <cell r="B48">
            <v>401004</v>
          </cell>
          <cell r="C48" t="str">
            <v>ALIMENTACAO E PREPARO</v>
          </cell>
        </row>
        <row r="49">
          <cell r="B49">
            <v>401006</v>
          </cell>
          <cell r="C49" t="str">
            <v>MOAGEM CANA</v>
          </cell>
        </row>
        <row r="50">
          <cell r="B50">
            <v>401008</v>
          </cell>
          <cell r="C50" t="str">
            <v>DIFUSOR</v>
          </cell>
        </row>
        <row r="51">
          <cell r="B51">
            <v>401010</v>
          </cell>
          <cell r="C51" t="str">
            <v>DESAGUADOR</v>
          </cell>
        </row>
        <row r="52">
          <cell r="B52">
            <v>401012</v>
          </cell>
          <cell r="C52" t="str">
            <v>Secagem de Bagaço</v>
          </cell>
        </row>
        <row r="53">
          <cell r="B53">
            <v>401099</v>
          </cell>
          <cell r="C53" t="str">
            <v>Manutenção de Entressafra</v>
          </cell>
        </row>
        <row r="54">
          <cell r="B54">
            <v>401402</v>
          </cell>
          <cell r="C54" t="str">
            <v>AQUECIMENTO/TROCADOR CALOR ALCOOL</v>
          </cell>
        </row>
        <row r="55">
          <cell r="B55">
            <v>401404</v>
          </cell>
          <cell r="C55" t="str">
            <v>DECANTACAO DO ALCOOL</v>
          </cell>
        </row>
        <row r="56">
          <cell r="B56">
            <v>401406</v>
          </cell>
          <cell r="C56" t="str">
            <v>PRE-EVAPORACAO DO ALCOOL</v>
          </cell>
        </row>
        <row r="57">
          <cell r="B57">
            <v>401410</v>
          </cell>
          <cell r="C57" t="str">
            <v>CALEACAO</v>
          </cell>
        </row>
        <row r="58">
          <cell r="B58">
            <v>401414</v>
          </cell>
          <cell r="C58" t="str">
            <v>DECANTACAO DO ACUCAR</v>
          </cell>
        </row>
        <row r="59">
          <cell r="B59">
            <v>401416</v>
          </cell>
          <cell r="C59" t="str">
            <v>FILTRACAO DO LODO DO ACUCAR</v>
          </cell>
        </row>
        <row r="60">
          <cell r="B60">
            <v>401418</v>
          </cell>
          <cell r="C60" t="str">
            <v>PRE-EVAPORACAO DO ACUCAR</v>
          </cell>
        </row>
        <row r="61">
          <cell r="B61">
            <v>401420</v>
          </cell>
          <cell r="C61" t="str">
            <v>FILTRACAO DO LODO DO ALCOOL</v>
          </cell>
        </row>
        <row r="62">
          <cell r="B62">
            <v>401499</v>
          </cell>
          <cell r="C62" t="str">
            <v>Manutenção de Entressafra</v>
          </cell>
        </row>
        <row r="63">
          <cell r="B63">
            <v>402002</v>
          </cell>
          <cell r="C63" t="str">
            <v>PRE-FERMENTACAO</v>
          </cell>
        </row>
        <row r="64">
          <cell r="B64">
            <v>402004</v>
          </cell>
          <cell r="C64" t="str">
            <v>FERMENTACAO</v>
          </cell>
        </row>
        <row r="65">
          <cell r="B65">
            <v>402006</v>
          </cell>
          <cell r="C65" t="str">
            <v>DESTILACAO HIDRATADO</v>
          </cell>
        </row>
        <row r="66">
          <cell r="B66">
            <v>402008</v>
          </cell>
          <cell r="C66" t="str">
            <v>DESTILACAO ANIDRO</v>
          </cell>
        </row>
        <row r="67">
          <cell r="B67">
            <v>402010</v>
          </cell>
          <cell r="C67" t="str">
            <v>TORRE DE RESFRIAMENTO</v>
          </cell>
        </row>
        <row r="68">
          <cell r="B68">
            <v>402012</v>
          </cell>
          <cell r="C68" t="str">
            <v>TANQUE SPRAY</v>
          </cell>
        </row>
        <row r="69">
          <cell r="B69">
            <v>402014</v>
          </cell>
          <cell r="C69" t="str">
            <v>Centrifugação</v>
          </cell>
        </row>
        <row r="70">
          <cell r="B70">
            <v>402099</v>
          </cell>
          <cell r="C70" t="str">
            <v>Manutenção de Entressafra</v>
          </cell>
        </row>
        <row r="71">
          <cell r="B71">
            <v>403002</v>
          </cell>
          <cell r="C71" t="str">
            <v>EVAPORACAO</v>
          </cell>
        </row>
        <row r="72">
          <cell r="B72">
            <v>403004</v>
          </cell>
          <cell r="C72" t="str">
            <v>COZIMENTO - MASSA A E B</v>
          </cell>
        </row>
        <row r="73">
          <cell r="B73">
            <v>403006</v>
          </cell>
          <cell r="C73" t="str">
            <v>CENTRIFUGACAO</v>
          </cell>
        </row>
        <row r="74">
          <cell r="B74">
            <v>403099</v>
          </cell>
          <cell r="C74" t="str">
            <v>Manutenção de Entressafra</v>
          </cell>
        </row>
        <row r="75">
          <cell r="B75">
            <v>405002</v>
          </cell>
          <cell r="C75" t="str">
            <v>SECAGEM LEVEDURA</v>
          </cell>
        </row>
        <row r="76">
          <cell r="B76">
            <v>407002</v>
          </cell>
          <cell r="C76" t="str">
            <v>GERACAO E DISTR.VAPOR</v>
          </cell>
        </row>
        <row r="77">
          <cell r="B77">
            <v>407004</v>
          </cell>
          <cell r="C77" t="str">
            <v>GERACAO E DISTR.AR COMPRIMIDO</v>
          </cell>
        </row>
        <row r="78">
          <cell r="B78">
            <v>407006</v>
          </cell>
          <cell r="C78" t="str">
            <v>GERACAO E DISTR.ENERGIA</v>
          </cell>
        </row>
        <row r="79">
          <cell r="B79">
            <v>407008</v>
          </cell>
          <cell r="C79" t="str">
            <v>CAPTACAO DE AGUA</v>
          </cell>
        </row>
        <row r="80">
          <cell r="B80">
            <v>407010</v>
          </cell>
          <cell r="C80" t="str">
            <v>ETA (ESTACAO DE TRATAMENTO AGUA)</v>
          </cell>
        </row>
        <row r="81">
          <cell r="B81">
            <v>407012</v>
          </cell>
          <cell r="C81" t="str">
            <v>PATIO DE BAGACO</v>
          </cell>
        </row>
        <row r="82">
          <cell r="B82">
            <v>407014</v>
          </cell>
          <cell r="C82" t="str">
            <v>HIDROLIZADOR DE BAGACO</v>
          </cell>
        </row>
        <row r="83">
          <cell r="B83">
            <v>407016</v>
          </cell>
          <cell r="C83" t="str">
            <v>ENERGIA ELETRICA ADQUIRIDA</v>
          </cell>
        </row>
        <row r="84">
          <cell r="B84">
            <v>407018</v>
          </cell>
          <cell r="C84" t="str">
            <v>ETALC -ESTA TRAT AGUA DA LAVAGEM DE CANA</v>
          </cell>
        </row>
        <row r="85">
          <cell r="B85">
            <v>407020</v>
          </cell>
          <cell r="C85" t="str">
            <v>ETE - Estação Tratamento de Esgoto</v>
          </cell>
        </row>
        <row r="86">
          <cell r="B86">
            <v>407022</v>
          </cell>
          <cell r="C86" t="str">
            <v>ETALG - Estaç.Trat.Água de Lavagem Gases</v>
          </cell>
        </row>
        <row r="87">
          <cell r="B87">
            <v>407099</v>
          </cell>
          <cell r="C87" t="str">
            <v>Manutenção de Entressafra</v>
          </cell>
        </row>
        <row r="88">
          <cell r="B88">
            <v>408002</v>
          </cell>
          <cell r="C88" t="str">
            <v>MANUTENÇÃO MECANICA</v>
          </cell>
        </row>
        <row r="89">
          <cell r="B89">
            <v>408004</v>
          </cell>
          <cell r="C89" t="str">
            <v>CALDERARIA</v>
          </cell>
        </row>
        <row r="90">
          <cell r="B90">
            <v>408006</v>
          </cell>
          <cell r="C90" t="str">
            <v>MANUTENÇÃO ELETRICA</v>
          </cell>
        </row>
        <row r="91">
          <cell r="B91">
            <v>408008</v>
          </cell>
          <cell r="C91" t="str">
            <v>INSTRUMENTAÇÃO</v>
          </cell>
        </row>
        <row r="92">
          <cell r="B92">
            <v>408010</v>
          </cell>
          <cell r="C92" t="str">
            <v>MANUTENCAO CIVIL</v>
          </cell>
        </row>
        <row r="93">
          <cell r="B93">
            <v>408012</v>
          </cell>
          <cell r="C93" t="str">
            <v>PCM (planej. e controle da manut</v>
          </cell>
        </row>
        <row r="94">
          <cell r="B94">
            <v>409002</v>
          </cell>
          <cell r="C94" t="str">
            <v>ESCOAMENTO DA VINHACA</v>
          </cell>
        </row>
        <row r="95">
          <cell r="B95">
            <v>409004</v>
          </cell>
          <cell r="C95" t="str">
            <v>SISTEMA DE BOMBEAMENTO</v>
          </cell>
        </row>
        <row r="96">
          <cell r="B96">
            <v>409099</v>
          </cell>
          <cell r="C96" t="str">
            <v>Manutenção de Entressafra</v>
          </cell>
        </row>
        <row r="97">
          <cell r="B97">
            <v>409910</v>
          </cell>
          <cell r="C97" t="str">
            <v>CUSTO DE PRODUCAO DO A.E.H.C.</v>
          </cell>
        </row>
        <row r="98">
          <cell r="B98">
            <v>500101</v>
          </cell>
          <cell r="C98" t="str">
            <v>Gerência Agrícola Corporativa</v>
          </cell>
        </row>
        <row r="99">
          <cell r="B99">
            <v>500102</v>
          </cell>
          <cell r="C99" t="str">
            <v>GERENCIA AGRICOLA</v>
          </cell>
        </row>
        <row r="100">
          <cell r="B100">
            <v>500202</v>
          </cell>
          <cell r="C100" t="str">
            <v>CONTROLE AGRICOLA</v>
          </cell>
        </row>
        <row r="101">
          <cell r="B101">
            <v>500204</v>
          </cell>
          <cell r="C101" t="str">
            <v>TECNICOS AGRICOLAS</v>
          </cell>
        </row>
        <row r="102">
          <cell r="B102">
            <v>500210</v>
          </cell>
          <cell r="C102" t="str">
            <v>Lavanderia</v>
          </cell>
        </row>
        <row r="103">
          <cell r="B103">
            <v>500310</v>
          </cell>
          <cell r="C103" t="str">
            <v>MDO RURICULAS - REGIONAIS</v>
          </cell>
        </row>
        <row r="104">
          <cell r="B104">
            <v>500314</v>
          </cell>
          <cell r="C104" t="str">
            <v>MDO RURICULAS - MIGRANTES</v>
          </cell>
        </row>
        <row r="105">
          <cell r="B105">
            <v>500502</v>
          </cell>
          <cell r="C105" t="str">
            <v>OFICINA MECANICA</v>
          </cell>
        </row>
        <row r="106">
          <cell r="B106">
            <v>500720</v>
          </cell>
          <cell r="C106" t="str">
            <v>MOTORISTA TRANSPORTE DE APOIO</v>
          </cell>
        </row>
        <row r="107">
          <cell r="B107">
            <v>501002</v>
          </cell>
          <cell r="C107" t="str">
            <v>PREPARO DE SOLO</v>
          </cell>
        </row>
        <row r="108">
          <cell r="B108">
            <v>501014</v>
          </cell>
          <cell r="C108" t="str">
            <v>COLHEITA MANUAL</v>
          </cell>
        </row>
        <row r="109">
          <cell r="B109">
            <v>501016</v>
          </cell>
          <cell r="C109" t="str">
            <v>COLHEITA MECANIZADA</v>
          </cell>
        </row>
        <row r="110">
          <cell r="B110">
            <v>501112</v>
          </cell>
          <cell r="C110" t="str">
            <v>OUTROS SERVICOS</v>
          </cell>
        </row>
        <row r="111">
          <cell r="B111">
            <v>509902</v>
          </cell>
          <cell r="C111" t="str">
            <v>CUSTO MATERIA-PRIMA</v>
          </cell>
        </row>
        <row r="112">
          <cell r="B112">
            <v>600800</v>
          </cell>
          <cell r="C112" t="str">
            <v>CONSTR.E CONSERVACAO DE ESTRADAS</v>
          </cell>
        </row>
        <row r="113">
          <cell r="B113">
            <v>601000</v>
          </cell>
          <cell r="C113" t="str">
            <v>CONSERVACAO PATIOS - INDUSTRIA</v>
          </cell>
        </row>
        <row r="114">
          <cell r="B114">
            <v>601200</v>
          </cell>
          <cell r="C114" t="str">
            <v>CONSERVACAO PATIOS - ADMINISTRACAO</v>
          </cell>
        </row>
        <row r="115">
          <cell r="B115">
            <v>700106</v>
          </cell>
          <cell r="C115" t="str">
            <v>CAMINHÕES PIPA ( ALUGADO )</v>
          </cell>
        </row>
        <row r="116">
          <cell r="B116">
            <v>700108</v>
          </cell>
          <cell r="C116" t="str">
            <v>CAMINHOES COMBOIO ( ALUGADO)</v>
          </cell>
        </row>
        <row r="117">
          <cell r="B117">
            <v>700110</v>
          </cell>
          <cell r="C117" t="str">
            <v>CAMINHÕES CARGA SECA (ALUGADO)</v>
          </cell>
        </row>
        <row r="118">
          <cell r="B118">
            <v>700118</v>
          </cell>
          <cell r="C118" t="str">
            <v>CAMINHÕES OFICINA (ALUGADO)</v>
          </cell>
        </row>
        <row r="119">
          <cell r="B119">
            <v>700204</v>
          </cell>
          <cell r="C119" t="str">
            <v>TRATORES PNEUS - MEDIOS (ALUGADO)</v>
          </cell>
        </row>
        <row r="120">
          <cell r="B120">
            <v>700206</v>
          </cell>
          <cell r="C120" t="str">
            <v>TRATORES PNEUS - PESADOS ( ALUGADO)</v>
          </cell>
        </row>
        <row r="121">
          <cell r="B121">
            <v>700218</v>
          </cell>
          <cell r="C121" t="str">
            <v>COLHEDORAS DE CANA (ALUGADO)</v>
          </cell>
        </row>
        <row r="122">
          <cell r="B122">
            <v>701254</v>
          </cell>
          <cell r="C122" t="str">
            <v>CONJ. TRANSBORDO (ALUGADO)</v>
          </cell>
        </row>
        <row r="123">
          <cell r="B123">
            <v>709902</v>
          </cell>
          <cell r="C123" t="str">
            <v>EQUIPAMENTOS TESTE</v>
          </cell>
        </row>
        <row r="124">
          <cell r="B124">
            <v>801014</v>
          </cell>
          <cell r="C124" t="str">
            <v>COLHEITA MANUAL</v>
          </cell>
        </row>
        <row r="125">
          <cell r="B125">
            <v>801016</v>
          </cell>
          <cell r="C125" t="str">
            <v>COLHEITA MECANIZADA</v>
          </cell>
        </row>
        <row r="126">
          <cell r="B126">
            <v>200103</v>
          </cell>
          <cell r="C126" t="str">
            <v>DESPESAS DE CAPACITAÇÕES</v>
          </cell>
        </row>
        <row r="127">
          <cell r="B127">
            <v>301002</v>
          </cell>
          <cell r="C127" t="str">
            <v>Almoxarifado Automotivo</v>
          </cell>
        </row>
        <row r="128">
          <cell r="B128">
            <v>301208</v>
          </cell>
          <cell r="C128" t="str">
            <v>LOGISTICA E TRANSPORTE</v>
          </cell>
        </row>
        <row r="129">
          <cell r="B129">
            <v>302001</v>
          </cell>
          <cell r="C129" t="str">
            <v>Apoio Operacional</v>
          </cell>
        </row>
        <row r="130">
          <cell r="B130">
            <v>700107</v>
          </cell>
          <cell r="C130" t="str">
            <v>CAMINHÕES PIPA ( PROPRIO)</v>
          </cell>
        </row>
        <row r="131">
          <cell r="B131">
            <v>700109</v>
          </cell>
          <cell r="C131" t="str">
            <v>CAMINHÕES COMBOIO ( PRÓPRIO)</v>
          </cell>
        </row>
        <row r="132">
          <cell r="B132">
            <v>700113</v>
          </cell>
          <cell r="C132" t="str">
            <v>CAMINHÕES PRANCHA ( PRÓPRIO)</v>
          </cell>
        </row>
        <row r="133">
          <cell r="B133">
            <v>700117</v>
          </cell>
          <cell r="C133" t="str">
            <v>CAMINHÕES BORRACHARIA ( PRÓPRIO)</v>
          </cell>
        </row>
        <row r="134">
          <cell r="B134">
            <v>700119</v>
          </cell>
          <cell r="C134" t="str">
            <v>CAMINHÕES OFICINA ( PRÓPRIO)</v>
          </cell>
        </row>
        <row r="135">
          <cell r="B135">
            <v>700207</v>
          </cell>
          <cell r="C135" t="str">
            <v>TRATORES PNEUS - PESADOS (PRÓPRIO)</v>
          </cell>
        </row>
        <row r="136">
          <cell r="B136">
            <v>700219</v>
          </cell>
          <cell r="C136" t="str">
            <v>COLHEDORAS DE CANA ( PRÓPRIA)</v>
          </cell>
        </row>
        <row r="137">
          <cell r="B137">
            <v>700223</v>
          </cell>
          <cell r="C137" t="str">
            <v>TRATORES PNEUS-SUPER PESADOS (PROPRIO)</v>
          </cell>
        </row>
        <row r="138">
          <cell r="B138">
            <v>700224</v>
          </cell>
          <cell r="C138" t="str">
            <v>CAMINHÕES TRANSBORDOS (ALUGADOS)</v>
          </cell>
        </row>
        <row r="139">
          <cell r="B139">
            <v>700302</v>
          </cell>
          <cell r="C139" t="str">
            <v>VEICULOS LEVES</v>
          </cell>
        </row>
        <row r="140">
          <cell r="B140">
            <v>700304</v>
          </cell>
          <cell r="C140" t="str">
            <v>CAMINHONETAS/UTILITARIOS</v>
          </cell>
        </row>
        <row r="141">
          <cell r="B141">
            <v>701204</v>
          </cell>
          <cell r="C141" t="str">
            <v>ARADOS</v>
          </cell>
        </row>
        <row r="142">
          <cell r="B142">
            <v>701255</v>
          </cell>
          <cell r="C142" t="str">
            <v>CONJ.TRANSBORDO (PRÓPRIO)</v>
          </cell>
        </row>
        <row r="143">
          <cell r="B143">
            <v>701301</v>
          </cell>
          <cell r="C143" t="str">
            <v>SEMI-REBOQUE CANAVIEIRO</v>
          </cell>
        </row>
        <row r="144">
          <cell r="B144">
            <v>701303</v>
          </cell>
          <cell r="C144" t="str">
            <v>SEMI-REBOQUE TANQUE VINHAÇA</v>
          </cell>
        </row>
        <row r="145">
          <cell r="B145">
            <v>100102</v>
          </cell>
          <cell r="C145" t="str">
            <v>CONSELHEIRO ADMINISTRATIVO/FISCAL</v>
          </cell>
        </row>
        <row r="146">
          <cell r="B146">
            <v>100202</v>
          </cell>
          <cell r="C146" t="str">
            <v>DIRETOR PRESIDENTE</v>
          </cell>
        </row>
        <row r="147">
          <cell r="B147">
            <v>200103</v>
          </cell>
          <cell r="C147" t="str">
            <v>DESPESAS DE CAPACITAÇÕES</v>
          </cell>
        </row>
        <row r="148">
          <cell r="B148">
            <v>200202</v>
          </cell>
          <cell r="C148" t="str">
            <v>CONTABILIDADE/FISCAL/PATRIMONIAL</v>
          </cell>
        </row>
        <row r="149">
          <cell r="B149">
            <v>200402</v>
          </cell>
          <cell r="C149" t="str">
            <v>ADMINSITRAÇÃO RECURSOS HUMANOS</v>
          </cell>
        </row>
        <row r="150">
          <cell r="B150">
            <v>201002</v>
          </cell>
          <cell r="C150" t="str">
            <v>COMPRAS</v>
          </cell>
        </row>
        <row r="151">
          <cell r="B151">
            <v>201404</v>
          </cell>
          <cell r="C151" t="str">
            <v>TESOURARIA</v>
          </cell>
        </row>
        <row r="152">
          <cell r="B152">
            <v>201602</v>
          </cell>
          <cell r="C152" t="str">
            <v>JURÍDICO</v>
          </cell>
        </row>
        <row r="153">
          <cell r="B153">
            <v>201604</v>
          </cell>
          <cell r="C153" t="str">
            <v>CONSULTORIA JURÍDICA EXTERNA</v>
          </cell>
        </row>
        <row r="154">
          <cell r="B154">
            <v>202002</v>
          </cell>
          <cell r="C154" t="str">
            <v>MEIO AMBIENTE</v>
          </cell>
        </row>
        <row r="155">
          <cell r="B155">
            <v>300404</v>
          </cell>
          <cell r="C155" t="str">
            <v>ADMINISTRACAO DE PESSOAL</v>
          </cell>
        </row>
        <row r="156">
          <cell r="B156">
            <v>300410</v>
          </cell>
          <cell r="C156" t="str">
            <v>MEDICINA DO TRABALHO</v>
          </cell>
        </row>
        <row r="157">
          <cell r="B157">
            <v>300412</v>
          </cell>
          <cell r="C157" t="str">
            <v>SEGURANCA DO TRABALHO</v>
          </cell>
        </row>
        <row r="158">
          <cell r="B158">
            <v>300602</v>
          </cell>
          <cell r="C158" t="str">
            <v>ADMINISTRAÇÃO GERAL</v>
          </cell>
        </row>
        <row r="159">
          <cell r="B159">
            <v>300802</v>
          </cell>
          <cell r="C159" t="str">
            <v>TECNOLOGIA DA INFORMAÇÃO</v>
          </cell>
        </row>
        <row r="160">
          <cell r="B160">
            <v>301002</v>
          </cell>
          <cell r="C160" t="str">
            <v>Almoxarifado Automotivo</v>
          </cell>
        </row>
        <row r="161">
          <cell r="B161">
            <v>301004</v>
          </cell>
          <cell r="C161" t="str">
            <v>Almoxarifado Industrial</v>
          </cell>
        </row>
        <row r="162">
          <cell r="B162">
            <v>301006</v>
          </cell>
          <cell r="C162" t="str">
            <v>POSTO ABASTECIMENTO</v>
          </cell>
        </row>
        <row r="163">
          <cell r="B163">
            <v>407099</v>
          </cell>
          <cell r="C163" t="str">
            <v>Manutenção de Entressafra</v>
          </cell>
        </row>
        <row r="164">
          <cell r="B164">
            <v>500101</v>
          </cell>
          <cell r="C164" t="str">
            <v>Gerencia Agricola Corporativa</v>
          </cell>
        </row>
        <row r="165">
          <cell r="B165">
            <v>500102</v>
          </cell>
          <cell r="C165" t="str">
            <v>GERENCIA AGRICOLA</v>
          </cell>
        </row>
        <row r="166">
          <cell r="B166">
            <v>500202</v>
          </cell>
          <cell r="C166" t="str">
            <v>ADM INFORMAÇÕES AGRÍCOLAS</v>
          </cell>
        </row>
        <row r="167">
          <cell r="B167">
            <v>500204</v>
          </cell>
          <cell r="C167" t="str">
            <v>TECNICOS AGRICOLAS</v>
          </cell>
        </row>
        <row r="168">
          <cell r="B168">
            <v>500206</v>
          </cell>
          <cell r="C168" t="str">
            <v>TOPOGRAFIA</v>
          </cell>
        </row>
        <row r="169">
          <cell r="B169">
            <v>500208</v>
          </cell>
          <cell r="C169" t="str">
            <v>NOVOS PROJETOS</v>
          </cell>
        </row>
        <row r="170">
          <cell r="B170">
            <v>500212</v>
          </cell>
          <cell r="C170" t="str">
            <v>ADM COLHEITA DE CANA</v>
          </cell>
        </row>
        <row r="171">
          <cell r="B171">
            <v>500214</v>
          </cell>
          <cell r="C171" t="str">
            <v>ADM PRODUÇÃO AGRÍCOLA</v>
          </cell>
        </row>
        <row r="172">
          <cell r="B172">
            <v>500216</v>
          </cell>
          <cell r="C172" t="str">
            <v>PLANEJAMENTO AGRICOLA</v>
          </cell>
        </row>
        <row r="173">
          <cell r="B173">
            <v>500218</v>
          </cell>
          <cell r="C173" t="str">
            <v>CONTROLE DE QUALIDADE AGRICOLA</v>
          </cell>
        </row>
        <row r="174">
          <cell r="B174">
            <v>500220</v>
          </cell>
          <cell r="C174" t="str">
            <v>ADM PARCERIAS/FORN. AGRICOLA</v>
          </cell>
        </row>
        <row r="175">
          <cell r="B175">
            <v>500222</v>
          </cell>
          <cell r="C175" t="str">
            <v>CONTROLE DE TRÁFEGO (CENTRAL)</v>
          </cell>
        </row>
        <row r="176">
          <cell r="B176">
            <v>500224</v>
          </cell>
          <cell r="C176" t="str">
            <v>CONTROLE BIOLÓGICO</v>
          </cell>
        </row>
        <row r="177">
          <cell r="B177">
            <v>500302</v>
          </cell>
          <cell r="C177" t="str">
            <v>MDO FISCAIS CAMPO</v>
          </cell>
        </row>
        <row r="178">
          <cell r="B178">
            <v>500304</v>
          </cell>
          <cell r="C178" t="str">
            <v>MDO QUEIMA DE CANA</v>
          </cell>
        </row>
        <row r="179">
          <cell r="B179">
            <v>500306</v>
          </cell>
          <cell r="C179" t="str">
            <v>MDO BITUCA</v>
          </cell>
        </row>
        <row r="180">
          <cell r="B180">
            <v>500308</v>
          </cell>
          <cell r="C180" t="str">
            <v>MDO CATACAO QUIMICA</v>
          </cell>
        </row>
        <row r="181">
          <cell r="B181">
            <v>500310</v>
          </cell>
          <cell r="C181" t="str">
            <v>MDO RURICOLAS - REGIONAIS</v>
          </cell>
        </row>
        <row r="182">
          <cell r="B182">
            <v>500312</v>
          </cell>
          <cell r="C182" t="str">
            <v>ENCARREGADO MDO RURAL</v>
          </cell>
        </row>
        <row r="183">
          <cell r="B183">
            <v>500314</v>
          </cell>
          <cell r="C183" t="str">
            <v>MDO MIGRANTES</v>
          </cell>
        </row>
        <row r="184">
          <cell r="B184">
            <v>500401</v>
          </cell>
          <cell r="C184" t="str">
            <v>ESTRUTURA DE FERTIRRIGAÇÃO</v>
          </cell>
        </row>
        <row r="185">
          <cell r="B185">
            <v>500402</v>
          </cell>
          <cell r="C185" t="str">
            <v>MANUT. CANAIS DE VINHAÇA</v>
          </cell>
        </row>
        <row r="186">
          <cell r="B186">
            <v>500404</v>
          </cell>
          <cell r="C186" t="str">
            <v>MDO FERTIRRIGAÇÃO</v>
          </cell>
        </row>
        <row r="187">
          <cell r="B187">
            <v>500406</v>
          </cell>
          <cell r="C187" t="str">
            <v>DISTRIBUIÇAO DE VINHAÇA</v>
          </cell>
        </row>
        <row r="188">
          <cell r="B188">
            <v>500502</v>
          </cell>
          <cell r="C188" t="str">
            <v>ADM MANUTENÇÃO AUTOMOTIVA</v>
          </cell>
        </row>
        <row r="189">
          <cell r="B189">
            <v>500506</v>
          </cell>
          <cell r="C189" t="str">
            <v>POSTO DE LAVAGEM/ LUBRIFICAÇÃO</v>
          </cell>
        </row>
        <row r="190">
          <cell r="B190">
            <v>500508</v>
          </cell>
          <cell r="C190" t="str">
            <v>ELETRICISTA</v>
          </cell>
        </row>
        <row r="191">
          <cell r="B191">
            <v>500510</v>
          </cell>
          <cell r="C191" t="str">
            <v>SOLDADOR</v>
          </cell>
        </row>
        <row r="192">
          <cell r="B192">
            <v>500512</v>
          </cell>
          <cell r="C192" t="str">
            <v>MECÂNICO COLHEDORA</v>
          </cell>
        </row>
        <row r="193">
          <cell r="B193">
            <v>500516</v>
          </cell>
          <cell r="C193" t="str">
            <v>BORRACHEIRO</v>
          </cell>
        </row>
        <row r="194">
          <cell r="B194">
            <v>500710</v>
          </cell>
          <cell r="C194" t="str">
            <v>OPERADORES DE COLHEDORAS</v>
          </cell>
        </row>
        <row r="195">
          <cell r="B195">
            <v>500712</v>
          </cell>
          <cell r="C195" t="str">
            <v>MOTORISTAS TRANSBORDO</v>
          </cell>
        </row>
        <row r="196">
          <cell r="B196">
            <v>500718</v>
          </cell>
          <cell r="C196" t="str">
            <v>TRATORISTAS MAQ PESADAS</v>
          </cell>
        </row>
        <row r="197">
          <cell r="B197">
            <v>500720</v>
          </cell>
          <cell r="C197" t="str">
            <v>MOTORISTA TRANSPORTE DE APOIO</v>
          </cell>
        </row>
        <row r="198">
          <cell r="B198">
            <v>500722</v>
          </cell>
          <cell r="C198" t="str">
            <v>MDO LÍDERES/FÍSCAIS DE OPERAÇÃO</v>
          </cell>
        </row>
        <row r="199">
          <cell r="B199">
            <v>500724</v>
          </cell>
          <cell r="C199" t="str">
            <v>AUXILIAR DE CONTROLE DE QUALIDADE</v>
          </cell>
        </row>
        <row r="200">
          <cell r="B200">
            <v>500726</v>
          </cell>
          <cell r="C200" t="str">
            <v>AUXILIARES AGRICOLAS</v>
          </cell>
        </row>
        <row r="201">
          <cell r="B201">
            <v>501002</v>
          </cell>
          <cell r="C201" t="str">
            <v>PREPARO DE SOLO</v>
          </cell>
        </row>
        <row r="202">
          <cell r="B202">
            <v>501004</v>
          </cell>
          <cell r="C202" t="str">
            <v>COLHEITA DE MUDA</v>
          </cell>
        </row>
        <row r="203">
          <cell r="B203">
            <v>501008</v>
          </cell>
          <cell r="C203" t="str">
            <v>PLANTIO DE CANA</v>
          </cell>
        </row>
        <row r="204">
          <cell r="B204">
            <v>501010</v>
          </cell>
          <cell r="C204" t="str">
            <v>TRATOS CANA PLANTA</v>
          </cell>
        </row>
        <row r="205">
          <cell r="B205">
            <v>501012</v>
          </cell>
          <cell r="C205" t="str">
            <v>TRATOS CANA SOCA</v>
          </cell>
        </row>
        <row r="206">
          <cell r="B206">
            <v>501014</v>
          </cell>
          <cell r="C206" t="str">
            <v>COLHEITA MANUAL</v>
          </cell>
        </row>
        <row r="207">
          <cell r="B207">
            <v>501016</v>
          </cell>
          <cell r="C207" t="str">
            <v>COLHEITA MECANIZADA</v>
          </cell>
        </row>
        <row r="208">
          <cell r="B208">
            <v>501018</v>
          </cell>
          <cell r="C208" t="str">
            <v>Pátio de compostagem</v>
          </cell>
        </row>
        <row r="209">
          <cell r="B209">
            <v>501020</v>
          </cell>
          <cell r="C209" t="str">
            <v>Replantio da cana planta</v>
          </cell>
        </row>
        <row r="210">
          <cell r="B210">
            <v>501022</v>
          </cell>
          <cell r="C210" t="str">
            <v>Replantio da cana soca</v>
          </cell>
        </row>
        <row r="211">
          <cell r="B211">
            <v>501102</v>
          </cell>
          <cell r="C211" t="str">
            <v>REFLORESTAMENTO</v>
          </cell>
        </row>
        <row r="212">
          <cell r="B212">
            <v>509902</v>
          </cell>
          <cell r="C212" t="str">
            <v>CUSTO MATERIA-PRIMA</v>
          </cell>
        </row>
        <row r="213">
          <cell r="B213">
            <v>600200</v>
          </cell>
          <cell r="C213" t="str">
            <v>CONSERVACAO DE SEDES</v>
          </cell>
        </row>
        <row r="214">
          <cell r="B214">
            <v>600600</v>
          </cell>
          <cell r="C214" t="str">
            <v>CONSTR.E CONSERVACAO DE CERCAS</v>
          </cell>
        </row>
        <row r="215">
          <cell r="B215">
            <v>600800</v>
          </cell>
          <cell r="C215" t="str">
            <v>CONSERVACAO DE ESTRADAS</v>
          </cell>
        </row>
        <row r="216">
          <cell r="B216">
            <v>601018</v>
          </cell>
          <cell r="C216" t="str">
            <v>Movimentação de Resíduos Industr</v>
          </cell>
        </row>
        <row r="217">
          <cell r="B217">
            <v>700106</v>
          </cell>
          <cell r="C217" t="str">
            <v>CAMINHOES PIPA ( ALUGADO)</v>
          </cell>
        </row>
        <row r="218">
          <cell r="B218">
            <v>700107</v>
          </cell>
          <cell r="C218" t="str">
            <v>CAMINHÕES PIPA ( PRÓPRIO)</v>
          </cell>
        </row>
        <row r="219">
          <cell r="B219">
            <v>700108</v>
          </cell>
          <cell r="C219" t="str">
            <v>CAMINHOES COMBOIO ( ALUGADO)</v>
          </cell>
        </row>
        <row r="220">
          <cell r="B220">
            <v>700109</v>
          </cell>
          <cell r="C220" t="str">
            <v>CAMINHÕES COMBOIO ( PRÓPRIO)</v>
          </cell>
        </row>
        <row r="221">
          <cell r="B221">
            <v>700113</v>
          </cell>
          <cell r="C221" t="str">
            <v>CAMINHÕES PRANCHA ( PRÓPRIO)</v>
          </cell>
        </row>
        <row r="222">
          <cell r="B222">
            <v>700114</v>
          </cell>
          <cell r="C222" t="str">
            <v>CAMINHÃO MUNCK ( ALUGADO)</v>
          </cell>
        </row>
        <row r="223">
          <cell r="B223">
            <v>700116</v>
          </cell>
          <cell r="C223" t="str">
            <v>CAMINHÕES BORRACHARIA (ALUGADO)</v>
          </cell>
        </row>
        <row r="224">
          <cell r="B224">
            <v>700117</v>
          </cell>
          <cell r="C224" t="str">
            <v>CAMINHÕES BORRACHARIA ( PRÓPRIO)</v>
          </cell>
        </row>
        <row r="225">
          <cell r="B225">
            <v>700118</v>
          </cell>
          <cell r="C225" t="str">
            <v>CAMINHÕES OFICINA ( ALUGADO)</v>
          </cell>
        </row>
        <row r="226">
          <cell r="B226">
            <v>700119</v>
          </cell>
          <cell r="C226" t="str">
            <v>CAMINHÕES OFICINA ( PRÓPRIO)</v>
          </cell>
        </row>
        <row r="227">
          <cell r="B227">
            <v>700202</v>
          </cell>
          <cell r="C227" t="str">
            <v>TRATORES PNEUS - LEVES ( ALUGADO)</v>
          </cell>
        </row>
        <row r="228">
          <cell r="B228">
            <v>700204</v>
          </cell>
          <cell r="C228" t="str">
            <v>TRATORES PNEUS - MEDIOS ( ALUGADO)</v>
          </cell>
        </row>
        <row r="229">
          <cell r="B229">
            <v>700206</v>
          </cell>
          <cell r="C229" t="str">
            <v>TRATORES PNEUS - PESADOS ( ALUGADO)</v>
          </cell>
        </row>
        <row r="230">
          <cell r="B230">
            <v>700207</v>
          </cell>
          <cell r="C230" t="str">
            <v>TRATORES PNEUS - PESADOS ( PRÓPRIO)</v>
          </cell>
        </row>
        <row r="231">
          <cell r="B231">
            <v>700216</v>
          </cell>
          <cell r="C231" t="str">
            <v>CARREGADORAS DE CANA ( ALUGADO)</v>
          </cell>
        </row>
        <row r="232">
          <cell r="B232">
            <v>700218</v>
          </cell>
          <cell r="C232" t="str">
            <v>COLHEDORAS DE CANA ( ALUGADO)</v>
          </cell>
        </row>
        <row r="233">
          <cell r="B233">
            <v>700219</v>
          </cell>
          <cell r="C233" t="str">
            <v>COLHEDORAS DE CANA ( PRÓPRIA)</v>
          </cell>
        </row>
        <row r="234">
          <cell r="B234">
            <v>700220</v>
          </cell>
          <cell r="C234" t="str">
            <v>PLANTADORA DE CANA ( ALUGADO)</v>
          </cell>
        </row>
        <row r="235">
          <cell r="B235">
            <v>700223</v>
          </cell>
          <cell r="C235" t="str">
            <v>TRATORES PNEUS-SUPER PESADOS (PRÓPRIOS)</v>
          </cell>
        </row>
        <row r="236">
          <cell r="B236">
            <v>700224</v>
          </cell>
          <cell r="C236" t="str">
            <v>CAMINHÕES TRANSBORDOS (ALUGADOS)</v>
          </cell>
        </row>
        <row r="237">
          <cell r="B237">
            <v>700302</v>
          </cell>
          <cell r="C237" t="str">
            <v>VEICULOS LEVES</v>
          </cell>
        </row>
        <row r="238">
          <cell r="B238">
            <v>700304</v>
          </cell>
          <cell r="C238" t="str">
            <v>CAMINHONETAS/UTILITARIOS</v>
          </cell>
        </row>
        <row r="239">
          <cell r="B239">
            <v>701204</v>
          </cell>
          <cell r="C239" t="str">
            <v>ARADOS</v>
          </cell>
        </row>
        <row r="240">
          <cell r="B240">
            <v>701206</v>
          </cell>
          <cell r="C240" t="str">
            <v>CARRETAS DE ARRASTO(NAO USE)</v>
          </cell>
        </row>
        <row r="241">
          <cell r="B241">
            <v>701210</v>
          </cell>
          <cell r="C241" t="str">
            <v>COBRIDORES DE CANA</v>
          </cell>
        </row>
        <row r="242">
          <cell r="B242">
            <v>701212</v>
          </cell>
          <cell r="C242" t="str">
            <v>CONJUNTO DE IRRIGACAO (ROLAO)</v>
          </cell>
        </row>
        <row r="243">
          <cell r="B243">
            <v>701214</v>
          </cell>
          <cell r="C243" t="str">
            <v>CULTIVADORES</v>
          </cell>
        </row>
        <row r="244">
          <cell r="B244">
            <v>701224</v>
          </cell>
          <cell r="C244" t="str">
            <v>GRADES</v>
          </cell>
        </row>
        <row r="245">
          <cell r="B245">
            <v>701226</v>
          </cell>
          <cell r="C245" t="str">
            <v>DISTRIBUIDORES DE CANA</v>
          </cell>
        </row>
        <row r="246">
          <cell r="B246">
            <v>701230</v>
          </cell>
          <cell r="C246" t="str">
            <v>IMPLEMENTOS DIVERSOS</v>
          </cell>
        </row>
        <row r="247">
          <cell r="B247">
            <v>701232</v>
          </cell>
          <cell r="C247" t="str">
            <v>MOTOBOMBAS</v>
          </cell>
        </row>
        <row r="248">
          <cell r="B248">
            <v>701236</v>
          </cell>
          <cell r="C248" t="str">
            <v>MOTOSSERA</v>
          </cell>
        </row>
        <row r="249">
          <cell r="B249">
            <v>701238</v>
          </cell>
          <cell r="C249" t="str">
            <v>PULVERIZADORES</v>
          </cell>
        </row>
        <row r="250">
          <cell r="B250">
            <v>701244</v>
          </cell>
          <cell r="C250" t="str">
            <v>SUBSOLADORES</v>
          </cell>
        </row>
        <row r="251">
          <cell r="B251">
            <v>701246</v>
          </cell>
          <cell r="C251" t="str">
            <v>SULCADORES</v>
          </cell>
        </row>
        <row r="252">
          <cell r="B252">
            <v>701250</v>
          </cell>
          <cell r="C252" t="str">
            <v>TERRACEADORES</v>
          </cell>
        </row>
        <row r="253">
          <cell r="B253">
            <v>701254</v>
          </cell>
          <cell r="C253" t="str">
            <v>CONJ.TRANSBORDOS (ALUGADO)</v>
          </cell>
        </row>
        <row r="254">
          <cell r="B254">
            <v>701255</v>
          </cell>
          <cell r="C254" t="str">
            <v>CONJ. TRANSBORDO (PROPRIO)</v>
          </cell>
        </row>
        <row r="255">
          <cell r="B255">
            <v>701301</v>
          </cell>
          <cell r="C255" t="str">
            <v>SEMI-REBOQUE CANAVIEIRO</v>
          </cell>
        </row>
        <row r="256">
          <cell r="B256">
            <v>701303</v>
          </cell>
          <cell r="C256" t="str">
            <v>SEMI-REBOQUE TANQUE VINHAÇA</v>
          </cell>
        </row>
        <row r="257">
          <cell r="B257">
            <v>709902</v>
          </cell>
          <cell r="C257" t="str">
            <v>EQUIPAMENTOS TESTE</v>
          </cell>
        </row>
        <row r="258">
          <cell r="B258">
            <v>709914</v>
          </cell>
          <cell r="C258" t="str">
            <v>EQUIPAMENTOS DE TERCEIROS</v>
          </cell>
        </row>
        <row r="259">
          <cell r="B259">
            <v>801002</v>
          </cell>
          <cell r="C259" t="str">
            <v>PREPARO DE SOLO</v>
          </cell>
        </row>
        <row r="260">
          <cell r="B260">
            <v>801004</v>
          </cell>
          <cell r="C260" t="str">
            <v>COLHEITA DE MUDA</v>
          </cell>
        </row>
        <row r="261">
          <cell r="B261">
            <v>801008</v>
          </cell>
          <cell r="C261" t="str">
            <v>PLANTIO DE CANA</v>
          </cell>
        </row>
        <row r="262">
          <cell r="B262">
            <v>801010</v>
          </cell>
          <cell r="C262" t="str">
            <v>TRATOS CANA PLANTA</v>
          </cell>
        </row>
        <row r="263">
          <cell r="B263">
            <v>801012</v>
          </cell>
          <cell r="C263" t="str">
            <v>TRATOS CANA SOCA</v>
          </cell>
        </row>
        <row r="264">
          <cell r="B264">
            <v>801014</v>
          </cell>
          <cell r="C264" t="str">
            <v>COLHEITA MANUAL</v>
          </cell>
        </row>
        <row r="265">
          <cell r="B265">
            <v>801016</v>
          </cell>
          <cell r="C265" t="str">
            <v>COLHEITA MECANIZADA</v>
          </cell>
        </row>
        <row r="266">
          <cell r="B266">
            <v>100102</v>
          </cell>
          <cell r="C266" t="str">
            <v>CONSELHEIRO ADMINISTRATIVO/FISCAL</v>
          </cell>
        </row>
        <row r="267">
          <cell r="B267">
            <v>100202</v>
          </cell>
          <cell r="C267" t="str">
            <v>DIRETOR PRESIDENTE</v>
          </cell>
        </row>
        <row r="268">
          <cell r="B268">
            <v>200102</v>
          </cell>
          <cell r="C268" t="str">
            <v>ADMINISTRACAO CORPORATIVA</v>
          </cell>
        </row>
        <row r="269">
          <cell r="B269">
            <v>200103</v>
          </cell>
          <cell r="C269" t="str">
            <v>DESPESAS DE CAPACITAÇÕES</v>
          </cell>
        </row>
        <row r="270">
          <cell r="B270">
            <v>200202</v>
          </cell>
          <cell r="C270" t="str">
            <v>CONTABILIDADE/FISCAL/PATRIMONIAL</v>
          </cell>
        </row>
        <row r="271">
          <cell r="B271">
            <v>200302</v>
          </cell>
          <cell r="C271" t="str">
            <v>Fiscal</v>
          </cell>
        </row>
        <row r="272">
          <cell r="B272">
            <v>200402</v>
          </cell>
          <cell r="C272" t="str">
            <v>ADMINSITRAÇÃO RECURSOS HUMANOS</v>
          </cell>
        </row>
        <row r="273">
          <cell r="B273">
            <v>200802</v>
          </cell>
          <cell r="C273" t="str">
            <v>TECNOLOGIA DA INFORMAÇÃO</v>
          </cell>
        </row>
        <row r="274">
          <cell r="B274">
            <v>201404</v>
          </cell>
          <cell r="C274" t="str">
            <v>TESOURARIA</v>
          </cell>
        </row>
        <row r="275">
          <cell r="B275">
            <v>201602</v>
          </cell>
          <cell r="C275" t="str">
            <v>JURÍDICO</v>
          </cell>
        </row>
        <row r="276">
          <cell r="B276">
            <v>201604</v>
          </cell>
          <cell r="C276" t="str">
            <v>CONSULTORIA JURÍDICA EXTERNA</v>
          </cell>
        </row>
        <row r="277">
          <cell r="B277">
            <v>202002</v>
          </cell>
          <cell r="C277" t="str">
            <v>MEIO AMBIENTE</v>
          </cell>
        </row>
        <row r="278">
          <cell r="B278">
            <v>300404</v>
          </cell>
          <cell r="C278" t="str">
            <v>ADMINISTRACAO DE PESSOAL</v>
          </cell>
        </row>
        <row r="279">
          <cell r="B279">
            <v>300410</v>
          </cell>
          <cell r="C279" t="str">
            <v>MEDICINA DO TRABALHO</v>
          </cell>
        </row>
        <row r="280">
          <cell r="B280">
            <v>300602</v>
          </cell>
          <cell r="C280" t="str">
            <v>ADMINISTRAÇÃO GERAL</v>
          </cell>
        </row>
        <row r="281">
          <cell r="B281">
            <v>300606</v>
          </cell>
          <cell r="C281" t="str">
            <v>Ger.Administracao de Risco e Auditoria</v>
          </cell>
        </row>
        <row r="282">
          <cell r="B282">
            <v>300802</v>
          </cell>
          <cell r="C282" t="str">
            <v>TECNOLOGIA DA INFORMAÇÃO</v>
          </cell>
        </row>
        <row r="283">
          <cell r="B283">
            <v>500101</v>
          </cell>
          <cell r="C283" t="str">
            <v>Gerência Agrícola Corporativa</v>
          </cell>
        </row>
        <row r="284">
          <cell r="B284">
            <v>500102</v>
          </cell>
          <cell r="C284" t="str">
            <v>GERENCIA AGRICOLA</v>
          </cell>
        </row>
        <row r="285">
          <cell r="B285">
            <v>500202</v>
          </cell>
          <cell r="C285" t="str">
            <v>CONTROLE AGRICOLA</v>
          </cell>
        </row>
        <row r="286">
          <cell r="B286">
            <v>500204</v>
          </cell>
          <cell r="C286" t="str">
            <v>TECNICOS AGRICOLAS</v>
          </cell>
        </row>
        <row r="287">
          <cell r="B287">
            <v>500212</v>
          </cell>
          <cell r="C287" t="str">
            <v>SUPERVISÃO DE CCT</v>
          </cell>
        </row>
        <row r="288">
          <cell r="B288">
            <v>500214</v>
          </cell>
          <cell r="C288" t="str">
            <v>SUPERVISÃO DE PRODUÇÃO</v>
          </cell>
        </row>
        <row r="289">
          <cell r="B289">
            <v>500302</v>
          </cell>
          <cell r="C289" t="str">
            <v>MDO FISCAIS CAMPO</v>
          </cell>
        </row>
        <row r="290">
          <cell r="B290">
            <v>500308</v>
          </cell>
          <cell r="C290" t="str">
            <v>MDO CATACAO QUIMICA</v>
          </cell>
        </row>
        <row r="291">
          <cell r="B291">
            <v>500310</v>
          </cell>
          <cell r="C291" t="str">
            <v>MDO RURICOLAS - REGIONAIS</v>
          </cell>
        </row>
        <row r="292">
          <cell r="B292">
            <v>500710</v>
          </cell>
          <cell r="C292" t="str">
            <v>OPERADORES DE COLHEDORAS</v>
          </cell>
        </row>
        <row r="293">
          <cell r="B293">
            <v>500720</v>
          </cell>
          <cell r="C293" t="str">
            <v>MOTORISTA TRANSPORTE DE APOIO</v>
          </cell>
        </row>
        <row r="294">
          <cell r="B294">
            <v>501002</v>
          </cell>
          <cell r="C294" t="str">
            <v>PREPARO DE SOLO</v>
          </cell>
        </row>
        <row r="295">
          <cell r="B295">
            <v>501008</v>
          </cell>
          <cell r="C295" t="str">
            <v>PLANTIO DE CANA</v>
          </cell>
        </row>
        <row r="296">
          <cell r="B296">
            <v>501010</v>
          </cell>
          <cell r="C296" t="str">
            <v>TRATOS CANA PLANTA</v>
          </cell>
        </row>
        <row r="297">
          <cell r="B297">
            <v>501012</v>
          </cell>
          <cell r="C297" t="str">
            <v>TRATOS CANA SOCA</v>
          </cell>
        </row>
        <row r="298">
          <cell r="B298">
            <v>501014</v>
          </cell>
          <cell r="C298" t="str">
            <v>COLHEITA MANUAL</v>
          </cell>
        </row>
        <row r="299">
          <cell r="B299">
            <v>501016</v>
          </cell>
          <cell r="C299" t="str">
            <v>COLHEITA MECANIZADA</v>
          </cell>
        </row>
        <row r="300">
          <cell r="B300">
            <v>509902</v>
          </cell>
          <cell r="C300" t="str">
            <v>CUSTO MATERIA-PRIMA</v>
          </cell>
        </row>
        <row r="301">
          <cell r="B301">
            <v>700206</v>
          </cell>
          <cell r="C301" t="str">
            <v>TRATORES PNEUS - PESADOS</v>
          </cell>
        </row>
        <row r="302">
          <cell r="B302">
            <v>700302</v>
          </cell>
          <cell r="C302" t="str">
            <v>VEICULOS LEVES</v>
          </cell>
        </row>
        <row r="303">
          <cell r="B303">
            <v>700304</v>
          </cell>
          <cell r="C303" t="str">
            <v>CAMINHONETAS/UTILITARIOS</v>
          </cell>
        </row>
        <row r="304">
          <cell r="B304">
            <v>701214</v>
          </cell>
          <cell r="C304" t="str">
            <v>CULTIVADORES</v>
          </cell>
        </row>
        <row r="305">
          <cell r="B305">
            <v>701238</v>
          </cell>
          <cell r="C305" t="str">
            <v>PULVERIZADORES</v>
          </cell>
        </row>
        <row r="306">
          <cell r="B306">
            <v>701244</v>
          </cell>
          <cell r="C306" t="str">
            <v>SUBSOLADORES</v>
          </cell>
        </row>
        <row r="307">
          <cell r="B307">
            <v>801012</v>
          </cell>
          <cell r="C307" t="str">
            <v>TRATOS CANA SOCA</v>
          </cell>
        </row>
        <row r="308">
          <cell r="B308">
            <v>801014</v>
          </cell>
          <cell r="C308" t="str">
            <v>COLHEITA MANUAL</v>
          </cell>
        </row>
        <row r="309">
          <cell r="B309">
            <v>801016</v>
          </cell>
          <cell r="C309" t="str">
            <v>COLHEITA MECANIZADA</v>
          </cell>
        </row>
      </sheetData>
      <sheetData sheetId="6">
        <row r="3">
          <cell r="C3">
            <v>100000</v>
          </cell>
          <cell r="D3" t="str">
            <v>DIRETORIA/CONSELHO/SUPERINTENDENCIA</v>
          </cell>
        </row>
        <row r="4">
          <cell r="C4">
            <v>100100</v>
          </cell>
          <cell r="D4" t="str">
            <v>CONSELHO DE ADMINISTRACAO/FISCAL</v>
          </cell>
        </row>
        <row r="5">
          <cell r="C5">
            <v>100102</v>
          </cell>
          <cell r="D5" t="str">
            <v>CONSELHEIRO ADMINISTRATIVO/FISCAL</v>
          </cell>
        </row>
        <row r="6">
          <cell r="C6">
            <v>100104</v>
          </cell>
          <cell r="D6" t="str">
            <v>CONSELHO CONSULTIVO</v>
          </cell>
        </row>
        <row r="7">
          <cell r="C7">
            <v>100106</v>
          </cell>
          <cell r="D7" t="str">
            <v>CONSELHO FISCAL</v>
          </cell>
        </row>
        <row r="8">
          <cell r="C8">
            <v>100200</v>
          </cell>
          <cell r="D8" t="str">
            <v>DIRETORIA</v>
          </cell>
        </row>
        <row r="9">
          <cell r="C9">
            <v>100202</v>
          </cell>
          <cell r="D9" t="str">
            <v>DIRETOR PRESIDENTE</v>
          </cell>
        </row>
        <row r="10">
          <cell r="C10">
            <v>100204</v>
          </cell>
          <cell r="D10" t="str">
            <v>DIRETOR EXECUTIVO</v>
          </cell>
        </row>
        <row r="11">
          <cell r="C11">
            <v>100206</v>
          </cell>
          <cell r="D11" t="str">
            <v>SECRETARIA</v>
          </cell>
        </row>
        <row r="12">
          <cell r="C12">
            <v>100207</v>
          </cell>
          <cell r="D12" t="str">
            <v>Diretor Administrativo/Financeiro</v>
          </cell>
        </row>
        <row r="13">
          <cell r="C13">
            <v>100208</v>
          </cell>
          <cell r="D13" t="str">
            <v>Diretor Comercial</v>
          </cell>
        </row>
        <row r="14">
          <cell r="C14">
            <v>100210</v>
          </cell>
          <cell r="D14" t="str">
            <v>Relação com Investidores</v>
          </cell>
        </row>
        <row r="15">
          <cell r="C15">
            <v>100300</v>
          </cell>
          <cell r="D15" t="str">
            <v>SUPERINTENDENCIA</v>
          </cell>
        </row>
        <row r="16">
          <cell r="C16">
            <v>100302</v>
          </cell>
          <cell r="D16" t="str">
            <v>SUP.CONTROLADORIA E GESTAO</v>
          </cell>
        </row>
        <row r="17">
          <cell r="C17">
            <v>100304</v>
          </cell>
          <cell r="D17" t="str">
            <v>SUP.PRODUCAO INDUSTRIAL E AGRICOLA</v>
          </cell>
        </row>
        <row r="18">
          <cell r="C18">
            <v>100306</v>
          </cell>
          <cell r="D18" t="str">
            <v>SUP.FINANCEIRA</v>
          </cell>
        </row>
        <row r="19">
          <cell r="C19">
            <v>100308</v>
          </cell>
          <cell r="D19" t="str">
            <v>SUP.COMERCIAL</v>
          </cell>
        </row>
        <row r="20">
          <cell r="C20">
            <v>100400</v>
          </cell>
          <cell r="D20" t="str">
            <v>ESCRITORIO DE SAO PAULO</v>
          </cell>
        </row>
        <row r="21">
          <cell r="C21">
            <v>100402</v>
          </cell>
          <cell r="D21" t="str">
            <v>ESCRITORIO DE SÃO PAULO - MATRIZ</v>
          </cell>
        </row>
        <row r="22">
          <cell r="C22">
            <v>100500</v>
          </cell>
          <cell r="D22" t="str">
            <v>ASSESSORIA DE IMPRENSA</v>
          </cell>
        </row>
        <row r="23">
          <cell r="C23">
            <v>100501</v>
          </cell>
          <cell r="D23" t="str">
            <v>ASSESSORIA DE IMPRENSA</v>
          </cell>
        </row>
        <row r="24">
          <cell r="C24">
            <v>200000</v>
          </cell>
          <cell r="D24" t="str">
            <v>ADMINISTRACAO CORPORATIVA</v>
          </cell>
        </row>
        <row r="25">
          <cell r="C25">
            <v>200100</v>
          </cell>
          <cell r="D25" t="str">
            <v>GERENCIA ADMINISTRATIVA</v>
          </cell>
        </row>
        <row r="26">
          <cell r="C26">
            <v>200102</v>
          </cell>
          <cell r="D26" t="str">
            <v>ADMINISTRACAO CORPORATIVA</v>
          </cell>
        </row>
        <row r="27">
          <cell r="C27">
            <v>200103</v>
          </cell>
          <cell r="D27" t="str">
            <v>DESPESAS DE CAPACITAÇÕES</v>
          </cell>
        </row>
        <row r="28">
          <cell r="C28">
            <v>200200</v>
          </cell>
          <cell r="D28" t="str">
            <v>DEPTO CONTABILIDADE</v>
          </cell>
        </row>
        <row r="29">
          <cell r="C29">
            <v>200202</v>
          </cell>
          <cell r="D29" t="str">
            <v>CONTABILIDADE/FISCAL/PATRIMONIAL</v>
          </cell>
        </row>
        <row r="30">
          <cell r="C30">
            <v>200204</v>
          </cell>
          <cell r="D30" t="str">
            <v>CONSULTORIA EXTERNA</v>
          </cell>
        </row>
        <row r="31">
          <cell r="C31">
            <v>200300</v>
          </cell>
          <cell r="D31" t="str">
            <v>Departamento Fiscal</v>
          </cell>
        </row>
        <row r="32">
          <cell r="C32">
            <v>200302</v>
          </cell>
          <cell r="D32" t="str">
            <v>Fiscal</v>
          </cell>
        </row>
        <row r="33">
          <cell r="C33">
            <v>200400</v>
          </cell>
          <cell r="D33" t="str">
            <v>RECURSOS HUMANOS</v>
          </cell>
        </row>
        <row r="34">
          <cell r="C34">
            <v>200402</v>
          </cell>
          <cell r="D34" t="str">
            <v>ADMINSITRAÇÃO RECURSOS HUMANOS</v>
          </cell>
        </row>
        <row r="35">
          <cell r="C35">
            <v>200404</v>
          </cell>
          <cell r="D35" t="str">
            <v>CARGOS E SALARIOS</v>
          </cell>
        </row>
        <row r="36">
          <cell r="C36">
            <v>200406</v>
          </cell>
          <cell r="D36" t="str">
            <v>ADMINISTRAÇÃO DE PESSOAL</v>
          </cell>
        </row>
        <row r="37">
          <cell r="C37">
            <v>200408</v>
          </cell>
          <cell r="D37" t="str">
            <v>RECRUTAMENTO E SELECAO</v>
          </cell>
        </row>
        <row r="38">
          <cell r="C38">
            <v>200410</v>
          </cell>
          <cell r="D38" t="str">
            <v>ASSISTÊNCIA PESSOAL</v>
          </cell>
        </row>
        <row r="39">
          <cell r="C39">
            <v>200600</v>
          </cell>
          <cell r="D39" t="str">
            <v>CUSTO E ORCAMENTO</v>
          </cell>
        </row>
        <row r="40">
          <cell r="C40">
            <v>200602</v>
          </cell>
          <cell r="D40" t="str">
            <v>CUSTOS E ORÇAMENTOS</v>
          </cell>
        </row>
        <row r="41">
          <cell r="C41">
            <v>200700</v>
          </cell>
          <cell r="D41" t="str">
            <v>Administração de Contratos</v>
          </cell>
        </row>
        <row r="42">
          <cell r="C42">
            <v>200702</v>
          </cell>
          <cell r="D42" t="str">
            <v>Contratos</v>
          </cell>
        </row>
        <row r="43">
          <cell r="C43">
            <v>200800</v>
          </cell>
          <cell r="D43" t="str">
            <v>TECNOLOGIA DA INFORMACAO</v>
          </cell>
        </row>
        <row r="44">
          <cell r="C44">
            <v>200802</v>
          </cell>
          <cell r="D44" t="str">
            <v>TECNOLOGIA DA INFORMAÇÃO</v>
          </cell>
        </row>
        <row r="45">
          <cell r="C45">
            <v>201000</v>
          </cell>
          <cell r="D45" t="str">
            <v>SUPRIMENTOS</v>
          </cell>
        </row>
        <row r="46">
          <cell r="C46">
            <v>201002</v>
          </cell>
          <cell r="D46" t="str">
            <v>COMPRAS</v>
          </cell>
        </row>
        <row r="47">
          <cell r="C47">
            <v>201099</v>
          </cell>
          <cell r="D47" t="str">
            <v>Manutenção de Entressafra</v>
          </cell>
        </row>
        <row r="48">
          <cell r="C48">
            <v>201200</v>
          </cell>
          <cell r="D48" t="str">
            <v>COMERCIAL</v>
          </cell>
        </row>
        <row r="49">
          <cell r="C49">
            <v>201202</v>
          </cell>
          <cell r="D49" t="str">
            <v>COMERCIAL</v>
          </cell>
        </row>
        <row r="50">
          <cell r="C50">
            <v>201204</v>
          </cell>
          <cell r="D50" t="str">
            <v>COMERCIALIZAÇÃO</v>
          </cell>
        </row>
        <row r="51">
          <cell r="C51">
            <v>201299</v>
          </cell>
          <cell r="D51" t="str">
            <v>Manutenção de Entressafra</v>
          </cell>
        </row>
        <row r="52">
          <cell r="C52">
            <v>201400</v>
          </cell>
          <cell r="D52" t="str">
            <v>FINANCEIRO</v>
          </cell>
        </row>
        <row r="53">
          <cell r="C53">
            <v>201402</v>
          </cell>
          <cell r="D53" t="str">
            <v>ADMINISTRAÇÃO FINANCEIRA</v>
          </cell>
        </row>
        <row r="54">
          <cell r="C54">
            <v>201404</v>
          </cell>
          <cell r="D54" t="str">
            <v>TESOURARIA</v>
          </cell>
        </row>
        <row r="55">
          <cell r="C55">
            <v>201600</v>
          </cell>
          <cell r="D55" t="str">
            <v>JURIDICO</v>
          </cell>
        </row>
        <row r="56">
          <cell r="C56">
            <v>201602</v>
          </cell>
          <cell r="D56" t="str">
            <v>JURÍDICO</v>
          </cell>
        </row>
        <row r="57">
          <cell r="C57">
            <v>201604</v>
          </cell>
          <cell r="D57" t="str">
            <v>CONSULTORIA JURÍDICA EXTERNA</v>
          </cell>
        </row>
        <row r="58">
          <cell r="C58">
            <v>201800</v>
          </cell>
          <cell r="D58" t="str">
            <v>CONTROLE INTERNO</v>
          </cell>
        </row>
        <row r="59">
          <cell r="C59">
            <v>201802</v>
          </cell>
          <cell r="D59" t="str">
            <v>CONTROLE INTERNO</v>
          </cell>
        </row>
        <row r="60">
          <cell r="C60">
            <v>202000</v>
          </cell>
          <cell r="D60" t="str">
            <v>MEIO AMBIENTE</v>
          </cell>
        </row>
        <row r="61">
          <cell r="C61">
            <v>202002</v>
          </cell>
          <cell r="D61" t="str">
            <v>MEIO AMBIENTE</v>
          </cell>
        </row>
        <row r="62">
          <cell r="C62">
            <v>300000</v>
          </cell>
          <cell r="D62" t="str">
            <v>ADMINISTRACAO LOCAL</v>
          </cell>
        </row>
        <row r="63">
          <cell r="C63">
            <v>300200</v>
          </cell>
          <cell r="D63" t="str">
            <v>DEPTO CONTABIL/FISCAL</v>
          </cell>
        </row>
        <row r="64">
          <cell r="C64">
            <v>300206</v>
          </cell>
          <cell r="D64" t="str">
            <v>FATURAMENTO</v>
          </cell>
        </row>
        <row r="65">
          <cell r="C65">
            <v>300208</v>
          </cell>
          <cell r="D65" t="str">
            <v>RECEBIMENTO FISCAL</v>
          </cell>
        </row>
        <row r="66">
          <cell r="C66">
            <v>300210</v>
          </cell>
          <cell r="D66" t="str">
            <v>BALANÇA ENTRADA CANA</v>
          </cell>
        </row>
        <row r="67">
          <cell r="C67">
            <v>300400</v>
          </cell>
          <cell r="D67" t="str">
            <v>RECURSOS HUMANOS</v>
          </cell>
        </row>
        <row r="68">
          <cell r="C68">
            <v>300404</v>
          </cell>
          <cell r="D68" t="str">
            <v>ADMINISTRACAO DE PESSOAL</v>
          </cell>
        </row>
        <row r="69">
          <cell r="C69">
            <v>300410</v>
          </cell>
          <cell r="D69" t="str">
            <v>MEDICINA DO TRABALHO</v>
          </cell>
        </row>
        <row r="70">
          <cell r="C70">
            <v>300412</v>
          </cell>
          <cell r="D70" t="str">
            <v>SEGURANCA DO TRABALHO</v>
          </cell>
        </row>
        <row r="71">
          <cell r="C71">
            <v>300414</v>
          </cell>
          <cell r="D71" t="str">
            <v>SEGURANCA PATRIMONIAL</v>
          </cell>
        </row>
        <row r="72">
          <cell r="C72">
            <v>300416</v>
          </cell>
          <cell r="D72" t="str">
            <v>RESTAURANTE</v>
          </cell>
        </row>
        <row r="73">
          <cell r="C73">
            <v>300418</v>
          </cell>
          <cell r="D73" t="str">
            <v>ALOJAMENTO</v>
          </cell>
        </row>
        <row r="74">
          <cell r="C74">
            <v>300420</v>
          </cell>
          <cell r="D74" t="str">
            <v>RECEPCAO, COPA E COZINHA</v>
          </cell>
        </row>
        <row r="75">
          <cell r="C75">
            <v>300600</v>
          </cell>
          <cell r="D75" t="str">
            <v>ADMINISTRAÇÃO GERAL</v>
          </cell>
        </row>
        <row r="76">
          <cell r="C76">
            <v>300602</v>
          </cell>
          <cell r="D76" t="str">
            <v>ADMINISTRAÇÃO GERAL</v>
          </cell>
        </row>
        <row r="77">
          <cell r="C77">
            <v>300604</v>
          </cell>
          <cell r="D77" t="str">
            <v>Gerência Geral</v>
          </cell>
        </row>
        <row r="78">
          <cell r="C78">
            <v>300606</v>
          </cell>
          <cell r="D78" t="str">
            <v>Ger.Administracao de Risco e Auditoria</v>
          </cell>
        </row>
        <row r="79">
          <cell r="C79">
            <v>300800</v>
          </cell>
          <cell r="D79" t="str">
            <v>TECNOLOGIA DA INFORMACAO</v>
          </cell>
        </row>
        <row r="80">
          <cell r="C80">
            <v>300802</v>
          </cell>
          <cell r="D80" t="str">
            <v>TECNOLOGIA DA INFORMAÇÃO</v>
          </cell>
        </row>
        <row r="81">
          <cell r="C81">
            <v>301000</v>
          </cell>
          <cell r="D81" t="str">
            <v>SUPRIMENTOS</v>
          </cell>
        </row>
        <row r="82">
          <cell r="C82">
            <v>301002</v>
          </cell>
          <cell r="D82" t="str">
            <v>Almoxarifado Automotivo</v>
          </cell>
        </row>
        <row r="83">
          <cell r="C83">
            <v>301004</v>
          </cell>
          <cell r="D83" t="str">
            <v>Almoxarifado Industrial</v>
          </cell>
        </row>
        <row r="84">
          <cell r="C84">
            <v>301006</v>
          </cell>
          <cell r="D84" t="str">
            <v>POSTO ABASTECIMENTO</v>
          </cell>
        </row>
        <row r="85">
          <cell r="C85">
            <v>301099</v>
          </cell>
          <cell r="D85" t="str">
            <v>Manutenção de Entressafra</v>
          </cell>
        </row>
        <row r="86">
          <cell r="C86">
            <v>301200</v>
          </cell>
          <cell r="D86" t="str">
            <v>DEPTO COMERCIAL</v>
          </cell>
        </row>
        <row r="87">
          <cell r="C87">
            <v>301202</v>
          </cell>
          <cell r="D87" t="str">
            <v>ARMAZENAGEM DE ALCOOL</v>
          </cell>
        </row>
        <row r="88">
          <cell r="C88">
            <v>301204</v>
          </cell>
          <cell r="D88" t="str">
            <v>ARMAZENAGEM DE ACUCAR</v>
          </cell>
        </row>
        <row r="89">
          <cell r="C89">
            <v>301206</v>
          </cell>
          <cell r="D89" t="str">
            <v>CARREGAMENTO</v>
          </cell>
        </row>
        <row r="90">
          <cell r="C90">
            <v>301208</v>
          </cell>
          <cell r="D90" t="str">
            <v>LOGISTICA E TRANSPORTE</v>
          </cell>
        </row>
        <row r="91">
          <cell r="C91">
            <v>301290</v>
          </cell>
          <cell r="D91" t="str">
            <v>LOGISTICA E TRANSPORTE</v>
          </cell>
        </row>
        <row r="92">
          <cell r="C92">
            <v>301299</v>
          </cell>
          <cell r="D92" t="str">
            <v>Manutenção de Entressafra</v>
          </cell>
        </row>
        <row r="93">
          <cell r="C93">
            <v>399990</v>
          </cell>
          <cell r="D93" t="str">
            <v>C.CUSTO NAO APROVAR ORÇAMENTO</v>
          </cell>
        </row>
        <row r="94">
          <cell r="C94">
            <v>399991</v>
          </cell>
          <cell r="D94" t="str">
            <v>C.CUSTO NÂO APROVA ORÇAMENTO</v>
          </cell>
        </row>
        <row r="95">
          <cell r="C95">
            <v>400000</v>
          </cell>
          <cell r="D95" t="str">
            <v>GERENCIA INDUSTRIAL</v>
          </cell>
        </row>
        <row r="96">
          <cell r="C96">
            <v>400100</v>
          </cell>
          <cell r="D96" t="str">
            <v>GERENCIA INDUSTRIAL</v>
          </cell>
        </row>
        <row r="97">
          <cell r="C97">
            <v>400101</v>
          </cell>
          <cell r="D97" t="str">
            <v>Gerência Industrial - Corporativa</v>
          </cell>
        </row>
        <row r="98">
          <cell r="C98">
            <v>400102</v>
          </cell>
          <cell r="D98" t="str">
            <v>GERENCIA INDUSTRIAL</v>
          </cell>
        </row>
        <row r="99">
          <cell r="C99">
            <v>400199</v>
          </cell>
          <cell r="D99" t="str">
            <v>Manutenção de Entressafra</v>
          </cell>
        </row>
        <row r="100">
          <cell r="C100">
            <v>400200</v>
          </cell>
          <cell r="D100" t="str">
            <v>APOIO TECNICO INDUSTRIAL</v>
          </cell>
        </row>
        <row r="101">
          <cell r="C101">
            <v>400202</v>
          </cell>
          <cell r="D101" t="str">
            <v>APOIO TECNICO INDUSTRIAL</v>
          </cell>
        </row>
        <row r="102">
          <cell r="C102">
            <v>400400</v>
          </cell>
          <cell r="D102" t="str">
            <v>CONTROLE DE QUALIDADE</v>
          </cell>
        </row>
        <row r="103">
          <cell r="C103">
            <v>400402</v>
          </cell>
          <cell r="D103" t="str">
            <v>LABORATORIO PCTS</v>
          </cell>
        </row>
        <row r="104">
          <cell r="C104">
            <v>400404</v>
          </cell>
          <cell r="D104" t="str">
            <v>LABORATORIO INDUSTRIAL</v>
          </cell>
        </row>
        <row r="105">
          <cell r="C105">
            <v>400406</v>
          </cell>
          <cell r="D105" t="str">
            <v>LABORATORIO MICRO-BIOLOGIA</v>
          </cell>
        </row>
        <row r="106">
          <cell r="C106">
            <v>400499</v>
          </cell>
          <cell r="D106" t="str">
            <v>Manutenção de Entressafra</v>
          </cell>
        </row>
        <row r="107">
          <cell r="C107">
            <v>401000</v>
          </cell>
          <cell r="D107" t="str">
            <v>RECEPCAO / MOAGEM</v>
          </cell>
        </row>
        <row r="108">
          <cell r="C108">
            <v>401002</v>
          </cell>
          <cell r="D108" t="str">
            <v>BARRACAO / LIMPEZA</v>
          </cell>
        </row>
        <row r="109">
          <cell r="C109">
            <v>401004</v>
          </cell>
          <cell r="D109" t="str">
            <v>ALIMENTACAO E PREPARO</v>
          </cell>
        </row>
        <row r="110">
          <cell r="C110">
            <v>401006</v>
          </cell>
          <cell r="D110" t="str">
            <v>MOAGEM CANA</v>
          </cell>
        </row>
        <row r="111">
          <cell r="C111">
            <v>401008</v>
          </cell>
          <cell r="D111" t="str">
            <v>DIFUSOR</v>
          </cell>
        </row>
        <row r="112">
          <cell r="C112">
            <v>401010</v>
          </cell>
          <cell r="D112" t="str">
            <v>DESAGUADOR</v>
          </cell>
        </row>
        <row r="113">
          <cell r="C113">
            <v>401012</v>
          </cell>
          <cell r="D113" t="str">
            <v>Secagem de Bagaço</v>
          </cell>
        </row>
        <row r="114">
          <cell r="C114">
            <v>401099</v>
          </cell>
          <cell r="D114" t="str">
            <v>Manutenção de Entressafra</v>
          </cell>
        </row>
        <row r="115">
          <cell r="C115">
            <v>401400</v>
          </cell>
          <cell r="D115" t="str">
            <v>TRATAMENTO E DISTR.DO CALDO</v>
          </cell>
        </row>
        <row r="116">
          <cell r="C116">
            <v>401402</v>
          </cell>
          <cell r="D116" t="str">
            <v>AQUECIMENTO/TROCADOR CALOR ALCOOL</v>
          </cell>
        </row>
        <row r="117">
          <cell r="C117">
            <v>401404</v>
          </cell>
          <cell r="D117" t="str">
            <v>DECANTACAO DO ALCOOL</v>
          </cell>
        </row>
        <row r="118">
          <cell r="C118">
            <v>401406</v>
          </cell>
          <cell r="D118" t="str">
            <v>PRE-EVAPORACAO DO ALCOOL</v>
          </cell>
        </row>
        <row r="119">
          <cell r="C119">
            <v>401408</v>
          </cell>
          <cell r="D119" t="str">
            <v>AQUECIMENTO/TROCADOR CALOR ACUCAR</v>
          </cell>
        </row>
        <row r="120">
          <cell r="C120">
            <v>401410</v>
          </cell>
          <cell r="D120" t="str">
            <v>CALEACAO</v>
          </cell>
        </row>
        <row r="121">
          <cell r="C121">
            <v>401412</v>
          </cell>
          <cell r="D121" t="str">
            <v>SULFITACAO</v>
          </cell>
        </row>
        <row r="122">
          <cell r="C122">
            <v>401414</v>
          </cell>
          <cell r="D122" t="str">
            <v>DECANTACAO DO ACUCAR</v>
          </cell>
        </row>
        <row r="123">
          <cell r="C123">
            <v>401416</v>
          </cell>
          <cell r="D123" t="str">
            <v>FILTRACAO DO LODO DO ACUCAR</v>
          </cell>
        </row>
        <row r="124">
          <cell r="C124">
            <v>401418</v>
          </cell>
          <cell r="D124" t="str">
            <v>PRE-EVAPORACAO DO ACUCAR</v>
          </cell>
        </row>
        <row r="125">
          <cell r="C125">
            <v>401420</v>
          </cell>
          <cell r="D125" t="str">
            <v>FILTRACAO DO LODO DO ALCOOL</v>
          </cell>
        </row>
        <row r="126">
          <cell r="C126">
            <v>401499</v>
          </cell>
          <cell r="D126" t="str">
            <v>Manutenção de Entressafra</v>
          </cell>
        </row>
        <row r="127">
          <cell r="C127">
            <v>402000</v>
          </cell>
          <cell r="D127" t="str">
            <v>FABRICACAO ALCOOL</v>
          </cell>
        </row>
        <row r="128">
          <cell r="C128">
            <v>402002</v>
          </cell>
          <cell r="D128" t="str">
            <v>PRE-FERMENTACAO</v>
          </cell>
        </row>
        <row r="129">
          <cell r="C129">
            <v>402004</v>
          </cell>
          <cell r="D129" t="str">
            <v>FERMENTACAO</v>
          </cell>
        </row>
        <row r="130">
          <cell r="C130">
            <v>402006</v>
          </cell>
          <cell r="D130" t="str">
            <v>DESTILACAO HIDRATADO</v>
          </cell>
        </row>
        <row r="131">
          <cell r="C131">
            <v>402008</v>
          </cell>
          <cell r="D131" t="str">
            <v>DESTILACAO ANIDRO</v>
          </cell>
        </row>
        <row r="132">
          <cell r="C132">
            <v>402010</v>
          </cell>
          <cell r="D132" t="str">
            <v>TORRE DE RESFRIAMENTO</v>
          </cell>
        </row>
        <row r="133">
          <cell r="C133">
            <v>402012</v>
          </cell>
          <cell r="D133" t="str">
            <v>TANQUE SPRAY</v>
          </cell>
        </row>
        <row r="134">
          <cell r="C134">
            <v>402014</v>
          </cell>
          <cell r="D134" t="str">
            <v>Centrifugação</v>
          </cell>
        </row>
        <row r="135">
          <cell r="C135">
            <v>402016</v>
          </cell>
          <cell r="D135" t="str">
            <v>Evaporação Álcool</v>
          </cell>
        </row>
        <row r="136">
          <cell r="C136">
            <v>402070</v>
          </cell>
          <cell r="D136" t="str">
            <v>EM PROCESSO (FERMENTACAO)</v>
          </cell>
        </row>
        <row r="137">
          <cell r="C137">
            <v>402099</v>
          </cell>
          <cell r="D137" t="str">
            <v>Manutenção de Entressafra</v>
          </cell>
        </row>
        <row r="138">
          <cell r="C138">
            <v>403000</v>
          </cell>
          <cell r="D138" t="str">
            <v>FABRICACAO ACUCAR</v>
          </cell>
        </row>
        <row r="139">
          <cell r="C139">
            <v>403002</v>
          </cell>
          <cell r="D139" t="str">
            <v>EVAPORACAO</v>
          </cell>
        </row>
        <row r="140">
          <cell r="C140">
            <v>403004</v>
          </cell>
          <cell r="D140" t="str">
            <v>COZIMENTO - MASSA A E B</v>
          </cell>
        </row>
        <row r="141">
          <cell r="C141">
            <v>403006</v>
          </cell>
          <cell r="D141" t="str">
            <v>CENTRIFUGACAO</v>
          </cell>
        </row>
        <row r="142">
          <cell r="C142">
            <v>403008</v>
          </cell>
          <cell r="D142" t="str">
            <v>MEL FINAL PARA ALCOOL</v>
          </cell>
        </row>
        <row r="143">
          <cell r="C143">
            <v>403010</v>
          </cell>
          <cell r="D143" t="str">
            <v>SECAGEM</v>
          </cell>
        </row>
        <row r="144">
          <cell r="C144">
            <v>403012</v>
          </cell>
          <cell r="D144" t="str">
            <v>ENSAQUE</v>
          </cell>
        </row>
        <row r="145">
          <cell r="C145">
            <v>403014</v>
          </cell>
          <cell r="D145" t="str">
            <v>TANQUE SPRAY</v>
          </cell>
        </row>
        <row r="146">
          <cell r="C146">
            <v>403070</v>
          </cell>
          <cell r="D146" t="str">
            <v>EM PROCESSO (COZIMENTO)</v>
          </cell>
        </row>
        <row r="147">
          <cell r="C147">
            <v>403099</v>
          </cell>
          <cell r="D147" t="str">
            <v>Manutenção de Entressafra</v>
          </cell>
        </row>
        <row r="148">
          <cell r="C148">
            <v>405000</v>
          </cell>
          <cell r="D148" t="str">
            <v>FABRICACAO LEVEDURA</v>
          </cell>
        </row>
        <row r="149">
          <cell r="C149">
            <v>405002</v>
          </cell>
          <cell r="D149" t="str">
            <v>SECAGEM LEVEDURA</v>
          </cell>
        </row>
        <row r="150">
          <cell r="C150">
            <v>405004</v>
          </cell>
          <cell r="D150" t="str">
            <v>ENSAQUE LEVEDURA</v>
          </cell>
        </row>
        <row r="151">
          <cell r="C151">
            <v>405099</v>
          </cell>
          <cell r="D151" t="str">
            <v>Manutenção de Entressafra</v>
          </cell>
        </row>
        <row r="152">
          <cell r="C152">
            <v>406000</v>
          </cell>
          <cell r="D152" t="str">
            <v>FABRICACAO XAROPE DE CANA</v>
          </cell>
        </row>
        <row r="153">
          <cell r="C153">
            <v>406002</v>
          </cell>
          <cell r="D153" t="str">
            <v>CARREGAMENTO</v>
          </cell>
        </row>
        <row r="154">
          <cell r="C154">
            <v>406099</v>
          </cell>
          <cell r="D154" t="str">
            <v>Manutenção de Entressafra</v>
          </cell>
        </row>
        <row r="155">
          <cell r="C155">
            <v>407000</v>
          </cell>
          <cell r="D155" t="str">
            <v>AUXILIARES</v>
          </cell>
        </row>
        <row r="156">
          <cell r="C156">
            <v>407002</v>
          </cell>
          <cell r="D156" t="str">
            <v>GERACAO E DISTR.VAPOR</v>
          </cell>
        </row>
        <row r="157">
          <cell r="C157">
            <v>407004</v>
          </cell>
          <cell r="D157" t="str">
            <v>GERACAO E DISTR.AR COMPRIMIDO</v>
          </cell>
        </row>
        <row r="158">
          <cell r="C158">
            <v>407006</v>
          </cell>
          <cell r="D158" t="str">
            <v>GERACAO E DISTR.ENERGIA</v>
          </cell>
        </row>
        <row r="159">
          <cell r="C159">
            <v>407008</v>
          </cell>
          <cell r="D159" t="str">
            <v>CAPTACAO DE AGUA</v>
          </cell>
        </row>
        <row r="160">
          <cell r="C160">
            <v>407010</v>
          </cell>
          <cell r="D160" t="str">
            <v>ETA (ESTACAO DE TRATAMENTO AGUA)</v>
          </cell>
        </row>
        <row r="161">
          <cell r="C161">
            <v>407012</v>
          </cell>
          <cell r="D161" t="str">
            <v>PATIO DE BAGACO</v>
          </cell>
        </row>
        <row r="162">
          <cell r="C162">
            <v>407014</v>
          </cell>
          <cell r="D162" t="str">
            <v>HIDROLIZADOR DE BAGACO</v>
          </cell>
        </row>
        <row r="163">
          <cell r="C163">
            <v>407016</v>
          </cell>
          <cell r="D163" t="str">
            <v>ENERGIA ELETRICA ADQUIRIDA</v>
          </cell>
        </row>
        <row r="164">
          <cell r="C164">
            <v>407018</v>
          </cell>
          <cell r="D164" t="str">
            <v>ETALC-Est.Trat.Água LAvagem de Cana</v>
          </cell>
        </row>
        <row r="165">
          <cell r="C165">
            <v>407020</v>
          </cell>
          <cell r="D165" t="str">
            <v>ETE-Estação Tratamento de Esgoto</v>
          </cell>
        </row>
        <row r="166">
          <cell r="C166">
            <v>407022</v>
          </cell>
          <cell r="D166" t="str">
            <v>ETALG-Est.Trat.Água LAvagem de Gases</v>
          </cell>
        </row>
        <row r="167">
          <cell r="C167">
            <v>407099</v>
          </cell>
          <cell r="D167" t="str">
            <v>Manutenção de Entressafra</v>
          </cell>
        </row>
        <row r="168">
          <cell r="C168">
            <v>408000</v>
          </cell>
          <cell r="D168" t="str">
            <v>MANUTENCAO INDUSTRIAL</v>
          </cell>
        </row>
        <row r="169">
          <cell r="C169">
            <v>408002</v>
          </cell>
          <cell r="D169" t="str">
            <v>MANUTENCAO MECANICA</v>
          </cell>
        </row>
        <row r="170">
          <cell r="C170">
            <v>408004</v>
          </cell>
          <cell r="D170" t="str">
            <v>CALDERARIA</v>
          </cell>
        </row>
        <row r="171">
          <cell r="C171">
            <v>408006</v>
          </cell>
          <cell r="D171" t="str">
            <v>MANUTENCAO ELETRICA</v>
          </cell>
        </row>
        <row r="172">
          <cell r="C172">
            <v>408008</v>
          </cell>
          <cell r="D172" t="str">
            <v>INSTRUMENTACAO</v>
          </cell>
        </row>
        <row r="173">
          <cell r="C173">
            <v>408010</v>
          </cell>
          <cell r="D173" t="str">
            <v>MANUTENCAO CIVIL</v>
          </cell>
        </row>
        <row r="174">
          <cell r="C174">
            <v>408099</v>
          </cell>
          <cell r="D174" t="str">
            <v>Manutenção de Entressafra</v>
          </cell>
        </row>
        <row r="175">
          <cell r="C175">
            <v>409000</v>
          </cell>
          <cell r="D175" t="str">
            <v>RESIDUOS INDUSTRIAIS</v>
          </cell>
        </row>
        <row r="176">
          <cell r="C176">
            <v>409002</v>
          </cell>
          <cell r="D176" t="str">
            <v>ESCOAMENTO DA VINHACA</v>
          </cell>
        </row>
        <row r="177">
          <cell r="C177">
            <v>409004</v>
          </cell>
          <cell r="D177" t="str">
            <v>SISTEMA DE BOMBEAMENTO</v>
          </cell>
        </row>
        <row r="178">
          <cell r="C178">
            <v>409099</v>
          </cell>
          <cell r="D178" t="str">
            <v>Manutenção de Entressafra</v>
          </cell>
        </row>
        <row r="179">
          <cell r="C179">
            <v>409900</v>
          </cell>
          <cell r="D179" t="str">
            <v>CUSTO FINAL DE PRODUCAO</v>
          </cell>
        </row>
        <row r="180">
          <cell r="C180">
            <v>409910</v>
          </cell>
          <cell r="D180" t="str">
            <v>CUSTO DE PRODUCAO DO A.E.H.C.</v>
          </cell>
        </row>
        <row r="181">
          <cell r="C181">
            <v>409920</v>
          </cell>
          <cell r="D181" t="str">
            <v>CUSTO DE PRODUCAO DO A.E.A.C.</v>
          </cell>
        </row>
        <row r="182">
          <cell r="C182">
            <v>409930</v>
          </cell>
          <cell r="D182" t="str">
            <v>CUSTO DE PRODUCAO DO ACUCAR</v>
          </cell>
        </row>
        <row r="183">
          <cell r="C183">
            <v>409940</v>
          </cell>
          <cell r="D183" t="str">
            <v>CUSTO DE PRODUCAO DO XAROPE</v>
          </cell>
        </row>
        <row r="184">
          <cell r="C184">
            <v>409950</v>
          </cell>
          <cell r="D184" t="str">
            <v>CUSTO DE PRODUCAO DE LEVEDURA</v>
          </cell>
        </row>
        <row r="185">
          <cell r="C185">
            <v>500000</v>
          </cell>
          <cell r="D185" t="str">
            <v>GERENCIA AGRICOLA</v>
          </cell>
        </row>
        <row r="186">
          <cell r="C186">
            <v>500100</v>
          </cell>
          <cell r="D186" t="str">
            <v>GERENCIA AGRICOLA</v>
          </cell>
        </row>
        <row r="187">
          <cell r="C187">
            <v>500101</v>
          </cell>
          <cell r="D187" t="str">
            <v>Gerência Agrícola Corporativa</v>
          </cell>
        </row>
        <row r="188">
          <cell r="C188">
            <v>500102</v>
          </cell>
          <cell r="D188" t="str">
            <v>GERENCIA AGRICOLA</v>
          </cell>
        </row>
        <row r="189">
          <cell r="C189">
            <v>500200</v>
          </cell>
          <cell r="D189" t="str">
            <v>CONTROLE AGRICOLA</v>
          </cell>
        </row>
        <row r="190">
          <cell r="C190">
            <v>500202</v>
          </cell>
          <cell r="D190" t="str">
            <v>CONTROLE AGRICOLA</v>
          </cell>
        </row>
        <row r="191">
          <cell r="C191">
            <v>500204</v>
          </cell>
          <cell r="D191" t="str">
            <v>TECNICOS AGRICOLAS</v>
          </cell>
        </row>
        <row r="192">
          <cell r="C192">
            <v>500206</v>
          </cell>
          <cell r="D192" t="str">
            <v>TOPOGRAFIA</v>
          </cell>
        </row>
        <row r="193">
          <cell r="C193">
            <v>500208</v>
          </cell>
          <cell r="D193" t="str">
            <v>NOVOS PROJETOS</v>
          </cell>
        </row>
        <row r="194">
          <cell r="C194">
            <v>500210</v>
          </cell>
          <cell r="D194" t="str">
            <v>LAVANDERIA</v>
          </cell>
        </row>
        <row r="195">
          <cell r="C195">
            <v>500212</v>
          </cell>
          <cell r="D195" t="str">
            <v>SUPERVISÃO DE CCT</v>
          </cell>
        </row>
        <row r="196">
          <cell r="C196">
            <v>500214</v>
          </cell>
          <cell r="D196" t="str">
            <v>SUPERVISÃO DE PRODUÇÃO</v>
          </cell>
        </row>
        <row r="197">
          <cell r="C197">
            <v>500222</v>
          </cell>
          <cell r="D197" t="str">
            <v>CONTROLE DE TRÁFEGO ( CENTRAL)</v>
          </cell>
        </row>
        <row r="198">
          <cell r="C198">
            <v>500224</v>
          </cell>
          <cell r="D198" t="str">
            <v>CONTROLE BIOLÓGICO</v>
          </cell>
        </row>
        <row r="199">
          <cell r="C199">
            <v>500300</v>
          </cell>
          <cell r="D199" t="str">
            <v>ADMINISTRAÇÃO DE RURAL</v>
          </cell>
        </row>
        <row r="200">
          <cell r="C200">
            <v>500302</v>
          </cell>
          <cell r="D200" t="str">
            <v>MDO FISCAIS CAMPO</v>
          </cell>
        </row>
        <row r="201">
          <cell r="C201">
            <v>500304</v>
          </cell>
          <cell r="D201" t="str">
            <v>MDO QUEIMA DE CANA</v>
          </cell>
        </row>
        <row r="202">
          <cell r="C202">
            <v>500306</v>
          </cell>
          <cell r="D202" t="str">
            <v>MDO BITUCA</v>
          </cell>
        </row>
        <row r="203">
          <cell r="C203">
            <v>500308</v>
          </cell>
          <cell r="D203" t="str">
            <v>MDO CATACAO QUIMICA</v>
          </cell>
        </row>
        <row r="204">
          <cell r="C204">
            <v>500310</v>
          </cell>
          <cell r="D204" t="str">
            <v>MDO RURICOLAS - REGIONAIS</v>
          </cell>
        </row>
        <row r="205">
          <cell r="C205">
            <v>500312</v>
          </cell>
          <cell r="D205" t="str">
            <v>ENCARREGADO MDO RURAL</v>
          </cell>
        </row>
        <row r="206">
          <cell r="C206">
            <v>500314</v>
          </cell>
          <cell r="D206" t="str">
            <v>MDO MIGRANTES</v>
          </cell>
        </row>
        <row r="207">
          <cell r="C207">
            <v>500400</v>
          </cell>
          <cell r="D207" t="str">
            <v>FERTIRRIGAÇÃO (ESTRUTURA)</v>
          </cell>
        </row>
        <row r="208">
          <cell r="C208">
            <v>500401</v>
          </cell>
          <cell r="D208" t="str">
            <v>ESTRUTURA DE FERTIRRIGAÇÃO</v>
          </cell>
        </row>
        <row r="209">
          <cell r="C209">
            <v>500402</v>
          </cell>
          <cell r="D209" t="str">
            <v>MANUT. CANAIS DE VINHAÇA</v>
          </cell>
        </row>
        <row r="210">
          <cell r="C210">
            <v>500404</v>
          </cell>
          <cell r="D210" t="str">
            <v>MDO AUX. FERTIRRIGAÇÃO</v>
          </cell>
        </row>
        <row r="211">
          <cell r="C211">
            <v>500406</v>
          </cell>
          <cell r="D211" t="str">
            <v>Distribuição de Vinhaça</v>
          </cell>
        </row>
        <row r="212">
          <cell r="C212">
            <v>500500</v>
          </cell>
          <cell r="D212" t="str">
            <v>MANUTENÇÃO AUTOMOTIVA</v>
          </cell>
        </row>
        <row r="213">
          <cell r="C213">
            <v>500502</v>
          </cell>
          <cell r="D213" t="str">
            <v>OFICINA MECANICA</v>
          </cell>
        </row>
        <row r="214">
          <cell r="C214">
            <v>500506</v>
          </cell>
          <cell r="D214" t="str">
            <v>POSTO DE LAVAGEM/ LUBRIFICAÇÃO</v>
          </cell>
        </row>
        <row r="215">
          <cell r="C215">
            <v>500700</v>
          </cell>
          <cell r="D215" t="str">
            <v>MAO DE OBRA APONTADA</v>
          </cell>
        </row>
        <row r="216">
          <cell r="C216">
            <v>500702</v>
          </cell>
          <cell r="D216" t="str">
            <v>MOTORISTAS TRANSP CANA</v>
          </cell>
        </row>
        <row r="217">
          <cell r="C217">
            <v>500704</v>
          </cell>
          <cell r="D217" t="str">
            <v>MOTORISTAS DIVERSOS</v>
          </cell>
        </row>
        <row r="218">
          <cell r="C218">
            <v>500706</v>
          </cell>
          <cell r="D218" t="str">
            <v>CARREGADORES</v>
          </cell>
        </row>
        <row r="219">
          <cell r="C219">
            <v>500708</v>
          </cell>
          <cell r="D219" t="str">
            <v>REBOCADORES</v>
          </cell>
        </row>
        <row r="220">
          <cell r="C220">
            <v>500710</v>
          </cell>
          <cell r="D220" t="str">
            <v>OPERADORES DE COLHEDORAS</v>
          </cell>
        </row>
        <row r="221">
          <cell r="C221">
            <v>500712</v>
          </cell>
          <cell r="D221" t="str">
            <v>MOTORISTAS TRANSBORDOS</v>
          </cell>
        </row>
        <row r="222">
          <cell r="C222">
            <v>500714</v>
          </cell>
          <cell r="D222" t="str">
            <v>TRATORISTAS MAQ LEVES</v>
          </cell>
        </row>
        <row r="223">
          <cell r="C223">
            <v>500716</v>
          </cell>
          <cell r="D223" t="str">
            <v>TRATORISTAS MAQ MEDIAS</v>
          </cell>
        </row>
        <row r="224">
          <cell r="C224">
            <v>500718</v>
          </cell>
          <cell r="D224" t="str">
            <v>TRATORISTAS MAQ PESADAS</v>
          </cell>
        </row>
        <row r="225">
          <cell r="C225">
            <v>500720</v>
          </cell>
          <cell r="D225" t="str">
            <v>MOTORISTA TRANSPORTE DE APOIO</v>
          </cell>
        </row>
        <row r="226">
          <cell r="C226">
            <v>500722</v>
          </cell>
          <cell r="D226" t="str">
            <v>MDO LÍDERES/FÍSCAIS DE OPERAÇÃO</v>
          </cell>
        </row>
        <row r="227">
          <cell r="C227">
            <v>500726</v>
          </cell>
          <cell r="D227" t="str">
            <v>AUXILIARES CONTROLE BIOLÓGICO</v>
          </cell>
        </row>
        <row r="228">
          <cell r="C228">
            <v>501000</v>
          </cell>
          <cell r="D228" t="str">
            <v>CULTURA DE CANA</v>
          </cell>
        </row>
        <row r="229">
          <cell r="C229">
            <v>501002</v>
          </cell>
          <cell r="D229" t="str">
            <v>PREPARO DE SOLO</v>
          </cell>
        </row>
        <row r="230">
          <cell r="C230">
            <v>501004</v>
          </cell>
          <cell r="D230" t="str">
            <v>COLHEITA DE MUDA</v>
          </cell>
        </row>
        <row r="231">
          <cell r="C231">
            <v>501006</v>
          </cell>
          <cell r="D231" t="str">
            <v>COLHEITA DE MUDA - TERCEIROS</v>
          </cell>
        </row>
        <row r="232">
          <cell r="C232">
            <v>501008</v>
          </cell>
          <cell r="D232" t="str">
            <v>PLANTIO DE CANA</v>
          </cell>
        </row>
        <row r="233">
          <cell r="C233">
            <v>501010</v>
          </cell>
          <cell r="D233" t="str">
            <v>TRATOS CANA PLANTA</v>
          </cell>
        </row>
        <row r="234">
          <cell r="C234">
            <v>501012</v>
          </cell>
          <cell r="D234" t="str">
            <v>TRATOS CANA SOCA</v>
          </cell>
        </row>
        <row r="235">
          <cell r="C235">
            <v>501014</v>
          </cell>
          <cell r="D235" t="str">
            <v>COLHEITA MANUAL</v>
          </cell>
        </row>
        <row r="236">
          <cell r="C236">
            <v>501016</v>
          </cell>
          <cell r="D236" t="str">
            <v>COLHEITA MECANIZADA</v>
          </cell>
        </row>
        <row r="237">
          <cell r="C237">
            <v>501018</v>
          </cell>
          <cell r="D237" t="str">
            <v>Pátio de compostagem</v>
          </cell>
        </row>
        <row r="238">
          <cell r="C238">
            <v>501020</v>
          </cell>
          <cell r="D238" t="str">
            <v>Replantio da cana planta</v>
          </cell>
        </row>
        <row r="239">
          <cell r="C239">
            <v>501022</v>
          </cell>
          <cell r="D239" t="str">
            <v>Replantio da cana soca</v>
          </cell>
        </row>
        <row r="240">
          <cell r="C240">
            <v>501100</v>
          </cell>
          <cell r="D240" t="str">
            <v>OUTRAS CULTURAS</v>
          </cell>
        </row>
        <row r="241">
          <cell r="C241">
            <v>501102</v>
          </cell>
          <cell r="D241" t="str">
            <v>REFLORESTAMENTO</v>
          </cell>
        </row>
        <row r="242">
          <cell r="C242">
            <v>501106</v>
          </cell>
          <cell r="D242" t="str">
            <v>EXPERIMENTO</v>
          </cell>
        </row>
        <row r="243">
          <cell r="C243">
            <v>501108</v>
          </cell>
          <cell r="D243" t="str">
            <v>ADUBACAO VERDE</v>
          </cell>
        </row>
        <row r="244">
          <cell r="C244">
            <v>501112</v>
          </cell>
          <cell r="D244" t="str">
            <v>OUTROS SERVICOS</v>
          </cell>
        </row>
        <row r="245">
          <cell r="C245">
            <v>501202</v>
          </cell>
          <cell r="D245" t="str">
            <v>Desenvolvimento Agronomico</v>
          </cell>
        </row>
        <row r="246">
          <cell r="C246">
            <v>509900</v>
          </cell>
          <cell r="D246" t="str">
            <v>CUSTO FINAL DE PRODUCAO</v>
          </cell>
        </row>
        <row r="247">
          <cell r="C247">
            <v>509902</v>
          </cell>
          <cell r="D247" t="str">
            <v>CUSTO MATERIA-PRIMA</v>
          </cell>
        </row>
        <row r="248">
          <cell r="C248">
            <v>600000</v>
          </cell>
          <cell r="D248" t="str">
            <v>CONSERVACAO GERAL/BENFEITORIAS</v>
          </cell>
        </row>
        <row r="249">
          <cell r="C249">
            <v>600200</v>
          </cell>
          <cell r="D249" t="str">
            <v>CONSERVACAO DE SEDES</v>
          </cell>
        </row>
        <row r="250">
          <cell r="C250">
            <v>600400</v>
          </cell>
          <cell r="D250" t="str">
            <v>CONSTR.E CONSERVACAO DEPENDENCIAS</v>
          </cell>
        </row>
        <row r="251">
          <cell r="C251">
            <v>600600</v>
          </cell>
          <cell r="D251" t="str">
            <v>CONSTR.E CONSERVACAO DE CERCAS</v>
          </cell>
        </row>
        <row r="252">
          <cell r="C252">
            <v>600800</v>
          </cell>
          <cell r="D252" t="str">
            <v>CONSTR.E CONSERVACAO DE ESTRADAS</v>
          </cell>
        </row>
        <row r="253">
          <cell r="C253">
            <v>601000</v>
          </cell>
          <cell r="D253" t="str">
            <v>CONSERVACAO PATIOS - INDUSTRIA</v>
          </cell>
        </row>
        <row r="254">
          <cell r="C254">
            <v>601018</v>
          </cell>
          <cell r="D254" t="str">
            <v>Movimentação de Resíduos Industr</v>
          </cell>
        </row>
        <row r="255">
          <cell r="C255">
            <v>601200</v>
          </cell>
          <cell r="D255" t="str">
            <v>CONSERVACAO PATIOS - ADMINISTRACAO</v>
          </cell>
        </row>
        <row r="256">
          <cell r="C256">
            <v>601400</v>
          </cell>
          <cell r="D256" t="str">
            <v>URBANIZACAO E LIMPEZA</v>
          </cell>
        </row>
        <row r="257">
          <cell r="C257">
            <v>601600</v>
          </cell>
          <cell r="D257" t="str">
            <v>Rede de Tratamento de Água e Esgoto</v>
          </cell>
        </row>
        <row r="258">
          <cell r="C258">
            <v>700000</v>
          </cell>
          <cell r="D258" t="str">
            <v>GRUPOS OPERATIVOS</v>
          </cell>
        </row>
        <row r="259">
          <cell r="C259">
            <v>700100</v>
          </cell>
          <cell r="D259" t="str">
            <v>CAMINHOES</v>
          </cell>
        </row>
        <row r="260">
          <cell r="C260">
            <v>700102</v>
          </cell>
          <cell r="D260" t="str">
            <v>CAMINHOES CANAVIEIRO</v>
          </cell>
        </row>
        <row r="261">
          <cell r="C261">
            <v>700104</v>
          </cell>
          <cell r="D261" t="str">
            <v>CAMINHOES BASCULANTE</v>
          </cell>
        </row>
        <row r="262">
          <cell r="C262">
            <v>700106</v>
          </cell>
          <cell r="D262" t="str">
            <v>CAMINHOES PIPA ( ALUGADO )</v>
          </cell>
        </row>
        <row r="263">
          <cell r="C263">
            <v>700108</v>
          </cell>
          <cell r="D263" t="str">
            <v>CAMINHOES COMBOIO</v>
          </cell>
        </row>
        <row r="264">
          <cell r="C264">
            <v>700110</v>
          </cell>
          <cell r="D264" t="str">
            <v>CAMINHOES CARGA SECA</v>
          </cell>
        </row>
        <row r="265">
          <cell r="C265">
            <v>700112</v>
          </cell>
          <cell r="D265" t="str">
            <v>CAMINHOES PRANCHA</v>
          </cell>
        </row>
        <row r="266">
          <cell r="C266">
            <v>700114</v>
          </cell>
          <cell r="D266" t="str">
            <v>CAMINHOES TRANSP ACUCAR</v>
          </cell>
        </row>
        <row r="267">
          <cell r="C267">
            <v>700116</v>
          </cell>
          <cell r="D267" t="str">
            <v>CAVALO MECANICO</v>
          </cell>
        </row>
        <row r="268">
          <cell r="C268">
            <v>700200</v>
          </cell>
          <cell r="D268" t="str">
            <v>TRATORES/MAQUINAS/COLHEDORAS</v>
          </cell>
        </row>
        <row r="269">
          <cell r="C269">
            <v>700202</v>
          </cell>
          <cell r="D269" t="str">
            <v>TRATORES PNEUS - LEVES</v>
          </cell>
        </row>
        <row r="270">
          <cell r="C270">
            <v>700204</v>
          </cell>
          <cell r="D270" t="str">
            <v>TRATORES PNEUS - MEDIOS ( ALUGADO )</v>
          </cell>
        </row>
        <row r="271">
          <cell r="C271">
            <v>700206</v>
          </cell>
          <cell r="D271" t="str">
            <v>TRATORES PNEUS - PESADOS</v>
          </cell>
        </row>
        <row r="272">
          <cell r="C272">
            <v>700208</v>
          </cell>
          <cell r="D272" t="str">
            <v>TRATORES ESTEIRAS ( ALUGADO )</v>
          </cell>
        </row>
        <row r="273">
          <cell r="C273">
            <v>700209</v>
          </cell>
          <cell r="D273" t="str">
            <v>TRATORES ESTEIRAS ( PROPRIO )</v>
          </cell>
        </row>
        <row r="274">
          <cell r="C274">
            <v>700210</v>
          </cell>
          <cell r="D274" t="str">
            <v>RETRO ESCAVADORAS</v>
          </cell>
        </row>
        <row r="275">
          <cell r="C275">
            <v>700212</v>
          </cell>
          <cell r="D275" t="str">
            <v>MOTONIVELADORAS</v>
          </cell>
        </row>
        <row r="276">
          <cell r="C276">
            <v>700214</v>
          </cell>
          <cell r="D276" t="str">
            <v>PA CARREGADORAS</v>
          </cell>
        </row>
        <row r="277">
          <cell r="C277">
            <v>700216</v>
          </cell>
          <cell r="D277" t="str">
            <v>CARREGADORAS DE CANA</v>
          </cell>
        </row>
        <row r="278">
          <cell r="C278">
            <v>700218</v>
          </cell>
          <cell r="D278" t="str">
            <v>COLHEDORAS DE CANA</v>
          </cell>
        </row>
        <row r="279">
          <cell r="C279">
            <v>700220</v>
          </cell>
          <cell r="D279" t="str">
            <v>Plantadeira de Cana</v>
          </cell>
        </row>
        <row r="280">
          <cell r="C280">
            <v>700222</v>
          </cell>
          <cell r="D280" t="str">
            <v>TRATORES PNEUS-SUPER PESADOS(ALUGADOS)</v>
          </cell>
        </row>
        <row r="281">
          <cell r="C281">
            <v>700223</v>
          </cell>
          <cell r="D281" t="str">
            <v>TRATORES PNEUS-SUPER PESADOS(PRÓPRIOS)</v>
          </cell>
        </row>
        <row r="282">
          <cell r="C282">
            <v>700224</v>
          </cell>
          <cell r="D282" t="str">
            <v>CAMINHÕES TRANSBORDOS (ALUGADOS)</v>
          </cell>
        </row>
        <row r="283">
          <cell r="C283">
            <v>700225</v>
          </cell>
          <cell r="D283" t="str">
            <v>CAMINHÕES TRANSBORDOS (PRÓPRIO)</v>
          </cell>
        </row>
        <row r="284">
          <cell r="C284">
            <v>700300</v>
          </cell>
          <cell r="D284" t="str">
            <v>VEICULOS/UTILITARIOS/ONIBUS</v>
          </cell>
        </row>
        <row r="285">
          <cell r="C285">
            <v>700302</v>
          </cell>
          <cell r="D285" t="str">
            <v>VEICULOS LEVES</v>
          </cell>
        </row>
        <row r="286">
          <cell r="C286">
            <v>700304</v>
          </cell>
          <cell r="D286" t="str">
            <v>CAMINHONETAS/UTILITARIOS</v>
          </cell>
        </row>
        <row r="287">
          <cell r="C287">
            <v>701200</v>
          </cell>
          <cell r="D287" t="str">
            <v>IMPLEMENTOS</v>
          </cell>
        </row>
        <row r="288">
          <cell r="C288">
            <v>701202</v>
          </cell>
          <cell r="D288" t="str">
            <v>ACERADORES DE CANA</v>
          </cell>
        </row>
        <row r="289">
          <cell r="C289">
            <v>701204</v>
          </cell>
          <cell r="D289" t="str">
            <v>ARADORES</v>
          </cell>
        </row>
        <row r="290">
          <cell r="C290">
            <v>701206</v>
          </cell>
          <cell r="D290" t="str">
            <v>CARRETAS DE ARRASTO</v>
          </cell>
        </row>
        <row r="291">
          <cell r="C291">
            <v>701208</v>
          </cell>
          <cell r="D291" t="str">
            <v>CARROCERIAS</v>
          </cell>
        </row>
        <row r="292">
          <cell r="C292">
            <v>701210</v>
          </cell>
          <cell r="D292" t="str">
            <v>COBRIDORES DE CANA</v>
          </cell>
        </row>
        <row r="293">
          <cell r="C293">
            <v>701212</v>
          </cell>
          <cell r="D293" t="str">
            <v>CONJUNTO DE IRRIGACAO (ROLAO)</v>
          </cell>
        </row>
        <row r="294">
          <cell r="C294">
            <v>701214</v>
          </cell>
          <cell r="D294" t="str">
            <v>CULTIVADORES</v>
          </cell>
        </row>
        <row r="295">
          <cell r="C295">
            <v>701216</v>
          </cell>
          <cell r="D295" t="str">
            <v>DISTRIBUIDORES DE CALCARIO</v>
          </cell>
        </row>
        <row r="296">
          <cell r="C296">
            <v>701218</v>
          </cell>
          <cell r="D296" t="str">
            <v>DISTRIBUIDORES DE TORTA</v>
          </cell>
        </row>
        <row r="297">
          <cell r="C297">
            <v>701220</v>
          </cell>
          <cell r="D297" t="str">
            <v>ENLEIRADORES DE PALHA</v>
          </cell>
        </row>
        <row r="298">
          <cell r="C298">
            <v>701222</v>
          </cell>
          <cell r="D298" t="str">
            <v>ESTEIRA DE ADUBO</v>
          </cell>
        </row>
        <row r="299">
          <cell r="C299">
            <v>701224</v>
          </cell>
          <cell r="D299" t="str">
            <v>GRADES ARADORAS</v>
          </cell>
        </row>
        <row r="300">
          <cell r="C300">
            <v>701226</v>
          </cell>
          <cell r="D300" t="str">
            <v>GRADES NIVELADORAS</v>
          </cell>
        </row>
        <row r="301">
          <cell r="C301">
            <v>701228</v>
          </cell>
          <cell r="D301" t="str">
            <v>GUINCHO HIDRAULICO</v>
          </cell>
        </row>
        <row r="302">
          <cell r="C302">
            <v>701230</v>
          </cell>
          <cell r="D302" t="str">
            <v>IMPLEMENTOS DIVERSOS</v>
          </cell>
        </row>
        <row r="303">
          <cell r="C303">
            <v>701232</v>
          </cell>
          <cell r="D303" t="str">
            <v>MOTOBOMBAS</v>
          </cell>
        </row>
        <row r="304">
          <cell r="C304">
            <v>701234</v>
          </cell>
          <cell r="D304" t="str">
            <v>MOTORES ESTACIONARIOS</v>
          </cell>
        </row>
        <row r="305">
          <cell r="C305">
            <v>701236</v>
          </cell>
          <cell r="D305" t="str">
            <v>MOTOSSERA</v>
          </cell>
        </row>
        <row r="306">
          <cell r="C306">
            <v>701238</v>
          </cell>
          <cell r="D306" t="str">
            <v>PULVERIZADORES</v>
          </cell>
        </row>
        <row r="307">
          <cell r="C307">
            <v>701240</v>
          </cell>
          <cell r="D307" t="str">
            <v>REBOQUES CANAVIEIROS</v>
          </cell>
        </row>
        <row r="308">
          <cell r="C308">
            <v>701242</v>
          </cell>
          <cell r="D308" t="str">
            <v>ROCADEIRAS</v>
          </cell>
        </row>
        <row r="309">
          <cell r="C309">
            <v>701244</v>
          </cell>
          <cell r="D309" t="str">
            <v>SUBSOLADORES</v>
          </cell>
        </row>
        <row r="310">
          <cell r="C310">
            <v>701246</v>
          </cell>
          <cell r="D310" t="str">
            <v>SULCADORES</v>
          </cell>
        </row>
        <row r="311">
          <cell r="C311">
            <v>701248</v>
          </cell>
          <cell r="D311" t="str">
            <v>TANQUES DE AGUA</v>
          </cell>
        </row>
        <row r="312">
          <cell r="C312">
            <v>701250</v>
          </cell>
          <cell r="D312" t="str">
            <v>TERRACEADORES</v>
          </cell>
        </row>
        <row r="313">
          <cell r="C313">
            <v>701252</v>
          </cell>
          <cell r="D313" t="str">
            <v>TOMADOR DE AMOSTRA</v>
          </cell>
        </row>
        <row r="314">
          <cell r="C314">
            <v>701254</v>
          </cell>
          <cell r="D314" t="str">
            <v>CONJ. TRANSBORDO (ALUGADO)</v>
          </cell>
        </row>
        <row r="315">
          <cell r="C315">
            <v>701255</v>
          </cell>
          <cell r="D315" t="str">
            <v>CONJ. TRANSBORDO (PRÓPRIO)</v>
          </cell>
        </row>
        <row r="316">
          <cell r="C316">
            <v>709900</v>
          </cell>
          <cell r="D316" t="str">
            <v>EQUIPAMENTOS DIVERSOS (T)</v>
          </cell>
        </row>
        <row r="317">
          <cell r="C317">
            <v>709902</v>
          </cell>
          <cell r="D317" t="str">
            <v>EQUIPAMENTOS DIVERSOS (T)</v>
          </cell>
        </row>
        <row r="318">
          <cell r="C318">
            <v>709912</v>
          </cell>
          <cell r="D318" t="str">
            <v>Eqptos Fornecedores/Acionistas-Diesel</v>
          </cell>
        </row>
        <row r="319">
          <cell r="C319">
            <v>709916</v>
          </cell>
          <cell r="D319" t="str">
            <v>Equipamentos Transporte Açúcar</v>
          </cell>
        </row>
        <row r="320">
          <cell r="C320">
            <v>800000</v>
          </cell>
          <cell r="D320" t="str">
            <v>OUTROS SERVIÃOS NA LAVOURA</v>
          </cell>
        </row>
        <row r="321">
          <cell r="C321">
            <v>801000</v>
          </cell>
          <cell r="D321" t="str">
            <v>CULTURA DE CANA</v>
          </cell>
        </row>
        <row r="322">
          <cell r="C322">
            <v>801002</v>
          </cell>
          <cell r="D322" t="str">
            <v>PREPARO DE SOLO</v>
          </cell>
        </row>
        <row r="323">
          <cell r="C323">
            <v>801004</v>
          </cell>
          <cell r="D323" t="str">
            <v>COLHEITA DE MUDA</v>
          </cell>
        </row>
        <row r="324">
          <cell r="C324">
            <v>801006</v>
          </cell>
          <cell r="D324" t="str">
            <v>COLHEITA DE MUDA</v>
          </cell>
        </row>
        <row r="325">
          <cell r="C325">
            <v>801008</v>
          </cell>
          <cell r="D325" t="str">
            <v>PLANTIO DE CANA</v>
          </cell>
        </row>
        <row r="326">
          <cell r="C326">
            <v>801010</v>
          </cell>
          <cell r="D326" t="str">
            <v>TRATOS CANA PLANTA</v>
          </cell>
        </row>
        <row r="327">
          <cell r="C327">
            <v>801012</v>
          </cell>
          <cell r="D327" t="str">
            <v>TRATOS CANA SOCA</v>
          </cell>
        </row>
        <row r="328">
          <cell r="C328">
            <v>801014</v>
          </cell>
          <cell r="D328" t="str">
            <v>COLHEITA MANUAL</v>
          </cell>
        </row>
        <row r="329">
          <cell r="C329">
            <v>801016</v>
          </cell>
          <cell r="D329" t="str">
            <v>COLHEITA MECANIZADA</v>
          </cell>
        </row>
        <row r="330">
          <cell r="C330">
            <v>801020</v>
          </cell>
          <cell r="D330" t="str">
            <v>Replantio da cana planta</v>
          </cell>
        </row>
        <row r="331">
          <cell r="C331">
            <v>801022</v>
          </cell>
          <cell r="D331" t="str">
            <v>Replantio da cana soca</v>
          </cell>
        </row>
        <row r="332">
          <cell r="C332">
            <v>900000</v>
          </cell>
          <cell r="D332" t="str">
            <v>CENTRO DE CUSTO PARA RATEIO</v>
          </cell>
        </row>
        <row r="333">
          <cell r="C333">
            <v>900100</v>
          </cell>
          <cell r="D333" t="str">
            <v>CENTRO DE CUSTO PARA RATEIO</v>
          </cell>
        </row>
        <row r="334">
          <cell r="C334">
            <v>900102</v>
          </cell>
          <cell r="D334" t="str">
            <v>CENTRO DE CUSTO PARA RATEIO</v>
          </cell>
        </row>
        <row r="335">
          <cell r="C335">
            <v>900104</v>
          </cell>
          <cell r="D335" t="str">
            <v>IMPLANTAÇÃO DE SALDO</v>
          </cell>
        </row>
        <row r="336">
          <cell r="C336">
            <v>100000</v>
          </cell>
          <cell r="D336" t="str">
            <v>DIRETORIA/CONSELHO/SUPERINTENDENCI</v>
          </cell>
        </row>
        <row r="337">
          <cell r="C337">
            <v>100100</v>
          </cell>
          <cell r="D337" t="str">
            <v>CONSELHO DE ADMINISTRACAO/FISCAL</v>
          </cell>
        </row>
        <row r="338">
          <cell r="C338">
            <v>100102</v>
          </cell>
          <cell r="D338" t="str">
            <v>CONSELHEIRO ADMINISTRATIVO/FISCAL</v>
          </cell>
        </row>
        <row r="339">
          <cell r="C339">
            <v>100104</v>
          </cell>
          <cell r="D339" t="str">
            <v>CONSELHO CONSULTIVO</v>
          </cell>
        </row>
        <row r="340">
          <cell r="C340">
            <v>100106</v>
          </cell>
          <cell r="D340" t="str">
            <v>CONSELHO FISCAL</v>
          </cell>
        </row>
        <row r="341">
          <cell r="C341">
            <v>100199</v>
          </cell>
          <cell r="D341" t="str">
            <v>Manutenção de Entressafra</v>
          </cell>
        </row>
        <row r="342">
          <cell r="C342">
            <v>100200</v>
          </cell>
          <cell r="D342" t="str">
            <v>DIRETORIA</v>
          </cell>
        </row>
        <row r="343">
          <cell r="C343">
            <v>100202</v>
          </cell>
          <cell r="D343" t="str">
            <v>DIRETOR PRESIDENTE</v>
          </cell>
        </row>
        <row r="344">
          <cell r="C344">
            <v>100204</v>
          </cell>
          <cell r="D344" t="str">
            <v>DIRETOR EXECUTIVO</v>
          </cell>
        </row>
        <row r="345">
          <cell r="C345">
            <v>100206</v>
          </cell>
          <cell r="D345" t="str">
            <v>SECRETARIA</v>
          </cell>
        </row>
        <row r="346">
          <cell r="C346">
            <v>100207</v>
          </cell>
          <cell r="D346" t="str">
            <v>Diretor Administrativo/Financeiro</v>
          </cell>
        </row>
        <row r="347">
          <cell r="C347">
            <v>100208</v>
          </cell>
          <cell r="D347" t="str">
            <v>Diretor Comercial</v>
          </cell>
        </row>
        <row r="348">
          <cell r="C348">
            <v>100210</v>
          </cell>
          <cell r="D348" t="str">
            <v>Relação com Investidores</v>
          </cell>
        </row>
        <row r="349">
          <cell r="C349">
            <v>100299</v>
          </cell>
          <cell r="D349" t="str">
            <v>Manutenção de Entressafra</v>
          </cell>
        </row>
        <row r="350">
          <cell r="C350">
            <v>100300</v>
          </cell>
          <cell r="D350" t="str">
            <v>SUPERINTENDENCIA</v>
          </cell>
        </row>
        <row r="351">
          <cell r="C351">
            <v>100302</v>
          </cell>
          <cell r="D351" t="str">
            <v>SUP.CONTROLADORIA E GESTAO</v>
          </cell>
        </row>
        <row r="352">
          <cell r="C352">
            <v>100304</v>
          </cell>
          <cell r="D352" t="str">
            <v>SUP.PRODUCAO INDUSTRIAL E AGRICOLA</v>
          </cell>
        </row>
        <row r="353">
          <cell r="C353">
            <v>100306</v>
          </cell>
          <cell r="D353" t="str">
            <v>SUP.FINANCEIRA</v>
          </cell>
        </row>
        <row r="354">
          <cell r="C354">
            <v>100308</v>
          </cell>
          <cell r="D354" t="str">
            <v>SUP.COMERCIAL</v>
          </cell>
        </row>
        <row r="355">
          <cell r="C355">
            <v>100399</v>
          </cell>
          <cell r="D355" t="str">
            <v>Manutenção de Entressafra</v>
          </cell>
        </row>
        <row r="356">
          <cell r="C356">
            <v>100400</v>
          </cell>
          <cell r="D356" t="str">
            <v>ESCRITORIO DE SAO PAULO</v>
          </cell>
        </row>
        <row r="357">
          <cell r="C357">
            <v>100402</v>
          </cell>
          <cell r="D357" t="str">
            <v>ESCRITORIO DE SÃO PAULO - MATRIZ</v>
          </cell>
        </row>
        <row r="358">
          <cell r="C358">
            <v>100499</v>
          </cell>
          <cell r="D358" t="str">
            <v>Manutenção de Entressafra</v>
          </cell>
        </row>
        <row r="359">
          <cell r="C359">
            <v>100500</v>
          </cell>
          <cell r="D359" t="str">
            <v>ASSESSORIA DE IMPRENSA</v>
          </cell>
        </row>
        <row r="360">
          <cell r="C360">
            <v>100501</v>
          </cell>
          <cell r="D360" t="str">
            <v>ASSESSORIA DE IMPRENSA</v>
          </cell>
        </row>
        <row r="361">
          <cell r="C361">
            <v>200000</v>
          </cell>
          <cell r="D361" t="str">
            <v>ADMINISTRACAO CORPORATIVA</v>
          </cell>
        </row>
        <row r="362">
          <cell r="C362">
            <v>200100</v>
          </cell>
          <cell r="D362" t="str">
            <v>GERENCIA ADMINISTRATIVA</v>
          </cell>
        </row>
        <row r="363">
          <cell r="C363">
            <v>200102</v>
          </cell>
          <cell r="D363" t="str">
            <v>ADMINISTRACAO CORPORATIVA</v>
          </cell>
        </row>
        <row r="364">
          <cell r="C364">
            <v>200103</v>
          </cell>
          <cell r="D364" t="str">
            <v>DESPESAS DE CAPACITAÇÕES</v>
          </cell>
        </row>
        <row r="365">
          <cell r="C365">
            <v>200199</v>
          </cell>
          <cell r="D365" t="str">
            <v>Manutenção de Entressafra</v>
          </cell>
        </row>
        <row r="366">
          <cell r="C366">
            <v>200200</v>
          </cell>
          <cell r="D366" t="str">
            <v>DEPTO CONTABILIDADE</v>
          </cell>
        </row>
        <row r="367">
          <cell r="C367">
            <v>200202</v>
          </cell>
          <cell r="D367" t="str">
            <v>CONTABILIDADE PATRIMONIAL</v>
          </cell>
        </row>
        <row r="368">
          <cell r="C368">
            <v>200204</v>
          </cell>
          <cell r="D368" t="str">
            <v>CONSULTORIA EXTERNA</v>
          </cell>
        </row>
        <row r="369">
          <cell r="C369">
            <v>200299</v>
          </cell>
          <cell r="D369" t="str">
            <v>Manutenção de Entressafra</v>
          </cell>
        </row>
        <row r="370">
          <cell r="C370">
            <v>200300</v>
          </cell>
          <cell r="D370" t="str">
            <v>Departamento Fiscal</v>
          </cell>
        </row>
        <row r="371">
          <cell r="C371">
            <v>200302</v>
          </cell>
          <cell r="D371" t="str">
            <v>Fiscal</v>
          </cell>
        </row>
        <row r="372">
          <cell r="C372">
            <v>200400</v>
          </cell>
          <cell r="D372" t="str">
            <v>RECURSOS HUMANOS</v>
          </cell>
        </row>
        <row r="373">
          <cell r="C373">
            <v>200402</v>
          </cell>
          <cell r="D373" t="str">
            <v>ADMINISTRAÇÃO DE RECURSOS HUMANOS</v>
          </cell>
        </row>
        <row r="374">
          <cell r="C374">
            <v>200404</v>
          </cell>
          <cell r="D374" t="str">
            <v>CARGOS E SALARIOS</v>
          </cell>
        </row>
        <row r="375">
          <cell r="C375">
            <v>200406</v>
          </cell>
          <cell r="D375" t="str">
            <v>ADMINISTRAÇÃO DE PESSOAL</v>
          </cell>
        </row>
        <row r="376">
          <cell r="C376">
            <v>200408</v>
          </cell>
          <cell r="D376" t="str">
            <v>RECRUTAMENTO E SELEÇÃO</v>
          </cell>
        </row>
        <row r="377">
          <cell r="C377">
            <v>200410</v>
          </cell>
          <cell r="D377" t="str">
            <v>ASSISTÊNCIA SOCIAL</v>
          </cell>
        </row>
        <row r="378">
          <cell r="C378">
            <v>200499</v>
          </cell>
          <cell r="D378" t="str">
            <v>Manutenção de Entressafra</v>
          </cell>
        </row>
        <row r="379">
          <cell r="C379">
            <v>200600</v>
          </cell>
          <cell r="D379" t="str">
            <v>CUSTO E ORCAMENTO</v>
          </cell>
        </row>
        <row r="380">
          <cell r="C380">
            <v>200602</v>
          </cell>
          <cell r="D380" t="str">
            <v>CUSTO E ORÇAMENTO</v>
          </cell>
        </row>
        <row r="381">
          <cell r="C381">
            <v>200699</v>
          </cell>
          <cell r="D381" t="str">
            <v>Manutenção de Entressafra</v>
          </cell>
        </row>
        <row r="382">
          <cell r="C382">
            <v>200700</v>
          </cell>
          <cell r="D382" t="str">
            <v>Administração de Contratos</v>
          </cell>
        </row>
        <row r="383">
          <cell r="C383">
            <v>200702</v>
          </cell>
          <cell r="D383" t="str">
            <v>Contratos</v>
          </cell>
        </row>
        <row r="384">
          <cell r="C384">
            <v>200800</v>
          </cell>
          <cell r="D384" t="str">
            <v>TECNOLOGIA DA INFORMACAO</v>
          </cell>
        </row>
        <row r="385">
          <cell r="C385">
            <v>200802</v>
          </cell>
          <cell r="D385" t="str">
            <v>TECNOLOGIA DA INFORMAÇÃO</v>
          </cell>
        </row>
        <row r="386">
          <cell r="C386">
            <v>200899</v>
          </cell>
          <cell r="D386" t="str">
            <v>Manutenção de Entressafra</v>
          </cell>
        </row>
        <row r="387">
          <cell r="C387">
            <v>201000</v>
          </cell>
          <cell r="D387" t="str">
            <v>SUPRIMENTOS</v>
          </cell>
        </row>
        <row r="388">
          <cell r="C388">
            <v>201002</v>
          </cell>
          <cell r="D388" t="str">
            <v>COMPRAS</v>
          </cell>
        </row>
        <row r="389">
          <cell r="C389">
            <v>201099</v>
          </cell>
          <cell r="D389" t="str">
            <v>Manutenção de Entressafra</v>
          </cell>
        </row>
        <row r="390">
          <cell r="C390">
            <v>201200</v>
          </cell>
          <cell r="D390" t="str">
            <v>COMERCIAL</v>
          </cell>
        </row>
        <row r="391">
          <cell r="C391">
            <v>201202</v>
          </cell>
          <cell r="D391" t="str">
            <v>COMERCIAL</v>
          </cell>
        </row>
        <row r="392">
          <cell r="C392">
            <v>201204</v>
          </cell>
          <cell r="D392" t="str">
            <v>COMERCIALIZAÇÃO</v>
          </cell>
        </row>
        <row r="393">
          <cell r="C393">
            <v>201299</v>
          </cell>
          <cell r="D393" t="str">
            <v>Manutenção de Entressafra</v>
          </cell>
        </row>
        <row r="394">
          <cell r="C394">
            <v>201400</v>
          </cell>
          <cell r="D394" t="str">
            <v>FINANCEIRO</v>
          </cell>
        </row>
        <row r="395">
          <cell r="C395">
            <v>201402</v>
          </cell>
          <cell r="D395" t="str">
            <v>GERENCIA FINANCEIRA</v>
          </cell>
        </row>
        <row r="396">
          <cell r="C396">
            <v>201404</v>
          </cell>
          <cell r="D396" t="str">
            <v>TESOURARIA</v>
          </cell>
        </row>
        <row r="397">
          <cell r="C397">
            <v>201499</v>
          </cell>
          <cell r="D397" t="str">
            <v>Manutenção de Entressafra</v>
          </cell>
        </row>
        <row r="398">
          <cell r="C398">
            <v>201600</v>
          </cell>
          <cell r="D398" t="str">
            <v>JURIDICO</v>
          </cell>
        </row>
        <row r="399">
          <cell r="C399">
            <v>201602</v>
          </cell>
          <cell r="D399" t="str">
            <v>JURÍDICO</v>
          </cell>
        </row>
        <row r="400">
          <cell r="C400">
            <v>201604</v>
          </cell>
          <cell r="D400" t="str">
            <v>CONSULTORIA JURÍDICA EXTERNA</v>
          </cell>
        </row>
        <row r="401">
          <cell r="C401">
            <v>201699</v>
          </cell>
          <cell r="D401" t="str">
            <v>Manutenção de Entressafra</v>
          </cell>
        </row>
        <row r="402">
          <cell r="C402">
            <v>201800</v>
          </cell>
          <cell r="D402" t="str">
            <v>CONTROLE INTERNO</v>
          </cell>
        </row>
        <row r="403">
          <cell r="C403">
            <v>201802</v>
          </cell>
          <cell r="D403" t="str">
            <v>CONTROLE INTERNO</v>
          </cell>
        </row>
        <row r="404">
          <cell r="C404">
            <v>201899</v>
          </cell>
          <cell r="D404" t="str">
            <v>Manutenção de Entressafra</v>
          </cell>
        </row>
        <row r="405">
          <cell r="C405">
            <v>202000</v>
          </cell>
          <cell r="D405" t="str">
            <v>MEIO AMBIEMTE</v>
          </cell>
        </row>
        <row r="406">
          <cell r="C406">
            <v>202002</v>
          </cell>
          <cell r="D406" t="str">
            <v>MEIO AMBIENTE</v>
          </cell>
        </row>
        <row r="407">
          <cell r="C407">
            <v>202099</v>
          </cell>
          <cell r="D407" t="str">
            <v>Manutenção de Entressafra</v>
          </cell>
        </row>
        <row r="408">
          <cell r="C408">
            <v>300000</v>
          </cell>
          <cell r="D408" t="str">
            <v>ADMINISTRACAO LOCAL</v>
          </cell>
        </row>
        <row r="409">
          <cell r="C409">
            <v>300200</v>
          </cell>
          <cell r="D409" t="str">
            <v>DEPTO CONTABIL</v>
          </cell>
        </row>
        <row r="410">
          <cell r="C410">
            <v>300206</v>
          </cell>
          <cell r="D410" t="str">
            <v>FATURAMENTO</v>
          </cell>
        </row>
        <row r="411">
          <cell r="C411">
            <v>300208</v>
          </cell>
          <cell r="D411" t="str">
            <v>RECEBIMENTO</v>
          </cell>
        </row>
        <row r="412">
          <cell r="C412">
            <v>300210</v>
          </cell>
          <cell r="D412" t="str">
            <v>BALANÇA ENTRADA CANA</v>
          </cell>
        </row>
        <row r="413">
          <cell r="C413">
            <v>300299</v>
          </cell>
          <cell r="D413" t="str">
            <v>Manutenção de Entressafra</v>
          </cell>
        </row>
        <row r="414">
          <cell r="C414">
            <v>300400</v>
          </cell>
          <cell r="D414" t="str">
            <v>RECURSOS HUMANOS</v>
          </cell>
        </row>
        <row r="415">
          <cell r="C415">
            <v>300404</v>
          </cell>
          <cell r="D415" t="str">
            <v>ADMINISTRACAO DE PESSOAL</v>
          </cell>
        </row>
        <row r="416">
          <cell r="C416">
            <v>300410</v>
          </cell>
          <cell r="D416" t="str">
            <v>MEDICINA DO TRABALHO</v>
          </cell>
        </row>
        <row r="417">
          <cell r="C417">
            <v>300412</v>
          </cell>
          <cell r="D417" t="str">
            <v>SEGURANCA DO TRABALHO</v>
          </cell>
        </row>
        <row r="418">
          <cell r="C418">
            <v>300414</v>
          </cell>
          <cell r="D418" t="str">
            <v>SEGURANCA PATRIMONIAL</v>
          </cell>
        </row>
        <row r="419">
          <cell r="C419">
            <v>300416</v>
          </cell>
          <cell r="D419" t="str">
            <v>RESTAURANTE</v>
          </cell>
        </row>
        <row r="420">
          <cell r="C420">
            <v>300418</v>
          </cell>
          <cell r="D420" t="str">
            <v>ALOJAMENTO</v>
          </cell>
        </row>
        <row r="421">
          <cell r="C421">
            <v>300420</v>
          </cell>
          <cell r="D421" t="str">
            <v>RECEPCAO, COPA E COZINHA</v>
          </cell>
        </row>
        <row r="422">
          <cell r="C422">
            <v>300499</v>
          </cell>
          <cell r="D422" t="str">
            <v>Manutenção de Entressafra</v>
          </cell>
        </row>
        <row r="423">
          <cell r="C423">
            <v>300600</v>
          </cell>
          <cell r="D423" t="str">
            <v>ADMINISTRAÇÃO GERAL</v>
          </cell>
        </row>
        <row r="424">
          <cell r="C424">
            <v>300602</v>
          </cell>
          <cell r="D424" t="str">
            <v>ADMINISTRAÇÃO GERAL</v>
          </cell>
        </row>
        <row r="425">
          <cell r="C425">
            <v>300604</v>
          </cell>
          <cell r="D425" t="str">
            <v>Gerência Geral</v>
          </cell>
        </row>
        <row r="426">
          <cell r="C426">
            <v>300606</v>
          </cell>
          <cell r="D426" t="str">
            <v>Ger.Administracao de Risco e Auditoria</v>
          </cell>
        </row>
        <row r="427">
          <cell r="C427">
            <v>300699</v>
          </cell>
          <cell r="D427" t="str">
            <v>Manutenção de Entressafra</v>
          </cell>
        </row>
        <row r="428">
          <cell r="C428">
            <v>300800</v>
          </cell>
          <cell r="D428" t="str">
            <v>TECNOLOGIA DA INFORMACAO</v>
          </cell>
        </row>
        <row r="429">
          <cell r="C429">
            <v>300802</v>
          </cell>
          <cell r="D429" t="str">
            <v>TECNOLOGIA DA INFORMAÇÃO</v>
          </cell>
        </row>
        <row r="430">
          <cell r="C430">
            <v>300899</v>
          </cell>
          <cell r="D430" t="str">
            <v>Manutenção de Entressafra</v>
          </cell>
        </row>
        <row r="431">
          <cell r="C431">
            <v>301000</v>
          </cell>
          <cell r="D431" t="str">
            <v>SUPRIMENTOS</v>
          </cell>
        </row>
        <row r="432">
          <cell r="C432">
            <v>301002</v>
          </cell>
          <cell r="D432" t="str">
            <v>Almoxarifado Automotivo</v>
          </cell>
        </row>
        <row r="433">
          <cell r="C433">
            <v>301004</v>
          </cell>
          <cell r="D433" t="str">
            <v>Almoxarifado Industrial</v>
          </cell>
        </row>
        <row r="434">
          <cell r="C434">
            <v>301006</v>
          </cell>
          <cell r="D434" t="str">
            <v>POSTO ABASTECIMENTO</v>
          </cell>
        </row>
        <row r="435">
          <cell r="C435">
            <v>301099</v>
          </cell>
          <cell r="D435" t="str">
            <v>Manutenção de Entressafra</v>
          </cell>
        </row>
        <row r="436">
          <cell r="C436">
            <v>301200</v>
          </cell>
          <cell r="D436" t="str">
            <v>DEPTO COMERCIAL</v>
          </cell>
        </row>
        <row r="437">
          <cell r="C437">
            <v>301202</v>
          </cell>
          <cell r="D437" t="str">
            <v>ARMAZENAGEM DE ALCOOL</v>
          </cell>
        </row>
        <row r="438">
          <cell r="C438">
            <v>301204</v>
          </cell>
          <cell r="D438" t="str">
            <v>ARMAZENAGEM DE ACUCAR</v>
          </cell>
        </row>
        <row r="439">
          <cell r="C439">
            <v>301206</v>
          </cell>
          <cell r="D439" t="str">
            <v>CARREGAMENTO</v>
          </cell>
        </row>
        <row r="440">
          <cell r="C440">
            <v>301208</v>
          </cell>
          <cell r="D440" t="str">
            <v>LOGISTICA E TRANSPORTE</v>
          </cell>
        </row>
        <row r="441">
          <cell r="C441">
            <v>301290</v>
          </cell>
          <cell r="D441" t="str">
            <v>LOGISTICA E TRANSPORTE</v>
          </cell>
        </row>
        <row r="442">
          <cell r="C442">
            <v>301299</v>
          </cell>
          <cell r="D442" t="str">
            <v>Manutenção de Entressafra</v>
          </cell>
        </row>
        <row r="443">
          <cell r="C443">
            <v>302001</v>
          </cell>
          <cell r="D443" t="str">
            <v>Apoio Operacional</v>
          </cell>
        </row>
        <row r="444">
          <cell r="C444">
            <v>399990</v>
          </cell>
          <cell r="D444" t="str">
            <v>C.CUSTO PARA NÃO SER VALIDADO PELO ORÇAM</v>
          </cell>
        </row>
        <row r="445">
          <cell r="C445">
            <v>399991</v>
          </cell>
          <cell r="D445" t="str">
            <v>C.CUSTO PARA NÃO SER VALIDADO PELO ORÇAM</v>
          </cell>
        </row>
        <row r="446">
          <cell r="C446">
            <v>399999</v>
          </cell>
          <cell r="D446" t="str">
            <v>Manutenção de Entressafra</v>
          </cell>
        </row>
        <row r="447">
          <cell r="C447">
            <v>400000</v>
          </cell>
          <cell r="D447" t="str">
            <v>GERENCIA INDUSTRIAL</v>
          </cell>
        </row>
        <row r="448">
          <cell r="C448">
            <v>400100</v>
          </cell>
          <cell r="D448" t="str">
            <v>GERENCIA INDUSTRIAL</v>
          </cell>
        </row>
        <row r="449">
          <cell r="C449">
            <v>400101</v>
          </cell>
          <cell r="D449" t="str">
            <v>Gerência Industrial Corporativa</v>
          </cell>
        </row>
        <row r="450">
          <cell r="C450">
            <v>400102</v>
          </cell>
          <cell r="D450" t="str">
            <v>GERÊNCIA INDUSTRIAL</v>
          </cell>
        </row>
        <row r="451">
          <cell r="C451">
            <v>400199</v>
          </cell>
          <cell r="D451" t="str">
            <v>Manutenção de Entressafra</v>
          </cell>
        </row>
        <row r="452">
          <cell r="C452">
            <v>400200</v>
          </cell>
          <cell r="D452" t="str">
            <v>APOIO TECNICO INDUSTRIAL</v>
          </cell>
        </row>
        <row r="453">
          <cell r="C453">
            <v>400202</v>
          </cell>
          <cell r="D453" t="str">
            <v>APOIO TÉCNICO INDUSTRIAL</v>
          </cell>
        </row>
        <row r="454">
          <cell r="C454">
            <v>400400</v>
          </cell>
          <cell r="D454" t="str">
            <v>CONTROLE DE QUALIDADE</v>
          </cell>
        </row>
        <row r="455">
          <cell r="C455">
            <v>400402</v>
          </cell>
          <cell r="D455" t="str">
            <v>LABORATORIO PCTS</v>
          </cell>
        </row>
        <row r="456">
          <cell r="C456">
            <v>400404</v>
          </cell>
          <cell r="D456" t="str">
            <v>LABORATORIO INDUSTRIAL</v>
          </cell>
        </row>
        <row r="457">
          <cell r="C457">
            <v>400406</v>
          </cell>
          <cell r="D457" t="str">
            <v>LABORATORIO MICRO-BIOLOGIA</v>
          </cell>
        </row>
        <row r="458">
          <cell r="C458">
            <v>400499</v>
          </cell>
          <cell r="D458" t="str">
            <v>Manutenção de Entressafra</v>
          </cell>
        </row>
        <row r="459">
          <cell r="C459">
            <v>401000</v>
          </cell>
          <cell r="D459" t="str">
            <v>RECEPCAO / MOAGEM</v>
          </cell>
        </row>
        <row r="460">
          <cell r="C460">
            <v>401002</v>
          </cell>
          <cell r="D460" t="str">
            <v>BARRACAO / LIMPEZA</v>
          </cell>
        </row>
        <row r="461">
          <cell r="C461">
            <v>401004</v>
          </cell>
          <cell r="D461" t="str">
            <v>ALIMENTACAO E PREPARO</v>
          </cell>
        </row>
        <row r="462">
          <cell r="C462">
            <v>401006</v>
          </cell>
          <cell r="D462" t="str">
            <v>MOAGEM CANA</v>
          </cell>
        </row>
        <row r="463">
          <cell r="C463">
            <v>401008</v>
          </cell>
          <cell r="D463" t="str">
            <v>DIFUSOR</v>
          </cell>
        </row>
        <row r="464">
          <cell r="C464">
            <v>401010</v>
          </cell>
          <cell r="D464" t="str">
            <v>DESAGUADOR</v>
          </cell>
        </row>
        <row r="465">
          <cell r="C465">
            <v>401012</v>
          </cell>
          <cell r="D465" t="str">
            <v>Secagem de Bagaço</v>
          </cell>
        </row>
        <row r="466">
          <cell r="C466">
            <v>401098</v>
          </cell>
          <cell r="D466" t="str">
            <v>ABSORÇÃO DO RATEIO INDUSTRIAL</v>
          </cell>
        </row>
        <row r="467">
          <cell r="C467">
            <v>401099</v>
          </cell>
          <cell r="D467" t="str">
            <v>Manutenção de Entressafra</v>
          </cell>
        </row>
        <row r="468">
          <cell r="C468">
            <v>401400</v>
          </cell>
          <cell r="D468" t="str">
            <v>TRATAMENTO E DISTR.DO CALDO</v>
          </cell>
        </row>
        <row r="469">
          <cell r="C469">
            <v>401402</v>
          </cell>
          <cell r="D469" t="str">
            <v>AQUECIMENTO/TROCADOR CALOR ALCOOL</v>
          </cell>
        </row>
        <row r="470">
          <cell r="C470">
            <v>401404</v>
          </cell>
          <cell r="D470" t="str">
            <v>DECANTACAO DO ALCOOL</v>
          </cell>
        </row>
        <row r="471">
          <cell r="C471">
            <v>401406</v>
          </cell>
          <cell r="D471" t="str">
            <v>PRE-EVAPORACAO DO ALCOOL</v>
          </cell>
        </row>
        <row r="472">
          <cell r="C472">
            <v>401408</v>
          </cell>
          <cell r="D472" t="str">
            <v>AQUECIMENTO/TROCADOR CALOR ACUCAR</v>
          </cell>
        </row>
        <row r="473">
          <cell r="C473">
            <v>401410</v>
          </cell>
          <cell r="D473" t="str">
            <v>CALEACAO</v>
          </cell>
        </row>
        <row r="474">
          <cell r="C474">
            <v>401412</v>
          </cell>
          <cell r="D474" t="str">
            <v>SULFITACAO</v>
          </cell>
        </row>
        <row r="475">
          <cell r="C475">
            <v>401414</v>
          </cell>
          <cell r="D475" t="str">
            <v>DECANTACAO DO ACUCAR</v>
          </cell>
        </row>
        <row r="476">
          <cell r="C476">
            <v>401416</v>
          </cell>
          <cell r="D476" t="str">
            <v>FILTRACAO DO LODO DO ACUCAR</v>
          </cell>
        </row>
        <row r="477">
          <cell r="C477">
            <v>401418</v>
          </cell>
          <cell r="D477" t="str">
            <v>PRE-EVAPORACAO DO ACUCAR</v>
          </cell>
        </row>
        <row r="478">
          <cell r="C478">
            <v>401420</v>
          </cell>
          <cell r="D478" t="str">
            <v>FILTRACAO DO LODO DO ALCOOL</v>
          </cell>
        </row>
        <row r="479">
          <cell r="C479">
            <v>401499</v>
          </cell>
          <cell r="D479" t="str">
            <v>Manutenção de Entressafra</v>
          </cell>
        </row>
        <row r="480">
          <cell r="C480">
            <v>402000</v>
          </cell>
          <cell r="D480" t="str">
            <v>FABRICACAO ALCOOL</v>
          </cell>
        </row>
        <row r="481">
          <cell r="C481">
            <v>402002</v>
          </cell>
          <cell r="D481" t="str">
            <v>PRE-FERMENTACAO</v>
          </cell>
        </row>
        <row r="482">
          <cell r="C482">
            <v>402004</v>
          </cell>
          <cell r="D482" t="str">
            <v>FERMENTACAO</v>
          </cell>
        </row>
        <row r="483">
          <cell r="C483">
            <v>402006</v>
          </cell>
          <cell r="D483" t="str">
            <v>DESTILACAO HIDRATADO</v>
          </cell>
        </row>
        <row r="484">
          <cell r="C484">
            <v>402008</v>
          </cell>
          <cell r="D484" t="str">
            <v>DESTILACAO ANIDRO</v>
          </cell>
        </row>
        <row r="485">
          <cell r="C485">
            <v>402010</v>
          </cell>
          <cell r="D485" t="str">
            <v>TORRE DE RESFRIAMENTO</v>
          </cell>
        </row>
        <row r="486">
          <cell r="C486">
            <v>402012</v>
          </cell>
          <cell r="D486" t="str">
            <v>TANQUE SPRAY</v>
          </cell>
        </row>
        <row r="487">
          <cell r="C487">
            <v>402014</v>
          </cell>
          <cell r="D487" t="str">
            <v>Centrifugação</v>
          </cell>
        </row>
        <row r="488">
          <cell r="C488">
            <v>402016</v>
          </cell>
          <cell r="D488" t="str">
            <v>Evaporação do ALcool</v>
          </cell>
        </row>
        <row r="489">
          <cell r="C489">
            <v>402070</v>
          </cell>
          <cell r="D489" t="str">
            <v>EM PROCESSO (FERMENTACAO)</v>
          </cell>
        </row>
        <row r="490">
          <cell r="C490">
            <v>402098</v>
          </cell>
          <cell r="D490" t="str">
            <v>ABSORCAO DO RATEIO INDUSTRIAL</v>
          </cell>
        </row>
        <row r="491">
          <cell r="C491">
            <v>402099</v>
          </cell>
          <cell r="D491" t="str">
            <v>Manutenção de Entressafra</v>
          </cell>
        </row>
        <row r="492">
          <cell r="C492">
            <v>403000</v>
          </cell>
          <cell r="D492" t="str">
            <v>FABRICACAO ACUCAR</v>
          </cell>
        </row>
        <row r="493">
          <cell r="C493">
            <v>403002</v>
          </cell>
          <cell r="D493" t="str">
            <v>EVAPORACAO</v>
          </cell>
        </row>
        <row r="494">
          <cell r="C494">
            <v>403004</v>
          </cell>
          <cell r="D494" t="str">
            <v>COZIMENTO - MASSA A E B</v>
          </cell>
        </row>
        <row r="495">
          <cell r="C495">
            <v>403006</v>
          </cell>
          <cell r="D495" t="str">
            <v>CENTRIFUGACAO</v>
          </cell>
        </row>
        <row r="496">
          <cell r="C496">
            <v>403008</v>
          </cell>
          <cell r="D496" t="str">
            <v>MEL FINAL PARA ALCOOL</v>
          </cell>
        </row>
        <row r="497">
          <cell r="C497">
            <v>403010</v>
          </cell>
          <cell r="D497" t="str">
            <v>SECAGEM</v>
          </cell>
        </row>
        <row r="498">
          <cell r="C498">
            <v>403012</v>
          </cell>
          <cell r="D498" t="str">
            <v>ENSAQUE</v>
          </cell>
        </row>
        <row r="499">
          <cell r="C499">
            <v>403014</v>
          </cell>
          <cell r="D499" t="str">
            <v>TANQUE SPRAY</v>
          </cell>
        </row>
        <row r="500">
          <cell r="C500">
            <v>403070</v>
          </cell>
          <cell r="D500" t="str">
            <v>EM PROCESSO (COZIMENTO)</v>
          </cell>
        </row>
        <row r="501">
          <cell r="C501">
            <v>403098</v>
          </cell>
          <cell r="D501" t="str">
            <v>ABSORCAO DO RATEIO INDUSTRIAL</v>
          </cell>
        </row>
        <row r="502">
          <cell r="C502">
            <v>403099</v>
          </cell>
          <cell r="D502" t="str">
            <v>Manutenção de Entressafra</v>
          </cell>
        </row>
        <row r="503">
          <cell r="C503">
            <v>405000</v>
          </cell>
          <cell r="D503" t="str">
            <v>FABRICACAO LEVEDURA</v>
          </cell>
        </row>
        <row r="504">
          <cell r="C504">
            <v>405002</v>
          </cell>
          <cell r="D504" t="str">
            <v>SECAGEM LEVEDURA</v>
          </cell>
        </row>
        <row r="505">
          <cell r="C505">
            <v>405004</v>
          </cell>
          <cell r="D505" t="str">
            <v>ENSAQUE LEVEDURA</v>
          </cell>
        </row>
        <row r="506">
          <cell r="C506">
            <v>405099</v>
          </cell>
          <cell r="D506" t="str">
            <v>Manutenção de Entressafra</v>
          </cell>
        </row>
        <row r="507">
          <cell r="C507">
            <v>406000</v>
          </cell>
          <cell r="D507" t="str">
            <v>FABRICACAO XAROPE DE CANA</v>
          </cell>
        </row>
        <row r="508">
          <cell r="C508">
            <v>406002</v>
          </cell>
          <cell r="D508" t="str">
            <v>CARREGAMENTO</v>
          </cell>
        </row>
        <row r="509">
          <cell r="C509">
            <v>406099</v>
          </cell>
          <cell r="D509" t="str">
            <v>Manutenção de Entressafra</v>
          </cell>
        </row>
        <row r="510">
          <cell r="C510">
            <v>407000</v>
          </cell>
          <cell r="D510" t="str">
            <v>AUXILIARES</v>
          </cell>
        </row>
        <row r="511">
          <cell r="C511">
            <v>407002</v>
          </cell>
          <cell r="D511" t="str">
            <v>GERACAO E DISTR.VAPOR</v>
          </cell>
        </row>
        <row r="512">
          <cell r="C512">
            <v>407004</v>
          </cell>
          <cell r="D512" t="str">
            <v>GERACAO E DISTR.AR COMPRIMIDO</v>
          </cell>
        </row>
        <row r="513">
          <cell r="C513">
            <v>407006</v>
          </cell>
          <cell r="D513" t="str">
            <v>GERACAO E DISTR.ENERGIA</v>
          </cell>
        </row>
        <row r="514">
          <cell r="C514">
            <v>407008</v>
          </cell>
          <cell r="D514" t="str">
            <v>CAPTACAO DE AGUA</v>
          </cell>
        </row>
        <row r="515">
          <cell r="C515">
            <v>407010</v>
          </cell>
          <cell r="D515" t="str">
            <v>ETA (ESTACAO DE TRATAMENTO AGUA)</v>
          </cell>
        </row>
        <row r="516">
          <cell r="C516">
            <v>407012</v>
          </cell>
          <cell r="D516" t="str">
            <v>PATIO DE BAGACO</v>
          </cell>
        </row>
        <row r="517">
          <cell r="C517">
            <v>407014</v>
          </cell>
          <cell r="D517" t="str">
            <v>HIDROLIZADOR DE BAGACO</v>
          </cell>
        </row>
        <row r="518">
          <cell r="C518">
            <v>407016</v>
          </cell>
          <cell r="D518" t="str">
            <v>ENERGIA ELETRICA ADQUIRIDA</v>
          </cell>
        </row>
        <row r="519">
          <cell r="C519">
            <v>407018</v>
          </cell>
          <cell r="D519" t="str">
            <v>ETALC -ESTA TRAT AGUA DA LAVAGEM DE CANA</v>
          </cell>
        </row>
        <row r="520">
          <cell r="C520">
            <v>407020</v>
          </cell>
          <cell r="D520" t="str">
            <v>ETE - Estação Tratamento de Esgoto</v>
          </cell>
        </row>
        <row r="521">
          <cell r="C521">
            <v>407022</v>
          </cell>
          <cell r="D521" t="str">
            <v>ETALG - Estaç.Trat.Água de Lavagem Gases</v>
          </cell>
        </row>
        <row r="522">
          <cell r="C522">
            <v>407099</v>
          </cell>
          <cell r="D522" t="str">
            <v>Manutenção de Entressafra</v>
          </cell>
        </row>
        <row r="523">
          <cell r="C523">
            <v>408000</v>
          </cell>
          <cell r="D523" t="str">
            <v>MANUTENCAO INDUSTRIAL</v>
          </cell>
        </row>
        <row r="524">
          <cell r="C524">
            <v>408002</v>
          </cell>
          <cell r="D524" t="str">
            <v>MANUTENÇÃO MECANICA</v>
          </cell>
        </row>
        <row r="525">
          <cell r="C525">
            <v>408004</v>
          </cell>
          <cell r="D525" t="str">
            <v>CALDERARIA</v>
          </cell>
        </row>
        <row r="526">
          <cell r="C526">
            <v>408006</v>
          </cell>
          <cell r="D526" t="str">
            <v>MANUTENÇÃO ELETRICA</v>
          </cell>
        </row>
        <row r="527">
          <cell r="C527">
            <v>408008</v>
          </cell>
          <cell r="D527" t="str">
            <v>INSTRUMENTAÇÃO</v>
          </cell>
        </row>
        <row r="528">
          <cell r="C528">
            <v>408010</v>
          </cell>
          <cell r="D528" t="str">
            <v>MANUTENCAO CIVIL</v>
          </cell>
        </row>
        <row r="529">
          <cell r="C529">
            <v>408012</v>
          </cell>
          <cell r="D529" t="str">
            <v>PCM (planej. e controle da manut</v>
          </cell>
        </row>
        <row r="530">
          <cell r="C530">
            <v>408098</v>
          </cell>
          <cell r="D530" t="str">
            <v>ABSORCAO DO RATEIO INDUSTRIAL</v>
          </cell>
        </row>
        <row r="531">
          <cell r="C531">
            <v>408099</v>
          </cell>
          <cell r="D531" t="str">
            <v>Manutenção de Entressafra</v>
          </cell>
        </row>
        <row r="532">
          <cell r="C532">
            <v>409000</v>
          </cell>
          <cell r="D532" t="str">
            <v>RESIDUOS INDUSTRIAIS</v>
          </cell>
        </row>
        <row r="533">
          <cell r="C533">
            <v>409002</v>
          </cell>
          <cell r="D533" t="str">
            <v>ESCOAMENTO DA VINHACA</v>
          </cell>
        </row>
        <row r="534">
          <cell r="C534">
            <v>409004</v>
          </cell>
          <cell r="D534" t="str">
            <v>SISTEMA DE BOMBEAMENTO</v>
          </cell>
        </row>
        <row r="535">
          <cell r="C535">
            <v>409099</v>
          </cell>
          <cell r="D535" t="str">
            <v>Manutenção de Entressafra</v>
          </cell>
        </row>
        <row r="536">
          <cell r="C536">
            <v>409900</v>
          </cell>
          <cell r="D536" t="str">
            <v>CUSTO FINAL DE PRODUCAO</v>
          </cell>
        </row>
        <row r="537">
          <cell r="C537">
            <v>409910</v>
          </cell>
          <cell r="D537" t="str">
            <v>CUSTO DE PRODUCAO DO A.E.H.C.</v>
          </cell>
        </row>
        <row r="538">
          <cell r="C538">
            <v>409920</v>
          </cell>
          <cell r="D538" t="str">
            <v>CUSTO DE PRODUCAO DO A.E.A.C.</v>
          </cell>
        </row>
        <row r="539">
          <cell r="C539">
            <v>409930</v>
          </cell>
          <cell r="D539" t="str">
            <v>CUSTO DE PRODUCAO DO ACUCAR</v>
          </cell>
        </row>
        <row r="540">
          <cell r="C540">
            <v>409940</v>
          </cell>
          <cell r="D540" t="str">
            <v>CUSTO DE PRODUCAO DO XAROPE</v>
          </cell>
        </row>
        <row r="541">
          <cell r="C541">
            <v>409950</v>
          </cell>
          <cell r="D541" t="str">
            <v>CUSTO DE PRODUCAO DE LEVEDURA</v>
          </cell>
        </row>
        <row r="542">
          <cell r="C542">
            <v>500000</v>
          </cell>
          <cell r="D542" t="str">
            <v>GERENCIA AGRICOLA</v>
          </cell>
        </row>
        <row r="543">
          <cell r="C543">
            <v>500100</v>
          </cell>
          <cell r="D543" t="str">
            <v>GERENCIA AGRICOLA</v>
          </cell>
        </row>
        <row r="544">
          <cell r="C544">
            <v>500101</v>
          </cell>
          <cell r="D544" t="str">
            <v>Gerência Agrícola Corporativa</v>
          </cell>
        </row>
        <row r="545">
          <cell r="C545">
            <v>500102</v>
          </cell>
          <cell r="D545" t="str">
            <v>GERENCIA AGRICOLA</v>
          </cell>
        </row>
        <row r="546">
          <cell r="C546">
            <v>500199</v>
          </cell>
          <cell r="D546" t="str">
            <v>Manutenção de Entressafra</v>
          </cell>
        </row>
        <row r="547">
          <cell r="C547">
            <v>500200</v>
          </cell>
          <cell r="D547" t="str">
            <v>APOIO TECNICO</v>
          </cell>
        </row>
        <row r="548">
          <cell r="C548">
            <v>500202</v>
          </cell>
          <cell r="D548" t="str">
            <v>CONTROLE AGRICOLA</v>
          </cell>
        </row>
        <row r="549">
          <cell r="C549">
            <v>500204</v>
          </cell>
          <cell r="D549" t="str">
            <v>TECNICOS AGRICOLAS</v>
          </cell>
        </row>
        <row r="550">
          <cell r="C550">
            <v>500206</v>
          </cell>
          <cell r="D550" t="str">
            <v>TOPOGRAFIA</v>
          </cell>
        </row>
        <row r="551">
          <cell r="C551">
            <v>500208</v>
          </cell>
          <cell r="D551" t="str">
            <v>NOVOS PROJETOS</v>
          </cell>
        </row>
        <row r="552">
          <cell r="C552">
            <v>500210</v>
          </cell>
          <cell r="D552" t="str">
            <v>Lavanderia</v>
          </cell>
        </row>
        <row r="553">
          <cell r="C553">
            <v>500212</v>
          </cell>
          <cell r="D553" t="str">
            <v>SUPERVISÃO CCT</v>
          </cell>
        </row>
        <row r="554">
          <cell r="C554">
            <v>500214</v>
          </cell>
          <cell r="D554" t="str">
            <v>SUPERVISÃO DE PRODUÇÃO</v>
          </cell>
        </row>
        <row r="555">
          <cell r="C555">
            <v>500222</v>
          </cell>
          <cell r="D555" t="str">
            <v>CONTROLE DE TRÁFEGO (CENTRAL)</v>
          </cell>
        </row>
        <row r="556">
          <cell r="C556">
            <v>500224</v>
          </cell>
          <cell r="D556" t="str">
            <v>CONTROLE BIOLÓGICO</v>
          </cell>
        </row>
        <row r="557">
          <cell r="C557">
            <v>500299</v>
          </cell>
          <cell r="D557" t="str">
            <v>Manutenção de Entressafra</v>
          </cell>
        </row>
        <row r="558">
          <cell r="C558">
            <v>500300</v>
          </cell>
          <cell r="D558" t="str">
            <v>ADMINISTRAÇÃO DE RURAL</v>
          </cell>
        </row>
        <row r="559">
          <cell r="C559">
            <v>500302</v>
          </cell>
          <cell r="D559" t="str">
            <v>MDO FISCAIS CAMPO</v>
          </cell>
        </row>
        <row r="560">
          <cell r="C560">
            <v>500304</v>
          </cell>
          <cell r="D560" t="str">
            <v>MO QUEIMA DE CANA</v>
          </cell>
        </row>
        <row r="561">
          <cell r="C561">
            <v>500306</v>
          </cell>
          <cell r="D561" t="str">
            <v>MDO BITUCA</v>
          </cell>
        </row>
        <row r="562">
          <cell r="C562">
            <v>500308</v>
          </cell>
          <cell r="D562" t="str">
            <v>MDO CATAÇÃO QUIMICA</v>
          </cell>
        </row>
        <row r="563">
          <cell r="C563">
            <v>500310</v>
          </cell>
          <cell r="D563" t="str">
            <v>MDO RURICULAS - REGIONAIS</v>
          </cell>
        </row>
        <row r="564">
          <cell r="C564">
            <v>500312</v>
          </cell>
          <cell r="D564" t="str">
            <v>ENCARREGADO MDO RURAL</v>
          </cell>
        </row>
        <row r="565">
          <cell r="C565">
            <v>500314</v>
          </cell>
          <cell r="D565" t="str">
            <v>MDO RURICULAS - MIGRANTES</v>
          </cell>
        </row>
        <row r="566">
          <cell r="C566">
            <v>500399</v>
          </cell>
          <cell r="D566" t="str">
            <v>Manutenção de Entressafra</v>
          </cell>
        </row>
        <row r="567">
          <cell r="C567">
            <v>500400</v>
          </cell>
          <cell r="D567" t="str">
            <v>FERTIRRIGAÇÃO (ESTRUTURA)</v>
          </cell>
        </row>
        <row r="568">
          <cell r="C568">
            <v>500401</v>
          </cell>
          <cell r="D568" t="str">
            <v>ESTRUTURA FERTIRRIGAÇÃO</v>
          </cell>
        </row>
        <row r="569">
          <cell r="C569">
            <v>500402</v>
          </cell>
          <cell r="D569" t="str">
            <v>MANUT CANAIS DE VINHAÇA</v>
          </cell>
        </row>
        <row r="570">
          <cell r="C570">
            <v>500406</v>
          </cell>
          <cell r="D570" t="str">
            <v>DISTRIBUIÇAO DE VINHAÇA</v>
          </cell>
        </row>
        <row r="571">
          <cell r="C571">
            <v>500499</v>
          </cell>
          <cell r="D571" t="str">
            <v>Manutenção de Entressafra</v>
          </cell>
        </row>
        <row r="572">
          <cell r="C572">
            <v>500500</v>
          </cell>
          <cell r="D572" t="str">
            <v>MANUTENÇÃ AUTOMOTIVA</v>
          </cell>
        </row>
        <row r="573">
          <cell r="C573">
            <v>500502</v>
          </cell>
          <cell r="D573" t="str">
            <v>OFICINA MECANICA</v>
          </cell>
        </row>
        <row r="574">
          <cell r="C574">
            <v>500506</v>
          </cell>
          <cell r="D574" t="str">
            <v>POSTO DE LAVAGEM / LUBRIFICAÇÃO</v>
          </cell>
        </row>
        <row r="575">
          <cell r="C575">
            <v>500516</v>
          </cell>
          <cell r="D575" t="str">
            <v>BORRACHEIRO</v>
          </cell>
        </row>
        <row r="576">
          <cell r="C576">
            <v>500599</v>
          </cell>
          <cell r="D576" t="str">
            <v>Manutenção de Entressafra</v>
          </cell>
        </row>
        <row r="577">
          <cell r="C577">
            <v>500700</v>
          </cell>
          <cell r="D577" t="str">
            <v>MAO DE OBRA APONTADA</v>
          </cell>
        </row>
        <row r="578">
          <cell r="C578">
            <v>500702</v>
          </cell>
          <cell r="D578" t="str">
            <v>MOTORISTAS TRANSP CANA</v>
          </cell>
        </row>
        <row r="579">
          <cell r="C579">
            <v>500704</v>
          </cell>
          <cell r="D579" t="str">
            <v>MOTORISTAS DIVERSOS</v>
          </cell>
        </row>
        <row r="580">
          <cell r="C580">
            <v>500706</v>
          </cell>
          <cell r="D580" t="str">
            <v>CARREGADORES</v>
          </cell>
        </row>
        <row r="581">
          <cell r="C581">
            <v>500708</v>
          </cell>
          <cell r="D581" t="str">
            <v>REBOCADORES</v>
          </cell>
        </row>
        <row r="582">
          <cell r="C582">
            <v>500710</v>
          </cell>
          <cell r="D582" t="str">
            <v>OPERADORES DE COLHEDORAS</v>
          </cell>
        </row>
        <row r="583">
          <cell r="C583">
            <v>500712</v>
          </cell>
          <cell r="D583" t="str">
            <v>MOTORISTAS TRANBORDOS</v>
          </cell>
        </row>
        <row r="584">
          <cell r="C584">
            <v>500714</v>
          </cell>
          <cell r="D584" t="str">
            <v>TRATORISTAS MAQ LEVES</v>
          </cell>
        </row>
        <row r="585">
          <cell r="C585">
            <v>500716</v>
          </cell>
          <cell r="D585" t="str">
            <v>TRATORISTAS MAQ MEDIAS</v>
          </cell>
        </row>
        <row r="586">
          <cell r="C586">
            <v>500718</v>
          </cell>
          <cell r="D586" t="str">
            <v>TRATORISTAS MAQ PESADAS</v>
          </cell>
        </row>
        <row r="587">
          <cell r="C587">
            <v>500720</v>
          </cell>
          <cell r="D587" t="str">
            <v>MOTORISTA TRANSPORTE DE APOIO</v>
          </cell>
        </row>
        <row r="588">
          <cell r="C588">
            <v>500722</v>
          </cell>
          <cell r="D588" t="str">
            <v>MDO LÍDERES/FÍSCAIS DE OPERAÇÃO</v>
          </cell>
        </row>
        <row r="589">
          <cell r="C589">
            <v>500724</v>
          </cell>
          <cell r="D589" t="str">
            <v>AUXILIAR DE CONTROLE DE QUALIDADE</v>
          </cell>
        </row>
        <row r="590">
          <cell r="C590">
            <v>500726</v>
          </cell>
          <cell r="D590" t="str">
            <v>AUXILIARES CONTROLE BIOLÓGICO</v>
          </cell>
        </row>
        <row r="591">
          <cell r="C591">
            <v>500790</v>
          </cell>
          <cell r="D591" t="str">
            <v>FUNCIONARIOS DE TERCEIROS</v>
          </cell>
        </row>
        <row r="592">
          <cell r="C592">
            <v>500799</v>
          </cell>
          <cell r="D592" t="str">
            <v>Manutenção de Entressafra</v>
          </cell>
        </row>
        <row r="593">
          <cell r="C593">
            <v>501000</v>
          </cell>
          <cell r="D593" t="str">
            <v>CULTURA DE CANA</v>
          </cell>
        </row>
        <row r="594">
          <cell r="C594">
            <v>501002</v>
          </cell>
          <cell r="D594" t="str">
            <v>PREPARO DE SOLO</v>
          </cell>
        </row>
        <row r="595">
          <cell r="C595">
            <v>501004</v>
          </cell>
          <cell r="D595" t="str">
            <v>COLHEITA DE MUDA</v>
          </cell>
        </row>
        <row r="596">
          <cell r="C596">
            <v>501006</v>
          </cell>
          <cell r="D596" t="str">
            <v>COLHEITA DE MUDA - TERCEIROS</v>
          </cell>
        </row>
        <row r="597">
          <cell r="C597">
            <v>501008</v>
          </cell>
          <cell r="D597" t="str">
            <v>PLANTIO DE CANA</v>
          </cell>
        </row>
        <row r="598">
          <cell r="C598">
            <v>501010</v>
          </cell>
          <cell r="D598" t="str">
            <v>TRATOS CANA PLANTA</v>
          </cell>
        </row>
        <row r="599">
          <cell r="C599">
            <v>501012</v>
          </cell>
          <cell r="D599" t="str">
            <v>TRATOS CANA SOCA</v>
          </cell>
        </row>
        <row r="600">
          <cell r="C600">
            <v>501014</v>
          </cell>
          <cell r="D600" t="str">
            <v>COLHEITA MANUAL</v>
          </cell>
        </row>
        <row r="601">
          <cell r="C601">
            <v>501016</v>
          </cell>
          <cell r="D601" t="str">
            <v>COLHEITA MECANIZADA</v>
          </cell>
        </row>
        <row r="602">
          <cell r="C602">
            <v>501018</v>
          </cell>
          <cell r="D602" t="str">
            <v>Pátio de compostagem</v>
          </cell>
        </row>
        <row r="603">
          <cell r="C603">
            <v>501020</v>
          </cell>
          <cell r="D603" t="str">
            <v>Replantio de Cana Planta</v>
          </cell>
        </row>
        <row r="604">
          <cell r="C604">
            <v>501022</v>
          </cell>
          <cell r="D604" t="str">
            <v>Replantio da Cana Soca</v>
          </cell>
        </row>
        <row r="605">
          <cell r="C605">
            <v>501099</v>
          </cell>
          <cell r="D605" t="str">
            <v>Manutenção de Entressafra</v>
          </cell>
        </row>
        <row r="606">
          <cell r="C606">
            <v>501100</v>
          </cell>
          <cell r="D606" t="str">
            <v>OUTRAS CULTURAS</v>
          </cell>
        </row>
        <row r="607">
          <cell r="C607">
            <v>501102</v>
          </cell>
          <cell r="D607" t="str">
            <v>REFLORESTAMENTO</v>
          </cell>
        </row>
        <row r="608">
          <cell r="C608">
            <v>501106</v>
          </cell>
          <cell r="D608" t="str">
            <v>EXPERIMENTO</v>
          </cell>
        </row>
        <row r="609">
          <cell r="C609">
            <v>501108</v>
          </cell>
          <cell r="D609" t="str">
            <v>ADUBACAO VERDE</v>
          </cell>
        </row>
        <row r="610">
          <cell r="C610">
            <v>501112</v>
          </cell>
          <cell r="D610" t="str">
            <v>OUTROS SERVICOS</v>
          </cell>
        </row>
        <row r="611">
          <cell r="C611">
            <v>501199</v>
          </cell>
          <cell r="D611" t="str">
            <v>Manutenção de Entressafra</v>
          </cell>
        </row>
        <row r="612">
          <cell r="C612">
            <v>509900</v>
          </cell>
          <cell r="D612" t="str">
            <v>CUSTO FINAL DE PRODUCAO</v>
          </cell>
        </row>
        <row r="613">
          <cell r="C613">
            <v>509902</v>
          </cell>
          <cell r="D613" t="str">
            <v>CUSTO MATERIA-PRIMA</v>
          </cell>
        </row>
        <row r="614">
          <cell r="C614">
            <v>509999</v>
          </cell>
          <cell r="D614" t="str">
            <v>Manutenção de Entressafra</v>
          </cell>
        </row>
        <row r="615">
          <cell r="C615">
            <v>600000</v>
          </cell>
          <cell r="D615" t="str">
            <v>CONSERVACAO GERAL/BENFEITORIAS</v>
          </cell>
        </row>
        <row r="616">
          <cell r="C616">
            <v>600200</v>
          </cell>
          <cell r="D616" t="str">
            <v>CONSERVACAO DE SEDES</v>
          </cell>
        </row>
        <row r="617">
          <cell r="C617">
            <v>600400</v>
          </cell>
          <cell r="D617" t="str">
            <v>CONSTR.E CONSERVACAO DEPENDENCIAS</v>
          </cell>
        </row>
        <row r="618">
          <cell r="C618">
            <v>600600</v>
          </cell>
          <cell r="D618" t="str">
            <v>CONSTR.E CONSERVACAO DE CERCAS</v>
          </cell>
        </row>
        <row r="619">
          <cell r="C619">
            <v>600800</v>
          </cell>
          <cell r="D619" t="str">
            <v>CONSTR.E CONSERVACAO DE ESTRADAS</v>
          </cell>
        </row>
        <row r="620">
          <cell r="C620">
            <v>601000</v>
          </cell>
          <cell r="D620" t="str">
            <v>CONSERVACAO PATIOS - INDUSTRIA</v>
          </cell>
        </row>
        <row r="621">
          <cell r="C621">
            <v>601200</v>
          </cell>
          <cell r="D621" t="str">
            <v>CONSERVACAO PATIOS - ADMINISTRACAO</v>
          </cell>
        </row>
        <row r="622">
          <cell r="C622">
            <v>601400</v>
          </cell>
          <cell r="D622" t="str">
            <v>URBANIZACAO E LIMPEZA</v>
          </cell>
        </row>
        <row r="623">
          <cell r="C623">
            <v>601499</v>
          </cell>
          <cell r="D623" t="str">
            <v>Manutenção de Entressafra</v>
          </cell>
        </row>
        <row r="624">
          <cell r="C624">
            <v>601600</v>
          </cell>
          <cell r="D624" t="str">
            <v>Rede de Tratamento de Água e Esgoto</v>
          </cell>
        </row>
        <row r="625">
          <cell r="C625">
            <v>700000</v>
          </cell>
          <cell r="D625" t="str">
            <v>GRUPOS OPERATIVOS</v>
          </cell>
        </row>
        <row r="626">
          <cell r="C626">
            <v>700100</v>
          </cell>
          <cell r="D626" t="str">
            <v>CAMINHOES</v>
          </cell>
        </row>
        <row r="627">
          <cell r="C627">
            <v>700102</v>
          </cell>
          <cell r="D627" t="str">
            <v>CAMINHÕES CANAVIEIRO (ALUGADO)</v>
          </cell>
        </row>
        <row r="628">
          <cell r="C628">
            <v>700103</v>
          </cell>
          <cell r="D628" t="str">
            <v>CAMINHÕES CANAVIEIRO ( PROPRIO)</v>
          </cell>
        </row>
        <row r="629">
          <cell r="C629">
            <v>700104</v>
          </cell>
          <cell r="D629" t="str">
            <v>CAMINHÕES BASCULANTE ( ALUGADO)</v>
          </cell>
        </row>
        <row r="630">
          <cell r="C630">
            <v>700105</v>
          </cell>
          <cell r="D630" t="str">
            <v>CAMINHÕES BASCULANTE ( PRÓPRIO)</v>
          </cell>
        </row>
        <row r="631">
          <cell r="C631">
            <v>700106</v>
          </cell>
          <cell r="D631" t="str">
            <v>CAMINHÕES PIPA ( ALUGADO )</v>
          </cell>
        </row>
        <row r="632">
          <cell r="C632">
            <v>700107</v>
          </cell>
          <cell r="D632" t="str">
            <v>CAMINHÕES PIPA ( PROPRIO)</v>
          </cell>
        </row>
        <row r="633">
          <cell r="C633">
            <v>700108</v>
          </cell>
          <cell r="D633" t="str">
            <v>CAMINHOES COMBOIO ( ALUGADO)</v>
          </cell>
        </row>
        <row r="634">
          <cell r="C634">
            <v>700109</v>
          </cell>
          <cell r="D634" t="str">
            <v>CAMINHÕES COMBOIO ( PRÓPRIO)</v>
          </cell>
        </row>
        <row r="635">
          <cell r="C635">
            <v>700110</v>
          </cell>
          <cell r="D635" t="str">
            <v>CAMINHÕES CARGA SECA (ALUGADO)</v>
          </cell>
        </row>
        <row r="636">
          <cell r="C636">
            <v>700111</v>
          </cell>
          <cell r="D636" t="str">
            <v>CAMINHÕES CARGA SECA (PRÓPRIO)</v>
          </cell>
        </row>
        <row r="637">
          <cell r="C637">
            <v>700112</v>
          </cell>
          <cell r="D637" t="str">
            <v>CAMINHÕES PRANCHA (ALUGADO)</v>
          </cell>
        </row>
        <row r="638">
          <cell r="C638">
            <v>700113</v>
          </cell>
          <cell r="D638" t="str">
            <v>CAMINHÕES PRANCHA ( PRÓPRIO)</v>
          </cell>
        </row>
        <row r="639">
          <cell r="C639">
            <v>700114</v>
          </cell>
          <cell r="D639" t="str">
            <v>CAMINHOES MUNCK ( ALUGADO)</v>
          </cell>
        </row>
        <row r="640">
          <cell r="C640">
            <v>700115</v>
          </cell>
          <cell r="D640" t="str">
            <v>CAMINHÕES MUNCK ( PRÓPRIO)</v>
          </cell>
        </row>
        <row r="641">
          <cell r="C641">
            <v>700116</v>
          </cell>
          <cell r="D641" t="str">
            <v>CAMINHÕES BORRACHARIA ( ALUGADO)</v>
          </cell>
        </row>
        <row r="642">
          <cell r="C642">
            <v>700117</v>
          </cell>
          <cell r="D642" t="str">
            <v>CAMINHÕES BORRACHARIA ( PRÓPRIO)</v>
          </cell>
        </row>
        <row r="643">
          <cell r="C643">
            <v>700118</v>
          </cell>
          <cell r="D643" t="str">
            <v>CAMINHÕES OFICINA (ALUGADO)</v>
          </cell>
        </row>
        <row r="644">
          <cell r="C644">
            <v>700119</v>
          </cell>
          <cell r="D644" t="str">
            <v>CAMINHÕES OFICINA ( PRÓPRIO)</v>
          </cell>
        </row>
        <row r="645">
          <cell r="C645">
            <v>700199</v>
          </cell>
          <cell r="D645" t="str">
            <v>Manutenção de Entressafra</v>
          </cell>
        </row>
        <row r="646">
          <cell r="C646">
            <v>700200</v>
          </cell>
          <cell r="D646" t="str">
            <v>TRATORES/MAQUINAS/COLHEDORAS</v>
          </cell>
        </row>
        <row r="647">
          <cell r="C647">
            <v>700202</v>
          </cell>
          <cell r="D647" t="str">
            <v>TRATORES PNEUS - LEVES (ALUGADO)</v>
          </cell>
        </row>
        <row r="648">
          <cell r="C648">
            <v>700203</v>
          </cell>
          <cell r="D648" t="str">
            <v>TRATORES PNEUS - LEVES ( PRÓPRIO)</v>
          </cell>
        </row>
        <row r="649">
          <cell r="C649">
            <v>700204</v>
          </cell>
          <cell r="D649" t="str">
            <v>TRATORES PNEUS - MEDIOS (ALUGADO)</v>
          </cell>
        </row>
        <row r="650">
          <cell r="C650">
            <v>700205</v>
          </cell>
          <cell r="D650" t="str">
            <v>TRATORES PNEUS - MEDIOS ( PRÓPRIO)</v>
          </cell>
        </row>
        <row r="651">
          <cell r="C651">
            <v>700206</v>
          </cell>
          <cell r="D651" t="str">
            <v>TRATORES PNEUS - PESADOS ( ALUGADO)</v>
          </cell>
        </row>
        <row r="652">
          <cell r="C652">
            <v>700207</v>
          </cell>
          <cell r="D652" t="str">
            <v>TRATORES PNEUS - PESADOS (PRÓPRIO)</v>
          </cell>
        </row>
        <row r="653">
          <cell r="C653">
            <v>700208</v>
          </cell>
          <cell r="D653" t="str">
            <v>TRATORES ESTEIRAS (ALUGADO)</v>
          </cell>
        </row>
        <row r="654">
          <cell r="C654">
            <v>700209</v>
          </cell>
          <cell r="D654" t="str">
            <v>TRATORES ESTEIRAS ( PRÓPRIO)</v>
          </cell>
        </row>
        <row r="655">
          <cell r="C655">
            <v>700210</v>
          </cell>
          <cell r="D655" t="str">
            <v>RETRO ESCAVADORAS ( ALUGADO)</v>
          </cell>
        </row>
        <row r="656">
          <cell r="C656">
            <v>700211</v>
          </cell>
          <cell r="D656" t="str">
            <v>RETRO ESCAVADORAS ( PRÓPRIO)</v>
          </cell>
        </row>
        <row r="657">
          <cell r="C657">
            <v>700212</v>
          </cell>
          <cell r="D657" t="str">
            <v>MOTONIVELADORAS ( ALUGADO)</v>
          </cell>
        </row>
        <row r="658">
          <cell r="C658">
            <v>700213</v>
          </cell>
          <cell r="D658" t="str">
            <v>MOTONIVELADORAS ( PRÓPRIO)</v>
          </cell>
        </row>
        <row r="659">
          <cell r="C659">
            <v>700214</v>
          </cell>
          <cell r="D659" t="str">
            <v>PA CARREGADORAS ( ALUGADO)</v>
          </cell>
        </row>
        <row r="660">
          <cell r="C660">
            <v>700215</v>
          </cell>
          <cell r="D660" t="str">
            <v>PA CARREGADORAS ( PRÓPRIO)</v>
          </cell>
        </row>
        <row r="661">
          <cell r="C661">
            <v>700216</v>
          </cell>
          <cell r="D661" t="str">
            <v>CARREGADORAS DE CANA ( ALUGADO)</v>
          </cell>
        </row>
        <row r="662">
          <cell r="C662">
            <v>700217</v>
          </cell>
          <cell r="D662" t="str">
            <v>CARREGADORAS DE CANA ( PRÓPRIO)</v>
          </cell>
        </row>
        <row r="663">
          <cell r="C663">
            <v>700218</v>
          </cell>
          <cell r="D663" t="str">
            <v>COLHEDORAS DE CANA (ALUGADO)</v>
          </cell>
        </row>
        <row r="664">
          <cell r="C664">
            <v>700219</v>
          </cell>
          <cell r="D664" t="str">
            <v>COLHEDORAS DE CANA ( PRÓPRIA)</v>
          </cell>
        </row>
        <row r="665">
          <cell r="C665">
            <v>700220</v>
          </cell>
          <cell r="D665" t="str">
            <v>PLANTADORA DE CANA ( ALUGADA)</v>
          </cell>
        </row>
        <row r="666">
          <cell r="C666">
            <v>700221</v>
          </cell>
          <cell r="D666" t="str">
            <v>PLANTADORA DE CANA (PRÓPRIA)</v>
          </cell>
        </row>
        <row r="667">
          <cell r="C667">
            <v>700222</v>
          </cell>
          <cell r="D667" t="str">
            <v>TRATORES PNEUS-SUPER PESADOS (ALUGADOS)</v>
          </cell>
        </row>
        <row r="668">
          <cell r="C668">
            <v>700223</v>
          </cell>
          <cell r="D668" t="str">
            <v>TRATORES PNEUS-SUPER PESADOS (PROPRIO)</v>
          </cell>
        </row>
        <row r="669">
          <cell r="C669">
            <v>700224</v>
          </cell>
          <cell r="D669" t="str">
            <v>CAMINHÕES TRANSBORDOS (ALUGADOS)</v>
          </cell>
        </row>
        <row r="670">
          <cell r="C670">
            <v>700225</v>
          </cell>
          <cell r="D670" t="str">
            <v>CAMINHÕES TRANSBORDOS (PRÓPRIOS)</v>
          </cell>
        </row>
        <row r="671">
          <cell r="C671">
            <v>700299</v>
          </cell>
          <cell r="D671" t="str">
            <v>Manutenção de Entressafra</v>
          </cell>
        </row>
        <row r="672">
          <cell r="C672">
            <v>700300</v>
          </cell>
          <cell r="D672" t="str">
            <v>VEICULOS/UTILITARIOS/ONIBUS</v>
          </cell>
        </row>
        <row r="673">
          <cell r="C673">
            <v>700302</v>
          </cell>
          <cell r="D673" t="str">
            <v>VEICULOS LEVES</v>
          </cell>
        </row>
        <row r="674">
          <cell r="C674">
            <v>700304</v>
          </cell>
          <cell r="D674" t="str">
            <v>CAMINHONETAS/UTILITARIOS</v>
          </cell>
        </row>
        <row r="675">
          <cell r="C675">
            <v>700399</v>
          </cell>
          <cell r="D675" t="str">
            <v>Manutenção de Entressafra</v>
          </cell>
        </row>
        <row r="676">
          <cell r="C676">
            <v>701200</v>
          </cell>
          <cell r="D676" t="str">
            <v>IMPLEMENTOS AGRICOLAS</v>
          </cell>
        </row>
        <row r="677">
          <cell r="C677">
            <v>701202</v>
          </cell>
          <cell r="D677" t="str">
            <v>ACERADORES DE CANA</v>
          </cell>
        </row>
        <row r="678">
          <cell r="C678">
            <v>701204</v>
          </cell>
          <cell r="D678" t="str">
            <v>ARADOS</v>
          </cell>
        </row>
        <row r="679">
          <cell r="C679">
            <v>701206</v>
          </cell>
          <cell r="D679" t="str">
            <v>CARRETAS DE ARRASTO(NAO USE)</v>
          </cell>
        </row>
        <row r="680">
          <cell r="C680">
            <v>701208</v>
          </cell>
          <cell r="D680" t="str">
            <v>CARROCERIAS(NAO USE)</v>
          </cell>
        </row>
        <row r="681">
          <cell r="C681">
            <v>701210</v>
          </cell>
          <cell r="D681" t="str">
            <v>COBRIDORES DE CANA</v>
          </cell>
        </row>
        <row r="682">
          <cell r="C682">
            <v>701212</v>
          </cell>
          <cell r="D682" t="str">
            <v>CONJUNTO DE IRRIGACAO TURBOMAQ</v>
          </cell>
        </row>
        <row r="683">
          <cell r="C683">
            <v>701214</v>
          </cell>
          <cell r="D683" t="str">
            <v>CULTIVADORES</v>
          </cell>
        </row>
        <row r="684">
          <cell r="C684">
            <v>701216</v>
          </cell>
          <cell r="D684" t="str">
            <v>DISTRIBUIDORES DE CALCARIO</v>
          </cell>
        </row>
        <row r="685">
          <cell r="C685">
            <v>701218</v>
          </cell>
          <cell r="D685" t="str">
            <v>DISTRIBUIDORES DE TORTA</v>
          </cell>
        </row>
        <row r="686">
          <cell r="C686">
            <v>701220</v>
          </cell>
          <cell r="D686" t="str">
            <v>ENLEIRADORES DE PALHA</v>
          </cell>
        </row>
        <row r="687">
          <cell r="C687">
            <v>701222</v>
          </cell>
          <cell r="D687" t="str">
            <v>ESTEIRA DE ADUBO</v>
          </cell>
        </row>
        <row r="688">
          <cell r="C688">
            <v>701224</v>
          </cell>
          <cell r="D688" t="str">
            <v>GRADES</v>
          </cell>
        </row>
        <row r="689">
          <cell r="C689">
            <v>701226</v>
          </cell>
          <cell r="D689" t="str">
            <v>DISTRIBUIDORES DE CANA</v>
          </cell>
        </row>
        <row r="690">
          <cell r="C690">
            <v>701228</v>
          </cell>
          <cell r="D690" t="str">
            <v>GUINCHO HIDRAULICO</v>
          </cell>
        </row>
        <row r="691">
          <cell r="C691">
            <v>701230</v>
          </cell>
          <cell r="D691" t="str">
            <v>IMPLEMENTOS DIVERSOS</v>
          </cell>
        </row>
        <row r="692">
          <cell r="C692">
            <v>701232</v>
          </cell>
          <cell r="D692" t="str">
            <v>MOTOBOMBAS</v>
          </cell>
        </row>
        <row r="693">
          <cell r="C693">
            <v>701234</v>
          </cell>
          <cell r="D693" t="str">
            <v>MOTORES ESTACIONARIOS</v>
          </cell>
        </row>
        <row r="694">
          <cell r="C694">
            <v>701236</v>
          </cell>
          <cell r="D694" t="str">
            <v>MOTOSSERA</v>
          </cell>
        </row>
        <row r="695">
          <cell r="C695">
            <v>701238</v>
          </cell>
          <cell r="D695" t="str">
            <v>PULVERIZADORES</v>
          </cell>
        </row>
        <row r="696">
          <cell r="C696">
            <v>701240</v>
          </cell>
          <cell r="D696" t="str">
            <v>REBOQUES CANAVIEIROS</v>
          </cell>
        </row>
        <row r="697">
          <cell r="C697">
            <v>701242</v>
          </cell>
          <cell r="D697" t="str">
            <v>ROCADEIRAS</v>
          </cell>
        </row>
        <row r="698">
          <cell r="C698">
            <v>701244</v>
          </cell>
          <cell r="D698" t="str">
            <v>SUBSOLADORES</v>
          </cell>
        </row>
        <row r="699">
          <cell r="C699">
            <v>701246</v>
          </cell>
          <cell r="D699" t="str">
            <v>SULCADORES</v>
          </cell>
        </row>
        <row r="700">
          <cell r="C700">
            <v>701248</v>
          </cell>
          <cell r="D700" t="str">
            <v>TANQUES DE AGUA</v>
          </cell>
        </row>
        <row r="701">
          <cell r="C701">
            <v>701250</v>
          </cell>
          <cell r="D701" t="str">
            <v>TERRACEADORES</v>
          </cell>
        </row>
        <row r="702">
          <cell r="C702">
            <v>701252</v>
          </cell>
          <cell r="D702" t="str">
            <v>TOMADOR DE AMOSTRA</v>
          </cell>
        </row>
        <row r="703">
          <cell r="C703">
            <v>701254</v>
          </cell>
          <cell r="D703" t="str">
            <v>CONJ. TRANSBORDO (ALUGADO)</v>
          </cell>
        </row>
        <row r="704">
          <cell r="C704">
            <v>701255</v>
          </cell>
          <cell r="D704" t="str">
            <v>CONJ.TRANSBORDO (PRÓPRIO)</v>
          </cell>
        </row>
        <row r="705">
          <cell r="C705">
            <v>701299</v>
          </cell>
          <cell r="D705" t="str">
            <v>Manutenção de Entressafra</v>
          </cell>
        </row>
        <row r="706">
          <cell r="C706">
            <v>701300</v>
          </cell>
          <cell r="D706" t="str">
            <v>IMPLEMENTOS RODOVIÁRIOS</v>
          </cell>
        </row>
        <row r="707">
          <cell r="C707">
            <v>701301</v>
          </cell>
          <cell r="D707" t="str">
            <v>SEMI-REBOQUE CANAVIEIRO</v>
          </cell>
        </row>
        <row r="708">
          <cell r="C708">
            <v>701302</v>
          </cell>
          <cell r="D708" t="str">
            <v>SEMI-REBOQUE PRANCHA</v>
          </cell>
        </row>
        <row r="709">
          <cell r="C709">
            <v>701303</v>
          </cell>
          <cell r="D709" t="str">
            <v>SEMI-REBOQUE TANQUE VINHAÇA</v>
          </cell>
        </row>
        <row r="710">
          <cell r="C710">
            <v>709900</v>
          </cell>
          <cell r="D710" t="str">
            <v>EQUIPAMENTOS DIVERSOS</v>
          </cell>
        </row>
        <row r="711">
          <cell r="C711">
            <v>709902</v>
          </cell>
          <cell r="D711" t="str">
            <v>EQUIPAMENTOS TESTE</v>
          </cell>
        </row>
        <row r="712">
          <cell r="C712">
            <v>709904</v>
          </cell>
          <cell r="D712" t="str">
            <v>Equipamentos Industria</v>
          </cell>
        </row>
        <row r="713">
          <cell r="C713">
            <v>709912</v>
          </cell>
          <cell r="D713" t="str">
            <v>Equip Fornecedores/Acionistas-Diesel</v>
          </cell>
        </row>
        <row r="714">
          <cell r="C714">
            <v>709914</v>
          </cell>
          <cell r="D714" t="str">
            <v>EQUIPAMENTOS DE TERCEIROS</v>
          </cell>
        </row>
        <row r="715">
          <cell r="C715">
            <v>709916</v>
          </cell>
          <cell r="D715" t="str">
            <v>Equipamentos Transporte Açúcar</v>
          </cell>
        </row>
        <row r="716">
          <cell r="C716">
            <v>709999</v>
          </cell>
          <cell r="D716" t="str">
            <v>Manutenção de Entressafra</v>
          </cell>
        </row>
        <row r="717">
          <cell r="C717">
            <v>800000</v>
          </cell>
          <cell r="D717" t="str">
            <v>CANA DE ACIONISTAS\FORNECEDOR</v>
          </cell>
        </row>
        <row r="718">
          <cell r="C718">
            <v>801000</v>
          </cell>
          <cell r="D718" t="str">
            <v>CULTURA DE CANA</v>
          </cell>
        </row>
        <row r="719">
          <cell r="C719">
            <v>801002</v>
          </cell>
          <cell r="D719" t="str">
            <v>PREPARO DE SOLO</v>
          </cell>
        </row>
        <row r="720">
          <cell r="C720">
            <v>801004</v>
          </cell>
          <cell r="D720" t="str">
            <v>COLHEITA DE MUDA</v>
          </cell>
        </row>
        <row r="721">
          <cell r="C721">
            <v>801006</v>
          </cell>
          <cell r="D721" t="str">
            <v>COLHEITA DE MUDA</v>
          </cell>
        </row>
        <row r="722">
          <cell r="C722">
            <v>801008</v>
          </cell>
          <cell r="D722" t="str">
            <v>PLANTIO DE CANA</v>
          </cell>
        </row>
        <row r="723">
          <cell r="C723">
            <v>801010</v>
          </cell>
          <cell r="D723" t="str">
            <v>TRATOS CANA PLANTA</v>
          </cell>
        </row>
        <row r="724">
          <cell r="C724">
            <v>801012</v>
          </cell>
          <cell r="D724" t="str">
            <v>TRATOS CANA SOCA</v>
          </cell>
        </row>
        <row r="725">
          <cell r="C725">
            <v>801014</v>
          </cell>
          <cell r="D725" t="str">
            <v>COLHEITA MANUAL</v>
          </cell>
        </row>
        <row r="726">
          <cell r="C726">
            <v>801016</v>
          </cell>
          <cell r="D726" t="str">
            <v>COLHEITA MECANIZADA</v>
          </cell>
        </row>
        <row r="727">
          <cell r="C727">
            <v>801020</v>
          </cell>
          <cell r="D727" t="str">
            <v>Replantio de Cana Planta</v>
          </cell>
        </row>
        <row r="728">
          <cell r="C728">
            <v>801099</v>
          </cell>
          <cell r="D728" t="str">
            <v>Manutenção de Entressafra</v>
          </cell>
        </row>
        <row r="729">
          <cell r="C729">
            <v>900000</v>
          </cell>
          <cell r="D729" t="str">
            <v>CENTRO DE CUSTO RATEIOS/INVESTIMENTOS</v>
          </cell>
        </row>
        <row r="730">
          <cell r="C730">
            <v>900100</v>
          </cell>
          <cell r="D730" t="str">
            <v>CENTRO DE CUSTO PARA RATEIOS</v>
          </cell>
        </row>
        <row r="731">
          <cell r="C731">
            <v>900102</v>
          </cell>
          <cell r="D731" t="str">
            <v>CENTRO DE CUSTO PARA RATEIOS</v>
          </cell>
        </row>
        <row r="732">
          <cell r="C732">
            <v>900104</v>
          </cell>
          <cell r="D732" t="str">
            <v>IMPLANTAÇÃO DE SALDO</v>
          </cell>
        </row>
        <row r="733">
          <cell r="C733">
            <v>950000</v>
          </cell>
          <cell r="D733" t="str">
            <v>INVESTIMENTOS</v>
          </cell>
        </row>
        <row r="734">
          <cell r="C734">
            <v>950100</v>
          </cell>
          <cell r="D734" t="str">
            <v>OBRAS EM ANDAMENTO</v>
          </cell>
        </row>
        <row r="735">
          <cell r="C735">
            <v>950101</v>
          </cell>
          <cell r="D735" t="str">
            <v>INVESTIMENTO FABRICA ACUCAR</v>
          </cell>
        </row>
        <row r="736">
          <cell r="C736">
            <v>950102</v>
          </cell>
          <cell r="D736" t="str">
            <v>REFORMA MOENDA 2012</v>
          </cell>
        </row>
        <row r="737">
          <cell r="C737">
            <v>100000</v>
          </cell>
          <cell r="D737" t="str">
            <v>DIRETORIA/CONSELHO/SUPERINTENDENCIA</v>
          </cell>
        </row>
        <row r="738">
          <cell r="C738">
            <v>100100</v>
          </cell>
          <cell r="D738" t="str">
            <v>CONSELHO DE ADMINISTRACAO/FISCAL</v>
          </cell>
        </row>
        <row r="739">
          <cell r="C739">
            <v>100102</v>
          </cell>
          <cell r="D739" t="str">
            <v>CONSELHEIRO ADMINISTRATIVO/FISCAL</v>
          </cell>
        </row>
        <row r="740">
          <cell r="C740">
            <v>100104</v>
          </cell>
          <cell r="D740" t="str">
            <v>CONSELHO CONSULTIVO</v>
          </cell>
        </row>
        <row r="741">
          <cell r="C741">
            <v>100106</v>
          </cell>
          <cell r="D741" t="str">
            <v>CONSELHO FISCAL</v>
          </cell>
        </row>
        <row r="742">
          <cell r="C742">
            <v>100200</v>
          </cell>
          <cell r="D742" t="str">
            <v>DIRETORIA</v>
          </cell>
        </row>
        <row r="743">
          <cell r="C743">
            <v>100202</v>
          </cell>
          <cell r="D743" t="str">
            <v>DIRETOR PRESIDENTE</v>
          </cell>
        </row>
        <row r="744">
          <cell r="C744">
            <v>100204</v>
          </cell>
          <cell r="D744" t="str">
            <v>DIRETOR EXECUTIVO</v>
          </cell>
        </row>
        <row r="745">
          <cell r="C745">
            <v>100206</v>
          </cell>
          <cell r="D745" t="str">
            <v>SECRETARIA</v>
          </cell>
        </row>
        <row r="746">
          <cell r="C746">
            <v>100207</v>
          </cell>
          <cell r="D746" t="str">
            <v>Diretor Administrativo/Financeiro</v>
          </cell>
        </row>
        <row r="747">
          <cell r="C747">
            <v>100208</v>
          </cell>
          <cell r="D747" t="str">
            <v>Diretor Comercial</v>
          </cell>
        </row>
        <row r="748">
          <cell r="C748">
            <v>100210</v>
          </cell>
          <cell r="D748" t="str">
            <v>Relação com Investidores</v>
          </cell>
        </row>
        <row r="749">
          <cell r="C749">
            <v>100300</v>
          </cell>
          <cell r="D749" t="str">
            <v>SUPERINTENDENCIA</v>
          </cell>
        </row>
        <row r="750">
          <cell r="C750">
            <v>100302</v>
          </cell>
          <cell r="D750" t="str">
            <v>SUP.CONTROLADORIA E GESTAO</v>
          </cell>
        </row>
        <row r="751">
          <cell r="C751">
            <v>100304</v>
          </cell>
          <cell r="D751" t="str">
            <v>SUP.PRODUCAO INDUSTRIAL E AGRICOLA</v>
          </cell>
        </row>
        <row r="752">
          <cell r="C752">
            <v>100306</v>
          </cell>
          <cell r="D752" t="str">
            <v>SUP.FINANCEIRA</v>
          </cell>
        </row>
        <row r="753">
          <cell r="C753">
            <v>100308</v>
          </cell>
          <cell r="D753" t="str">
            <v>SUP.COMERCIAL</v>
          </cell>
        </row>
        <row r="754">
          <cell r="C754">
            <v>100400</v>
          </cell>
          <cell r="D754" t="str">
            <v>ESCRITORIO DE SAO PAULO</v>
          </cell>
        </row>
        <row r="755">
          <cell r="C755">
            <v>100402</v>
          </cell>
          <cell r="D755" t="str">
            <v>ESCRITORIO DE SÃO PAULO - MATRIZ</v>
          </cell>
        </row>
        <row r="756">
          <cell r="C756">
            <v>100500</v>
          </cell>
          <cell r="D756" t="str">
            <v>ASSESSORIA DE IMPRENSA</v>
          </cell>
        </row>
        <row r="757">
          <cell r="C757">
            <v>100501</v>
          </cell>
          <cell r="D757" t="str">
            <v>ASSESSORIA DE IMPRENSA</v>
          </cell>
        </row>
        <row r="758">
          <cell r="C758">
            <v>200000</v>
          </cell>
          <cell r="D758" t="str">
            <v>ADMINISTRACAO CORPORATIVA</v>
          </cell>
        </row>
        <row r="759">
          <cell r="C759">
            <v>200100</v>
          </cell>
          <cell r="D759" t="str">
            <v>GERENCIA ADMINISTRATIVA</v>
          </cell>
        </row>
        <row r="760">
          <cell r="C760">
            <v>200102</v>
          </cell>
          <cell r="D760" t="str">
            <v>ADMINISTRACAO CORPORATIVA</v>
          </cell>
        </row>
        <row r="761">
          <cell r="C761">
            <v>200103</v>
          </cell>
          <cell r="D761" t="str">
            <v>DESPESAS DE CAPACITAÇÕES</v>
          </cell>
        </row>
        <row r="762">
          <cell r="C762">
            <v>200200</v>
          </cell>
          <cell r="D762" t="str">
            <v>DEPTO CONTABILIDADE</v>
          </cell>
        </row>
        <row r="763">
          <cell r="C763">
            <v>200202</v>
          </cell>
          <cell r="D763" t="str">
            <v>CONTABILIDADE/FISCAL/PATRIMONIAL</v>
          </cell>
        </row>
        <row r="764">
          <cell r="C764">
            <v>200204</v>
          </cell>
          <cell r="D764" t="str">
            <v>CONSULTORIA EXTERNA</v>
          </cell>
        </row>
        <row r="765">
          <cell r="C765">
            <v>200300</v>
          </cell>
          <cell r="D765" t="str">
            <v>Departamento Fiscal</v>
          </cell>
        </row>
        <row r="766">
          <cell r="C766">
            <v>200302</v>
          </cell>
          <cell r="D766" t="str">
            <v>Fiscal</v>
          </cell>
        </row>
        <row r="767">
          <cell r="C767">
            <v>200400</v>
          </cell>
          <cell r="D767" t="str">
            <v>RECURSOS HUMANOS</v>
          </cell>
        </row>
        <row r="768">
          <cell r="C768">
            <v>200402</v>
          </cell>
          <cell r="D768" t="str">
            <v>ADMINSITRAÇÃO RECURSOS HUMANOS</v>
          </cell>
        </row>
        <row r="769">
          <cell r="C769">
            <v>200404</v>
          </cell>
          <cell r="D769" t="str">
            <v>CARGOS E SALARIOS</v>
          </cell>
        </row>
        <row r="770">
          <cell r="C770">
            <v>200406</v>
          </cell>
          <cell r="D770" t="str">
            <v>ADMINISTRAÇÃO DE PESSOAL</v>
          </cell>
        </row>
        <row r="771">
          <cell r="C771">
            <v>200408</v>
          </cell>
          <cell r="D771" t="str">
            <v>RECRUTAMENTO E SELECAO</v>
          </cell>
        </row>
        <row r="772">
          <cell r="C772">
            <v>200410</v>
          </cell>
          <cell r="D772" t="str">
            <v>ASSISTÊNCIA PESSOAL</v>
          </cell>
        </row>
        <row r="773">
          <cell r="C773">
            <v>200600</v>
          </cell>
          <cell r="D773" t="str">
            <v>CUSTO E ORCAMENTO</v>
          </cell>
        </row>
        <row r="774">
          <cell r="C774">
            <v>200602</v>
          </cell>
          <cell r="D774" t="str">
            <v>CUSTOS E ORÇAMENTOS</v>
          </cell>
        </row>
        <row r="775">
          <cell r="C775">
            <v>200700</v>
          </cell>
          <cell r="D775" t="str">
            <v>Administração de Contratos</v>
          </cell>
        </row>
        <row r="776">
          <cell r="C776">
            <v>200702</v>
          </cell>
          <cell r="D776" t="str">
            <v>Contratos</v>
          </cell>
        </row>
        <row r="777">
          <cell r="C777">
            <v>200800</v>
          </cell>
          <cell r="D777" t="str">
            <v>TECNOLOGIA DA INFORMACAO</v>
          </cell>
        </row>
        <row r="778">
          <cell r="C778">
            <v>200802</v>
          </cell>
          <cell r="D778" t="str">
            <v>TECNOLOGIA DA INFORMAÇÃO</v>
          </cell>
        </row>
        <row r="779">
          <cell r="C779">
            <v>201000</v>
          </cell>
          <cell r="D779" t="str">
            <v>SUPRIMENTOS</v>
          </cell>
        </row>
        <row r="780">
          <cell r="C780">
            <v>201002</v>
          </cell>
          <cell r="D780" t="str">
            <v>COMPRAS</v>
          </cell>
        </row>
        <row r="781">
          <cell r="C781">
            <v>201099</v>
          </cell>
          <cell r="D781" t="str">
            <v>Manutenção de Entressafra</v>
          </cell>
        </row>
        <row r="782">
          <cell r="C782">
            <v>201200</v>
          </cell>
          <cell r="D782" t="str">
            <v>COMERCIAL</v>
          </cell>
        </row>
        <row r="783">
          <cell r="C783">
            <v>201202</v>
          </cell>
          <cell r="D783" t="str">
            <v>COMERCIAL</v>
          </cell>
        </row>
        <row r="784">
          <cell r="C784">
            <v>201204</v>
          </cell>
          <cell r="D784" t="str">
            <v>COMERCIALIZAÇÃO</v>
          </cell>
        </row>
        <row r="785">
          <cell r="C785">
            <v>201299</v>
          </cell>
          <cell r="D785" t="str">
            <v>Manutenção de Entressafra</v>
          </cell>
        </row>
        <row r="786">
          <cell r="C786">
            <v>201400</v>
          </cell>
          <cell r="D786" t="str">
            <v>FINANCEIRO</v>
          </cell>
        </row>
        <row r="787">
          <cell r="C787">
            <v>201402</v>
          </cell>
          <cell r="D787" t="str">
            <v>ADMINISTRAÇÃO FINANCEIRA</v>
          </cell>
        </row>
        <row r="788">
          <cell r="C788">
            <v>201404</v>
          </cell>
          <cell r="D788" t="str">
            <v>TESOURARIA</v>
          </cell>
        </row>
        <row r="789">
          <cell r="C789">
            <v>201600</v>
          </cell>
          <cell r="D789" t="str">
            <v>JURIDICO</v>
          </cell>
        </row>
        <row r="790">
          <cell r="C790">
            <v>201602</v>
          </cell>
          <cell r="D790" t="str">
            <v>JURÍDICO</v>
          </cell>
        </row>
        <row r="791">
          <cell r="C791">
            <v>201604</v>
          </cell>
          <cell r="D791" t="str">
            <v>CONSULTORIA JURÍDICA EXTERNA</v>
          </cell>
        </row>
        <row r="792">
          <cell r="C792">
            <v>201800</v>
          </cell>
          <cell r="D792" t="str">
            <v>CONTROLE INTERNO</v>
          </cell>
        </row>
        <row r="793">
          <cell r="C793">
            <v>201802</v>
          </cell>
          <cell r="D793" t="str">
            <v>CONTROLE INTERNO</v>
          </cell>
        </row>
        <row r="794">
          <cell r="C794">
            <v>202000</v>
          </cell>
          <cell r="D794" t="str">
            <v>MEIO AMBIENTE</v>
          </cell>
        </row>
        <row r="795">
          <cell r="C795">
            <v>202002</v>
          </cell>
          <cell r="D795" t="str">
            <v>MEIO AMBIENTE</v>
          </cell>
        </row>
        <row r="796">
          <cell r="C796">
            <v>300000</v>
          </cell>
          <cell r="D796" t="str">
            <v>ADMINISTRACAO LOCAL</v>
          </cell>
        </row>
        <row r="797">
          <cell r="C797">
            <v>300200</v>
          </cell>
          <cell r="D797" t="str">
            <v>DEPTO CONTABIL/FISCAL</v>
          </cell>
        </row>
        <row r="798">
          <cell r="C798">
            <v>300206</v>
          </cell>
          <cell r="D798" t="str">
            <v>FATURAMENTO</v>
          </cell>
        </row>
        <row r="799">
          <cell r="C799">
            <v>300208</v>
          </cell>
          <cell r="D799" t="str">
            <v>RECEBIMENTO FISCAL</v>
          </cell>
        </row>
        <row r="800">
          <cell r="C800">
            <v>300210</v>
          </cell>
          <cell r="D800" t="str">
            <v>BALANÇA ENTRADA CANA</v>
          </cell>
        </row>
        <row r="801">
          <cell r="C801">
            <v>300400</v>
          </cell>
          <cell r="D801" t="str">
            <v>RECURSOS HUMANOS</v>
          </cell>
        </row>
        <row r="802">
          <cell r="C802">
            <v>300404</v>
          </cell>
          <cell r="D802" t="str">
            <v>ADMINISTRACAO DE PESSOAL</v>
          </cell>
        </row>
        <row r="803">
          <cell r="C803">
            <v>300410</v>
          </cell>
          <cell r="D803" t="str">
            <v>MEDICINA DO TRABALHO</v>
          </cell>
        </row>
        <row r="804">
          <cell r="C804">
            <v>300412</v>
          </cell>
          <cell r="D804" t="str">
            <v>SEGURANCA DO TRABALHO</v>
          </cell>
        </row>
        <row r="805">
          <cell r="C805">
            <v>300414</v>
          </cell>
          <cell r="D805" t="str">
            <v>SEGURANCA PATRIMONIAL</v>
          </cell>
        </row>
        <row r="806">
          <cell r="C806">
            <v>300416</v>
          </cell>
          <cell r="D806" t="str">
            <v>RESTAURANTE</v>
          </cell>
        </row>
        <row r="807">
          <cell r="C807">
            <v>300418</v>
          </cell>
          <cell r="D807" t="str">
            <v>ALOJAMENTO</v>
          </cell>
        </row>
        <row r="808">
          <cell r="C808">
            <v>300420</v>
          </cell>
          <cell r="D808" t="str">
            <v>RECEPCAO, COPA E COZINHA</v>
          </cell>
        </row>
        <row r="809">
          <cell r="C809">
            <v>300600</v>
          </cell>
          <cell r="D809" t="str">
            <v>ADMINISTRAÇÃO GERAL</v>
          </cell>
        </row>
        <row r="810">
          <cell r="C810">
            <v>300602</v>
          </cell>
          <cell r="D810" t="str">
            <v>ADMINISTRAÇÃO GERAL</v>
          </cell>
        </row>
        <row r="811">
          <cell r="C811">
            <v>300604</v>
          </cell>
          <cell r="D811" t="str">
            <v>Gerência Geral</v>
          </cell>
        </row>
        <row r="812">
          <cell r="C812">
            <v>300606</v>
          </cell>
          <cell r="D812" t="str">
            <v>Ger.Administracao de Risco e Auditoria</v>
          </cell>
        </row>
        <row r="813">
          <cell r="C813">
            <v>300800</v>
          </cell>
          <cell r="D813" t="str">
            <v>TECNOLOGIA DA INFORMACAO</v>
          </cell>
        </row>
        <row r="814">
          <cell r="C814">
            <v>300802</v>
          </cell>
          <cell r="D814" t="str">
            <v>TECNOLOGIA DA INFORMAÇÃO</v>
          </cell>
        </row>
        <row r="815">
          <cell r="C815">
            <v>301000</v>
          </cell>
          <cell r="D815" t="str">
            <v>SUPRIMENTOS</v>
          </cell>
        </row>
        <row r="816">
          <cell r="C816">
            <v>301002</v>
          </cell>
          <cell r="D816" t="str">
            <v>Almoxarifado Automotivo</v>
          </cell>
        </row>
        <row r="817">
          <cell r="C817">
            <v>301004</v>
          </cell>
          <cell r="D817" t="str">
            <v>Almoxarifado Industrial</v>
          </cell>
        </row>
        <row r="818">
          <cell r="C818">
            <v>301006</v>
          </cell>
          <cell r="D818" t="str">
            <v>POSTO ABASTECIMENTO</v>
          </cell>
        </row>
        <row r="819">
          <cell r="C819">
            <v>301099</v>
          </cell>
          <cell r="D819" t="str">
            <v>Manutenção de Entressafra</v>
          </cell>
        </row>
        <row r="820">
          <cell r="C820">
            <v>301200</v>
          </cell>
          <cell r="D820" t="str">
            <v>DEPTO COMERCIAL</v>
          </cell>
        </row>
        <row r="821">
          <cell r="C821">
            <v>301202</v>
          </cell>
          <cell r="D821" t="str">
            <v>ARMAZENAGEM DE ALCOOL</v>
          </cell>
        </row>
        <row r="822">
          <cell r="C822">
            <v>301204</v>
          </cell>
          <cell r="D822" t="str">
            <v>ARMAZENAGEM DE ACUCAR</v>
          </cell>
        </row>
        <row r="823">
          <cell r="C823">
            <v>301206</v>
          </cell>
          <cell r="D823" t="str">
            <v>CARREGAMENTO</v>
          </cell>
        </row>
        <row r="824">
          <cell r="C824">
            <v>301208</v>
          </cell>
          <cell r="D824" t="str">
            <v>LOGISTICA E TRANSPORTE</v>
          </cell>
        </row>
        <row r="825">
          <cell r="C825">
            <v>301290</v>
          </cell>
          <cell r="D825" t="str">
            <v>LOGISTICA E TRANSPORTE</v>
          </cell>
        </row>
        <row r="826">
          <cell r="C826">
            <v>301299</v>
          </cell>
          <cell r="D826" t="str">
            <v>Manutenção de Entressafra</v>
          </cell>
        </row>
        <row r="827">
          <cell r="C827">
            <v>399990</v>
          </cell>
          <cell r="D827" t="str">
            <v>C.CUSTO NAO APROVAR ORÇAMENTO</v>
          </cell>
        </row>
        <row r="828">
          <cell r="C828">
            <v>399991</v>
          </cell>
          <cell r="D828" t="str">
            <v>C.CUSTO NÂO APROVA ORÇAMENTO</v>
          </cell>
        </row>
        <row r="829">
          <cell r="C829">
            <v>400000</v>
          </cell>
          <cell r="D829" t="str">
            <v>GERENCIA INDUSTRIAL</v>
          </cell>
        </row>
        <row r="830">
          <cell r="C830">
            <v>400100</v>
          </cell>
          <cell r="D830" t="str">
            <v>GERENCIA INDUSTRIAL</v>
          </cell>
        </row>
        <row r="831">
          <cell r="C831">
            <v>400101</v>
          </cell>
          <cell r="D831" t="str">
            <v>Gerência Industria Corporativa</v>
          </cell>
        </row>
        <row r="832">
          <cell r="C832">
            <v>400102</v>
          </cell>
          <cell r="D832" t="str">
            <v>GERENCIA INDUSTRIAL</v>
          </cell>
        </row>
        <row r="833">
          <cell r="C833">
            <v>400199</v>
          </cell>
          <cell r="D833" t="str">
            <v>Manutenção de Entressafra</v>
          </cell>
        </row>
        <row r="834">
          <cell r="C834">
            <v>400200</v>
          </cell>
          <cell r="D834" t="str">
            <v>APOIO TECNICO INDUSTRIAL</v>
          </cell>
        </row>
        <row r="835">
          <cell r="C835">
            <v>400202</v>
          </cell>
          <cell r="D835" t="str">
            <v>APOIO TECNICO INDUSTRIAL</v>
          </cell>
        </row>
        <row r="836">
          <cell r="C836">
            <v>400400</v>
          </cell>
          <cell r="D836" t="str">
            <v>CONTROLE DE QUALIDADE</v>
          </cell>
        </row>
        <row r="837">
          <cell r="C837">
            <v>400402</v>
          </cell>
          <cell r="D837" t="str">
            <v>LABORATORIO PCTS</v>
          </cell>
        </row>
        <row r="838">
          <cell r="C838">
            <v>400404</v>
          </cell>
          <cell r="D838" t="str">
            <v>LABORATORIO INDUSTRIAL</v>
          </cell>
        </row>
        <row r="839">
          <cell r="C839">
            <v>400406</v>
          </cell>
          <cell r="D839" t="str">
            <v>LABORATORIO MICRO-BIOLOGIA</v>
          </cell>
        </row>
        <row r="840">
          <cell r="C840">
            <v>400499</v>
          </cell>
          <cell r="D840" t="str">
            <v>Manutenção de Entressafra</v>
          </cell>
        </row>
        <row r="841">
          <cell r="C841">
            <v>401000</v>
          </cell>
          <cell r="D841" t="str">
            <v>RECEPCAO / MOAGEM</v>
          </cell>
        </row>
        <row r="842">
          <cell r="C842">
            <v>401002</v>
          </cell>
          <cell r="D842" t="str">
            <v>BARRACAO / LIMPEZA</v>
          </cell>
        </row>
        <row r="843">
          <cell r="C843">
            <v>401004</v>
          </cell>
          <cell r="D843" t="str">
            <v>ALIMENTACAO E PREPARO</v>
          </cell>
        </row>
        <row r="844">
          <cell r="C844">
            <v>401006</v>
          </cell>
          <cell r="D844" t="str">
            <v>MOAGEM CANA</v>
          </cell>
        </row>
        <row r="845">
          <cell r="C845">
            <v>401008</v>
          </cell>
          <cell r="D845" t="str">
            <v>DIFUSOR</v>
          </cell>
        </row>
        <row r="846">
          <cell r="C846">
            <v>401010</v>
          </cell>
          <cell r="D846" t="str">
            <v>DESAGUADOR</v>
          </cell>
        </row>
        <row r="847">
          <cell r="C847">
            <v>401012</v>
          </cell>
          <cell r="D847" t="str">
            <v>Secagem de Bagaço</v>
          </cell>
        </row>
        <row r="848">
          <cell r="C848">
            <v>401099</v>
          </cell>
          <cell r="D848" t="str">
            <v>Manutenção de Entressafra</v>
          </cell>
        </row>
        <row r="849">
          <cell r="C849">
            <v>401400</v>
          </cell>
          <cell r="D849" t="str">
            <v>TRATAMENTO E DISTR.DO CALDO</v>
          </cell>
        </row>
        <row r="850">
          <cell r="C850">
            <v>401402</v>
          </cell>
          <cell r="D850" t="str">
            <v>AQUECIMENTO/TROCADOR CALOR ALCOOL</v>
          </cell>
        </row>
        <row r="851">
          <cell r="C851">
            <v>401404</v>
          </cell>
          <cell r="D851" t="str">
            <v>DECANTACAO DO ALCOOL</v>
          </cell>
        </row>
        <row r="852">
          <cell r="C852">
            <v>401406</v>
          </cell>
          <cell r="D852" t="str">
            <v>PRE-EVAPORACAO DO ALCOOL</v>
          </cell>
        </row>
        <row r="853">
          <cell r="C853">
            <v>401408</v>
          </cell>
          <cell r="D853" t="str">
            <v>AQUECIMENTO/TROCADOR CALOR ACUCAR</v>
          </cell>
        </row>
        <row r="854">
          <cell r="C854">
            <v>401410</v>
          </cell>
          <cell r="D854" t="str">
            <v>CALEACAO</v>
          </cell>
        </row>
        <row r="855">
          <cell r="C855">
            <v>401412</v>
          </cell>
          <cell r="D855" t="str">
            <v>SULFITACAO</v>
          </cell>
        </row>
        <row r="856">
          <cell r="C856">
            <v>401414</v>
          </cell>
          <cell r="D856" t="str">
            <v>DECANTACAO DO ACUCAR</v>
          </cell>
        </row>
        <row r="857">
          <cell r="C857">
            <v>401416</v>
          </cell>
          <cell r="D857" t="str">
            <v>FILTRACAO DO LODO DO ACUCAR</v>
          </cell>
        </row>
        <row r="858">
          <cell r="C858">
            <v>401418</v>
          </cell>
          <cell r="D858" t="str">
            <v>PRE-EVAPORACAO DO ACUCAR</v>
          </cell>
        </row>
        <row r="859">
          <cell r="C859">
            <v>401420</v>
          </cell>
          <cell r="D859" t="str">
            <v>FILTRACAO DO LODO DO ALCOOL</v>
          </cell>
        </row>
        <row r="860">
          <cell r="C860">
            <v>401499</v>
          </cell>
          <cell r="D860" t="str">
            <v>Manutenção de Entressafra</v>
          </cell>
        </row>
        <row r="861">
          <cell r="C861">
            <v>402000</v>
          </cell>
          <cell r="D861" t="str">
            <v>FABRICACAO ALCOOL</v>
          </cell>
        </row>
        <row r="862">
          <cell r="C862">
            <v>402002</v>
          </cell>
          <cell r="D862" t="str">
            <v>PRE-FERMENTACAO</v>
          </cell>
        </row>
        <row r="863">
          <cell r="C863">
            <v>402004</v>
          </cell>
          <cell r="D863" t="str">
            <v>FERMENTACAO</v>
          </cell>
        </row>
        <row r="864">
          <cell r="C864">
            <v>402006</v>
          </cell>
          <cell r="D864" t="str">
            <v>DESTILACAO HIDRATADO</v>
          </cell>
        </row>
        <row r="865">
          <cell r="C865">
            <v>402008</v>
          </cell>
          <cell r="D865" t="str">
            <v>DESTILACAO ANIDRO</v>
          </cell>
        </row>
        <row r="866">
          <cell r="C866">
            <v>402010</v>
          </cell>
          <cell r="D866" t="str">
            <v>TORRE DE RESFRIAMENTO</v>
          </cell>
        </row>
        <row r="867">
          <cell r="C867">
            <v>402012</v>
          </cell>
          <cell r="D867" t="str">
            <v>TANQUE SPRAY</v>
          </cell>
        </row>
        <row r="868">
          <cell r="C868">
            <v>402014</v>
          </cell>
          <cell r="D868" t="str">
            <v>Centrifugação</v>
          </cell>
        </row>
        <row r="869">
          <cell r="C869">
            <v>402016</v>
          </cell>
          <cell r="D869" t="str">
            <v>Evaporação Álcool</v>
          </cell>
        </row>
        <row r="870">
          <cell r="C870">
            <v>402070</v>
          </cell>
          <cell r="D870" t="str">
            <v>EM PROCESSO (FERMENTACAO)</v>
          </cell>
        </row>
        <row r="871">
          <cell r="C871">
            <v>402099</v>
          </cell>
          <cell r="D871" t="str">
            <v>Manutenção de Entressafra</v>
          </cell>
        </row>
        <row r="872">
          <cell r="C872">
            <v>403000</v>
          </cell>
          <cell r="D872" t="str">
            <v>FABRICACAO ACUCAR</v>
          </cell>
        </row>
        <row r="873">
          <cell r="C873">
            <v>403002</v>
          </cell>
          <cell r="D873" t="str">
            <v>EVAPORACAO</v>
          </cell>
        </row>
        <row r="874">
          <cell r="C874">
            <v>403004</v>
          </cell>
          <cell r="D874" t="str">
            <v>COZIMENTO - MASSA A E B</v>
          </cell>
        </row>
        <row r="875">
          <cell r="C875">
            <v>403006</v>
          </cell>
          <cell r="D875" t="str">
            <v>CENTRIFUGACAO</v>
          </cell>
        </row>
        <row r="876">
          <cell r="C876">
            <v>403008</v>
          </cell>
          <cell r="D876" t="str">
            <v>MEL FINAL PARA ALCOOL</v>
          </cell>
        </row>
        <row r="877">
          <cell r="C877">
            <v>403010</v>
          </cell>
          <cell r="D877" t="str">
            <v>SECAGEM</v>
          </cell>
        </row>
        <row r="878">
          <cell r="C878">
            <v>403012</v>
          </cell>
          <cell r="D878" t="str">
            <v>ENSAQUE</v>
          </cell>
        </row>
        <row r="879">
          <cell r="C879">
            <v>403014</v>
          </cell>
          <cell r="D879" t="str">
            <v>TANQUE SPRAY</v>
          </cell>
        </row>
        <row r="880">
          <cell r="C880">
            <v>403070</v>
          </cell>
          <cell r="D880" t="str">
            <v>EM PROCESSO (COZIMENTO)</v>
          </cell>
        </row>
        <row r="881">
          <cell r="C881">
            <v>403099</v>
          </cell>
          <cell r="D881" t="str">
            <v>Manutenção de Entressafra</v>
          </cell>
        </row>
        <row r="882">
          <cell r="C882">
            <v>405000</v>
          </cell>
          <cell r="D882" t="str">
            <v>FABRICACAO LEVEDURA</v>
          </cell>
        </row>
        <row r="883">
          <cell r="C883">
            <v>405002</v>
          </cell>
          <cell r="D883" t="str">
            <v>SECAGEM LEVEDURA</v>
          </cell>
        </row>
        <row r="884">
          <cell r="C884">
            <v>405004</v>
          </cell>
          <cell r="D884" t="str">
            <v>ENSAQUE LEVEDURA</v>
          </cell>
        </row>
        <row r="885">
          <cell r="C885">
            <v>405099</v>
          </cell>
          <cell r="D885" t="str">
            <v>Manutenção de Entressafra</v>
          </cell>
        </row>
        <row r="886">
          <cell r="C886">
            <v>406000</v>
          </cell>
          <cell r="D886" t="str">
            <v>FABRICACAO XAROPE DE CANA</v>
          </cell>
        </row>
        <row r="887">
          <cell r="C887">
            <v>406002</v>
          </cell>
          <cell r="D887" t="str">
            <v>CARREGAMENTO</v>
          </cell>
        </row>
        <row r="888">
          <cell r="C888">
            <v>406099</v>
          </cell>
          <cell r="D888" t="str">
            <v>Manutenção de Entressafra</v>
          </cell>
        </row>
        <row r="889">
          <cell r="C889">
            <v>407000</v>
          </cell>
          <cell r="D889" t="str">
            <v>AUXILIARES</v>
          </cell>
        </row>
        <row r="890">
          <cell r="C890">
            <v>407002</v>
          </cell>
          <cell r="D890" t="str">
            <v>GERACAO E DISTR.VAPOR</v>
          </cell>
        </row>
        <row r="891">
          <cell r="C891">
            <v>407004</v>
          </cell>
          <cell r="D891" t="str">
            <v>GERACAO E DISTR.AR COMPRIMIDO</v>
          </cell>
        </row>
        <row r="892">
          <cell r="C892">
            <v>407006</v>
          </cell>
          <cell r="D892" t="str">
            <v>GERACAO E DISTR.ENERGIA</v>
          </cell>
        </row>
        <row r="893">
          <cell r="C893">
            <v>407008</v>
          </cell>
          <cell r="D893" t="str">
            <v>CAPTACAO DE AGUA</v>
          </cell>
        </row>
        <row r="894">
          <cell r="C894">
            <v>407010</v>
          </cell>
          <cell r="D894" t="str">
            <v>ETA (ESTACAO DE TRATAMENTO AGUA)</v>
          </cell>
        </row>
        <row r="895">
          <cell r="C895">
            <v>407012</v>
          </cell>
          <cell r="D895" t="str">
            <v>PATIO DE BAGACO</v>
          </cell>
        </row>
        <row r="896">
          <cell r="C896">
            <v>407014</v>
          </cell>
          <cell r="D896" t="str">
            <v>HIDROLIZADOR DE BAGACO</v>
          </cell>
        </row>
        <row r="897">
          <cell r="C897">
            <v>407016</v>
          </cell>
          <cell r="D897" t="str">
            <v>ENERGIA ELETRICA ADQUIRIDA</v>
          </cell>
        </row>
        <row r="898">
          <cell r="C898">
            <v>407018</v>
          </cell>
          <cell r="D898" t="str">
            <v>ETALC-Est.Trat.Água LAvagem de Cana</v>
          </cell>
        </row>
        <row r="899">
          <cell r="C899">
            <v>407020</v>
          </cell>
          <cell r="D899" t="str">
            <v>ETE-Estação Tratamento de Esgoto</v>
          </cell>
        </row>
        <row r="900">
          <cell r="C900">
            <v>407022</v>
          </cell>
          <cell r="D900" t="str">
            <v>ETALG-Est.Trat.Água LAvagem de Gases</v>
          </cell>
        </row>
        <row r="901">
          <cell r="C901">
            <v>407099</v>
          </cell>
          <cell r="D901" t="str">
            <v>Manutenção de Entressafra</v>
          </cell>
        </row>
        <row r="902">
          <cell r="C902">
            <v>408000</v>
          </cell>
          <cell r="D902" t="str">
            <v>MANUTENCAO INDUSTRIAL</v>
          </cell>
        </row>
        <row r="903">
          <cell r="C903">
            <v>408002</v>
          </cell>
          <cell r="D903" t="str">
            <v>MANUTENCAO MECANICA</v>
          </cell>
        </row>
        <row r="904">
          <cell r="C904">
            <v>408004</v>
          </cell>
          <cell r="D904" t="str">
            <v>CALDERARIA</v>
          </cell>
        </row>
        <row r="905">
          <cell r="C905">
            <v>408006</v>
          </cell>
          <cell r="D905" t="str">
            <v>MANUTENCAO ELETRICA</v>
          </cell>
        </row>
        <row r="906">
          <cell r="C906">
            <v>408008</v>
          </cell>
          <cell r="D906" t="str">
            <v>INSTRUMENTACAO</v>
          </cell>
        </row>
        <row r="907">
          <cell r="C907">
            <v>408010</v>
          </cell>
          <cell r="D907" t="str">
            <v>MANUTENCAO CIVIL</v>
          </cell>
        </row>
        <row r="908">
          <cell r="C908">
            <v>408099</v>
          </cell>
          <cell r="D908" t="str">
            <v>Manutenção de Entressafra</v>
          </cell>
        </row>
        <row r="909">
          <cell r="C909">
            <v>409000</v>
          </cell>
          <cell r="D909" t="str">
            <v>RESIDUOS INDUSTRIAIS</v>
          </cell>
        </row>
        <row r="910">
          <cell r="C910">
            <v>409002</v>
          </cell>
          <cell r="D910" t="str">
            <v>ESCOAMENTO DA VINHACA</v>
          </cell>
        </row>
        <row r="911">
          <cell r="C911">
            <v>409004</v>
          </cell>
          <cell r="D911" t="str">
            <v>SISTEMA DE BOMBEAMENTO</v>
          </cell>
        </row>
        <row r="912">
          <cell r="C912">
            <v>409099</v>
          </cell>
          <cell r="D912" t="str">
            <v>Manutenção de Entressafra</v>
          </cell>
        </row>
        <row r="913">
          <cell r="C913">
            <v>409900</v>
          </cell>
          <cell r="D913" t="str">
            <v>CUSTO FINAL DE PRODUCAO</v>
          </cell>
        </row>
        <row r="914">
          <cell r="C914">
            <v>409910</v>
          </cell>
          <cell r="D914" t="str">
            <v>CUSTO DE PRODUCAO DO A.E.H.C.</v>
          </cell>
        </row>
        <row r="915">
          <cell r="C915">
            <v>409920</v>
          </cell>
          <cell r="D915" t="str">
            <v>CUSTO DE PRODUCAO DO A.E.A.C.</v>
          </cell>
        </row>
        <row r="916">
          <cell r="C916">
            <v>409930</v>
          </cell>
          <cell r="D916" t="str">
            <v>CUSTO DE PRODUCAO DO ACUCAR</v>
          </cell>
        </row>
        <row r="917">
          <cell r="C917">
            <v>409940</v>
          </cell>
          <cell r="D917" t="str">
            <v>CUSTO DE PRODUCAO DO XAROPE</v>
          </cell>
        </row>
        <row r="918">
          <cell r="C918">
            <v>409950</v>
          </cell>
          <cell r="D918" t="str">
            <v>CUSTO DE PRODUCAO DE LEVEDURA</v>
          </cell>
        </row>
        <row r="919">
          <cell r="C919">
            <v>500000</v>
          </cell>
          <cell r="D919" t="str">
            <v>GERENCIA AGRICOLA</v>
          </cell>
        </row>
        <row r="920">
          <cell r="C920">
            <v>500100</v>
          </cell>
          <cell r="D920" t="str">
            <v>GERENCIA AGRICOLA</v>
          </cell>
        </row>
        <row r="921">
          <cell r="C921">
            <v>500101</v>
          </cell>
          <cell r="D921" t="str">
            <v>Gerencia Agricola Corporativa</v>
          </cell>
        </row>
        <row r="922">
          <cell r="C922">
            <v>500102</v>
          </cell>
          <cell r="D922" t="str">
            <v>GERENCIA AGRICOLA</v>
          </cell>
        </row>
        <row r="923">
          <cell r="C923">
            <v>500200</v>
          </cell>
          <cell r="D923" t="str">
            <v>CONTROLE AGRICOLA</v>
          </cell>
        </row>
        <row r="924">
          <cell r="C924">
            <v>500202</v>
          </cell>
          <cell r="D924" t="str">
            <v>ADM INFORMAÇÕES AGRÍCOLAS</v>
          </cell>
        </row>
        <row r="925">
          <cell r="C925">
            <v>500204</v>
          </cell>
          <cell r="D925" t="str">
            <v>TECNICOS AGRICOLAS</v>
          </cell>
        </row>
        <row r="926">
          <cell r="C926">
            <v>500206</v>
          </cell>
          <cell r="D926" t="str">
            <v>TOPOGRAFIA</v>
          </cell>
        </row>
        <row r="927">
          <cell r="C927">
            <v>500208</v>
          </cell>
          <cell r="D927" t="str">
            <v>NOVOS PROJETOS</v>
          </cell>
        </row>
        <row r="928">
          <cell r="C928">
            <v>500210</v>
          </cell>
          <cell r="D928" t="str">
            <v>LAVANDERIA</v>
          </cell>
        </row>
        <row r="929">
          <cell r="C929">
            <v>500212</v>
          </cell>
          <cell r="D929" t="str">
            <v>ADM COLHEITA DE CANA</v>
          </cell>
        </row>
        <row r="930">
          <cell r="C930">
            <v>500214</v>
          </cell>
          <cell r="D930" t="str">
            <v>ADM PRODUÇÃO AGRÍCOLA</v>
          </cell>
        </row>
        <row r="931">
          <cell r="C931">
            <v>500216</v>
          </cell>
          <cell r="D931" t="str">
            <v>PLANEJAMENTO AGRICOLA</v>
          </cell>
        </row>
        <row r="932">
          <cell r="C932">
            <v>500218</v>
          </cell>
          <cell r="D932" t="str">
            <v>CONTROLE DE QUALIDADE AGRICOLA</v>
          </cell>
        </row>
        <row r="933">
          <cell r="C933">
            <v>500220</v>
          </cell>
          <cell r="D933" t="str">
            <v>ADM PARCERIAS/FORN. AGRICOLA</v>
          </cell>
        </row>
        <row r="934">
          <cell r="C934">
            <v>500222</v>
          </cell>
          <cell r="D934" t="str">
            <v>CONTROLE DE TRÁFEGO (CENTRAL)</v>
          </cell>
        </row>
        <row r="935">
          <cell r="C935">
            <v>500224</v>
          </cell>
          <cell r="D935" t="str">
            <v>CONTROLE BIOLÓGICO</v>
          </cell>
        </row>
        <row r="936">
          <cell r="C936">
            <v>500226</v>
          </cell>
          <cell r="D936" t="str">
            <v>ADM TECNOLOGIA AGRÍCOLA</v>
          </cell>
        </row>
        <row r="937">
          <cell r="C937">
            <v>500300</v>
          </cell>
          <cell r="D937" t="str">
            <v>ADMINISTRAÇÃO DE RURAL</v>
          </cell>
        </row>
        <row r="938">
          <cell r="C938">
            <v>500302</v>
          </cell>
          <cell r="D938" t="str">
            <v>MDO FISCAIS CAMPO</v>
          </cell>
        </row>
        <row r="939">
          <cell r="C939">
            <v>500304</v>
          </cell>
          <cell r="D939" t="str">
            <v>MDO QUEIMA DE CANA</v>
          </cell>
        </row>
        <row r="940">
          <cell r="C940">
            <v>500306</v>
          </cell>
          <cell r="D940" t="str">
            <v>MDO BITUCA</v>
          </cell>
        </row>
        <row r="941">
          <cell r="C941">
            <v>500308</v>
          </cell>
          <cell r="D941" t="str">
            <v>MDO CATACAO QUIMICA</v>
          </cell>
        </row>
        <row r="942">
          <cell r="C942">
            <v>500310</v>
          </cell>
          <cell r="D942" t="str">
            <v>MDO RURICOLAS - REGIONAIS</v>
          </cell>
        </row>
        <row r="943">
          <cell r="C943">
            <v>500312</v>
          </cell>
          <cell r="D943" t="str">
            <v>ENCARREGADO MDO RURAL</v>
          </cell>
        </row>
        <row r="944">
          <cell r="C944">
            <v>500314</v>
          </cell>
          <cell r="D944" t="str">
            <v>MDO MIGRANTES</v>
          </cell>
        </row>
        <row r="945">
          <cell r="C945">
            <v>500400</v>
          </cell>
          <cell r="D945" t="str">
            <v>FERTIRRIGAÇÃO (ESTRUTURA)</v>
          </cell>
        </row>
        <row r="946">
          <cell r="C946">
            <v>500401</v>
          </cell>
          <cell r="D946" t="str">
            <v>ESTRUTURA DE FERTIRRIGAÇÃO</v>
          </cell>
        </row>
        <row r="947">
          <cell r="C947">
            <v>500402</v>
          </cell>
          <cell r="D947" t="str">
            <v>MANUT. CANAIS DE VINHAÇA</v>
          </cell>
        </row>
        <row r="948">
          <cell r="C948">
            <v>500404</v>
          </cell>
          <cell r="D948" t="str">
            <v>MDO FERTIRRIGAÇÃO</v>
          </cell>
        </row>
        <row r="949">
          <cell r="C949">
            <v>500406</v>
          </cell>
          <cell r="D949" t="str">
            <v>DISTRIBUIÇAO DE VINHAÇA</v>
          </cell>
        </row>
        <row r="950">
          <cell r="C950">
            <v>500500</v>
          </cell>
          <cell r="D950" t="str">
            <v>MANUTENÇÃO AUTOMOTIVA</v>
          </cell>
        </row>
        <row r="951">
          <cell r="C951">
            <v>500502</v>
          </cell>
          <cell r="D951" t="str">
            <v>ADM MANUTENÇÃO AUTOMOTIVA</v>
          </cell>
        </row>
        <row r="952">
          <cell r="C952">
            <v>500506</v>
          </cell>
          <cell r="D952" t="str">
            <v>POSTO DE LAVAGEM/ LUBRIFICAÇÃO</v>
          </cell>
        </row>
        <row r="953">
          <cell r="C953">
            <v>500508</v>
          </cell>
          <cell r="D953" t="str">
            <v>ELETRICISTA</v>
          </cell>
        </row>
        <row r="954">
          <cell r="C954">
            <v>500510</v>
          </cell>
          <cell r="D954" t="str">
            <v>SOLDADOR</v>
          </cell>
        </row>
        <row r="955">
          <cell r="C955">
            <v>500512</v>
          </cell>
          <cell r="D955" t="str">
            <v>MECÂNICO COLHEDORA</v>
          </cell>
        </row>
        <row r="956">
          <cell r="C956">
            <v>500514</v>
          </cell>
          <cell r="D956" t="str">
            <v>MECÂNICO MAQUINAS / IMPLEMENTOS</v>
          </cell>
        </row>
        <row r="957">
          <cell r="C957">
            <v>500516</v>
          </cell>
          <cell r="D957" t="str">
            <v>BORRACHEIRO</v>
          </cell>
        </row>
        <row r="958">
          <cell r="C958">
            <v>500700</v>
          </cell>
          <cell r="D958" t="str">
            <v>MAO DE OBRA APONTADA</v>
          </cell>
        </row>
        <row r="959">
          <cell r="C959">
            <v>500702</v>
          </cell>
          <cell r="D959" t="str">
            <v>MOTORISTAS TRANSP CANA</v>
          </cell>
        </row>
        <row r="960">
          <cell r="C960">
            <v>500704</v>
          </cell>
          <cell r="D960" t="str">
            <v>MOTORISTAS DIVERSOS</v>
          </cell>
        </row>
        <row r="961">
          <cell r="C961">
            <v>500706</v>
          </cell>
          <cell r="D961" t="str">
            <v>CARREGADORES</v>
          </cell>
        </row>
        <row r="962">
          <cell r="C962">
            <v>500708</v>
          </cell>
          <cell r="D962" t="str">
            <v>REBOCADORES</v>
          </cell>
        </row>
        <row r="963">
          <cell r="C963">
            <v>500710</v>
          </cell>
          <cell r="D963" t="str">
            <v>OPERADORES DE COLHEDORAS</v>
          </cell>
        </row>
        <row r="964">
          <cell r="C964">
            <v>500712</v>
          </cell>
          <cell r="D964" t="str">
            <v>MOTORISTAS TRANSBORDO</v>
          </cell>
        </row>
        <row r="965">
          <cell r="C965">
            <v>500714</v>
          </cell>
          <cell r="D965" t="str">
            <v>TRATORISTAS MAQ LEVES</v>
          </cell>
        </row>
        <row r="966">
          <cell r="C966">
            <v>500716</v>
          </cell>
          <cell r="D966" t="str">
            <v>TRATORISTAS MAQ MEDIAS</v>
          </cell>
        </row>
        <row r="967">
          <cell r="C967">
            <v>500718</v>
          </cell>
          <cell r="D967" t="str">
            <v>TRATORISTAS MAQ PESADAS</v>
          </cell>
        </row>
        <row r="968">
          <cell r="C968">
            <v>500720</v>
          </cell>
          <cell r="D968" t="str">
            <v>MOTORISTA TRANSPORTE DE APOIO</v>
          </cell>
        </row>
        <row r="969">
          <cell r="C969">
            <v>500722</v>
          </cell>
          <cell r="D969" t="str">
            <v>MDO LÍDERES/FÍSCAIS DE OPERAÇÃO</v>
          </cell>
        </row>
        <row r="970">
          <cell r="C970">
            <v>500724</v>
          </cell>
          <cell r="D970" t="str">
            <v>AUXILIAR DE CONTROLE DE QUALIDADE</v>
          </cell>
        </row>
        <row r="971">
          <cell r="C971">
            <v>500726</v>
          </cell>
          <cell r="D971" t="str">
            <v>AUXILIARES AGRICOLAS</v>
          </cell>
        </row>
        <row r="972">
          <cell r="C972">
            <v>500790</v>
          </cell>
          <cell r="D972" t="str">
            <v>FUNCIONARIOS DE TERCEIROS</v>
          </cell>
        </row>
        <row r="973">
          <cell r="C973">
            <v>501000</v>
          </cell>
          <cell r="D973" t="str">
            <v>CULTURA DE CANA</v>
          </cell>
        </row>
        <row r="974">
          <cell r="C974">
            <v>501002</v>
          </cell>
          <cell r="D974" t="str">
            <v>PREPARO DE SOLO</v>
          </cell>
        </row>
        <row r="975">
          <cell r="C975">
            <v>501004</v>
          </cell>
          <cell r="D975" t="str">
            <v>COLHEITA DE MUDA</v>
          </cell>
        </row>
        <row r="976">
          <cell r="C976">
            <v>501006</v>
          </cell>
          <cell r="D976" t="str">
            <v>COLHEITA DE MUDA - TERCEIROS</v>
          </cell>
        </row>
        <row r="977">
          <cell r="C977">
            <v>501008</v>
          </cell>
          <cell r="D977" t="str">
            <v>PLANTIO DE CANA</v>
          </cell>
        </row>
        <row r="978">
          <cell r="C978">
            <v>501010</v>
          </cell>
          <cell r="D978" t="str">
            <v>TRATOS CANA PLANTA</v>
          </cell>
        </row>
        <row r="979">
          <cell r="C979">
            <v>501012</v>
          </cell>
          <cell r="D979" t="str">
            <v>TRATOS CANA SOCA</v>
          </cell>
        </row>
        <row r="980">
          <cell r="C980">
            <v>501014</v>
          </cell>
          <cell r="D980" t="str">
            <v>COLHEITA MANUAL</v>
          </cell>
        </row>
        <row r="981">
          <cell r="C981">
            <v>501016</v>
          </cell>
          <cell r="D981" t="str">
            <v>COLHEITA MECANIZADA</v>
          </cell>
        </row>
        <row r="982">
          <cell r="C982">
            <v>501018</v>
          </cell>
          <cell r="D982" t="str">
            <v>Pátio de compostagem</v>
          </cell>
        </row>
        <row r="983">
          <cell r="C983">
            <v>501020</v>
          </cell>
          <cell r="D983" t="str">
            <v>Replantio da cana planta</v>
          </cell>
        </row>
        <row r="984">
          <cell r="C984">
            <v>501022</v>
          </cell>
          <cell r="D984" t="str">
            <v>Replantio da cana soca</v>
          </cell>
        </row>
        <row r="985">
          <cell r="C985">
            <v>501030</v>
          </cell>
          <cell r="D985" t="str">
            <v>ADMINISTRAÇÃO AGRÍCOLA</v>
          </cell>
        </row>
        <row r="986">
          <cell r="C986">
            <v>501100</v>
          </cell>
          <cell r="D986" t="str">
            <v>OUTRAS CULTURAS</v>
          </cell>
        </row>
        <row r="987">
          <cell r="C987">
            <v>501102</v>
          </cell>
          <cell r="D987" t="str">
            <v>REFLORESTAMENTO</v>
          </cell>
        </row>
        <row r="988">
          <cell r="C988">
            <v>501106</v>
          </cell>
          <cell r="D988" t="str">
            <v>EXPERIMENTO</v>
          </cell>
        </row>
        <row r="989">
          <cell r="C989">
            <v>501108</v>
          </cell>
          <cell r="D989" t="str">
            <v>ADUBACAO VERDE</v>
          </cell>
        </row>
        <row r="990">
          <cell r="C990">
            <v>501112</v>
          </cell>
          <cell r="D990" t="str">
            <v>OUTROS SERVICOS</v>
          </cell>
        </row>
        <row r="991">
          <cell r="C991">
            <v>501202</v>
          </cell>
          <cell r="D991" t="str">
            <v>Desenvolvimento Agronomico</v>
          </cell>
        </row>
        <row r="992">
          <cell r="C992">
            <v>509900</v>
          </cell>
          <cell r="D992" t="str">
            <v>CUSTO FINAL DE PRODUCAO</v>
          </cell>
        </row>
        <row r="993">
          <cell r="C993">
            <v>509902</v>
          </cell>
          <cell r="D993" t="str">
            <v>CUSTO MATERIA-PRIMA</v>
          </cell>
        </row>
        <row r="994">
          <cell r="C994">
            <v>600000</v>
          </cell>
          <cell r="D994" t="str">
            <v>CONSERVACAO GERAL/BENFEITORIAS</v>
          </cell>
        </row>
        <row r="995">
          <cell r="C995">
            <v>600200</v>
          </cell>
          <cell r="D995" t="str">
            <v>CONSERVACAO DE SEDES</v>
          </cell>
        </row>
        <row r="996">
          <cell r="C996">
            <v>600400</v>
          </cell>
          <cell r="D996" t="str">
            <v>CONSTR.E CONSERVACAO DEPENDENCIAS</v>
          </cell>
        </row>
        <row r="997">
          <cell r="C997">
            <v>600600</v>
          </cell>
          <cell r="D997" t="str">
            <v>CONSTR.E CONSERVACAO DE CERCAS</v>
          </cell>
        </row>
        <row r="998">
          <cell r="C998">
            <v>600800</v>
          </cell>
          <cell r="D998" t="str">
            <v>CONSERVACAO DE ESTRADAS</v>
          </cell>
        </row>
        <row r="999">
          <cell r="C999">
            <v>601000</v>
          </cell>
          <cell r="D999" t="str">
            <v>CONSERVACAO PATIOS - INDUSTRIA</v>
          </cell>
        </row>
        <row r="1000">
          <cell r="C1000">
            <v>601018</v>
          </cell>
          <cell r="D1000" t="str">
            <v>Movimentação de Resíduos Industr</v>
          </cell>
        </row>
        <row r="1001">
          <cell r="C1001">
            <v>601200</v>
          </cell>
          <cell r="D1001" t="str">
            <v>CONSERVACAO PATIOS - ADMINISTRACAO</v>
          </cell>
        </row>
        <row r="1002">
          <cell r="C1002">
            <v>601400</v>
          </cell>
          <cell r="D1002" t="str">
            <v>URBANIZACAO E LIMPEZA</v>
          </cell>
        </row>
        <row r="1003">
          <cell r="C1003">
            <v>601600</v>
          </cell>
          <cell r="D1003" t="str">
            <v>Rede de Tratamento de Água e Esgoto</v>
          </cell>
        </row>
        <row r="1004">
          <cell r="C1004">
            <v>700000</v>
          </cell>
          <cell r="D1004" t="str">
            <v>GRUPOS OPERATIVOS</v>
          </cell>
        </row>
        <row r="1005">
          <cell r="C1005">
            <v>700100</v>
          </cell>
          <cell r="D1005" t="str">
            <v>CAMINHOES</v>
          </cell>
        </row>
        <row r="1006">
          <cell r="C1006">
            <v>700102</v>
          </cell>
          <cell r="D1006" t="str">
            <v>CAMINHOES CANAVIEIRO</v>
          </cell>
        </row>
        <row r="1007">
          <cell r="C1007">
            <v>700103</v>
          </cell>
          <cell r="D1007" t="str">
            <v>CAMINHÕES CANAVIEIRO ( PRÓPRIO)</v>
          </cell>
        </row>
        <row r="1008">
          <cell r="C1008">
            <v>700104</v>
          </cell>
          <cell r="D1008" t="str">
            <v>CAMINHOES BASCULANTE (ALUGADO)</v>
          </cell>
        </row>
        <row r="1009">
          <cell r="C1009">
            <v>700105</v>
          </cell>
          <cell r="D1009" t="str">
            <v>CAMINHÕES BASCULANTE ( PRÓPRIO)</v>
          </cell>
        </row>
        <row r="1010">
          <cell r="C1010">
            <v>700106</v>
          </cell>
          <cell r="D1010" t="str">
            <v>CAMINHOES PIPA ( ALUGADO)</v>
          </cell>
        </row>
        <row r="1011">
          <cell r="C1011">
            <v>700107</v>
          </cell>
          <cell r="D1011" t="str">
            <v>CAMINHÕES PIPA ( PRÓPRIO)</v>
          </cell>
        </row>
        <row r="1012">
          <cell r="C1012">
            <v>700108</v>
          </cell>
          <cell r="D1012" t="str">
            <v>CAMINHOES COMBOIO ( ALUGADO)</v>
          </cell>
        </row>
        <row r="1013">
          <cell r="C1013">
            <v>700109</v>
          </cell>
          <cell r="D1013" t="str">
            <v>CAMINHÕES COMBOIO ( PRÓPRIO)</v>
          </cell>
        </row>
        <row r="1014">
          <cell r="C1014">
            <v>700110</v>
          </cell>
          <cell r="D1014" t="str">
            <v>CAMINHOES CARGA SECA ( ALUGADO)</v>
          </cell>
        </row>
        <row r="1015">
          <cell r="C1015">
            <v>700111</v>
          </cell>
          <cell r="D1015" t="str">
            <v>CAMINHÕES CARGA SECA ( PRÓPRIO)</v>
          </cell>
        </row>
        <row r="1016">
          <cell r="C1016">
            <v>700112</v>
          </cell>
          <cell r="D1016" t="str">
            <v>CAMINHOES PRANCHA ( ALUGADO)</v>
          </cell>
        </row>
        <row r="1017">
          <cell r="C1017">
            <v>700113</v>
          </cell>
          <cell r="D1017" t="str">
            <v>CAMINHÕES PRANCHA ( PRÓPRIO)</v>
          </cell>
        </row>
        <row r="1018">
          <cell r="C1018">
            <v>700114</v>
          </cell>
          <cell r="D1018" t="str">
            <v>CAMINHÃO MUNCK ( ALUGADO)</v>
          </cell>
        </row>
        <row r="1019">
          <cell r="C1019">
            <v>700115</v>
          </cell>
          <cell r="D1019" t="str">
            <v>CAMINHÕES MUNCK ( PRÓPRIO)</v>
          </cell>
        </row>
        <row r="1020">
          <cell r="C1020">
            <v>700116</v>
          </cell>
          <cell r="D1020" t="str">
            <v>CAMINHÕES BORRACHARIA (ALUGADO)</v>
          </cell>
        </row>
        <row r="1021">
          <cell r="C1021">
            <v>700117</v>
          </cell>
          <cell r="D1021" t="str">
            <v>CAMINHÕES BORRACHARIA ( PRÓPRIO)</v>
          </cell>
        </row>
        <row r="1022">
          <cell r="C1022">
            <v>700118</v>
          </cell>
          <cell r="D1022" t="str">
            <v>CAMINHÕES OFICINA ( ALUGADO)</v>
          </cell>
        </row>
        <row r="1023">
          <cell r="C1023">
            <v>700119</v>
          </cell>
          <cell r="D1023" t="str">
            <v>CAMINHÕES OFICINA ( PRÓPRIO)</v>
          </cell>
        </row>
        <row r="1024">
          <cell r="C1024">
            <v>700200</v>
          </cell>
          <cell r="D1024" t="str">
            <v>TRATORES/MAQUINAS/COLHEDORAS</v>
          </cell>
        </row>
        <row r="1025">
          <cell r="C1025">
            <v>700202</v>
          </cell>
          <cell r="D1025" t="str">
            <v>TRATORES PNEUS - LEVES ( ALUGADO)</v>
          </cell>
        </row>
        <row r="1026">
          <cell r="C1026">
            <v>700203</v>
          </cell>
          <cell r="D1026" t="str">
            <v>TRATORES PNEUS - LEVES ( PRÓPRIO)</v>
          </cell>
        </row>
        <row r="1027">
          <cell r="C1027">
            <v>700204</v>
          </cell>
          <cell r="D1027" t="str">
            <v>TRATORES PNEUS - MEDIOS ( ALUGADO)</v>
          </cell>
        </row>
        <row r="1028">
          <cell r="C1028">
            <v>700205</v>
          </cell>
          <cell r="D1028" t="str">
            <v>TRATORES PNEUS - MEDIOS ( PRÓPRIO)</v>
          </cell>
        </row>
        <row r="1029">
          <cell r="C1029">
            <v>700206</v>
          </cell>
          <cell r="D1029" t="str">
            <v>TRATORES PNEUS - PESADOS ( ALUGADO)</v>
          </cell>
        </row>
        <row r="1030">
          <cell r="C1030">
            <v>700207</v>
          </cell>
          <cell r="D1030" t="str">
            <v>TRATORES PNEUS - PESADOS ( PRÓPRIO)</v>
          </cell>
        </row>
        <row r="1031">
          <cell r="C1031">
            <v>700208</v>
          </cell>
          <cell r="D1031" t="str">
            <v>TRATORES ESTEIRAS ( ALUGADO)</v>
          </cell>
        </row>
        <row r="1032">
          <cell r="C1032">
            <v>700209</v>
          </cell>
          <cell r="D1032" t="str">
            <v>TRATORES ESTEIRAS ( PRÓPRIO)</v>
          </cell>
        </row>
        <row r="1033">
          <cell r="C1033">
            <v>700210</v>
          </cell>
          <cell r="D1033" t="str">
            <v>RETRO ESCAVADORAS ( ALUGADO)</v>
          </cell>
        </row>
        <row r="1034">
          <cell r="C1034">
            <v>700211</v>
          </cell>
          <cell r="D1034" t="str">
            <v>RETRO ESCAVADORAS ( PRÓPRIO)</v>
          </cell>
        </row>
        <row r="1035">
          <cell r="C1035">
            <v>700212</v>
          </cell>
          <cell r="D1035" t="str">
            <v>MOTONIVELADORAS ( ALUGADO)</v>
          </cell>
        </row>
        <row r="1036">
          <cell r="C1036">
            <v>700213</v>
          </cell>
          <cell r="D1036" t="str">
            <v>MOTONIVELADORAS ( PRÓPRIO)</v>
          </cell>
        </row>
        <row r="1037">
          <cell r="C1037">
            <v>700214</v>
          </cell>
          <cell r="D1037" t="str">
            <v>PA CARREGADORAS ( ALUGADO)</v>
          </cell>
        </row>
        <row r="1038">
          <cell r="C1038">
            <v>700215</v>
          </cell>
          <cell r="D1038" t="str">
            <v>PA CARREGADORAS ( PRÓPRIO)</v>
          </cell>
        </row>
        <row r="1039">
          <cell r="C1039">
            <v>700216</v>
          </cell>
          <cell r="D1039" t="str">
            <v>CARREGADORAS DE CANA ( ALUGADO)</v>
          </cell>
        </row>
        <row r="1040">
          <cell r="C1040">
            <v>700217</v>
          </cell>
          <cell r="D1040" t="str">
            <v>CARREGADORAS DE CANA ( PRÓPRIO)</v>
          </cell>
        </row>
        <row r="1041">
          <cell r="C1041">
            <v>700218</v>
          </cell>
          <cell r="D1041" t="str">
            <v>COLHEDORAS DE CANA ( ALUGADO)</v>
          </cell>
        </row>
        <row r="1042">
          <cell r="C1042">
            <v>700219</v>
          </cell>
          <cell r="D1042" t="str">
            <v>COLHEDORAS DE CANA ( PRÓPRIA)</v>
          </cell>
        </row>
        <row r="1043">
          <cell r="C1043">
            <v>700220</v>
          </cell>
          <cell r="D1043" t="str">
            <v>PLANTADORA DE CANA ( ALUGADO)</v>
          </cell>
        </row>
        <row r="1044">
          <cell r="C1044">
            <v>700221</v>
          </cell>
          <cell r="D1044" t="str">
            <v>PLANTADORA DE CANA ( PRÓPRIA)</v>
          </cell>
        </row>
        <row r="1045">
          <cell r="C1045">
            <v>700222</v>
          </cell>
          <cell r="D1045" t="str">
            <v>TRATORES PNEUS-SUPER PESADOS (ALUGADOS)</v>
          </cell>
        </row>
        <row r="1046">
          <cell r="C1046">
            <v>700223</v>
          </cell>
          <cell r="D1046" t="str">
            <v>TRATORES PNEUS-SUPER PESADOS (PRÓPRIOS)</v>
          </cell>
        </row>
        <row r="1047">
          <cell r="C1047">
            <v>700224</v>
          </cell>
          <cell r="D1047" t="str">
            <v>CAMINHÕES TRANSBORDOS (ALUGADOS)</v>
          </cell>
        </row>
        <row r="1048">
          <cell r="C1048">
            <v>700225</v>
          </cell>
          <cell r="D1048" t="str">
            <v>CAMINHÕES TRANSBORDOS (PRÓPRIOS)</v>
          </cell>
        </row>
        <row r="1049">
          <cell r="C1049">
            <v>700300</v>
          </cell>
          <cell r="D1049" t="str">
            <v>VEICULOS/UTILITARIOS/ONIBUS</v>
          </cell>
        </row>
        <row r="1050">
          <cell r="C1050">
            <v>700302</v>
          </cell>
          <cell r="D1050" t="str">
            <v>VEICULOS LEVES</v>
          </cell>
        </row>
        <row r="1051">
          <cell r="C1051">
            <v>700304</v>
          </cell>
          <cell r="D1051" t="str">
            <v>CAMINHONETAS/UTILITARIOS</v>
          </cell>
        </row>
        <row r="1052">
          <cell r="C1052">
            <v>701200</v>
          </cell>
          <cell r="D1052" t="str">
            <v>IMPLEMENTOS AGRÍCOLA</v>
          </cell>
        </row>
        <row r="1053">
          <cell r="C1053">
            <v>701202</v>
          </cell>
          <cell r="D1053" t="str">
            <v>ACERADORES DE CANA</v>
          </cell>
        </row>
        <row r="1054">
          <cell r="C1054">
            <v>701204</v>
          </cell>
          <cell r="D1054" t="str">
            <v>ARADOS</v>
          </cell>
        </row>
        <row r="1055">
          <cell r="C1055">
            <v>701206</v>
          </cell>
          <cell r="D1055" t="str">
            <v>CARRETAS DE ARRASTO(NAO USE)</v>
          </cell>
        </row>
        <row r="1056">
          <cell r="C1056">
            <v>701208</v>
          </cell>
          <cell r="D1056" t="str">
            <v>CARROCERIAS(NAO USE)</v>
          </cell>
        </row>
        <row r="1057">
          <cell r="C1057">
            <v>701210</v>
          </cell>
          <cell r="D1057" t="str">
            <v>COBRIDORES DE CANA</v>
          </cell>
        </row>
        <row r="1058">
          <cell r="C1058">
            <v>701212</v>
          </cell>
          <cell r="D1058" t="str">
            <v>CONJUNTO DE IRRIGACAO (ROLAO)</v>
          </cell>
        </row>
        <row r="1059">
          <cell r="C1059">
            <v>701214</v>
          </cell>
          <cell r="D1059" t="str">
            <v>CULTIVADORES</v>
          </cell>
        </row>
        <row r="1060">
          <cell r="C1060">
            <v>701216</v>
          </cell>
          <cell r="D1060" t="str">
            <v>DISTRIBUIDORES DE CALCARIO</v>
          </cell>
        </row>
        <row r="1061">
          <cell r="C1061">
            <v>701218</v>
          </cell>
          <cell r="D1061" t="str">
            <v>DISTRIBUIDORES DE TORTA</v>
          </cell>
        </row>
        <row r="1062">
          <cell r="C1062">
            <v>701220</v>
          </cell>
          <cell r="D1062" t="str">
            <v>ENLEIRADORES DE PALHA</v>
          </cell>
        </row>
        <row r="1063">
          <cell r="C1063">
            <v>701222</v>
          </cell>
          <cell r="D1063" t="str">
            <v>ESTEIRA DE ADUBO</v>
          </cell>
        </row>
        <row r="1064">
          <cell r="C1064">
            <v>701224</v>
          </cell>
          <cell r="D1064" t="str">
            <v>GRADES</v>
          </cell>
        </row>
        <row r="1065">
          <cell r="C1065">
            <v>701226</v>
          </cell>
          <cell r="D1065" t="str">
            <v>DISTRIBUIDORES DE CANA</v>
          </cell>
        </row>
        <row r="1066">
          <cell r="C1066">
            <v>701228</v>
          </cell>
          <cell r="D1066" t="str">
            <v>GUINCHO HIDRAULICO</v>
          </cell>
        </row>
        <row r="1067">
          <cell r="C1067">
            <v>701230</v>
          </cell>
          <cell r="D1067" t="str">
            <v>IMPLEMENTOS DIVERSOS</v>
          </cell>
        </row>
        <row r="1068">
          <cell r="C1068">
            <v>701232</v>
          </cell>
          <cell r="D1068" t="str">
            <v>MOTOBOMBAS</v>
          </cell>
        </row>
        <row r="1069">
          <cell r="C1069">
            <v>701234</v>
          </cell>
          <cell r="D1069" t="str">
            <v>MOTORES ESTACIONARIOS</v>
          </cell>
        </row>
        <row r="1070">
          <cell r="C1070">
            <v>701236</v>
          </cell>
          <cell r="D1070" t="str">
            <v>MOTOSSERA</v>
          </cell>
        </row>
        <row r="1071">
          <cell r="C1071">
            <v>701238</v>
          </cell>
          <cell r="D1071" t="str">
            <v>PULVERIZADORES</v>
          </cell>
        </row>
        <row r="1072">
          <cell r="C1072">
            <v>701240</v>
          </cell>
          <cell r="D1072" t="str">
            <v>REBOQUES CANAVIEIROS</v>
          </cell>
        </row>
        <row r="1073">
          <cell r="C1073">
            <v>701242</v>
          </cell>
          <cell r="D1073" t="str">
            <v>ROCADEIRAS</v>
          </cell>
        </row>
        <row r="1074">
          <cell r="C1074">
            <v>701244</v>
          </cell>
          <cell r="D1074" t="str">
            <v>SUBSOLADORES</v>
          </cell>
        </row>
        <row r="1075">
          <cell r="C1075">
            <v>701246</v>
          </cell>
          <cell r="D1075" t="str">
            <v>SULCADORES</v>
          </cell>
        </row>
        <row r="1076">
          <cell r="C1076">
            <v>701248</v>
          </cell>
          <cell r="D1076" t="str">
            <v>TANQUES DE AGUA</v>
          </cell>
        </row>
        <row r="1077">
          <cell r="C1077">
            <v>701250</v>
          </cell>
          <cell r="D1077" t="str">
            <v>TERRACEADORES</v>
          </cell>
        </row>
        <row r="1078">
          <cell r="C1078">
            <v>701252</v>
          </cell>
          <cell r="D1078" t="str">
            <v>TOMADOR DE AMOSTRA</v>
          </cell>
        </row>
        <row r="1079">
          <cell r="C1079">
            <v>701254</v>
          </cell>
          <cell r="D1079" t="str">
            <v>CONJ.TRANSBORDOS (ALUGADO)</v>
          </cell>
        </row>
        <row r="1080">
          <cell r="C1080">
            <v>701255</v>
          </cell>
          <cell r="D1080" t="str">
            <v>CONJ. TRANSBORDO (PROPRIO)</v>
          </cell>
        </row>
        <row r="1081">
          <cell r="C1081">
            <v>701300</v>
          </cell>
          <cell r="D1081" t="str">
            <v>IMPLEMENTOS RODOVIÁRIOS</v>
          </cell>
        </row>
        <row r="1082">
          <cell r="C1082">
            <v>701301</v>
          </cell>
          <cell r="D1082" t="str">
            <v>SEMI-REBOQUE CANAVIEIRO</v>
          </cell>
        </row>
        <row r="1083">
          <cell r="C1083">
            <v>701302</v>
          </cell>
          <cell r="D1083" t="str">
            <v>SEMI-REBOQUE PRANCHA</v>
          </cell>
        </row>
        <row r="1084">
          <cell r="C1084">
            <v>701303</v>
          </cell>
          <cell r="D1084" t="str">
            <v>SEMI-REBOQUE TANQUE VINHAÇA</v>
          </cell>
        </row>
        <row r="1085">
          <cell r="C1085">
            <v>701399</v>
          </cell>
          <cell r="D1085" t="str">
            <v>MANUTENÇÃO DE ENTRESSAFRA</v>
          </cell>
        </row>
        <row r="1086">
          <cell r="C1086">
            <v>702021</v>
          </cell>
          <cell r="D1086" t="str">
            <v>AP21 TR AG 176-200 HP 4WD</v>
          </cell>
        </row>
        <row r="1087">
          <cell r="C1087">
            <v>702034</v>
          </cell>
          <cell r="D1087" t="str">
            <v>AP34 TR AG &gt; 300 HP 4WD</v>
          </cell>
        </row>
        <row r="1088">
          <cell r="C1088">
            <v>702035</v>
          </cell>
          <cell r="D1088" t="str">
            <v>BP01 COLHEDORA ESTEIRA</v>
          </cell>
        </row>
        <row r="1089">
          <cell r="C1089">
            <v>702044</v>
          </cell>
          <cell r="D1089" t="str">
            <v>DP04 MT DIESEL &gt; 150 HP</v>
          </cell>
        </row>
        <row r="1090">
          <cell r="C1090">
            <v>702053</v>
          </cell>
          <cell r="D1090" t="str">
            <v>DP13 CONJUNTO IRRIGAÇÃO</v>
          </cell>
        </row>
        <row r="1091">
          <cell r="C1091">
            <v>702063</v>
          </cell>
          <cell r="D1091" t="str">
            <v>EP10CAMINHÃO BOMBEIRO 4X6</v>
          </cell>
        </row>
        <row r="1092">
          <cell r="C1092">
            <v>702065</v>
          </cell>
          <cell r="D1092" t="str">
            <v>EP12 CAMINHÃO COMBOIO</v>
          </cell>
        </row>
        <row r="1093">
          <cell r="C1093">
            <v>702067</v>
          </cell>
          <cell r="D1093" t="str">
            <v>EP14 CAMINHÃO BORRACHARIA</v>
          </cell>
        </row>
        <row r="1094">
          <cell r="C1094">
            <v>702068</v>
          </cell>
          <cell r="D1094" t="str">
            <v>EP15 CAMINHÃO OFICINA</v>
          </cell>
        </row>
        <row r="1095">
          <cell r="C1095">
            <v>702070</v>
          </cell>
          <cell r="D1095" t="str">
            <v>FP02 CB CANA 91K-135K KG</v>
          </cell>
        </row>
        <row r="1096">
          <cell r="C1096">
            <v>702079</v>
          </cell>
          <cell r="D1096" t="str">
            <v>GP05 SEMI-REBOQUE PRANCHA</v>
          </cell>
        </row>
        <row r="1097">
          <cell r="C1097">
            <v>702086</v>
          </cell>
          <cell r="D1097" t="str">
            <v>GP12 CARRETA EQUIPTO IRRIGAÇÃO</v>
          </cell>
        </row>
        <row r="1098">
          <cell r="C1098">
            <v>702092</v>
          </cell>
          <cell r="D1098" t="str">
            <v>GP18 TANQUE &gt; 11.350 LTS</v>
          </cell>
        </row>
        <row r="1099">
          <cell r="C1099">
            <v>702095</v>
          </cell>
          <cell r="D1099" t="str">
            <v>HP 02 CARRETA DE CANA MEC</v>
          </cell>
        </row>
        <row r="1100">
          <cell r="C1100">
            <v>702096</v>
          </cell>
          <cell r="D1100" t="str">
            <v>HP 03 CARRETA TRANSBORDO</v>
          </cell>
        </row>
        <row r="1101">
          <cell r="C1101">
            <v>702098</v>
          </cell>
          <cell r="D1101" t="str">
            <v>HP05 DOLLY</v>
          </cell>
        </row>
        <row r="1102">
          <cell r="C1102">
            <v>702117</v>
          </cell>
          <cell r="D1102" t="str">
            <v>KP18 MICRO ONIBUS 4 CILINDROS</v>
          </cell>
        </row>
        <row r="1103">
          <cell r="C1103">
            <v>702118</v>
          </cell>
          <cell r="D1103" t="str">
            <v>KP19 VEÍC COMBUS FLEX</v>
          </cell>
        </row>
        <row r="1104">
          <cell r="C1104">
            <v>702119</v>
          </cell>
          <cell r="D1104" t="str">
            <v>KP20 PU 4 CIL FLEX 4WD</v>
          </cell>
        </row>
        <row r="1105">
          <cell r="C1105">
            <v>702120</v>
          </cell>
          <cell r="D1105" t="str">
            <v>KP21 SUV 6 CIL FLEX 4WD</v>
          </cell>
        </row>
        <row r="1106">
          <cell r="C1106">
            <v>702151</v>
          </cell>
          <cell r="D1106" t="str">
            <v>MP04 MOTOSERRA</v>
          </cell>
        </row>
        <row r="1107">
          <cell r="C1107">
            <v>702164</v>
          </cell>
          <cell r="D1107" t="str">
            <v>NP05 CULTIVADOR GRAN</v>
          </cell>
        </row>
        <row r="1108">
          <cell r="C1108">
            <v>702170</v>
          </cell>
          <cell r="D1108" t="str">
            <v>NP11 ARADO</v>
          </cell>
        </row>
        <row r="1109">
          <cell r="C1109">
            <v>702171</v>
          </cell>
          <cell r="D1109" t="str">
            <v>NP12 SUBSOLADOR</v>
          </cell>
        </row>
        <row r="1110">
          <cell r="C1110">
            <v>702172</v>
          </cell>
          <cell r="D1110" t="str">
            <v>NP13 GRADES MÉDIA E PESADA</v>
          </cell>
        </row>
        <row r="1111">
          <cell r="C1111">
            <v>702178</v>
          </cell>
          <cell r="D1111" t="str">
            <v>NP19 GRADES LEVES</v>
          </cell>
        </row>
        <row r="1112">
          <cell r="C1112">
            <v>702179</v>
          </cell>
          <cell r="D1112" t="str">
            <v>NP20 COBRIDOR CANA</v>
          </cell>
        </row>
        <row r="1113">
          <cell r="C1113">
            <v>702180</v>
          </cell>
          <cell r="D1113" t="str">
            <v>NP21 DISTRIBUIDORA DE CANA</v>
          </cell>
        </row>
        <row r="1114">
          <cell r="C1114">
            <v>703006</v>
          </cell>
          <cell r="D1114" t="str">
            <v>AR06 TR AG 51-75 HP 4WD</v>
          </cell>
        </row>
        <row r="1115">
          <cell r="C1115">
            <v>703015</v>
          </cell>
          <cell r="D1115" t="str">
            <v>AR15 TR MI 126-150 HP 4WD</v>
          </cell>
        </row>
        <row r="1116">
          <cell r="C1116">
            <v>703019</v>
          </cell>
          <cell r="D1116" t="str">
            <v>AR19 TR MI 151-175 HP 4WD</v>
          </cell>
        </row>
        <row r="1117">
          <cell r="C1117">
            <v>703022</v>
          </cell>
          <cell r="D1117" t="str">
            <v>AR22 TR MI 176-200 HP 4WD</v>
          </cell>
        </row>
        <row r="1118">
          <cell r="C1118">
            <v>703024</v>
          </cell>
          <cell r="D1118" t="str">
            <v>AR24 TR AG 201-225 HP 4WD</v>
          </cell>
        </row>
        <row r="1119">
          <cell r="C1119">
            <v>703035</v>
          </cell>
          <cell r="D1119" t="str">
            <v>BR01 COLHEDORA ESTEIRA</v>
          </cell>
        </row>
        <row r="1120">
          <cell r="C1120">
            <v>703063</v>
          </cell>
          <cell r="D1120" t="str">
            <v>ER10 CAMINHÃO BOMBEIRO 4X6</v>
          </cell>
        </row>
        <row r="1121">
          <cell r="C1121">
            <v>703065</v>
          </cell>
          <cell r="D1121" t="str">
            <v>ER12 CAMINHÃO COMBOIO</v>
          </cell>
        </row>
        <row r="1122">
          <cell r="C1122">
            <v>703068</v>
          </cell>
          <cell r="D1122" t="str">
            <v>ER15 CAMINHÃO OFICINA</v>
          </cell>
        </row>
        <row r="1123">
          <cell r="C1123">
            <v>703096</v>
          </cell>
          <cell r="D1123" t="str">
            <v>HR 03 CARRETA TRANSBORDO</v>
          </cell>
        </row>
        <row r="1124">
          <cell r="C1124">
            <v>703126</v>
          </cell>
          <cell r="D1124" t="str">
            <v>LR06 GRUA 11K-20K KG</v>
          </cell>
        </row>
        <row r="1125">
          <cell r="C1125">
            <v>709900</v>
          </cell>
          <cell r="D1125" t="str">
            <v>EQUIPAMENTOS DIVERSOS</v>
          </cell>
        </row>
        <row r="1126">
          <cell r="C1126">
            <v>709902</v>
          </cell>
          <cell r="D1126" t="str">
            <v>EQUIPAMENTOS TESTE</v>
          </cell>
        </row>
        <row r="1127">
          <cell r="C1127">
            <v>709912</v>
          </cell>
          <cell r="D1127" t="str">
            <v>Eqptos Fornecedores/Acionistas-Diesel</v>
          </cell>
        </row>
        <row r="1128">
          <cell r="C1128">
            <v>709914</v>
          </cell>
          <cell r="D1128" t="str">
            <v>EQUIPAMENTOS DE TERCEIROS</v>
          </cell>
        </row>
        <row r="1129">
          <cell r="C1129">
            <v>709916</v>
          </cell>
          <cell r="D1129" t="str">
            <v>Equipamentos Transporte Açúcar</v>
          </cell>
        </row>
        <row r="1130">
          <cell r="C1130">
            <v>800000</v>
          </cell>
          <cell r="D1130" t="str">
            <v>OUTROS SERVIÃOS NA LAVOURA</v>
          </cell>
        </row>
        <row r="1131">
          <cell r="C1131">
            <v>801000</v>
          </cell>
          <cell r="D1131" t="str">
            <v>CULTURA DE CANA</v>
          </cell>
        </row>
        <row r="1132">
          <cell r="C1132">
            <v>801002</v>
          </cell>
          <cell r="D1132" t="str">
            <v>PREPARO DE SOLO</v>
          </cell>
        </row>
        <row r="1133">
          <cell r="C1133">
            <v>801004</v>
          </cell>
          <cell r="D1133" t="str">
            <v>COLHEITA DE MUDA</v>
          </cell>
        </row>
        <row r="1134">
          <cell r="C1134">
            <v>801006</v>
          </cell>
          <cell r="D1134" t="str">
            <v>COLHEITA DE MUDA</v>
          </cell>
        </row>
        <row r="1135">
          <cell r="C1135">
            <v>801008</v>
          </cell>
          <cell r="D1135" t="str">
            <v>PLANTIO DE CANA</v>
          </cell>
        </row>
        <row r="1136">
          <cell r="C1136">
            <v>801010</v>
          </cell>
          <cell r="D1136" t="str">
            <v>TRATOS CANA PLANTA</v>
          </cell>
        </row>
        <row r="1137">
          <cell r="C1137">
            <v>801012</v>
          </cell>
          <cell r="D1137" t="str">
            <v>TRATOS CANA SOCA</v>
          </cell>
        </row>
        <row r="1138">
          <cell r="C1138">
            <v>801014</v>
          </cell>
          <cell r="D1138" t="str">
            <v>COLHEITA MANUAL</v>
          </cell>
        </row>
        <row r="1139">
          <cell r="C1139">
            <v>801016</v>
          </cell>
          <cell r="D1139" t="str">
            <v>COLHEITA MECANIZADA</v>
          </cell>
        </row>
        <row r="1140">
          <cell r="C1140">
            <v>801020</v>
          </cell>
          <cell r="D1140" t="str">
            <v>Replantio da cana planta</v>
          </cell>
        </row>
        <row r="1141">
          <cell r="C1141">
            <v>801022</v>
          </cell>
          <cell r="D1141" t="str">
            <v>Replantio da cana soca</v>
          </cell>
        </row>
        <row r="1142">
          <cell r="C1142">
            <v>900000</v>
          </cell>
          <cell r="D1142" t="str">
            <v>CENTRO DE CUSTO PARA RATEIO</v>
          </cell>
        </row>
        <row r="1143">
          <cell r="C1143">
            <v>900100</v>
          </cell>
          <cell r="D1143" t="str">
            <v>CENTRO DE CUSTO PARA RATEIO</v>
          </cell>
        </row>
        <row r="1144">
          <cell r="C1144">
            <v>900102</v>
          </cell>
          <cell r="D1144" t="str">
            <v>CENTRO DE CUSTO PARA RATEIO</v>
          </cell>
        </row>
        <row r="1145">
          <cell r="C1145">
            <v>900104</v>
          </cell>
          <cell r="D1145" t="str">
            <v>IMPLANTAÇÃO DE SALDO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erarquia CeCo"/>
      <sheetName val="Contas contables"/>
      <sheetName val="Notas"/>
      <sheetName val="CC"/>
      <sheetName val="real-601x901"/>
      <sheetName val="Hoja1"/>
      <sheetName val="Processo Ind"/>
      <sheetName val="Grupo Admon 1"/>
      <sheetName val="Grupo Admon 2"/>
      <sheetName val="Grupo de Cuentas"/>
      <sheetName val="Dinamica Centro"/>
      <sheetName val="Grupo de Cuentas Agr"/>
    </sheetNames>
    <sheetDataSet>
      <sheetData sheetId="0">
        <row r="4">
          <cell r="B4" t="str">
            <v>CeCo</v>
          </cell>
          <cell r="C4" t="str">
            <v>Nombre</v>
          </cell>
          <cell r="D4" t="str">
            <v>CeCo - Nome</v>
          </cell>
          <cell r="E4" t="str">
            <v>Und. Negocio</v>
          </cell>
          <cell r="F4" t="str">
            <v>Responsable</v>
          </cell>
          <cell r="G4" t="str">
            <v>Area</v>
          </cell>
          <cell r="H4" t="str">
            <v>Grupo VdP</v>
          </cell>
          <cell r="I4" t="str">
            <v>Tipo</v>
          </cell>
          <cell r="J4" t="str">
            <v>Grupo Admon 1</v>
          </cell>
          <cell r="K4" t="str">
            <v>Grupo Admon 2</v>
          </cell>
          <cell r="L4" t="str">
            <v>Grupo Proceso Industria</v>
          </cell>
          <cell r="M4" t="str">
            <v>Grupo Proceso Agricola</v>
          </cell>
        </row>
        <row r="5">
          <cell r="B5">
            <v>100202</v>
          </cell>
          <cell r="C5" t="str">
            <v>DIRETOR PRESIDENTE</v>
          </cell>
          <cell r="D5" t="str">
            <v>100202-DIRETOR PRESIDENTE</v>
          </cell>
          <cell r="E5">
            <v>40</v>
          </cell>
          <cell r="F5" t="str">
            <v>SALVADOR BIGURIA</v>
          </cell>
          <cell r="G5" t="str">
            <v>ADMINISTRACIÓN</v>
          </cell>
          <cell r="H5" t="str">
            <v>DIRECTOR</v>
          </cell>
          <cell r="I5" t="str">
            <v>ADM</v>
          </cell>
          <cell r="J5" t="str">
            <v>CORPORATIVO</v>
          </cell>
          <cell r="K5" t="str">
            <v>PRESIDENCIA Y GERENCIA GRAL</v>
          </cell>
          <cell r="L5" t="str">
            <v>-</v>
          </cell>
          <cell r="M5" t="str">
            <v>ADM</v>
          </cell>
        </row>
        <row r="6">
          <cell r="B6">
            <v>200102</v>
          </cell>
          <cell r="C6" t="str">
            <v>ADMINISTRACAO CORPORATIVA</v>
          </cell>
          <cell r="D6" t="str">
            <v>200102-ADMINISTRACAO CORPORATIVA</v>
          </cell>
          <cell r="E6">
            <v>40</v>
          </cell>
          <cell r="F6" t="str">
            <v>WILLIAM KLINGER</v>
          </cell>
          <cell r="G6" t="str">
            <v>ADMINISTRACIÓN</v>
          </cell>
          <cell r="H6" t="str">
            <v>ADMON CORPORATIVA</v>
          </cell>
          <cell r="I6" t="str">
            <v>ADM</v>
          </cell>
          <cell r="J6" t="str">
            <v>CORPORATIVO</v>
          </cell>
          <cell r="K6" t="str">
            <v>PRESIDENCIA Y GERENCIA GRAL</v>
          </cell>
          <cell r="L6" t="str">
            <v>-</v>
          </cell>
          <cell r="M6" t="str">
            <v>-</v>
          </cell>
        </row>
        <row r="7">
          <cell r="B7">
            <v>200103</v>
          </cell>
          <cell r="C7" t="str">
            <v>DESPESAS DE CAPACITAÇÕES</v>
          </cell>
          <cell r="D7" t="str">
            <v>200103-DESPESAS DE CAPACITAÇÕES</v>
          </cell>
          <cell r="E7">
            <v>40</v>
          </cell>
          <cell r="F7" t="str">
            <v>PAOLA LANDERAS</v>
          </cell>
          <cell r="G7" t="str">
            <v>ADMINISTRACIÓN</v>
          </cell>
          <cell r="H7" t="str">
            <v>ADMON CORPORATIVA</v>
          </cell>
          <cell r="I7" t="str">
            <v>ADM</v>
          </cell>
          <cell r="J7" t="str">
            <v>CORPORATIVO</v>
          </cell>
          <cell r="K7" t="str">
            <v>RRHH</v>
          </cell>
          <cell r="L7" t="str">
            <v>-</v>
          </cell>
          <cell r="M7" t="str">
            <v>ADM</v>
          </cell>
        </row>
        <row r="8">
          <cell r="B8">
            <v>200104</v>
          </cell>
          <cell r="C8" t="str">
            <v>DOAÇOES</v>
          </cell>
          <cell r="D8" t="str">
            <v>200104-DOAÇOES</v>
          </cell>
          <cell r="E8">
            <v>40</v>
          </cell>
          <cell r="F8" t="str">
            <v>PAOLA LANDERAS</v>
          </cell>
          <cell r="G8" t="str">
            <v>ADMINISTRACIÓN</v>
          </cell>
          <cell r="H8" t="str">
            <v>ADMON CORPORATIVA</v>
          </cell>
          <cell r="I8" t="str">
            <v>ADM</v>
          </cell>
          <cell r="J8" t="str">
            <v>CORPORATIVO</v>
          </cell>
          <cell r="K8" t="str">
            <v>RRHH</v>
          </cell>
          <cell r="L8" t="str">
            <v>-</v>
          </cell>
          <cell r="M8" t="str">
            <v>ADM</v>
          </cell>
        </row>
        <row r="9">
          <cell r="B9">
            <v>200402</v>
          </cell>
          <cell r="C9" t="str">
            <v>ADMINISTRAÇÃO DE RECURSOS HUMANOS</v>
          </cell>
          <cell r="D9" t="str">
            <v>200402-ADMINISTRAÇÃO DE RECURSOS HUMANOS</v>
          </cell>
          <cell r="E9">
            <v>40</v>
          </cell>
          <cell r="F9" t="str">
            <v>DINAEL VEIGA</v>
          </cell>
          <cell r="G9" t="str">
            <v>ADMINISTRACIÓN</v>
          </cell>
          <cell r="H9" t="str">
            <v>RECURSOS HUMANOS</v>
          </cell>
          <cell r="I9" t="str">
            <v>ADM</v>
          </cell>
          <cell r="J9" t="str">
            <v>RRHH</v>
          </cell>
          <cell r="K9" t="str">
            <v>ADM RRHH</v>
          </cell>
          <cell r="L9" t="str">
            <v>-</v>
          </cell>
          <cell r="M9" t="str">
            <v>ADM</v>
          </cell>
        </row>
        <row r="10">
          <cell r="B10">
            <v>200408</v>
          </cell>
          <cell r="C10" t="str">
            <v>RECRUTAMENTO E SELEÇÃO</v>
          </cell>
          <cell r="D10" t="str">
            <v>200408-RECRUTAMENTO E SELEÇÃO</v>
          </cell>
          <cell r="E10">
            <v>40</v>
          </cell>
          <cell r="F10" t="str">
            <v>DINAEL VEIGA</v>
          </cell>
          <cell r="G10" t="str">
            <v>ADMINISTRACIÓN</v>
          </cell>
          <cell r="H10" t="str">
            <v>RECURSOS HUMANOS</v>
          </cell>
          <cell r="I10" t="str">
            <v>ADM</v>
          </cell>
          <cell r="J10" t="str">
            <v>RRHH</v>
          </cell>
          <cell r="K10" t="str">
            <v>ADM RRHH</v>
          </cell>
          <cell r="L10" t="str">
            <v>-</v>
          </cell>
          <cell r="M10" t="str">
            <v>ADM</v>
          </cell>
        </row>
        <row r="11">
          <cell r="B11">
            <v>200410</v>
          </cell>
          <cell r="C11" t="str">
            <v>ASSISTÊNCIA SOCIAL</v>
          </cell>
          <cell r="D11" t="str">
            <v>200410-ASSISTÊNCIA SOCIAL</v>
          </cell>
          <cell r="E11">
            <v>40</v>
          </cell>
          <cell r="F11" t="str">
            <v>DINAEL VEIGA</v>
          </cell>
          <cell r="G11" t="str">
            <v>ADMINISTRACIÓN</v>
          </cell>
          <cell r="H11" t="str">
            <v>RECURSOS HUMANOS</v>
          </cell>
          <cell r="I11" t="str">
            <v>ADM</v>
          </cell>
          <cell r="J11" t="str">
            <v>RRHH</v>
          </cell>
          <cell r="K11" t="str">
            <v>ATENCION AL PERSONAL</v>
          </cell>
          <cell r="L11" t="str">
            <v>-</v>
          </cell>
          <cell r="M11" t="str">
            <v>-</v>
          </cell>
        </row>
        <row r="12">
          <cell r="B12">
            <v>200412</v>
          </cell>
          <cell r="C12" t="str">
            <v>TREINAMENTO E DESENVOLVIMENTO</v>
          </cell>
          <cell r="D12" t="str">
            <v>200412-TREINAMENTO E DESENVOLVIMENTO</v>
          </cell>
          <cell r="E12">
            <v>40</v>
          </cell>
          <cell r="F12" t="str">
            <v>DINAEL VEIGA</v>
          </cell>
          <cell r="G12" t="str">
            <v>ADMINISTRACIÓN</v>
          </cell>
          <cell r="H12" t="str">
            <v>RECURSOS HUMANOS</v>
          </cell>
          <cell r="I12" t="str">
            <v>ADM</v>
          </cell>
          <cell r="J12" t="str">
            <v>RRHH</v>
          </cell>
          <cell r="K12" t="str">
            <v xml:space="preserve">CAPACITACION Y DESARROLLO </v>
          </cell>
          <cell r="L12" t="str">
            <v>-</v>
          </cell>
          <cell r="M12" t="str">
            <v>ADM</v>
          </cell>
        </row>
        <row r="13">
          <cell r="B13">
            <v>300404</v>
          </cell>
          <cell r="C13" t="str">
            <v>ADMINISTRACAO DE PESSOAL</v>
          </cell>
          <cell r="D13" t="str">
            <v>300404-ADMINISTRACAO DE PESSOAL</v>
          </cell>
          <cell r="E13">
            <v>40</v>
          </cell>
          <cell r="F13" t="str">
            <v>DINAEL VEIGA</v>
          </cell>
          <cell r="G13" t="str">
            <v>ADMINISTRACIÓN</v>
          </cell>
          <cell r="H13" t="str">
            <v>RECURSOS HUMANOS</v>
          </cell>
          <cell r="I13" t="str">
            <v>ADM</v>
          </cell>
          <cell r="J13" t="str">
            <v>RRHH</v>
          </cell>
          <cell r="K13" t="str">
            <v>COMPENSACIONES</v>
          </cell>
          <cell r="L13" t="str">
            <v>-</v>
          </cell>
          <cell r="M13" t="str">
            <v>ADM</v>
          </cell>
        </row>
        <row r="14">
          <cell r="B14">
            <v>300410</v>
          </cell>
          <cell r="C14" t="str">
            <v>MEDICINA DO TRABALHO</v>
          </cell>
          <cell r="D14" t="str">
            <v>300410-MEDICINA DO TRABALHO</v>
          </cell>
          <cell r="E14">
            <v>40</v>
          </cell>
          <cell r="F14" t="str">
            <v>DINAEL VEIGA</v>
          </cell>
          <cell r="G14" t="str">
            <v>ADMINISTRACIÓN</v>
          </cell>
          <cell r="H14" t="str">
            <v>RECURSOS HUMANOS</v>
          </cell>
          <cell r="I14" t="str">
            <v>ADM</v>
          </cell>
          <cell r="J14" t="str">
            <v>RRHH</v>
          </cell>
          <cell r="K14" t="str">
            <v>SERVICIOS DE SALUD</v>
          </cell>
          <cell r="L14" t="str">
            <v>-</v>
          </cell>
          <cell r="M14" t="str">
            <v>ADM</v>
          </cell>
        </row>
        <row r="15">
          <cell r="B15">
            <v>300412</v>
          </cell>
          <cell r="C15" t="str">
            <v>SEGURANCA DO TRABALHO</v>
          </cell>
          <cell r="D15" t="str">
            <v>300412-SEGURANCA DO TRABALHO</v>
          </cell>
          <cell r="E15">
            <v>40</v>
          </cell>
          <cell r="F15" t="str">
            <v>VINICIUS FRASSON</v>
          </cell>
          <cell r="G15" t="str">
            <v>ADMINISTRACIÓN</v>
          </cell>
          <cell r="H15" t="str">
            <v>RECURSOS HUMANOS</v>
          </cell>
          <cell r="I15" t="str">
            <v>ADM</v>
          </cell>
          <cell r="J15" t="str">
            <v>RRHH</v>
          </cell>
          <cell r="K15" t="str">
            <v>SALUD Y SEGURIDAD OCUPACIONAL</v>
          </cell>
          <cell r="L15" t="str">
            <v>-</v>
          </cell>
          <cell r="M15" t="str">
            <v>ADM</v>
          </cell>
        </row>
        <row r="16">
          <cell r="B16">
            <v>300414</v>
          </cell>
          <cell r="C16" t="str">
            <v>SEGURANCA PATRIMONIAL</v>
          </cell>
          <cell r="D16" t="str">
            <v>300414-SEGURANCA PATRIMONIAL</v>
          </cell>
          <cell r="E16">
            <v>40</v>
          </cell>
          <cell r="F16" t="str">
            <v>VINICIUS FRASSON</v>
          </cell>
          <cell r="G16" t="str">
            <v>ADMINISTRACIÓN</v>
          </cell>
          <cell r="H16" t="str">
            <v>RECURSOS HUMANOS</v>
          </cell>
          <cell r="I16" t="str">
            <v>ADM</v>
          </cell>
          <cell r="J16" t="str">
            <v>RRHH</v>
          </cell>
          <cell r="K16" t="str">
            <v>SEGURIDAD</v>
          </cell>
          <cell r="L16" t="str">
            <v>-</v>
          </cell>
          <cell r="M16" t="str">
            <v>-</v>
          </cell>
        </row>
        <row r="17">
          <cell r="B17">
            <v>300416</v>
          </cell>
          <cell r="C17" t="str">
            <v>RESTAURANTE</v>
          </cell>
          <cell r="D17" t="str">
            <v>300416-RESTAURANTE</v>
          </cell>
          <cell r="E17">
            <v>40</v>
          </cell>
          <cell r="F17" t="str">
            <v>VINICIUS FRASSON</v>
          </cell>
          <cell r="G17" t="str">
            <v>ADMINISTRACIÓN</v>
          </cell>
          <cell r="H17" t="str">
            <v>RECURSOS HUMANOS</v>
          </cell>
          <cell r="I17" t="str">
            <v>ADM</v>
          </cell>
          <cell r="J17" t="str">
            <v>RRHH</v>
          </cell>
          <cell r="K17" t="str">
            <v>CLUB Y RESTAURANTE</v>
          </cell>
          <cell r="L17" t="str">
            <v>-</v>
          </cell>
          <cell r="M17" t="str">
            <v>-</v>
          </cell>
        </row>
        <row r="18">
          <cell r="B18">
            <v>200602</v>
          </cell>
          <cell r="C18" t="str">
            <v>PLANEJAMENTO FINANCEIRO</v>
          </cell>
          <cell r="D18" t="str">
            <v>200602-PLANEJAMENTO FINANCEIRO</v>
          </cell>
          <cell r="E18">
            <v>40</v>
          </cell>
          <cell r="F18" t="str">
            <v>WILLIAN KLINGER</v>
          </cell>
          <cell r="G18" t="str">
            <v>ADMINISTRACIÓN</v>
          </cell>
          <cell r="H18" t="str">
            <v>COSTOS &amp; ORÇAMENTO</v>
          </cell>
          <cell r="I18" t="str">
            <v>ADM</v>
          </cell>
          <cell r="J18" t="str">
            <v>ADMINISTRACION INGENIO</v>
          </cell>
          <cell r="K18" t="str">
            <v>PRESUPUESTO CENTRAL</v>
          </cell>
          <cell r="L18" t="str">
            <v>-</v>
          </cell>
          <cell r="M18" t="str">
            <v>-</v>
          </cell>
        </row>
        <row r="19">
          <cell r="B19">
            <v>200702</v>
          </cell>
          <cell r="C19" t="str">
            <v>CONTRATOS</v>
          </cell>
          <cell r="D19" t="str">
            <v>200702-CONTRATOS</v>
          </cell>
          <cell r="E19">
            <v>40</v>
          </cell>
          <cell r="F19" t="str">
            <v>GABRIEL VIANA</v>
          </cell>
          <cell r="G19" t="str">
            <v>ADMINISTRACIÓN</v>
          </cell>
          <cell r="H19" t="str">
            <v>ADMON CONTRATOS</v>
          </cell>
          <cell r="I19" t="str">
            <v>ADM</v>
          </cell>
          <cell r="J19" t="str">
            <v>ADMINISTRACION PAIS</v>
          </cell>
          <cell r="K19" t="str">
            <v xml:space="preserve">GERENCIA </v>
          </cell>
          <cell r="L19" t="str">
            <v>-</v>
          </cell>
          <cell r="M19" t="str">
            <v>-</v>
          </cell>
        </row>
        <row r="20">
          <cell r="B20">
            <v>201404</v>
          </cell>
          <cell r="C20" t="str">
            <v>TESOURARIA</v>
          </cell>
          <cell r="D20" t="str">
            <v>201404-TESOURARIA</v>
          </cell>
          <cell r="E20">
            <v>40</v>
          </cell>
          <cell r="F20" t="str">
            <v>SILVIO CABRIOTI</v>
          </cell>
          <cell r="G20" t="str">
            <v>ADMINISTRACIÓN</v>
          </cell>
          <cell r="H20" t="str">
            <v>FINANCIERO</v>
          </cell>
          <cell r="I20" t="str">
            <v>ADM</v>
          </cell>
          <cell r="J20" t="str">
            <v>ADMINISTRACION INGENIO</v>
          </cell>
          <cell r="K20" t="str">
            <v>TESORERIA</v>
          </cell>
          <cell r="L20" t="str">
            <v>-</v>
          </cell>
          <cell r="M20" t="str">
            <v>ADM</v>
          </cell>
        </row>
        <row r="21">
          <cell r="B21">
            <v>201602</v>
          </cell>
          <cell r="C21" t="str">
            <v>JURÍDICO</v>
          </cell>
          <cell r="D21" t="str">
            <v>201602-JURÍDICO</v>
          </cell>
          <cell r="E21">
            <v>40</v>
          </cell>
          <cell r="F21" t="str">
            <v>THIAGO FOGAÇA</v>
          </cell>
          <cell r="G21" t="str">
            <v>ADMINISTRACIÓN</v>
          </cell>
          <cell r="H21" t="str">
            <v>JURIDICO</v>
          </cell>
          <cell r="I21" t="str">
            <v>ADM</v>
          </cell>
          <cell r="J21" t="str">
            <v>ADMINISTRACION PAIS</v>
          </cell>
          <cell r="K21" t="str">
            <v xml:space="preserve">GERENCIA </v>
          </cell>
          <cell r="L21" t="str">
            <v>-</v>
          </cell>
          <cell r="M21" t="str">
            <v>ADM</v>
          </cell>
        </row>
        <row r="22">
          <cell r="B22">
            <v>202002</v>
          </cell>
          <cell r="C22" t="str">
            <v>MEIO AMBIENTE</v>
          </cell>
          <cell r="D22" t="str">
            <v>202002-MEIO AMBIENTE</v>
          </cell>
          <cell r="E22">
            <v>40</v>
          </cell>
          <cell r="F22" t="str">
            <v>DINAEL VEIGA</v>
          </cell>
          <cell r="G22" t="str">
            <v>ADMINISTRACIÓN</v>
          </cell>
          <cell r="H22" t="str">
            <v>MEDIO AMBIENTE</v>
          </cell>
          <cell r="I22" t="str">
            <v>ADM</v>
          </cell>
          <cell r="J22" t="str">
            <v>ADMINISTRACION PAIS</v>
          </cell>
          <cell r="K22" t="str">
            <v>GESTION AMBIENTAL</v>
          </cell>
          <cell r="L22" t="str">
            <v>-</v>
          </cell>
          <cell r="M22" t="str">
            <v>ADM</v>
          </cell>
        </row>
        <row r="23">
          <cell r="B23">
            <v>200202</v>
          </cell>
          <cell r="C23" t="str">
            <v>CONTABILIDADES</v>
          </cell>
          <cell r="D23" t="str">
            <v>200202-CONTABILIDADES</v>
          </cell>
          <cell r="E23">
            <v>40</v>
          </cell>
          <cell r="F23" t="str">
            <v>WILLIAN GUSTAVO OLIVEIRA</v>
          </cell>
          <cell r="G23" t="str">
            <v>ADMINISTRACIÓN</v>
          </cell>
          <cell r="H23" t="str">
            <v>CONTABILIDAD</v>
          </cell>
          <cell r="I23" t="str">
            <v>ADM</v>
          </cell>
          <cell r="J23" t="str">
            <v>ADMINISTRACION INGENIO</v>
          </cell>
          <cell r="K23" t="str">
            <v>CONTABILIDAD</v>
          </cell>
          <cell r="L23" t="str">
            <v>-</v>
          </cell>
          <cell r="M23" t="str">
            <v>ADM</v>
          </cell>
        </row>
        <row r="24">
          <cell r="B24">
            <v>200302</v>
          </cell>
          <cell r="C24" t="str">
            <v>FISCAL</v>
          </cell>
          <cell r="D24" t="str">
            <v>200302-FISCAL</v>
          </cell>
          <cell r="E24">
            <v>40</v>
          </cell>
          <cell r="F24" t="str">
            <v>RODOLFO LIMA</v>
          </cell>
          <cell r="G24" t="str">
            <v>ADMINISTRACIÓN</v>
          </cell>
          <cell r="H24" t="str">
            <v>CONTABILIDAD</v>
          </cell>
          <cell r="I24" t="str">
            <v>ADM</v>
          </cell>
          <cell r="J24" t="str">
            <v>ADMINISTRACION INGENIO</v>
          </cell>
          <cell r="K24" t="str">
            <v>IMPUESTOS</v>
          </cell>
          <cell r="L24" t="str">
            <v>-</v>
          </cell>
          <cell r="M24" t="str">
            <v>ADM</v>
          </cell>
        </row>
        <row r="25">
          <cell r="B25">
            <v>300206</v>
          </cell>
          <cell r="C25" t="str">
            <v>FATURAMENTO</v>
          </cell>
          <cell r="D25" t="str">
            <v>300206-FATURAMENTO</v>
          </cell>
          <cell r="E25">
            <v>40</v>
          </cell>
          <cell r="F25" t="str">
            <v>GABRIEL VIANA</v>
          </cell>
          <cell r="G25" t="str">
            <v>ADMINISTRACIÓN</v>
          </cell>
          <cell r="H25" t="str">
            <v>CONTABILIDAD</v>
          </cell>
          <cell r="I25" t="str">
            <v>ADM</v>
          </cell>
          <cell r="J25" t="str">
            <v>ADMINISTRACION INGENIO</v>
          </cell>
          <cell r="K25" t="str">
            <v>CONTABILIDAD</v>
          </cell>
          <cell r="L25" t="str">
            <v>-</v>
          </cell>
          <cell r="M25" t="str">
            <v>ADM</v>
          </cell>
        </row>
        <row r="26">
          <cell r="B26">
            <v>300208</v>
          </cell>
          <cell r="C26" t="str">
            <v>RECEBIMENTO FISCAL</v>
          </cell>
          <cell r="D26" t="str">
            <v>300208-RECEBIMENTO FISCAL</v>
          </cell>
          <cell r="E26">
            <v>40</v>
          </cell>
          <cell r="F26" t="str">
            <v>RODOLFO LIMA</v>
          </cell>
          <cell r="G26" t="str">
            <v>ADMINISTRACIÓN</v>
          </cell>
          <cell r="H26" t="str">
            <v>CONTABILIDAD</v>
          </cell>
          <cell r="I26" t="str">
            <v>ADM</v>
          </cell>
          <cell r="J26" t="str">
            <v>ADMINISTRACION INGENIO</v>
          </cell>
          <cell r="K26" t="str">
            <v>IMPUESTOS</v>
          </cell>
          <cell r="L26" t="str">
            <v>-</v>
          </cell>
          <cell r="M26" t="str">
            <v>-</v>
          </cell>
        </row>
        <row r="27">
          <cell r="B27">
            <v>300210</v>
          </cell>
          <cell r="C27" t="str">
            <v>BALANÇA ENTRADA CANA</v>
          </cell>
          <cell r="D27" t="str">
            <v>300210-BALANÇA ENTRADA CANA</v>
          </cell>
          <cell r="E27">
            <v>40</v>
          </cell>
          <cell r="F27" t="str">
            <v>GABRIEL VIANA</v>
          </cell>
          <cell r="G27" t="str">
            <v>ADMINISTRACIÓN</v>
          </cell>
          <cell r="H27" t="str">
            <v>CONTABILIDAD</v>
          </cell>
          <cell r="I27" t="str">
            <v>ADM</v>
          </cell>
          <cell r="J27" t="str">
            <v>LOGISTICA</v>
          </cell>
          <cell r="K27" t="str">
            <v>BASCULA</v>
          </cell>
          <cell r="L27" t="str">
            <v>-</v>
          </cell>
          <cell r="M27" t="str">
            <v>-</v>
          </cell>
        </row>
        <row r="28">
          <cell r="B28">
            <v>300602</v>
          </cell>
          <cell r="C28" t="str">
            <v>GERÊNCIA ADMINISTRATIVA FINANCEIRA</v>
          </cell>
          <cell r="D28" t="str">
            <v>300602-GERÊNCIA ADMINISTRATIVA FINANCEIRA</v>
          </cell>
          <cell r="E28">
            <v>40</v>
          </cell>
          <cell r="F28" t="str">
            <v>PAOLA LANDERAS</v>
          </cell>
          <cell r="G28" t="str">
            <v>ADMINISTRACIÓN</v>
          </cell>
          <cell r="H28" t="str">
            <v>ADMON GENERAL</v>
          </cell>
          <cell r="I28" t="str">
            <v>ADM</v>
          </cell>
          <cell r="J28" t="str">
            <v>ADMINISTRACION INGENIO</v>
          </cell>
          <cell r="K28" t="str">
            <v>GERENCIA FINANCIERA</v>
          </cell>
          <cell r="L28" t="str">
            <v>-</v>
          </cell>
          <cell r="M28" t="str">
            <v>-</v>
          </cell>
        </row>
        <row r="29">
          <cell r="B29">
            <v>300604</v>
          </cell>
          <cell r="C29" t="str">
            <v>GERENCIA GERAL</v>
          </cell>
          <cell r="D29" t="str">
            <v>300604-GERENCIA GERAL</v>
          </cell>
          <cell r="E29">
            <v>40</v>
          </cell>
          <cell r="F29" t="str">
            <v>ALBERTO OTOYA</v>
          </cell>
          <cell r="G29" t="str">
            <v>ADMINISTRACIÓN</v>
          </cell>
          <cell r="H29" t="str">
            <v>ADMON GENERAL</v>
          </cell>
          <cell r="I29" t="str">
            <v>ADM</v>
          </cell>
          <cell r="J29" t="str">
            <v>ADMINISTRACION PAIS</v>
          </cell>
          <cell r="K29" t="str">
            <v xml:space="preserve">GERENCIA </v>
          </cell>
          <cell r="L29" t="str">
            <v>-</v>
          </cell>
          <cell r="M29" t="str">
            <v>-</v>
          </cell>
        </row>
        <row r="30">
          <cell r="B30">
            <v>300605</v>
          </cell>
          <cell r="C30" t="str">
            <v>NORMATIZAÇÃO</v>
          </cell>
          <cell r="D30" t="str">
            <v>300605-NORMATIZAÇÃO</v>
          </cell>
          <cell r="E30">
            <v>40</v>
          </cell>
          <cell r="F30" t="str">
            <v>ALBERTO OTOYA</v>
          </cell>
          <cell r="G30" t="str">
            <v>ADMINISTRACIÓN</v>
          </cell>
          <cell r="H30" t="str">
            <v>ADMON GENERAL</v>
          </cell>
          <cell r="I30" t="str">
            <v>ADM</v>
          </cell>
          <cell r="J30" t="str">
            <v>ADMINISTRACION PAIS</v>
          </cell>
          <cell r="K30" t="str">
            <v xml:space="preserve">GERENCIA </v>
          </cell>
          <cell r="L30" t="str">
            <v>-</v>
          </cell>
          <cell r="M30" t="str">
            <v>-</v>
          </cell>
        </row>
        <row r="31">
          <cell r="B31">
            <v>300606</v>
          </cell>
          <cell r="C31" t="str">
            <v>AUDITORIA EXTERNA</v>
          </cell>
          <cell r="D31" t="str">
            <v>300606-AUDITORIA EXTERNA</v>
          </cell>
          <cell r="E31">
            <v>40</v>
          </cell>
          <cell r="F31" t="str">
            <v>WILLIAN GUSTAVO</v>
          </cell>
          <cell r="G31" t="str">
            <v>ADMINISTRACIÓN</v>
          </cell>
          <cell r="H31" t="str">
            <v>AUDITORIA</v>
          </cell>
          <cell r="I31" t="str">
            <v>ADM</v>
          </cell>
          <cell r="J31" t="str">
            <v>CORPORATIVO</v>
          </cell>
          <cell r="K31" t="str">
            <v>ADMINISTRACION INC</v>
          </cell>
          <cell r="L31" t="str">
            <v>-</v>
          </cell>
          <cell r="M31" t="str">
            <v>-</v>
          </cell>
        </row>
        <row r="32">
          <cell r="B32">
            <v>300607</v>
          </cell>
          <cell r="C32" t="str">
            <v>INDENIZACOES TRABALHISTAS</v>
          </cell>
          <cell r="D32" t="str">
            <v>300607-INDENIZACOES TRABALHISTAS</v>
          </cell>
          <cell r="E32">
            <v>40</v>
          </cell>
          <cell r="F32" t="str">
            <v>ALBERTO OTOYA</v>
          </cell>
          <cell r="G32" t="str">
            <v>ADMINISTRACIÓN</v>
          </cell>
          <cell r="H32" t="str">
            <v>CONTINGENCIAS</v>
          </cell>
          <cell r="I32" t="str">
            <v>ADM</v>
          </cell>
          <cell r="J32" t="str">
            <v>AJUSTES</v>
          </cell>
          <cell r="K32" t="str">
            <v>IMPREVISTOS</v>
          </cell>
          <cell r="L32" t="str">
            <v>-</v>
          </cell>
          <cell r="M32" t="str">
            <v>ADM</v>
          </cell>
        </row>
        <row r="33">
          <cell r="B33">
            <v>300608</v>
          </cell>
          <cell r="C33" t="str">
            <v>INDENIZACOES CIVEIS</v>
          </cell>
          <cell r="D33" t="str">
            <v>300608-INDENIZACOES CIVEIS</v>
          </cell>
          <cell r="E33">
            <v>40</v>
          </cell>
          <cell r="F33" t="str">
            <v>ALBERTO OTOYA</v>
          </cell>
          <cell r="G33" t="str">
            <v>ADMINISTRACIÓN</v>
          </cell>
          <cell r="H33" t="str">
            <v>CONTINGENCIAS</v>
          </cell>
          <cell r="I33" t="str">
            <v>ADM</v>
          </cell>
          <cell r="J33" t="str">
            <v>AJUSTES</v>
          </cell>
          <cell r="K33" t="str">
            <v>IMPREVISTOS</v>
          </cell>
          <cell r="L33" t="str">
            <v>-</v>
          </cell>
          <cell r="M33" t="str">
            <v>ADM</v>
          </cell>
        </row>
        <row r="34">
          <cell r="B34">
            <v>300609</v>
          </cell>
          <cell r="C34" t="str">
            <v>INDENIZACOES AMBIENTAIS</v>
          </cell>
          <cell r="D34" t="str">
            <v>300609-INDENIZACOES AMBIENTAIS</v>
          </cell>
          <cell r="E34">
            <v>40</v>
          </cell>
          <cell r="F34" t="str">
            <v>ALBERTO OTOYA</v>
          </cell>
          <cell r="G34" t="str">
            <v>ADMINISTRACIÓN</v>
          </cell>
          <cell r="H34" t="str">
            <v>CONTINGENCIAS</v>
          </cell>
          <cell r="I34" t="str">
            <v>ADM</v>
          </cell>
          <cell r="J34" t="str">
            <v>AJUSTES</v>
          </cell>
          <cell r="K34" t="str">
            <v>IMPREVISTOS</v>
          </cell>
          <cell r="L34" t="str">
            <v>-</v>
          </cell>
          <cell r="M34" t="str">
            <v>ADM</v>
          </cell>
        </row>
        <row r="35">
          <cell r="B35">
            <v>300610</v>
          </cell>
          <cell r="C35" t="str">
            <v>INDENIZACOES TRIBUTARIA</v>
          </cell>
          <cell r="D35" t="str">
            <v>300610-INDENIZACOES TRIBUTARIA</v>
          </cell>
          <cell r="E35">
            <v>40</v>
          </cell>
          <cell r="F35" t="str">
            <v>ALBERTO OTOYA</v>
          </cell>
          <cell r="G35" t="str">
            <v>ADMINISTRACIÓN</v>
          </cell>
          <cell r="H35" t="str">
            <v>CONTINGENCIAS</v>
          </cell>
          <cell r="I35" t="str">
            <v>ADM</v>
          </cell>
          <cell r="J35" t="str">
            <v>AJUSTES</v>
          </cell>
          <cell r="K35" t="str">
            <v>IMPREVISTOS</v>
          </cell>
          <cell r="L35" t="str">
            <v>-</v>
          </cell>
          <cell r="M35" t="str">
            <v>ADM</v>
          </cell>
        </row>
        <row r="36">
          <cell r="B36">
            <v>300612</v>
          </cell>
          <cell r="C36" t="str">
            <v>ADMINISTRAÇÃO DE RISCO E AUDITORIA</v>
          </cell>
          <cell r="D36" t="str">
            <v>300612-ADMINISTRAÇÃO DE RISCO E AUDITORIA</v>
          </cell>
          <cell r="E36">
            <v>40</v>
          </cell>
          <cell r="F36" t="str">
            <v>-----</v>
          </cell>
          <cell r="G36" t="str">
            <v>ADMINISTRACIÓN</v>
          </cell>
          <cell r="H36" t="str">
            <v>AUDITORIA</v>
          </cell>
          <cell r="I36" t="str">
            <v>ADM</v>
          </cell>
          <cell r="J36" t="str">
            <v>CORPORATIVO</v>
          </cell>
          <cell r="K36" t="str">
            <v>ADMINISTRACION INC</v>
          </cell>
          <cell r="L36" t="str">
            <v>-</v>
          </cell>
          <cell r="M36" t="str">
            <v>-</v>
          </cell>
        </row>
        <row r="37">
          <cell r="B37">
            <v>300802</v>
          </cell>
          <cell r="C37" t="str">
            <v>TECNOLOGIA DA INFORMAÇÃO</v>
          </cell>
          <cell r="D37" t="str">
            <v>300802-TECNOLOGIA DA INFORMAÇÃO</v>
          </cell>
          <cell r="E37">
            <v>40</v>
          </cell>
          <cell r="F37" t="str">
            <v>EMERSON OLIVO</v>
          </cell>
          <cell r="G37" t="str">
            <v>ADMINISTRACIÓN</v>
          </cell>
          <cell r="H37" t="str">
            <v>TI</v>
          </cell>
          <cell r="I37" t="str">
            <v>ADM</v>
          </cell>
          <cell r="J37" t="str">
            <v>ADMINISTRACION INGENIO</v>
          </cell>
          <cell r="K37" t="str">
            <v>SOPORTE INFORMATICO</v>
          </cell>
          <cell r="L37" t="str">
            <v>-</v>
          </cell>
          <cell r="M37" t="str">
            <v>ADM</v>
          </cell>
        </row>
        <row r="38">
          <cell r="B38">
            <v>201001</v>
          </cell>
          <cell r="C38" t="str">
            <v>LOGISTICA</v>
          </cell>
          <cell r="D38" t="str">
            <v>201001-LOGISTICA</v>
          </cell>
          <cell r="E38">
            <v>40</v>
          </cell>
          <cell r="F38" t="str">
            <v>GABRIEL VIANA</v>
          </cell>
          <cell r="G38" t="str">
            <v>ADMINISTRACIÓN</v>
          </cell>
          <cell r="H38" t="str">
            <v>ALMOXARIFADO/SUPRIMENTOS</v>
          </cell>
          <cell r="I38" t="str">
            <v>ADM</v>
          </cell>
          <cell r="J38" t="str">
            <v>LOGISTICA</v>
          </cell>
          <cell r="K38" t="str">
            <v>OPERACIÓN ALCOHOL</v>
          </cell>
          <cell r="L38" t="str">
            <v>-</v>
          </cell>
          <cell r="M38" t="str">
            <v>-</v>
          </cell>
        </row>
        <row r="39">
          <cell r="B39">
            <v>201002</v>
          </cell>
          <cell r="C39" t="str">
            <v>COMPRAS</v>
          </cell>
          <cell r="D39" t="str">
            <v>201002-COMPRAS</v>
          </cell>
          <cell r="E39">
            <v>40</v>
          </cell>
          <cell r="F39" t="str">
            <v>GABRIEL VIANA</v>
          </cell>
          <cell r="G39" t="str">
            <v>ADMINISTRACIÓN</v>
          </cell>
          <cell r="H39" t="str">
            <v>ALMOXARIFADO/SUPRIMENTOS</v>
          </cell>
          <cell r="I39" t="str">
            <v>ADM</v>
          </cell>
          <cell r="J39" t="str">
            <v>LOGISTICA</v>
          </cell>
          <cell r="K39" t="str">
            <v>COMPRAS</v>
          </cell>
          <cell r="L39" t="str">
            <v>-</v>
          </cell>
          <cell r="M39" t="str">
            <v>-</v>
          </cell>
        </row>
        <row r="40">
          <cell r="B40">
            <v>301002</v>
          </cell>
          <cell r="C40" t="str">
            <v>ALMOXARIFADO AUTOMOTIVO</v>
          </cell>
          <cell r="D40" t="str">
            <v>301002-ALMOXARIFADO AUTOMOTIVO</v>
          </cell>
          <cell r="E40">
            <v>40</v>
          </cell>
          <cell r="F40" t="str">
            <v>GABRIEL VIANA</v>
          </cell>
          <cell r="G40" t="str">
            <v>ADMINISTRACIÓN</v>
          </cell>
          <cell r="H40" t="str">
            <v>ALMOXARIFADO/SUPRIMENTOS</v>
          </cell>
          <cell r="I40" t="str">
            <v>ADM</v>
          </cell>
          <cell r="J40" t="str">
            <v>LOGISTICA</v>
          </cell>
          <cell r="K40" t="str">
            <v>MATERIALES</v>
          </cell>
          <cell r="L40" t="str">
            <v>-</v>
          </cell>
          <cell r="M40" t="str">
            <v>ADM</v>
          </cell>
        </row>
        <row r="41">
          <cell r="B41">
            <v>301003</v>
          </cell>
          <cell r="C41" t="str">
            <v>TRANSPORTE DE MERCADORIAS</v>
          </cell>
          <cell r="D41" t="str">
            <v>301003-TRANSPORTE DE MERCADORIAS</v>
          </cell>
          <cell r="E41">
            <v>40</v>
          </cell>
          <cell r="F41" t="str">
            <v>GABRIEL VIANA</v>
          </cell>
          <cell r="G41" t="str">
            <v>ADMINISTRACIÓN</v>
          </cell>
          <cell r="H41" t="str">
            <v>ALMOXARIFADO/SUPRIMENTOS</v>
          </cell>
          <cell r="I41" t="str">
            <v>ADM</v>
          </cell>
          <cell r="J41" t="str">
            <v>LOGISTICA</v>
          </cell>
          <cell r="K41" t="str">
            <v>MATERIALES</v>
          </cell>
          <cell r="L41" t="str">
            <v>-</v>
          </cell>
          <cell r="M41" t="str">
            <v>ADM</v>
          </cell>
        </row>
        <row r="42">
          <cell r="B42">
            <v>301004</v>
          </cell>
          <cell r="C42" t="str">
            <v>ALMOXARIFADO INDUSTRIAL</v>
          </cell>
          <cell r="D42" t="str">
            <v>301004-ALMOXARIFADO INDUSTRIAL</v>
          </cell>
          <cell r="E42">
            <v>40</v>
          </cell>
          <cell r="F42" t="str">
            <v>GABRIEL VIANA</v>
          </cell>
          <cell r="G42" t="str">
            <v>ADMINISTRACIÓN</v>
          </cell>
          <cell r="H42" t="str">
            <v>ALMOXARIFADO/SUPRIMENTOS</v>
          </cell>
          <cell r="I42" t="str">
            <v>ADM</v>
          </cell>
          <cell r="J42" t="str">
            <v>LOGISTICA</v>
          </cell>
          <cell r="K42" t="str">
            <v>MATERIALES</v>
          </cell>
          <cell r="L42" t="str">
            <v>-</v>
          </cell>
          <cell r="M42" t="str">
            <v>ADM</v>
          </cell>
        </row>
        <row r="43">
          <cell r="B43">
            <v>301006</v>
          </cell>
          <cell r="C43" t="str">
            <v>POSTO ABASTECIMENTO</v>
          </cell>
          <cell r="D43" t="str">
            <v>301006-POSTO ABASTECIMENTO</v>
          </cell>
          <cell r="E43">
            <v>40</v>
          </cell>
          <cell r="F43" t="str">
            <v>GABRIEL VIANA</v>
          </cell>
          <cell r="G43" t="str">
            <v>ADMINISTRACIÓN</v>
          </cell>
          <cell r="H43" t="str">
            <v>ALMOXARIFADO/SUPRIMENTOS</v>
          </cell>
          <cell r="I43" t="str">
            <v>ADM</v>
          </cell>
          <cell r="J43" t="str">
            <v>LOGISTICA</v>
          </cell>
          <cell r="K43" t="str">
            <v>MATERIALES</v>
          </cell>
          <cell r="L43" t="str">
            <v>-</v>
          </cell>
          <cell r="M43" t="str">
            <v>ADM</v>
          </cell>
        </row>
        <row r="44">
          <cell r="B44">
            <v>201202</v>
          </cell>
          <cell r="C44" t="str">
            <v>COMERCIAL</v>
          </cell>
          <cell r="D44" t="str">
            <v>201202-COMERCIAL</v>
          </cell>
          <cell r="E44">
            <v>30</v>
          </cell>
          <cell r="F44" t="str">
            <v>GABRIEL VIANA</v>
          </cell>
          <cell r="G44" t="str">
            <v>COMERCIAL</v>
          </cell>
          <cell r="H44" t="str">
            <v>COMERCIAL</v>
          </cell>
          <cell r="I44" t="str">
            <v>COM</v>
          </cell>
          <cell r="J44" t="str">
            <v>LOGISTICA</v>
          </cell>
          <cell r="K44" t="str">
            <v>ADMINISTRACION</v>
          </cell>
          <cell r="L44" t="str">
            <v>-</v>
          </cell>
          <cell r="M44" t="str">
            <v>-</v>
          </cell>
        </row>
        <row r="45">
          <cell r="B45">
            <v>201204</v>
          </cell>
          <cell r="C45" t="str">
            <v>GASTOS COMERCIALIZAÇÃO</v>
          </cell>
          <cell r="D45" t="str">
            <v>201204-GASTOS COMERCIALIZAÇÃO</v>
          </cell>
          <cell r="E45">
            <v>30</v>
          </cell>
          <cell r="F45" t="str">
            <v>GABRIEL VIANA</v>
          </cell>
          <cell r="G45" t="str">
            <v>COMERCIAL</v>
          </cell>
          <cell r="H45" t="str">
            <v>COMERCIAL</v>
          </cell>
          <cell r="I45" t="str">
            <v>COM</v>
          </cell>
          <cell r="J45" t="str">
            <v>LOGISTICA</v>
          </cell>
          <cell r="K45" t="str">
            <v>OPERACIÓN ALCOHOL</v>
          </cell>
          <cell r="L45" t="str">
            <v>-</v>
          </cell>
          <cell r="M45" t="str">
            <v>-</v>
          </cell>
        </row>
        <row r="46">
          <cell r="B46">
            <v>301202</v>
          </cell>
          <cell r="C46" t="str">
            <v>ARMAZENAGEM DE ALCOOL</v>
          </cell>
          <cell r="D46" t="str">
            <v>301202-ARMAZENAGEM DE ALCOOL</v>
          </cell>
          <cell r="E46">
            <v>30</v>
          </cell>
          <cell r="F46" t="str">
            <v>GABRIEL VIANA</v>
          </cell>
          <cell r="G46" t="str">
            <v>COMERCIAL</v>
          </cell>
          <cell r="H46" t="str">
            <v>COMERCIAL</v>
          </cell>
          <cell r="I46" t="str">
            <v>COM</v>
          </cell>
          <cell r="J46" t="str">
            <v>LOGISTICA</v>
          </cell>
          <cell r="K46" t="str">
            <v>OPERACIÓN ALCOHOL</v>
          </cell>
          <cell r="L46" t="str">
            <v>-</v>
          </cell>
          <cell r="M46" t="str">
            <v>-</v>
          </cell>
        </row>
        <row r="47">
          <cell r="B47">
            <v>301206</v>
          </cell>
          <cell r="C47" t="str">
            <v>CARREGAMENTO</v>
          </cell>
          <cell r="D47" t="str">
            <v>301206-CARREGAMENTO</v>
          </cell>
          <cell r="E47">
            <v>30</v>
          </cell>
          <cell r="F47" t="str">
            <v>GABRIEL VIANA</v>
          </cell>
          <cell r="G47" t="str">
            <v>COMERCIAL</v>
          </cell>
          <cell r="H47" t="str">
            <v>COMERCIAL</v>
          </cell>
          <cell r="I47" t="str">
            <v>COM</v>
          </cell>
          <cell r="J47" t="str">
            <v>LOGISTICA</v>
          </cell>
          <cell r="K47" t="str">
            <v>OPERACIÓN ALCOHOL</v>
          </cell>
          <cell r="L47" t="str">
            <v>-</v>
          </cell>
          <cell r="M47" t="str">
            <v>-</v>
          </cell>
        </row>
        <row r="48">
          <cell r="B48">
            <v>301208</v>
          </cell>
          <cell r="C48" t="str">
            <v>LOGISTICA E TRANSPORTE</v>
          </cell>
          <cell r="D48" t="str">
            <v>301208-LOGISTICA E TRANSPORTE</v>
          </cell>
          <cell r="E48">
            <v>30</v>
          </cell>
          <cell r="F48" t="str">
            <v>GABRIEL VIANA</v>
          </cell>
          <cell r="G48" t="str">
            <v>COMERCIAL</v>
          </cell>
          <cell r="H48" t="str">
            <v>COMERCIAL</v>
          </cell>
          <cell r="I48" t="str">
            <v>COM</v>
          </cell>
          <cell r="J48" t="str">
            <v>LOGISTICA</v>
          </cell>
          <cell r="K48" t="str">
            <v>OPERACIÓN ALCOHOL</v>
          </cell>
          <cell r="L48" t="str">
            <v>-</v>
          </cell>
          <cell r="M48" t="str">
            <v>-</v>
          </cell>
        </row>
        <row r="49">
          <cell r="B49">
            <v>300421</v>
          </cell>
          <cell r="C49" t="str">
            <v>SERVIÇOS GERAIS</v>
          </cell>
          <cell r="D49" t="str">
            <v>300421-SERVIÇOS GERAIS</v>
          </cell>
          <cell r="E49">
            <v>40</v>
          </cell>
          <cell r="F49" t="str">
            <v>VINICIUS FRASSON</v>
          </cell>
          <cell r="G49" t="str">
            <v>ADMINISTRACIÓN</v>
          </cell>
          <cell r="H49" t="str">
            <v>SERV. GENERALES</v>
          </cell>
          <cell r="I49" t="str">
            <v>ADM</v>
          </cell>
          <cell r="J49" t="str">
            <v>RRHH</v>
          </cell>
          <cell r="K49" t="str">
            <v>SERVICIOS GENERALES</v>
          </cell>
          <cell r="L49" t="str">
            <v>-</v>
          </cell>
          <cell r="M49" t="str">
            <v>ADM</v>
          </cell>
        </row>
        <row r="50">
          <cell r="B50">
            <v>302001</v>
          </cell>
          <cell r="C50" t="str">
            <v>APOIO OPERACIONAL</v>
          </cell>
          <cell r="D50" t="str">
            <v>302001-APOIO OPERACIONAL</v>
          </cell>
          <cell r="E50">
            <v>40</v>
          </cell>
          <cell r="F50" t="str">
            <v>WILLIAN KLINGER</v>
          </cell>
          <cell r="G50" t="str">
            <v>ESPECIAL</v>
          </cell>
          <cell r="H50" t="str">
            <v>ESPECIAL</v>
          </cell>
          <cell r="I50" t="str">
            <v>ADM</v>
          </cell>
          <cell r="J50" t="str">
            <v>APOYO OPERACIONA (COSECHA)</v>
          </cell>
          <cell r="K50" t="str">
            <v>APOYO OPERACIONA (COSECHA)</v>
          </cell>
          <cell r="L50" t="str">
            <v>-</v>
          </cell>
          <cell r="M50" t="str">
            <v>ADM</v>
          </cell>
        </row>
        <row r="51">
          <cell r="B51">
            <v>400102</v>
          </cell>
          <cell r="C51" t="str">
            <v>GERÊNCIA INDUSTRIAL</v>
          </cell>
          <cell r="D51" t="str">
            <v>400102-GERÊNCIA INDUSTRIAL</v>
          </cell>
          <cell r="E51">
            <v>10</v>
          </cell>
          <cell r="F51" t="str">
            <v>GILBERTO STUCHI</v>
          </cell>
          <cell r="G51" t="str">
            <v>INDUSTRIA</v>
          </cell>
          <cell r="H51" t="str">
            <v>ADMON INDUSTRIA</v>
          </cell>
          <cell r="I51" t="str">
            <v>IND</v>
          </cell>
          <cell r="J51" t="str">
            <v>-</v>
          </cell>
          <cell r="K51" t="str">
            <v>-</v>
          </cell>
          <cell r="L51" t="str">
            <v>16 ADMON INDUSTRIA</v>
          </cell>
          <cell r="M51" t="str">
            <v>-</v>
          </cell>
        </row>
        <row r="52">
          <cell r="B52">
            <v>400202</v>
          </cell>
          <cell r="C52" t="str">
            <v>APOIO TÉCNICO INDUSTRIAL</v>
          </cell>
          <cell r="D52" t="str">
            <v>400202-APOIO TÉCNICO INDUSTRIAL</v>
          </cell>
          <cell r="E52">
            <v>10</v>
          </cell>
          <cell r="F52" t="str">
            <v>SERGIO FIORENTINO</v>
          </cell>
          <cell r="G52" t="str">
            <v>INDUSTRIA</v>
          </cell>
          <cell r="H52" t="str">
            <v>APOIO TECNICO INDUSTRIA</v>
          </cell>
          <cell r="I52" t="str">
            <v>IND</v>
          </cell>
          <cell r="J52" t="str">
            <v>-</v>
          </cell>
          <cell r="K52" t="str">
            <v>-</v>
          </cell>
          <cell r="L52" t="str">
            <v>16 ADMON INDUSTRIA</v>
          </cell>
          <cell r="M52" t="str">
            <v>-</v>
          </cell>
        </row>
        <row r="53">
          <cell r="B53">
            <v>400402</v>
          </cell>
          <cell r="C53" t="str">
            <v>LABORATORIO PCTS</v>
          </cell>
          <cell r="D53" t="str">
            <v>400402-LABORATORIO PCTS</v>
          </cell>
          <cell r="E53">
            <v>10</v>
          </cell>
          <cell r="F53" t="str">
            <v>KELLY CRISTINA</v>
          </cell>
          <cell r="G53" t="str">
            <v>INDUSTRIA</v>
          </cell>
          <cell r="H53" t="str">
            <v>CONTROL CALIDAD</v>
          </cell>
          <cell r="I53" t="str">
            <v>IND</v>
          </cell>
          <cell r="J53" t="str">
            <v>-</v>
          </cell>
          <cell r="K53" t="str">
            <v>-</v>
          </cell>
          <cell r="L53" t="str">
            <v>14 LABORATORIO</v>
          </cell>
          <cell r="M53" t="str">
            <v>-</v>
          </cell>
        </row>
        <row r="54">
          <cell r="B54">
            <v>400404</v>
          </cell>
          <cell r="C54" t="str">
            <v>LABORATORIO INDUSTRIAL</v>
          </cell>
          <cell r="D54" t="str">
            <v>400404-LABORATORIO INDUSTRIAL</v>
          </cell>
          <cell r="E54">
            <v>10</v>
          </cell>
          <cell r="F54" t="str">
            <v>KELLY CRISTINA</v>
          </cell>
          <cell r="G54" t="str">
            <v>INDUSTRIA</v>
          </cell>
          <cell r="H54" t="str">
            <v>CONTROL CALIDAD</v>
          </cell>
          <cell r="I54" t="str">
            <v>IND</v>
          </cell>
          <cell r="J54" t="str">
            <v>-</v>
          </cell>
          <cell r="K54" t="str">
            <v>-</v>
          </cell>
          <cell r="L54" t="str">
            <v>14 LABORATORIO</v>
          </cell>
          <cell r="M54" t="str">
            <v>-</v>
          </cell>
        </row>
        <row r="55">
          <cell r="B55">
            <v>400406</v>
          </cell>
          <cell r="C55" t="str">
            <v>LABORATORIO MICRO-BIOLOGIA</v>
          </cell>
          <cell r="D55" t="str">
            <v>400406-LABORATORIO MICRO-BIOLOGIA</v>
          </cell>
          <cell r="E55">
            <v>10</v>
          </cell>
          <cell r="F55" t="str">
            <v>KELLY CRISTINA</v>
          </cell>
          <cell r="G55" t="str">
            <v>INDUSTRIA</v>
          </cell>
          <cell r="H55" t="str">
            <v>CONTROL CALIDAD</v>
          </cell>
          <cell r="I55" t="str">
            <v>IND</v>
          </cell>
          <cell r="J55" t="str">
            <v>-</v>
          </cell>
          <cell r="K55" t="str">
            <v>-</v>
          </cell>
          <cell r="L55" t="str">
            <v>14 LABORATORIO</v>
          </cell>
          <cell r="M55" t="str">
            <v>-</v>
          </cell>
        </row>
        <row r="56">
          <cell r="B56">
            <v>408099</v>
          </cell>
          <cell r="C56" t="str">
            <v>MANUTENÇÃO DE ENTRESSAFRA</v>
          </cell>
          <cell r="D56" t="str">
            <v>408099-MANUTENÇÃO DE ENTRESSAFRA</v>
          </cell>
          <cell r="E56">
            <v>10</v>
          </cell>
          <cell r="F56" t="str">
            <v>SERGIO FIORENTINO</v>
          </cell>
          <cell r="G56" t="str">
            <v>INDUSTRIA</v>
          </cell>
          <cell r="H56" t="str">
            <v>CONTROL CALIDAD</v>
          </cell>
          <cell r="I56" t="str">
            <v>IND</v>
          </cell>
          <cell r="J56" t="str">
            <v>-</v>
          </cell>
          <cell r="K56" t="str">
            <v>-</v>
          </cell>
          <cell r="L56" t="str">
            <v>15 MANTENIMIENTO</v>
          </cell>
          <cell r="M56" t="str">
            <v>-</v>
          </cell>
        </row>
        <row r="57">
          <cell r="B57">
            <v>400499</v>
          </cell>
          <cell r="C57" t="str">
            <v>MANUTENÇÃO DE ENTRESSAFRA</v>
          </cell>
          <cell r="D57" t="str">
            <v>400499-MANUTENÇÃO DE ENTRESSAFRA</v>
          </cell>
          <cell r="E57">
            <v>10</v>
          </cell>
          <cell r="F57" t="str">
            <v>SERGIO FIORENTINO</v>
          </cell>
          <cell r="G57" t="str">
            <v>INDUSTRIA</v>
          </cell>
          <cell r="H57" t="str">
            <v>CONTROL CALIDAD</v>
          </cell>
          <cell r="I57" t="str">
            <v>IND</v>
          </cell>
          <cell r="J57" t="str">
            <v>-</v>
          </cell>
          <cell r="K57" t="str">
            <v>-</v>
          </cell>
          <cell r="L57" t="str">
            <v>14 LABORATORIO</v>
          </cell>
          <cell r="M57" t="str">
            <v>-</v>
          </cell>
        </row>
        <row r="58">
          <cell r="B58">
            <v>401002</v>
          </cell>
          <cell r="C58" t="str">
            <v>BARRACAO / LIMPEZA</v>
          </cell>
          <cell r="D58" t="str">
            <v>401002-BARRACAO / LIMPEZA</v>
          </cell>
          <cell r="E58">
            <v>10</v>
          </cell>
          <cell r="F58" t="str">
            <v>WILLIAN GUSTAVO OLIVEIRA</v>
          </cell>
          <cell r="G58" t="str">
            <v>INDUSTRIA</v>
          </cell>
          <cell r="H58" t="str">
            <v>RECEPCIÓN / MOLIENDA</v>
          </cell>
          <cell r="I58" t="str">
            <v>IND</v>
          </cell>
          <cell r="J58" t="str">
            <v>-</v>
          </cell>
          <cell r="K58" t="str">
            <v>-</v>
          </cell>
          <cell r="L58" t="str">
            <v>01 PATIO CANA</v>
          </cell>
          <cell r="M58" t="str">
            <v>-</v>
          </cell>
        </row>
        <row r="59">
          <cell r="B59">
            <v>401003</v>
          </cell>
          <cell r="C59" t="str">
            <v>COMPRA DE CANA - SCTP</v>
          </cell>
          <cell r="D59" t="str">
            <v>401003-COMPRA DE CANA - SCTP</v>
          </cell>
          <cell r="E59">
            <v>10</v>
          </cell>
          <cell r="F59" t="str">
            <v>WILLIAM KLINGER</v>
          </cell>
          <cell r="G59" t="str">
            <v>INDUSTRIA</v>
          </cell>
          <cell r="H59" t="str">
            <v>RECEPCIÓN / MOLIENDA</v>
          </cell>
          <cell r="I59" t="str">
            <v>IND</v>
          </cell>
          <cell r="J59" t="str">
            <v>-</v>
          </cell>
          <cell r="K59" t="str">
            <v>-</v>
          </cell>
          <cell r="L59" t="str">
            <v>01 PATIO CANA</v>
          </cell>
          <cell r="M59" t="str">
            <v>-</v>
          </cell>
        </row>
        <row r="60">
          <cell r="B60">
            <v>401004</v>
          </cell>
          <cell r="C60" t="str">
            <v>ALIMENTACAO E PREPARO</v>
          </cell>
          <cell r="D60" t="str">
            <v>401004-ALIMENTACAO E PREPARO</v>
          </cell>
          <cell r="E60">
            <v>10</v>
          </cell>
          <cell r="F60" t="str">
            <v>CARLOS JOSE DOS SANTOS</v>
          </cell>
          <cell r="G60" t="str">
            <v>INDUSTRIA</v>
          </cell>
          <cell r="H60" t="str">
            <v>RECEPCIÓN / MOLIENDA</v>
          </cell>
          <cell r="I60" t="str">
            <v>IND</v>
          </cell>
          <cell r="J60" t="str">
            <v>-</v>
          </cell>
          <cell r="K60" t="str">
            <v>-</v>
          </cell>
          <cell r="L60" t="str">
            <v>01 PATIO CANA</v>
          </cell>
          <cell r="M60" t="str">
            <v>-</v>
          </cell>
        </row>
        <row r="61">
          <cell r="B61">
            <v>401006</v>
          </cell>
          <cell r="C61" t="str">
            <v>MOAGEM CANA</v>
          </cell>
          <cell r="D61" t="str">
            <v>401006-MOAGEM CANA</v>
          </cell>
          <cell r="E61">
            <v>10</v>
          </cell>
          <cell r="F61" t="str">
            <v>CARLOS JOSE DOS SANTOS</v>
          </cell>
          <cell r="G61" t="str">
            <v>INDUSTRIA</v>
          </cell>
          <cell r="H61" t="str">
            <v>RECEPCIÓN / MOLIENDA</v>
          </cell>
          <cell r="I61" t="str">
            <v>IND</v>
          </cell>
          <cell r="J61" t="str">
            <v>-</v>
          </cell>
          <cell r="K61" t="str">
            <v>-</v>
          </cell>
          <cell r="L61" t="str">
            <v>02 MOLIENDA</v>
          </cell>
          <cell r="M61" t="str">
            <v>-</v>
          </cell>
        </row>
        <row r="62">
          <cell r="B62">
            <v>401008</v>
          </cell>
          <cell r="C62" t="str">
            <v>DIFUSOR</v>
          </cell>
          <cell r="D62" t="str">
            <v>401008-DIFUSOR</v>
          </cell>
          <cell r="E62">
            <v>10</v>
          </cell>
          <cell r="F62" t="str">
            <v>CARLOS JOSE DOS SANTOS</v>
          </cell>
          <cell r="G62" t="str">
            <v>INDUSTRIA</v>
          </cell>
          <cell r="H62" t="str">
            <v>RECEPCIÓN / MOLIENDA</v>
          </cell>
          <cell r="I62" t="str">
            <v>IND</v>
          </cell>
          <cell r="J62" t="str">
            <v>-</v>
          </cell>
          <cell r="K62" t="str">
            <v>-</v>
          </cell>
          <cell r="L62" t="str">
            <v>02 MOLIENDA</v>
          </cell>
          <cell r="M62" t="str">
            <v>-</v>
          </cell>
        </row>
        <row r="63">
          <cell r="B63">
            <v>401012</v>
          </cell>
          <cell r="C63" t="str">
            <v>SECAGEM DE BAGAÇO</v>
          </cell>
          <cell r="D63" t="str">
            <v>401012-SECAGEM DE BAGAÇO</v>
          </cell>
          <cell r="E63">
            <v>10</v>
          </cell>
          <cell r="F63" t="str">
            <v>CARLOS JOSE DOS SANTOS</v>
          </cell>
          <cell r="G63" t="str">
            <v>INDUSTRIA</v>
          </cell>
          <cell r="H63" t="str">
            <v>RECEPCIÓN / MOLIENDA</v>
          </cell>
          <cell r="I63" t="str">
            <v>IND</v>
          </cell>
          <cell r="J63" t="str">
            <v>-</v>
          </cell>
          <cell r="K63" t="str">
            <v>-</v>
          </cell>
          <cell r="L63" t="str">
            <v>02 MOLIENDA</v>
          </cell>
          <cell r="M63" t="str">
            <v>-</v>
          </cell>
        </row>
        <row r="64">
          <cell r="B64">
            <v>401098</v>
          </cell>
          <cell r="C64" t="str">
            <v>ABSORÇÃO DO RATEIO INDUSTRIAL</v>
          </cell>
          <cell r="D64" t="str">
            <v>401098-ABSORÇÃO DO RATEIO INDUSTRIAL</v>
          </cell>
          <cell r="E64">
            <v>10</v>
          </cell>
          <cell r="F64" t="str">
            <v>WILLIAN GUSTAVO OLIVEIRA</v>
          </cell>
          <cell r="G64" t="str">
            <v>INDUSTRIA</v>
          </cell>
          <cell r="H64" t="str">
            <v>RECEPCIÓN / MOLIENDA</v>
          </cell>
          <cell r="I64" t="str">
            <v>IND</v>
          </cell>
          <cell r="J64" t="str">
            <v>-</v>
          </cell>
          <cell r="K64" t="str">
            <v>-</v>
          </cell>
          <cell r="L64" t="str">
            <v>** COSTO CONTABLE</v>
          </cell>
          <cell r="M64" t="str">
            <v>-</v>
          </cell>
        </row>
        <row r="65">
          <cell r="B65">
            <v>401099</v>
          </cell>
          <cell r="C65" t="str">
            <v>MANUTENÇÃO DE ENTRESSAFRA</v>
          </cell>
          <cell r="D65" t="str">
            <v>401099-MANUTENÇÃO DE ENTRESSAFRA</v>
          </cell>
          <cell r="E65">
            <v>10</v>
          </cell>
          <cell r="F65" t="str">
            <v>CARLOS JOSE DOS SANTOS</v>
          </cell>
          <cell r="G65" t="str">
            <v>INDUSTRIA</v>
          </cell>
          <cell r="H65" t="str">
            <v>RECEPCIÓN / MOLIENDA</v>
          </cell>
          <cell r="I65" t="str">
            <v>IND</v>
          </cell>
          <cell r="J65" t="str">
            <v>-</v>
          </cell>
          <cell r="K65" t="str">
            <v>-</v>
          </cell>
          <cell r="L65" t="str">
            <v>02 MOLIENDA</v>
          </cell>
          <cell r="M65" t="str">
            <v>-</v>
          </cell>
        </row>
        <row r="66">
          <cell r="B66">
            <v>401402</v>
          </cell>
          <cell r="C66" t="str">
            <v>AQUECIMENTO/TROCADOR CALOR ALCOOL</v>
          </cell>
          <cell r="D66" t="str">
            <v>401402-AQUECIMENTO/TROCADOR CALOR ALCOOL</v>
          </cell>
          <cell r="E66">
            <v>10</v>
          </cell>
          <cell r="F66" t="str">
            <v>CARLOS DOMICIANO</v>
          </cell>
          <cell r="G66" t="str">
            <v>INDUSTRIA</v>
          </cell>
          <cell r="H66" t="str">
            <v>TRATAMIENTO CALDO</v>
          </cell>
          <cell r="I66" t="str">
            <v>IND</v>
          </cell>
          <cell r="J66" t="str">
            <v>-</v>
          </cell>
          <cell r="K66" t="str">
            <v>-</v>
          </cell>
          <cell r="L66" t="str">
            <v>06 TRATAMIENTO JUGO</v>
          </cell>
          <cell r="M66" t="str">
            <v>-</v>
          </cell>
        </row>
        <row r="67">
          <cell r="B67">
            <v>401404</v>
          </cell>
          <cell r="C67" t="str">
            <v>DECANTACAO DO ALCOOL</v>
          </cell>
          <cell r="D67" t="str">
            <v>401404-DECANTACAO DO ALCOOL</v>
          </cell>
          <cell r="E67">
            <v>10</v>
          </cell>
          <cell r="F67" t="str">
            <v>CARLOS DOMICIANO</v>
          </cell>
          <cell r="G67" t="str">
            <v>INDUSTRIA</v>
          </cell>
          <cell r="H67" t="str">
            <v>TRATAMIENTO CALDO</v>
          </cell>
          <cell r="I67" t="str">
            <v>IND</v>
          </cell>
          <cell r="J67" t="str">
            <v>-</v>
          </cell>
          <cell r="K67" t="str">
            <v>-</v>
          </cell>
          <cell r="L67" t="str">
            <v>06 TRATAMIENTO JUGO</v>
          </cell>
          <cell r="M67" t="str">
            <v>-</v>
          </cell>
        </row>
        <row r="68">
          <cell r="B68">
            <v>401406</v>
          </cell>
          <cell r="C68" t="str">
            <v>PRE-EVAPORACAO DO ALCOOL</v>
          </cell>
          <cell r="D68" t="str">
            <v>401406-PRE-EVAPORACAO DO ALCOOL</v>
          </cell>
          <cell r="E68">
            <v>10</v>
          </cell>
          <cell r="F68" t="str">
            <v>CARLOS DOMICIANO</v>
          </cell>
          <cell r="G68" t="str">
            <v>INDUSTRIA</v>
          </cell>
          <cell r="H68" t="str">
            <v>TRATAMIENTO CALDO</v>
          </cell>
          <cell r="I68" t="str">
            <v>IND</v>
          </cell>
          <cell r="J68" t="str">
            <v>-</v>
          </cell>
          <cell r="K68" t="str">
            <v>-</v>
          </cell>
          <cell r="L68" t="str">
            <v>06 TRATAMIENTO JUGO</v>
          </cell>
          <cell r="M68" t="str">
            <v>-</v>
          </cell>
        </row>
        <row r="69">
          <cell r="B69">
            <v>601000</v>
          </cell>
          <cell r="C69" t="str">
            <v>CONSERVACAO PATIOS - INDUSTRIA</v>
          </cell>
          <cell r="D69" t="str">
            <v>601000-CONSERVACAO PATIOS - INDUSTRIA</v>
          </cell>
          <cell r="E69">
            <v>10</v>
          </cell>
          <cell r="F69" t="str">
            <v>GILSON MENEZES</v>
          </cell>
          <cell r="G69" t="str">
            <v>INDUSTRIA</v>
          </cell>
          <cell r="H69" t="str">
            <v>CONSERVACIÓN GENERAL</v>
          </cell>
          <cell r="I69" t="str">
            <v>IND</v>
          </cell>
          <cell r="J69" t="str">
            <v>-</v>
          </cell>
          <cell r="K69" t="str">
            <v>-</v>
          </cell>
          <cell r="L69" t="str">
            <v>01 PATIO CANA</v>
          </cell>
          <cell r="M69" t="str">
            <v>-</v>
          </cell>
        </row>
        <row r="70">
          <cell r="B70">
            <v>401410</v>
          </cell>
          <cell r="C70" t="str">
            <v>CALEACAO</v>
          </cell>
          <cell r="D70" t="str">
            <v>401410-CALEACAO</v>
          </cell>
          <cell r="E70">
            <v>10</v>
          </cell>
          <cell r="F70" t="str">
            <v>CARLOS DOMICIANO</v>
          </cell>
          <cell r="G70" t="str">
            <v>INDUSTRIA</v>
          </cell>
          <cell r="H70" t="str">
            <v>OPERATIVOS</v>
          </cell>
          <cell r="I70" t="str">
            <v>IND</v>
          </cell>
          <cell r="J70" t="str">
            <v>-</v>
          </cell>
          <cell r="K70" t="str">
            <v>-</v>
          </cell>
          <cell r="L70" t="str">
            <v>06 TRATAMIENTO JUGO</v>
          </cell>
          <cell r="M70" t="str">
            <v>-</v>
          </cell>
        </row>
        <row r="71">
          <cell r="B71">
            <v>401414</v>
          </cell>
          <cell r="C71" t="str">
            <v>DECANTACAO DO ACUCAR</v>
          </cell>
          <cell r="D71" t="str">
            <v>401414-DECANTACAO DO ACUCAR</v>
          </cell>
          <cell r="E71">
            <v>10</v>
          </cell>
          <cell r="F71" t="str">
            <v>WILLIAN GUSTAVO OLIVEIRA</v>
          </cell>
          <cell r="G71" t="str">
            <v>INDUSTRIA</v>
          </cell>
          <cell r="H71" t="str">
            <v>OPERATIVOS</v>
          </cell>
          <cell r="I71" t="str">
            <v>IND</v>
          </cell>
          <cell r="J71" t="str">
            <v>-</v>
          </cell>
          <cell r="K71" t="str">
            <v>-</v>
          </cell>
          <cell r="L71" t="str">
            <v>06 TRATAMIENTO JUGO</v>
          </cell>
          <cell r="M71" t="str">
            <v>-</v>
          </cell>
        </row>
        <row r="72">
          <cell r="B72">
            <v>401416</v>
          </cell>
          <cell r="C72" t="str">
            <v>FILTRACAO DO LODO DO ACUCAR</v>
          </cell>
          <cell r="D72" t="str">
            <v>401416-FILTRACAO DO LODO DO ACUCAR</v>
          </cell>
          <cell r="E72">
            <v>10</v>
          </cell>
          <cell r="F72" t="str">
            <v>WILLIAN GUSTAVO OLIVEIRA</v>
          </cell>
          <cell r="G72" t="str">
            <v>INDUSTRIA</v>
          </cell>
          <cell r="H72" t="str">
            <v>OPERATIVOS</v>
          </cell>
          <cell r="I72" t="str">
            <v>IND</v>
          </cell>
          <cell r="J72" t="str">
            <v>-</v>
          </cell>
          <cell r="K72" t="str">
            <v>-</v>
          </cell>
          <cell r="L72" t="str">
            <v>06 TRATAMIENTO JUGO</v>
          </cell>
          <cell r="M72" t="str">
            <v>-</v>
          </cell>
        </row>
        <row r="73">
          <cell r="B73">
            <v>401420</v>
          </cell>
          <cell r="C73" t="str">
            <v>FILTRACAO DO LODO DO ALCOOL</v>
          </cell>
          <cell r="D73" t="str">
            <v>401420-FILTRACAO DO LODO DO ALCOOL</v>
          </cell>
          <cell r="E73">
            <v>10</v>
          </cell>
          <cell r="F73" t="str">
            <v>CARLOS DOMICIANO</v>
          </cell>
          <cell r="G73" t="str">
            <v>INDUSTRIA</v>
          </cell>
          <cell r="H73" t="str">
            <v>OPERATIVOS</v>
          </cell>
          <cell r="I73" t="str">
            <v>IND</v>
          </cell>
          <cell r="J73" t="str">
            <v>-</v>
          </cell>
          <cell r="K73" t="str">
            <v>-</v>
          </cell>
          <cell r="L73" t="str">
            <v>06 TRATAMIENTO JUGO</v>
          </cell>
          <cell r="M73" t="str">
            <v>-</v>
          </cell>
        </row>
        <row r="74">
          <cell r="B74">
            <v>401499</v>
          </cell>
          <cell r="C74" t="str">
            <v>MANUTENÇÃO DE ENTRESSAFRA</v>
          </cell>
          <cell r="D74" t="str">
            <v>401499-MANUTENÇÃO DE ENTRESSAFRA</v>
          </cell>
          <cell r="E74">
            <v>10</v>
          </cell>
          <cell r="F74" t="str">
            <v>CARLOS DOMICIANO</v>
          </cell>
          <cell r="G74" t="str">
            <v>INDUSTRIA</v>
          </cell>
          <cell r="H74" t="str">
            <v>OPERATIVOS</v>
          </cell>
          <cell r="I74" t="str">
            <v>IND</v>
          </cell>
          <cell r="J74" t="str">
            <v>-</v>
          </cell>
          <cell r="K74" t="str">
            <v>-</v>
          </cell>
          <cell r="L74" t="str">
            <v>06 TRATAMIENTO JUGO</v>
          </cell>
          <cell r="M74" t="str">
            <v>-</v>
          </cell>
        </row>
        <row r="75">
          <cell r="B75">
            <v>402002</v>
          </cell>
          <cell r="C75" t="str">
            <v>PRE-FERMENTACAO</v>
          </cell>
          <cell r="D75" t="str">
            <v>402002-PRE-FERMENTACAO</v>
          </cell>
          <cell r="E75">
            <v>10</v>
          </cell>
          <cell r="F75" t="str">
            <v>MARCOS CESAR DE PAULA</v>
          </cell>
          <cell r="G75" t="str">
            <v>INDUSTRIA</v>
          </cell>
          <cell r="H75" t="str">
            <v>FABRICACION ALCOOL</v>
          </cell>
          <cell r="I75" t="str">
            <v>IND</v>
          </cell>
          <cell r="J75" t="str">
            <v>-</v>
          </cell>
          <cell r="K75" t="str">
            <v>-</v>
          </cell>
          <cell r="L75" t="str">
            <v>08 FERMENTACIÓN</v>
          </cell>
          <cell r="M75" t="str">
            <v>-</v>
          </cell>
        </row>
        <row r="76">
          <cell r="B76">
            <v>402004</v>
          </cell>
          <cell r="C76" t="str">
            <v>FERMENTACAO</v>
          </cell>
          <cell r="D76" t="str">
            <v>402004-FERMENTACAO</v>
          </cell>
          <cell r="E76">
            <v>10</v>
          </cell>
          <cell r="F76" t="str">
            <v>MARCOS CESAR DE PAULA</v>
          </cell>
          <cell r="G76" t="str">
            <v>INDUSTRIA</v>
          </cell>
          <cell r="H76" t="str">
            <v>FABRICACION ALCOOL</v>
          </cell>
          <cell r="I76" t="str">
            <v>IND</v>
          </cell>
          <cell r="J76" t="str">
            <v>-</v>
          </cell>
          <cell r="K76" t="str">
            <v>-</v>
          </cell>
          <cell r="L76" t="str">
            <v>08 FERMENTACIÓN</v>
          </cell>
          <cell r="M76" t="str">
            <v>-</v>
          </cell>
        </row>
        <row r="77">
          <cell r="B77">
            <v>402006</v>
          </cell>
          <cell r="C77" t="str">
            <v>DESTILACAO HIDRATADO</v>
          </cell>
          <cell r="D77" t="str">
            <v>402006-DESTILACAO HIDRATADO</v>
          </cell>
          <cell r="E77">
            <v>10</v>
          </cell>
          <cell r="F77" t="str">
            <v>MARCOS CESAR DE PAULA</v>
          </cell>
          <cell r="G77" t="str">
            <v>INDUSTRIA</v>
          </cell>
          <cell r="H77" t="str">
            <v>FABRICACION ALCOOL</v>
          </cell>
          <cell r="I77" t="str">
            <v>IND</v>
          </cell>
          <cell r="J77" t="str">
            <v>-</v>
          </cell>
          <cell r="K77" t="str">
            <v>-</v>
          </cell>
          <cell r="L77" t="str">
            <v>09 DESTILACION HIDRATADO</v>
          </cell>
          <cell r="M77" t="str">
            <v>-</v>
          </cell>
        </row>
        <row r="78">
          <cell r="B78">
            <v>402008</v>
          </cell>
          <cell r="C78" t="str">
            <v>DESTILACAO ANIDRO</v>
          </cell>
          <cell r="D78" t="str">
            <v>402008-DESTILACAO ANIDRO</v>
          </cell>
          <cell r="E78">
            <v>10</v>
          </cell>
          <cell r="F78" t="str">
            <v>WILLIAN GUSTAVO OLIVEIRA</v>
          </cell>
          <cell r="G78" t="str">
            <v>INDUSTRIA</v>
          </cell>
          <cell r="H78" t="str">
            <v>FABRICACION ALCOOL</v>
          </cell>
          <cell r="I78" t="str">
            <v>IND</v>
          </cell>
          <cell r="J78" t="str">
            <v>-</v>
          </cell>
          <cell r="K78" t="str">
            <v>-</v>
          </cell>
          <cell r="L78" t="str">
            <v>10 DESTILACION ANHIDRO</v>
          </cell>
          <cell r="M78" t="str">
            <v>-</v>
          </cell>
        </row>
        <row r="79">
          <cell r="B79">
            <v>402010</v>
          </cell>
          <cell r="C79" t="str">
            <v>TORRE DE RESFRIAMENTO</v>
          </cell>
          <cell r="D79" t="str">
            <v>402010-TORRE DE RESFRIAMENTO</v>
          </cell>
          <cell r="E79">
            <v>10</v>
          </cell>
          <cell r="F79" t="str">
            <v>MARCOS CESAR DE PAULA</v>
          </cell>
          <cell r="G79" t="str">
            <v>INDUSTRIA</v>
          </cell>
          <cell r="H79" t="str">
            <v>FABRICACION ALCOOL</v>
          </cell>
          <cell r="I79" t="str">
            <v>IND</v>
          </cell>
          <cell r="J79" t="str">
            <v>-</v>
          </cell>
          <cell r="K79" t="str">
            <v>-</v>
          </cell>
          <cell r="L79" t="str">
            <v>08 FERMENTACIÓN</v>
          </cell>
          <cell r="M79" t="str">
            <v>-</v>
          </cell>
        </row>
        <row r="80">
          <cell r="B80">
            <v>402012</v>
          </cell>
          <cell r="C80" t="str">
            <v>TANQUE SPRAY</v>
          </cell>
          <cell r="D80" t="str">
            <v>402012-TANQUE SPRAY</v>
          </cell>
          <cell r="E80">
            <v>10</v>
          </cell>
          <cell r="F80" t="str">
            <v>WILLIAN GUSTAVO OLIVEIRA</v>
          </cell>
          <cell r="G80" t="str">
            <v>INDUSTRIA</v>
          </cell>
          <cell r="H80" t="str">
            <v>FABRICACION ALCOOL</v>
          </cell>
          <cell r="I80" t="str">
            <v>IND</v>
          </cell>
          <cell r="J80" t="str">
            <v>-</v>
          </cell>
          <cell r="K80" t="str">
            <v>-</v>
          </cell>
          <cell r="L80" t="str">
            <v>-</v>
          </cell>
          <cell r="M80" t="str">
            <v>-</v>
          </cell>
        </row>
        <row r="81">
          <cell r="B81">
            <v>402014</v>
          </cell>
          <cell r="C81" t="str">
            <v>CENTRIFUGAÇÃO</v>
          </cell>
          <cell r="D81" t="str">
            <v>402014-CENTRIFUGAÇÃO</v>
          </cell>
          <cell r="E81">
            <v>10</v>
          </cell>
          <cell r="F81" t="str">
            <v>MARCOS CESAR DE PAULA</v>
          </cell>
          <cell r="G81" t="str">
            <v>INDUSTRIA</v>
          </cell>
          <cell r="H81" t="str">
            <v>FABRICACION ALCOOL</v>
          </cell>
          <cell r="I81" t="str">
            <v>IND</v>
          </cell>
          <cell r="J81" t="str">
            <v>-</v>
          </cell>
          <cell r="K81" t="str">
            <v>-</v>
          </cell>
          <cell r="L81" t="str">
            <v>08 FERMENTACIÓN</v>
          </cell>
          <cell r="M81" t="str">
            <v>-</v>
          </cell>
        </row>
        <row r="82">
          <cell r="B82">
            <v>402098</v>
          </cell>
          <cell r="C82" t="str">
            <v>ABSORCAO DO RATEIO INDUSTRIAL</v>
          </cell>
          <cell r="D82" t="str">
            <v>402098-ABSORCAO DO RATEIO INDUSTRIAL</v>
          </cell>
          <cell r="E82">
            <v>10</v>
          </cell>
          <cell r="F82" t="str">
            <v>WILLIAN GUSTAVO OLIVEIRA</v>
          </cell>
          <cell r="G82" t="str">
            <v>INDUSTRIA</v>
          </cell>
          <cell r="H82" t="str">
            <v>FABRICACION ALCOOL</v>
          </cell>
          <cell r="I82" t="str">
            <v>IND</v>
          </cell>
          <cell r="J82" t="str">
            <v>-</v>
          </cell>
          <cell r="K82" t="str">
            <v>-</v>
          </cell>
          <cell r="L82" t="str">
            <v>** COSTO CONTABLE</v>
          </cell>
          <cell r="M82" t="str">
            <v>-</v>
          </cell>
        </row>
        <row r="83">
          <cell r="B83">
            <v>402099</v>
          </cell>
          <cell r="C83" t="str">
            <v>MANUTENÇÃO DE ENTRESSAFRA</v>
          </cell>
          <cell r="D83" t="str">
            <v>402099-MANUTENÇÃO DE ENTRESSAFRA</v>
          </cell>
          <cell r="E83">
            <v>10</v>
          </cell>
          <cell r="F83" t="str">
            <v>MARCOS CESAR DE PAULA</v>
          </cell>
          <cell r="G83" t="str">
            <v>INDUSTRIA</v>
          </cell>
          <cell r="H83" t="str">
            <v>FABRICACION ALCOOL</v>
          </cell>
          <cell r="I83" t="str">
            <v>IND</v>
          </cell>
          <cell r="J83" t="str">
            <v>-</v>
          </cell>
          <cell r="K83" t="str">
            <v>-</v>
          </cell>
          <cell r="L83" t="str">
            <v>08 FERMENTACIÓN</v>
          </cell>
          <cell r="M83" t="str">
            <v>-</v>
          </cell>
        </row>
        <row r="84">
          <cell r="B84">
            <v>405002</v>
          </cell>
          <cell r="C84" t="str">
            <v>SECAGEM LEVEDURA</v>
          </cell>
          <cell r="D84" t="str">
            <v>405002-SECAGEM LEVEDURA</v>
          </cell>
          <cell r="E84">
            <v>10</v>
          </cell>
          <cell r="F84" t="str">
            <v>WILLIAN GUSTAVO OLIVEIRA</v>
          </cell>
          <cell r="G84" t="str">
            <v>INDUSTRIA</v>
          </cell>
          <cell r="H84" t="str">
            <v>FABRICACION LEVADURA</v>
          </cell>
          <cell r="I84" t="str">
            <v>IND</v>
          </cell>
          <cell r="J84" t="str">
            <v>-</v>
          </cell>
          <cell r="K84" t="str">
            <v>-</v>
          </cell>
          <cell r="L84" t="str">
            <v>07 LEVADURA</v>
          </cell>
          <cell r="M84" t="str">
            <v>-</v>
          </cell>
        </row>
        <row r="85">
          <cell r="B85">
            <v>407002</v>
          </cell>
          <cell r="C85" t="str">
            <v>GERACAO E DISTR.VAPOR</v>
          </cell>
          <cell r="D85" t="str">
            <v>407002-GERACAO E DISTR.VAPOR</v>
          </cell>
          <cell r="E85">
            <v>10</v>
          </cell>
          <cell r="F85" t="str">
            <v>JOSE CATANA</v>
          </cell>
          <cell r="G85" t="str">
            <v>INDUSTRIA</v>
          </cell>
          <cell r="H85" t="str">
            <v>AUXILIARES</v>
          </cell>
          <cell r="I85" t="str">
            <v>IND</v>
          </cell>
          <cell r="J85" t="str">
            <v>-</v>
          </cell>
          <cell r="K85" t="str">
            <v>-</v>
          </cell>
          <cell r="L85" t="str">
            <v>03 PRODUCCIÓN VAPOR</v>
          </cell>
          <cell r="M85" t="str">
            <v>-</v>
          </cell>
        </row>
        <row r="86">
          <cell r="B86">
            <v>407004</v>
          </cell>
          <cell r="C86" t="str">
            <v>GERACAO E DISTR.AR COMPRIMIDO</v>
          </cell>
          <cell r="D86" t="str">
            <v>407004-GERACAO E DISTR.AR COMPRIMIDO</v>
          </cell>
          <cell r="E86">
            <v>10</v>
          </cell>
          <cell r="F86" t="str">
            <v>EDSON BABOSA</v>
          </cell>
          <cell r="G86" t="str">
            <v>INDUSTRIA</v>
          </cell>
          <cell r="H86" t="str">
            <v>AUXILIARES</v>
          </cell>
          <cell r="I86" t="str">
            <v>IND</v>
          </cell>
          <cell r="J86" t="str">
            <v>-</v>
          </cell>
          <cell r="K86" t="str">
            <v>-</v>
          </cell>
          <cell r="L86" t="str">
            <v>03 PRODUCCIÓN VAPOR</v>
          </cell>
          <cell r="M86" t="str">
            <v>-</v>
          </cell>
        </row>
        <row r="87">
          <cell r="B87">
            <v>407006</v>
          </cell>
          <cell r="C87" t="str">
            <v>GERACAO E DISTR.ENERGIA</v>
          </cell>
          <cell r="D87" t="str">
            <v>407006-GERACAO E DISTR.ENERGIA</v>
          </cell>
          <cell r="E87">
            <v>10</v>
          </cell>
          <cell r="F87" t="str">
            <v>EDSON BABOSA</v>
          </cell>
          <cell r="G87" t="str">
            <v>INDUSTRIA</v>
          </cell>
          <cell r="H87" t="str">
            <v>AUXILIARES</v>
          </cell>
          <cell r="I87" t="str">
            <v>IND</v>
          </cell>
          <cell r="J87" t="str">
            <v>-</v>
          </cell>
          <cell r="K87" t="str">
            <v>-</v>
          </cell>
          <cell r="L87" t="str">
            <v>04 PRODUCCIÓN ENERGIA</v>
          </cell>
          <cell r="M87" t="str">
            <v>-</v>
          </cell>
        </row>
        <row r="88">
          <cell r="B88">
            <v>407008</v>
          </cell>
          <cell r="C88" t="str">
            <v>CAPTACAO DE AGUA</v>
          </cell>
          <cell r="D88" t="str">
            <v>407008-CAPTACAO DE AGUA</v>
          </cell>
          <cell r="E88">
            <v>10</v>
          </cell>
          <cell r="F88" t="str">
            <v>JOSE CATANA</v>
          </cell>
          <cell r="G88" t="str">
            <v>INDUSTRIA</v>
          </cell>
          <cell r="H88" t="str">
            <v>AUXILIARES</v>
          </cell>
          <cell r="I88" t="str">
            <v>IND</v>
          </cell>
          <cell r="J88" t="str">
            <v>-</v>
          </cell>
          <cell r="K88" t="str">
            <v>-</v>
          </cell>
          <cell r="L88" t="str">
            <v>12 CAPTACAO/TRATAMENTO AGUA</v>
          </cell>
          <cell r="M88" t="str">
            <v>-</v>
          </cell>
        </row>
        <row r="89">
          <cell r="B89">
            <v>407010</v>
          </cell>
          <cell r="C89" t="str">
            <v>ETA (ESTACAO DE TRATAMENTO AGUA)</v>
          </cell>
          <cell r="D89" t="str">
            <v>407010-ETA (ESTACAO DE TRATAMENTO AGUA)</v>
          </cell>
          <cell r="E89">
            <v>10</v>
          </cell>
          <cell r="F89" t="str">
            <v>JOSE CATANA</v>
          </cell>
          <cell r="G89" t="str">
            <v>INDUSTRIA</v>
          </cell>
          <cell r="H89" t="str">
            <v>AUXILIARES</v>
          </cell>
          <cell r="I89" t="str">
            <v>IND</v>
          </cell>
          <cell r="J89" t="str">
            <v>-</v>
          </cell>
          <cell r="K89" t="str">
            <v>-</v>
          </cell>
          <cell r="L89" t="str">
            <v>12 CAPTACAO/TRATAMENTO AGUA</v>
          </cell>
          <cell r="M89" t="str">
            <v>-</v>
          </cell>
        </row>
        <row r="90">
          <cell r="B90">
            <v>407012</v>
          </cell>
          <cell r="C90" t="str">
            <v>PATIO DE BAGACO</v>
          </cell>
          <cell r="D90" t="str">
            <v>407012-PATIO DE BAGACO</v>
          </cell>
          <cell r="E90">
            <v>10</v>
          </cell>
          <cell r="F90" t="str">
            <v>GILSON MENEZES</v>
          </cell>
          <cell r="G90" t="str">
            <v>INDUSTRIA</v>
          </cell>
          <cell r="H90" t="str">
            <v>AUXILIARES</v>
          </cell>
          <cell r="I90" t="str">
            <v>IND</v>
          </cell>
          <cell r="J90" t="str">
            <v>-</v>
          </cell>
          <cell r="K90" t="str">
            <v>-</v>
          </cell>
          <cell r="L90" t="str">
            <v>05 PATIO BAGAZO</v>
          </cell>
          <cell r="M90" t="str">
            <v>-</v>
          </cell>
        </row>
        <row r="91">
          <cell r="B91">
            <v>407016</v>
          </cell>
          <cell r="C91" t="str">
            <v>ENERGIA ELETRICA ADQUIRIDA</v>
          </cell>
          <cell r="D91" t="str">
            <v>407016-ENERGIA ELETRICA ADQUIRIDA</v>
          </cell>
          <cell r="E91">
            <v>10</v>
          </cell>
          <cell r="F91" t="str">
            <v>EDSON BABOSA</v>
          </cell>
          <cell r="G91" t="str">
            <v>INDUSTRIA</v>
          </cell>
          <cell r="H91" t="str">
            <v>AUXILIARES</v>
          </cell>
          <cell r="I91" t="str">
            <v>IND</v>
          </cell>
          <cell r="J91" t="str">
            <v>-</v>
          </cell>
          <cell r="K91" t="str">
            <v>-</v>
          </cell>
          <cell r="L91" t="str">
            <v>04 PRODUCCIÓN ENERGIA</v>
          </cell>
          <cell r="M91" t="str">
            <v>-</v>
          </cell>
        </row>
        <row r="92">
          <cell r="B92">
            <v>407018</v>
          </cell>
          <cell r="C92" t="str">
            <v>ETALC -ESTA TRAT AGUA DA LAVAGEM DE CANA</v>
          </cell>
          <cell r="D92" t="str">
            <v>407018-ETALC -ESTA TRAT AGUA DA LAVAGEM DE CANA</v>
          </cell>
          <cell r="E92">
            <v>10</v>
          </cell>
          <cell r="F92" t="str">
            <v>CARLOS JOSE DOS SANTOS</v>
          </cell>
          <cell r="G92" t="str">
            <v>INDUSTRIA</v>
          </cell>
          <cell r="H92" t="str">
            <v>AUXILIARES</v>
          </cell>
          <cell r="I92" t="str">
            <v>IND</v>
          </cell>
          <cell r="J92" t="str">
            <v>-</v>
          </cell>
          <cell r="K92" t="str">
            <v>-</v>
          </cell>
          <cell r="L92" t="str">
            <v>12 CAPTACAO/TRATAMENTO AGUA</v>
          </cell>
          <cell r="M92" t="str">
            <v>-</v>
          </cell>
        </row>
        <row r="93">
          <cell r="B93">
            <v>407020</v>
          </cell>
          <cell r="C93" t="str">
            <v>ETE - ESTAÇÃO TRATAMENTO DE ESGOTO</v>
          </cell>
          <cell r="D93" t="str">
            <v>407020-ETE - ESTAÇÃO TRATAMENTO DE ESGOTO</v>
          </cell>
          <cell r="E93">
            <v>10</v>
          </cell>
          <cell r="F93" t="str">
            <v>JOSE CATANA</v>
          </cell>
          <cell r="G93" t="str">
            <v>INDUSTRIA</v>
          </cell>
          <cell r="H93" t="str">
            <v>AUXILIARES</v>
          </cell>
          <cell r="I93" t="str">
            <v>IND</v>
          </cell>
          <cell r="J93" t="str">
            <v>-</v>
          </cell>
          <cell r="K93" t="str">
            <v>-</v>
          </cell>
          <cell r="L93" t="str">
            <v>13 TRATAMENTO ESGOTO</v>
          </cell>
          <cell r="M93" t="str">
            <v>-</v>
          </cell>
        </row>
        <row r="94">
          <cell r="B94">
            <v>407022</v>
          </cell>
          <cell r="C94" t="str">
            <v>ETALG - ESTAÇ.TRAT.ÁGUA DE LAVAGEM GASES</v>
          </cell>
          <cell r="D94" t="str">
            <v>407022-ETALG - ESTAÇ.TRAT.ÁGUA DE LAVAGEM GASES</v>
          </cell>
          <cell r="E94">
            <v>10</v>
          </cell>
          <cell r="F94" t="str">
            <v>JOSE CATANA</v>
          </cell>
          <cell r="G94" t="str">
            <v>INDUSTRIA</v>
          </cell>
          <cell r="H94" t="str">
            <v>AUXILIARES</v>
          </cell>
          <cell r="I94" t="str">
            <v>IND</v>
          </cell>
          <cell r="J94" t="str">
            <v>-</v>
          </cell>
          <cell r="K94" t="str">
            <v>-</v>
          </cell>
          <cell r="L94" t="str">
            <v>12 CAPTACAO/TRATAMENTO AGUA</v>
          </cell>
          <cell r="M94" t="str">
            <v>-</v>
          </cell>
        </row>
        <row r="95">
          <cell r="B95">
            <v>407099</v>
          </cell>
          <cell r="C95" t="str">
            <v>MANUTENÇÃO DE ENTRESSAFRA</v>
          </cell>
          <cell r="D95" t="str">
            <v>407099-MANUTENÇÃO DE ENTRESSAFRA</v>
          </cell>
          <cell r="E95">
            <v>10</v>
          </cell>
          <cell r="F95" t="str">
            <v>JOSE CATANA / GILSON</v>
          </cell>
          <cell r="G95" t="str">
            <v>INDUSTRIA</v>
          </cell>
          <cell r="H95" t="str">
            <v>AUXILIARES</v>
          </cell>
          <cell r="I95" t="str">
            <v>IND</v>
          </cell>
          <cell r="J95" t="str">
            <v>-</v>
          </cell>
          <cell r="K95" t="str">
            <v>-</v>
          </cell>
          <cell r="L95" t="str">
            <v>12 CAPTACAO/TRATAMENTO AGUA</v>
          </cell>
          <cell r="M95" t="str">
            <v>-</v>
          </cell>
        </row>
        <row r="96">
          <cell r="B96">
            <v>408002</v>
          </cell>
          <cell r="C96" t="str">
            <v>MANUTENÇÃO MECANICA</v>
          </cell>
          <cell r="D96" t="str">
            <v>408002-MANUTENÇÃO MECANICA</v>
          </cell>
          <cell r="E96">
            <v>10</v>
          </cell>
          <cell r="F96" t="str">
            <v>VANDERLEI FLORENCIO</v>
          </cell>
          <cell r="G96" t="str">
            <v>INDUSTRIA</v>
          </cell>
          <cell r="H96" t="str">
            <v>MANTENIMIENTO INDUSTRIAL</v>
          </cell>
          <cell r="I96" t="str">
            <v>IND</v>
          </cell>
          <cell r="J96" t="str">
            <v>-</v>
          </cell>
          <cell r="K96" t="str">
            <v>-</v>
          </cell>
          <cell r="L96" t="str">
            <v>15 MANTENIMIENTO</v>
          </cell>
          <cell r="M96" t="str">
            <v>-</v>
          </cell>
        </row>
        <row r="97">
          <cell r="B97">
            <v>408004</v>
          </cell>
          <cell r="C97" t="str">
            <v>CALDERARIA</v>
          </cell>
          <cell r="D97" t="str">
            <v>408004-CALDERARIA</v>
          </cell>
          <cell r="E97">
            <v>10</v>
          </cell>
          <cell r="F97" t="str">
            <v>VANDERLEI FLORENCIO</v>
          </cell>
          <cell r="G97" t="str">
            <v>INDUSTRIA</v>
          </cell>
          <cell r="H97" t="str">
            <v>MANTENIMIENTO INDUSTRIAL</v>
          </cell>
          <cell r="I97" t="str">
            <v>IND</v>
          </cell>
          <cell r="J97" t="str">
            <v>-</v>
          </cell>
          <cell r="K97" t="str">
            <v>-</v>
          </cell>
          <cell r="L97" t="str">
            <v>15 MANTENIMIENTO</v>
          </cell>
          <cell r="M97" t="str">
            <v>-</v>
          </cell>
        </row>
        <row r="98">
          <cell r="B98">
            <v>408006</v>
          </cell>
          <cell r="C98" t="str">
            <v>MANUTENÇÃO ELETRICA</v>
          </cell>
          <cell r="D98" t="str">
            <v>408006-MANUTENÇÃO ELETRICA</v>
          </cell>
          <cell r="E98">
            <v>10</v>
          </cell>
          <cell r="F98" t="str">
            <v>EDSON BABOSA</v>
          </cell>
          <cell r="G98" t="str">
            <v>INDUSTRIA</v>
          </cell>
          <cell r="H98" t="str">
            <v>MANTENIMIENTO INDUSTRIAL</v>
          </cell>
          <cell r="I98" t="str">
            <v>IND</v>
          </cell>
          <cell r="J98" t="str">
            <v>-</v>
          </cell>
          <cell r="K98" t="str">
            <v>-</v>
          </cell>
          <cell r="L98" t="str">
            <v>15 MANTENIMIENTO</v>
          </cell>
          <cell r="M98" t="str">
            <v>-</v>
          </cell>
        </row>
        <row r="99">
          <cell r="B99">
            <v>408008</v>
          </cell>
          <cell r="C99" t="str">
            <v>INSTRUMENTAÇÃO</v>
          </cell>
          <cell r="D99" t="str">
            <v>408008-INSTRUMENTAÇÃO</v>
          </cell>
          <cell r="E99">
            <v>10</v>
          </cell>
          <cell r="F99" t="str">
            <v>EDSON BABOSA</v>
          </cell>
          <cell r="G99" t="str">
            <v>INDUSTRIA</v>
          </cell>
          <cell r="H99" t="str">
            <v>MANTENIMIENTO INDUSTRIAL</v>
          </cell>
          <cell r="I99" t="str">
            <v>IND</v>
          </cell>
          <cell r="J99" t="str">
            <v>-</v>
          </cell>
          <cell r="K99" t="str">
            <v>-</v>
          </cell>
          <cell r="L99" t="str">
            <v>15 MANTENIMIENTO</v>
          </cell>
          <cell r="M99" t="str">
            <v>-</v>
          </cell>
        </row>
        <row r="100">
          <cell r="B100">
            <v>408010</v>
          </cell>
          <cell r="C100" t="str">
            <v>MANUTENCAO CIVIL</v>
          </cell>
          <cell r="D100" t="str">
            <v>408010-MANUTENCAO CIVIL</v>
          </cell>
          <cell r="E100">
            <v>10</v>
          </cell>
          <cell r="F100" t="str">
            <v>GILSON MENEZES</v>
          </cell>
          <cell r="G100" t="str">
            <v>INDUSTRIA</v>
          </cell>
          <cell r="H100" t="str">
            <v>MANTENIMIENTO INDUSTRIAL</v>
          </cell>
          <cell r="I100" t="str">
            <v>IND</v>
          </cell>
          <cell r="J100" t="str">
            <v>-</v>
          </cell>
          <cell r="K100" t="str">
            <v>-</v>
          </cell>
          <cell r="L100" t="str">
            <v>15 MANTENIMIENTO</v>
          </cell>
          <cell r="M100" t="str">
            <v>-</v>
          </cell>
        </row>
        <row r="101">
          <cell r="B101">
            <v>408012</v>
          </cell>
          <cell r="C101" t="str">
            <v>PCM ( PLANEJ. E CONTROLE DA MANUTENÇAÕ)</v>
          </cell>
          <cell r="D101" t="str">
            <v>408012-PCM ( PLANEJ. E CONTROLE DA MANUTENÇAÕ)</v>
          </cell>
          <cell r="E101">
            <v>10</v>
          </cell>
          <cell r="F101" t="str">
            <v>SERGIO FIORENTINO</v>
          </cell>
          <cell r="G101" t="str">
            <v>INDUSTRIA</v>
          </cell>
          <cell r="H101" t="str">
            <v>MANTENIMIENTO INDUSTRIAL</v>
          </cell>
          <cell r="I101" t="str">
            <v>IND</v>
          </cell>
          <cell r="J101" t="str">
            <v>-</v>
          </cell>
          <cell r="K101" t="str">
            <v>-</v>
          </cell>
          <cell r="L101" t="str">
            <v>15 MANTENIMIENTO</v>
          </cell>
          <cell r="M101" t="str">
            <v>-</v>
          </cell>
        </row>
        <row r="102">
          <cell r="B102">
            <v>409002</v>
          </cell>
          <cell r="C102" t="str">
            <v>ESCOAMENTO DA VINHACA</v>
          </cell>
          <cell r="D102" t="str">
            <v>409002-ESCOAMENTO DA VINHACA</v>
          </cell>
          <cell r="E102">
            <v>10</v>
          </cell>
          <cell r="F102" t="str">
            <v>GILSON MENEZES</v>
          </cell>
          <cell r="G102" t="str">
            <v>INDUSTRIA</v>
          </cell>
          <cell r="H102" t="str">
            <v>RESIDUOS INDUSTRIALES</v>
          </cell>
          <cell r="I102" t="str">
            <v>IND</v>
          </cell>
          <cell r="J102" t="str">
            <v>-</v>
          </cell>
          <cell r="K102" t="str">
            <v>-</v>
          </cell>
          <cell r="L102" t="str">
            <v>11 TRATAMIENTO DE VINAZA</v>
          </cell>
          <cell r="M102" t="str">
            <v>-</v>
          </cell>
        </row>
        <row r="103">
          <cell r="B103">
            <v>409004</v>
          </cell>
          <cell r="C103" t="str">
            <v>SISTEMA DE BOMBEAMENTO</v>
          </cell>
          <cell r="D103" t="str">
            <v>409004-SISTEMA DE BOMBEAMENTO</v>
          </cell>
          <cell r="E103">
            <v>10</v>
          </cell>
          <cell r="F103" t="str">
            <v>WILLIAN GUSTAVO OLIVEIRA</v>
          </cell>
          <cell r="G103" t="str">
            <v>INDUSTRIA</v>
          </cell>
          <cell r="H103" t="str">
            <v>RESIDUOS INDUSTRIALES</v>
          </cell>
          <cell r="I103" t="str">
            <v>IND</v>
          </cell>
          <cell r="J103" t="str">
            <v>-</v>
          </cell>
          <cell r="K103" t="str">
            <v>-</v>
          </cell>
          <cell r="L103" t="str">
            <v>11 TRATAMIENTO DE VINAZA</v>
          </cell>
          <cell r="M103" t="str">
            <v>-</v>
          </cell>
        </row>
        <row r="104">
          <cell r="B104">
            <v>409099</v>
          </cell>
          <cell r="C104" t="str">
            <v>MANUTENÇÃO DE ENTRESSAFRA</v>
          </cell>
          <cell r="D104" t="str">
            <v>409099-MANUTENÇÃO DE ENTRESSAFRA</v>
          </cell>
          <cell r="E104">
            <v>10</v>
          </cell>
          <cell r="F104" t="str">
            <v>GILSON MENEZES</v>
          </cell>
          <cell r="G104" t="str">
            <v>INDUSTRIA</v>
          </cell>
          <cell r="H104" t="str">
            <v>RESIDUOS INDUSTRIALES</v>
          </cell>
          <cell r="I104" t="str">
            <v>IND</v>
          </cell>
          <cell r="J104" t="str">
            <v>-</v>
          </cell>
          <cell r="K104" t="str">
            <v>-</v>
          </cell>
          <cell r="L104" t="str">
            <v>11 TRATAMIENTO DE VINAZA</v>
          </cell>
          <cell r="M104" t="str">
            <v>-</v>
          </cell>
        </row>
        <row r="105">
          <cell r="B105">
            <v>509902</v>
          </cell>
          <cell r="C105" t="str">
            <v>CUSTO MATERIA-PRIMA</v>
          </cell>
          <cell r="D105" t="str">
            <v>509902-CUSTO MATERIA-PRIMA</v>
          </cell>
          <cell r="E105">
            <v>10</v>
          </cell>
          <cell r="F105" t="str">
            <v>WILLIAN GUSTAVO OLIVEIRA</v>
          </cell>
          <cell r="G105" t="str">
            <v>INDUSTRIA</v>
          </cell>
          <cell r="H105" t="str">
            <v>COSTO PRODUCCIÓN CONTABLE</v>
          </cell>
          <cell r="I105" t="str">
            <v>IND</v>
          </cell>
          <cell r="J105" t="str">
            <v>-</v>
          </cell>
          <cell r="K105" t="str">
            <v>-</v>
          </cell>
          <cell r="L105" t="str">
            <v>** COSTO CONTABLE</v>
          </cell>
          <cell r="M105" t="str">
            <v>-</v>
          </cell>
        </row>
        <row r="106">
          <cell r="B106">
            <v>409910</v>
          </cell>
          <cell r="C106" t="str">
            <v>CUSTO DE PRODUCAO DO A.E.H.C.</v>
          </cell>
          <cell r="D106" t="str">
            <v>409910-CUSTO DE PRODUCAO DO A.E.H.C.</v>
          </cell>
          <cell r="E106">
            <v>10</v>
          </cell>
          <cell r="F106" t="str">
            <v>WILLIAN GUSTAVO OLIVEIRA</v>
          </cell>
          <cell r="G106" t="str">
            <v>INDUSTRIA</v>
          </cell>
          <cell r="H106" t="str">
            <v>COSTO PRODUCCIÓN CONTABLE</v>
          </cell>
          <cell r="I106" t="str">
            <v>IND</v>
          </cell>
          <cell r="J106" t="str">
            <v>-</v>
          </cell>
          <cell r="K106" t="str">
            <v>-</v>
          </cell>
          <cell r="L106" t="str">
            <v>** COSTO CONTABLE</v>
          </cell>
          <cell r="M106" t="str">
            <v>-</v>
          </cell>
        </row>
        <row r="107">
          <cell r="B107">
            <v>409920</v>
          </cell>
          <cell r="C107" t="str">
            <v>CUSTO DE PRODUCAO DO A.E.A.C.</v>
          </cell>
          <cell r="D107" t="str">
            <v>409920-CUSTO DE PRODUCAO DO A.E.A.C.</v>
          </cell>
          <cell r="E107">
            <v>10</v>
          </cell>
          <cell r="F107" t="str">
            <v>WILLIAN GUSTAVO OLIVEIRA</v>
          </cell>
          <cell r="G107" t="str">
            <v>INDUSTRIA</v>
          </cell>
          <cell r="H107" t="str">
            <v>COSTO PRODUCCIÓN CONTABLE</v>
          </cell>
          <cell r="I107" t="str">
            <v>IND</v>
          </cell>
          <cell r="J107" t="str">
            <v>-</v>
          </cell>
          <cell r="K107" t="str">
            <v>-</v>
          </cell>
          <cell r="L107" t="str">
            <v>** COSTO CONTABLE</v>
          </cell>
          <cell r="M107" t="str">
            <v>-</v>
          </cell>
        </row>
        <row r="108">
          <cell r="B108">
            <v>409930</v>
          </cell>
          <cell r="C108" t="str">
            <v>CUSTO DE PRODUCAO DO ACUCAR</v>
          </cell>
          <cell r="D108" t="str">
            <v>409930-CUSTO DE PRODUCAO DO ACUCAR</v>
          </cell>
          <cell r="E108">
            <v>10</v>
          </cell>
          <cell r="F108" t="str">
            <v>WILLIAN GUSTAVO OLIVEIRA</v>
          </cell>
          <cell r="G108" t="str">
            <v>INDUSTRIA</v>
          </cell>
          <cell r="H108" t="str">
            <v>COSTO PRODUCCIÓN CONTABLE</v>
          </cell>
          <cell r="I108" t="str">
            <v>IND</v>
          </cell>
          <cell r="J108" t="str">
            <v>-</v>
          </cell>
          <cell r="K108" t="str">
            <v>-</v>
          </cell>
          <cell r="L108" t="str">
            <v>** COSTO CONTABLE</v>
          </cell>
          <cell r="M108" t="str">
            <v>-</v>
          </cell>
        </row>
        <row r="109">
          <cell r="B109">
            <v>409940</v>
          </cell>
          <cell r="C109" t="str">
            <v>CUSTO DE PRODUCAO DO XAROPE</v>
          </cell>
          <cell r="D109" t="str">
            <v>409940-CUSTO DE PRODUCAO DO XAROPE</v>
          </cell>
          <cell r="E109">
            <v>10</v>
          </cell>
          <cell r="F109" t="str">
            <v>WILLIAN GUSTAVO OLIVEIRA</v>
          </cell>
          <cell r="G109" t="str">
            <v>INDUSTRIA</v>
          </cell>
          <cell r="H109" t="str">
            <v>COSTO PRODUCCIÓN CONTABLE</v>
          </cell>
          <cell r="I109" t="str">
            <v>IND</v>
          </cell>
          <cell r="J109" t="str">
            <v>-</v>
          </cell>
          <cell r="K109" t="str">
            <v>-</v>
          </cell>
          <cell r="L109" t="str">
            <v>** COSTO CONTABLE</v>
          </cell>
          <cell r="M109" t="str">
            <v>-</v>
          </cell>
        </row>
        <row r="110">
          <cell r="B110">
            <v>409950</v>
          </cell>
          <cell r="C110" t="str">
            <v>CUSTO DE PRODUCAO DE LEVEDURA</v>
          </cell>
          <cell r="D110" t="str">
            <v>409950-CUSTO DE PRODUCAO DE LEVEDURA</v>
          </cell>
          <cell r="E110">
            <v>10</v>
          </cell>
          <cell r="F110" t="str">
            <v>WILLIAN GUSTAVO OLIVEIRA</v>
          </cell>
          <cell r="G110" t="str">
            <v>INDUSTRIA</v>
          </cell>
          <cell r="H110" t="str">
            <v>COSTO PRODUCCIÓN CONTABLE</v>
          </cell>
          <cell r="I110" t="str">
            <v>IND</v>
          </cell>
          <cell r="J110" t="str">
            <v>-</v>
          </cell>
          <cell r="K110" t="str">
            <v>-</v>
          </cell>
          <cell r="L110" t="str">
            <v>** COSTO CONTABLE</v>
          </cell>
          <cell r="M110" t="str">
            <v>-</v>
          </cell>
        </row>
        <row r="111">
          <cell r="B111">
            <v>500101</v>
          </cell>
          <cell r="C111" t="str">
            <v>GERÊNCIA AGR CORPORATIVO</v>
          </cell>
          <cell r="D111" t="str">
            <v>500101-GERÊNCIA AGR CORPORATIVO</v>
          </cell>
          <cell r="E111">
            <v>20</v>
          </cell>
          <cell r="F111" t="str">
            <v>CASIMIRO DANIEL FLORES</v>
          </cell>
          <cell r="G111" t="str">
            <v>CAMPO</v>
          </cell>
          <cell r="H111" t="str">
            <v>ADMON CAMPO</v>
          </cell>
          <cell r="I111" t="str">
            <v>AGR</v>
          </cell>
          <cell r="J111" t="str">
            <v>-</v>
          </cell>
          <cell r="K111" t="str">
            <v>-</v>
          </cell>
          <cell r="L111" t="str">
            <v>-</v>
          </cell>
          <cell r="M111" t="str">
            <v>ADM AGR</v>
          </cell>
        </row>
        <row r="112">
          <cell r="B112">
            <v>500102</v>
          </cell>
          <cell r="C112" t="str">
            <v>GERÊNCIA AGRÍCOLA</v>
          </cell>
          <cell r="D112" t="str">
            <v>500102-GERÊNCIA AGRÍCOLA</v>
          </cell>
          <cell r="E112">
            <v>20</v>
          </cell>
          <cell r="F112" t="str">
            <v>CASIMIRO DANIEL FLORES</v>
          </cell>
          <cell r="G112" t="str">
            <v>CAMPO</v>
          </cell>
          <cell r="H112" t="str">
            <v>ADMON CAMPO</v>
          </cell>
          <cell r="I112" t="str">
            <v>AGR</v>
          </cell>
          <cell r="J112" t="str">
            <v>-</v>
          </cell>
          <cell r="K112" t="str">
            <v>-</v>
          </cell>
          <cell r="L112" t="str">
            <v>-</v>
          </cell>
          <cell r="M112" t="str">
            <v>ADM AGR</v>
          </cell>
        </row>
        <row r="113">
          <cell r="B113">
            <v>500202</v>
          </cell>
          <cell r="C113" t="str">
            <v>ADM INFORMAÇÕES AGRÍCOLAS</v>
          </cell>
          <cell r="D113" t="str">
            <v>500202-ADM INFORMAÇÕES AGRÍCOLAS</v>
          </cell>
          <cell r="E113">
            <v>20</v>
          </cell>
          <cell r="F113" t="str">
            <v>EVERTON PASSARINI</v>
          </cell>
          <cell r="G113" t="str">
            <v>CAMPO</v>
          </cell>
          <cell r="H113" t="str">
            <v>ADMON CAMPO</v>
          </cell>
          <cell r="I113" t="str">
            <v>AGR</v>
          </cell>
          <cell r="J113" t="str">
            <v>-</v>
          </cell>
          <cell r="K113" t="str">
            <v>-</v>
          </cell>
          <cell r="L113" t="str">
            <v>-</v>
          </cell>
          <cell r="M113" t="str">
            <v>ADM AGR</v>
          </cell>
        </row>
        <row r="114">
          <cell r="B114">
            <v>500206</v>
          </cell>
          <cell r="C114" t="str">
            <v>TOPOGRAFIA</v>
          </cell>
          <cell r="D114" t="str">
            <v>500206-TOPOGRAFIA</v>
          </cell>
          <cell r="E114">
            <v>20</v>
          </cell>
          <cell r="F114" t="str">
            <v>HILMER SANTIGO</v>
          </cell>
          <cell r="G114" t="str">
            <v>CAMPO</v>
          </cell>
          <cell r="H114" t="str">
            <v>ADMON CAMPO</v>
          </cell>
          <cell r="I114" t="str">
            <v>AGR</v>
          </cell>
          <cell r="J114" t="str">
            <v>-</v>
          </cell>
          <cell r="K114" t="str">
            <v>-</v>
          </cell>
          <cell r="L114" t="str">
            <v>-</v>
          </cell>
          <cell r="M114" t="str">
            <v>ADM AGR</v>
          </cell>
        </row>
        <row r="115">
          <cell r="B115">
            <v>500212</v>
          </cell>
          <cell r="C115" t="str">
            <v>ADM COLHEITA DE CANA</v>
          </cell>
          <cell r="D115" t="str">
            <v>500212-ADM COLHEITA DE CANA</v>
          </cell>
          <cell r="E115">
            <v>20</v>
          </cell>
          <cell r="F115" t="str">
            <v>MIGUEL GARCIA</v>
          </cell>
          <cell r="G115" t="str">
            <v>CAMPO</v>
          </cell>
          <cell r="H115" t="str">
            <v>ADMON CAMPO</v>
          </cell>
          <cell r="I115" t="str">
            <v>AGR</v>
          </cell>
          <cell r="J115" t="str">
            <v>-</v>
          </cell>
          <cell r="K115" t="str">
            <v>-</v>
          </cell>
          <cell r="L115" t="str">
            <v>-</v>
          </cell>
          <cell r="M115" t="str">
            <v>ADM AGR</v>
          </cell>
        </row>
        <row r="116">
          <cell r="B116">
            <v>500214</v>
          </cell>
          <cell r="C116" t="str">
            <v>ADM PRODUÇÃO AGRÍCOLA</v>
          </cell>
          <cell r="D116" t="str">
            <v>500214-ADM PRODUÇÃO AGRÍCOLA</v>
          </cell>
          <cell r="E116">
            <v>20</v>
          </cell>
          <cell r="F116" t="str">
            <v>HILMER SANTIGO</v>
          </cell>
          <cell r="G116" t="str">
            <v>CAMPO</v>
          </cell>
          <cell r="H116" t="str">
            <v>ADMON CAMPO</v>
          </cell>
          <cell r="I116" t="str">
            <v>AGR</v>
          </cell>
          <cell r="J116" t="str">
            <v>-</v>
          </cell>
          <cell r="K116" t="str">
            <v>-</v>
          </cell>
          <cell r="L116" t="str">
            <v>-</v>
          </cell>
          <cell r="M116" t="str">
            <v>ADM AGR</v>
          </cell>
        </row>
        <row r="117">
          <cell r="B117">
            <v>500220</v>
          </cell>
          <cell r="C117" t="str">
            <v>ADM PARCERIAS/FORN. AGR</v>
          </cell>
          <cell r="D117" t="str">
            <v>500220-ADM PARCERIAS/FORN. AGR</v>
          </cell>
          <cell r="E117">
            <v>20</v>
          </cell>
          <cell r="F117" t="str">
            <v>NELSON ESQUIVEL</v>
          </cell>
          <cell r="G117" t="str">
            <v>CAMPO</v>
          </cell>
          <cell r="H117" t="str">
            <v>ADMON CAMPO</v>
          </cell>
          <cell r="I117" t="str">
            <v>AGR</v>
          </cell>
          <cell r="J117" t="str">
            <v>-</v>
          </cell>
          <cell r="K117" t="str">
            <v>-</v>
          </cell>
          <cell r="L117" t="str">
            <v>-</v>
          </cell>
          <cell r="M117" t="str">
            <v>ADM AGR</v>
          </cell>
        </row>
        <row r="118">
          <cell r="B118">
            <v>500222</v>
          </cell>
          <cell r="C118" t="str">
            <v>CONTROLE DE TRÁFEGO (CENTRAL)</v>
          </cell>
          <cell r="D118" t="str">
            <v>500222-CONTROLE DE TRÁFEGO (CENTRAL)</v>
          </cell>
          <cell r="E118">
            <v>20</v>
          </cell>
          <cell r="F118" t="str">
            <v>MIGUEL GARCIA</v>
          </cell>
          <cell r="G118" t="str">
            <v>CAMPO</v>
          </cell>
          <cell r="H118" t="str">
            <v>ADMON CAMPO</v>
          </cell>
          <cell r="I118" t="str">
            <v>AGR</v>
          </cell>
          <cell r="J118" t="str">
            <v>-</v>
          </cell>
          <cell r="K118" t="str">
            <v>-</v>
          </cell>
          <cell r="L118" t="str">
            <v>-</v>
          </cell>
          <cell r="M118" t="str">
            <v>ADM AGR</v>
          </cell>
        </row>
        <row r="119">
          <cell r="B119">
            <v>500226</v>
          </cell>
          <cell r="C119" t="str">
            <v>ADM TECNOLOGIA AGRÍCOLA</v>
          </cell>
          <cell r="D119" t="str">
            <v>500226-ADM TECNOLOGIA AGRÍCOLA</v>
          </cell>
          <cell r="E119">
            <v>20</v>
          </cell>
          <cell r="F119" t="str">
            <v>CARLOS ARCE</v>
          </cell>
          <cell r="G119" t="str">
            <v>CAMPO</v>
          </cell>
          <cell r="H119" t="str">
            <v>ADMON CAMPO</v>
          </cell>
          <cell r="I119" t="str">
            <v>AGR</v>
          </cell>
          <cell r="J119" t="str">
            <v>-</v>
          </cell>
          <cell r="K119" t="str">
            <v>-</v>
          </cell>
          <cell r="L119" t="str">
            <v>-</v>
          </cell>
          <cell r="M119" t="str">
            <v>ADM AGR</v>
          </cell>
        </row>
        <row r="120">
          <cell r="B120">
            <v>500502</v>
          </cell>
          <cell r="C120" t="str">
            <v>ADM MANUTENÇÃO AUTOMOTIVA</v>
          </cell>
          <cell r="D120" t="str">
            <v>500502-ADM MANUTENÇÃO AUTOMOTIVA</v>
          </cell>
          <cell r="E120">
            <v>20</v>
          </cell>
          <cell r="F120" t="str">
            <v>GUSTAVO NAGUMO</v>
          </cell>
          <cell r="G120" t="str">
            <v>CAMPO</v>
          </cell>
          <cell r="H120" t="str">
            <v>ADMON CAMPO</v>
          </cell>
          <cell r="I120" t="str">
            <v>AGR</v>
          </cell>
          <cell r="J120" t="str">
            <v>-</v>
          </cell>
          <cell r="K120" t="str">
            <v>-</v>
          </cell>
          <cell r="L120" t="str">
            <v>-</v>
          </cell>
          <cell r="M120" t="str">
            <v>ADM AGR</v>
          </cell>
        </row>
        <row r="121">
          <cell r="B121">
            <v>500302</v>
          </cell>
          <cell r="C121" t="str">
            <v>MDO FISCAIS CAMPO</v>
          </cell>
          <cell r="D121" t="str">
            <v>500302-MDO FISCAIS CAMPO</v>
          </cell>
          <cell r="E121">
            <v>20</v>
          </cell>
          <cell r="F121" t="str">
            <v>HILMER SANTIGO</v>
          </cell>
          <cell r="G121" t="str">
            <v>CAMPO</v>
          </cell>
          <cell r="H121" t="str">
            <v>MANO OBRA OPERACIÓN</v>
          </cell>
          <cell r="I121" t="str">
            <v>AGR</v>
          </cell>
          <cell r="J121" t="str">
            <v>-</v>
          </cell>
          <cell r="K121" t="str">
            <v>-</v>
          </cell>
          <cell r="L121" t="str">
            <v>-</v>
          </cell>
          <cell r="M121" t="str">
            <v>AUXILIAR</v>
          </cell>
        </row>
        <row r="122">
          <cell r="B122">
            <v>500304</v>
          </cell>
          <cell r="C122" t="str">
            <v>MDO QUEIMA DE CANA</v>
          </cell>
          <cell r="D122" t="str">
            <v>500304-MDO QUEIMA DE CANA</v>
          </cell>
          <cell r="E122">
            <v>20</v>
          </cell>
          <cell r="F122" t="str">
            <v>MIGUEL GARCIA</v>
          </cell>
          <cell r="G122" t="str">
            <v>CAMPO</v>
          </cell>
          <cell r="H122" t="str">
            <v>MANO OBRA OPERACIÓN</v>
          </cell>
          <cell r="I122" t="str">
            <v>AGR</v>
          </cell>
          <cell r="J122" t="str">
            <v>-</v>
          </cell>
          <cell r="K122" t="str">
            <v>-</v>
          </cell>
          <cell r="L122" t="str">
            <v>-</v>
          </cell>
          <cell r="M122" t="str">
            <v>AUXILIAR</v>
          </cell>
        </row>
        <row r="123">
          <cell r="B123">
            <v>500404</v>
          </cell>
          <cell r="C123" t="str">
            <v>MDO FERTIRRIGAÇÃO</v>
          </cell>
          <cell r="D123" t="str">
            <v>500404-MDO FERTIRRIGAÇÃO</v>
          </cell>
          <cell r="E123">
            <v>20</v>
          </cell>
          <cell r="F123" t="str">
            <v>HILMER SANTIGO</v>
          </cell>
          <cell r="G123" t="str">
            <v>CAMPO</v>
          </cell>
          <cell r="H123" t="str">
            <v>MANO OBRA OPERACIÓN</v>
          </cell>
          <cell r="I123" t="str">
            <v>AGR</v>
          </cell>
          <cell r="J123" t="str">
            <v>-</v>
          </cell>
          <cell r="K123" t="str">
            <v>-</v>
          </cell>
          <cell r="L123" t="str">
            <v>-</v>
          </cell>
          <cell r="M123" t="str">
            <v>AUXILIAR</v>
          </cell>
        </row>
        <row r="124">
          <cell r="B124">
            <v>500702</v>
          </cell>
          <cell r="C124" t="str">
            <v>MOTORISTAS TRANSP CANA</v>
          </cell>
          <cell r="D124" t="str">
            <v>500702-MOTORISTAS TRANSP CANA</v>
          </cell>
          <cell r="E124">
            <v>20</v>
          </cell>
          <cell r="F124" t="str">
            <v>MIGUEL GARCIA</v>
          </cell>
          <cell r="G124" t="str">
            <v>CAMPO</v>
          </cell>
          <cell r="H124" t="str">
            <v>MANO OBRA OPERACIÓN</v>
          </cell>
          <cell r="I124" t="str">
            <v>AGR</v>
          </cell>
          <cell r="J124" t="str">
            <v>-</v>
          </cell>
          <cell r="K124" t="str">
            <v>-</v>
          </cell>
          <cell r="L124" t="str">
            <v>-</v>
          </cell>
          <cell r="M124" t="str">
            <v>AUXILIAR</v>
          </cell>
        </row>
        <row r="125">
          <cell r="B125">
            <v>500710</v>
          </cell>
          <cell r="C125" t="str">
            <v>OPERADORES DE COLHEDORAS</v>
          </cell>
          <cell r="D125" t="str">
            <v>500710-OPERADORES DE COLHEDORAS</v>
          </cell>
          <cell r="E125">
            <v>20</v>
          </cell>
          <cell r="F125" t="str">
            <v>MIGUEL GARCIA</v>
          </cell>
          <cell r="G125" t="str">
            <v>CAMPO</v>
          </cell>
          <cell r="H125" t="str">
            <v>MANO OBRA OPERACIÓN</v>
          </cell>
          <cell r="I125" t="str">
            <v>AGR</v>
          </cell>
          <cell r="J125" t="str">
            <v>-</v>
          </cell>
          <cell r="K125" t="str">
            <v>-</v>
          </cell>
          <cell r="L125" t="str">
            <v>-</v>
          </cell>
          <cell r="M125" t="str">
            <v>AUXILIAR</v>
          </cell>
        </row>
        <row r="126">
          <cell r="B126">
            <v>500712</v>
          </cell>
          <cell r="C126" t="str">
            <v>MOTORISTAS TRANSBORDO</v>
          </cell>
          <cell r="D126" t="str">
            <v>500712-MOTORISTAS TRANSBORDO</v>
          </cell>
          <cell r="E126">
            <v>20</v>
          </cell>
          <cell r="F126" t="str">
            <v>MIGUEL GARCIA</v>
          </cell>
          <cell r="G126" t="str">
            <v>CAMPO</v>
          </cell>
          <cell r="H126" t="str">
            <v>MANO OBRA OPERACIÓN</v>
          </cell>
          <cell r="I126" t="str">
            <v>AGR</v>
          </cell>
          <cell r="J126" t="str">
            <v>-</v>
          </cell>
          <cell r="K126" t="str">
            <v>-</v>
          </cell>
          <cell r="L126" t="str">
            <v>-</v>
          </cell>
          <cell r="M126" t="str">
            <v>AUXILIAR</v>
          </cell>
        </row>
        <row r="127">
          <cell r="B127">
            <v>500714</v>
          </cell>
          <cell r="C127" t="str">
            <v>MDO MOTO NIV/PA</v>
          </cell>
          <cell r="D127" t="str">
            <v>500714-MDO MOTO NIV/PA</v>
          </cell>
          <cell r="E127">
            <v>20</v>
          </cell>
          <cell r="F127" t="str">
            <v>HILMER SANTIGO</v>
          </cell>
          <cell r="G127" t="str">
            <v>CAMPO</v>
          </cell>
          <cell r="H127" t="str">
            <v>OPERACION AGRICOLA PRÓPRIO</v>
          </cell>
          <cell r="I127" t="str">
            <v>AGR</v>
          </cell>
          <cell r="J127" t="str">
            <v>-</v>
          </cell>
          <cell r="K127" t="str">
            <v>-</v>
          </cell>
          <cell r="L127" t="str">
            <v>-</v>
          </cell>
          <cell r="M127" t="str">
            <v>AUXILIAR</v>
          </cell>
        </row>
        <row r="128">
          <cell r="B128">
            <v>500718</v>
          </cell>
          <cell r="C128" t="str">
            <v>TRATORISTAS MAQ PESADAS</v>
          </cell>
          <cell r="D128" t="str">
            <v>500718-TRATORISTAS MAQ PESADAS</v>
          </cell>
          <cell r="E128">
            <v>20</v>
          </cell>
          <cell r="F128" t="str">
            <v>MIGUEL GARCIA</v>
          </cell>
          <cell r="G128" t="str">
            <v>CAMPO</v>
          </cell>
          <cell r="H128" t="str">
            <v>MANO OBRA OPERACIÓN</v>
          </cell>
          <cell r="I128" t="str">
            <v>AGR</v>
          </cell>
          <cell r="J128" t="str">
            <v>-</v>
          </cell>
          <cell r="K128" t="str">
            <v>-</v>
          </cell>
          <cell r="L128" t="str">
            <v>-</v>
          </cell>
          <cell r="M128" t="str">
            <v>AUXILIAR</v>
          </cell>
        </row>
        <row r="129">
          <cell r="B129">
            <v>500720</v>
          </cell>
          <cell r="C129" t="str">
            <v>MOTORISTA TRANSP DE APOIO</v>
          </cell>
          <cell r="D129" t="str">
            <v>500720-MOTORISTA TRANSP DE APOIO</v>
          </cell>
          <cell r="E129">
            <v>20</v>
          </cell>
          <cell r="F129" t="str">
            <v>MIGUEL GARCIA</v>
          </cell>
          <cell r="G129" t="str">
            <v>CAMPO</v>
          </cell>
          <cell r="H129" t="str">
            <v>MANO OBRA OPERACIÓN</v>
          </cell>
          <cell r="I129" t="str">
            <v>AGR</v>
          </cell>
          <cell r="J129" t="str">
            <v>-</v>
          </cell>
          <cell r="K129" t="str">
            <v>-</v>
          </cell>
          <cell r="L129" t="str">
            <v>-</v>
          </cell>
          <cell r="M129" t="str">
            <v>AUXILIAR</v>
          </cell>
        </row>
        <row r="130">
          <cell r="B130">
            <v>500722</v>
          </cell>
          <cell r="C130" t="str">
            <v>MDO LÍDERES/FISCAIS OPER</v>
          </cell>
          <cell r="D130" t="str">
            <v>500722-MDO LÍDERES/FISCAIS OPER</v>
          </cell>
          <cell r="E130">
            <v>20</v>
          </cell>
          <cell r="F130" t="str">
            <v>MIGUEL GARCIA</v>
          </cell>
          <cell r="G130" t="str">
            <v>CAMPO</v>
          </cell>
          <cell r="H130" t="str">
            <v>MANO OBRA OPERACIÓN</v>
          </cell>
          <cell r="I130" t="str">
            <v>AGR</v>
          </cell>
          <cell r="J130" t="str">
            <v>-</v>
          </cell>
          <cell r="K130" t="str">
            <v>-</v>
          </cell>
          <cell r="L130" t="str">
            <v>-</v>
          </cell>
          <cell r="M130" t="str">
            <v>AUXILIAR</v>
          </cell>
        </row>
        <row r="131">
          <cell r="B131">
            <v>500724</v>
          </cell>
          <cell r="C131" t="str">
            <v>AUXILIAR DE CNTRL QUALIDADE</v>
          </cell>
          <cell r="D131" t="str">
            <v>500724-AUXILIAR DE CNTRL QUALIDADE</v>
          </cell>
          <cell r="E131">
            <v>20</v>
          </cell>
          <cell r="F131" t="str">
            <v>CARLOS ARCE</v>
          </cell>
          <cell r="G131" t="str">
            <v>CAMPO</v>
          </cell>
          <cell r="H131" t="str">
            <v>MANO OBRA OPERACIÓN</v>
          </cell>
          <cell r="I131" t="str">
            <v>AGR</v>
          </cell>
          <cell r="J131" t="str">
            <v>-</v>
          </cell>
          <cell r="K131" t="str">
            <v>-</v>
          </cell>
          <cell r="L131" t="str">
            <v>-</v>
          </cell>
          <cell r="M131" t="str">
            <v>AUXILIAR</v>
          </cell>
        </row>
        <row r="132">
          <cell r="B132">
            <v>500726</v>
          </cell>
          <cell r="C132" t="str">
            <v>AUXILIARES AGRÍCOLAS</v>
          </cell>
          <cell r="D132" t="str">
            <v>500726-AUXILIARES AGRÍCOLAS</v>
          </cell>
          <cell r="E132">
            <v>20</v>
          </cell>
          <cell r="F132" t="str">
            <v>MIGUEL GARCIA</v>
          </cell>
          <cell r="G132" t="str">
            <v>CAMPO</v>
          </cell>
          <cell r="H132" t="str">
            <v>MANO OBRA OPERACIÓN</v>
          </cell>
          <cell r="I132" t="str">
            <v>AGR</v>
          </cell>
          <cell r="J132" t="str">
            <v>-</v>
          </cell>
          <cell r="K132" t="str">
            <v>-</v>
          </cell>
          <cell r="L132" t="str">
            <v>-</v>
          </cell>
          <cell r="M132" t="str">
            <v>AUXILIAR</v>
          </cell>
        </row>
        <row r="133">
          <cell r="B133">
            <v>500728</v>
          </cell>
          <cell r="C133" t="str">
            <v>AUXILIARES AGRONOMIA</v>
          </cell>
          <cell r="D133" t="str">
            <v>500728-AUXILIARES AGRONOMIA</v>
          </cell>
          <cell r="E133">
            <v>20</v>
          </cell>
          <cell r="F133" t="str">
            <v>CARLOS ARCE</v>
          </cell>
          <cell r="G133" t="str">
            <v>CAMPO</v>
          </cell>
          <cell r="H133" t="str">
            <v>MANO OBRA OPERACIÓN</v>
          </cell>
          <cell r="I133" t="str">
            <v>AGR</v>
          </cell>
          <cell r="J133" t="str">
            <v>-</v>
          </cell>
          <cell r="K133" t="str">
            <v>-</v>
          </cell>
          <cell r="L133" t="str">
            <v>-</v>
          </cell>
          <cell r="M133" t="str">
            <v>AUXILIAR</v>
          </cell>
        </row>
        <row r="134">
          <cell r="B134">
            <v>500308</v>
          </cell>
          <cell r="C134" t="str">
            <v>MDO CATAÇÃO QUÍMICA</v>
          </cell>
          <cell r="D134" t="str">
            <v>500308-MDO CATAÇÃO QUÍMICA</v>
          </cell>
          <cell r="E134">
            <v>20</v>
          </cell>
          <cell r="F134" t="str">
            <v>HILMER SANTIGO</v>
          </cell>
          <cell r="G134" t="str">
            <v>CAMPO</v>
          </cell>
          <cell r="H134" t="str">
            <v>MANO OBRA RURAIS</v>
          </cell>
          <cell r="I134" t="str">
            <v>AGR</v>
          </cell>
          <cell r="J134" t="str">
            <v>-</v>
          </cell>
          <cell r="K134" t="str">
            <v>-</v>
          </cell>
          <cell r="L134" t="str">
            <v>-</v>
          </cell>
          <cell r="M134" t="str">
            <v>AUXILIAR</v>
          </cell>
        </row>
        <row r="135">
          <cell r="B135">
            <v>500310</v>
          </cell>
          <cell r="C135" t="str">
            <v>MDO RURÍCOLAS - REGIONAIS</v>
          </cell>
          <cell r="D135" t="str">
            <v>500310-MDO RURÍCOLAS - REGIONAIS</v>
          </cell>
          <cell r="E135">
            <v>20</v>
          </cell>
          <cell r="F135" t="str">
            <v>HILMER SANTIGO</v>
          </cell>
          <cell r="G135" t="str">
            <v>CAMPO</v>
          </cell>
          <cell r="H135" t="str">
            <v>MANO OBRA RURAIS</v>
          </cell>
          <cell r="I135" t="str">
            <v>AGR</v>
          </cell>
          <cell r="J135" t="str">
            <v>-</v>
          </cell>
          <cell r="K135" t="str">
            <v>-</v>
          </cell>
          <cell r="L135" t="str">
            <v>-</v>
          </cell>
          <cell r="M135" t="str">
            <v>AUXILIAR</v>
          </cell>
        </row>
        <row r="136">
          <cell r="B136">
            <v>500314</v>
          </cell>
          <cell r="C136" t="str">
            <v>MDO RURICULAS - MIGRANTES</v>
          </cell>
          <cell r="D136" t="str">
            <v>500314-MDO RURICULAS - MIGRANTES</v>
          </cell>
          <cell r="E136">
            <v>20</v>
          </cell>
          <cell r="F136" t="str">
            <v>HILMER SANTIGO</v>
          </cell>
          <cell r="G136" t="str">
            <v>CAMPO</v>
          </cell>
          <cell r="H136" t="str">
            <v>MANO OBRA RURAIS</v>
          </cell>
          <cell r="I136" t="str">
            <v>AGR</v>
          </cell>
          <cell r="J136" t="str">
            <v>-</v>
          </cell>
          <cell r="K136" t="str">
            <v>-</v>
          </cell>
          <cell r="L136" t="str">
            <v>-</v>
          </cell>
          <cell r="M136" t="str">
            <v>AUXILIAR</v>
          </cell>
        </row>
        <row r="137">
          <cell r="B137">
            <v>500506</v>
          </cell>
          <cell r="C137" t="str">
            <v>LUBRIFICADORES</v>
          </cell>
          <cell r="D137" t="str">
            <v>500506-LUBRIFICADORES</v>
          </cell>
          <cell r="E137">
            <v>20</v>
          </cell>
          <cell r="F137" t="str">
            <v>GUSTAVO NAGUMO</v>
          </cell>
          <cell r="G137" t="str">
            <v>CAMPO</v>
          </cell>
          <cell r="H137" t="str">
            <v>MANO OBRA OFICINA</v>
          </cell>
          <cell r="I137" t="str">
            <v>AGR</v>
          </cell>
          <cell r="J137" t="str">
            <v>-</v>
          </cell>
          <cell r="K137" t="str">
            <v>-</v>
          </cell>
          <cell r="L137" t="str">
            <v>-</v>
          </cell>
          <cell r="M137" t="str">
            <v>AUXILIAR</v>
          </cell>
        </row>
        <row r="138">
          <cell r="B138">
            <v>500508</v>
          </cell>
          <cell r="C138" t="str">
            <v>ELETRICISTA</v>
          </cell>
          <cell r="D138" t="str">
            <v>500508-ELETRICISTA</v>
          </cell>
          <cell r="E138">
            <v>20</v>
          </cell>
          <cell r="F138" t="str">
            <v>GUSTAVO NAGUMO</v>
          </cell>
          <cell r="G138" t="str">
            <v>CAMPO</v>
          </cell>
          <cell r="H138" t="str">
            <v>MANO OBRA OFICINA</v>
          </cell>
          <cell r="I138" t="str">
            <v>AGR</v>
          </cell>
          <cell r="J138" t="str">
            <v>-</v>
          </cell>
          <cell r="K138" t="str">
            <v>-</v>
          </cell>
          <cell r="L138" t="str">
            <v>-</v>
          </cell>
          <cell r="M138" t="str">
            <v>AUXILIAR</v>
          </cell>
        </row>
        <row r="139">
          <cell r="B139">
            <v>500510</v>
          </cell>
          <cell r="C139" t="str">
            <v>SOLDADOR</v>
          </cell>
          <cell r="D139" t="str">
            <v>500510-SOLDADOR</v>
          </cell>
          <cell r="E139">
            <v>20</v>
          </cell>
          <cell r="F139" t="str">
            <v>GUSTAVO NAGUMO</v>
          </cell>
          <cell r="G139" t="str">
            <v>CAMPO</v>
          </cell>
          <cell r="H139" t="str">
            <v>MANO OBRA OFICINA</v>
          </cell>
          <cell r="I139" t="str">
            <v>AGR</v>
          </cell>
          <cell r="J139" t="str">
            <v>-</v>
          </cell>
          <cell r="K139" t="str">
            <v>-</v>
          </cell>
          <cell r="L139" t="str">
            <v>-</v>
          </cell>
          <cell r="M139" t="str">
            <v>AUXILIAR</v>
          </cell>
        </row>
        <row r="140">
          <cell r="B140">
            <v>500512</v>
          </cell>
          <cell r="C140" t="str">
            <v>MECÂNICOS</v>
          </cell>
          <cell r="D140" t="str">
            <v>500512-MECÂNICOS</v>
          </cell>
          <cell r="E140">
            <v>20</v>
          </cell>
          <cell r="F140" t="str">
            <v>GUSTAVO NAGUMO</v>
          </cell>
          <cell r="G140" t="str">
            <v>CAMPO</v>
          </cell>
          <cell r="H140" t="str">
            <v>MANO OBRA OFICINA</v>
          </cell>
          <cell r="I140" t="str">
            <v>AGR</v>
          </cell>
          <cell r="J140" t="str">
            <v>-</v>
          </cell>
          <cell r="K140" t="str">
            <v>-</v>
          </cell>
          <cell r="L140" t="str">
            <v>-</v>
          </cell>
          <cell r="M140" t="str">
            <v>AUXILIAR</v>
          </cell>
        </row>
        <row r="141">
          <cell r="B141">
            <v>500516</v>
          </cell>
          <cell r="C141" t="str">
            <v>BORRACHEIRO</v>
          </cell>
          <cell r="D141" t="str">
            <v>500516-BORRACHEIRO</v>
          </cell>
          <cell r="E141">
            <v>20</v>
          </cell>
          <cell r="F141" t="str">
            <v>GUSTAVO NAGUMO</v>
          </cell>
          <cell r="G141" t="str">
            <v>CAMPO</v>
          </cell>
          <cell r="H141" t="str">
            <v>MANO OBRA OFICINA</v>
          </cell>
          <cell r="I141" t="str">
            <v>AGR</v>
          </cell>
          <cell r="J141" t="str">
            <v>-</v>
          </cell>
          <cell r="K141" t="str">
            <v>-</v>
          </cell>
          <cell r="L141" t="str">
            <v>-</v>
          </cell>
          <cell r="M141" t="str">
            <v>AUXILIAR</v>
          </cell>
        </row>
        <row r="142">
          <cell r="B142">
            <v>702008</v>
          </cell>
          <cell r="C142" t="str">
            <v>AP08 TR Ag 76-100 HP 4WD</v>
          </cell>
          <cell r="D142" t="str">
            <v>702008-AP08 TR Ag 76-100 HP 4WD</v>
          </cell>
          <cell r="E142">
            <v>20</v>
          </cell>
          <cell r="F142" t="str">
            <v>GUSTAVO NAGUMO</v>
          </cell>
          <cell r="G142" t="str">
            <v>CAMPO</v>
          </cell>
          <cell r="H142" t="str">
            <v>EQUIPOS PROPIOS</v>
          </cell>
          <cell r="I142" t="str">
            <v>AGR</v>
          </cell>
          <cell r="J142" t="str">
            <v>-</v>
          </cell>
          <cell r="K142" t="str">
            <v>-</v>
          </cell>
          <cell r="L142" t="str">
            <v>-</v>
          </cell>
          <cell r="M142" t="str">
            <v>AUXILIAR</v>
          </cell>
        </row>
        <row r="143">
          <cell r="B143">
            <v>702019</v>
          </cell>
          <cell r="C143" t="str">
            <v>AP19 TR MI 151-175 HP 4WD</v>
          </cell>
          <cell r="D143" t="str">
            <v>702019-AP19 TR MI 151-175 HP 4WD</v>
          </cell>
          <cell r="E143">
            <v>20</v>
          </cell>
          <cell r="F143" t="str">
            <v>GUSTAVO NAGUMO</v>
          </cell>
          <cell r="G143" t="str">
            <v>CAMPO</v>
          </cell>
          <cell r="H143" t="str">
            <v>EQUIPOS PROPIOS</v>
          </cell>
          <cell r="I143" t="str">
            <v>AGR</v>
          </cell>
          <cell r="J143" t="str">
            <v>-</v>
          </cell>
          <cell r="K143" t="str">
            <v>-</v>
          </cell>
          <cell r="L143" t="str">
            <v>-</v>
          </cell>
          <cell r="M143" t="str">
            <v>AUXILIAR</v>
          </cell>
        </row>
        <row r="144">
          <cell r="B144">
            <v>702021</v>
          </cell>
          <cell r="C144" t="str">
            <v>AP21 TR AG 176-200 HP 4WD</v>
          </cell>
          <cell r="D144" t="str">
            <v>702021-AP21 TR AG 176-200 HP 4WD</v>
          </cell>
          <cell r="E144">
            <v>20</v>
          </cell>
          <cell r="F144" t="str">
            <v>GUSTAVO NAGUMO</v>
          </cell>
          <cell r="G144" t="str">
            <v>CAMPO</v>
          </cell>
          <cell r="H144" t="str">
            <v>EQUIPOS PROPIOS</v>
          </cell>
          <cell r="I144" t="str">
            <v>AGR</v>
          </cell>
          <cell r="J144" t="str">
            <v>-</v>
          </cell>
          <cell r="K144" t="str">
            <v>-</v>
          </cell>
          <cell r="L144" t="str">
            <v>-</v>
          </cell>
          <cell r="M144" t="str">
            <v>AUXILIAR</v>
          </cell>
        </row>
        <row r="145">
          <cell r="B145">
            <v>702024</v>
          </cell>
          <cell r="C145" t="str">
            <v>AP24 TR AG 201-225 HP 4WD</v>
          </cell>
          <cell r="D145" t="str">
            <v>702024-AP24 TR AG 201-225 HP 4WD</v>
          </cell>
          <cell r="E145">
            <v>20</v>
          </cell>
          <cell r="F145" t="str">
            <v>GUSTAVO NAGUMO</v>
          </cell>
          <cell r="G145" t="str">
            <v>CAMPO</v>
          </cell>
          <cell r="H145" t="str">
            <v>EQUIPOS PROPIOS</v>
          </cell>
          <cell r="I145" t="str">
            <v>AGR</v>
          </cell>
          <cell r="J145" t="str">
            <v>-</v>
          </cell>
          <cell r="K145" t="str">
            <v>-</v>
          </cell>
          <cell r="L145" t="str">
            <v>-</v>
          </cell>
          <cell r="M145" t="str">
            <v>AUXILIAR</v>
          </cell>
        </row>
        <row r="146">
          <cell r="B146">
            <v>702034</v>
          </cell>
          <cell r="C146" t="str">
            <v>AP34 TR AG &gt; 300 HP 4WD</v>
          </cell>
          <cell r="D146" t="str">
            <v>702034-AP34 TR AG &gt; 300 HP 4WD</v>
          </cell>
          <cell r="E146">
            <v>20</v>
          </cell>
          <cell r="F146" t="str">
            <v>GUSTAVO NAGUMO</v>
          </cell>
          <cell r="G146" t="str">
            <v>CAMPO</v>
          </cell>
          <cell r="H146" t="str">
            <v>EQUIPOS PROPIOS</v>
          </cell>
          <cell r="I146" t="str">
            <v>AGR</v>
          </cell>
          <cell r="J146" t="str">
            <v>-</v>
          </cell>
          <cell r="K146" t="str">
            <v>-</v>
          </cell>
          <cell r="L146" t="str">
            <v>-</v>
          </cell>
          <cell r="M146" t="str">
            <v>AUXILIAR</v>
          </cell>
        </row>
        <row r="147">
          <cell r="B147">
            <v>702035</v>
          </cell>
          <cell r="C147" t="str">
            <v>BP01 COLHEDORA ESTEIRA</v>
          </cell>
          <cell r="D147" t="str">
            <v>702035-BP01 COLHEDORA ESTEIRA</v>
          </cell>
          <cell r="E147">
            <v>20</v>
          </cell>
          <cell r="F147" t="str">
            <v>GUSTAVO NAGUMO</v>
          </cell>
          <cell r="G147" t="str">
            <v>CAMPO</v>
          </cell>
          <cell r="H147" t="str">
            <v>EQUIPOS PROPIOS</v>
          </cell>
          <cell r="I147" t="str">
            <v>AGR</v>
          </cell>
          <cell r="J147" t="str">
            <v>-</v>
          </cell>
          <cell r="K147" t="str">
            <v>-</v>
          </cell>
          <cell r="L147" t="str">
            <v>-</v>
          </cell>
          <cell r="M147" t="str">
            <v>AUXILIAR</v>
          </cell>
        </row>
        <row r="148">
          <cell r="B148">
            <v>702037</v>
          </cell>
          <cell r="C148" t="str">
            <v>BP01 COLHEDORA ESTEIRA (MUDA)</v>
          </cell>
          <cell r="D148" t="str">
            <v>702037-BP01 COLHEDORA ESTEIRA (MUDA)</v>
          </cell>
          <cell r="E148">
            <v>20</v>
          </cell>
          <cell r="F148" t="str">
            <v>GUSTAVO NAGUMO</v>
          </cell>
          <cell r="G148" t="str">
            <v>CAMPO</v>
          </cell>
          <cell r="H148" t="str">
            <v>EQUIPOS PROPIOS</v>
          </cell>
          <cell r="I148" t="str">
            <v>AGR</v>
          </cell>
          <cell r="J148" t="str">
            <v>-</v>
          </cell>
          <cell r="K148" t="str">
            <v>-</v>
          </cell>
          <cell r="L148" t="str">
            <v>-</v>
          </cell>
          <cell r="M148" t="str">
            <v>AUXILIAR</v>
          </cell>
        </row>
        <row r="149">
          <cell r="B149">
            <v>702044</v>
          </cell>
          <cell r="C149" t="str">
            <v>DP04 MT DIESEL &gt; 150 HP</v>
          </cell>
          <cell r="D149" t="str">
            <v>702044-DP04 MT DIESEL &gt; 150 HP</v>
          </cell>
          <cell r="E149">
            <v>20</v>
          </cell>
          <cell r="F149" t="str">
            <v>GUSTAVO NAGUMO</v>
          </cell>
          <cell r="G149" t="str">
            <v>CAMPO</v>
          </cell>
          <cell r="H149" t="str">
            <v>EQUIPOS PROPIOS</v>
          </cell>
          <cell r="I149" t="str">
            <v>AGR</v>
          </cell>
          <cell r="J149" t="str">
            <v>-</v>
          </cell>
          <cell r="K149" t="str">
            <v>-</v>
          </cell>
          <cell r="L149" t="str">
            <v>-</v>
          </cell>
          <cell r="M149" t="str">
            <v>AUXILIAR</v>
          </cell>
        </row>
        <row r="150">
          <cell r="B150">
            <v>702045</v>
          </cell>
          <cell r="C150" t="str">
            <v>DP05 MT ASPERSÃO ESTACI</v>
          </cell>
          <cell r="D150" t="str">
            <v>702045-DP05 MT ASPERSÃO ESTACI</v>
          </cell>
          <cell r="E150">
            <v>20</v>
          </cell>
          <cell r="F150" t="str">
            <v>GUSTAVO NAGUMO</v>
          </cell>
          <cell r="G150" t="str">
            <v>CAMPO</v>
          </cell>
          <cell r="H150" t="str">
            <v>EQUIPOS PROPIOS</v>
          </cell>
          <cell r="I150" t="str">
            <v>AGR</v>
          </cell>
          <cell r="J150" t="str">
            <v>-</v>
          </cell>
          <cell r="K150" t="str">
            <v>-</v>
          </cell>
          <cell r="L150" t="str">
            <v>-</v>
          </cell>
          <cell r="M150" t="str">
            <v>AUXILIAR</v>
          </cell>
        </row>
        <row r="151">
          <cell r="B151">
            <v>702049</v>
          </cell>
          <cell r="C151" t="str">
            <v>EQUIPTO IRRIGAÇÃO FIXA</v>
          </cell>
          <cell r="D151" t="str">
            <v>702049-EQUIPTO IRRIGAÇÃO FIXA</v>
          </cell>
          <cell r="E151">
            <v>20</v>
          </cell>
          <cell r="F151" t="str">
            <v>GUSTAVO NAGUMO</v>
          </cell>
          <cell r="G151" t="str">
            <v>CAMPO</v>
          </cell>
          <cell r="H151" t="str">
            <v>EQUIPOS PROPIOS</v>
          </cell>
          <cell r="I151" t="str">
            <v>AGR</v>
          </cell>
          <cell r="J151" t="str">
            <v>-</v>
          </cell>
          <cell r="K151" t="str">
            <v>-</v>
          </cell>
          <cell r="L151" t="str">
            <v>-</v>
          </cell>
          <cell r="M151" t="str">
            <v>AUXILIAR</v>
          </cell>
        </row>
        <row r="152">
          <cell r="B152">
            <v>702053</v>
          </cell>
          <cell r="C152" t="str">
            <v>DP13 CONJUNTO IRRIGAÇÃO</v>
          </cell>
          <cell r="D152" t="str">
            <v>702053-DP13 CONJUNTO IRRIGAÇÃO</v>
          </cell>
          <cell r="E152">
            <v>20</v>
          </cell>
          <cell r="F152" t="str">
            <v>GUSTAVO NAGUMO</v>
          </cell>
          <cell r="G152" t="str">
            <v>CAMPO</v>
          </cell>
          <cell r="H152" t="str">
            <v>EQUIPOS PROPIOS</v>
          </cell>
          <cell r="I152" t="str">
            <v>AGR</v>
          </cell>
          <cell r="J152" t="str">
            <v>-</v>
          </cell>
          <cell r="K152" t="str">
            <v>-</v>
          </cell>
          <cell r="L152" t="str">
            <v>-</v>
          </cell>
          <cell r="M152" t="str">
            <v>AUXILIAR</v>
          </cell>
        </row>
        <row r="153">
          <cell r="B153">
            <v>702059</v>
          </cell>
          <cell r="C153" t="str">
            <v>EP06 CA 11000-20000 KG 4WD</v>
          </cell>
          <cell r="D153" t="str">
            <v>702059-EP06 CA 11000-20000 KG 4WD</v>
          </cell>
          <cell r="E153">
            <v>20</v>
          </cell>
          <cell r="F153" t="str">
            <v>GUSTAVO NAGUMO</v>
          </cell>
          <cell r="G153" t="str">
            <v>CAMPO</v>
          </cell>
          <cell r="H153" t="str">
            <v>EQUIPOS PROPIOS</v>
          </cell>
          <cell r="I153" t="str">
            <v>AGR</v>
          </cell>
          <cell r="J153" t="str">
            <v>-</v>
          </cell>
          <cell r="K153" t="str">
            <v>-</v>
          </cell>
          <cell r="L153" t="str">
            <v>-</v>
          </cell>
          <cell r="M153" t="str">
            <v>AUXILIAR</v>
          </cell>
        </row>
        <row r="154">
          <cell r="B154">
            <v>702063</v>
          </cell>
          <cell r="C154" t="str">
            <v>EP10CAMINHÃO BOMBEIRO 4X6</v>
          </cell>
          <cell r="D154" t="str">
            <v>702063-EP10CAMINHÃO BOMBEIRO 4X6</v>
          </cell>
          <cell r="E154">
            <v>20</v>
          </cell>
          <cell r="F154" t="str">
            <v>GUSTAVO NAGUMO</v>
          </cell>
          <cell r="G154" t="str">
            <v>CAMPO</v>
          </cell>
          <cell r="H154" t="str">
            <v>EQUIPOS PROPIOS</v>
          </cell>
          <cell r="I154" t="str">
            <v>AGR</v>
          </cell>
          <cell r="J154" t="str">
            <v>-</v>
          </cell>
          <cell r="K154" t="str">
            <v>-</v>
          </cell>
          <cell r="L154" t="str">
            <v>-</v>
          </cell>
          <cell r="M154" t="str">
            <v>AUXILIAR</v>
          </cell>
        </row>
        <row r="155">
          <cell r="B155">
            <v>702065</v>
          </cell>
          <cell r="C155" t="str">
            <v>EP12 CAMINHÃO COMBOIO</v>
          </cell>
          <cell r="D155" t="str">
            <v>702065-EP12 CAMINHÃO COMBOIO</v>
          </cell>
          <cell r="E155">
            <v>20</v>
          </cell>
          <cell r="F155" t="str">
            <v>GUSTAVO NAGUMO</v>
          </cell>
          <cell r="G155" t="str">
            <v>CAMPO</v>
          </cell>
          <cell r="H155" t="str">
            <v>EQUIPOS PROPIOS</v>
          </cell>
          <cell r="I155" t="str">
            <v>AGR</v>
          </cell>
          <cell r="J155" t="str">
            <v>-</v>
          </cell>
          <cell r="K155" t="str">
            <v>-</v>
          </cell>
          <cell r="L155" t="str">
            <v>-</v>
          </cell>
          <cell r="M155" t="str">
            <v>AUXILIAR</v>
          </cell>
        </row>
        <row r="156">
          <cell r="B156">
            <v>702067</v>
          </cell>
          <cell r="C156" t="str">
            <v>EP14 CAMINHÃO BORRACHARIA</v>
          </cell>
          <cell r="D156" t="str">
            <v>702067-EP14 CAMINHÃO BORRACHARIA</v>
          </cell>
          <cell r="E156">
            <v>20</v>
          </cell>
          <cell r="F156" t="str">
            <v>GUSTAVO NAGUMO</v>
          </cell>
          <cell r="G156" t="str">
            <v>CAMPO</v>
          </cell>
          <cell r="H156" t="str">
            <v>EQUIPOS PROPIOS</v>
          </cell>
          <cell r="I156" t="str">
            <v>AGR</v>
          </cell>
          <cell r="J156" t="str">
            <v>-</v>
          </cell>
          <cell r="K156" t="str">
            <v>-</v>
          </cell>
          <cell r="L156" t="str">
            <v>-</v>
          </cell>
          <cell r="M156" t="str">
            <v>AUXILIAR</v>
          </cell>
        </row>
        <row r="157">
          <cell r="B157">
            <v>702068</v>
          </cell>
          <cell r="C157" t="str">
            <v>EP15 CAMINHÃO OFICINA</v>
          </cell>
          <cell r="D157" t="str">
            <v>702068-EP15 CAMINHÃO OFICINA</v>
          </cell>
          <cell r="E157">
            <v>20</v>
          </cell>
          <cell r="F157" t="str">
            <v>GUSTAVO NAGUMO</v>
          </cell>
          <cell r="G157" t="str">
            <v>CAMPO</v>
          </cell>
          <cell r="H157" t="str">
            <v>EQUIPOS PROPIOS</v>
          </cell>
          <cell r="I157" t="str">
            <v>AGR</v>
          </cell>
          <cell r="J157" t="str">
            <v>-</v>
          </cell>
          <cell r="K157" t="str">
            <v>-</v>
          </cell>
          <cell r="L157" t="str">
            <v>-</v>
          </cell>
          <cell r="M157" t="str">
            <v>AUXILIAR</v>
          </cell>
        </row>
        <row r="158">
          <cell r="B158">
            <v>702070</v>
          </cell>
          <cell r="C158" t="str">
            <v>FP02 CB CANA 91K-135K KG</v>
          </cell>
          <cell r="D158" t="str">
            <v>702070-FP02 CB CANA 91K-135K KG</v>
          </cell>
          <cell r="E158">
            <v>20</v>
          </cell>
          <cell r="F158" t="str">
            <v>GUSTAVO NAGUMO</v>
          </cell>
          <cell r="G158" t="str">
            <v>CAMPO</v>
          </cell>
          <cell r="H158" t="str">
            <v>EQUIPOS PROPIOS</v>
          </cell>
          <cell r="I158" t="str">
            <v>AGR</v>
          </cell>
          <cell r="J158" t="str">
            <v>-</v>
          </cell>
          <cell r="K158" t="str">
            <v>-</v>
          </cell>
          <cell r="L158" t="str">
            <v>-</v>
          </cell>
          <cell r="M158" t="str">
            <v>AUXILIAR</v>
          </cell>
        </row>
        <row r="159">
          <cell r="B159">
            <v>702078</v>
          </cell>
          <cell r="C159" t="str">
            <v>GP04 FURGÓN</v>
          </cell>
          <cell r="D159" t="str">
            <v>702078-GP04 FURGÓN</v>
          </cell>
          <cell r="E159">
            <v>20</v>
          </cell>
          <cell r="F159" t="str">
            <v>GUSTAVO NAGUMO</v>
          </cell>
          <cell r="G159" t="str">
            <v>CAMPO</v>
          </cell>
          <cell r="H159" t="str">
            <v>EQUIPOS PROPIOS</v>
          </cell>
          <cell r="I159" t="str">
            <v>AGR</v>
          </cell>
          <cell r="J159" t="str">
            <v>-</v>
          </cell>
          <cell r="K159" t="str">
            <v>-</v>
          </cell>
          <cell r="L159" t="str">
            <v>-</v>
          </cell>
          <cell r="M159" t="str">
            <v>AUXILIAR</v>
          </cell>
        </row>
        <row r="160">
          <cell r="B160">
            <v>702079</v>
          </cell>
          <cell r="C160" t="str">
            <v>GP05 SEMI-REBOQUE PRANCHA</v>
          </cell>
          <cell r="D160" t="str">
            <v>702079-GP05 SEMI-REBOQUE PRANCHA</v>
          </cell>
          <cell r="E160">
            <v>20</v>
          </cell>
          <cell r="F160" t="str">
            <v>GUSTAVO NAGUMO</v>
          </cell>
          <cell r="G160" t="str">
            <v>CAMPO</v>
          </cell>
          <cell r="H160" t="str">
            <v>EQUIPOS PROPIOS</v>
          </cell>
          <cell r="I160" t="str">
            <v>AGR</v>
          </cell>
          <cell r="J160" t="str">
            <v>-</v>
          </cell>
          <cell r="K160" t="str">
            <v>-</v>
          </cell>
          <cell r="L160" t="str">
            <v>-</v>
          </cell>
          <cell r="M160" t="str">
            <v>AUXILIAR</v>
          </cell>
        </row>
        <row r="161">
          <cell r="B161">
            <v>702085</v>
          </cell>
          <cell r="C161" t="str">
            <v>GP11 CARRETON MOV VARIOS</v>
          </cell>
          <cell r="D161" t="str">
            <v>702085-GP11 CARRETON MOV VARIOS</v>
          </cell>
          <cell r="E161">
            <v>20</v>
          </cell>
          <cell r="F161" t="str">
            <v>GUSTAVO NAGUMO</v>
          </cell>
          <cell r="G161" t="str">
            <v>CAMPO</v>
          </cell>
          <cell r="H161" t="str">
            <v>EQUIPOS PROPIOS</v>
          </cell>
          <cell r="I161" t="str">
            <v>AGR</v>
          </cell>
          <cell r="J161" t="str">
            <v>-</v>
          </cell>
          <cell r="K161" t="str">
            <v>-</v>
          </cell>
          <cell r="L161" t="str">
            <v>-</v>
          </cell>
          <cell r="M161" t="str">
            <v>AUXILIAR</v>
          </cell>
        </row>
        <row r="162">
          <cell r="B162">
            <v>702086</v>
          </cell>
          <cell r="C162" t="str">
            <v>GP12 CARRETA EQUIPTO IRRI</v>
          </cell>
          <cell r="D162" t="str">
            <v>702086-GP12 CARRETA EQUIPTO IRRI</v>
          </cell>
          <cell r="E162">
            <v>20</v>
          </cell>
          <cell r="F162" t="str">
            <v>GUSTAVO NAGUMO</v>
          </cell>
          <cell r="G162" t="str">
            <v>CAMPO</v>
          </cell>
          <cell r="H162" t="str">
            <v>EQUIPOS PROPIOS</v>
          </cell>
          <cell r="I162" t="str">
            <v>AGR</v>
          </cell>
          <cell r="J162" t="str">
            <v>-</v>
          </cell>
          <cell r="K162" t="str">
            <v>-</v>
          </cell>
          <cell r="L162" t="str">
            <v>-</v>
          </cell>
          <cell r="M162" t="str">
            <v>AUXILIAR</v>
          </cell>
        </row>
        <row r="163">
          <cell r="B163">
            <v>702090</v>
          </cell>
          <cell r="C163" t="str">
            <v>GP16 TANQUE 1.890-6.500 LTS</v>
          </cell>
          <cell r="D163" t="str">
            <v>702090-GP16 TANQUE 1.890-6.500 LTS</v>
          </cell>
          <cell r="E163">
            <v>20</v>
          </cell>
          <cell r="F163" t="str">
            <v>GUSTAVO NAGUMO</v>
          </cell>
          <cell r="G163" t="str">
            <v>CAMPO</v>
          </cell>
          <cell r="H163" t="str">
            <v>EQUIPOS PROPIOS</v>
          </cell>
          <cell r="I163" t="str">
            <v>AGR</v>
          </cell>
          <cell r="J163" t="str">
            <v>-</v>
          </cell>
          <cell r="K163" t="str">
            <v>-</v>
          </cell>
          <cell r="L163" t="str">
            <v>-</v>
          </cell>
          <cell r="M163" t="str">
            <v>AUXILIAR</v>
          </cell>
        </row>
        <row r="164">
          <cell r="B164">
            <v>702092</v>
          </cell>
          <cell r="C164" t="str">
            <v>GP18 TANQUE &gt; 11.350 LTS</v>
          </cell>
          <cell r="D164" t="str">
            <v>702092-GP18 TANQUE &gt; 11.350 LTS</v>
          </cell>
          <cell r="E164">
            <v>20</v>
          </cell>
          <cell r="F164" t="str">
            <v>GUSTAVO NAGUMO</v>
          </cell>
          <cell r="G164" t="str">
            <v>CAMPO</v>
          </cell>
          <cell r="H164" t="str">
            <v>EQUIPOS PROPIOS</v>
          </cell>
          <cell r="I164" t="str">
            <v>AGR</v>
          </cell>
          <cell r="J164" t="str">
            <v>-</v>
          </cell>
          <cell r="K164" t="str">
            <v>-</v>
          </cell>
          <cell r="L164" t="str">
            <v>-</v>
          </cell>
          <cell r="M164" t="str">
            <v>AUXILIAR</v>
          </cell>
        </row>
        <row r="165">
          <cell r="B165">
            <v>702095</v>
          </cell>
          <cell r="C165" t="str">
            <v>HP 02 CARRETA DE CANA MEC</v>
          </cell>
          <cell r="D165" t="str">
            <v>702095-HP 02 CARRETA DE CANA MEC</v>
          </cell>
          <cell r="E165">
            <v>20</v>
          </cell>
          <cell r="F165" t="str">
            <v>GUSTAVO NAGUMO</v>
          </cell>
          <cell r="G165" t="str">
            <v>CAMPO</v>
          </cell>
          <cell r="H165" t="str">
            <v>EQUIPOS PROPIOS</v>
          </cell>
          <cell r="I165" t="str">
            <v>AGR</v>
          </cell>
          <cell r="J165" t="str">
            <v>-</v>
          </cell>
          <cell r="K165" t="str">
            <v>-</v>
          </cell>
          <cell r="L165" t="str">
            <v>-</v>
          </cell>
          <cell r="M165" t="str">
            <v>AUXILIAR</v>
          </cell>
        </row>
        <row r="166">
          <cell r="B166">
            <v>702096</v>
          </cell>
          <cell r="C166" t="str">
            <v>HP 03 CARRETA TRANSBORDO</v>
          </cell>
          <cell r="D166" t="str">
            <v>702096-HP 03 CARRETA TRANSBORDO</v>
          </cell>
          <cell r="E166">
            <v>20</v>
          </cell>
          <cell r="F166" t="str">
            <v>GUSTAVO NAGUMO</v>
          </cell>
          <cell r="G166" t="str">
            <v>CAMPO</v>
          </cell>
          <cell r="H166" t="str">
            <v>EQUIPOS PROPIOS</v>
          </cell>
          <cell r="I166" t="str">
            <v>AGR</v>
          </cell>
          <cell r="J166" t="str">
            <v>-</v>
          </cell>
          <cell r="K166" t="str">
            <v>-</v>
          </cell>
          <cell r="L166" t="str">
            <v>-</v>
          </cell>
          <cell r="M166" t="str">
            <v>AUXILIAR</v>
          </cell>
        </row>
        <row r="167">
          <cell r="B167">
            <v>702098</v>
          </cell>
          <cell r="C167" t="str">
            <v>HP05 DOLLY</v>
          </cell>
          <cell r="D167" t="str">
            <v>702098-HP05 DOLLY</v>
          </cell>
          <cell r="E167">
            <v>20</v>
          </cell>
          <cell r="F167" t="str">
            <v>GUSTAVO NAGUMO</v>
          </cell>
          <cell r="G167" t="str">
            <v>CAMPO</v>
          </cell>
          <cell r="H167" t="str">
            <v>EQUIPOS PROPIOS</v>
          </cell>
          <cell r="I167" t="str">
            <v>AGR</v>
          </cell>
          <cell r="J167" t="str">
            <v>-</v>
          </cell>
          <cell r="K167" t="str">
            <v>-</v>
          </cell>
          <cell r="L167" t="str">
            <v>-</v>
          </cell>
          <cell r="M167" t="str">
            <v>AUXILIAR</v>
          </cell>
        </row>
        <row r="168">
          <cell r="B168">
            <v>702117</v>
          </cell>
          <cell r="C168" t="str">
            <v>KP18 MICRO ONIBUS 4 CILIN</v>
          </cell>
          <cell r="D168" t="str">
            <v>702117-KP18 MICRO ONIBUS 4 CILIN</v>
          </cell>
          <cell r="E168">
            <v>20</v>
          </cell>
          <cell r="F168" t="str">
            <v>GUSTAVO NAGUMO</v>
          </cell>
          <cell r="G168" t="str">
            <v>CAMPO</v>
          </cell>
          <cell r="H168" t="str">
            <v>EQUIPOS PROPIOS</v>
          </cell>
          <cell r="I168" t="str">
            <v>AGR</v>
          </cell>
          <cell r="J168" t="str">
            <v>-</v>
          </cell>
          <cell r="K168" t="str">
            <v>-</v>
          </cell>
          <cell r="L168" t="str">
            <v>-</v>
          </cell>
          <cell r="M168" t="str">
            <v>AUXILIAR</v>
          </cell>
        </row>
        <row r="169">
          <cell r="B169">
            <v>702118</v>
          </cell>
          <cell r="C169" t="str">
            <v>KP19 VEIC COMBUS FLEX</v>
          </cell>
          <cell r="D169" t="str">
            <v>702118-KP19 VEIC COMBUS FLEX</v>
          </cell>
          <cell r="E169">
            <v>20</v>
          </cell>
          <cell r="F169" t="str">
            <v>GUSTAVO NAGUMO</v>
          </cell>
          <cell r="G169" t="str">
            <v>CAMPO</v>
          </cell>
          <cell r="H169" t="str">
            <v>EQUIPOS PROPIOS</v>
          </cell>
          <cell r="I169" t="str">
            <v>AGR</v>
          </cell>
          <cell r="J169" t="str">
            <v>-</v>
          </cell>
          <cell r="K169" t="str">
            <v>-</v>
          </cell>
          <cell r="L169" t="str">
            <v>-</v>
          </cell>
          <cell r="M169" t="str">
            <v>AUXILIAR</v>
          </cell>
        </row>
        <row r="170">
          <cell r="B170">
            <v>702119</v>
          </cell>
          <cell r="C170" t="str">
            <v>KP20 PU 4 CIL FLEX 4WD</v>
          </cell>
          <cell r="D170" t="str">
            <v>702119-KP20 PU 4 CIL FLEX 4WD</v>
          </cell>
          <cell r="E170">
            <v>20</v>
          </cell>
          <cell r="F170" t="str">
            <v>GUSTAVO NAGUMO</v>
          </cell>
          <cell r="G170" t="str">
            <v>CAMPO</v>
          </cell>
          <cell r="H170" t="str">
            <v>EQUIPOS PROPIOS</v>
          </cell>
          <cell r="I170" t="str">
            <v>AGR</v>
          </cell>
          <cell r="J170" t="str">
            <v>-</v>
          </cell>
          <cell r="K170" t="str">
            <v>-</v>
          </cell>
          <cell r="L170" t="str">
            <v>-</v>
          </cell>
          <cell r="M170" t="str">
            <v>AUXILIAR</v>
          </cell>
        </row>
        <row r="171">
          <cell r="B171">
            <v>702120</v>
          </cell>
          <cell r="C171" t="str">
            <v>KP21 SUV 6 CIL FLEX 4WD</v>
          </cell>
          <cell r="D171" t="str">
            <v>702120-KP21 SUV 6 CIL FLEX 4WD</v>
          </cell>
          <cell r="E171">
            <v>20</v>
          </cell>
          <cell r="F171" t="str">
            <v>GUSTAVO NAGUMO</v>
          </cell>
          <cell r="G171" t="str">
            <v>CAMPO</v>
          </cell>
          <cell r="H171" t="str">
            <v>EQUIPOS PROPIOS</v>
          </cell>
          <cell r="I171" t="str">
            <v>AGR</v>
          </cell>
          <cell r="J171" t="str">
            <v>-</v>
          </cell>
          <cell r="K171" t="str">
            <v>-</v>
          </cell>
          <cell r="L171" t="str">
            <v>-</v>
          </cell>
          <cell r="M171" t="str">
            <v>AUXILIAR</v>
          </cell>
        </row>
        <row r="172">
          <cell r="B172">
            <v>702125</v>
          </cell>
          <cell r="C172" t="str">
            <v>LP05 GRUA 0-10000 KG</v>
          </cell>
          <cell r="D172" t="str">
            <v>702125-LP05 GRUA 0-10000 KG</v>
          </cell>
          <cell r="E172">
            <v>20</v>
          </cell>
          <cell r="F172" t="str">
            <v>GUSTAVO NAGUMO</v>
          </cell>
          <cell r="G172" t="str">
            <v>CAMPO</v>
          </cell>
          <cell r="H172" t="str">
            <v>EQUIPOS PROPIOS</v>
          </cell>
          <cell r="I172" t="str">
            <v>AGR</v>
          </cell>
          <cell r="J172" t="str">
            <v>-</v>
          </cell>
          <cell r="K172" t="str">
            <v>-</v>
          </cell>
          <cell r="L172" t="str">
            <v>-</v>
          </cell>
          <cell r="M172" t="str">
            <v>AUXILIAR</v>
          </cell>
        </row>
        <row r="173">
          <cell r="B173">
            <v>702129</v>
          </cell>
          <cell r="C173" t="str">
            <v>LP09 MOTONIVELA 125-200HP</v>
          </cell>
          <cell r="D173" t="str">
            <v>702129-LP09 MOTONIVELA 125-200HP</v>
          </cell>
          <cell r="E173">
            <v>20</v>
          </cell>
          <cell r="F173" t="str">
            <v>GUSTAVO NAGUMO</v>
          </cell>
          <cell r="G173" t="str">
            <v>CAMPO</v>
          </cell>
          <cell r="H173" t="str">
            <v>EQUIPOS PROPIOS</v>
          </cell>
          <cell r="I173" t="str">
            <v>AGR</v>
          </cell>
          <cell r="J173" t="str">
            <v>-</v>
          </cell>
          <cell r="K173" t="str">
            <v>-</v>
          </cell>
          <cell r="L173" t="str">
            <v>-</v>
          </cell>
          <cell r="M173" t="str">
            <v>AUXILIAR</v>
          </cell>
        </row>
        <row r="174">
          <cell r="B174">
            <v>702151</v>
          </cell>
          <cell r="C174" t="str">
            <v>MP04 MOTOSERRA</v>
          </cell>
          <cell r="D174" t="str">
            <v>702151-MP04 MOTOSERRA</v>
          </cell>
          <cell r="E174">
            <v>20</v>
          </cell>
          <cell r="F174" t="str">
            <v>GUSTAVO NAGUMO</v>
          </cell>
          <cell r="G174" t="str">
            <v>CAMPO</v>
          </cell>
          <cell r="H174" t="str">
            <v>EQUIPOS PROPIOS</v>
          </cell>
          <cell r="I174" t="str">
            <v>AGR</v>
          </cell>
          <cell r="J174" t="str">
            <v>-</v>
          </cell>
          <cell r="K174" t="str">
            <v>-</v>
          </cell>
          <cell r="L174" t="str">
            <v>-</v>
          </cell>
          <cell r="M174" t="str">
            <v>AUXILIAR</v>
          </cell>
        </row>
        <row r="175">
          <cell r="B175">
            <v>702160</v>
          </cell>
          <cell r="C175" t="str">
            <v>NP01 PULVERIZADOR</v>
          </cell>
          <cell r="D175" t="str">
            <v>702160-NP01 PULVERIZADOR</v>
          </cell>
          <cell r="E175">
            <v>20</v>
          </cell>
          <cell r="F175" t="str">
            <v>GUSTAVO NAGUMO</v>
          </cell>
          <cell r="G175" t="str">
            <v>CAMPO</v>
          </cell>
          <cell r="H175" t="str">
            <v>EQUIPOS PROPIOS</v>
          </cell>
          <cell r="I175" t="str">
            <v>AGR</v>
          </cell>
          <cell r="J175" t="str">
            <v>-</v>
          </cell>
          <cell r="K175" t="str">
            <v>-</v>
          </cell>
          <cell r="L175" t="str">
            <v>-</v>
          </cell>
          <cell r="M175" t="str">
            <v>AUXILIAR</v>
          </cell>
        </row>
        <row r="176">
          <cell r="B176">
            <v>702161</v>
          </cell>
          <cell r="C176" t="str">
            <v xml:space="preserve">NP02 ESCARIFICADOR   </v>
          </cell>
          <cell r="D176" t="str">
            <v xml:space="preserve">702161-NP02 ESCARIFICADOR   </v>
          </cell>
          <cell r="E176">
            <v>20</v>
          </cell>
          <cell r="F176" t="str">
            <v>GUSTAVO NAGUMO</v>
          </cell>
          <cell r="G176" t="str">
            <v>CAMPO</v>
          </cell>
          <cell r="H176" t="str">
            <v>EQUIPOS PROPIOS</v>
          </cell>
          <cell r="I176" t="str">
            <v>AGR</v>
          </cell>
          <cell r="J176" t="str">
            <v>-</v>
          </cell>
          <cell r="K176" t="str">
            <v>-</v>
          </cell>
          <cell r="L176" t="str">
            <v>-</v>
          </cell>
          <cell r="M176" t="str">
            <v>AUXILIAR</v>
          </cell>
        </row>
        <row r="177">
          <cell r="B177">
            <v>702164</v>
          </cell>
          <cell r="C177" t="str">
            <v>NP05 CULTIVADOR GRAN</v>
          </cell>
          <cell r="D177" t="str">
            <v>702164-NP05 CULTIVADOR GRAN</v>
          </cell>
          <cell r="E177">
            <v>20</v>
          </cell>
          <cell r="F177" t="str">
            <v>GUSTAVO NAGUMO</v>
          </cell>
          <cell r="G177" t="str">
            <v>CAMPO</v>
          </cell>
          <cell r="H177" t="str">
            <v>EQUIPOS PROPIOS</v>
          </cell>
          <cell r="I177" t="str">
            <v>AGR</v>
          </cell>
          <cell r="J177" t="str">
            <v>-</v>
          </cell>
          <cell r="K177" t="str">
            <v>-</v>
          </cell>
          <cell r="L177" t="str">
            <v>-</v>
          </cell>
          <cell r="M177" t="str">
            <v>AUXILIAR</v>
          </cell>
        </row>
        <row r="178">
          <cell r="B178">
            <v>702168</v>
          </cell>
          <cell r="C178" t="str">
            <v>NP09 CHAPEADORA 1-4 CPOS</v>
          </cell>
          <cell r="D178" t="str">
            <v>702168-NP09 CHAPEADORA 1-4 CPOS</v>
          </cell>
          <cell r="E178">
            <v>20</v>
          </cell>
          <cell r="F178" t="str">
            <v>GUSTAVO NAGUMO</v>
          </cell>
          <cell r="G178" t="str">
            <v>CAMPO</v>
          </cell>
          <cell r="H178" t="str">
            <v>EQUIPOS PROPIOS</v>
          </cell>
          <cell r="I178" t="str">
            <v>AGR</v>
          </cell>
          <cell r="J178" t="str">
            <v>-</v>
          </cell>
          <cell r="K178" t="str">
            <v>-</v>
          </cell>
          <cell r="M178" t="str">
            <v>AUXILIAR</v>
          </cell>
        </row>
        <row r="179">
          <cell r="B179">
            <v>702170</v>
          </cell>
          <cell r="C179" t="str">
            <v>NP11 ARADO</v>
          </cell>
          <cell r="D179" t="str">
            <v>702170-NP11 ARADO</v>
          </cell>
          <cell r="E179">
            <v>20</v>
          </cell>
          <cell r="F179" t="str">
            <v>GUSTAVO NAGUMO</v>
          </cell>
          <cell r="G179" t="str">
            <v>CAMPO</v>
          </cell>
          <cell r="H179" t="str">
            <v>EQUIPOS PROPIOS</v>
          </cell>
          <cell r="I179" t="str">
            <v>AGR</v>
          </cell>
          <cell r="J179" t="str">
            <v>-</v>
          </cell>
          <cell r="K179" t="str">
            <v>-</v>
          </cell>
          <cell r="L179" t="str">
            <v>-</v>
          </cell>
          <cell r="M179" t="str">
            <v>AUXILIAR</v>
          </cell>
        </row>
        <row r="180">
          <cell r="B180">
            <v>702171</v>
          </cell>
          <cell r="C180" t="str">
            <v>NP12 SUBSOLADOR</v>
          </cell>
          <cell r="D180" t="str">
            <v>702171-NP12 SUBSOLADOR</v>
          </cell>
          <cell r="E180">
            <v>20</v>
          </cell>
          <cell r="F180" t="str">
            <v>GUSTAVO NAGUMO</v>
          </cell>
          <cell r="G180" t="str">
            <v>CAMPO</v>
          </cell>
          <cell r="H180" t="str">
            <v>EQUIPOS PROPIOS</v>
          </cell>
          <cell r="I180" t="str">
            <v>AGR</v>
          </cell>
          <cell r="J180" t="str">
            <v>-</v>
          </cell>
          <cell r="K180" t="str">
            <v>-</v>
          </cell>
          <cell r="L180" t="str">
            <v>-</v>
          </cell>
          <cell r="M180" t="str">
            <v>AUXILIAR</v>
          </cell>
        </row>
        <row r="181">
          <cell r="B181">
            <v>702172</v>
          </cell>
          <cell r="C181" t="str">
            <v>NP13 GRADE MEDIA E PESADA</v>
          </cell>
          <cell r="D181" t="str">
            <v>702172-NP13 GRADE MEDIA E PESADA</v>
          </cell>
          <cell r="E181">
            <v>20</v>
          </cell>
          <cell r="F181" t="str">
            <v>GUSTAVO NAGUMO</v>
          </cell>
          <cell r="G181" t="str">
            <v>CAMPO</v>
          </cell>
          <cell r="H181" t="str">
            <v>EQUIPOS PROPIOS</v>
          </cell>
          <cell r="I181" t="str">
            <v>AGR</v>
          </cell>
          <cell r="J181" t="str">
            <v>-</v>
          </cell>
          <cell r="K181" t="str">
            <v>-</v>
          </cell>
          <cell r="L181" t="str">
            <v>-</v>
          </cell>
          <cell r="M181" t="str">
            <v>AUXILIAR</v>
          </cell>
        </row>
        <row r="182">
          <cell r="B182">
            <v>702174</v>
          </cell>
          <cell r="C182" t="str">
            <v>NP15 SULCADOR</v>
          </cell>
          <cell r="D182" t="str">
            <v>702174-NP15 SULCADOR</v>
          </cell>
          <cell r="E182">
            <v>20</v>
          </cell>
          <cell r="F182" t="str">
            <v>GUSTAVO NAGUMO</v>
          </cell>
          <cell r="G182" t="str">
            <v>CAMPO</v>
          </cell>
          <cell r="H182" t="str">
            <v>EQUIPOS PROPIOS</v>
          </cell>
          <cell r="I182" t="str">
            <v>AGR</v>
          </cell>
          <cell r="J182" t="str">
            <v>-</v>
          </cell>
          <cell r="K182" t="str">
            <v>-</v>
          </cell>
          <cell r="L182" t="str">
            <v>-</v>
          </cell>
          <cell r="M182" t="str">
            <v>AUXILIAR</v>
          </cell>
        </row>
        <row r="183">
          <cell r="B183">
            <v>702178</v>
          </cell>
          <cell r="C183" t="str">
            <v>NP19 GRADES LEVES</v>
          </cell>
          <cell r="D183" t="str">
            <v>702178-NP19 GRADES LEVES</v>
          </cell>
          <cell r="E183">
            <v>20</v>
          </cell>
          <cell r="F183" t="str">
            <v>GUSTAVO NAGUMO</v>
          </cell>
          <cell r="G183" t="str">
            <v>CAMPO</v>
          </cell>
          <cell r="H183" t="str">
            <v>EQUIPOS PROPIOS</v>
          </cell>
          <cell r="I183" t="str">
            <v>AGR</v>
          </cell>
          <cell r="J183" t="str">
            <v>-</v>
          </cell>
          <cell r="K183" t="str">
            <v>-</v>
          </cell>
          <cell r="L183" t="str">
            <v>-</v>
          </cell>
          <cell r="M183" t="str">
            <v>AUXILIAR</v>
          </cell>
        </row>
        <row r="184">
          <cell r="B184">
            <v>702179</v>
          </cell>
          <cell r="C184" t="str">
            <v>NP20 COBRIDOR CANA</v>
          </cell>
          <cell r="D184" t="str">
            <v>702179-NP20 COBRIDOR CANA</v>
          </cell>
          <cell r="E184">
            <v>20</v>
          </cell>
          <cell r="F184" t="str">
            <v>GUSTAVO NAGUMO</v>
          </cell>
          <cell r="G184" t="str">
            <v>CAMPO</v>
          </cell>
          <cell r="H184" t="str">
            <v>EQUIPOS PROPIOS</v>
          </cell>
          <cell r="I184" t="str">
            <v>AGR</v>
          </cell>
          <cell r="J184" t="str">
            <v>-</v>
          </cell>
          <cell r="K184" t="str">
            <v>-</v>
          </cell>
          <cell r="L184" t="str">
            <v>-</v>
          </cell>
          <cell r="M184" t="str">
            <v>AUXILIAR</v>
          </cell>
        </row>
        <row r="185">
          <cell r="B185">
            <v>702180</v>
          </cell>
          <cell r="C185" t="str">
            <v>NP21 DISTRIB DE CANA</v>
          </cell>
          <cell r="D185" t="str">
            <v>702180-NP21 DISTRIB DE CANA</v>
          </cell>
          <cell r="E185">
            <v>20</v>
          </cell>
          <cell r="F185" t="str">
            <v>GUSTAVO NAGUMO</v>
          </cell>
          <cell r="G185" t="str">
            <v>CAMPO</v>
          </cell>
          <cell r="H185" t="str">
            <v>EQUIPOS PROPIOS</v>
          </cell>
          <cell r="I185" t="str">
            <v>AGR</v>
          </cell>
          <cell r="J185" t="str">
            <v>-</v>
          </cell>
          <cell r="K185" t="str">
            <v>-</v>
          </cell>
          <cell r="L185" t="str">
            <v>-</v>
          </cell>
          <cell r="M185" t="str">
            <v>AUXILIAR</v>
          </cell>
        </row>
        <row r="186">
          <cell r="B186">
            <v>702187</v>
          </cell>
          <cell r="C186" t="str">
            <v>NP27 COMPOSTADOR</v>
          </cell>
          <cell r="D186" t="str">
            <v>702187-NP27 COMPOSTADOR</v>
          </cell>
          <cell r="E186">
            <v>20</v>
          </cell>
          <cell r="F186" t="str">
            <v>GUSTAVO NAGUMO</v>
          </cell>
          <cell r="G186" t="str">
            <v>CAMPO</v>
          </cell>
          <cell r="H186" t="str">
            <v>EQUIPOS PROPIOS</v>
          </cell>
          <cell r="I186" t="str">
            <v>AGR</v>
          </cell>
          <cell r="J186" t="str">
            <v>-</v>
          </cell>
          <cell r="K186" t="str">
            <v>-</v>
          </cell>
          <cell r="L186" t="str">
            <v>-</v>
          </cell>
          <cell r="M186" t="str">
            <v>AUXILIAR</v>
          </cell>
        </row>
        <row r="187">
          <cell r="B187">
            <v>702188</v>
          </cell>
          <cell r="C187" t="str">
            <v>NP29 ENLEIRADOR DE PALHA</v>
          </cell>
          <cell r="D187" t="str">
            <v>702188-NP29 ENLEIRADOR DE PALHA</v>
          </cell>
          <cell r="E187">
            <v>20</v>
          </cell>
          <cell r="F187" t="str">
            <v>GUSTAVO NAGUMO</v>
          </cell>
          <cell r="G187" t="str">
            <v>CAMPO</v>
          </cell>
          <cell r="H187" t="str">
            <v>EQUIPOS PROPIOS</v>
          </cell>
          <cell r="I187" t="str">
            <v>AGR</v>
          </cell>
          <cell r="J187" t="str">
            <v>-</v>
          </cell>
          <cell r="K187" t="str">
            <v>-</v>
          </cell>
          <cell r="L187" t="str">
            <v>-</v>
          </cell>
          <cell r="M187" t="str">
            <v>AUXILIAR</v>
          </cell>
        </row>
        <row r="188">
          <cell r="B188">
            <v>702189</v>
          </cell>
          <cell r="C188" t="str">
            <v>NP30 DISTRIBUIDORA DE SEMENTES</v>
          </cell>
          <cell r="D188" t="str">
            <v>712189-NP30 DISTRIBUIDORA DE SEMENTES</v>
          </cell>
          <cell r="E188">
            <v>20</v>
          </cell>
          <cell r="F188" t="str">
            <v>GUSTAVO NAGUMO</v>
          </cell>
          <cell r="G188" t="str">
            <v>CAMPO</v>
          </cell>
          <cell r="H188" t="str">
            <v>EQUIPOS PROPIOS</v>
          </cell>
          <cell r="I188" t="str">
            <v>AGR</v>
          </cell>
          <cell r="J188" t="str">
            <v>-</v>
          </cell>
          <cell r="K188" t="str">
            <v>-</v>
          </cell>
          <cell r="L188" t="str">
            <v>-</v>
          </cell>
          <cell r="M188" t="str">
            <v>AUXILIAR</v>
          </cell>
        </row>
        <row r="189">
          <cell r="B189">
            <v>703006</v>
          </cell>
          <cell r="C189" t="str">
            <v>AR06 TR AG 51-75 HP 4WD</v>
          </cell>
          <cell r="D189" t="str">
            <v>703006-AR06 TR AG 51-75 HP 4WD</v>
          </cell>
          <cell r="E189">
            <v>20</v>
          </cell>
          <cell r="F189" t="str">
            <v>GUSTAVO NAGUMO</v>
          </cell>
          <cell r="G189" t="str">
            <v>CAMPO</v>
          </cell>
          <cell r="H189" t="str">
            <v>EQUIPOS ALQUILADOS</v>
          </cell>
          <cell r="I189" t="str">
            <v>AGR</v>
          </cell>
          <cell r="J189" t="str">
            <v>-</v>
          </cell>
          <cell r="K189" t="str">
            <v>-</v>
          </cell>
          <cell r="L189" t="str">
            <v>-</v>
          </cell>
          <cell r="M189" t="str">
            <v>AUXILIAR</v>
          </cell>
        </row>
        <row r="190">
          <cell r="B190">
            <v>703008</v>
          </cell>
          <cell r="C190" t="str">
            <v>AR08 TR Ag 76-100 HP 4WD</v>
          </cell>
          <cell r="D190" t="str">
            <v>703008-AR08 TR Ag 76-100 HP 4WD</v>
          </cell>
          <cell r="E190">
            <v>20</v>
          </cell>
          <cell r="F190" t="str">
            <v>GUSTAVO NAGUMO</v>
          </cell>
          <cell r="G190" t="str">
            <v>CAMPO</v>
          </cell>
          <cell r="H190" t="str">
            <v>EQUIPOS ALQUILADOS</v>
          </cell>
          <cell r="I190" t="str">
            <v>AGR</v>
          </cell>
          <cell r="J190" t="str">
            <v>-</v>
          </cell>
          <cell r="K190" t="str">
            <v>-</v>
          </cell>
          <cell r="L190" t="str">
            <v>-</v>
          </cell>
          <cell r="M190" t="str">
            <v>AUXILIAR</v>
          </cell>
        </row>
        <row r="191">
          <cell r="B191">
            <v>703010</v>
          </cell>
          <cell r="C191" t="str">
            <v>AR10 TR Ag 101-125 HP 4WD</v>
          </cell>
          <cell r="D191" t="str">
            <v>703010-AR10 TR Ag 101-125 HP 4WD</v>
          </cell>
          <cell r="E191">
            <v>20</v>
          </cell>
          <cell r="F191" t="str">
            <v>GUSTAVO NAGUMO</v>
          </cell>
          <cell r="G191" t="str">
            <v>CAMPO</v>
          </cell>
          <cell r="H191" t="str">
            <v>EQUIPOS ALQUILADOS</v>
          </cell>
          <cell r="I191" t="str">
            <v>AGR</v>
          </cell>
          <cell r="J191" t="str">
            <v>-</v>
          </cell>
          <cell r="K191" t="str">
            <v>-</v>
          </cell>
          <cell r="L191" t="str">
            <v>-</v>
          </cell>
          <cell r="M191" t="str">
            <v>AUXILIAR</v>
          </cell>
        </row>
        <row r="192">
          <cell r="B192">
            <v>703015</v>
          </cell>
          <cell r="C192" t="str">
            <v>AR15 TR MI 126-150 HP 4WD</v>
          </cell>
          <cell r="D192" t="str">
            <v>703015-AR15 TR MI 126-150 HP 4WD</v>
          </cell>
          <cell r="E192">
            <v>20</v>
          </cell>
          <cell r="F192" t="str">
            <v>GUSTAVO NAGUMO</v>
          </cell>
          <cell r="G192" t="str">
            <v>CAMPO</v>
          </cell>
          <cell r="H192" t="str">
            <v>EQUIPOS ALQUILADOS</v>
          </cell>
          <cell r="I192" t="str">
            <v>AGR</v>
          </cell>
          <cell r="J192" t="str">
            <v>-</v>
          </cell>
          <cell r="K192" t="str">
            <v>-</v>
          </cell>
          <cell r="L192" t="str">
            <v>-</v>
          </cell>
          <cell r="M192" t="str">
            <v>AUXILIAR</v>
          </cell>
        </row>
        <row r="193">
          <cell r="B193">
            <v>703019</v>
          </cell>
          <cell r="C193" t="str">
            <v>AR19 TR MI 151-175 HP 4WD</v>
          </cell>
          <cell r="D193" t="str">
            <v>703019-AR19 TR MI 151-175 HP 4WD</v>
          </cell>
          <cell r="E193">
            <v>20</v>
          </cell>
          <cell r="F193" t="str">
            <v>GUSTAVO NAGUMO</v>
          </cell>
          <cell r="G193" t="str">
            <v>CAMPO</v>
          </cell>
          <cell r="H193" t="str">
            <v>EQUIPOS ALQUILADOS</v>
          </cell>
          <cell r="I193" t="str">
            <v>AGR</v>
          </cell>
          <cell r="J193" t="str">
            <v>-</v>
          </cell>
          <cell r="K193" t="str">
            <v>-</v>
          </cell>
          <cell r="L193" t="str">
            <v>-</v>
          </cell>
          <cell r="M193" t="str">
            <v>AUXILIAR</v>
          </cell>
        </row>
        <row r="194">
          <cell r="B194">
            <v>703022</v>
          </cell>
          <cell r="C194" t="str">
            <v>AR22 TR MI 176-200 HP 4WD</v>
          </cell>
          <cell r="D194" t="str">
            <v>703022-AR22 TR MI 176-200 HP 4WD</v>
          </cell>
          <cell r="E194">
            <v>20</v>
          </cell>
          <cell r="F194" t="str">
            <v>GUSTAVO NAGUMO</v>
          </cell>
          <cell r="G194" t="str">
            <v>CAMPO</v>
          </cell>
          <cell r="H194" t="str">
            <v>EQUIPOS ALQUILADOS</v>
          </cell>
          <cell r="I194" t="str">
            <v>AGR</v>
          </cell>
          <cell r="J194" t="str">
            <v>-</v>
          </cell>
          <cell r="K194" t="str">
            <v>-</v>
          </cell>
          <cell r="L194" t="str">
            <v>-</v>
          </cell>
          <cell r="M194" t="str">
            <v>AUXILIAR</v>
          </cell>
        </row>
        <row r="195">
          <cell r="B195">
            <v>703024</v>
          </cell>
          <cell r="C195" t="str">
            <v>AR24 TR AG 201-225 HP 4WD</v>
          </cell>
          <cell r="D195" t="str">
            <v>703024-AR24 TR AG 201-225 HP 4WD</v>
          </cell>
          <cell r="E195">
            <v>20</v>
          </cell>
          <cell r="F195" t="str">
            <v>GUSTAVO NAGUMO</v>
          </cell>
          <cell r="G195" t="str">
            <v>CAMPO</v>
          </cell>
          <cell r="H195" t="str">
            <v>EQUIPOS ALQUILADOS</v>
          </cell>
          <cell r="I195" t="str">
            <v>AGR</v>
          </cell>
          <cell r="J195" t="str">
            <v>-</v>
          </cell>
          <cell r="K195" t="str">
            <v>-</v>
          </cell>
          <cell r="L195" t="str">
            <v>-</v>
          </cell>
          <cell r="M195" t="str">
            <v>AUXILIAR</v>
          </cell>
        </row>
        <row r="196">
          <cell r="B196">
            <v>703035</v>
          </cell>
          <cell r="C196" t="str">
            <v>BR01 COLHEDORA ESTEIRA</v>
          </cell>
          <cell r="D196" t="str">
            <v>703035-BR01 COLHEDORA ESTEIRA</v>
          </cell>
          <cell r="E196">
            <v>20</v>
          </cell>
          <cell r="F196" t="str">
            <v>GUSTAVO NAGUMO</v>
          </cell>
          <cell r="G196" t="str">
            <v>CAMPO</v>
          </cell>
          <cell r="H196" t="str">
            <v>EQUIPOS ALQUILADOS</v>
          </cell>
          <cell r="I196" t="str">
            <v>AGR</v>
          </cell>
          <cell r="J196" t="str">
            <v>-</v>
          </cell>
          <cell r="K196" t="str">
            <v>-</v>
          </cell>
          <cell r="L196" t="str">
            <v>-</v>
          </cell>
          <cell r="M196" t="str">
            <v>AUXILIAR</v>
          </cell>
        </row>
        <row r="197">
          <cell r="B197">
            <v>703063</v>
          </cell>
          <cell r="C197" t="str">
            <v>ER10CAMINHÃO BOMBEIRO 4x6</v>
          </cell>
          <cell r="D197" t="str">
            <v>703063-ER10CAMINHÃO BOMBEIRO 4x6</v>
          </cell>
          <cell r="E197">
            <v>20</v>
          </cell>
          <cell r="F197" t="str">
            <v>GUSTAVO NAGUMO</v>
          </cell>
          <cell r="G197" t="str">
            <v>CAMPO</v>
          </cell>
          <cell r="H197" t="str">
            <v>EQUIPOS ALQUILADOS</v>
          </cell>
          <cell r="I197" t="str">
            <v>AGR</v>
          </cell>
          <cell r="J197" t="str">
            <v>-</v>
          </cell>
          <cell r="K197" t="str">
            <v>-</v>
          </cell>
          <cell r="L197" t="str">
            <v>-</v>
          </cell>
          <cell r="M197" t="str">
            <v>AUXILIAR</v>
          </cell>
        </row>
        <row r="198">
          <cell r="B198">
            <v>703065</v>
          </cell>
          <cell r="C198" t="str">
            <v>ER12 CAMINHÃO COMBOIO</v>
          </cell>
          <cell r="D198" t="str">
            <v>703065-ER12 CAMINHÃO COMBOIO</v>
          </cell>
          <cell r="E198">
            <v>20</v>
          </cell>
          <cell r="F198" t="str">
            <v>GUSTAVO NAGUMO</v>
          </cell>
          <cell r="G198" t="str">
            <v>CAMPO</v>
          </cell>
          <cell r="H198" t="str">
            <v>EQUIPOS ALQUILADOS</v>
          </cell>
          <cell r="I198" t="str">
            <v>AGR</v>
          </cell>
          <cell r="J198" t="str">
            <v>-</v>
          </cell>
          <cell r="K198" t="str">
            <v>-</v>
          </cell>
          <cell r="L198" t="str">
            <v>-</v>
          </cell>
          <cell r="M198" t="str">
            <v>AUXILIAR</v>
          </cell>
        </row>
        <row r="199">
          <cell r="B199">
            <v>703068</v>
          </cell>
          <cell r="C199" t="str">
            <v>ER15 CAMINHÃO OFICINA</v>
          </cell>
          <cell r="D199" t="str">
            <v>703068-ER15 CAMINHÃO OFICINA</v>
          </cell>
          <cell r="E199">
            <v>20</v>
          </cell>
          <cell r="F199" t="str">
            <v>GUSTAVO NAGUMO</v>
          </cell>
          <cell r="G199" t="str">
            <v>CAMPO</v>
          </cell>
          <cell r="H199" t="str">
            <v>EQUIPOS ALQUILADOS</v>
          </cell>
          <cell r="I199" t="str">
            <v>AGR</v>
          </cell>
          <cell r="J199" t="str">
            <v>-</v>
          </cell>
          <cell r="K199" t="str">
            <v>-</v>
          </cell>
          <cell r="L199" t="str">
            <v>-</v>
          </cell>
          <cell r="M199" t="str">
            <v>AUXILIAR</v>
          </cell>
        </row>
        <row r="200">
          <cell r="B200">
            <v>703070</v>
          </cell>
          <cell r="C200" t="str">
            <v>FR02 CB CANA 91K-135K KG</v>
          </cell>
          <cell r="D200" t="str">
            <v>703070-FR02 CB CANA 91K-135K KG</v>
          </cell>
          <cell r="E200">
            <v>20</v>
          </cell>
          <cell r="F200" t="str">
            <v>GUSTAVO NAGUMO</v>
          </cell>
          <cell r="G200" t="str">
            <v>CAMPO</v>
          </cell>
          <cell r="H200" t="str">
            <v>EQUIPOS ALQUILADOS</v>
          </cell>
          <cell r="I200" t="str">
            <v>AGR</v>
          </cell>
          <cell r="J200" t="str">
            <v>-</v>
          </cell>
          <cell r="K200" t="str">
            <v>-</v>
          </cell>
          <cell r="L200" t="str">
            <v>-</v>
          </cell>
          <cell r="M200" t="str">
            <v>AUXILIAR</v>
          </cell>
        </row>
        <row r="201">
          <cell r="B201">
            <v>703096</v>
          </cell>
          <cell r="C201" t="str">
            <v>HR 03 CARRETA TRANSBORDO</v>
          </cell>
          <cell r="D201" t="str">
            <v>703096-HR 03 CARRETA TRANSBORDO</v>
          </cell>
          <cell r="E201">
            <v>20</v>
          </cell>
          <cell r="F201" t="str">
            <v>GUSTAVO NAGUMO</v>
          </cell>
          <cell r="G201" t="str">
            <v>CAMPO</v>
          </cell>
          <cell r="H201" t="str">
            <v>EQUIPOS ALQUILADOS</v>
          </cell>
          <cell r="I201" t="str">
            <v>AGR</v>
          </cell>
          <cell r="J201" t="str">
            <v>-</v>
          </cell>
          <cell r="K201" t="str">
            <v>-</v>
          </cell>
          <cell r="L201" t="str">
            <v>-</v>
          </cell>
          <cell r="M201" t="str">
            <v>AUXILIAR</v>
          </cell>
        </row>
        <row r="202">
          <cell r="B202">
            <v>703091</v>
          </cell>
          <cell r="C202" t="str">
            <v>GR17 TANQUE  3.780-11.350 LTS</v>
          </cell>
          <cell r="D202" t="str">
            <v>703091-GR17 TANQUE  3.780-11.350 LTS</v>
          </cell>
          <cell r="E202">
            <v>20</v>
          </cell>
          <cell r="F202" t="str">
            <v>GUSTAVO NAGUMO</v>
          </cell>
          <cell r="G202" t="str">
            <v>CAMPO</v>
          </cell>
          <cell r="H202" t="str">
            <v>EQUIPOS ALQUILADOS</v>
          </cell>
          <cell r="I202" t="str">
            <v>AGR</v>
          </cell>
          <cell r="J202" t="str">
            <v>-</v>
          </cell>
          <cell r="K202" t="str">
            <v>-</v>
          </cell>
          <cell r="L202" t="str">
            <v>-</v>
          </cell>
          <cell r="M202" t="str">
            <v>AUXILIAR</v>
          </cell>
        </row>
        <row r="203">
          <cell r="B203">
            <v>703117</v>
          </cell>
          <cell r="C203" t="str">
            <v>KR18 MICRO ONIBUS 4 CILIN</v>
          </cell>
          <cell r="D203" t="str">
            <v>703117-KR18 MICRO ONIBUS 4 CILIN</v>
          </cell>
          <cell r="E203">
            <v>20</v>
          </cell>
          <cell r="F203" t="str">
            <v>GUSTAVO NAGUMO</v>
          </cell>
          <cell r="G203" t="str">
            <v>CAMPO</v>
          </cell>
          <cell r="H203" t="str">
            <v>EQUIPOS ALQUILADOS</v>
          </cell>
          <cell r="I203" t="str">
            <v>AGR</v>
          </cell>
          <cell r="J203" t="str">
            <v>-</v>
          </cell>
          <cell r="K203" t="str">
            <v>-</v>
          </cell>
          <cell r="L203" t="str">
            <v>-</v>
          </cell>
          <cell r="M203" t="str">
            <v>AUXILIAR</v>
          </cell>
        </row>
        <row r="204">
          <cell r="B204">
            <v>703118</v>
          </cell>
          <cell r="C204" t="str">
            <v>KR19 VEÍC COMBUS FLEX</v>
          </cell>
          <cell r="D204" t="str">
            <v>703118-KR19 VEÍC COMBUS FLEX</v>
          </cell>
          <cell r="E204">
            <v>20</v>
          </cell>
          <cell r="F204" t="str">
            <v>GUSTAVO NAGUMO</v>
          </cell>
          <cell r="G204" t="str">
            <v>CAMPO</v>
          </cell>
          <cell r="H204" t="str">
            <v>EQUIPOS ALQUILADOS</v>
          </cell>
          <cell r="I204" t="str">
            <v>AGR</v>
          </cell>
          <cell r="J204" t="str">
            <v>-</v>
          </cell>
          <cell r="K204" t="str">
            <v>-</v>
          </cell>
          <cell r="L204" t="str">
            <v>-</v>
          </cell>
          <cell r="M204" t="str">
            <v>AUXILIAR</v>
          </cell>
        </row>
        <row r="205">
          <cell r="B205">
            <v>703126</v>
          </cell>
          <cell r="C205" t="str">
            <v>LR06 GRUA 11K-20K KG</v>
          </cell>
          <cell r="D205" t="str">
            <v>703126-LR06 GRUA 11K-20K KG</v>
          </cell>
          <cell r="E205">
            <v>20</v>
          </cell>
          <cell r="F205" t="str">
            <v>GUSTAVO NAGUMO</v>
          </cell>
          <cell r="G205" t="str">
            <v>CAMPO</v>
          </cell>
          <cell r="H205" t="str">
            <v>EQUIPOS ALQUILADOS</v>
          </cell>
          <cell r="I205" t="str">
            <v>AGR</v>
          </cell>
          <cell r="J205" t="str">
            <v>-</v>
          </cell>
          <cell r="K205" t="str">
            <v>-</v>
          </cell>
          <cell r="L205" t="str">
            <v>-</v>
          </cell>
          <cell r="M205" t="str">
            <v>AUXILIAR</v>
          </cell>
        </row>
        <row r="206">
          <cell r="B206">
            <v>703189</v>
          </cell>
          <cell r="C206" t="str">
            <v>NR30 DISTRIBUIDORA DE SEM</v>
          </cell>
          <cell r="D206" t="str">
            <v>703189-NR30 DISTRIBUIDORA DE SEM</v>
          </cell>
          <cell r="E206">
            <v>20</v>
          </cell>
          <cell r="F206" t="str">
            <v>GUSTAVO NAGUMO</v>
          </cell>
          <cell r="G206" t="str">
            <v>CAMPO</v>
          </cell>
          <cell r="H206" t="str">
            <v>EQUIPOS ALQUILADOS</v>
          </cell>
          <cell r="I206" t="str">
            <v>AGR</v>
          </cell>
          <cell r="J206" t="str">
            <v>-</v>
          </cell>
          <cell r="K206" t="str">
            <v>-</v>
          </cell>
          <cell r="L206" t="str">
            <v>-</v>
          </cell>
          <cell r="M206">
            <v>0</v>
          </cell>
        </row>
        <row r="207">
          <cell r="B207">
            <v>501002</v>
          </cell>
          <cell r="C207" t="str">
            <v>PREPARO DE SOLO</v>
          </cell>
          <cell r="D207" t="str">
            <v>501002-PREPARO DE SOLO</v>
          </cell>
          <cell r="E207">
            <v>20</v>
          </cell>
          <cell r="F207" t="str">
            <v>HILMER SANTIGO</v>
          </cell>
          <cell r="G207" t="str">
            <v>CAMPO</v>
          </cell>
          <cell r="H207" t="str">
            <v>OPERACION AGRICOLA PRÓPRIO</v>
          </cell>
          <cell r="I207" t="str">
            <v>AGR</v>
          </cell>
          <cell r="J207" t="str">
            <v>-</v>
          </cell>
          <cell r="K207" t="str">
            <v>-</v>
          </cell>
          <cell r="L207" t="str">
            <v>-</v>
          </cell>
          <cell r="M207" t="str">
            <v>PLANTIO</v>
          </cell>
        </row>
        <row r="208">
          <cell r="B208">
            <v>501008</v>
          </cell>
          <cell r="C208" t="str">
            <v>PLANTIO DE CANA</v>
          </cell>
          <cell r="D208" t="str">
            <v>501008-PLANTIO DE CANA</v>
          </cell>
          <cell r="E208">
            <v>20</v>
          </cell>
          <cell r="F208" t="str">
            <v>HILMER SANTIGO</v>
          </cell>
          <cell r="G208" t="str">
            <v>CAMPO</v>
          </cell>
          <cell r="H208" t="str">
            <v>OPERACION AGRICOLA PRÓPRIO</v>
          </cell>
          <cell r="I208" t="str">
            <v>AGR</v>
          </cell>
          <cell r="J208" t="str">
            <v>-</v>
          </cell>
          <cell r="K208" t="str">
            <v>-</v>
          </cell>
          <cell r="L208" t="str">
            <v>-</v>
          </cell>
          <cell r="M208" t="str">
            <v>PLANTIO</v>
          </cell>
        </row>
        <row r="209">
          <cell r="B209">
            <v>501010</v>
          </cell>
          <cell r="C209" t="str">
            <v>TRATOS CANA PLANTA</v>
          </cell>
          <cell r="D209" t="str">
            <v>501010-TRATOS CANA PLANTA</v>
          </cell>
          <cell r="E209">
            <v>20</v>
          </cell>
          <cell r="F209" t="str">
            <v>HILMER SANTIGO</v>
          </cell>
          <cell r="G209" t="str">
            <v>CAMPO</v>
          </cell>
          <cell r="H209" t="str">
            <v>OPERACION AGRICOLA PRÓPRIO</v>
          </cell>
          <cell r="I209" t="str">
            <v>AGR</v>
          </cell>
          <cell r="J209" t="str">
            <v>-</v>
          </cell>
          <cell r="K209" t="str">
            <v>-</v>
          </cell>
          <cell r="L209" t="str">
            <v>-</v>
          </cell>
          <cell r="M209" t="str">
            <v>PLANTIO</v>
          </cell>
        </row>
        <row r="210">
          <cell r="B210">
            <v>501012</v>
          </cell>
          <cell r="C210" t="str">
            <v>TRATOS CANA SOCA</v>
          </cell>
          <cell r="D210" t="str">
            <v>501012-TRATOS CANA SOCA</v>
          </cell>
          <cell r="E210">
            <v>20</v>
          </cell>
          <cell r="F210" t="str">
            <v>HILMER SANTIGO</v>
          </cell>
          <cell r="G210" t="str">
            <v>CAMPO</v>
          </cell>
          <cell r="H210" t="str">
            <v>OPERACION AGRICOLA PRÓPRIO</v>
          </cell>
          <cell r="I210" t="str">
            <v>AGR</v>
          </cell>
          <cell r="J210" t="str">
            <v>-</v>
          </cell>
          <cell r="K210" t="str">
            <v>-</v>
          </cell>
          <cell r="L210" t="str">
            <v>-</v>
          </cell>
          <cell r="M210" t="str">
            <v>TRATOS</v>
          </cell>
        </row>
        <row r="211">
          <cell r="B211">
            <v>501014</v>
          </cell>
          <cell r="C211" t="str">
            <v>COLHEITA MANUAL</v>
          </cell>
          <cell r="D211" t="str">
            <v>501014-COLHEITA MANUAL</v>
          </cell>
          <cell r="E211">
            <v>20</v>
          </cell>
          <cell r="F211" t="str">
            <v>MIGUEL GARCIA</v>
          </cell>
          <cell r="G211" t="str">
            <v>CAMPO</v>
          </cell>
          <cell r="H211" t="str">
            <v>OPERACION AGRICOLA PRÓPRIO</v>
          </cell>
          <cell r="I211" t="str">
            <v>AGR</v>
          </cell>
          <cell r="J211" t="str">
            <v>-</v>
          </cell>
          <cell r="K211" t="str">
            <v>-</v>
          </cell>
          <cell r="L211" t="str">
            <v>-</v>
          </cell>
          <cell r="M211" t="str">
            <v>COLHEITA</v>
          </cell>
        </row>
        <row r="212">
          <cell r="B212">
            <v>501016</v>
          </cell>
          <cell r="C212" t="str">
            <v>COLHEITA MECANIZADA</v>
          </cell>
          <cell r="D212" t="str">
            <v>501016-COLHEITA MECANIZADA</v>
          </cell>
          <cell r="E212">
            <v>20</v>
          </cell>
          <cell r="F212" t="str">
            <v>MIGUEL GARCIA</v>
          </cell>
          <cell r="G212" t="str">
            <v>CAMPO</v>
          </cell>
          <cell r="H212" t="str">
            <v>OPERACION AGRICOLA PRÓPRIO</v>
          </cell>
          <cell r="I212" t="str">
            <v>AGR</v>
          </cell>
          <cell r="J212" t="str">
            <v>-</v>
          </cell>
          <cell r="K212" t="str">
            <v>-</v>
          </cell>
          <cell r="L212" t="str">
            <v>-</v>
          </cell>
          <cell r="M212" t="str">
            <v>COLHEITA</v>
          </cell>
        </row>
        <row r="213">
          <cell r="B213">
            <v>801014</v>
          </cell>
          <cell r="C213" t="str">
            <v>COLHEITA MANUAL</v>
          </cell>
          <cell r="D213" t="str">
            <v>801014-COLHEITA MANUAL</v>
          </cell>
          <cell r="E213">
            <v>20</v>
          </cell>
          <cell r="F213" t="str">
            <v>MIGUEL GARCIA</v>
          </cell>
          <cell r="G213" t="str">
            <v>CAMPO</v>
          </cell>
          <cell r="H213" t="str">
            <v>OPERACION AGRICOLA PRÓPRIO</v>
          </cell>
          <cell r="I213" t="str">
            <v>AGR</v>
          </cell>
          <cell r="J213" t="str">
            <v>-</v>
          </cell>
          <cell r="K213" t="str">
            <v>-</v>
          </cell>
          <cell r="L213" t="str">
            <v>-</v>
          </cell>
          <cell r="M213" t="str">
            <v>COLHEITA</v>
          </cell>
        </row>
        <row r="214">
          <cell r="B214">
            <v>801016</v>
          </cell>
          <cell r="C214" t="str">
            <v>COLHEITA MECANIZADA</v>
          </cell>
          <cell r="D214" t="str">
            <v>501016-COLHEITA MECANIZADA</v>
          </cell>
          <cell r="E214">
            <v>20</v>
          </cell>
          <cell r="F214" t="str">
            <v>MIGUEL GARCIA</v>
          </cell>
          <cell r="G214" t="str">
            <v>CAMPO</v>
          </cell>
          <cell r="H214" t="str">
            <v>OPERACION AGRICOLA PRÓPRIO</v>
          </cell>
          <cell r="I214" t="str">
            <v>AGR</v>
          </cell>
          <cell r="J214" t="str">
            <v>-</v>
          </cell>
          <cell r="K214" t="str">
            <v>-</v>
          </cell>
          <cell r="L214" t="str">
            <v>-</v>
          </cell>
          <cell r="M214" t="str">
            <v>COLHEITA</v>
          </cell>
        </row>
        <row r="215">
          <cell r="B215">
            <v>501020</v>
          </cell>
          <cell r="C215" t="str">
            <v>REPLANTIO CANA PLANTA</v>
          </cell>
          <cell r="D215" t="str">
            <v>501020-REPLANTIO CANA PLANTA</v>
          </cell>
          <cell r="E215">
            <v>20</v>
          </cell>
          <cell r="F215" t="str">
            <v>HILMER SANTIGO</v>
          </cell>
          <cell r="G215" t="str">
            <v>CAMPO</v>
          </cell>
          <cell r="H215" t="str">
            <v>OPERACION AGRICOLA PRÓPRIO</v>
          </cell>
          <cell r="I215" t="str">
            <v>AGR</v>
          </cell>
          <cell r="J215" t="str">
            <v>-</v>
          </cell>
          <cell r="K215" t="str">
            <v>-</v>
          </cell>
          <cell r="L215" t="str">
            <v>-</v>
          </cell>
          <cell r="M215" t="str">
            <v>PLANTIO</v>
          </cell>
        </row>
        <row r="216">
          <cell r="B216">
            <v>501022</v>
          </cell>
          <cell r="C216" t="str">
            <v>REPLANTIO CANA SOCA</v>
          </cell>
          <cell r="D216" t="str">
            <v>501022-REPLANTIO CANA SOCA</v>
          </cell>
          <cell r="E216">
            <v>20</v>
          </cell>
          <cell r="F216" t="str">
            <v>HILMER SANTIGO</v>
          </cell>
          <cell r="G216" t="str">
            <v>CAMPO</v>
          </cell>
          <cell r="H216" t="str">
            <v>OPERACION AGRICOLA PRÓPRIO</v>
          </cell>
          <cell r="I216" t="str">
            <v>AGR</v>
          </cell>
          <cell r="J216" t="str">
            <v>-</v>
          </cell>
          <cell r="K216" t="str">
            <v>-</v>
          </cell>
          <cell r="L216" t="str">
            <v>-</v>
          </cell>
          <cell r="M216" t="str">
            <v>TRATOS</v>
          </cell>
        </row>
        <row r="217">
          <cell r="B217">
            <v>501030</v>
          </cell>
          <cell r="C217" t="str">
            <v>ADMINISTRAÇÃO AGRÍCOLA</v>
          </cell>
          <cell r="D217" t="str">
            <v>501030-ADMINISTRAÇÃO AGRÍCOLA</v>
          </cell>
          <cell r="E217">
            <v>20</v>
          </cell>
          <cell r="F217" t="str">
            <v>CASIMIRO DANIEL FLORES</v>
          </cell>
          <cell r="G217" t="str">
            <v>CAMPO</v>
          </cell>
          <cell r="H217" t="str">
            <v>OPERACION AGRICOLA PRÓPRIO</v>
          </cell>
          <cell r="I217" t="str">
            <v>AGR</v>
          </cell>
          <cell r="J217" t="str">
            <v>-</v>
          </cell>
          <cell r="K217" t="str">
            <v>-</v>
          </cell>
          <cell r="L217" t="str">
            <v>-</v>
          </cell>
          <cell r="M217" t="str">
            <v>ADM AGR</v>
          </cell>
        </row>
        <row r="218">
          <cell r="B218">
            <v>501102</v>
          </cell>
          <cell r="C218" t="str">
            <v>REFLORESTAMENTO</v>
          </cell>
          <cell r="D218" t="str">
            <v>501102-REFLORESTAMENTO</v>
          </cell>
          <cell r="E218">
            <v>20</v>
          </cell>
          <cell r="F218" t="str">
            <v>DINAEL VEIGA</v>
          </cell>
          <cell r="G218" t="str">
            <v>CAMPO</v>
          </cell>
          <cell r="H218" t="str">
            <v>OPERACION AGRICOLA PRÓPRIO</v>
          </cell>
          <cell r="I218" t="str">
            <v>AGR</v>
          </cell>
          <cell r="J218" t="str">
            <v>-</v>
          </cell>
          <cell r="K218" t="str">
            <v>-</v>
          </cell>
          <cell r="L218" t="str">
            <v>-</v>
          </cell>
          <cell r="M218" t="str">
            <v>TRATOS</v>
          </cell>
        </row>
        <row r="219">
          <cell r="B219">
            <v>501202</v>
          </cell>
          <cell r="C219" t="str">
            <v>DESENVOLVIMENTO AGRONÔMICO</v>
          </cell>
          <cell r="D219" t="str">
            <v>501202-DESENVOLVIMENTO AGRONÔMICO</v>
          </cell>
          <cell r="E219">
            <v>20</v>
          </cell>
          <cell r="F219" t="str">
            <v>CARLOS ARCE</v>
          </cell>
          <cell r="G219" t="str">
            <v>CAMPO</v>
          </cell>
          <cell r="H219" t="str">
            <v>OPERACION AGRICOLA PRÓPRIO</v>
          </cell>
          <cell r="I219" t="str">
            <v>AGR</v>
          </cell>
          <cell r="J219" t="str">
            <v>-</v>
          </cell>
          <cell r="K219" t="str">
            <v>-</v>
          </cell>
          <cell r="L219" t="str">
            <v>-</v>
          </cell>
          <cell r="M219" t="str">
            <v>PLANTIO</v>
          </cell>
        </row>
        <row r="220">
          <cell r="B220">
            <v>600800</v>
          </cell>
          <cell r="C220" t="str">
            <v>CONSERVAÇÃO DE ESTRADAS</v>
          </cell>
          <cell r="D220" t="str">
            <v>600800-CONSERVAÇÃO DE ESTRADAS</v>
          </cell>
          <cell r="E220">
            <v>20</v>
          </cell>
          <cell r="F220" t="str">
            <v>MIGUEL GARCIA</v>
          </cell>
          <cell r="G220" t="str">
            <v>CAMPO</v>
          </cell>
          <cell r="H220" t="str">
            <v>OPERACION AGRICOLA PRÓPRIO</v>
          </cell>
          <cell r="I220" t="str">
            <v>AGR</v>
          </cell>
          <cell r="J220" t="str">
            <v>-</v>
          </cell>
          <cell r="K220" t="str">
            <v>-</v>
          </cell>
          <cell r="L220" t="str">
            <v>-</v>
          </cell>
          <cell r="M220" t="str">
            <v>ADM AGR</v>
          </cell>
        </row>
        <row r="221">
          <cell r="B221">
            <v>709902</v>
          </cell>
          <cell r="C221" t="str">
            <v>EQUIPAMENTOS TESTE</v>
          </cell>
          <cell r="D221" t="str">
            <v>709902-EQUIPAMENTOS TESTE</v>
          </cell>
          <cell r="E221">
            <v>20</v>
          </cell>
          <cell r="F221" t="str">
            <v>EVERTON PASSARINI</v>
          </cell>
          <cell r="G221" t="str">
            <v>CAMPO</v>
          </cell>
          <cell r="H221" t="str">
            <v>EQUIPOS ALQUILADOS</v>
          </cell>
          <cell r="I221" t="str">
            <v>AGR</v>
          </cell>
          <cell r="J221" t="str">
            <v>-</v>
          </cell>
          <cell r="K221" t="str">
            <v>-</v>
          </cell>
          <cell r="L221" t="str">
            <v>-</v>
          </cell>
          <cell r="M221" t="str">
            <v>AUXILIAR</v>
          </cell>
        </row>
        <row r="222">
          <cell r="B222">
            <v>702091</v>
          </cell>
          <cell r="C222" t="str">
            <v>GP17 TANQUE 3.780-11.350  LTS</v>
          </cell>
          <cell r="D222" t="str">
            <v>702091-GP17 TANQUE 3.780-11.350  LTS</v>
          </cell>
          <cell r="E222">
            <v>20</v>
          </cell>
          <cell r="F222" t="str">
            <v>GUSTAVO NAGUMO</v>
          </cell>
          <cell r="G222" t="str">
            <v>CAMPO</v>
          </cell>
          <cell r="H222" t="str">
            <v>OPERACION AGRICOLA PRÓPRIO</v>
          </cell>
          <cell r="I222" t="str">
            <v>AGR</v>
          </cell>
          <cell r="J222" t="str">
            <v>-</v>
          </cell>
          <cell r="K222" t="str">
            <v>-</v>
          </cell>
          <cell r="L222" t="str">
            <v>-</v>
          </cell>
          <cell r="M222" t="str">
            <v>AUXILIAR</v>
          </cell>
        </row>
        <row r="223">
          <cell r="B223">
            <v>702083</v>
          </cell>
          <cell r="C223" t="str">
            <v>GP09 EQ ARRASTE MADERA</v>
          </cell>
          <cell r="D223" t="str">
            <v>702083-GP09 EQ ARRASTE MADERA</v>
          </cell>
          <cell r="E223">
            <v>20</v>
          </cell>
          <cell r="F223" t="str">
            <v>GUSTAVO NAGUMO</v>
          </cell>
          <cell r="G223" t="str">
            <v>CAMPO</v>
          </cell>
          <cell r="H223" t="str">
            <v>OPERACION AGRICOLA PRÓPRIO</v>
          </cell>
          <cell r="I223" t="str">
            <v>AGR</v>
          </cell>
          <cell r="J223" t="str">
            <v>-</v>
          </cell>
          <cell r="K223" t="str">
            <v>-</v>
          </cell>
          <cell r="L223" t="str">
            <v>-</v>
          </cell>
          <cell r="M223" t="str">
            <v>AUXILIAR</v>
          </cell>
        </row>
        <row r="224">
          <cell r="B224">
            <v>700219</v>
          </cell>
          <cell r="C224" t="str">
            <v>COLHEDORAS DE CANA ( PRÓPRIA)</v>
          </cell>
          <cell r="D224" t="str">
            <v>700219-COLHEDORAS DE CANA ( PRÓPRIA)</v>
          </cell>
          <cell r="E224">
            <v>20</v>
          </cell>
          <cell r="F224" t="str">
            <v>GUSTAVO NAGUMO</v>
          </cell>
          <cell r="G224" t="str">
            <v>CAMPO</v>
          </cell>
          <cell r="H224" t="str">
            <v>EQUIPOS PROPIOS</v>
          </cell>
          <cell r="I224" t="str">
            <v>AGR</v>
          </cell>
          <cell r="J224" t="str">
            <v>-</v>
          </cell>
          <cell r="K224" t="str">
            <v>-</v>
          </cell>
          <cell r="L224" t="str">
            <v>-</v>
          </cell>
          <cell r="M224" t="str">
            <v>-</v>
          </cell>
        </row>
        <row r="225">
          <cell r="B225">
            <v>700107</v>
          </cell>
          <cell r="C225" t="str">
            <v>CAMINHÕES PIPA ( PRÓPRIO)</v>
          </cell>
          <cell r="D225" t="str">
            <v>700107-CAMINHÕES PIPA ( PRÓPRIO)</v>
          </cell>
          <cell r="E225">
            <v>20</v>
          </cell>
          <cell r="F225" t="str">
            <v>GUSTAVO NAGUMO</v>
          </cell>
          <cell r="G225" t="str">
            <v>CAMPO</v>
          </cell>
          <cell r="H225" t="str">
            <v>EQUIPOS PROPIOS</v>
          </cell>
          <cell r="I225" t="str">
            <v>AGR</v>
          </cell>
          <cell r="J225" t="str">
            <v>-</v>
          </cell>
          <cell r="K225" t="str">
            <v>-</v>
          </cell>
          <cell r="L225" t="str">
            <v>-</v>
          </cell>
          <cell r="M225" t="str">
            <v>-</v>
          </cell>
        </row>
        <row r="226">
          <cell r="B226">
            <v>300614</v>
          </cell>
          <cell r="C226" t="str">
            <v>INCORPORAÇÃO</v>
          </cell>
          <cell r="D226" t="str">
            <v>300614-INCORPORAÇÃO</v>
          </cell>
          <cell r="E226">
            <v>40</v>
          </cell>
          <cell r="F226" t="str">
            <v>SILVIO CABRIOTI</v>
          </cell>
          <cell r="G226" t="str">
            <v>ADMINISTRACIÓN</v>
          </cell>
        </row>
      </sheetData>
      <sheetData sheetId="1">
        <row r="2">
          <cell r="A2">
            <v>31101011</v>
          </cell>
          <cell r="B2" t="str">
            <v>Salarios</v>
          </cell>
          <cell r="C2" t="str">
            <v>31101011-Salarios</v>
          </cell>
          <cell r="D2" t="str">
            <v>01-SALARIOS</v>
          </cell>
          <cell r="E2" t="str">
            <v>01 Mano de obra y prestaciones</v>
          </cell>
        </row>
        <row r="3">
          <cell r="A3">
            <v>31101012</v>
          </cell>
          <cell r="B3" t="str">
            <v>Salários - Entressafra</v>
          </cell>
          <cell r="C3" t="str">
            <v>31101012-Salários - Entressafra</v>
          </cell>
          <cell r="D3" t="str">
            <v>01-SALARIOS</v>
          </cell>
          <cell r="E3" t="str">
            <v>01 Mano de obra y prestaciones</v>
          </cell>
        </row>
        <row r="4">
          <cell r="A4">
            <v>31101021</v>
          </cell>
          <cell r="B4" t="str">
            <v>Hora Extra</v>
          </cell>
          <cell r="C4" t="str">
            <v>31101021-Hora Extra</v>
          </cell>
          <cell r="D4" t="str">
            <v>01-SALARIOS</v>
          </cell>
          <cell r="E4" t="str">
            <v>01 Mano de obra y prestaciones</v>
          </cell>
        </row>
        <row r="5">
          <cell r="A5">
            <v>31101022</v>
          </cell>
          <cell r="B5" t="str">
            <v>Horas In Itinere</v>
          </cell>
          <cell r="C5" t="str">
            <v>311010xx-Horas In Itinere</v>
          </cell>
          <cell r="D5" t="str">
            <v>01-SALARIOS</v>
          </cell>
          <cell r="E5" t="str">
            <v>01 Mano de obra y prestaciones</v>
          </cell>
        </row>
        <row r="6">
          <cell r="A6">
            <v>31101071</v>
          </cell>
          <cell r="B6" t="str">
            <v>Aviso Previo</v>
          </cell>
          <cell r="C6" t="str">
            <v>31101071-Aviso Previo</v>
          </cell>
          <cell r="D6" t="str">
            <v>01-SALARIOS</v>
          </cell>
          <cell r="E6" t="str">
            <v>01 Mano de obra y prestaciones</v>
          </cell>
        </row>
        <row r="7">
          <cell r="A7">
            <v>31101081</v>
          </cell>
          <cell r="B7" t="str">
            <v>Gratificações</v>
          </cell>
          <cell r="C7" t="str">
            <v>31101081-Gratificações</v>
          </cell>
          <cell r="D7" t="str">
            <v>01-SALARIOS</v>
          </cell>
          <cell r="E7" t="str">
            <v>01 Mano de obra y prestaciones</v>
          </cell>
        </row>
        <row r="8">
          <cell r="A8">
            <v>31101091</v>
          </cell>
          <cell r="B8" t="str">
            <v>Plano Participacao Resultados</v>
          </cell>
          <cell r="C8" t="str">
            <v>31101091-Plano Participacao Resultados</v>
          </cell>
          <cell r="D8" t="str">
            <v>01-SALARIOS</v>
          </cell>
          <cell r="E8" t="str">
            <v>01 Mano de obra y prestaciones</v>
          </cell>
        </row>
        <row r="9">
          <cell r="A9">
            <v>31101111</v>
          </cell>
          <cell r="B9" t="str">
            <v>Pro-Labore</v>
          </cell>
          <cell r="C9" t="str">
            <v>31101111-Pro-Labore</v>
          </cell>
          <cell r="D9" t="str">
            <v>01-SALARIOS</v>
          </cell>
          <cell r="E9" t="str">
            <v>01 Mano de obra y prestaciones</v>
          </cell>
        </row>
        <row r="10">
          <cell r="A10">
            <v>31101121</v>
          </cell>
          <cell r="B10" t="str">
            <v>Honorarios</v>
          </cell>
          <cell r="C10" t="str">
            <v>31101121-Honorarios</v>
          </cell>
          <cell r="D10" t="str">
            <v>01-SALARIOS</v>
          </cell>
          <cell r="E10" t="str">
            <v>01 Mano de obra y prestaciones</v>
          </cell>
        </row>
        <row r="11">
          <cell r="A11">
            <v>31101031</v>
          </cell>
          <cell r="B11" t="str">
            <v>Provisao de Ferias</v>
          </cell>
          <cell r="C11" t="str">
            <v>31101031-Provisao de Ferias</v>
          </cell>
          <cell r="D11" t="str">
            <v>02-ENCARGOS</v>
          </cell>
          <cell r="E11" t="str">
            <v>01 Mano de obra y prestaciones</v>
          </cell>
        </row>
        <row r="12">
          <cell r="A12">
            <v>31101041</v>
          </cell>
          <cell r="B12" t="str">
            <v>Provisao 13 Salario</v>
          </cell>
          <cell r="C12" t="str">
            <v>31101041-Provisao 13 Salario</v>
          </cell>
          <cell r="D12" t="str">
            <v>02-ENCARGOS</v>
          </cell>
          <cell r="E12" t="str">
            <v>01 Mano de obra y prestaciones</v>
          </cell>
        </row>
        <row r="13">
          <cell r="A13">
            <v>31101051</v>
          </cell>
          <cell r="B13" t="str">
            <v>Ferias</v>
          </cell>
          <cell r="C13" t="str">
            <v>31101051-Ferias</v>
          </cell>
          <cell r="D13" t="str">
            <v>02-ENCARGOS</v>
          </cell>
          <cell r="E13" t="str">
            <v>01 Mano de obra y prestaciones</v>
          </cell>
        </row>
        <row r="14">
          <cell r="A14">
            <v>31101061</v>
          </cell>
          <cell r="B14" t="str">
            <v>13 Salario</v>
          </cell>
          <cell r="C14" t="str">
            <v>31101061-13 Salario</v>
          </cell>
          <cell r="D14" t="str">
            <v>02-ENCARGOS</v>
          </cell>
          <cell r="E14" t="str">
            <v>01 Mano de obra y prestaciones</v>
          </cell>
        </row>
        <row r="15">
          <cell r="A15">
            <v>31101161</v>
          </cell>
          <cell r="B15" t="str">
            <v>FGTS</v>
          </cell>
          <cell r="C15" t="str">
            <v>31101161-FGTS</v>
          </cell>
          <cell r="D15" t="str">
            <v>02-ENCARGOS</v>
          </cell>
          <cell r="E15" t="str">
            <v>01 Mano de obra y prestaciones</v>
          </cell>
        </row>
        <row r="16">
          <cell r="A16">
            <v>31101171</v>
          </cell>
          <cell r="B16" t="str">
            <v>INSS Provisão de Férias</v>
          </cell>
          <cell r="C16" t="str">
            <v>31101171-INSS Provisão de Férias</v>
          </cell>
          <cell r="D16" t="str">
            <v>02-ENCARGOS</v>
          </cell>
          <cell r="E16" t="str">
            <v>01 Mano de obra y prestaciones</v>
          </cell>
        </row>
        <row r="17">
          <cell r="A17">
            <v>31101181</v>
          </cell>
          <cell r="B17" t="str">
            <v>INSS Provisão 13. Salário</v>
          </cell>
          <cell r="C17" t="str">
            <v>31101181-INSS Provisão 13. Salário</v>
          </cell>
          <cell r="D17" t="str">
            <v>02-ENCARGOS</v>
          </cell>
          <cell r="E17" t="str">
            <v>01 Mano de obra y prestaciones</v>
          </cell>
        </row>
        <row r="18">
          <cell r="A18">
            <v>31101191</v>
          </cell>
          <cell r="B18" t="str">
            <v>FGTS Provisão de Férias</v>
          </cell>
          <cell r="C18" t="str">
            <v>31101191-FGTS Provisão de Férias</v>
          </cell>
          <cell r="D18" t="str">
            <v>02-ENCARGOS</v>
          </cell>
          <cell r="E18" t="str">
            <v>01 Mano de obra y prestaciones</v>
          </cell>
        </row>
        <row r="19">
          <cell r="A19">
            <v>31101511</v>
          </cell>
          <cell r="B19" t="str">
            <v>INSS</v>
          </cell>
          <cell r="C19" t="str">
            <v>31101511-INSS</v>
          </cell>
          <cell r="D19" t="str">
            <v>02-ENCARGOS</v>
          </cell>
          <cell r="E19" t="str">
            <v>01 Mano de obra y prestaciones</v>
          </cell>
        </row>
        <row r="20">
          <cell r="A20">
            <v>31103168</v>
          </cell>
          <cell r="B20" t="str">
            <v>IRRF s/Reclamações Trabalhistas</v>
          </cell>
          <cell r="C20" t="str">
            <v>31103168-IRRF s/Reclamações Trabalhistas</v>
          </cell>
          <cell r="D20" t="str">
            <v>02-ENCARGOS</v>
          </cell>
          <cell r="E20" t="str">
            <v>01 Mano de obra y prestaciones</v>
          </cell>
        </row>
        <row r="21">
          <cell r="A21">
            <v>31101101</v>
          </cell>
          <cell r="B21" t="str">
            <v>Ajuda de Custo</v>
          </cell>
          <cell r="C21" t="str">
            <v>31101101-Ajuda de Custo</v>
          </cell>
          <cell r="D21" t="str">
            <v>03-BENEFICIOS</v>
          </cell>
          <cell r="E21" t="str">
            <v>03 Servicios externos</v>
          </cell>
        </row>
        <row r="22">
          <cell r="A22">
            <v>31101131</v>
          </cell>
          <cell r="B22" t="str">
            <v>Auxilio Enfermidade</v>
          </cell>
          <cell r="C22" t="str">
            <v>31101131-Auxilio Enfermidade</v>
          </cell>
          <cell r="D22" t="str">
            <v>01-SALARIOS</v>
          </cell>
          <cell r="E22" t="str">
            <v>01 Mano de obra y prestaciones</v>
          </cell>
        </row>
        <row r="23">
          <cell r="A23">
            <v>31101133</v>
          </cell>
          <cell r="B23" t="str">
            <v>Auxilio Acidente Trabalho</v>
          </cell>
          <cell r="C23" t="str">
            <v>31101133-Auxilio Acidente Trabalho</v>
          </cell>
          <cell r="D23" t="str">
            <v>01-SALARIOS</v>
          </cell>
          <cell r="E23" t="str">
            <v>01 Mano de obra y prestaciones</v>
          </cell>
        </row>
        <row r="24">
          <cell r="A24">
            <v>31101134</v>
          </cell>
          <cell r="B24" t="str">
            <v>Auxilio Funerário</v>
          </cell>
          <cell r="C24" t="str">
            <v>31101134-Auxilio Funerário</v>
          </cell>
          <cell r="D24" t="str">
            <v>03-BENEFICIOS</v>
          </cell>
          <cell r="E24" t="str">
            <v>03 Servicios externos</v>
          </cell>
        </row>
        <row r="25">
          <cell r="A25">
            <v>31101141</v>
          </cell>
          <cell r="B25" t="str">
            <v>Auxilio Maternidade</v>
          </cell>
          <cell r="C25" t="str">
            <v>31101141-Auxilio Maternidade</v>
          </cell>
          <cell r="D25" t="str">
            <v>01-SALARIOS</v>
          </cell>
          <cell r="E25" t="str">
            <v>01 Mano de obra y prestaciones</v>
          </cell>
        </row>
        <row r="26">
          <cell r="A26">
            <v>31101201</v>
          </cell>
          <cell r="B26" t="str">
            <v>Seguro Acidente Trabalho - SAT</v>
          </cell>
          <cell r="C26" t="str">
            <v>31101201-Seguro Acidente Trabalho - SAT</v>
          </cell>
          <cell r="D26" t="str">
            <v>02-ENCARGOS</v>
          </cell>
          <cell r="E26" t="str">
            <v>01 Mano de obra y prestaciones</v>
          </cell>
        </row>
        <row r="27">
          <cell r="A27">
            <v>31101211</v>
          </cell>
          <cell r="B27" t="str">
            <v>Plano Saude Diretoria e Gerentes</v>
          </cell>
          <cell r="C27" t="str">
            <v>31101211-Plano Saude Diretoria e Gerentes</v>
          </cell>
          <cell r="D27" t="str">
            <v>03-BENEFICIOS</v>
          </cell>
          <cell r="E27" t="str">
            <v>03 Servicios externos</v>
          </cell>
        </row>
        <row r="28">
          <cell r="A28">
            <v>31101221</v>
          </cell>
          <cell r="B28" t="str">
            <v>Plano Saude Funcionarios</v>
          </cell>
          <cell r="C28" t="str">
            <v>31101221-Plano Saude Funcionarios</v>
          </cell>
          <cell r="D28" t="str">
            <v>03-BENEFICIOS</v>
          </cell>
          <cell r="E28" t="str">
            <v>03 Servicios externos</v>
          </cell>
        </row>
        <row r="29">
          <cell r="A29">
            <v>31101231</v>
          </cell>
          <cell r="B29" t="str">
            <v>Bônus</v>
          </cell>
          <cell r="C29" t="str">
            <v>31101231-Bônus</v>
          </cell>
          <cell r="D29" t="str">
            <v>03-BENEFICIOS</v>
          </cell>
          <cell r="E29" t="str">
            <v>03 Servicios externos</v>
          </cell>
        </row>
        <row r="30">
          <cell r="A30">
            <v>31101301</v>
          </cell>
          <cell r="B30" t="str">
            <v>Exames Admissionais</v>
          </cell>
          <cell r="C30" t="str">
            <v>31101301-Exames Admissionais</v>
          </cell>
          <cell r="D30" t="str">
            <v>03-BENEFICIOS</v>
          </cell>
          <cell r="E30" t="str">
            <v>03 Servicios externos</v>
          </cell>
        </row>
        <row r="31">
          <cell r="A31">
            <v>31101302</v>
          </cell>
          <cell r="B31" t="str">
            <v>Exames Demissionais</v>
          </cell>
          <cell r="C31" t="str">
            <v>31101302-Exames Demissionais</v>
          </cell>
          <cell r="D31" t="str">
            <v>03-BENEFICIOS</v>
          </cell>
          <cell r="E31" t="str">
            <v>03 Servicios externos</v>
          </cell>
        </row>
        <row r="32">
          <cell r="A32">
            <v>31103107</v>
          </cell>
          <cell r="B32" t="str">
            <v>Assistencia Social</v>
          </cell>
          <cell r="C32" t="str">
            <v>31103107-Assistencia Social</v>
          </cell>
          <cell r="D32" t="str">
            <v>03-BENEFICIOS</v>
          </cell>
          <cell r="E32" t="str">
            <v>03 Servicios externos</v>
          </cell>
        </row>
        <row r="33">
          <cell r="A33">
            <v>31103116</v>
          </cell>
          <cell r="B33" t="str">
            <v>Cursos e Treinamentos</v>
          </cell>
          <cell r="C33" t="str">
            <v>31103116-Cursos e Treinamentos</v>
          </cell>
          <cell r="D33" t="str">
            <v>03-BENEFICIOS</v>
          </cell>
          <cell r="E33" t="str">
            <v>03 Servicios externos</v>
          </cell>
        </row>
        <row r="34">
          <cell r="A34">
            <v>31103124</v>
          </cell>
          <cell r="B34" t="str">
            <v>Estagios</v>
          </cell>
          <cell r="C34" t="str">
            <v>31103124-Estagios</v>
          </cell>
          <cell r="D34" t="str">
            <v>01-SALARIOS</v>
          </cell>
          <cell r="E34" t="str">
            <v>01 Mano de obra y prestaciones</v>
          </cell>
        </row>
        <row r="35">
          <cell r="A35">
            <v>31103134</v>
          </cell>
          <cell r="B35" t="str">
            <v>Refeitório</v>
          </cell>
          <cell r="C35" t="str">
            <v>31103134-Refeitório</v>
          </cell>
          <cell r="D35" t="str">
            <v>03-BENEFICIOS</v>
          </cell>
          <cell r="E35" t="str">
            <v>03 Servicios externos</v>
          </cell>
        </row>
        <row r="36">
          <cell r="A36">
            <v>31104131</v>
          </cell>
          <cell r="B36" t="str">
            <v>Materiais de Segurança</v>
          </cell>
          <cell r="C36" t="str">
            <v>31104131-Materiais de Segurança</v>
          </cell>
          <cell r="D36" t="str">
            <v>03-BENEFICIOS</v>
          </cell>
          <cell r="E36" t="str">
            <v>02 Materiales  y repuestos</v>
          </cell>
        </row>
        <row r="37">
          <cell r="A37">
            <v>31103138</v>
          </cell>
          <cell r="B37" t="str">
            <v>Materiais de Seguranca</v>
          </cell>
          <cell r="C37" t="str">
            <v>31103138-Materiais de Seguranca</v>
          </cell>
          <cell r="D37" t="str">
            <v>03-BENEFICIOS</v>
          </cell>
          <cell r="E37" t="str">
            <v>02 Materiales  y repuestos</v>
          </cell>
        </row>
        <row r="38">
          <cell r="A38">
            <v>31103146</v>
          </cell>
          <cell r="B38" t="str">
            <v>Transporte de Pessoal</v>
          </cell>
          <cell r="C38" t="str">
            <v>31103146-Transporte de Pessoal</v>
          </cell>
          <cell r="D38" t="str">
            <v>03-BENEFICIOS</v>
          </cell>
          <cell r="E38" t="str">
            <v>03 Servicios externos</v>
          </cell>
        </row>
        <row r="39">
          <cell r="A39">
            <v>31103149</v>
          </cell>
          <cell r="B39" t="str">
            <v>Alugueis de casa</v>
          </cell>
          <cell r="C39" t="str">
            <v>31103149-Alugueis de casa</v>
          </cell>
          <cell r="D39" t="str">
            <v>03-BENEFICIOS</v>
          </cell>
          <cell r="E39" t="str">
            <v>03 Servicios externos</v>
          </cell>
        </row>
        <row r="40">
          <cell r="A40">
            <v>31103157</v>
          </cell>
          <cell r="B40" t="str">
            <v>Formação Profissional</v>
          </cell>
          <cell r="C40" t="str">
            <v>31103157-Formação Profissional</v>
          </cell>
          <cell r="D40" t="str">
            <v>03-BENEFICIOS</v>
          </cell>
          <cell r="E40" t="str">
            <v>03 Servicios externos</v>
          </cell>
        </row>
        <row r="41">
          <cell r="A41">
            <v>31103160</v>
          </cell>
          <cell r="B41" t="str">
            <v>Medicamentos e Drogas</v>
          </cell>
          <cell r="C41" t="str">
            <v>31103160-Medicamentos e Drogas</v>
          </cell>
          <cell r="D41" t="str">
            <v>03-BENEFICIOS</v>
          </cell>
          <cell r="E41" t="str">
            <v>03 Servicios externos</v>
          </cell>
        </row>
        <row r="42">
          <cell r="A42">
            <v>31103169</v>
          </cell>
          <cell r="B42" t="str">
            <v>Auxilio Funerário</v>
          </cell>
          <cell r="C42" t="str">
            <v>31103169-Auxilio Funerário</v>
          </cell>
          <cell r="D42" t="str">
            <v>03-BENEFICIOS</v>
          </cell>
          <cell r="E42" t="str">
            <v>03 Servicios externos</v>
          </cell>
        </row>
        <row r="43">
          <cell r="A43">
            <v>31104123</v>
          </cell>
          <cell r="B43" t="str">
            <v>Materiais de Ambulatório</v>
          </cell>
          <cell r="C43" t="str">
            <v>31104123-Materiais de Ambulatório</v>
          </cell>
          <cell r="D43" t="str">
            <v>03-BENEFICIOS</v>
          </cell>
          <cell r="E43" t="str">
            <v>02 Materiales  y repuestos</v>
          </cell>
        </row>
        <row r="44">
          <cell r="A44">
            <v>31101151</v>
          </cell>
          <cell r="B44" t="str">
            <v>Indenizações Trabalhistas</v>
          </cell>
          <cell r="C44" t="str">
            <v>31101151-Indenizações Trabalhistas</v>
          </cell>
          <cell r="D44" t="str">
            <v>04-ADVOCATICIOS</v>
          </cell>
          <cell r="E44" t="str">
            <v>03 Servicios externos</v>
          </cell>
        </row>
        <row r="45">
          <cell r="A45">
            <v>31102104</v>
          </cell>
          <cell r="B45" t="str">
            <v>Servicos Advogaticios</v>
          </cell>
          <cell r="C45" t="str">
            <v>31102104-Servicos Advogaticios</v>
          </cell>
          <cell r="D45" t="str">
            <v>04-ADVOCATICIOS</v>
          </cell>
          <cell r="E45" t="str">
            <v>03 Servicios externos</v>
          </cell>
        </row>
        <row r="46">
          <cell r="A46">
            <v>31103119</v>
          </cell>
          <cell r="B46" t="str">
            <v>Despesas Legais</v>
          </cell>
          <cell r="C46" t="str">
            <v>31103119-Despesas Legais</v>
          </cell>
          <cell r="D46" t="str">
            <v>04-ADVOCATICIOS</v>
          </cell>
          <cell r="E46" t="str">
            <v>03 Servicios externos</v>
          </cell>
        </row>
        <row r="47">
          <cell r="A47">
            <v>31103132</v>
          </cell>
          <cell r="B47" t="str">
            <v>Indenizações</v>
          </cell>
          <cell r="C47" t="str">
            <v>31103132-Indenizações</v>
          </cell>
          <cell r="D47" t="str">
            <v>04-ADVOCATICIOS</v>
          </cell>
          <cell r="E47" t="str">
            <v>03 Servicios externos</v>
          </cell>
        </row>
        <row r="48">
          <cell r="A48">
            <v>31103142</v>
          </cell>
          <cell r="B48" t="str">
            <v>Despesas com cartório / xerox / Autenticações</v>
          </cell>
          <cell r="C48" t="str">
            <v>31103142-Despesas com cartório / xerox / Autenticações</v>
          </cell>
          <cell r="D48" t="str">
            <v>04-ADVOCATICIOS</v>
          </cell>
          <cell r="E48" t="str">
            <v>03 Servicios externos</v>
          </cell>
        </row>
        <row r="49">
          <cell r="A49">
            <v>31103150</v>
          </cell>
          <cell r="B49" t="str">
            <v>INSS S/ Reclamações Trabalhistas</v>
          </cell>
          <cell r="C49" t="str">
            <v>31103150-INSS S/ Reclamações Trabalhistas</v>
          </cell>
          <cell r="D49" t="str">
            <v>04-ADVOCATICIOS</v>
          </cell>
          <cell r="E49" t="str">
            <v>03 Servicios externos</v>
          </cell>
        </row>
        <row r="50">
          <cell r="A50">
            <v>31102101</v>
          </cell>
          <cell r="B50" t="str">
            <v>Auditoria</v>
          </cell>
          <cell r="C50" t="str">
            <v>31102101-Auditoria</v>
          </cell>
          <cell r="D50" t="str">
            <v>05-SERVICOS TERCEIROS</v>
          </cell>
          <cell r="E50" t="str">
            <v>03 Servicios externos</v>
          </cell>
        </row>
        <row r="51">
          <cell r="A51">
            <v>31102102</v>
          </cell>
          <cell r="B51" t="str">
            <v>Consultoria Fiscal/Tributaria</v>
          </cell>
          <cell r="C51" t="str">
            <v>31102102-Consultoria Fiscal/Tributaria</v>
          </cell>
          <cell r="D51" t="str">
            <v>05-SERVICOS TERCEIROS</v>
          </cell>
          <cell r="E51" t="str">
            <v>03 Servicios externos</v>
          </cell>
        </row>
        <row r="52">
          <cell r="A52">
            <v>31102103</v>
          </cell>
          <cell r="B52" t="str">
            <v>Outros Servicos-PJ</v>
          </cell>
          <cell r="C52" t="str">
            <v>31102103-Outros Servicos-PJ</v>
          </cell>
          <cell r="D52" t="str">
            <v>05-SERVICOS TERCEIROS</v>
          </cell>
          <cell r="E52" t="str">
            <v>03 Servicios externos</v>
          </cell>
        </row>
        <row r="53">
          <cell r="A53">
            <v>31102105</v>
          </cell>
          <cell r="B53" t="str">
            <v>Servicos de Manutencao e Reparos-PJ</v>
          </cell>
          <cell r="C53" t="str">
            <v>31102105-Servicos de Manutencao e Reparos-PJ</v>
          </cell>
          <cell r="D53" t="str">
            <v>05-SERVICOS TERCEIROS</v>
          </cell>
          <cell r="E53" t="str">
            <v>03 Servicios externos</v>
          </cell>
        </row>
        <row r="54">
          <cell r="A54">
            <v>31102106</v>
          </cell>
          <cell r="B54" t="str">
            <v>Servicos de Maquinas e Tratores</v>
          </cell>
          <cell r="C54" t="str">
            <v>31102106-Servicos de Maquinas e Tratores</v>
          </cell>
          <cell r="D54" t="str">
            <v>05-SERVICOS TERCEIROS</v>
          </cell>
          <cell r="E54" t="str">
            <v>03 Servicios externos</v>
          </cell>
        </row>
        <row r="55">
          <cell r="A55">
            <v>31102107</v>
          </cell>
          <cell r="B55" t="str">
            <v>Transporte/Carregamento Cana de Acucar</v>
          </cell>
          <cell r="C55" t="str">
            <v>31102107-Transporte/Carregamento Cana de Acucar</v>
          </cell>
          <cell r="D55" t="str">
            <v>05-SERVICOS TERCEIROS</v>
          </cell>
          <cell r="E55" t="str">
            <v>03 Servicios externos</v>
          </cell>
        </row>
        <row r="56">
          <cell r="A56">
            <v>31102108</v>
          </cell>
          <cell r="B56" t="str">
            <v>Agenciadores Consolidados</v>
          </cell>
          <cell r="C56" t="str">
            <v>31102108-Agenciadores Consolidados</v>
          </cell>
          <cell r="D56" t="str">
            <v>05-SERVICOS TERCEIROS</v>
          </cell>
          <cell r="E56" t="str">
            <v>03 Servicios externos</v>
          </cell>
        </row>
        <row r="57">
          <cell r="A57">
            <v>31102109</v>
          </cell>
          <cell r="B57" t="str">
            <v>Serviços de Recuperação/Revisão</v>
          </cell>
          <cell r="C57" t="str">
            <v>31102109-Serviços de Recuperação/Revisão</v>
          </cell>
          <cell r="D57" t="str">
            <v>05-SERVICOS TERCEIROS</v>
          </cell>
          <cell r="E57" t="str">
            <v>03 Servicios externos</v>
          </cell>
        </row>
        <row r="58">
          <cell r="A58">
            <v>31102403</v>
          </cell>
          <cell r="B58" t="str">
            <v>Transp/Carregamentos Cana-de-açucar-Pims</v>
          </cell>
          <cell r="C58" t="str">
            <v>31102403-Transp/Carregamentos Cana-de-açucar-Pims</v>
          </cell>
          <cell r="D58" t="str">
            <v>05-SERVICOS TERCEIROS</v>
          </cell>
          <cell r="E58" t="str">
            <v>03 Servicios externos</v>
          </cell>
        </row>
        <row r="59">
          <cell r="A59">
            <v>31102110</v>
          </cell>
          <cell r="B59" t="str">
            <v>Serviços de Veiculos</v>
          </cell>
          <cell r="C59" t="str">
            <v>31102110-Serviços de Veiculos</v>
          </cell>
          <cell r="D59" t="str">
            <v>05-SERVICOS TERCEIROS</v>
          </cell>
          <cell r="E59" t="str">
            <v>03 Servicios externos</v>
          </cell>
        </row>
        <row r="60">
          <cell r="A60">
            <v>31102111</v>
          </cell>
          <cell r="B60" t="str">
            <v>Serviços de Veiculos-PJ</v>
          </cell>
          <cell r="C60" t="str">
            <v>31102111-Serviços de Veiculos-PJ</v>
          </cell>
          <cell r="D60" t="str">
            <v>05-SERVICOS TERCEIROS</v>
          </cell>
          <cell r="E60" t="str">
            <v>03 Servicios externos</v>
          </cell>
        </row>
        <row r="61">
          <cell r="A61">
            <v>31102112</v>
          </cell>
          <cell r="B61" t="str">
            <v>Assistência Tecnica-Terceiros</v>
          </cell>
          <cell r="C61" t="str">
            <v>31102112-Assistência Tecnica-Terceiros</v>
          </cell>
          <cell r="D61" t="str">
            <v>05-SERVICOS TERCEIROS</v>
          </cell>
          <cell r="E61" t="str">
            <v>03 Servicios externos</v>
          </cell>
        </row>
        <row r="62">
          <cell r="A62">
            <v>31102113</v>
          </cell>
          <cell r="B62" t="str">
            <v>Honorários Profissionais</v>
          </cell>
          <cell r="C62" t="str">
            <v>31102113-Honorários Profissionais</v>
          </cell>
          <cell r="D62" t="str">
            <v>05-SERVICOS TERCEIROS</v>
          </cell>
          <cell r="E62" t="str">
            <v>03 Servicios externos</v>
          </cell>
        </row>
        <row r="63">
          <cell r="A63">
            <v>31102114</v>
          </cell>
          <cell r="B63" t="str">
            <v>Comissões e Corretagens</v>
          </cell>
          <cell r="C63" t="str">
            <v>31102114-Comissões e Corretagens</v>
          </cell>
          <cell r="D63" t="str">
            <v>13-DESPESAS VENDAS</v>
          </cell>
          <cell r="E63" t="str">
            <v>03 Servicios externos</v>
          </cell>
        </row>
        <row r="64">
          <cell r="A64">
            <v>31102115</v>
          </cell>
          <cell r="B64" t="str">
            <v>Serviços de Manutenção e Reparos-PF</v>
          </cell>
          <cell r="C64" t="str">
            <v>31102115-Serviços de Manutenção e Reparos-PF</v>
          </cell>
          <cell r="D64" t="str">
            <v>05-SERVICOS TERCEIROS</v>
          </cell>
          <cell r="E64" t="str">
            <v>03 Servicios externos</v>
          </cell>
        </row>
        <row r="65">
          <cell r="A65">
            <v>31102116</v>
          </cell>
          <cell r="B65" t="str">
            <v>Assistência Tecnica</v>
          </cell>
          <cell r="C65" t="str">
            <v>31102116-Assistência Tecnica</v>
          </cell>
          <cell r="D65" t="str">
            <v>05-SERVICOS TERCEIROS</v>
          </cell>
          <cell r="E65" t="str">
            <v>03 Servicios externos</v>
          </cell>
        </row>
        <row r="66">
          <cell r="A66">
            <v>31102117</v>
          </cell>
          <cell r="B66" t="str">
            <v>Assessoria e Consultoria</v>
          </cell>
          <cell r="C66" t="str">
            <v>31102117-Assessoria e Consultoria</v>
          </cell>
          <cell r="D66" t="str">
            <v>05-SERVICOS TERCEIROS</v>
          </cell>
          <cell r="E66" t="str">
            <v>03 Servicios externos</v>
          </cell>
        </row>
        <row r="67">
          <cell r="A67">
            <v>31102126</v>
          </cell>
          <cell r="B67" t="str">
            <v>Royalties</v>
          </cell>
          <cell r="C67" t="str">
            <v>31102126-Royalties</v>
          </cell>
          <cell r="D67" t="str">
            <v>05-SERVICOS TERCEIROS</v>
          </cell>
          <cell r="E67" t="str">
            <v>03 Servicios externos</v>
          </cell>
        </row>
        <row r="68">
          <cell r="A68">
            <v>31102118</v>
          </cell>
          <cell r="B68" t="str">
            <v>Serviço de Beneficiamento</v>
          </cell>
          <cell r="C68" t="str">
            <v>31102118-Serviço de Beneficiamento</v>
          </cell>
          <cell r="D68" t="str">
            <v>05-SERVICOS TERCEIROS</v>
          </cell>
          <cell r="E68" t="str">
            <v>03 Servicios externos</v>
          </cell>
        </row>
        <row r="69">
          <cell r="A69">
            <v>31102119</v>
          </cell>
          <cell r="B69" t="str">
            <v>Serviços Administrativos</v>
          </cell>
          <cell r="C69" t="str">
            <v>31102119-Serviços Administrativos</v>
          </cell>
          <cell r="D69" t="str">
            <v>05-SERVICOS TERCEIROS</v>
          </cell>
          <cell r="E69" t="str">
            <v>03 Servicios externos</v>
          </cell>
        </row>
        <row r="70">
          <cell r="A70">
            <v>31102121</v>
          </cell>
          <cell r="B70" t="str">
            <v>Serviços de segurança e vigilancia</v>
          </cell>
          <cell r="C70" t="str">
            <v>31102121-Serviços de segurança e vigilancia</v>
          </cell>
          <cell r="D70" t="str">
            <v>05-SERVICOS TERCEIROS</v>
          </cell>
          <cell r="E70" t="str">
            <v>03 Servicios externos</v>
          </cell>
        </row>
        <row r="71">
          <cell r="A71">
            <v>31102305</v>
          </cell>
          <cell r="B71" t="str">
            <v>Serviços Manut.Reparos-PJ-Entressafra</v>
          </cell>
          <cell r="C71" t="str">
            <v>31102305-Serviços Manut.Reparos-PJ-Entressafra</v>
          </cell>
          <cell r="D71" t="str">
            <v>05-SERVICOS TERCEIROS</v>
          </cell>
          <cell r="E71" t="str">
            <v>03 Servicios externos</v>
          </cell>
        </row>
        <row r="72">
          <cell r="A72">
            <v>31102401</v>
          </cell>
          <cell r="B72" t="str">
            <v>Alugueis Máq Tratores e Equip - Pims</v>
          </cell>
          <cell r="C72" t="str">
            <v>31102401-Alugueis Máq Tratores e Equip - Pims</v>
          </cell>
          <cell r="D72" t="str">
            <v>05-SERVICOS TERCEIROS</v>
          </cell>
          <cell r="E72" t="str">
            <v>03 Servicios externos</v>
          </cell>
        </row>
        <row r="73">
          <cell r="A73">
            <v>31102402</v>
          </cell>
          <cell r="B73" t="str">
            <v>Serviços Máq Tratores e Equip - Pims</v>
          </cell>
          <cell r="C73" t="str">
            <v>31102402-Serviços Máq Tratores e Equip - Pims</v>
          </cell>
          <cell r="D73" t="str">
            <v>05-SERVICOS TERCEIROS</v>
          </cell>
          <cell r="E73" t="str">
            <v>03 Servicios externos</v>
          </cell>
        </row>
        <row r="74">
          <cell r="A74">
            <v>31102403</v>
          </cell>
          <cell r="B74" t="str">
            <v>Transp/Carregamentos Cana-de-açucar-Pims</v>
          </cell>
          <cell r="C74" t="str">
            <v>31102403-Transp/Carregamentos Cana-de-açucar-Pims</v>
          </cell>
          <cell r="D74" t="str">
            <v>05-SERVICOS TERCEIROS</v>
          </cell>
          <cell r="E74" t="str">
            <v>03 Servicios externos</v>
          </cell>
        </row>
        <row r="75">
          <cell r="A75">
            <v>31102404</v>
          </cell>
          <cell r="B75" t="str">
            <v>Transporte de Pessoal - Pims</v>
          </cell>
          <cell r="C75" t="str">
            <v>31102404-Transporte de Pessoal - Pims</v>
          </cell>
          <cell r="D75" t="str">
            <v>03-BENEFICIOS</v>
          </cell>
          <cell r="E75" t="str">
            <v>03 Servicios externos</v>
          </cell>
        </row>
        <row r="76">
          <cell r="A76">
            <v>31102405</v>
          </cell>
          <cell r="B76" t="str">
            <v>Serviços Gerais - Pims</v>
          </cell>
          <cell r="C76" t="str">
            <v>31102405-Serviços Gerais - Pims</v>
          </cell>
          <cell r="D76" t="str">
            <v>05-SERVICOS TERCEIROS</v>
          </cell>
          <cell r="E76" t="str">
            <v>03 Servicios externos</v>
          </cell>
        </row>
        <row r="77">
          <cell r="A77">
            <v>31102406</v>
          </cell>
          <cell r="B77" t="str">
            <v>Transportes Diversos</v>
          </cell>
          <cell r="C77" t="str">
            <v>31102406-Transportes Diversos</v>
          </cell>
          <cell r="D77" t="str">
            <v>05-SERVICOS TERCEIROS</v>
          </cell>
          <cell r="E77" t="str">
            <v>03 Servicios externos</v>
          </cell>
        </row>
        <row r="78">
          <cell r="A78">
            <v>31102407</v>
          </cell>
          <cell r="B78" t="str">
            <v>Carregamento Cana-de-açucar</v>
          </cell>
          <cell r="C78" t="str">
            <v>31102407-Carregamento Cana-de-açucar</v>
          </cell>
          <cell r="D78" t="str">
            <v>05-SERVICOS TERCEIROS</v>
          </cell>
          <cell r="E78" t="str">
            <v>03 Servicios externos</v>
          </cell>
        </row>
        <row r="79">
          <cell r="A79">
            <v>31102408</v>
          </cell>
          <cell r="B79" t="str">
            <v>Transporte Cana Muda</v>
          </cell>
          <cell r="C79" t="str">
            <v>31102408-Transporte Cana Muda</v>
          </cell>
          <cell r="D79" t="str">
            <v>05-SERVICOS TERCEIROS</v>
          </cell>
          <cell r="E79" t="str">
            <v>03 Servicios externos</v>
          </cell>
        </row>
        <row r="80">
          <cell r="A80">
            <v>31102409</v>
          </cell>
          <cell r="B80" t="str">
            <v>Carregamento Cana Muda</v>
          </cell>
          <cell r="C80" t="str">
            <v>31102409-Carregamento Cana Muda</v>
          </cell>
          <cell r="D80" t="str">
            <v>05-SERVICOS TERCEIROS</v>
          </cell>
          <cell r="E80" t="str">
            <v>03 Servicios externos</v>
          </cell>
        </row>
        <row r="81">
          <cell r="A81">
            <v>31102410</v>
          </cell>
          <cell r="B81" t="str">
            <v>Serviços Colheita Mecanizada</v>
          </cell>
          <cell r="C81" t="str">
            <v>31102410-Serviços Colheita Mecanizada</v>
          </cell>
          <cell r="D81" t="str">
            <v>05-SERVICOS TERCEIROS</v>
          </cell>
          <cell r="E81" t="str">
            <v>03 Servicios externos</v>
          </cell>
        </row>
        <row r="82">
          <cell r="A82">
            <v>31103102</v>
          </cell>
          <cell r="B82" t="str">
            <v>Alugueis de Maquinas e Equipamentos</v>
          </cell>
          <cell r="C82" t="str">
            <v>31103102-Alugueis de Maquinas e Equipamentos</v>
          </cell>
          <cell r="D82" t="str">
            <v>05-SERVICOS TERCEIROS</v>
          </cell>
          <cell r="E82" t="str">
            <v>03 Servicios externos</v>
          </cell>
        </row>
        <row r="83">
          <cell r="A83">
            <v>31103103</v>
          </cell>
          <cell r="B83" t="str">
            <v>Alugueis</v>
          </cell>
          <cell r="C83" t="str">
            <v>31103103-Alugueis</v>
          </cell>
          <cell r="D83" t="str">
            <v>05-SERVICOS TERCEIROS</v>
          </cell>
          <cell r="E83" t="str">
            <v>03 Servicios externos</v>
          </cell>
        </row>
        <row r="84">
          <cell r="A84">
            <v>31103127</v>
          </cell>
          <cell r="B84" t="str">
            <v>Fretes e Carretos</v>
          </cell>
          <cell r="C84" t="str">
            <v>31103127-Fretes e Carretos</v>
          </cell>
          <cell r="D84" t="str">
            <v>05-SERVICOS TERCEIROS</v>
          </cell>
          <cell r="E84" t="str">
            <v>03 Servicios externos</v>
          </cell>
        </row>
        <row r="85">
          <cell r="A85">
            <v>31103143</v>
          </cell>
          <cell r="B85" t="str">
            <v>Seguranca e Vigilancia</v>
          </cell>
          <cell r="C85" t="str">
            <v>31103143-Seguranca e Vigilancia</v>
          </cell>
          <cell r="D85" t="str">
            <v>05-SERVICOS TERCEIROS</v>
          </cell>
          <cell r="E85" t="str">
            <v>03 Servicios externos</v>
          </cell>
        </row>
        <row r="86">
          <cell r="A86">
            <v>31103144</v>
          </cell>
          <cell r="B86" t="str">
            <v>Seguros Gerais</v>
          </cell>
          <cell r="C86" t="str">
            <v>31103144-Seguros Gerais</v>
          </cell>
          <cell r="D86" t="str">
            <v>05-SERVICOS TERCEIROS</v>
          </cell>
          <cell r="E86" t="str">
            <v>03 Servicios externos</v>
          </cell>
        </row>
        <row r="87">
          <cell r="A87">
            <v>31103158</v>
          </cell>
          <cell r="B87" t="str">
            <v>Alugueis de Veículos</v>
          </cell>
          <cell r="C87" t="str">
            <v>31103158-Alugueis de Veículos</v>
          </cell>
          <cell r="D87" t="str">
            <v>05-SERVICOS TERCEIROS</v>
          </cell>
          <cell r="E87" t="str">
            <v>03 Servicios externos</v>
          </cell>
        </row>
        <row r="88">
          <cell r="A88">
            <v>31103163</v>
          </cell>
          <cell r="B88" t="str">
            <v>Serviços de Condominio-SP</v>
          </cell>
          <cell r="C88" t="str">
            <v>31103163-Serviços de Condominio-SP</v>
          </cell>
          <cell r="D88" t="str">
            <v>05-SERVICOS TERCEIROS</v>
          </cell>
          <cell r="E88" t="str">
            <v>03 Servicios externos</v>
          </cell>
        </row>
        <row r="89">
          <cell r="A89">
            <v>31103147</v>
          </cell>
          <cell r="B89" t="str">
            <v>Utensilios e Ferramentas</v>
          </cell>
          <cell r="C89" t="str">
            <v>31103147-Utensilios e Ferramentas</v>
          </cell>
          <cell r="D89" t="str">
            <v>06-MATERIAIS MANUTENCAO</v>
          </cell>
          <cell r="E89" t="str">
            <v>02 Materiales  y repuestos</v>
          </cell>
        </row>
        <row r="90">
          <cell r="A90">
            <v>31103162</v>
          </cell>
          <cell r="B90" t="str">
            <v>Pneus e Camaras</v>
          </cell>
          <cell r="C90" t="str">
            <v>31103162-Pneus e Camaras</v>
          </cell>
          <cell r="D90" t="str">
            <v>06-MATERIAIS MANUTENCAO</v>
          </cell>
          <cell r="E90" t="str">
            <v>02 Materiales  y repuestos</v>
          </cell>
        </row>
        <row r="91">
          <cell r="A91">
            <v>31104108</v>
          </cell>
          <cell r="B91" t="str">
            <v>Materiais Eletricos</v>
          </cell>
          <cell r="C91" t="str">
            <v>31104108-Materiais Eletricos</v>
          </cell>
          <cell r="D91" t="str">
            <v>06-MATERIAIS MANUTENCAO</v>
          </cell>
          <cell r="E91" t="str">
            <v>02 Materiales  y repuestos</v>
          </cell>
        </row>
        <row r="92">
          <cell r="A92">
            <v>31104109</v>
          </cell>
          <cell r="B92" t="str">
            <v>Materiais Manutenção Mecânica</v>
          </cell>
          <cell r="C92" t="str">
            <v>31104109-Materiais Manutenção Mecânica</v>
          </cell>
          <cell r="D92" t="str">
            <v>06-MATERIAIS MANUTENCAO</v>
          </cell>
          <cell r="E92" t="str">
            <v>02 Materiales  y repuestos</v>
          </cell>
        </row>
        <row r="93">
          <cell r="A93">
            <v>31104110</v>
          </cell>
          <cell r="B93" t="str">
            <v>Peças e Acessorios de Veiculos</v>
          </cell>
          <cell r="C93" t="str">
            <v>31104110-Peças e Acessorios de Veiculos</v>
          </cell>
          <cell r="D93" t="str">
            <v>06-MATERIAIS MANUTENCAO</v>
          </cell>
          <cell r="E93" t="str">
            <v>02 Materiales  y repuestos</v>
          </cell>
        </row>
        <row r="94">
          <cell r="A94">
            <v>31104111</v>
          </cell>
          <cell r="B94" t="str">
            <v>Pneus e Camaras</v>
          </cell>
          <cell r="C94" t="str">
            <v>31104111-Pneus e Camaras</v>
          </cell>
          <cell r="D94" t="str">
            <v>06-MATERIAIS MANUTENCAO</v>
          </cell>
          <cell r="E94" t="str">
            <v>02 Materiales  y repuestos</v>
          </cell>
        </row>
        <row r="95">
          <cell r="A95">
            <v>31104114</v>
          </cell>
          <cell r="B95" t="str">
            <v>Peças Industriais</v>
          </cell>
          <cell r="C95" t="str">
            <v>31104114-Peças Industriais</v>
          </cell>
          <cell r="D95" t="str">
            <v>06-MATERIAIS MANUTENCAO</v>
          </cell>
          <cell r="E95" t="str">
            <v>02 Materiales  y repuestos</v>
          </cell>
        </row>
        <row r="96">
          <cell r="A96">
            <v>31104137</v>
          </cell>
          <cell r="B96" t="str">
            <v>Utensilios e outros equipamentos</v>
          </cell>
          <cell r="C96" t="str">
            <v>31104137-Utensilios e outros equipamentos</v>
          </cell>
          <cell r="D96" t="str">
            <v>06-MATERIAIS MANUTENCAO</v>
          </cell>
          <cell r="E96" t="str">
            <v>02 Materiales  y repuestos</v>
          </cell>
        </row>
        <row r="97">
          <cell r="A97">
            <v>31104115</v>
          </cell>
          <cell r="B97" t="str">
            <v>Materiais Hidraulicos</v>
          </cell>
          <cell r="C97" t="str">
            <v>31104115-Materiais Hidraulicos</v>
          </cell>
          <cell r="D97" t="str">
            <v>06-MATERIAIS MANUTENCAO</v>
          </cell>
          <cell r="E97" t="str">
            <v>02 Materiales  y repuestos</v>
          </cell>
        </row>
        <row r="98">
          <cell r="A98">
            <v>31104119</v>
          </cell>
          <cell r="B98" t="str">
            <v>Materiais de Manutenção Pneumática</v>
          </cell>
          <cell r="C98" t="str">
            <v>31104119-Materiais de Manutenção Pneumática</v>
          </cell>
          <cell r="D98" t="str">
            <v>06-MATERIAIS MANUTENCAO</v>
          </cell>
          <cell r="E98" t="str">
            <v>02 Materiales  y repuestos</v>
          </cell>
        </row>
        <row r="99">
          <cell r="A99">
            <v>31104120</v>
          </cell>
          <cell r="B99" t="str">
            <v>Materiais de construção civil</v>
          </cell>
          <cell r="C99" t="str">
            <v>31104120-Materiais de construção civil</v>
          </cell>
          <cell r="D99" t="str">
            <v>06-MATERIAIS MANUTENCAO</v>
          </cell>
          <cell r="E99" t="str">
            <v>02 Materiales  y repuestos</v>
          </cell>
        </row>
        <row r="100">
          <cell r="A100">
            <v>31104121</v>
          </cell>
          <cell r="B100" t="str">
            <v>Materiais e Utensilios de Pinturas</v>
          </cell>
          <cell r="C100" t="str">
            <v>31104121-Materiais e Utensilios de Pinturas</v>
          </cell>
          <cell r="D100" t="str">
            <v>06-MATERIAIS MANUTENCAO</v>
          </cell>
          <cell r="E100" t="str">
            <v>02 Materiales  y repuestos</v>
          </cell>
        </row>
        <row r="101">
          <cell r="A101">
            <v>31104122</v>
          </cell>
          <cell r="B101" t="str">
            <v>Materiais de Soldas</v>
          </cell>
          <cell r="C101" t="str">
            <v>31104122-Materiais de Soldas</v>
          </cell>
          <cell r="D101" t="str">
            <v>06-MATERIAIS MANUTENCAO</v>
          </cell>
          <cell r="E101" t="str">
            <v>02 Materiales  y repuestos</v>
          </cell>
        </row>
        <row r="102">
          <cell r="A102">
            <v>31104124</v>
          </cell>
          <cell r="B102" t="str">
            <v>Materiais e Vidrarias p/laboratorio</v>
          </cell>
          <cell r="C102" t="str">
            <v>31104124-Materiais e Vidrarias p/laboratorio</v>
          </cell>
          <cell r="D102" t="str">
            <v>06-MATERIAIS MANUTENCAO</v>
          </cell>
          <cell r="E102" t="str">
            <v>02 Materiales  y repuestos</v>
          </cell>
        </row>
        <row r="103">
          <cell r="A103">
            <v>31104129</v>
          </cell>
          <cell r="B103" t="str">
            <v>Materiais Ferrosos e Chaparias</v>
          </cell>
          <cell r="C103" t="str">
            <v>31104129-Materiais Ferrosos e Chaparias</v>
          </cell>
          <cell r="D103" t="str">
            <v>06-MATERIAIS MANUTENCAO</v>
          </cell>
          <cell r="E103" t="str">
            <v>02 Materiales  y repuestos</v>
          </cell>
        </row>
        <row r="104">
          <cell r="A104">
            <v>31104130</v>
          </cell>
          <cell r="B104" t="str">
            <v>Materiais de Automação</v>
          </cell>
          <cell r="C104" t="str">
            <v>31104130-Materiais de Automação</v>
          </cell>
          <cell r="D104" t="str">
            <v>06-MATERIAIS MANUTENCAO</v>
          </cell>
          <cell r="E104" t="str">
            <v>02 Materiales  y repuestos</v>
          </cell>
        </row>
        <row r="105">
          <cell r="A105">
            <v>31104303</v>
          </cell>
          <cell r="B105" t="str">
            <v>Materiais de Manutenção-Entressafra</v>
          </cell>
          <cell r="C105" t="str">
            <v>31104303-Materiais de Manutenção-Entressafra</v>
          </cell>
          <cell r="D105" t="str">
            <v>06-MATERIAIS MANUTENCAO</v>
          </cell>
          <cell r="E105" t="str">
            <v>02 Materiales  y repuestos</v>
          </cell>
        </row>
        <row r="106">
          <cell r="A106">
            <v>31104136</v>
          </cell>
          <cell r="B106" t="str">
            <v>Embalagens</v>
          </cell>
          <cell r="C106" t="str">
            <v>31104136-Embalagens</v>
          </cell>
          <cell r="D106" t="str">
            <v>07-INSUMOS</v>
          </cell>
          <cell r="E106" t="str">
            <v>02 Materiales  y repuestos</v>
          </cell>
        </row>
        <row r="107">
          <cell r="A107">
            <v>31103122</v>
          </cell>
          <cell r="B107" t="str">
            <v>Embalagens</v>
          </cell>
          <cell r="C107" t="str">
            <v>31103122-Embalagens</v>
          </cell>
          <cell r="D107" t="str">
            <v>07-INSUMOS</v>
          </cell>
          <cell r="E107" t="str">
            <v>02 Materiales  y repuestos</v>
          </cell>
        </row>
        <row r="108">
          <cell r="A108">
            <v>31104101</v>
          </cell>
          <cell r="B108" t="str">
            <v>Ajuste de Estoques-Almoxarifado</v>
          </cell>
          <cell r="C108" t="str">
            <v>31104101-Ajuste de Estoques-Almoxarifado</v>
          </cell>
          <cell r="D108" t="str">
            <v>07-INSUMOS</v>
          </cell>
          <cell r="E108" t="str">
            <v>02 Materiales  y repuestos</v>
          </cell>
        </row>
        <row r="109">
          <cell r="A109">
            <v>31104104</v>
          </cell>
          <cell r="B109" t="str">
            <v>Insumos Agricolas</v>
          </cell>
          <cell r="C109" t="str">
            <v>31104104-Insumos Agricolas</v>
          </cell>
          <cell r="D109" t="str">
            <v>07-INSUMOS</v>
          </cell>
          <cell r="E109" t="str">
            <v>02 Materiales  y repuestos</v>
          </cell>
        </row>
        <row r="110">
          <cell r="A110">
            <v>31104105</v>
          </cell>
          <cell r="B110" t="str">
            <v>Lenhas/Eucalipto Tratado</v>
          </cell>
          <cell r="C110" t="str">
            <v>31104105-Lenhas/Eucalipto Tratado</v>
          </cell>
          <cell r="D110" t="str">
            <v>07-INSUMOS</v>
          </cell>
          <cell r="E110" t="str">
            <v>02 Materiales  y repuestos</v>
          </cell>
        </row>
        <row r="111">
          <cell r="A111">
            <v>31104112</v>
          </cell>
          <cell r="B111" t="str">
            <v>Produtos Quimicos</v>
          </cell>
          <cell r="C111" t="str">
            <v>31104112-Produtos Quimicos</v>
          </cell>
          <cell r="D111" t="str">
            <v>07-INSUMOS</v>
          </cell>
          <cell r="E111" t="str">
            <v>02 Materiales  y repuestos</v>
          </cell>
        </row>
        <row r="112">
          <cell r="A112">
            <v>31104125</v>
          </cell>
          <cell r="B112" t="str">
            <v>Reagentes p/Laboratorio</v>
          </cell>
          <cell r="C112" t="str">
            <v>31104125-Reagentes p/Laboratorio</v>
          </cell>
          <cell r="D112" t="str">
            <v>07-INSUMOS</v>
          </cell>
          <cell r="E112" t="str">
            <v>02 Materiales  y repuestos</v>
          </cell>
        </row>
        <row r="113">
          <cell r="A113">
            <v>31103111</v>
          </cell>
          <cell r="B113" t="str">
            <v>Combustiveis e Lubrificantes</v>
          </cell>
          <cell r="C113" t="str">
            <v>31103111-Combustiveis e Lubrificantes</v>
          </cell>
          <cell r="D113" t="str">
            <v>08-COMBUSTIVEIS/LUBR</v>
          </cell>
          <cell r="E113" t="str">
            <v>02 Materiales  y repuestos</v>
          </cell>
        </row>
        <row r="114">
          <cell r="A114">
            <v>31104102</v>
          </cell>
          <cell r="B114" t="str">
            <v>Combustiveis</v>
          </cell>
          <cell r="C114" t="str">
            <v>31104102-Combustiveis</v>
          </cell>
          <cell r="D114" t="str">
            <v>08-COMBUSTIVEIS/LUBR</v>
          </cell>
          <cell r="E114" t="str">
            <v>02 Materiales  y repuestos</v>
          </cell>
        </row>
        <row r="115">
          <cell r="A115">
            <v>31104106</v>
          </cell>
          <cell r="B115" t="str">
            <v>Lubrificantes Industriais</v>
          </cell>
          <cell r="C115" t="str">
            <v>31104106-Lubrificantes Industriais</v>
          </cell>
          <cell r="D115" t="str">
            <v>08-COMBUSTIVEIS/LUBR</v>
          </cell>
          <cell r="E115" t="str">
            <v>02 Materiales  y repuestos</v>
          </cell>
        </row>
        <row r="116">
          <cell r="A116">
            <v>31104107</v>
          </cell>
          <cell r="B116" t="str">
            <v>Lubrificantes Veiculos</v>
          </cell>
          <cell r="C116" t="str">
            <v>31104107-Lubrificantes Veiculos</v>
          </cell>
          <cell r="D116" t="str">
            <v>08-COMBUSTIVEIS/LUBR</v>
          </cell>
          <cell r="E116" t="str">
            <v>02 Materiales  y repuestos</v>
          </cell>
        </row>
        <row r="117">
          <cell r="A117">
            <v>31101241</v>
          </cell>
          <cell r="B117" t="str">
            <v>Contribuição Sindical</v>
          </cell>
          <cell r="C117" t="str">
            <v>31101241-Contribuição Sindical</v>
          </cell>
          <cell r="D117" t="str">
            <v>09-IMPOSTOS/TAXAS/LICENCAS</v>
          </cell>
          <cell r="E117" t="str">
            <v>03 Servicios externos</v>
          </cell>
        </row>
        <row r="118">
          <cell r="A118">
            <v>31103108</v>
          </cell>
          <cell r="B118" t="str">
            <v>Ass de Classes / Contrib e Anuidades</v>
          </cell>
          <cell r="C118" t="str">
            <v>31103108-Ass de Classes / Contrib e Anuidades</v>
          </cell>
          <cell r="D118" t="str">
            <v>09-IMPOSTOS/TAXAS/LICENCAS</v>
          </cell>
          <cell r="E118" t="str">
            <v>03 Servicios externos</v>
          </cell>
        </row>
        <row r="119">
          <cell r="A119">
            <v>31103114</v>
          </cell>
          <cell r="B119" t="str">
            <v>Contribuicoes Anuidades</v>
          </cell>
          <cell r="C119" t="str">
            <v>31103114-Contribuicoes Anuidades</v>
          </cell>
          <cell r="D119" t="str">
            <v>09-IMPOSTOS/TAXAS/LICENCAS</v>
          </cell>
          <cell r="E119" t="str">
            <v>03 Servicios externos</v>
          </cell>
        </row>
        <row r="120">
          <cell r="A120">
            <v>31103121</v>
          </cell>
          <cell r="B120" t="str">
            <v>Donativos e Contribuicoes</v>
          </cell>
          <cell r="C120" t="str">
            <v>31103121-Donativos e Contribuicoes</v>
          </cell>
          <cell r="D120" t="str">
            <v>09-IMPOSTOS/TAXAS/LICENCAS</v>
          </cell>
          <cell r="E120" t="str">
            <v>03 Servicios externos</v>
          </cell>
        </row>
        <row r="121">
          <cell r="A121">
            <v>31103131</v>
          </cell>
          <cell r="B121" t="str">
            <v>Impostos, Taxas e Licencas</v>
          </cell>
          <cell r="C121" t="str">
            <v>31103131-Impostos, Taxas e Licencas</v>
          </cell>
          <cell r="D121" t="str">
            <v>09-IMPOSTOS/TAXAS/LICENCAS</v>
          </cell>
          <cell r="E121" t="str">
            <v>03 Servicios externos</v>
          </cell>
        </row>
        <row r="122">
          <cell r="A122">
            <v>31201116</v>
          </cell>
          <cell r="B122" t="str">
            <v>Despesas Bancarias</v>
          </cell>
          <cell r="C122" t="str">
            <v>31201116 - Despesas Bancarias</v>
          </cell>
          <cell r="D122" t="str">
            <v>09-IMPOSTOS/TAXAS/LICENCAS</v>
          </cell>
          <cell r="E122" t="str">
            <v>05 Gasto financiero</v>
          </cell>
        </row>
        <row r="123">
          <cell r="A123">
            <v>31103136</v>
          </cell>
          <cell r="B123" t="str">
            <v>Licenciamentos e Veiculos</v>
          </cell>
          <cell r="C123" t="str">
            <v>31103136-Licenciamentos e Veiculos</v>
          </cell>
          <cell r="D123" t="str">
            <v>09-IMPOSTOS/TAXAS/LICENCAS</v>
          </cell>
          <cell r="E123" t="str">
            <v>03 Servicios externos</v>
          </cell>
        </row>
        <row r="124">
          <cell r="A124">
            <v>31103140</v>
          </cell>
          <cell r="B124" t="str">
            <v>Multas de Transito</v>
          </cell>
          <cell r="C124" t="str">
            <v>31103140-Multas de Transito</v>
          </cell>
          <cell r="D124" t="str">
            <v>09-IMPOSTOS/TAXAS/LICENCAS</v>
          </cell>
          <cell r="E124" t="str">
            <v>03 Servicios externos</v>
          </cell>
        </row>
        <row r="125">
          <cell r="A125">
            <v>31103155</v>
          </cell>
          <cell r="B125" t="str">
            <v>Multas e Infrações Fiscais</v>
          </cell>
          <cell r="C125" t="str">
            <v>31103155-Multas e Infrações Fiscais</v>
          </cell>
          <cell r="D125" t="str">
            <v>09-IMPOSTOS/TAXAS/LICENCAS</v>
          </cell>
          <cell r="E125" t="str">
            <v>03 Servicios externos</v>
          </cell>
        </row>
        <row r="126">
          <cell r="A126">
            <v>31103167</v>
          </cell>
          <cell r="B126" t="str">
            <v>IPVA</v>
          </cell>
          <cell r="C126" t="str">
            <v>31103167-IPVA</v>
          </cell>
          <cell r="D126" t="str">
            <v>09-IMPOSTOS/TAXAS/LICENCAS</v>
          </cell>
          <cell r="E126" t="str">
            <v>03 Servicios externos</v>
          </cell>
        </row>
        <row r="127">
          <cell r="A127">
            <v>31201110</v>
          </cell>
          <cell r="B127" t="str">
            <v>Icms AIIM 2108712/000527/3102516/4006790</v>
          </cell>
          <cell r="C127" t="str">
            <v>31201110 - Icms AIIM 2108712/000527/3102516/4006790</v>
          </cell>
          <cell r="D127" t="str">
            <v>09-IMPOSTOS/TAXAS/LICENCAS</v>
          </cell>
          <cell r="E127" t="str">
            <v>03 Servicios externos</v>
          </cell>
        </row>
        <row r="128">
          <cell r="A128">
            <v>31103112</v>
          </cell>
          <cell r="B128" t="str">
            <v>Comunicacoes</v>
          </cell>
          <cell r="C128" t="str">
            <v>31103112-Comunicacoes</v>
          </cell>
          <cell r="D128" t="str">
            <v>10-SERVICIOS PÚBLI (AGUA/LUZ/TELEFONE)</v>
          </cell>
          <cell r="E128" t="str">
            <v>03 Servicios externos</v>
          </cell>
        </row>
        <row r="129">
          <cell r="A129">
            <v>31103113</v>
          </cell>
          <cell r="B129" t="str">
            <v>Consumo de Agua</v>
          </cell>
          <cell r="C129" t="str">
            <v>31103113-Consumo de Agua</v>
          </cell>
          <cell r="D129" t="str">
            <v>10-SERVICIOS PÚBLI (AGUA/LUZ/TELEFONE)</v>
          </cell>
          <cell r="E129" t="str">
            <v>03 Servicios externos</v>
          </cell>
        </row>
        <row r="130">
          <cell r="A130">
            <v>31103123</v>
          </cell>
          <cell r="B130" t="str">
            <v>Energia Eletrica</v>
          </cell>
          <cell r="C130" t="str">
            <v>31103123-Energia Eletrica</v>
          </cell>
          <cell r="D130" t="str">
            <v>10-SERVICIOS PÚBLI (AGUA/LUZ/TELEFONE)</v>
          </cell>
          <cell r="E130" t="str">
            <v>03 Servicios externos</v>
          </cell>
        </row>
        <row r="131">
          <cell r="A131">
            <v>31103145</v>
          </cell>
          <cell r="B131" t="str">
            <v>Comunicações / Telefones / Fax</v>
          </cell>
          <cell r="C131" t="str">
            <v>31103145-Comunicações / Telefones / Fax</v>
          </cell>
          <cell r="D131" t="str">
            <v>10-SERVICIOS PÚBLI (AGUA/LUZ/TELEFONE)</v>
          </cell>
          <cell r="E131" t="str">
            <v>03 Servicios externos</v>
          </cell>
        </row>
        <row r="132">
          <cell r="A132">
            <v>31103137</v>
          </cell>
          <cell r="B132" t="str">
            <v>Mat de Expediente,Uso e Consumo-Gerais</v>
          </cell>
          <cell r="C132" t="str">
            <v>31103137-Mat de Expediente,Uso e Consumo-Gerais</v>
          </cell>
          <cell r="D132" t="str">
            <v>11-MATERIAL ESCRITORIO</v>
          </cell>
          <cell r="E132" t="str">
            <v>02 Materiales  y repuestos</v>
          </cell>
        </row>
        <row r="133">
          <cell r="A133">
            <v>31104113</v>
          </cell>
          <cell r="B133" t="str">
            <v>Materiais de Expediente</v>
          </cell>
          <cell r="C133" t="str">
            <v>31104113-Materiais de Expediente</v>
          </cell>
          <cell r="D133" t="str">
            <v>11-MATERIAL ESCRITORIO</v>
          </cell>
          <cell r="E133" t="str">
            <v>02 Materiales  y repuestos</v>
          </cell>
        </row>
        <row r="134">
          <cell r="A134">
            <v>31104127</v>
          </cell>
          <cell r="B134" t="str">
            <v>Materiais de Escritorio</v>
          </cell>
          <cell r="C134" t="str">
            <v>31104127-Materiais de Escritorio</v>
          </cell>
          <cell r="D134" t="str">
            <v>11-MATERIAL ESCRITORIO</v>
          </cell>
          <cell r="E134" t="str">
            <v>02 Materiales  y repuestos</v>
          </cell>
        </row>
        <row r="135">
          <cell r="A135">
            <v>31104128</v>
          </cell>
          <cell r="B135" t="str">
            <v>Suprimentos de Informática</v>
          </cell>
          <cell r="C135" t="str">
            <v>31104128-Suprimentos de Informática</v>
          </cell>
          <cell r="D135" t="str">
            <v>11-MATERIAL ESCRITORIO</v>
          </cell>
          <cell r="E135" t="str">
            <v>02 Materiales  y repuestos</v>
          </cell>
        </row>
        <row r="136">
          <cell r="A136">
            <v>31103129</v>
          </cell>
          <cell r="B136" t="str">
            <v>Lanches e Refeicoes</v>
          </cell>
          <cell r="C136" t="str">
            <v>31103129-Lanches e Refeicoes</v>
          </cell>
          <cell r="D136" t="str">
            <v>12-DESPESAS VIAGENS</v>
          </cell>
          <cell r="E136" t="str">
            <v>03 Servicios externos</v>
          </cell>
        </row>
        <row r="137">
          <cell r="A137">
            <v>31103148</v>
          </cell>
          <cell r="B137" t="str">
            <v>Viagens e Estadias</v>
          </cell>
          <cell r="C137" t="str">
            <v>31103148-Viagens e Estadias</v>
          </cell>
          <cell r="D137" t="str">
            <v>12-DESPESAS VIAGENS</v>
          </cell>
          <cell r="E137" t="str">
            <v>03 Servicios externos</v>
          </cell>
        </row>
        <row r="138">
          <cell r="A138">
            <v>42101301</v>
          </cell>
          <cell r="B138" t="str">
            <v>Comissoes / Corretagens</v>
          </cell>
          <cell r="C138" t="str">
            <v>42101301-Comissoes / Corretagens</v>
          </cell>
          <cell r="D138" t="str">
            <v>13-DESPESAS VENDAS</v>
          </cell>
          <cell r="E138" t="str">
            <v>03 Servicios externos</v>
          </cell>
        </row>
        <row r="139">
          <cell r="A139">
            <v>42101302</v>
          </cell>
          <cell r="B139" t="str">
            <v>Fretes e Carretos - Alcool</v>
          </cell>
          <cell r="C139" t="str">
            <v>42101302-Fretes e Carretos - Alcool</v>
          </cell>
          <cell r="D139" t="str">
            <v>13-DESPESAS VENDAS</v>
          </cell>
          <cell r="E139" t="str">
            <v>03 Servicios externos</v>
          </cell>
        </row>
        <row r="140">
          <cell r="A140">
            <v>42101305</v>
          </cell>
          <cell r="B140" t="str">
            <v xml:space="preserve">Quebra de Alcool </v>
          </cell>
          <cell r="C140" t="str">
            <v xml:space="preserve">42101305-Quebra de Alcool </v>
          </cell>
          <cell r="D140" t="str">
            <v>13-DESPESAS VENDAS</v>
          </cell>
          <cell r="E140" t="str">
            <v>03 Servicios externos</v>
          </cell>
        </row>
        <row r="141">
          <cell r="A141">
            <v>31103101</v>
          </cell>
          <cell r="B141" t="str">
            <v>Aferição</v>
          </cell>
          <cell r="C141" t="str">
            <v>31103101-Aferição</v>
          </cell>
          <cell r="D141" t="str">
            <v>14-DIVERSOS</v>
          </cell>
          <cell r="E141" t="str">
            <v>03 Servicios externos</v>
          </cell>
        </row>
        <row r="142">
          <cell r="A142">
            <v>31103104</v>
          </cell>
          <cell r="B142" t="str">
            <v>Analises</v>
          </cell>
          <cell r="C142" t="str">
            <v>31103104-Analises</v>
          </cell>
          <cell r="D142" t="str">
            <v>14-DIVERSOS</v>
          </cell>
          <cell r="E142" t="str">
            <v>03 Servicios externos</v>
          </cell>
        </row>
        <row r="143">
          <cell r="A143">
            <v>31103105</v>
          </cell>
          <cell r="B143" t="str">
            <v>Anuncios e Publicacoes</v>
          </cell>
          <cell r="C143" t="str">
            <v>31103105-Anuncios e Publicacoes</v>
          </cell>
          <cell r="D143" t="str">
            <v>14-DIVERSOS</v>
          </cell>
          <cell r="E143" t="str">
            <v>03 Servicios externos</v>
          </cell>
        </row>
        <row r="144">
          <cell r="A144">
            <v>31103106</v>
          </cell>
          <cell r="B144" t="str">
            <v>Apropriações</v>
          </cell>
          <cell r="C144" t="str">
            <v>31103106-Apropriações</v>
          </cell>
          <cell r="D144" t="str">
            <v>14-DIVERSOS</v>
          </cell>
          <cell r="E144" t="str">
            <v>03 Servicios externos</v>
          </cell>
        </row>
        <row r="145">
          <cell r="A145">
            <v>31103109</v>
          </cell>
          <cell r="B145" t="str">
            <v>Bens de Natureza Permanente</v>
          </cell>
          <cell r="C145" t="str">
            <v>31103109-Bens de Natureza Permanente</v>
          </cell>
          <cell r="D145" t="str">
            <v>14-DIVERSOS</v>
          </cell>
          <cell r="E145" t="str">
            <v>03 Servicios externos</v>
          </cell>
        </row>
        <row r="146">
          <cell r="A146">
            <v>31103320</v>
          </cell>
          <cell r="B146" t="str">
            <v>Festas e Confraternizações</v>
          </cell>
          <cell r="C146" t="str">
            <v>31103320-Festas e Confraternizações</v>
          </cell>
          <cell r="D146" t="str">
            <v>14-DIVERSOS</v>
          </cell>
          <cell r="E146" t="str">
            <v>03 Servicios externos</v>
          </cell>
        </row>
        <row r="147">
          <cell r="A147">
            <v>31103110</v>
          </cell>
          <cell r="B147" t="str">
            <v>Brindes</v>
          </cell>
          <cell r="C147" t="str">
            <v>31103110-Brindes</v>
          </cell>
          <cell r="D147" t="str">
            <v>14-DIVERSOS</v>
          </cell>
          <cell r="E147" t="str">
            <v>03 Servicios externos</v>
          </cell>
        </row>
        <row r="148">
          <cell r="A148">
            <v>31103115</v>
          </cell>
          <cell r="B148" t="str">
            <v>Correios e Malotes</v>
          </cell>
          <cell r="C148" t="str">
            <v>31103115-Correios e Malotes</v>
          </cell>
          <cell r="D148" t="str">
            <v>14-DIVERSOS</v>
          </cell>
          <cell r="E148" t="str">
            <v>03 Servicios externos</v>
          </cell>
        </row>
        <row r="149">
          <cell r="A149">
            <v>31103117</v>
          </cell>
          <cell r="B149" t="str">
            <v>Despesas Diversas</v>
          </cell>
          <cell r="C149" t="str">
            <v>31103117-Despesas Diversas</v>
          </cell>
          <cell r="D149" t="str">
            <v>14-DIVERSOS</v>
          </cell>
          <cell r="E149" t="str">
            <v>03 Servicios externos</v>
          </cell>
        </row>
        <row r="150">
          <cell r="A150">
            <v>31103120</v>
          </cell>
          <cell r="B150" t="str">
            <v>Doacoes</v>
          </cell>
          <cell r="C150" t="str">
            <v>31103120-Doacoes</v>
          </cell>
          <cell r="D150" t="str">
            <v>14-DIVERSOS</v>
          </cell>
          <cell r="E150" t="str">
            <v>03 Servicios externos</v>
          </cell>
        </row>
        <row r="151">
          <cell r="A151">
            <v>31103126</v>
          </cell>
          <cell r="B151" t="str">
            <v>Fotos e Molduras</v>
          </cell>
          <cell r="C151" t="str">
            <v>31103126-Fotos e Molduras</v>
          </cell>
          <cell r="D151" t="str">
            <v>14-DIVERSOS</v>
          </cell>
          <cell r="E151" t="str">
            <v>03 Servicios externos</v>
          </cell>
        </row>
        <row r="152">
          <cell r="A152">
            <v>31103130</v>
          </cell>
          <cell r="B152" t="str">
            <v>Gremio Esportivo GERU</v>
          </cell>
          <cell r="C152" t="str">
            <v>31103130-Gremio Esportivo GERU</v>
          </cell>
          <cell r="D152" t="str">
            <v>14-DIVERSOS</v>
          </cell>
          <cell r="E152" t="str">
            <v>03 Servicios externos</v>
          </cell>
        </row>
        <row r="153">
          <cell r="A153">
            <v>31103133</v>
          </cell>
          <cell r="B153" t="str">
            <v>Jornais, Livros e Revistas</v>
          </cell>
          <cell r="C153" t="str">
            <v>31103133-Jornais, Livros e Revistas</v>
          </cell>
          <cell r="D153" t="str">
            <v>14-DIVERSOS</v>
          </cell>
          <cell r="E153" t="str">
            <v>03 Servicios externos</v>
          </cell>
        </row>
        <row r="154">
          <cell r="A154">
            <v>31103135</v>
          </cell>
          <cell r="B154" t="str">
            <v>Leasing</v>
          </cell>
          <cell r="C154" t="str">
            <v>31103135-Leasing</v>
          </cell>
          <cell r="D154" t="str">
            <v>14-DIVERSOS</v>
          </cell>
          <cell r="E154" t="str">
            <v>03 Servicios externos</v>
          </cell>
        </row>
        <row r="155">
          <cell r="A155">
            <v>31103139</v>
          </cell>
          <cell r="B155" t="str">
            <v>Mudas de Cana</v>
          </cell>
          <cell r="C155" t="str">
            <v>31103139-Mudas de Cana</v>
          </cell>
          <cell r="D155" t="str">
            <v>14-DIVERSOS</v>
          </cell>
          <cell r="E155" t="str">
            <v>02 Materiales  y repuestos</v>
          </cell>
        </row>
        <row r="156">
          <cell r="A156">
            <v>31103141</v>
          </cell>
          <cell r="B156" t="str">
            <v>Propaganda e Publicidade</v>
          </cell>
          <cell r="C156" t="str">
            <v>31103141-Propaganda e Publicidade</v>
          </cell>
          <cell r="D156" t="str">
            <v>14-DIVERSOS</v>
          </cell>
          <cell r="E156" t="str">
            <v>03 Servicios externos</v>
          </cell>
        </row>
        <row r="157">
          <cell r="A157">
            <v>31103151</v>
          </cell>
          <cell r="B157" t="str">
            <v>Arrendamento</v>
          </cell>
          <cell r="C157" t="str">
            <v>31103151-Arrendamento</v>
          </cell>
          <cell r="D157" t="str">
            <v>14-DIVERSOS</v>
          </cell>
          <cell r="E157" t="str">
            <v>03 Servicios externos</v>
          </cell>
        </row>
        <row r="158">
          <cell r="A158">
            <v>31104132</v>
          </cell>
          <cell r="B158" t="str">
            <v>Mudas/Sementes e outros</v>
          </cell>
          <cell r="C158" t="str">
            <v>31103151-Arrendamento</v>
          </cell>
          <cell r="D158" t="str">
            <v>14-DIVERSOS</v>
          </cell>
          <cell r="E158" t="str">
            <v>03 Servicios externos</v>
          </cell>
        </row>
        <row r="159">
          <cell r="A159">
            <v>31103159</v>
          </cell>
          <cell r="B159" t="str">
            <v>Mudas/Sementes/bagaços</v>
          </cell>
          <cell r="C159" t="str">
            <v>31103159-Mudas/Sementes/bagaços</v>
          </cell>
          <cell r="D159" t="str">
            <v>14-DIVERSOS</v>
          </cell>
          <cell r="E159" t="str">
            <v>02 Materiales  y repuestos</v>
          </cell>
        </row>
        <row r="160">
          <cell r="A160">
            <v>31103161</v>
          </cell>
          <cell r="B160" t="str">
            <v>Quebra</v>
          </cell>
          <cell r="C160" t="str">
            <v>31103161-Quebra</v>
          </cell>
          <cell r="D160" t="str">
            <v>14-DIVERSOS</v>
          </cell>
          <cell r="E160" t="str">
            <v>03 Servicios externos</v>
          </cell>
        </row>
        <row r="161">
          <cell r="A161">
            <v>31103164</v>
          </cell>
          <cell r="B161" t="str">
            <v>( ) Despesas de Leasing</v>
          </cell>
          <cell r="C161" t="str">
            <v>31103164-( ) Despesas de Leasing</v>
          </cell>
          <cell r="D161" t="str">
            <v>14-DIVERSOS</v>
          </cell>
          <cell r="E161" t="str">
            <v>03 Servicios externos</v>
          </cell>
        </row>
        <row r="162">
          <cell r="A162">
            <v>31701120</v>
          </cell>
          <cell r="B162" t="str">
            <v>Indenizações Ambientais/Cíveis</v>
          </cell>
          <cell r="C162" t="str">
            <v>31701120 - Indenizações Ambientais/Cíveis</v>
          </cell>
          <cell r="D162" t="str">
            <v>14-DIVERSOS</v>
          </cell>
          <cell r="E162" t="str">
            <v>03 Servicios externos</v>
          </cell>
        </row>
        <row r="163">
          <cell r="A163">
            <v>31104103</v>
          </cell>
          <cell r="B163" t="str">
            <v>Copa, Cozinha e Limpeza</v>
          </cell>
          <cell r="C163" t="str">
            <v>31104103-Copa, Cozinha e Limpeza</v>
          </cell>
          <cell r="D163" t="str">
            <v>14-DIVERSOS</v>
          </cell>
          <cell r="E163" t="str">
            <v>02 Materiales  y repuestos</v>
          </cell>
        </row>
        <row r="164">
          <cell r="A164">
            <v>31104126</v>
          </cell>
          <cell r="B164" t="str">
            <v>Materiais de Higiene e Limpeza</v>
          </cell>
          <cell r="C164" t="str">
            <v>31104126-Materiais de Higiene e Limpeza</v>
          </cell>
          <cell r="D164" t="str">
            <v>14-DIVERSOS</v>
          </cell>
          <cell r="E164" t="str">
            <v>02 Materiales  y repuestos</v>
          </cell>
        </row>
        <row r="165">
          <cell r="A165">
            <v>31701104</v>
          </cell>
          <cell r="B165" t="str">
            <v>Despesas Diversas</v>
          </cell>
          <cell r="C165" t="str">
            <v>31701104-Despesas Diversas</v>
          </cell>
          <cell r="D165" t="str">
            <v>14-DIVERSOS</v>
          </cell>
          <cell r="E165" t="str">
            <v>03 Servicios externos</v>
          </cell>
        </row>
        <row r="166">
          <cell r="A166">
            <v>31108101</v>
          </cell>
          <cell r="B166" t="str">
            <v>Depreciação Apropriações</v>
          </cell>
          <cell r="C166" t="str">
            <v>31108101-Depreciação Apropriações</v>
          </cell>
          <cell r="D166" t="str">
            <v>15-DEPRECIACAO</v>
          </cell>
          <cell r="E166" t="str">
            <v>06 Depreciaciones</v>
          </cell>
        </row>
        <row r="167">
          <cell r="A167">
            <v>31108116</v>
          </cell>
          <cell r="B167" t="str">
            <v>Depreciação Leasing - RTT</v>
          </cell>
          <cell r="C167" t="str">
            <v>31108116-Depreciação Leasing - RTT</v>
          </cell>
          <cell r="D167" t="str">
            <v>15-DEPRECIACAO</v>
          </cell>
          <cell r="E167" t="str">
            <v>06 Depreciaciones</v>
          </cell>
        </row>
        <row r="168">
          <cell r="A168">
            <v>31108117</v>
          </cell>
          <cell r="B168" t="str">
            <v>Depreciação - IFRS</v>
          </cell>
          <cell r="C168" t="str">
            <v>31108117-Depreciação - IFRS</v>
          </cell>
          <cell r="D168" t="str">
            <v>15-DEPRECIACAO</v>
          </cell>
          <cell r="E168" t="str">
            <v>06 Depreciaciones</v>
          </cell>
        </row>
        <row r="169">
          <cell r="A169">
            <v>31108199</v>
          </cell>
          <cell r="B169" t="str">
            <v>( - ) Estorno Depreciação Fiscal - CPC 27</v>
          </cell>
          <cell r="C169" t="str">
            <v>31108199-( - ) Estorno Depreciação Fiscal - CPC 27</v>
          </cell>
          <cell r="D169" t="str">
            <v>15-DEPRECIACAO</v>
          </cell>
          <cell r="E169" t="str">
            <v>06 Depreciaciones</v>
          </cell>
        </row>
        <row r="170">
          <cell r="A170">
            <v>31107114</v>
          </cell>
          <cell r="B170" t="str">
            <v>Doação / Bonificação</v>
          </cell>
          <cell r="C170" t="str">
            <v>31107114-Doação / Bonificação</v>
          </cell>
          <cell r="D170" t="str">
            <v>14-DIVERSOS</v>
          </cell>
          <cell r="E170" t="str">
            <v>03 Servicios externos</v>
          </cell>
        </row>
        <row r="171">
          <cell r="A171">
            <v>31108118</v>
          </cell>
          <cell r="B171" t="str">
            <v>(-) Credito de Pis/Cof</v>
          </cell>
          <cell r="C171" t="str">
            <v>31108118-(-) Credito de Pis/Cof</v>
          </cell>
          <cell r="D171" t="str">
            <v>15-DEPRECIACAO</v>
          </cell>
          <cell r="E171" t="str">
            <v>06 Depreciaciones</v>
          </cell>
        </row>
        <row r="172">
          <cell r="A172">
            <v>31108115</v>
          </cell>
          <cell r="B172" t="str">
            <v>Despesas Manutenção Entressafra</v>
          </cell>
          <cell r="C172" t="str">
            <v>31108115-Despesas Manutenção Entressafra</v>
          </cell>
          <cell r="D172" t="str">
            <v>16-DEPESAS MANUTENÇÃO ENTRESSAFRA</v>
          </cell>
          <cell r="E172" t="str">
            <v>NA</v>
          </cell>
        </row>
        <row r="173">
          <cell r="A173">
            <v>31107115</v>
          </cell>
          <cell r="B173" t="str">
            <v>Doação Muda de Cana</v>
          </cell>
          <cell r="C173" t="str">
            <v>31107115-Doação Muda de Cana</v>
          </cell>
          <cell r="D173" t="str">
            <v>14-DIVERSOS</v>
          </cell>
          <cell r="E173" t="str">
            <v>03 Servicios externos</v>
          </cell>
        </row>
        <row r="174">
          <cell r="A174">
            <v>31102123</v>
          </cell>
          <cell r="B174" t="str">
            <v>Licença de uso de Software</v>
          </cell>
          <cell r="C174" t="str">
            <v>31102123-Licença de uso de Software</v>
          </cell>
          <cell r="D174" t="str">
            <v>09-IMPOSTOS/TAXAS/LICENCAS</v>
          </cell>
          <cell r="E174" t="str">
            <v>03 Servicios externos</v>
          </cell>
        </row>
        <row r="175">
          <cell r="A175">
            <v>31102122</v>
          </cell>
          <cell r="B175" t="str">
            <v>Serviço de Manutenção de Informática</v>
          </cell>
          <cell r="C175" t="str">
            <v>31102122-Serviço de Manutenção de Informática</v>
          </cell>
          <cell r="D175" t="str">
            <v>05-SERVICOS TERCEIROS</v>
          </cell>
          <cell r="E175" t="str">
            <v>03 Servicios externos</v>
          </cell>
        </row>
        <row r="176">
          <cell r="A176">
            <v>31104116</v>
          </cell>
          <cell r="B176" t="str">
            <v>Perdas de Estoque</v>
          </cell>
          <cell r="C176" t="str">
            <v>31104116-Perdas de Estoque</v>
          </cell>
          <cell r="D176" t="str">
            <v>14-DIVERSOS</v>
          </cell>
          <cell r="E176" t="str">
            <v>02 Materiales  y repuestos</v>
          </cell>
        </row>
        <row r="177">
          <cell r="A177">
            <v>31102122</v>
          </cell>
          <cell r="B177" t="str">
            <v>Serviços e Manutenção de Informática</v>
          </cell>
          <cell r="C177" t="str">
            <v>31102122-Serviços e Manutenção de Informática</v>
          </cell>
          <cell r="D177" t="str">
            <v>05-SERVICOS TERCEIROS</v>
          </cell>
          <cell r="E177" t="str">
            <v>03 Servicios externos</v>
          </cell>
        </row>
        <row r="178">
          <cell r="A178">
            <v>31102123</v>
          </cell>
          <cell r="B178" t="str">
            <v>Licença de Uso de Software</v>
          </cell>
          <cell r="C178" t="str">
            <v>31102123-Licença de Uso de Software</v>
          </cell>
          <cell r="D178" t="str">
            <v>09-IMPOSTOS/TAXAS/LICENCAS</v>
          </cell>
          <cell r="E178" t="str">
            <v>03 Servicios externos</v>
          </cell>
        </row>
        <row r="179">
          <cell r="A179">
            <v>31102125</v>
          </cell>
          <cell r="B179" t="str">
            <v>Prestação de Serv.de Maquinas e Tratores</v>
          </cell>
          <cell r="C179" t="str">
            <v>31102125-Prestação de Serv.de Maquinas e Tratores</v>
          </cell>
          <cell r="D179" t="str">
            <v>05-SERVICOS TERCEIROS</v>
          </cell>
          <cell r="E179" t="str">
            <v>03 Servicios externos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14"/>
      <sheetName val="Dinamica_MIS"/>
      <sheetName val=" Rascunho 2014_15"/>
      <sheetName val="Cuadro Presenta"/>
      <sheetName val="Base"/>
      <sheetName val="Quadro"/>
      <sheetName val="Centro de custo"/>
      <sheetName val="Rateio_Ent.Saf"/>
      <sheetName val="Contas contables"/>
      <sheetName val="Grupo Cuenta"/>
      <sheetName val="Jerarquia CeCo"/>
      <sheetName val="Real2013"/>
      <sheetName val="Plan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  <cell r="P1">
            <v>16</v>
          </cell>
          <cell r="Q1">
            <v>17</v>
          </cell>
          <cell r="R1">
            <v>18</v>
          </cell>
          <cell r="S1">
            <v>19</v>
          </cell>
          <cell r="T1">
            <v>20</v>
          </cell>
        </row>
        <row r="2">
          <cell r="A2" t="str">
            <v>EMPRESA</v>
          </cell>
          <cell r="D2" t="str">
            <v>CENTRO DE CUSTO</v>
          </cell>
          <cell r="F2" t="str">
            <v>CONTA CONTÁBIL / CARGO</v>
          </cell>
          <cell r="H2">
            <v>42005</v>
          </cell>
          <cell r="I2">
            <v>42036</v>
          </cell>
          <cell r="J2">
            <v>42064</v>
          </cell>
          <cell r="K2">
            <v>42095</v>
          </cell>
          <cell r="L2">
            <v>42125</v>
          </cell>
          <cell r="M2">
            <v>42156</v>
          </cell>
          <cell r="N2">
            <v>42186</v>
          </cell>
          <cell r="O2">
            <v>42217</v>
          </cell>
          <cell r="P2">
            <v>42248</v>
          </cell>
          <cell r="Q2">
            <v>42278</v>
          </cell>
          <cell r="R2">
            <v>42309</v>
          </cell>
          <cell r="S2">
            <v>42339</v>
          </cell>
          <cell r="T2" t="str">
            <v>TOTAL 2014</v>
          </cell>
        </row>
        <row r="3">
          <cell r="A3" t="str">
            <v>40109931102105</v>
          </cell>
          <cell r="B3">
            <v>601</v>
          </cell>
          <cell r="C3" t="str">
            <v>VALE DO PARANÁ S/A</v>
          </cell>
          <cell r="D3">
            <v>401099</v>
          </cell>
          <cell r="E3" t="str">
            <v>MANUTENÇÃO DE ENTRESSAFRA</v>
          </cell>
          <cell r="F3">
            <v>31102105</v>
          </cell>
          <cell r="G3" t="str">
            <v>Servicos de Manutencao e Reparos</v>
          </cell>
          <cell r="H3">
            <v>0.12</v>
          </cell>
          <cell r="I3">
            <v>0.39</v>
          </cell>
          <cell r="J3">
            <v>0.28999999999999998</v>
          </cell>
          <cell r="K3">
            <v>0.16</v>
          </cell>
          <cell r="L3">
            <v>0.02</v>
          </cell>
          <cell r="M3">
            <v>0.02</v>
          </cell>
          <cell r="T3">
            <v>1</v>
          </cell>
        </row>
        <row r="4">
          <cell r="A4" t="str">
            <v>40109931104109</v>
          </cell>
          <cell r="B4">
            <v>601</v>
          </cell>
          <cell r="C4" t="str">
            <v>VALE DO PARANÁ S/A</v>
          </cell>
          <cell r="D4">
            <v>401099</v>
          </cell>
          <cell r="E4" t="str">
            <v>MANUTENÇÃO DE ENTRESSAFRA</v>
          </cell>
          <cell r="F4">
            <v>31104109</v>
          </cell>
          <cell r="G4" t="str">
            <v>Materiais Manutenção Mecânica-Almoxarif</v>
          </cell>
          <cell r="H4">
            <v>0.24</v>
          </cell>
          <cell r="I4">
            <v>0.44</v>
          </cell>
          <cell r="J4">
            <v>0.28000000000000003</v>
          </cell>
          <cell r="K4">
            <v>0.03</v>
          </cell>
          <cell r="L4">
            <v>0.01</v>
          </cell>
          <cell r="T4">
            <v>1</v>
          </cell>
        </row>
        <row r="5">
          <cell r="A5" t="str">
            <v>40109931104129</v>
          </cell>
          <cell r="B5">
            <v>601</v>
          </cell>
          <cell r="C5" t="str">
            <v>VALE DO PARANÁ S/A</v>
          </cell>
          <cell r="D5">
            <v>401099</v>
          </cell>
          <cell r="E5" t="str">
            <v>MANUTENÇÃO DE ENTRESSAFRA</v>
          </cell>
          <cell r="F5">
            <v>31104129</v>
          </cell>
          <cell r="G5" t="str">
            <v>Materiais Ferrosos e Chaparias</v>
          </cell>
          <cell r="H5">
            <v>0.65</v>
          </cell>
          <cell r="I5">
            <v>0.32</v>
          </cell>
          <cell r="J5">
            <v>0.03</v>
          </cell>
          <cell r="T5">
            <v>1</v>
          </cell>
        </row>
        <row r="6">
          <cell r="A6" t="str">
            <v>40109931103102</v>
          </cell>
          <cell r="B6">
            <v>603</v>
          </cell>
          <cell r="C6" t="str">
            <v>VALE DO PARANÁ S/A</v>
          </cell>
          <cell r="D6">
            <v>401099</v>
          </cell>
          <cell r="E6" t="str">
            <v>MANUTENÇÃO DE ENTRESSAFRA</v>
          </cell>
          <cell r="F6">
            <v>31103102</v>
          </cell>
          <cell r="G6" t="str">
            <v>Alugueis de Maquinas e Equipamentos</v>
          </cell>
          <cell r="H6">
            <v>0.40500000000000003</v>
          </cell>
          <cell r="I6">
            <v>8.5000000000000006E-2</v>
          </cell>
          <cell r="J6">
            <v>8.5000000000000006E-2</v>
          </cell>
          <cell r="K6">
            <v>0.40500000000000003</v>
          </cell>
          <cell r="L6">
            <v>0.02</v>
          </cell>
          <cell r="T6">
            <v>1</v>
          </cell>
        </row>
        <row r="7">
          <cell r="A7" t="str">
            <v>40109931103127</v>
          </cell>
          <cell r="B7">
            <v>604</v>
          </cell>
          <cell r="C7" t="str">
            <v>VALE DO PARANÁ S/A</v>
          </cell>
          <cell r="D7">
            <v>401099</v>
          </cell>
          <cell r="E7" t="str">
            <v>MANUTENÇÃO DE ENTRESSAFRA</v>
          </cell>
          <cell r="F7">
            <v>31103127</v>
          </cell>
          <cell r="G7" t="str">
            <v>Fretes e Carretos</v>
          </cell>
          <cell r="I7">
            <v>0.25</v>
          </cell>
          <cell r="J7">
            <v>0.25</v>
          </cell>
          <cell r="K7">
            <v>0.25</v>
          </cell>
          <cell r="L7">
            <v>0.25</v>
          </cell>
          <cell r="T7">
            <v>1</v>
          </cell>
        </row>
        <row r="8">
          <cell r="A8" t="str">
            <v>40109931104106</v>
          </cell>
          <cell r="B8">
            <v>605</v>
          </cell>
          <cell r="C8" t="str">
            <v>VALE DO PARANÁ S/A</v>
          </cell>
          <cell r="D8">
            <v>401099</v>
          </cell>
          <cell r="E8" t="str">
            <v>MANUTENÇÃO DE ENTRESSAFRA</v>
          </cell>
          <cell r="F8">
            <v>31104106</v>
          </cell>
          <cell r="G8" t="str">
            <v>Lubrificantes Industriais-Almoxarifado</v>
          </cell>
          <cell r="K8">
            <v>1</v>
          </cell>
          <cell r="T8">
            <v>1</v>
          </cell>
        </row>
        <row r="9">
          <cell r="A9" t="str">
            <v>40109931104108</v>
          </cell>
          <cell r="B9">
            <v>606</v>
          </cell>
          <cell r="C9" t="str">
            <v>VALE DO PARANÁ S/A</v>
          </cell>
          <cell r="D9">
            <v>401099</v>
          </cell>
          <cell r="E9" t="str">
            <v>MANUTENÇÃO DE ENTRESSAFRA</v>
          </cell>
          <cell r="F9">
            <v>31104108</v>
          </cell>
          <cell r="G9" t="str">
            <v>Materiais Eletricos-Almoxarifado</v>
          </cell>
          <cell r="I9">
            <v>0.5</v>
          </cell>
          <cell r="J9">
            <v>0.5</v>
          </cell>
          <cell r="T9">
            <v>1</v>
          </cell>
        </row>
        <row r="10">
          <cell r="A10" t="str">
            <v>40109931104121</v>
          </cell>
          <cell r="B10">
            <v>607</v>
          </cell>
          <cell r="C10" t="str">
            <v>VALE DO PARANÁ S/A</v>
          </cell>
          <cell r="D10">
            <v>401099</v>
          </cell>
          <cell r="E10" t="str">
            <v>MANUTENÇÃO DE ENTRESSAFRA</v>
          </cell>
          <cell r="F10">
            <v>31104121</v>
          </cell>
          <cell r="G10" t="str">
            <v>Materiais e Utensilios de Pinturas</v>
          </cell>
          <cell r="J10">
            <v>1</v>
          </cell>
          <cell r="T10">
            <v>1</v>
          </cell>
        </row>
        <row r="11">
          <cell r="A11" t="str">
            <v>40149931102105</v>
          </cell>
          <cell r="B11">
            <v>601</v>
          </cell>
          <cell r="C11" t="str">
            <v>VALE DO PARANÁ S/A</v>
          </cell>
          <cell r="D11">
            <v>401499</v>
          </cell>
          <cell r="E11" t="str">
            <v>MANUTENÇÃO DE ENTRESSAFRA</v>
          </cell>
          <cell r="F11">
            <v>31102105</v>
          </cell>
          <cell r="G11" t="str">
            <v>Servicos de Manutencao e Reparos</v>
          </cell>
          <cell r="H11">
            <v>0</v>
          </cell>
          <cell r="I11">
            <v>0.38</v>
          </cell>
          <cell r="J11">
            <v>0.16</v>
          </cell>
          <cell r="K11">
            <v>0.36</v>
          </cell>
          <cell r="L11">
            <v>0</v>
          </cell>
          <cell r="M11">
            <v>0.1</v>
          </cell>
          <cell r="T11">
            <v>1</v>
          </cell>
        </row>
        <row r="12">
          <cell r="A12" t="str">
            <v>40149931104109</v>
          </cell>
          <cell r="B12">
            <v>601</v>
          </cell>
          <cell r="C12" t="str">
            <v>VALE DO PARANÁ S/A</v>
          </cell>
          <cell r="D12">
            <v>401499</v>
          </cell>
          <cell r="E12" t="str">
            <v>MANUTENÇÃO DE ENTRESSAFRA</v>
          </cell>
          <cell r="F12">
            <v>31104109</v>
          </cell>
          <cell r="G12" t="str">
            <v>Materiais Manutenção Mecânica-Almoxarif</v>
          </cell>
          <cell r="H12">
            <v>0.25</v>
          </cell>
          <cell r="I12">
            <v>0.41</v>
          </cell>
          <cell r="J12">
            <v>0.11</v>
          </cell>
          <cell r="K12">
            <v>0.23</v>
          </cell>
          <cell r="T12">
            <v>0.99999999999999989</v>
          </cell>
        </row>
        <row r="13">
          <cell r="A13" t="str">
            <v>40149931103102</v>
          </cell>
          <cell r="B13">
            <v>602</v>
          </cell>
          <cell r="C13" t="str">
            <v>VALE DO PARANÁ S/A</v>
          </cell>
          <cell r="D13">
            <v>401499</v>
          </cell>
          <cell r="E13" t="str">
            <v>MANUTENÇÃO DE ENTRESSAFRA</v>
          </cell>
          <cell r="F13">
            <v>31103102</v>
          </cell>
          <cell r="G13" t="str">
            <v>Alugueis de Maquinas e Equipamentos</v>
          </cell>
          <cell r="H13">
            <v>0.27</v>
          </cell>
          <cell r="I13">
            <v>0.27</v>
          </cell>
          <cell r="J13">
            <v>0.27</v>
          </cell>
          <cell r="K13">
            <v>0.12</v>
          </cell>
          <cell r="L13">
            <v>7.0000000000000007E-2</v>
          </cell>
          <cell r="T13">
            <v>1</v>
          </cell>
        </row>
        <row r="14">
          <cell r="A14" t="str">
            <v>40149931104129</v>
          </cell>
          <cell r="B14">
            <v>601</v>
          </cell>
          <cell r="C14" t="str">
            <v>VALE DO PARANÁ S/A</v>
          </cell>
          <cell r="D14">
            <v>401499</v>
          </cell>
          <cell r="E14" t="str">
            <v>MANUTENÇÃO DE ENTRESSAFRA</v>
          </cell>
          <cell r="F14">
            <v>31104129</v>
          </cell>
          <cell r="G14" t="str">
            <v>Materiais Ferrosos e Chaparias</v>
          </cell>
          <cell r="H14">
            <v>0</v>
          </cell>
          <cell r="I14">
            <v>0.02</v>
          </cell>
          <cell r="J14">
            <v>0.01</v>
          </cell>
          <cell r="K14">
            <v>0.97</v>
          </cell>
          <cell r="T14">
            <v>1</v>
          </cell>
        </row>
        <row r="15">
          <cell r="A15" t="str">
            <v>40209931102105</v>
          </cell>
          <cell r="B15">
            <v>601</v>
          </cell>
          <cell r="C15" t="str">
            <v>VALE DO PARANÁ S/A</v>
          </cell>
          <cell r="D15">
            <v>402099</v>
          </cell>
          <cell r="E15" t="str">
            <v>MANUTENÇÃO DE ENTRESSAFRA</v>
          </cell>
          <cell r="F15">
            <v>31102105</v>
          </cell>
          <cell r="G15" t="str">
            <v>Servicos de Manutencao e Reparos</v>
          </cell>
          <cell r="H15">
            <v>0.14000000000000001</v>
          </cell>
          <cell r="I15">
            <v>7.0000000000000007E-2</v>
          </cell>
          <cell r="J15">
            <v>0.27</v>
          </cell>
          <cell r="K15">
            <v>0.45</v>
          </cell>
          <cell r="L15">
            <v>0.05</v>
          </cell>
          <cell r="M15">
            <v>0.02</v>
          </cell>
          <cell r="T15">
            <v>1</v>
          </cell>
        </row>
        <row r="16">
          <cell r="A16" t="str">
            <v>40209931104109</v>
          </cell>
          <cell r="B16">
            <v>601</v>
          </cell>
          <cell r="C16" t="str">
            <v>VALE DO PARANÁ S/A</v>
          </cell>
          <cell r="D16">
            <v>402099</v>
          </cell>
          <cell r="E16" t="str">
            <v>MANUTENÇÃO DE ENTRESSAFRA</v>
          </cell>
          <cell r="F16">
            <v>31104109</v>
          </cell>
          <cell r="G16" t="str">
            <v>Materiais Manutenção Mecânica-Almoxarif</v>
          </cell>
          <cell r="H16">
            <v>7.0000000000000007E-2</v>
          </cell>
          <cell r="I16">
            <v>0.08</v>
          </cell>
          <cell r="J16">
            <v>0.43</v>
          </cell>
          <cell r="K16">
            <v>0.39</v>
          </cell>
          <cell r="L16">
            <v>0.03</v>
          </cell>
          <cell r="T16">
            <v>1</v>
          </cell>
        </row>
        <row r="17">
          <cell r="A17" t="str">
            <v>40209931104129</v>
          </cell>
          <cell r="B17">
            <v>601</v>
          </cell>
          <cell r="C17" t="str">
            <v>VALE DO PARANÁ S/A</v>
          </cell>
          <cell r="D17">
            <v>402099</v>
          </cell>
          <cell r="E17" t="str">
            <v>MANUTENÇÃO DE ENTRESSAFRA</v>
          </cell>
          <cell r="F17">
            <v>31104129</v>
          </cell>
          <cell r="G17" t="str">
            <v>Materiais Ferrosos e Chaparias</v>
          </cell>
          <cell r="H17">
            <v>0</v>
          </cell>
          <cell r="I17">
            <v>0.71</v>
          </cell>
          <cell r="J17">
            <v>0.04</v>
          </cell>
          <cell r="K17">
            <v>0.25</v>
          </cell>
          <cell r="T17">
            <v>1</v>
          </cell>
        </row>
        <row r="18">
          <cell r="A18" t="str">
            <v>40209931103102</v>
          </cell>
          <cell r="B18">
            <v>602</v>
          </cell>
          <cell r="C18" t="str">
            <v>VALE DO PARANÁ S/A</v>
          </cell>
          <cell r="D18">
            <v>402099</v>
          </cell>
          <cell r="E18" t="str">
            <v>MANUTENÇÃO DE ENTRESSAFRA</v>
          </cell>
          <cell r="F18">
            <v>31103102</v>
          </cell>
          <cell r="G18" t="str">
            <v>Alugueis de Maquinas e Equipamentos</v>
          </cell>
          <cell r="H18">
            <v>0.27</v>
          </cell>
          <cell r="I18">
            <v>0.27</v>
          </cell>
          <cell r="J18">
            <v>0.27</v>
          </cell>
          <cell r="K18">
            <v>0.12</v>
          </cell>
          <cell r="L18">
            <v>7.0000000000000007E-2</v>
          </cell>
          <cell r="T18">
            <v>1</v>
          </cell>
        </row>
        <row r="19">
          <cell r="A19" t="str">
            <v>40209931104108</v>
          </cell>
          <cell r="B19">
            <v>603</v>
          </cell>
          <cell r="C19" t="str">
            <v>VALE DO PARANÁ S/A</v>
          </cell>
          <cell r="D19">
            <v>402099</v>
          </cell>
          <cell r="E19" t="str">
            <v>MANUTENÇÃO DE ENTRESSAFRA</v>
          </cell>
          <cell r="F19">
            <v>31104108</v>
          </cell>
          <cell r="G19" t="str">
            <v>Materiais Eletricos-Almoxarifado</v>
          </cell>
          <cell r="I19">
            <v>0.4</v>
          </cell>
          <cell r="J19">
            <v>0.3</v>
          </cell>
          <cell r="K19">
            <v>0.3</v>
          </cell>
          <cell r="T19">
            <v>1</v>
          </cell>
        </row>
        <row r="20">
          <cell r="A20" t="str">
            <v>40209931104121</v>
          </cell>
          <cell r="B20">
            <v>604</v>
          </cell>
          <cell r="C20" t="str">
            <v>VALE DO PARANÁ S/A</v>
          </cell>
          <cell r="D20">
            <v>402099</v>
          </cell>
          <cell r="E20" t="str">
            <v>MANUTENÇÃO DE ENTRESSAFRA</v>
          </cell>
          <cell r="F20">
            <v>31104121</v>
          </cell>
          <cell r="G20" t="str">
            <v>Materiais e Utensilios de Pinturas</v>
          </cell>
          <cell r="H20">
            <v>0.3</v>
          </cell>
          <cell r="I20">
            <v>0.3</v>
          </cell>
          <cell r="J20">
            <v>0.4</v>
          </cell>
          <cell r="T20">
            <v>1</v>
          </cell>
        </row>
        <row r="21">
          <cell r="A21" t="str">
            <v>40709931102105</v>
          </cell>
          <cell r="B21">
            <v>601</v>
          </cell>
          <cell r="C21" t="str">
            <v>VALE DO PARANÁ S/A</v>
          </cell>
          <cell r="D21">
            <v>407099</v>
          </cell>
          <cell r="E21" t="str">
            <v>MANUTENÇÃO DE ENTRESSAFRA</v>
          </cell>
          <cell r="F21">
            <v>31102105</v>
          </cell>
          <cell r="G21" t="str">
            <v>Servicos de Manutencao e Reparos</v>
          </cell>
          <cell r="H21">
            <v>0.16</v>
          </cell>
          <cell r="I21">
            <v>0.17</v>
          </cell>
          <cell r="J21">
            <v>0.34</v>
          </cell>
          <cell r="K21">
            <v>0.19</v>
          </cell>
          <cell r="L21">
            <v>0.06</v>
          </cell>
          <cell r="M21">
            <v>0.08</v>
          </cell>
          <cell r="T21">
            <v>1.0000000000000002</v>
          </cell>
        </row>
        <row r="22">
          <cell r="A22" t="str">
            <v>40709931104109</v>
          </cell>
          <cell r="B22">
            <v>601</v>
          </cell>
          <cell r="C22" t="str">
            <v>VALE DO PARANÁ S/A</v>
          </cell>
          <cell r="D22">
            <v>407099</v>
          </cell>
          <cell r="E22" t="str">
            <v>MANUTENÇÃO DE ENTRESSAFRA</v>
          </cell>
          <cell r="F22">
            <v>31104109</v>
          </cell>
          <cell r="G22" t="str">
            <v>Materiais Manutenção Mecânica-Almoxarif</v>
          </cell>
          <cell r="H22">
            <v>0.05</v>
          </cell>
          <cell r="I22">
            <v>0.44</v>
          </cell>
          <cell r="J22">
            <v>0.47</v>
          </cell>
          <cell r="K22">
            <v>0.04</v>
          </cell>
          <cell r="T22">
            <v>1</v>
          </cell>
        </row>
        <row r="23">
          <cell r="A23" t="str">
            <v>40709931103102</v>
          </cell>
          <cell r="B23">
            <v>602</v>
          </cell>
          <cell r="C23" t="str">
            <v>VALE DO PARANÁ S/A</v>
          </cell>
          <cell r="D23">
            <v>407099</v>
          </cell>
          <cell r="E23" t="str">
            <v>MANUTENÇÃO DE ENTRESSAFRA</v>
          </cell>
          <cell r="F23">
            <v>31103102</v>
          </cell>
          <cell r="G23" t="str">
            <v>Alugueis de Maquinas e Equipamentos</v>
          </cell>
          <cell r="H23">
            <v>0.24</v>
          </cell>
          <cell r="I23">
            <v>0.24</v>
          </cell>
          <cell r="J23">
            <v>0.24</v>
          </cell>
          <cell r="K23">
            <v>0.24</v>
          </cell>
          <cell r="L23">
            <v>0.04</v>
          </cell>
          <cell r="T23">
            <v>1</v>
          </cell>
        </row>
        <row r="24">
          <cell r="A24" t="str">
            <v>40709931104108</v>
          </cell>
          <cell r="B24">
            <v>603</v>
          </cell>
          <cell r="C24" t="str">
            <v>VALE DO PARANÁ S/A</v>
          </cell>
          <cell r="D24">
            <v>407099</v>
          </cell>
          <cell r="E24" t="str">
            <v>MANUTENÇÃO DE ENTRESSAFRA</v>
          </cell>
          <cell r="F24">
            <v>31104108</v>
          </cell>
          <cell r="G24" t="str">
            <v>Materiais Eletricos-Almoxarifado</v>
          </cell>
          <cell r="I24">
            <v>0.4</v>
          </cell>
          <cell r="J24">
            <v>0.3</v>
          </cell>
          <cell r="K24">
            <v>0.3</v>
          </cell>
          <cell r="T24">
            <v>1</v>
          </cell>
        </row>
        <row r="25">
          <cell r="A25" t="str">
            <v>40709931104121</v>
          </cell>
          <cell r="B25">
            <v>604</v>
          </cell>
          <cell r="C25" t="str">
            <v>VALE DO PARANÁ S/A</v>
          </cell>
          <cell r="D25">
            <v>407099</v>
          </cell>
          <cell r="E25" t="str">
            <v>MANUTENÇÃO DE ENTRESSAFRA</v>
          </cell>
          <cell r="F25">
            <v>31104121</v>
          </cell>
          <cell r="G25" t="str">
            <v>Materiais e Utensilios de Pinturas</v>
          </cell>
          <cell r="H25">
            <v>0.3</v>
          </cell>
          <cell r="I25">
            <v>0.3</v>
          </cell>
          <cell r="J25">
            <v>0.4</v>
          </cell>
          <cell r="T25">
            <v>1</v>
          </cell>
        </row>
        <row r="26">
          <cell r="A26" t="str">
            <v>40709931104129</v>
          </cell>
          <cell r="B26">
            <v>601</v>
          </cell>
          <cell r="C26" t="str">
            <v>VALE DO PARANÁ S/A</v>
          </cell>
          <cell r="D26">
            <v>407099</v>
          </cell>
          <cell r="E26" t="str">
            <v>MANUTENÇÃO DE ENTRESSAFRA</v>
          </cell>
          <cell r="F26">
            <v>31104129</v>
          </cell>
          <cell r="G26" t="str">
            <v>Materiais Ferrosos e Chaparias</v>
          </cell>
          <cell r="H26">
            <v>0.22</v>
          </cell>
          <cell r="I26">
            <v>0.01</v>
          </cell>
          <cell r="J26">
            <v>0.59</v>
          </cell>
          <cell r="K26">
            <v>0.18</v>
          </cell>
          <cell r="T26">
            <v>1</v>
          </cell>
        </row>
      </sheetData>
      <sheetData sheetId="8">
        <row r="2">
          <cell r="M2">
            <v>31103123</v>
          </cell>
          <cell r="N2" t="str">
            <v>Energia Eletrica</v>
          </cell>
          <cell r="O2" t="str">
            <v>Energia</v>
          </cell>
        </row>
        <row r="3">
          <cell r="M3">
            <v>31104131</v>
          </cell>
          <cell r="N3" t="str">
            <v>Materiais de Segurança</v>
          </cell>
          <cell r="O3" t="str">
            <v>EPI</v>
          </cell>
        </row>
        <row r="4">
          <cell r="M4">
            <v>31101011</v>
          </cell>
          <cell r="N4" t="str">
            <v>Salarios</v>
          </cell>
          <cell r="O4" t="str">
            <v>Folha</v>
          </cell>
        </row>
        <row r="5">
          <cell r="M5">
            <v>31101021</v>
          </cell>
          <cell r="N5" t="str">
            <v>Hora Extra</v>
          </cell>
          <cell r="O5" t="str">
            <v>Folha</v>
          </cell>
        </row>
        <row r="6">
          <cell r="M6">
            <v>31101031</v>
          </cell>
          <cell r="N6" t="str">
            <v>Provisao de Ferias</v>
          </cell>
          <cell r="O6" t="str">
            <v>Folha</v>
          </cell>
        </row>
        <row r="7">
          <cell r="M7">
            <v>31101041</v>
          </cell>
          <cell r="N7" t="str">
            <v>Provisao 13. Salario</v>
          </cell>
          <cell r="O7" t="str">
            <v>Folha</v>
          </cell>
        </row>
        <row r="8">
          <cell r="M8">
            <v>31101081</v>
          </cell>
          <cell r="N8" t="str">
            <v>Gratificações</v>
          </cell>
          <cell r="O8" t="str">
            <v>Folha</v>
          </cell>
        </row>
        <row r="9">
          <cell r="M9">
            <v>31101091</v>
          </cell>
          <cell r="N9" t="str">
            <v>Plano Participacao Resultados</v>
          </cell>
          <cell r="O9" t="str">
            <v>Folha</v>
          </cell>
        </row>
        <row r="10">
          <cell r="M10">
            <v>31101161</v>
          </cell>
          <cell r="N10" t="str">
            <v>Fgts</v>
          </cell>
          <cell r="O10" t="str">
            <v>Folha</v>
          </cell>
        </row>
        <row r="11">
          <cell r="M11">
            <v>31101511</v>
          </cell>
          <cell r="N11" t="str">
            <v>Inss</v>
          </cell>
          <cell r="O11" t="str">
            <v>Folha</v>
          </cell>
        </row>
        <row r="12">
          <cell r="M12" t="str">
            <v>311010xx</v>
          </cell>
          <cell r="N12" t="str">
            <v>Horas In Itinere</v>
          </cell>
          <cell r="O12" t="str">
            <v>Folha</v>
          </cell>
        </row>
        <row r="13">
          <cell r="M13">
            <v>31101201</v>
          </cell>
          <cell r="N13" t="str">
            <v>Seguro Acidente Trabalho-Sat</v>
          </cell>
          <cell r="O13" t="str">
            <v>Folha</v>
          </cell>
        </row>
        <row r="14">
          <cell r="M14">
            <v>31101111</v>
          </cell>
          <cell r="N14" t="str">
            <v>Pro-Labore</v>
          </cell>
          <cell r="O14" t="str">
            <v>Folha</v>
          </cell>
        </row>
        <row r="15">
          <cell r="M15">
            <v>31108117</v>
          </cell>
          <cell r="N15" t="str">
            <v>Depreciação - IFRS</v>
          </cell>
          <cell r="O15" t="str">
            <v>Depreciação</v>
          </cell>
        </row>
        <row r="16">
          <cell r="M16">
            <v>31103136</v>
          </cell>
          <cell r="N16" t="str">
            <v>Licenciamentos de Veiculos e DPVAT</v>
          </cell>
          <cell r="O16" t="str">
            <v>IPVA</v>
          </cell>
        </row>
        <row r="17">
          <cell r="M17">
            <v>31103167</v>
          </cell>
          <cell r="N17" t="str">
            <v>IPVA</v>
          </cell>
          <cell r="O17" t="str">
            <v>IPVA</v>
          </cell>
        </row>
        <row r="18">
          <cell r="M18">
            <v>31103144</v>
          </cell>
          <cell r="N18" t="str">
            <v>Seguros Gerais</v>
          </cell>
          <cell r="O18" t="str">
            <v>Seguro</v>
          </cell>
        </row>
        <row r="19">
          <cell r="M19">
            <v>31104112</v>
          </cell>
          <cell r="N19" t="str">
            <v>Produtos Quimicos-Almoxarifado</v>
          </cell>
          <cell r="O19" t="str">
            <v>Insumos</v>
          </cell>
        </row>
      </sheetData>
      <sheetData sheetId="9"/>
      <sheetData sheetId="10">
        <row r="4">
          <cell r="B4" t="str">
            <v>CeCo</v>
          </cell>
          <cell r="C4" t="str">
            <v>Nombre</v>
          </cell>
          <cell r="D4" t="str">
            <v>CeCo - Nome</v>
          </cell>
          <cell r="E4" t="str">
            <v>Und. Negocio</v>
          </cell>
          <cell r="F4" t="str">
            <v>Responsable</v>
          </cell>
          <cell r="G4" t="str">
            <v>Area</v>
          </cell>
          <cell r="H4" t="str">
            <v>Grupo VdP</v>
          </cell>
          <cell r="I4" t="str">
            <v>Tipo</v>
          </cell>
          <cell r="J4" t="str">
            <v>Grupo Admon 1</v>
          </cell>
          <cell r="K4" t="str">
            <v>Grupo Admon 2</v>
          </cell>
          <cell r="L4" t="str">
            <v>Grupo Proceso Industria</v>
          </cell>
          <cell r="M4" t="str">
            <v>Grupo Proceso Agricola</v>
          </cell>
        </row>
        <row r="5">
          <cell r="B5">
            <v>100202</v>
          </cell>
          <cell r="C5" t="str">
            <v>DIRETOR PRESIDENTE</v>
          </cell>
          <cell r="D5" t="str">
            <v>100202-DIRETOR PRESIDENTE</v>
          </cell>
          <cell r="E5">
            <v>40</v>
          </cell>
          <cell r="F5" t="str">
            <v>SALVADOR BIGURIA</v>
          </cell>
          <cell r="G5" t="str">
            <v>ADMINISTRACIÓN</v>
          </cell>
          <cell r="H5" t="str">
            <v>DIRECTOR</v>
          </cell>
          <cell r="I5" t="str">
            <v>ADM</v>
          </cell>
          <cell r="J5" t="str">
            <v>CORPORATIVO</v>
          </cell>
          <cell r="K5" t="str">
            <v>PRESIDENCIA Y GERENCIA GRAL</v>
          </cell>
          <cell r="L5" t="str">
            <v>-</v>
          </cell>
          <cell r="M5" t="str">
            <v>-</v>
          </cell>
        </row>
        <row r="6">
          <cell r="B6">
            <v>200102</v>
          </cell>
          <cell r="C6" t="str">
            <v>ADMINISTRACAO CORPORATIVA</v>
          </cell>
          <cell r="D6" t="str">
            <v>200102-ADMINISTRACAO CORPORATIVA</v>
          </cell>
          <cell r="E6">
            <v>40</v>
          </cell>
          <cell r="F6" t="str">
            <v>WILLIAM KLINGER</v>
          </cell>
          <cell r="G6" t="str">
            <v>ADMINISTRACIÓN</v>
          </cell>
          <cell r="H6" t="str">
            <v>ADMON CORPORATIVA</v>
          </cell>
          <cell r="I6" t="str">
            <v>ADM</v>
          </cell>
          <cell r="J6" t="str">
            <v>CORPORATIVO</v>
          </cell>
          <cell r="K6" t="str">
            <v>PRESIDENCIA Y GERENCIA GRAL</v>
          </cell>
          <cell r="L6" t="str">
            <v>-</v>
          </cell>
          <cell r="M6" t="str">
            <v>-</v>
          </cell>
        </row>
        <row r="7">
          <cell r="B7">
            <v>200103</v>
          </cell>
          <cell r="C7" t="str">
            <v>DESPESAS DE CAPACITAÇÕES</v>
          </cell>
          <cell r="D7" t="str">
            <v>200103-DESPESAS DE CAPACITAÇÕES</v>
          </cell>
          <cell r="E7">
            <v>40</v>
          </cell>
          <cell r="F7" t="str">
            <v>PAOLA LANDERAS</v>
          </cell>
          <cell r="G7" t="str">
            <v>ADMINISTRACIÓN</v>
          </cell>
          <cell r="H7" t="str">
            <v>ADMON CORPORATIVA</v>
          </cell>
          <cell r="I7" t="str">
            <v>ADM</v>
          </cell>
          <cell r="J7" t="str">
            <v>CORPORATIVO</v>
          </cell>
          <cell r="K7" t="str">
            <v>RRHH</v>
          </cell>
          <cell r="L7" t="str">
            <v>-</v>
          </cell>
          <cell r="M7" t="str">
            <v>-</v>
          </cell>
        </row>
        <row r="8">
          <cell r="B8">
            <v>200402</v>
          </cell>
          <cell r="C8" t="str">
            <v>ADMINISTRAÇÃO DE RECURSOS HUMANOS</v>
          </cell>
          <cell r="D8" t="str">
            <v>200402-ADMINISTRAÇÃO DE RECURSOS HUMANOS</v>
          </cell>
          <cell r="E8">
            <v>40</v>
          </cell>
          <cell r="F8" t="str">
            <v>CELSO SESTO</v>
          </cell>
          <cell r="G8" t="str">
            <v>ADMINISTRACIÓN</v>
          </cell>
          <cell r="H8" t="str">
            <v>RECURSOS HUMANOS</v>
          </cell>
          <cell r="I8" t="str">
            <v>ADM</v>
          </cell>
          <cell r="J8" t="str">
            <v>RRHH</v>
          </cell>
          <cell r="K8" t="str">
            <v>ADM RRHH</v>
          </cell>
          <cell r="L8" t="str">
            <v>-</v>
          </cell>
          <cell r="M8" t="str">
            <v>-</v>
          </cell>
        </row>
        <row r="9">
          <cell r="B9">
            <v>200410</v>
          </cell>
          <cell r="C9" t="str">
            <v>ASSISTÊNCIA SOCIAL</v>
          </cell>
          <cell r="D9" t="str">
            <v>200410-ASSISTÊNCIA SOCIAL</v>
          </cell>
          <cell r="E9">
            <v>40</v>
          </cell>
          <cell r="F9" t="str">
            <v>CELSO SESTO</v>
          </cell>
          <cell r="G9" t="str">
            <v>ADMINISTRACIÓN</v>
          </cell>
          <cell r="H9" t="str">
            <v>RECURSOS HUMANOS</v>
          </cell>
          <cell r="I9" t="str">
            <v>ADM</v>
          </cell>
          <cell r="J9" t="str">
            <v>RRHH</v>
          </cell>
          <cell r="K9" t="str">
            <v>ATENCION AL PERSONAL</v>
          </cell>
          <cell r="L9" t="str">
            <v>-</v>
          </cell>
          <cell r="M9" t="str">
            <v>-</v>
          </cell>
        </row>
        <row r="10">
          <cell r="B10">
            <v>300404</v>
          </cell>
          <cell r="C10" t="str">
            <v>ADMINISTRACAO DE PESSOAL</v>
          </cell>
          <cell r="D10" t="str">
            <v>300404-ADMINISTRACAO DE PESSOAL</v>
          </cell>
          <cell r="E10">
            <v>40</v>
          </cell>
          <cell r="F10" t="str">
            <v>CELSO SESTO</v>
          </cell>
          <cell r="G10" t="str">
            <v>ADMINISTRACIÓN</v>
          </cell>
          <cell r="H10" t="str">
            <v>RECURSOS HUMANOS</v>
          </cell>
          <cell r="I10" t="str">
            <v>ADM</v>
          </cell>
          <cell r="J10" t="str">
            <v>RRHH</v>
          </cell>
          <cell r="K10" t="str">
            <v>COMPENSACIONES</v>
          </cell>
          <cell r="L10" t="str">
            <v>-</v>
          </cell>
          <cell r="M10" t="str">
            <v>-</v>
          </cell>
        </row>
        <row r="11">
          <cell r="B11">
            <v>300410</v>
          </cell>
          <cell r="C11" t="str">
            <v>MEDICINA DO TRABALHO</v>
          </cell>
          <cell r="D11" t="str">
            <v>300410-MEDICINA DO TRABALHO</v>
          </cell>
          <cell r="E11">
            <v>40</v>
          </cell>
          <cell r="F11" t="str">
            <v>CELSO SESTO</v>
          </cell>
          <cell r="G11" t="str">
            <v>ADMINISTRACIÓN</v>
          </cell>
          <cell r="H11" t="str">
            <v>RECURSOS HUMANOS</v>
          </cell>
          <cell r="I11" t="str">
            <v>ADM</v>
          </cell>
          <cell r="J11" t="str">
            <v>RRHH</v>
          </cell>
          <cell r="K11" t="str">
            <v>SERVICIOS DE SALUD</v>
          </cell>
          <cell r="L11" t="str">
            <v>-</v>
          </cell>
          <cell r="M11" t="str">
            <v>-</v>
          </cell>
        </row>
        <row r="12">
          <cell r="B12">
            <v>300412</v>
          </cell>
          <cell r="C12" t="str">
            <v>SEGURANCA DO TRABALHO</v>
          </cell>
          <cell r="D12" t="str">
            <v>300412-SEGURANCA DO TRABALHO</v>
          </cell>
          <cell r="E12">
            <v>40</v>
          </cell>
          <cell r="F12" t="str">
            <v>GABRIEL VIANA</v>
          </cell>
          <cell r="G12" t="str">
            <v>ADMINISTRACIÓN</v>
          </cell>
          <cell r="H12" t="str">
            <v>RECURSOS HUMANOS</v>
          </cell>
          <cell r="I12" t="str">
            <v>ADM</v>
          </cell>
          <cell r="J12" t="str">
            <v>RRHH</v>
          </cell>
          <cell r="K12" t="str">
            <v>SALUD Y SEGURIDAD OCUPACIONAL</v>
          </cell>
          <cell r="L12" t="str">
            <v>-</v>
          </cell>
          <cell r="M12" t="str">
            <v>-</v>
          </cell>
        </row>
        <row r="13">
          <cell r="B13">
            <v>300414</v>
          </cell>
          <cell r="C13" t="str">
            <v>SEGURANCA PATRIMONIAL</v>
          </cell>
          <cell r="D13" t="str">
            <v>300414-SEGURANCA PATRIMONIAL</v>
          </cell>
          <cell r="E13">
            <v>40</v>
          </cell>
          <cell r="F13" t="str">
            <v>GABRIEL VIANA</v>
          </cell>
          <cell r="G13" t="str">
            <v>ADMINISTRACIÓN</v>
          </cell>
          <cell r="H13" t="str">
            <v>RECURSOS HUMANOS</v>
          </cell>
          <cell r="I13" t="str">
            <v>ADM</v>
          </cell>
          <cell r="J13" t="str">
            <v>RRHH</v>
          </cell>
          <cell r="K13" t="str">
            <v>SEGURIDAD</v>
          </cell>
          <cell r="L13" t="str">
            <v>-</v>
          </cell>
          <cell r="M13" t="str">
            <v>-</v>
          </cell>
        </row>
        <row r="14">
          <cell r="B14">
            <v>300416</v>
          </cell>
          <cell r="C14" t="str">
            <v>RESTAURANTE</v>
          </cell>
          <cell r="D14" t="str">
            <v>300416-RESTAURANTE</v>
          </cell>
          <cell r="E14">
            <v>40</v>
          </cell>
          <cell r="F14" t="str">
            <v>GABRIEL VIANA</v>
          </cell>
          <cell r="G14" t="str">
            <v>ADMINISTRACIÓN</v>
          </cell>
          <cell r="H14" t="str">
            <v>RECURSOS HUMANOS</v>
          </cell>
          <cell r="I14" t="str">
            <v>ADM</v>
          </cell>
          <cell r="J14" t="str">
            <v>RRHH</v>
          </cell>
          <cell r="K14" t="str">
            <v>CLUB Y RESTAURANTE</v>
          </cell>
          <cell r="L14" t="str">
            <v>-</v>
          </cell>
          <cell r="M14" t="str">
            <v>-</v>
          </cell>
        </row>
        <row r="15">
          <cell r="B15">
            <v>200602</v>
          </cell>
          <cell r="C15" t="str">
            <v>PLANEJAMENTO FINANCEIRO</v>
          </cell>
          <cell r="D15" t="str">
            <v>200602-PLANEJAMENTO FINANCEIRO</v>
          </cell>
          <cell r="E15">
            <v>40</v>
          </cell>
          <cell r="F15" t="str">
            <v>WILLIAN KLINGER</v>
          </cell>
          <cell r="G15" t="str">
            <v>ADMINISTRACIÓN</v>
          </cell>
          <cell r="H15" t="str">
            <v>COSTOS &amp; ORÇAMENTO</v>
          </cell>
          <cell r="I15" t="str">
            <v>ADM</v>
          </cell>
          <cell r="J15" t="str">
            <v>ADMINISTRACION INGENIO</v>
          </cell>
          <cell r="K15" t="str">
            <v>PRESUPUESTO CENTRAL</v>
          </cell>
          <cell r="L15" t="str">
            <v>-</v>
          </cell>
          <cell r="M15" t="str">
            <v>-</v>
          </cell>
        </row>
        <row r="16">
          <cell r="B16">
            <v>200702</v>
          </cell>
          <cell r="C16" t="str">
            <v>CONTRATOS</v>
          </cell>
          <cell r="D16" t="str">
            <v>200702-CONTRATOS</v>
          </cell>
          <cell r="E16">
            <v>40</v>
          </cell>
          <cell r="F16" t="str">
            <v>MILTON VIERA</v>
          </cell>
          <cell r="G16" t="str">
            <v>ADMINISTRACIÓN</v>
          </cell>
          <cell r="H16" t="str">
            <v>ADMON CONTRATOS</v>
          </cell>
          <cell r="I16" t="str">
            <v>ADM</v>
          </cell>
          <cell r="J16" t="str">
            <v>ADMINISTRACION PAIS</v>
          </cell>
          <cell r="K16" t="str">
            <v xml:space="preserve">GERENCIA </v>
          </cell>
          <cell r="L16" t="str">
            <v>-</v>
          </cell>
          <cell r="M16" t="str">
            <v>-</v>
          </cell>
        </row>
        <row r="17">
          <cell r="B17">
            <v>201404</v>
          </cell>
          <cell r="C17" t="str">
            <v>TESOURARIA</v>
          </cell>
          <cell r="D17" t="str">
            <v>201404-TESOURARIA</v>
          </cell>
          <cell r="E17">
            <v>40</v>
          </cell>
          <cell r="F17" t="str">
            <v>SILVIO CABRIOTI</v>
          </cell>
          <cell r="G17" t="str">
            <v>ADMINISTRACIÓN</v>
          </cell>
          <cell r="H17" t="str">
            <v>FINANCIERO</v>
          </cell>
          <cell r="I17" t="str">
            <v>ADM</v>
          </cell>
          <cell r="J17" t="str">
            <v>ADMINISTRACION INGENIO</v>
          </cell>
          <cell r="K17" t="str">
            <v>TESORERIA</v>
          </cell>
          <cell r="L17" t="str">
            <v>-</v>
          </cell>
          <cell r="M17" t="str">
            <v>-</v>
          </cell>
        </row>
        <row r="18">
          <cell r="B18">
            <v>201602</v>
          </cell>
          <cell r="C18" t="str">
            <v>JURÍDICO</v>
          </cell>
          <cell r="D18" t="str">
            <v>201602-JURÍDICO</v>
          </cell>
          <cell r="E18">
            <v>40</v>
          </cell>
          <cell r="F18" t="str">
            <v>THIAGO FOGAÇA</v>
          </cell>
          <cell r="G18" t="str">
            <v>ADMINISTRACIÓN</v>
          </cell>
          <cell r="H18" t="str">
            <v>JURIDICO</v>
          </cell>
          <cell r="I18" t="str">
            <v>ADM</v>
          </cell>
          <cell r="J18" t="str">
            <v>ADMINISTRACION PAIS</v>
          </cell>
          <cell r="K18" t="str">
            <v xml:space="preserve">GERENCIA </v>
          </cell>
          <cell r="L18" t="str">
            <v>-</v>
          </cell>
          <cell r="M18" t="str">
            <v>-</v>
          </cell>
        </row>
        <row r="19">
          <cell r="B19">
            <v>202002</v>
          </cell>
          <cell r="C19" t="str">
            <v>MEIO AMBIENTE</v>
          </cell>
          <cell r="D19" t="str">
            <v>202002-MEIO AMBIENTE</v>
          </cell>
          <cell r="E19">
            <v>40</v>
          </cell>
          <cell r="F19" t="str">
            <v>DINAEL VEIGA</v>
          </cell>
          <cell r="G19" t="str">
            <v>ADMINISTRACIÓN</v>
          </cell>
          <cell r="H19" t="str">
            <v>MEDIO AMBIENTE</v>
          </cell>
          <cell r="I19" t="str">
            <v>ADM</v>
          </cell>
          <cell r="J19" t="str">
            <v>ADMINISTRACION PAIS</v>
          </cell>
          <cell r="K19" t="str">
            <v>GESTION AMBIENTAL</v>
          </cell>
          <cell r="L19" t="str">
            <v>-</v>
          </cell>
          <cell r="M19" t="str">
            <v>-</v>
          </cell>
        </row>
        <row r="20">
          <cell r="B20">
            <v>200202</v>
          </cell>
          <cell r="C20" t="str">
            <v>CONTABILIDADES</v>
          </cell>
          <cell r="D20" t="str">
            <v>200202-CONTABILIDADES</v>
          </cell>
          <cell r="E20">
            <v>40</v>
          </cell>
          <cell r="F20" t="str">
            <v>WILLIAN GUSTAVO OLIVEIRA</v>
          </cell>
          <cell r="G20" t="str">
            <v>ADMINISTRACIÓN</v>
          </cell>
          <cell r="H20" t="str">
            <v>CONTABILIDAD</v>
          </cell>
          <cell r="I20" t="str">
            <v>ADM</v>
          </cell>
          <cell r="J20" t="str">
            <v>ADMINISTRACION INGENIO</v>
          </cell>
          <cell r="K20" t="str">
            <v>CONTABILIDAD</v>
          </cell>
          <cell r="L20" t="str">
            <v>-</v>
          </cell>
          <cell r="M20" t="str">
            <v>-</v>
          </cell>
        </row>
        <row r="21">
          <cell r="B21">
            <v>200302</v>
          </cell>
          <cell r="C21" t="str">
            <v>FISCAL</v>
          </cell>
          <cell r="D21" t="str">
            <v>200302-FISCAL</v>
          </cell>
          <cell r="E21">
            <v>40</v>
          </cell>
          <cell r="F21" t="str">
            <v>RODOLFO LIMA</v>
          </cell>
          <cell r="G21" t="str">
            <v>ADMINISTRACIÓN</v>
          </cell>
          <cell r="H21" t="str">
            <v>CONTABILIDAD</v>
          </cell>
          <cell r="I21" t="str">
            <v>ADM</v>
          </cell>
          <cell r="J21" t="str">
            <v>ADMINISTRACION INGENIO</v>
          </cell>
          <cell r="K21" t="str">
            <v>IMPUESTOS</v>
          </cell>
          <cell r="L21" t="str">
            <v>-</v>
          </cell>
          <cell r="M21" t="str">
            <v>-</v>
          </cell>
        </row>
        <row r="22">
          <cell r="B22">
            <v>300206</v>
          </cell>
          <cell r="C22" t="str">
            <v>FATURAMENTO</v>
          </cell>
          <cell r="D22" t="str">
            <v>300206-FATURAMENTO</v>
          </cell>
          <cell r="E22">
            <v>30</v>
          </cell>
          <cell r="F22" t="str">
            <v>GENNER FLORENCIO</v>
          </cell>
          <cell r="G22" t="str">
            <v>ADMINISTRACIÓN</v>
          </cell>
          <cell r="H22" t="str">
            <v>CONTABILIDAD</v>
          </cell>
          <cell r="I22" t="str">
            <v>ADM</v>
          </cell>
          <cell r="J22" t="str">
            <v>ADMINISTRACION INGENIO</v>
          </cell>
          <cell r="K22" t="str">
            <v>CONTABILIDAD</v>
          </cell>
          <cell r="L22" t="str">
            <v>-</v>
          </cell>
          <cell r="M22" t="str">
            <v>-</v>
          </cell>
        </row>
        <row r="23">
          <cell r="B23">
            <v>300208</v>
          </cell>
          <cell r="C23" t="str">
            <v>RECEBIMENTO FISCAL</v>
          </cell>
          <cell r="D23" t="str">
            <v>300208-RECEBIMENTO FISCAL</v>
          </cell>
          <cell r="E23">
            <v>40</v>
          </cell>
          <cell r="F23" t="str">
            <v>RODOLFO LIMA</v>
          </cell>
          <cell r="G23" t="str">
            <v>ADMINISTRACIÓN</v>
          </cell>
          <cell r="H23" t="str">
            <v>CONTABILIDAD</v>
          </cell>
          <cell r="I23" t="str">
            <v>ADM</v>
          </cell>
          <cell r="J23" t="str">
            <v>ADMINISTRACION INGENIO</v>
          </cell>
          <cell r="K23" t="str">
            <v>IMPUESTOS</v>
          </cell>
          <cell r="L23" t="str">
            <v>-</v>
          </cell>
          <cell r="M23" t="str">
            <v>-</v>
          </cell>
        </row>
        <row r="24">
          <cell r="B24">
            <v>300210</v>
          </cell>
          <cell r="C24" t="str">
            <v>BALANÇA ENTRADA CANA</v>
          </cell>
          <cell r="D24" t="str">
            <v>300210-BALANÇA ENTRADA CANA</v>
          </cell>
          <cell r="E24">
            <v>40</v>
          </cell>
          <cell r="F24" t="str">
            <v>GENNER FLORENCIO</v>
          </cell>
          <cell r="G24" t="str">
            <v>ADMINISTRACIÓN</v>
          </cell>
          <cell r="H24" t="str">
            <v>CONTABILIDAD</v>
          </cell>
          <cell r="I24" t="str">
            <v>ADM</v>
          </cell>
          <cell r="J24" t="str">
            <v>LOGISTICA</v>
          </cell>
          <cell r="K24" t="str">
            <v>BASCULA</v>
          </cell>
          <cell r="L24" t="str">
            <v>-</v>
          </cell>
          <cell r="M24" t="str">
            <v>-</v>
          </cell>
        </row>
        <row r="25">
          <cell r="B25">
            <v>300602</v>
          </cell>
          <cell r="C25" t="str">
            <v>GERÊNCIA ADMINISTRATIVA FINANCEIRA</v>
          </cell>
          <cell r="D25" t="str">
            <v>300602-GERÊNCIA ADMINISTRATIVA FINANCEIRA</v>
          </cell>
          <cell r="E25">
            <v>40</v>
          </cell>
          <cell r="F25" t="str">
            <v>PAOLA LANDERAS</v>
          </cell>
          <cell r="G25" t="str">
            <v>ADMINISTRACIÓN</v>
          </cell>
          <cell r="H25" t="str">
            <v>ADMON GENERAL</v>
          </cell>
          <cell r="I25" t="str">
            <v>ADM</v>
          </cell>
          <cell r="J25" t="str">
            <v>ADMINISTRACION INGENIO</v>
          </cell>
          <cell r="K25" t="str">
            <v>GERENCIA FINANCIERA</v>
          </cell>
          <cell r="L25" t="str">
            <v>-</v>
          </cell>
          <cell r="M25" t="str">
            <v>-</v>
          </cell>
        </row>
        <row r="26">
          <cell r="B26">
            <v>300604</v>
          </cell>
          <cell r="C26" t="str">
            <v>GERENCIA GERAL</v>
          </cell>
          <cell r="D26" t="str">
            <v>300604-GERENCIA GERAL</v>
          </cell>
          <cell r="E26">
            <v>40</v>
          </cell>
          <cell r="F26" t="str">
            <v>ALBERTO OTOYA</v>
          </cell>
          <cell r="G26" t="str">
            <v>ADMINISTRACIÓN</v>
          </cell>
          <cell r="H26" t="str">
            <v>ADMON GENERAL</v>
          </cell>
          <cell r="I26" t="str">
            <v>ADM</v>
          </cell>
          <cell r="J26" t="str">
            <v>ADMINISTRACION PAIS</v>
          </cell>
          <cell r="K26" t="str">
            <v xml:space="preserve">GERENCIA </v>
          </cell>
          <cell r="L26" t="str">
            <v>-</v>
          </cell>
          <cell r="M26" t="str">
            <v>-</v>
          </cell>
        </row>
        <row r="27">
          <cell r="B27">
            <v>300606</v>
          </cell>
          <cell r="C27" t="str">
            <v>ADMINISTRAÇÃO DE RISCO E AUDITORIA</v>
          </cell>
          <cell r="D27" t="str">
            <v>300606-ADMINISTRAÇÃO DE RISCO E AUDITORIA</v>
          </cell>
          <cell r="E27">
            <v>40</v>
          </cell>
          <cell r="F27" t="str">
            <v>JOSE MARTINEZ</v>
          </cell>
          <cell r="G27" t="str">
            <v>ADMINISTRACIÓN</v>
          </cell>
          <cell r="H27" t="str">
            <v>AUDITORIA</v>
          </cell>
          <cell r="I27" t="str">
            <v>ADM</v>
          </cell>
          <cell r="J27" t="str">
            <v>CORPORATIVO</v>
          </cell>
          <cell r="K27" t="str">
            <v>ADMINISTRACION INC</v>
          </cell>
          <cell r="L27" t="str">
            <v>-</v>
          </cell>
          <cell r="M27" t="str">
            <v>-</v>
          </cell>
        </row>
        <row r="28">
          <cell r="B28">
            <v>300607</v>
          </cell>
          <cell r="C28" t="str">
            <v>INDENIZACOES TRABALHISTAS</v>
          </cell>
          <cell r="D28" t="str">
            <v>300607-INDENIZACOES TRABALHISTAS</v>
          </cell>
          <cell r="E28">
            <v>40</v>
          </cell>
          <cell r="F28" t="str">
            <v>ALBERTO OTOYA</v>
          </cell>
          <cell r="G28" t="str">
            <v>ADMINISTRACIÓN</v>
          </cell>
          <cell r="H28" t="str">
            <v>CONTINGENCIAS</v>
          </cell>
          <cell r="I28" t="str">
            <v>ADM</v>
          </cell>
          <cell r="J28" t="str">
            <v>AJUSTES</v>
          </cell>
          <cell r="K28" t="str">
            <v>IMPREVISTOS</v>
          </cell>
          <cell r="L28" t="str">
            <v>-</v>
          </cell>
          <cell r="M28" t="str">
            <v>-</v>
          </cell>
        </row>
        <row r="29">
          <cell r="B29">
            <v>300608</v>
          </cell>
          <cell r="C29" t="str">
            <v>INDENIZACOES CIVEIS</v>
          </cell>
          <cell r="D29" t="str">
            <v>300608-INDENIZACOES CIVEIS</v>
          </cell>
          <cell r="E29">
            <v>40</v>
          </cell>
          <cell r="F29" t="str">
            <v>ALBERTO OTOYA</v>
          </cell>
          <cell r="G29" t="str">
            <v>ADMINISTRACIÓN</v>
          </cell>
          <cell r="H29" t="str">
            <v>CONTINGENCIAS</v>
          </cell>
          <cell r="I29" t="str">
            <v>ADM</v>
          </cell>
          <cell r="J29" t="str">
            <v>AJUSTES</v>
          </cell>
          <cell r="K29" t="str">
            <v>IMPREVISTOS</v>
          </cell>
          <cell r="L29" t="str">
            <v>-</v>
          </cell>
          <cell r="M29" t="str">
            <v>-</v>
          </cell>
        </row>
        <row r="30">
          <cell r="B30">
            <v>300609</v>
          </cell>
          <cell r="C30" t="str">
            <v>INDENIZACOES AMBIENTAIS</v>
          </cell>
          <cell r="D30" t="str">
            <v>300609-INDENIZACOES AMBIENTAIS</v>
          </cell>
          <cell r="E30">
            <v>40</v>
          </cell>
          <cell r="F30" t="str">
            <v>ALBERTO OTOYA</v>
          </cell>
          <cell r="G30" t="str">
            <v>ADMINISTRACIÓN</v>
          </cell>
          <cell r="H30" t="str">
            <v>CONTINGENCIAS</v>
          </cell>
          <cell r="I30" t="str">
            <v>ADM</v>
          </cell>
          <cell r="J30" t="str">
            <v>AJUSTES</v>
          </cell>
          <cell r="K30" t="str">
            <v>IMPREVISTOS</v>
          </cell>
          <cell r="L30" t="str">
            <v>-</v>
          </cell>
          <cell r="M30" t="str">
            <v>-</v>
          </cell>
        </row>
        <row r="31">
          <cell r="B31">
            <v>300610</v>
          </cell>
          <cell r="C31" t="str">
            <v>INDENIZACOES TRIBUTARIA</v>
          </cell>
          <cell r="D31" t="str">
            <v>300610-INDENIZACOES TRIBUTARIA</v>
          </cell>
          <cell r="E31">
            <v>40</v>
          </cell>
          <cell r="F31" t="str">
            <v>ALBERTO OTOYA</v>
          </cell>
          <cell r="G31" t="str">
            <v>ADMINISTRACIÓN</v>
          </cell>
          <cell r="H31" t="str">
            <v>CONTINGENCIAS</v>
          </cell>
          <cell r="I31" t="str">
            <v>ADM</v>
          </cell>
          <cell r="J31" t="str">
            <v>AJUSTES</v>
          </cell>
          <cell r="K31" t="str">
            <v>IMPREVISTOS</v>
          </cell>
          <cell r="L31" t="str">
            <v>-</v>
          </cell>
          <cell r="M31" t="str">
            <v>-</v>
          </cell>
        </row>
        <row r="32">
          <cell r="B32">
            <v>300802</v>
          </cell>
          <cell r="C32" t="str">
            <v>TECNOLOGIA DA INFORMAÇÃO</v>
          </cell>
          <cell r="D32" t="str">
            <v>300802-TECNOLOGIA DA INFORMAÇÃO</v>
          </cell>
          <cell r="E32">
            <v>40</v>
          </cell>
          <cell r="F32" t="str">
            <v>EMERSON OLIVO</v>
          </cell>
          <cell r="G32" t="str">
            <v>ADMINISTRACIÓN</v>
          </cell>
          <cell r="H32" t="str">
            <v>TI</v>
          </cell>
          <cell r="I32" t="str">
            <v>ADM</v>
          </cell>
          <cell r="J32" t="str">
            <v>ADMINISTRACION INGENIO</v>
          </cell>
          <cell r="K32" t="str">
            <v>SOPORTE INFORMATICO</v>
          </cell>
          <cell r="L32" t="str">
            <v>-</v>
          </cell>
          <cell r="M32" t="str">
            <v>-</v>
          </cell>
        </row>
        <row r="33">
          <cell r="B33">
            <v>201001</v>
          </cell>
          <cell r="C33" t="str">
            <v>LOGISTICA</v>
          </cell>
          <cell r="D33" t="str">
            <v>201001-LOGISTICA</v>
          </cell>
          <cell r="E33">
            <v>40</v>
          </cell>
          <cell r="F33" t="str">
            <v>GENNER FLORENCIO</v>
          </cell>
          <cell r="G33" t="str">
            <v>ADMINISTRACIÓN</v>
          </cell>
          <cell r="H33" t="str">
            <v>ALMOXARIFADO/SUPRIMENTOS</v>
          </cell>
          <cell r="I33" t="str">
            <v>ADM</v>
          </cell>
          <cell r="J33" t="str">
            <v>LOGISTICA</v>
          </cell>
          <cell r="K33" t="str">
            <v>OPERACIÓN ALCOHOL</v>
          </cell>
          <cell r="L33" t="str">
            <v>-</v>
          </cell>
          <cell r="M33" t="str">
            <v>-</v>
          </cell>
        </row>
        <row r="34">
          <cell r="B34">
            <v>201002</v>
          </cell>
          <cell r="C34" t="str">
            <v>COMPRAS</v>
          </cell>
          <cell r="D34" t="str">
            <v>201002-COMPRAS</v>
          </cell>
          <cell r="E34">
            <v>40</v>
          </cell>
          <cell r="F34" t="str">
            <v>GENNER FLORENCIO</v>
          </cell>
          <cell r="G34" t="str">
            <v>ADMINISTRACIÓN</v>
          </cell>
          <cell r="H34" t="str">
            <v>ALMOXARIFADO/SUPRIMENTOS</v>
          </cell>
          <cell r="I34" t="str">
            <v>ADM</v>
          </cell>
          <cell r="J34" t="str">
            <v>LOGISTICA</v>
          </cell>
          <cell r="K34" t="str">
            <v>COMPRAS</v>
          </cell>
          <cell r="L34" t="str">
            <v>-</v>
          </cell>
          <cell r="M34" t="str">
            <v>-</v>
          </cell>
        </row>
        <row r="35">
          <cell r="B35">
            <v>301002</v>
          </cell>
          <cell r="C35" t="str">
            <v>ALMOXARIFADO AUTOMOTIVO</v>
          </cell>
          <cell r="D35" t="str">
            <v>301002-ALMOXARIFADO AUTOMOTIVO</v>
          </cell>
          <cell r="E35">
            <v>40</v>
          </cell>
          <cell r="F35" t="str">
            <v>GENNER FLORENCIO</v>
          </cell>
          <cell r="G35" t="str">
            <v>ADMINISTRACIÓN</v>
          </cell>
          <cell r="H35" t="str">
            <v>ALMOXARIFADO/SUPRIMENTOS</v>
          </cell>
          <cell r="I35" t="str">
            <v>ADM</v>
          </cell>
          <cell r="J35" t="str">
            <v>LOGISTICA</v>
          </cell>
          <cell r="K35" t="str">
            <v>MATERIALES</v>
          </cell>
          <cell r="L35" t="str">
            <v>-</v>
          </cell>
          <cell r="M35" t="str">
            <v>-</v>
          </cell>
        </row>
        <row r="36">
          <cell r="B36">
            <v>301004</v>
          </cell>
          <cell r="C36" t="str">
            <v>ALMOXARIFADO INDUSTRIAL</v>
          </cell>
          <cell r="D36" t="str">
            <v>301004-ALMOXARIFADO INDUSTRIAL</v>
          </cell>
          <cell r="E36">
            <v>40</v>
          </cell>
          <cell r="F36" t="str">
            <v>GENNER FLORENCIO</v>
          </cell>
          <cell r="G36" t="str">
            <v>ADMINISTRACIÓN</v>
          </cell>
          <cell r="H36" t="str">
            <v>ALMOXARIFADO/SUPRIMENTOS</v>
          </cell>
          <cell r="I36" t="str">
            <v>ADM</v>
          </cell>
          <cell r="J36" t="str">
            <v>LOGISTICA</v>
          </cell>
          <cell r="K36" t="str">
            <v>MATERIALES</v>
          </cell>
          <cell r="L36" t="str">
            <v>-</v>
          </cell>
          <cell r="M36" t="str">
            <v>-</v>
          </cell>
        </row>
        <row r="37">
          <cell r="B37">
            <v>301006</v>
          </cell>
          <cell r="C37" t="str">
            <v>POSTO ABASTECIMENTO</v>
          </cell>
          <cell r="D37" t="str">
            <v>301006-POSTO ABASTECIMENTO</v>
          </cell>
          <cell r="E37">
            <v>40</v>
          </cell>
          <cell r="F37" t="str">
            <v>GENNER FLORENCIO</v>
          </cell>
          <cell r="G37" t="str">
            <v>ADMINISTRACIÓN</v>
          </cell>
          <cell r="H37" t="str">
            <v>ALMOXARIFADO/SUPRIMENTOS</v>
          </cell>
          <cell r="I37" t="str">
            <v>ADM</v>
          </cell>
          <cell r="J37" t="str">
            <v>LOGISTICA</v>
          </cell>
          <cell r="K37" t="str">
            <v>MATERIALES</v>
          </cell>
          <cell r="L37" t="str">
            <v>-</v>
          </cell>
          <cell r="M37" t="str">
            <v>-</v>
          </cell>
        </row>
        <row r="38">
          <cell r="B38">
            <v>201202</v>
          </cell>
          <cell r="C38" t="str">
            <v>COMERCIAL</v>
          </cell>
          <cell r="D38" t="str">
            <v>201202-COMERCIAL</v>
          </cell>
          <cell r="E38">
            <v>30</v>
          </cell>
          <cell r="F38" t="str">
            <v>GENNER FLORENCIO</v>
          </cell>
          <cell r="G38" t="str">
            <v>COMERCIAL</v>
          </cell>
          <cell r="H38" t="str">
            <v>COMERCIAL</v>
          </cell>
          <cell r="I38" t="str">
            <v>COM</v>
          </cell>
          <cell r="J38" t="str">
            <v>LOGISTICA</v>
          </cell>
          <cell r="K38" t="str">
            <v>ADMINISTRACION</v>
          </cell>
          <cell r="L38" t="str">
            <v>-</v>
          </cell>
          <cell r="M38" t="str">
            <v>-</v>
          </cell>
        </row>
        <row r="39">
          <cell r="B39">
            <v>201204</v>
          </cell>
          <cell r="C39" t="str">
            <v>GASTOS COMERCIALIZAÇÃO</v>
          </cell>
          <cell r="D39" t="str">
            <v>201204-GASTOS COMERCIALIZAÇÃO</v>
          </cell>
          <cell r="E39">
            <v>30</v>
          </cell>
          <cell r="F39" t="str">
            <v>GENNER FLORENCIO</v>
          </cell>
          <cell r="G39" t="str">
            <v>COMERCIAL</v>
          </cell>
          <cell r="H39" t="str">
            <v>COMERCIAL</v>
          </cell>
          <cell r="I39" t="str">
            <v>COM</v>
          </cell>
          <cell r="J39" t="str">
            <v>LOGISTICA</v>
          </cell>
          <cell r="K39" t="str">
            <v>OPERACIÓN ALCOHOL</v>
          </cell>
          <cell r="L39" t="str">
            <v>-</v>
          </cell>
          <cell r="M39" t="str">
            <v>-</v>
          </cell>
        </row>
        <row r="40">
          <cell r="B40">
            <v>301202</v>
          </cell>
          <cell r="C40" t="str">
            <v>ARMAZENAGEM DE ALCOOL</v>
          </cell>
          <cell r="D40" t="str">
            <v>301202-ARMAZENAGEM DE ALCOOL</v>
          </cell>
          <cell r="E40">
            <v>30</v>
          </cell>
          <cell r="F40" t="str">
            <v>GENNER FLORENCIO</v>
          </cell>
          <cell r="G40" t="str">
            <v>COMERCIAL</v>
          </cell>
          <cell r="H40" t="str">
            <v>COMERCIAL</v>
          </cell>
          <cell r="I40" t="str">
            <v>COM</v>
          </cell>
          <cell r="J40" t="str">
            <v>LOGISTICA</v>
          </cell>
          <cell r="K40" t="str">
            <v>OPERACIÓN ALCOHOL</v>
          </cell>
          <cell r="L40" t="str">
            <v>-</v>
          </cell>
          <cell r="M40" t="str">
            <v>-</v>
          </cell>
        </row>
        <row r="41">
          <cell r="B41">
            <v>301206</v>
          </cell>
          <cell r="C41" t="str">
            <v>CARREGAMENTO</v>
          </cell>
          <cell r="D41" t="str">
            <v>301206-CARREGAMENTO</v>
          </cell>
          <cell r="E41">
            <v>30</v>
          </cell>
          <cell r="F41" t="str">
            <v>GENNER FLORENCIO</v>
          </cell>
          <cell r="G41" t="str">
            <v>COMERCIAL</v>
          </cell>
          <cell r="H41" t="str">
            <v>COMERCIAL</v>
          </cell>
          <cell r="I41" t="str">
            <v>COM</v>
          </cell>
          <cell r="J41" t="str">
            <v>LOGISTICA</v>
          </cell>
          <cell r="K41" t="str">
            <v>OPERACIÓN ALCOHOL</v>
          </cell>
          <cell r="L41" t="str">
            <v>-</v>
          </cell>
          <cell r="M41" t="str">
            <v>-</v>
          </cell>
        </row>
        <row r="42">
          <cell r="B42">
            <v>301208</v>
          </cell>
          <cell r="C42" t="str">
            <v>LOGISTICA E TRANSPORTE</v>
          </cell>
          <cell r="D42" t="str">
            <v>301208-LOGISTICA E TRANSPORTE</v>
          </cell>
          <cell r="E42">
            <v>30</v>
          </cell>
          <cell r="F42" t="str">
            <v>GENNER FLORENCIO</v>
          </cell>
          <cell r="G42" t="str">
            <v>COMERCIAL</v>
          </cell>
          <cell r="H42" t="str">
            <v>COMERCIAL</v>
          </cell>
          <cell r="I42" t="str">
            <v>COM</v>
          </cell>
          <cell r="J42" t="str">
            <v>LOGISTICA</v>
          </cell>
          <cell r="K42" t="str">
            <v>OPERACIÓN ALCOHOL</v>
          </cell>
          <cell r="L42" t="str">
            <v>-</v>
          </cell>
          <cell r="M42" t="str">
            <v>-</v>
          </cell>
        </row>
        <row r="43">
          <cell r="B43">
            <v>300421</v>
          </cell>
          <cell r="C43" t="str">
            <v>SERVIÇOS GERAIS</v>
          </cell>
          <cell r="D43" t="str">
            <v>300421-SERVIÇOS GERAIS</v>
          </cell>
          <cell r="E43">
            <v>40</v>
          </cell>
          <cell r="F43" t="str">
            <v>GABRIEL VIANA</v>
          </cell>
          <cell r="G43" t="str">
            <v>ADMINISTRACIÓN</v>
          </cell>
          <cell r="H43" t="str">
            <v>SERV. GENERALES</v>
          </cell>
          <cell r="I43" t="str">
            <v>ADM</v>
          </cell>
          <cell r="J43" t="str">
            <v>RRHH</v>
          </cell>
          <cell r="K43" t="str">
            <v>SERVICIOS GENERALES</v>
          </cell>
          <cell r="L43" t="str">
            <v>-</v>
          </cell>
          <cell r="M43" t="str">
            <v>-</v>
          </cell>
        </row>
        <row r="44">
          <cell r="B44">
            <v>302001</v>
          </cell>
          <cell r="C44" t="str">
            <v>APOIO OPERACIONAL</v>
          </cell>
          <cell r="D44" t="str">
            <v>302001-APOIO OPERACIONAL</v>
          </cell>
          <cell r="E44">
            <v>40</v>
          </cell>
          <cell r="F44" t="str">
            <v>WILLIAN KLINGER</v>
          </cell>
          <cell r="G44" t="str">
            <v>ESPECIAL</v>
          </cell>
          <cell r="H44" t="str">
            <v>ESPECIAL</v>
          </cell>
          <cell r="I44" t="str">
            <v>ADM</v>
          </cell>
          <cell r="J44" t="str">
            <v>APOYO OPERACIONA (COSECHA)</v>
          </cell>
          <cell r="K44" t="str">
            <v>APOYO OPERACIONA (COSECHA)</v>
          </cell>
          <cell r="L44" t="str">
            <v>-</v>
          </cell>
          <cell r="M44" t="str">
            <v>-</v>
          </cell>
        </row>
        <row r="45">
          <cell r="B45">
            <v>400102</v>
          </cell>
          <cell r="C45" t="str">
            <v>GERÊNCIA INDUSTRIAL</v>
          </cell>
          <cell r="D45" t="str">
            <v>400102-GERÊNCIA INDUSTRIAL</v>
          </cell>
          <cell r="E45">
            <v>10</v>
          </cell>
          <cell r="F45" t="str">
            <v>GILBERTO STUCHI</v>
          </cell>
          <cell r="G45" t="str">
            <v>INDUSTRIA</v>
          </cell>
          <cell r="H45" t="str">
            <v>ADMON INDUSTRIA</v>
          </cell>
          <cell r="I45" t="str">
            <v>IND</v>
          </cell>
          <cell r="J45" t="str">
            <v>-</v>
          </cell>
          <cell r="K45" t="str">
            <v>-</v>
          </cell>
          <cell r="L45" t="str">
            <v>ADMON INDUSTRIA</v>
          </cell>
          <cell r="M45" t="str">
            <v>-</v>
          </cell>
        </row>
        <row r="46">
          <cell r="B46">
            <v>400202</v>
          </cell>
          <cell r="C46" t="str">
            <v>APOIO TÉCNICO INDUSTRIAL</v>
          </cell>
          <cell r="D46" t="str">
            <v>400202-APOIO TÉCNICO INDUSTRIAL</v>
          </cell>
          <cell r="E46">
            <v>10</v>
          </cell>
          <cell r="F46" t="str">
            <v>SERGIO FIORENTINO</v>
          </cell>
          <cell r="G46" t="str">
            <v>INDUSTRIA</v>
          </cell>
          <cell r="H46" t="str">
            <v>APOIO TECNICO INDUSTRIA</v>
          </cell>
          <cell r="I46" t="str">
            <v>IND</v>
          </cell>
          <cell r="J46" t="str">
            <v>-</v>
          </cell>
          <cell r="K46" t="str">
            <v>-</v>
          </cell>
          <cell r="L46" t="str">
            <v>ADMON INDUSTRIA</v>
          </cell>
          <cell r="M46" t="str">
            <v>-</v>
          </cell>
        </row>
        <row r="47">
          <cell r="B47">
            <v>400402</v>
          </cell>
          <cell r="C47" t="str">
            <v>LABORATORIO PCTS</v>
          </cell>
          <cell r="D47" t="str">
            <v>400402-LABORATORIO PCTS</v>
          </cell>
          <cell r="E47">
            <v>10</v>
          </cell>
          <cell r="F47" t="str">
            <v>KELLY CRISTINA</v>
          </cell>
          <cell r="G47" t="str">
            <v>INDUSTRIA</v>
          </cell>
          <cell r="H47" t="str">
            <v>CONTROL CALIDAD</v>
          </cell>
          <cell r="I47" t="str">
            <v>IND</v>
          </cell>
          <cell r="J47" t="str">
            <v>-</v>
          </cell>
          <cell r="K47" t="str">
            <v>-</v>
          </cell>
          <cell r="L47" t="str">
            <v>LABORATORIO</v>
          </cell>
          <cell r="M47" t="str">
            <v>-</v>
          </cell>
        </row>
        <row r="48">
          <cell r="B48">
            <v>400404</v>
          </cell>
          <cell r="C48" t="str">
            <v>LABORATORIO INDUSTRIAL</v>
          </cell>
          <cell r="D48" t="str">
            <v>400404-LABORATORIO INDUSTRIAL</v>
          </cell>
          <cell r="E48">
            <v>10</v>
          </cell>
          <cell r="F48" t="str">
            <v>KELLY CRISTINA</v>
          </cell>
          <cell r="G48" t="str">
            <v>INDUSTRIA</v>
          </cell>
          <cell r="H48" t="str">
            <v>CONTROL CALIDAD</v>
          </cell>
          <cell r="I48" t="str">
            <v>IND</v>
          </cell>
          <cell r="J48" t="str">
            <v>-</v>
          </cell>
          <cell r="K48" t="str">
            <v>-</v>
          </cell>
          <cell r="L48" t="str">
            <v>LABORATORIO</v>
          </cell>
          <cell r="M48" t="str">
            <v>-</v>
          </cell>
        </row>
        <row r="49">
          <cell r="B49">
            <v>400406</v>
          </cell>
          <cell r="C49" t="str">
            <v>LABORATORIO MICRO-BIOLOGIA</v>
          </cell>
          <cell r="D49" t="str">
            <v>400406-LABORATORIO MICRO-BIOLOGIA</v>
          </cell>
          <cell r="E49">
            <v>10</v>
          </cell>
          <cell r="F49" t="str">
            <v>KELLY CRISTINA</v>
          </cell>
          <cell r="G49" t="str">
            <v>INDUSTRIA</v>
          </cell>
          <cell r="H49" t="str">
            <v>CONTROL CALIDAD</v>
          </cell>
          <cell r="I49" t="str">
            <v>IND</v>
          </cell>
          <cell r="J49" t="str">
            <v>-</v>
          </cell>
          <cell r="K49" t="str">
            <v>-</v>
          </cell>
          <cell r="L49" t="str">
            <v>LABORATORIO</v>
          </cell>
          <cell r="M49" t="str">
            <v>-</v>
          </cell>
        </row>
        <row r="50">
          <cell r="B50">
            <v>408099</v>
          </cell>
          <cell r="C50" t="str">
            <v>MANUTENÇÃO DE ENTRESSAFRA</v>
          </cell>
          <cell r="D50" t="str">
            <v>408099-MANUTENÇÃO DE ENTRESSAFRA</v>
          </cell>
          <cell r="E50">
            <v>10</v>
          </cell>
          <cell r="F50" t="str">
            <v>SERGIO FIORENTINO</v>
          </cell>
          <cell r="G50" t="str">
            <v>INDUSTRIA</v>
          </cell>
          <cell r="H50" t="str">
            <v>CONTROL CALIDAD</v>
          </cell>
          <cell r="I50" t="str">
            <v>IND</v>
          </cell>
          <cell r="J50" t="str">
            <v>-</v>
          </cell>
          <cell r="K50" t="str">
            <v>-</v>
          </cell>
          <cell r="L50" t="str">
            <v>AUXILIARES</v>
          </cell>
          <cell r="M50" t="str">
            <v>-</v>
          </cell>
        </row>
        <row r="51">
          <cell r="B51">
            <v>400499</v>
          </cell>
          <cell r="C51" t="str">
            <v>MANUTENÇÃO DE ENTRESSAFRA</v>
          </cell>
          <cell r="D51" t="str">
            <v>400499-MANUTENÇÃO DE ENTRESSAFRA</v>
          </cell>
          <cell r="E51">
            <v>10</v>
          </cell>
          <cell r="F51" t="str">
            <v>SERGIO FIORENTINO</v>
          </cell>
          <cell r="G51" t="str">
            <v>INDUSTRIA</v>
          </cell>
          <cell r="H51" t="str">
            <v>CONTROL CALIDAD</v>
          </cell>
          <cell r="I51" t="str">
            <v>IND</v>
          </cell>
          <cell r="J51" t="str">
            <v>-</v>
          </cell>
          <cell r="K51" t="str">
            <v>-</v>
          </cell>
          <cell r="L51" t="str">
            <v>AUXILIARES</v>
          </cell>
          <cell r="M51" t="str">
            <v>-</v>
          </cell>
        </row>
        <row r="52">
          <cell r="B52">
            <v>401002</v>
          </cell>
          <cell r="C52" t="str">
            <v>BARRACAO / LIMPEZA</v>
          </cell>
          <cell r="D52" t="str">
            <v>401002-BARRACAO / LIMPEZA</v>
          </cell>
          <cell r="E52">
            <v>10</v>
          </cell>
          <cell r="F52" t="str">
            <v>WILLIAN GUSTAVO OLIVEIRA</v>
          </cell>
          <cell r="G52" t="str">
            <v>INDUSTRIA</v>
          </cell>
          <cell r="H52" t="str">
            <v>RECEPCIÓN / MOLIENDA</v>
          </cell>
          <cell r="I52" t="str">
            <v>IND</v>
          </cell>
          <cell r="J52" t="str">
            <v>-</v>
          </cell>
          <cell r="K52" t="str">
            <v>-</v>
          </cell>
          <cell r="L52" t="str">
            <v>PATIO CANA</v>
          </cell>
          <cell r="M52" t="str">
            <v>-</v>
          </cell>
        </row>
        <row r="53">
          <cell r="B53">
            <v>401003</v>
          </cell>
          <cell r="C53" t="str">
            <v>COMPRA DE CANA - SCTP</v>
          </cell>
          <cell r="D53" t="str">
            <v>401003-COMPRA DE CANA - SCTP</v>
          </cell>
          <cell r="E53">
            <v>10</v>
          </cell>
          <cell r="F53" t="str">
            <v>WILLIAM KLINGER</v>
          </cell>
          <cell r="G53" t="str">
            <v>INDUSTRIA</v>
          </cell>
          <cell r="H53" t="str">
            <v>RECEPCIÓN / MOLIENDA</v>
          </cell>
          <cell r="I53" t="str">
            <v>IND</v>
          </cell>
          <cell r="J53" t="str">
            <v>-</v>
          </cell>
          <cell r="K53" t="str">
            <v>-</v>
          </cell>
          <cell r="L53" t="str">
            <v>PATIO CANA</v>
          </cell>
          <cell r="M53" t="str">
            <v>-</v>
          </cell>
        </row>
        <row r="54">
          <cell r="B54">
            <v>401004</v>
          </cell>
          <cell r="C54" t="str">
            <v>ALIMENTACAO E PREPARO</v>
          </cell>
          <cell r="D54" t="str">
            <v>401004-ALIMENTACAO E PREPARO</v>
          </cell>
          <cell r="E54">
            <v>10</v>
          </cell>
          <cell r="F54" t="str">
            <v>CARLOS JOSE DOS SANTOS</v>
          </cell>
          <cell r="G54" t="str">
            <v>INDUSTRIA</v>
          </cell>
          <cell r="H54" t="str">
            <v>RECEPCIÓN / MOLIENDA</v>
          </cell>
          <cell r="I54" t="str">
            <v>IND</v>
          </cell>
          <cell r="J54" t="str">
            <v>-</v>
          </cell>
          <cell r="K54" t="str">
            <v>-</v>
          </cell>
          <cell r="L54" t="str">
            <v>PATIO CANA</v>
          </cell>
          <cell r="M54" t="str">
            <v>-</v>
          </cell>
        </row>
        <row r="55">
          <cell r="B55">
            <v>401006</v>
          </cell>
          <cell r="C55" t="str">
            <v>MOAGEM CANA</v>
          </cell>
          <cell r="D55" t="str">
            <v>401006-MOAGEM CANA</v>
          </cell>
          <cell r="E55">
            <v>10</v>
          </cell>
          <cell r="F55" t="str">
            <v>CARLOS JOSE DOS SANTOS</v>
          </cell>
          <cell r="G55" t="str">
            <v>INDUSTRIA</v>
          </cell>
          <cell r="H55" t="str">
            <v>RECEPCIÓN / MOLIENDA</v>
          </cell>
          <cell r="I55" t="str">
            <v>IND</v>
          </cell>
          <cell r="J55" t="str">
            <v>-</v>
          </cell>
          <cell r="K55" t="str">
            <v>-</v>
          </cell>
          <cell r="L55" t="str">
            <v>MOLIENDA</v>
          </cell>
          <cell r="M55" t="str">
            <v>-</v>
          </cell>
        </row>
        <row r="56">
          <cell r="B56">
            <v>401008</v>
          </cell>
          <cell r="C56" t="str">
            <v>DIFUSOR</v>
          </cell>
          <cell r="D56" t="str">
            <v>401008-DIFUSOR</v>
          </cell>
          <cell r="E56">
            <v>10</v>
          </cell>
          <cell r="F56" t="str">
            <v>CARLOS JOSE DOS SANTOS</v>
          </cell>
          <cell r="G56" t="str">
            <v>INDUSTRIA</v>
          </cell>
          <cell r="H56" t="str">
            <v>RECEPCIÓN / MOLIENDA</v>
          </cell>
          <cell r="I56" t="str">
            <v>IND</v>
          </cell>
          <cell r="J56" t="str">
            <v>-</v>
          </cell>
          <cell r="K56" t="str">
            <v>-</v>
          </cell>
          <cell r="L56" t="str">
            <v>MOLIENDA</v>
          </cell>
          <cell r="M56" t="str">
            <v>-</v>
          </cell>
        </row>
        <row r="57">
          <cell r="B57">
            <v>401012</v>
          </cell>
          <cell r="C57" t="str">
            <v>SECAGEM DE BAGAÇO</v>
          </cell>
          <cell r="D57" t="str">
            <v>401012-SECAGEM DE BAGAÇO</v>
          </cell>
          <cell r="E57">
            <v>10</v>
          </cell>
          <cell r="F57" t="str">
            <v>CARLOS JOSE DOS SANTOS</v>
          </cell>
          <cell r="G57" t="str">
            <v>INDUSTRIA</v>
          </cell>
          <cell r="H57" t="str">
            <v>RECEPCIÓN / MOLIENDA</v>
          </cell>
          <cell r="I57" t="str">
            <v>IND</v>
          </cell>
          <cell r="J57" t="str">
            <v>-</v>
          </cell>
          <cell r="K57" t="str">
            <v>-</v>
          </cell>
          <cell r="L57" t="str">
            <v>MOLIENDA</v>
          </cell>
          <cell r="M57" t="str">
            <v>-</v>
          </cell>
        </row>
        <row r="58">
          <cell r="B58">
            <v>401098</v>
          </cell>
          <cell r="C58" t="str">
            <v>ABSORÇÃO DO RATEIO INDUSTRIAL</v>
          </cell>
          <cell r="D58" t="str">
            <v>401098-ABSORÇÃO DO RATEIO INDUSTRIAL</v>
          </cell>
          <cell r="E58">
            <v>10</v>
          </cell>
          <cell r="F58" t="str">
            <v>WILLIAN GUSTAVO OLIVEIRA</v>
          </cell>
          <cell r="G58" t="str">
            <v>INDUSTRIA</v>
          </cell>
          <cell r="H58" t="str">
            <v>RECEPCIÓN / MOLIENDA</v>
          </cell>
          <cell r="I58" t="str">
            <v>IND</v>
          </cell>
          <cell r="J58" t="str">
            <v>-</v>
          </cell>
          <cell r="K58" t="str">
            <v>-</v>
          </cell>
          <cell r="L58" t="str">
            <v>COSTO CONTABLE</v>
          </cell>
          <cell r="M58" t="str">
            <v>-</v>
          </cell>
        </row>
        <row r="59">
          <cell r="B59">
            <v>401099</v>
          </cell>
          <cell r="C59" t="str">
            <v>MANUTENÇÃO DE ENTRESSAFRA</v>
          </cell>
          <cell r="D59" t="str">
            <v>401099-MANUTENÇÃO DE ENTRESSAFRA</v>
          </cell>
          <cell r="E59">
            <v>10</v>
          </cell>
          <cell r="F59" t="str">
            <v>CARLOS JOSE DOS SANTOS</v>
          </cell>
          <cell r="G59" t="str">
            <v>INDUSTRIA</v>
          </cell>
          <cell r="H59" t="str">
            <v>RECEPCIÓN / MOLIENDA</v>
          </cell>
          <cell r="I59" t="str">
            <v>IND</v>
          </cell>
          <cell r="J59" t="str">
            <v>-</v>
          </cell>
          <cell r="K59" t="str">
            <v>-</v>
          </cell>
          <cell r="L59" t="str">
            <v>MOLIENDA</v>
          </cell>
          <cell r="M59" t="str">
            <v>-</v>
          </cell>
        </row>
        <row r="60">
          <cell r="B60">
            <v>401402</v>
          </cell>
          <cell r="C60" t="str">
            <v>AQUECIMENTO/TROCADOR CALOR ALCOOL</v>
          </cell>
          <cell r="D60" t="str">
            <v>401402-AQUECIMENTO/TROCADOR CALOR ALCOOL</v>
          </cell>
          <cell r="E60">
            <v>10</v>
          </cell>
          <cell r="F60" t="str">
            <v>CARLOS DOMICILIANO</v>
          </cell>
          <cell r="G60" t="str">
            <v>INDUSTRIA</v>
          </cell>
          <cell r="H60" t="str">
            <v>TRATAMIENTO CALDO</v>
          </cell>
          <cell r="I60" t="str">
            <v>IND</v>
          </cell>
          <cell r="J60" t="str">
            <v>-</v>
          </cell>
          <cell r="K60" t="str">
            <v>-</v>
          </cell>
          <cell r="L60" t="str">
            <v>TRATAMIENTO JUGO</v>
          </cell>
          <cell r="M60" t="str">
            <v>-</v>
          </cell>
        </row>
        <row r="61">
          <cell r="B61">
            <v>401404</v>
          </cell>
          <cell r="C61" t="str">
            <v>DECANTACAO DO ALCOOL</v>
          </cell>
          <cell r="D61" t="str">
            <v>401404-DECANTACAO DO ALCOOL</v>
          </cell>
          <cell r="E61">
            <v>10</v>
          </cell>
          <cell r="F61" t="str">
            <v>CARLOS DOMICILIANO</v>
          </cell>
          <cell r="G61" t="str">
            <v>INDUSTRIA</v>
          </cell>
          <cell r="H61" t="str">
            <v>TRATAMIENTO CALDO</v>
          </cell>
          <cell r="I61" t="str">
            <v>IND</v>
          </cell>
          <cell r="J61" t="str">
            <v>-</v>
          </cell>
          <cell r="K61" t="str">
            <v>-</v>
          </cell>
          <cell r="L61" t="str">
            <v>TRATAMIENTO JUGO</v>
          </cell>
          <cell r="M61" t="str">
            <v>-</v>
          </cell>
        </row>
        <row r="62">
          <cell r="B62">
            <v>401406</v>
          </cell>
          <cell r="C62" t="str">
            <v>PRE-EVAPORACAO DO ALCOOL</v>
          </cell>
          <cell r="D62" t="str">
            <v>401406-PRE-EVAPORACAO DO ALCOOL</v>
          </cell>
          <cell r="E62">
            <v>10</v>
          </cell>
          <cell r="F62" t="str">
            <v>CARLOS DOMICILIANO</v>
          </cell>
          <cell r="G62" t="str">
            <v>INDUSTRIA</v>
          </cell>
          <cell r="H62" t="str">
            <v>TRATAMIENTO CALDO</v>
          </cell>
          <cell r="I62" t="str">
            <v>IND</v>
          </cell>
          <cell r="J62" t="str">
            <v>-</v>
          </cell>
          <cell r="K62" t="str">
            <v>-</v>
          </cell>
          <cell r="L62" t="str">
            <v>TRATAMIENTO JUGO</v>
          </cell>
          <cell r="M62" t="str">
            <v>-</v>
          </cell>
        </row>
        <row r="63">
          <cell r="B63">
            <v>601000</v>
          </cell>
          <cell r="C63" t="str">
            <v>CONSERVACAO PATIOS - INDUSTRIA</v>
          </cell>
          <cell r="D63" t="str">
            <v>601000-CONSERVACAO PATIOS - INDUSTRIA</v>
          </cell>
          <cell r="E63">
            <v>10</v>
          </cell>
          <cell r="F63" t="str">
            <v>GILSON MENEZES</v>
          </cell>
          <cell r="G63" t="str">
            <v>INDUSTRIA</v>
          </cell>
          <cell r="H63" t="str">
            <v>CONSERVACIÓN GENERAL</v>
          </cell>
          <cell r="I63" t="str">
            <v>IND</v>
          </cell>
          <cell r="J63" t="str">
            <v>-</v>
          </cell>
          <cell r="K63" t="str">
            <v>-</v>
          </cell>
          <cell r="L63" t="str">
            <v>PATIO CANA</v>
          </cell>
          <cell r="M63" t="str">
            <v>-</v>
          </cell>
        </row>
        <row r="64">
          <cell r="B64">
            <v>401410</v>
          </cell>
          <cell r="C64" t="str">
            <v>CALEACAO</v>
          </cell>
          <cell r="D64" t="str">
            <v>401410-CALEACAO</v>
          </cell>
          <cell r="E64">
            <v>10</v>
          </cell>
          <cell r="F64" t="str">
            <v>CARLOS DOMICILIANO</v>
          </cell>
          <cell r="G64" t="str">
            <v>INDUSTRIA</v>
          </cell>
          <cell r="H64" t="str">
            <v>OPERATIVOS</v>
          </cell>
          <cell r="I64" t="str">
            <v>IND</v>
          </cell>
          <cell r="J64" t="str">
            <v>-</v>
          </cell>
          <cell r="K64" t="str">
            <v>-</v>
          </cell>
          <cell r="L64" t="str">
            <v>TRATAMIENTO JUGO</v>
          </cell>
          <cell r="M64" t="str">
            <v>-</v>
          </cell>
        </row>
        <row r="65">
          <cell r="B65">
            <v>401414</v>
          </cell>
          <cell r="C65" t="str">
            <v>DECANTACAO DO ACUCAR</v>
          </cell>
          <cell r="D65" t="str">
            <v>401414-DECANTACAO DO ACUCAR</v>
          </cell>
          <cell r="E65">
            <v>10</v>
          </cell>
          <cell r="F65" t="str">
            <v>WILLIAN GUSTAVO OLIVEIRA</v>
          </cell>
          <cell r="G65" t="str">
            <v>INDUSTRIA</v>
          </cell>
          <cell r="H65" t="str">
            <v>OPERATIVOS</v>
          </cell>
          <cell r="I65" t="str">
            <v>IND</v>
          </cell>
          <cell r="J65" t="str">
            <v>-</v>
          </cell>
          <cell r="K65" t="str">
            <v>-</v>
          </cell>
          <cell r="L65" t="str">
            <v>TRATAMIENTO JUGO</v>
          </cell>
          <cell r="M65" t="str">
            <v>-</v>
          </cell>
        </row>
        <row r="66">
          <cell r="B66">
            <v>401416</v>
          </cell>
          <cell r="C66" t="str">
            <v>FILTRACAO DO LODO DO ACUCAR</v>
          </cell>
          <cell r="D66" t="str">
            <v>401416-FILTRACAO DO LODO DO ACUCAR</v>
          </cell>
          <cell r="E66">
            <v>10</v>
          </cell>
          <cell r="F66" t="str">
            <v>WILLIAN GUSTAVO OLIVEIRA</v>
          </cell>
          <cell r="G66" t="str">
            <v>INDUSTRIA</v>
          </cell>
          <cell r="H66" t="str">
            <v>OPERATIVOS</v>
          </cell>
          <cell r="I66" t="str">
            <v>IND</v>
          </cell>
          <cell r="J66" t="str">
            <v>-</v>
          </cell>
          <cell r="K66" t="str">
            <v>-</v>
          </cell>
          <cell r="L66" t="str">
            <v>TRATAMIENTO JUGO</v>
          </cell>
          <cell r="M66" t="str">
            <v>-</v>
          </cell>
        </row>
        <row r="67">
          <cell r="B67">
            <v>401420</v>
          </cell>
          <cell r="C67" t="str">
            <v>FILTRACAO DO LODO DO ALCOOL</v>
          </cell>
          <cell r="D67" t="str">
            <v>401420-FILTRACAO DO LODO DO ALCOOL</v>
          </cell>
          <cell r="E67">
            <v>10</v>
          </cell>
          <cell r="F67" t="str">
            <v>CARLOS DOMICILIANO</v>
          </cell>
          <cell r="G67" t="str">
            <v>INDUSTRIA</v>
          </cell>
          <cell r="H67" t="str">
            <v>OPERATIVOS</v>
          </cell>
          <cell r="I67" t="str">
            <v>IND</v>
          </cell>
          <cell r="J67" t="str">
            <v>-</v>
          </cell>
          <cell r="K67" t="str">
            <v>-</v>
          </cell>
          <cell r="L67" t="str">
            <v>TRATAMIENTO JUGO</v>
          </cell>
          <cell r="M67" t="str">
            <v>-</v>
          </cell>
        </row>
        <row r="68">
          <cell r="B68">
            <v>401499</v>
          </cell>
          <cell r="C68" t="str">
            <v>MANUTENÇÃO DE ENTRESSAFRA</v>
          </cell>
          <cell r="D68" t="str">
            <v>401499-MANUTENÇÃO DE ENTRESSAFRA</v>
          </cell>
          <cell r="E68">
            <v>10</v>
          </cell>
          <cell r="F68" t="str">
            <v>CARLOS DOMICILIANO</v>
          </cell>
          <cell r="G68" t="str">
            <v>INDUSTRIA</v>
          </cell>
          <cell r="H68" t="str">
            <v>OPERATIVOS</v>
          </cell>
          <cell r="I68" t="str">
            <v>IND</v>
          </cell>
          <cell r="J68" t="str">
            <v>-</v>
          </cell>
          <cell r="K68" t="str">
            <v>-</v>
          </cell>
          <cell r="L68" t="str">
            <v>TRATAMIENTO JUGO</v>
          </cell>
          <cell r="M68" t="str">
            <v>-</v>
          </cell>
        </row>
        <row r="69">
          <cell r="B69">
            <v>402002</v>
          </cell>
          <cell r="C69" t="str">
            <v>PRE-FERMENTACAO</v>
          </cell>
          <cell r="D69" t="str">
            <v>402002-PRE-FERMENTACAO</v>
          </cell>
          <cell r="E69">
            <v>10</v>
          </cell>
          <cell r="F69" t="str">
            <v>MARCOS CESAR DE PAULA</v>
          </cell>
          <cell r="G69" t="str">
            <v>INDUSTRIA</v>
          </cell>
          <cell r="H69" t="str">
            <v>FABRICACION ALCOOL</v>
          </cell>
          <cell r="I69" t="str">
            <v>IND</v>
          </cell>
          <cell r="J69" t="str">
            <v>-</v>
          </cell>
          <cell r="K69" t="str">
            <v>-</v>
          </cell>
          <cell r="L69" t="str">
            <v>FERMENTACIÓN</v>
          </cell>
          <cell r="M69" t="str">
            <v>-</v>
          </cell>
        </row>
        <row r="70">
          <cell r="B70">
            <v>402004</v>
          </cell>
          <cell r="C70" t="str">
            <v>FERMENTACAO</v>
          </cell>
          <cell r="D70" t="str">
            <v>402004-FERMENTACAO</v>
          </cell>
          <cell r="E70">
            <v>10</v>
          </cell>
          <cell r="F70" t="str">
            <v>MARCOS CESAR DE PAULA</v>
          </cell>
          <cell r="G70" t="str">
            <v>INDUSTRIA</v>
          </cell>
          <cell r="H70" t="str">
            <v>FABRICACION ALCOOL</v>
          </cell>
          <cell r="I70" t="str">
            <v>IND</v>
          </cell>
          <cell r="J70" t="str">
            <v>-</v>
          </cell>
          <cell r="K70" t="str">
            <v>-</v>
          </cell>
          <cell r="L70" t="str">
            <v>FERMENTACIÓN</v>
          </cell>
          <cell r="M70" t="str">
            <v>-</v>
          </cell>
        </row>
        <row r="71">
          <cell r="B71">
            <v>402006</v>
          </cell>
          <cell r="C71" t="str">
            <v>DESTILACAO HIDRATADO</v>
          </cell>
          <cell r="D71" t="str">
            <v>402006-DESTILACAO HIDRATADO</v>
          </cell>
          <cell r="E71">
            <v>10</v>
          </cell>
          <cell r="F71" t="str">
            <v>MARCOS CESAR DE PAULA</v>
          </cell>
          <cell r="G71" t="str">
            <v>INDUSTRIA</v>
          </cell>
          <cell r="H71" t="str">
            <v>FABRICACION ALCOOL</v>
          </cell>
          <cell r="I71" t="str">
            <v>IND</v>
          </cell>
          <cell r="J71" t="str">
            <v>-</v>
          </cell>
          <cell r="K71" t="str">
            <v>-</v>
          </cell>
          <cell r="L71" t="str">
            <v>DESTILACION HIDRATADO</v>
          </cell>
          <cell r="M71" t="str">
            <v>-</v>
          </cell>
        </row>
        <row r="72">
          <cell r="B72">
            <v>402008</v>
          </cell>
          <cell r="C72" t="str">
            <v>DESTILACAO ANIDRO</v>
          </cell>
          <cell r="D72" t="str">
            <v>402008-DESTILACAO ANIDRO</v>
          </cell>
          <cell r="E72">
            <v>10</v>
          </cell>
          <cell r="F72" t="str">
            <v>WILLIAN GUSTAVO OLIVEIRA</v>
          </cell>
          <cell r="G72" t="str">
            <v>INDUSTRIA</v>
          </cell>
          <cell r="H72" t="str">
            <v>FABRICACION ALCOOL</v>
          </cell>
          <cell r="I72" t="str">
            <v>IND</v>
          </cell>
          <cell r="J72" t="str">
            <v>-</v>
          </cell>
          <cell r="K72" t="str">
            <v>-</v>
          </cell>
          <cell r="L72" t="str">
            <v>DESTILACION ANHIDRO</v>
          </cell>
          <cell r="M72" t="str">
            <v>-</v>
          </cell>
        </row>
        <row r="73">
          <cell r="B73">
            <v>402010</v>
          </cell>
          <cell r="C73" t="str">
            <v>TORRE DE RESFRIAMENTO</v>
          </cell>
          <cell r="D73" t="str">
            <v>402010-TORRE DE RESFRIAMENTO</v>
          </cell>
          <cell r="E73">
            <v>10</v>
          </cell>
          <cell r="F73" t="str">
            <v>MARCOS CESAR DE PAULA</v>
          </cell>
          <cell r="G73" t="str">
            <v>INDUSTRIA</v>
          </cell>
          <cell r="H73" t="str">
            <v>FABRICACION ALCOOL</v>
          </cell>
          <cell r="I73" t="str">
            <v>IND</v>
          </cell>
          <cell r="J73" t="str">
            <v>-</v>
          </cell>
          <cell r="K73" t="str">
            <v>-</v>
          </cell>
          <cell r="L73" t="str">
            <v>FERMENTACIÓN</v>
          </cell>
          <cell r="M73" t="str">
            <v>-</v>
          </cell>
        </row>
        <row r="74">
          <cell r="B74">
            <v>402012</v>
          </cell>
          <cell r="C74" t="str">
            <v>TANQUE SPRAY</v>
          </cell>
          <cell r="D74" t="str">
            <v>402012-TANQUE SPRAY</v>
          </cell>
          <cell r="E74">
            <v>10</v>
          </cell>
          <cell r="F74" t="str">
            <v>WILLIAN GUSTAVO OLIVEIRA</v>
          </cell>
          <cell r="G74" t="str">
            <v>INDUSTRIA</v>
          </cell>
          <cell r="H74" t="str">
            <v>FABRICACION ALCOOL</v>
          </cell>
          <cell r="I74" t="str">
            <v>IND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</row>
        <row r="75">
          <cell r="B75">
            <v>402014</v>
          </cell>
          <cell r="C75" t="str">
            <v>CENTRIFUGAÇÃO</v>
          </cell>
          <cell r="D75" t="str">
            <v>402014-CENTRIFUGAÇÃO</v>
          </cell>
          <cell r="E75">
            <v>10</v>
          </cell>
          <cell r="F75" t="str">
            <v>MARCOS CESAR DE PAULA</v>
          </cell>
          <cell r="G75" t="str">
            <v>INDUSTRIA</v>
          </cell>
          <cell r="H75" t="str">
            <v>FABRICACION ALCOOL</v>
          </cell>
          <cell r="I75" t="str">
            <v>IND</v>
          </cell>
          <cell r="J75" t="str">
            <v>-</v>
          </cell>
          <cell r="K75" t="str">
            <v>-</v>
          </cell>
          <cell r="L75" t="str">
            <v>FERMENTACIÓN</v>
          </cell>
          <cell r="M75" t="str">
            <v>-</v>
          </cell>
        </row>
        <row r="76">
          <cell r="B76">
            <v>402098</v>
          </cell>
          <cell r="C76" t="str">
            <v>ABSORCAO DO RATEIO INDUSTRIAL</v>
          </cell>
          <cell r="D76" t="str">
            <v>402098-ABSORCAO DO RATEIO INDUSTRIAL</v>
          </cell>
          <cell r="E76">
            <v>10</v>
          </cell>
          <cell r="F76" t="str">
            <v>WILLIAN GUSTAVO OLIVEIRA</v>
          </cell>
          <cell r="G76" t="str">
            <v>INDUSTRIA</v>
          </cell>
          <cell r="H76" t="str">
            <v>FABRICACION ALCOOL</v>
          </cell>
          <cell r="I76" t="str">
            <v>IND</v>
          </cell>
          <cell r="J76" t="str">
            <v>-</v>
          </cell>
          <cell r="K76" t="str">
            <v>-</v>
          </cell>
          <cell r="L76" t="str">
            <v>COSTO CONTABLE</v>
          </cell>
          <cell r="M76" t="str">
            <v>-</v>
          </cell>
        </row>
        <row r="77">
          <cell r="B77">
            <v>402099</v>
          </cell>
          <cell r="C77" t="str">
            <v>MANUTENÇÃO DE ENTRESSAFRA</v>
          </cell>
          <cell r="D77" t="str">
            <v>402099-MANUTENÇÃO DE ENTRESSAFRA</v>
          </cell>
          <cell r="E77">
            <v>10</v>
          </cell>
          <cell r="F77" t="str">
            <v>MARCOS CESAR DE PAULA</v>
          </cell>
          <cell r="G77" t="str">
            <v>INDUSTRIA</v>
          </cell>
          <cell r="H77" t="str">
            <v>FABRICACION ALCOOL</v>
          </cell>
          <cell r="I77" t="str">
            <v>IND</v>
          </cell>
          <cell r="J77" t="str">
            <v>-</v>
          </cell>
          <cell r="K77" t="str">
            <v>-</v>
          </cell>
          <cell r="L77" t="str">
            <v>FERMENTACIÓN</v>
          </cell>
          <cell r="M77" t="str">
            <v>-</v>
          </cell>
        </row>
        <row r="78">
          <cell r="B78">
            <v>405002</v>
          </cell>
          <cell r="C78" t="str">
            <v>SECAGEM LEVEDURA</v>
          </cell>
          <cell r="D78" t="str">
            <v>405002-SECAGEM LEVEDURA</v>
          </cell>
          <cell r="E78">
            <v>10</v>
          </cell>
          <cell r="F78" t="str">
            <v>WILLIAN GUSTAVO OLIVEIRA</v>
          </cell>
          <cell r="G78" t="str">
            <v>INDUSTRIA</v>
          </cell>
          <cell r="H78" t="str">
            <v>FABRICACION LEVADURA</v>
          </cell>
          <cell r="I78" t="str">
            <v>IND</v>
          </cell>
          <cell r="J78" t="str">
            <v>-</v>
          </cell>
          <cell r="K78" t="str">
            <v>-</v>
          </cell>
          <cell r="L78" t="str">
            <v>LEVADURA</v>
          </cell>
          <cell r="M78" t="str">
            <v>-</v>
          </cell>
        </row>
        <row r="79">
          <cell r="B79">
            <v>407002</v>
          </cell>
          <cell r="C79" t="str">
            <v>GERACAO E DISTR.VAPOR</v>
          </cell>
          <cell r="D79" t="str">
            <v>407002-GERACAO E DISTR.VAPOR</v>
          </cell>
          <cell r="E79">
            <v>10</v>
          </cell>
          <cell r="F79" t="str">
            <v>JOSE CATANA</v>
          </cell>
          <cell r="G79" t="str">
            <v>INDUSTRIA</v>
          </cell>
          <cell r="H79" t="str">
            <v>AUXILIARES</v>
          </cell>
          <cell r="I79" t="str">
            <v>IND</v>
          </cell>
          <cell r="J79" t="str">
            <v>-</v>
          </cell>
          <cell r="K79" t="str">
            <v>-</v>
          </cell>
          <cell r="L79" t="str">
            <v>PRODUCCIÓN VAPOR</v>
          </cell>
          <cell r="M79" t="str">
            <v>-</v>
          </cell>
        </row>
        <row r="80">
          <cell r="B80">
            <v>407004</v>
          </cell>
          <cell r="C80" t="str">
            <v>GERACAO E DISTR.AR COMPRIMIDO</v>
          </cell>
          <cell r="D80" t="str">
            <v>407004-GERACAO E DISTR.AR COMPRIMIDO</v>
          </cell>
          <cell r="E80">
            <v>10</v>
          </cell>
          <cell r="F80" t="str">
            <v>EDSON BABOSA</v>
          </cell>
          <cell r="G80" t="str">
            <v>INDUSTRIA</v>
          </cell>
          <cell r="H80" t="str">
            <v>AUXILIARES</v>
          </cell>
          <cell r="I80" t="str">
            <v>IND</v>
          </cell>
          <cell r="J80" t="str">
            <v>-</v>
          </cell>
          <cell r="K80" t="str">
            <v>-</v>
          </cell>
          <cell r="L80" t="str">
            <v>PRODUCCIÓN VAPOR</v>
          </cell>
          <cell r="M80" t="str">
            <v>-</v>
          </cell>
        </row>
        <row r="81">
          <cell r="B81">
            <v>407006</v>
          </cell>
          <cell r="C81" t="str">
            <v>GERACAO E DISTR.ENERGIA</v>
          </cell>
          <cell r="D81" t="str">
            <v>407006-GERACAO E DISTR.ENERGIA</v>
          </cell>
          <cell r="E81">
            <v>10</v>
          </cell>
          <cell r="F81" t="str">
            <v>EDSON BABOSA</v>
          </cell>
          <cell r="G81" t="str">
            <v>INDUSTRIA</v>
          </cell>
          <cell r="H81" t="str">
            <v>AUXILIARES</v>
          </cell>
          <cell r="I81" t="str">
            <v>IND</v>
          </cell>
          <cell r="J81" t="str">
            <v>-</v>
          </cell>
          <cell r="K81" t="str">
            <v>-</v>
          </cell>
          <cell r="L81" t="str">
            <v>PRODUCCIÓN ENERGIA</v>
          </cell>
          <cell r="M81" t="str">
            <v>-</v>
          </cell>
        </row>
        <row r="82">
          <cell r="B82">
            <v>407008</v>
          </cell>
          <cell r="C82" t="str">
            <v>CAPTACAO DE AGUA</v>
          </cell>
          <cell r="D82" t="str">
            <v>407008-CAPTACAO DE AGUA</v>
          </cell>
          <cell r="E82">
            <v>10</v>
          </cell>
          <cell r="F82" t="str">
            <v>JOSE CATANA</v>
          </cell>
          <cell r="G82" t="str">
            <v>INDUSTRIA</v>
          </cell>
          <cell r="H82" t="str">
            <v>AUXILIARES</v>
          </cell>
          <cell r="I82" t="str">
            <v>IND</v>
          </cell>
          <cell r="J82" t="str">
            <v>-</v>
          </cell>
          <cell r="K82" t="str">
            <v>-</v>
          </cell>
          <cell r="L82" t="str">
            <v>AUXILIARES</v>
          </cell>
          <cell r="M82" t="str">
            <v>-</v>
          </cell>
        </row>
        <row r="83">
          <cell r="B83">
            <v>407010</v>
          </cell>
          <cell r="C83" t="str">
            <v>ETA (ESTACAO DE TRATAMENTO AGUA)</v>
          </cell>
          <cell r="D83" t="str">
            <v>407010-ETA (ESTACAO DE TRATAMENTO AGUA)</v>
          </cell>
          <cell r="E83">
            <v>10</v>
          </cell>
          <cell r="F83" t="str">
            <v>JOSE CATANA</v>
          </cell>
          <cell r="G83" t="str">
            <v>INDUSTRIA</v>
          </cell>
          <cell r="H83" t="str">
            <v>AUXILIARES</v>
          </cell>
          <cell r="I83" t="str">
            <v>IND</v>
          </cell>
          <cell r="J83" t="str">
            <v>-</v>
          </cell>
          <cell r="K83" t="str">
            <v>-</v>
          </cell>
          <cell r="L83" t="str">
            <v>AUXILIARES</v>
          </cell>
          <cell r="M83" t="str">
            <v>-</v>
          </cell>
        </row>
        <row r="84">
          <cell r="B84">
            <v>407012</v>
          </cell>
          <cell r="C84" t="str">
            <v>PATIO DE BAGACO</v>
          </cell>
          <cell r="D84" t="str">
            <v>407012-PATIO DE BAGACO</v>
          </cell>
          <cell r="E84">
            <v>10</v>
          </cell>
          <cell r="F84" t="str">
            <v>GILSON MENEZES</v>
          </cell>
          <cell r="G84" t="str">
            <v>INDUSTRIA</v>
          </cell>
          <cell r="H84" t="str">
            <v>AUXILIARES</v>
          </cell>
          <cell r="I84" t="str">
            <v>IND</v>
          </cell>
          <cell r="J84" t="str">
            <v>-</v>
          </cell>
          <cell r="K84" t="str">
            <v>-</v>
          </cell>
          <cell r="L84" t="str">
            <v>PATIO BAGAZO</v>
          </cell>
          <cell r="M84" t="str">
            <v>-</v>
          </cell>
        </row>
        <row r="85">
          <cell r="B85">
            <v>407016</v>
          </cell>
          <cell r="C85" t="str">
            <v>ENERGIA ELETRICA ADQUIRIDA</v>
          </cell>
          <cell r="D85" t="str">
            <v>407016-ENERGIA ELETRICA ADQUIRIDA</v>
          </cell>
          <cell r="E85">
            <v>10</v>
          </cell>
          <cell r="F85" t="str">
            <v>EDSON BABOSA</v>
          </cell>
          <cell r="G85" t="str">
            <v>INDUSTRIA</v>
          </cell>
          <cell r="H85" t="str">
            <v>AUXILIARES</v>
          </cell>
          <cell r="I85" t="str">
            <v>IND</v>
          </cell>
          <cell r="J85" t="str">
            <v>-</v>
          </cell>
          <cell r="K85" t="str">
            <v>-</v>
          </cell>
          <cell r="L85" t="str">
            <v>PRODUCCIÓN ENERGIA</v>
          </cell>
          <cell r="M85" t="str">
            <v>-</v>
          </cell>
        </row>
        <row r="86">
          <cell r="B86">
            <v>407018</v>
          </cell>
          <cell r="C86" t="str">
            <v>ETALC -ESTA TRAT AGUA DA LAVAGEM DE CANA</v>
          </cell>
          <cell r="D86" t="str">
            <v>407018-ETALC -ESTA TRAT AGUA DA LAVAGEM DE CANA</v>
          </cell>
          <cell r="E86">
            <v>10</v>
          </cell>
          <cell r="F86" t="str">
            <v>CARLOS JOSE DOS SANTOS</v>
          </cell>
          <cell r="G86" t="str">
            <v>INDUSTRIA</v>
          </cell>
          <cell r="H86" t="str">
            <v>AUXILIARES</v>
          </cell>
          <cell r="I86" t="str">
            <v>IND</v>
          </cell>
          <cell r="J86" t="str">
            <v>-</v>
          </cell>
          <cell r="K86" t="str">
            <v>-</v>
          </cell>
          <cell r="L86" t="str">
            <v>AUXILIARES</v>
          </cell>
          <cell r="M86" t="str">
            <v>-</v>
          </cell>
        </row>
        <row r="87">
          <cell r="B87">
            <v>407020</v>
          </cell>
          <cell r="C87" t="str">
            <v>ETE - ESTAÇÃO TRATAMENTO DE ESGOTO</v>
          </cell>
          <cell r="D87" t="str">
            <v>407020-ETE - ESTAÇÃO TRATAMENTO DE ESGOTO</v>
          </cell>
          <cell r="E87">
            <v>10</v>
          </cell>
          <cell r="F87" t="str">
            <v>JOSE CATANA</v>
          </cell>
          <cell r="G87" t="str">
            <v>INDUSTRIA</v>
          </cell>
          <cell r="H87" t="str">
            <v>AUXILIARES</v>
          </cell>
          <cell r="I87" t="str">
            <v>IND</v>
          </cell>
          <cell r="J87" t="str">
            <v>-</v>
          </cell>
          <cell r="K87" t="str">
            <v>-</v>
          </cell>
          <cell r="L87" t="str">
            <v>AUXILIARES</v>
          </cell>
          <cell r="M87" t="str">
            <v>-</v>
          </cell>
        </row>
        <row r="88">
          <cell r="B88">
            <v>407022</v>
          </cell>
          <cell r="C88" t="str">
            <v>ETALG - ESTAÇ.TRAT.ÁGUA DE LAVAGEM GASES</v>
          </cell>
          <cell r="D88" t="str">
            <v>407022-ETALG - ESTAÇ.TRAT.ÁGUA DE LAVAGEM GASES</v>
          </cell>
          <cell r="E88">
            <v>10</v>
          </cell>
          <cell r="F88" t="str">
            <v>JOSE CATANA</v>
          </cell>
          <cell r="G88" t="str">
            <v>INDUSTRIA</v>
          </cell>
          <cell r="H88" t="str">
            <v>AUXILIARES</v>
          </cell>
          <cell r="I88" t="str">
            <v>IND</v>
          </cell>
          <cell r="J88" t="str">
            <v>-</v>
          </cell>
          <cell r="K88" t="str">
            <v>-</v>
          </cell>
          <cell r="L88" t="str">
            <v>AUXILIARES</v>
          </cell>
          <cell r="M88" t="str">
            <v>-</v>
          </cell>
        </row>
        <row r="89">
          <cell r="B89">
            <v>407099</v>
          </cell>
          <cell r="C89" t="str">
            <v>MANUTENÇÃO DE ENTRESSAFRA</v>
          </cell>
          <cell r="D89" t="str">
            <v>407099-MANUTENÇÃO DE ENTRESSAFRA</v>
          </cell>
          <cell r="E89">
            <v>10</v>
          </cell>
          <cell r="F89" t="str">
            <v>JOSE CATANA / GILSON</v>
          </cell>
          <cell r="G89" t="str">
            <v>INDUSTRIA</v>
          </cell>
          <cell r="H89" t="str">
            <v>AUXILIARES</v>
          </cell>
          <cell r="I89" t="str">
            <v>IND</v>
          </cell>
          <cell r="J89" t="str">
            <v>-</v>
          </cell>
          <cell r="K89" t="str">
            <v>-</v>
          </cell>
          <cell r="L89" t="str">
            <v>AUXILIARES</v>
          </cell>
          <cell r="M89" t="str">
            <v>-</v>
          </cell>
        </row>
        <row r="90">
          <cell r="B90">
            <v>408002</v>
          </cell>
          <cell r="C90" t="str">
            <v>MANUTENÇÃO MECANICA</v>
          </cell>
          <cell r="D90" t="str">
            <v>408002-MANUTENÇÃO MECANICA</v>
          </cell>
          <cell r="E90">
            <v>10</v>
          </cell>
          <cell r="F90" t="str">
            <v>VANDERLEI FLORENCIO</v>
          </cell>
          <cell r="G90" t="str">
            <v>INDUSTRIA</v>
          </cell>
          <cell r="H90" t="str">
            <v>MANTENIMIENTO INDUSTRIAL</v>
          </cell>
          <cell r="I90" t="str">
            <v>IND</v>
          </cell>
          <cell r="J90" t="str">
            <v>-</v>
          </cell>
          <cell r="K90" t="str">
            <v>-</v>
          </cell>
          <cell r="L90" t="str">
            <v>MANTENIMIENTO</v>
          </cell>
          <cell r="M90" t="str">
            <v>-</v>
          </cell>
        </row>
        <row r="91">
          <cell r="B91">
            <v>408004</v>
          </cell>
          <cell r="C91" t="str">
            <v>CALDERARIA</v>
          </cell>
          <cell r="D91" t="str">
            <v>408004-CALDERARIA</v>
          </cell>
          <cell r="E91">
            <v>10</v>
          </cell>
          <cell r="F91" t="str">
            <v>VANDERLEI FLORENCIO</v>
          </cell>
          <cell r="G91" t="str">
            <v>INDUSTRIA</v>
          </cell>
          <cell r="H91" t="str">
            <v>MANTENIMIENTO INDUSTRIAL</v>
          </cell>
          <cell r="I91" t="str">
            <v>IND</v>
          </cell>
          <cell r="J91" t="str">
            <v>-</v>
          </cell>
          <cell r="K91" t="str">
            <v>-</v>
          </cell>
          <cell r="L91" t="str">
            <v>MANTENIMIENTO</v>
          </cell>
          <cell r="M91" t="str">
            <v>-</v>
          </cell>
        </row>
        <row r="92">
          <cell r="B92">
            <v>408006</v>
          </cell>
          <cell r="C92" t="str">
            <v>MANUTENÇÃO ELETRICA</v>
          </cell>
          <cell r="D92" t="str">
            <v>408006-MANUTENÇÃO ELETRICA</v>
          </cell>
          <cell r="E92">
            <v>10</v>
          </cell>
          <cell r="F92" t="str">
            <v>EDSON BABOSA</v>
          </cell>
          <cell r="G92" t="str">
            <v>INDUSTRIA</v>
          </cell>
          <cell r="H92" t="str">
            <v>MANTENIMIENTO INDUSTRIAL</v>
          </cell>
          <cell r="I92" t="str">
            <v>IND</v>
          </cell>
          <cell r="J92" t="str">
            <v>-</v>
          </cell>
          <cell r="K92" t="str">
            <v>-</v>
          </cell>
          <cell r="L92" t="str">
            <v>MANTENIMIENTO</v>
          </cell>
          <cell r="M92" t="str">
            <v>-</v>
          </cell>
        </row>
        <row r="93">
          <cell r="B93">
            <v>408008</v>
          </cell>
          <cell r="C93" t="str">
            <v>INSTRUMENTAÇÃO</v>
          </cell>
          <cell r="D93" t="str">
            <v>408008-INSTRUMENTAÇÃO</v>
          </cell>
          <cell r="E93">
            <v>10</v>
          </cell>
          <cell r="F93" t="str">
            <v>EDSON BABOSA</v>
          </cell>
          <cell r="G93" t="str">
            <v>INDUSTRIA</v>
          </cell>
          <cell r="H93" t="str">
            <v>MANTENIMIENTO INDUSTRIAL</v>
          </cell>
          <cell r="I93" t="str">
            <v>IND</v>
          </cell>
          <cell r="J93" t="str">
            <v>-</v>
          </cell>
          <cell r="K93" t="str">
            <v>-</v>
          </cell>
          <cell r="L93" t="str">
            <v>MANTENIMIENTO</v>
          </cell>
          <cell r="M93" t="str">
            <v>-</v>
          </cell>
        </row>
        <row r="94">
          <cell r="B94">
            <v>408010</v>
          </cell>
          <cell r="C94" t="str">
            <v>MANUTENCAO CIVIL</v>
          </cell>
          <cell r="D94" t="str">
            <v>408010-MANUTENCAO CIVIL</v>
          </cell>
          <cell r="E94">
            <v>10</v>
          </cell>
          <cell r="F94" t="str">
            <v>GILSON MENEZES</v>
          </cell>
          <cell r="G94" t="str">
            <v>INDUSTRIA</v>
          </cell>
          <cell r="H94" t="str">
            <v>MANTENIMIENTO INDUSTRIAL</v>
          </cell>
          <cell r="I94" t="str">
            <v>IND</v>
          </cell>
          <cell r="J94" t="str">
            <v>-</v>
          </cell>
          <cell r="K94" t="str">
            <v>-</v>
          </cell>
          <cell r="L94" t="str">
            <v>MANTENIMIENTO</v>
          </cell>
          <cell r="M94" t="str">
            <v>-</v>
          </cell>
        </row>
        <row r="95">
          <cell r="B95">
            <v>408012</v>
          </cell>
          <cell r="C95" t="str">
            <v>PCM ( PLANEJ. E CONTROLE DA MANUTENÇAÕ)</v>
          </cell>
          <cell r="D95" t="str">
            <v>408012-PCM ( PLANEJ. E CONTROLE DA MANUTENÇAÕ)</v>
          </cell>
          <cell r="E95">
            <v>10</v>
          </cell>
          <cell r="F95" t="str">
            <v>SERGIO FIORENTINO</v>
          </cell>
          <cell r="G95" t="str">
            <v>INDUSTRIA</v>
          </cell>
          <cell r="H95" t="str">
            <v>MANTENIMIENTO INDUSTRIAL</v>
          </cell>
          <cell r="I95" t="str">
            <v>IND</v>
          </cell>
          <cell r="J95" t="str">
            <v>-</v>
          </cell>
          <cell r="K95" t="str">
            <v>-</v>
          </cell>
          <cell r="L95" t="str">
            <v>MANTENIMIENTO</v>
          </cell>
          <cell r="M95" t="str">
            <v>-</v>
          </cell>
        </row>
        <row r="96">
          <cell r="B96">
            <v>409002</v>
          </cell>
          <cell r="C96" t="str">
            <v>ESCOAMENTO DA VINHACA</v>
          </cell>
          <cell r="D96" t="str">
            <v>409002-ESCOAMENTO DA VINHACA</v>
          </cell>
          <cell r="E96">
            <v>10</v>
          </cell>
          <cell r="F96" t="str">
            <v>GILSON MENEZES</v>
          </cell>
          <cell r="G96" t="str">
            <v>INDUSTRIA</v>
          </cell>
          <cell r="H96" t="str">
            <v>RESIDUOS INDUSTRIALES</v>
          </cell>
          <cell r="I96" t="str">
            <v>IND</v>
          </cell>
          <cell r="J96" t="str">
            <v>-</v>
          </cell>
          <cell r="K96" t="str">
            <v>-</v>
          </cell>
          <cell r="L96" t="str">
            <v>TRATAMIENTO DE VINAZA</v>
          </cell>
          <cell r="M96" t="str">
            <v>-</v>
          </cell>
        </row>
        <row r="97">
          <cell r="B97">
            <v>409004</v>
          </cell>
          <cell r="C97" t="str">
            <v>SISTEMA DE BOMBEAMENTO</v>
          </cell>
          <cell r="D97" t="str">
            <v>409004-SISTEMA DE BOMBEAMENTO</v>
          </cell>
          <cell r="E97">
            <v>10</v>
          </cell>
          <cell r="F97" t="str">
            <v>WILLIAN GUSTAVO OLIVEIRA</v>
          </cell>
          <cell r="G97" t="str">
            <v>INDUSTRIA</v>
          </cell>
          <cell r="H97" t="str">
            <v>RESIDUOS INDUSTRIALES</v>
          </cell>
          <cell r="I97" t="str">
            <v>IND</v>
          </cell>
          <cell r="J97" t="str">
            <v>-</v>
          </cell>
          <cell r="K97" t="str">
            <v>-</v>
          </cell>
          <cell r="L97" t="str">
            <v>TRATAMIENTO DE VINAZA</v>
          </cell>
          <cell r="M97" t="str">
            <v>-</v>
          </cell>
        </row>
        <row r="98">
          <cell r="B98">
            <v>409099</v>
          </cell>
          <cell r="C98" t="str">
            <v>MANUTENÇÃO DE ENTRESSAFRA</v>
          </cell>
          <cell r="D98" t="str">
            <v>409099-MANUTENÇÃO DE ENTRESSAFRA</v>
          </cell>
          <cell r="E98">
            <v>10</v>
          </cell>
          <cell r="F98" t="str">
            <v>GILSON MENEZES</v>
          </cell>
          <cell r="G98" t="str">
            <v>INDUSTRIA</v>
          </cell>
          <cell r="H98" t="str">
            <v>RESIDUOS INDUSTRIALES</v>
          </cell>
          <cell r="I98" t="str">
            <v>IND</v>
          </cell>
          <cell r="J98" t="str">
            <v>-</v>
          </cell>
          <cell r="K98" t="str">
            <v>-</v>
          </cell>
          <cell r="L98" t="str">
            <v>TRATAMIENTO DE VINAZA</v>
          </cell>
          <cell r="M98" t="str">
            <v>-</v>
          </cell>
        </row>
        <row r="99">
          <cell r="B99">
            <v>509902</v>
          </cell>
          <cell r="C99" t="str">
            <v>CUSTO MATERIA-PRIMA</v>
          </cell>
          <cell r="D99" t="str">
            <v>509902-CUSTO MATERIA-PRIMA</v>
          </cell>
          <cell r="E99">
            <v>10</v>
          </cell>
          <cell r="F99" t="str">
            <v>WILLIAN GUSTAVO OLIVEIRA</v>
          </cell>
          <cell r="G99" t="str">
            <v>INDUSTRIA</v>
          </cell>
          <cell r="H99" t="str">
            <v>COSTO PRODUCCIÓN CONTABLE</v>
          </cell>
          <cell r="I99" t="str">
            <v>IND</v>
          </cell>
          <cell r="J99" t="str">
            <v>-</v>
          </cell>
          <cell r="K99" t="str">
            <v>-</v>
          </cell>
          <cell r="L99" t="str">
            <v>COSTO CONTABLE</v>
          </cell>
          <cell r="M99" t="str">
            <v>-</v>
          </cell>
        </row>
        <row r="100">
          <cell r="B100">
            <v>409910</v>
          </cell>
          <cell r="C100" t="str">
            <v>CUSTO DE PRODUCAO DO A.E.H.C.</v>
          </cell>
          <cell r="D100" t="str">
            <v>409910-CUSTO DE PRODUCAO DO A.E.H.C.</v>
          </cell>
          <cell r="E100">
            <v>10</v>
          </cell>
          <cell r="F100" t="str">
            <v>WILLIAN GUSTAVO OLIVEIRA</v>
          </cell>
          <cell r="G100" t="str">
            <v>INDUSTRIA</v>
          </cell>
          <cell r="H100" t="str">
            <v>COSTO PRODUCCIÓN CONTABLE</v>
          </cell>
          <cell r="I100" t="str">
            <v>IND</v>
          </cell>
          <cell r="J100" t="str">
            <v>-</v>
          </cell>
          <cell r="K100" t="str">
            <v>-</v>
          </cell>
          <cell r="L100" t="str">
            <v>COSTO CONTABLE</v>
          </cell>
          <cell r="M100" t="str">
            <v>-</v>
          </cell>
        </row>
        <row r="101">
          <cell r="B101">
            <v>409920</v>
          </cell>
          <cell r="C101" t="str">
            <v>CUSTO DE PRODUCAO DO A.E.A.C.</v>
          </cell>
          <cell r="D101" t="str">
            <v>409920-CUSTO DE PRODUCAO DO A.E.A.C.</v>
          </cell>
          <cell r="E101">
            <v>10</v>
          </cell>
          <cell r="F101" t="str">
            <v>WILLIAN GUSTAVO OLIVEIRA</v>
          </cell>
          <cell r="G101" t="str">
            <v>INDUSTRIA</v>
          </cell>
          <cell r="H101" t="str">
            <v>COSTO PRODUCCIÓN CONTABLE</v>
          </cell>
          <cell r="I101" t="str">
            <v>IND</v>
          </cell>
          <cell r="J101" t="str">
            <v>-</v>
          </cell>
          <cell r="K101" t="str">
            <v>-</v>
          </cell>
          <cell r="L101" t="str">
            <v>COSTO CONTABLE</v>
          </cell>
          <cell r="M101" t="str">
            <v>-</v>
          </cell>
        </row>
        <row r="102">
          <cell r="B102">
            <v>409930</v>
          </cell>
          <cell r="C102" t="str">
            <v>CUSTO DE PRODUCAO DO ACUCAR</v>
          </cell>
          <cell r="D102" t="str">
            <v>409930-CUSTO DE PRODUCAO DO ACUCAR</v>
          </cell>
          <cell r="E102">
            <v>10</v>
          </cell>
          <cell r="F102" t="str">
            <v>WILLIAN GUSTAVO OLIVEIRA</v>
          </cell>
          <cell r="G102" t="str">
            <v>INDUSTRIA</v>
          </cell>
          <cell r="H102" t="str">
            <v>COSTO PRODUCCIÓN CONTABLE</v>
          </cell>
          <cell r="I102" t="str">
            <v>IND</v>
          </cell>
          <cell r="J102" t="str">
            <v>-</v>
          </cell>
          <cell r="K102" t="str">
            <v>-</v>
          </cell>
          <cell r="L102" t="str">
            <v>COSTO CONTABLE</v>
          </cell>
          <cell r="M102" t="str">
            <v>-</v>
          </cell>
        </row>
        <row r="103">
          <cell r="B103">
            <v>409940</v>
          </cell>
          <cell r="C103" t="str">
            <v>CUSTO DE PRODUCAO DO XAROPE</v>
          </cell>
          <cell r="D103" t="str">
            <v>409940-CUSTO DE PRODUCAO DO XAROPE</v>
          </cell>
          <cell r="E103">
            <v>10</v>
          </cell>
          <cell r="F103" t="str">
            <v>WILLIAN GUSTAVO OLIVEIRA</v>
          </cell>
          <cell r="G103" t="str">
            <v>INDUSTRIA</v>
          </cell>
          <cell r="H103" t="str">
            <v>COSTO PRODUCCIÓN CONTABLE</v>
          </cell>
          <cell r="I103" t="str">
            <v>IND</v>
          </cell>
          <cell r="J103" t="str">
            <v>-</v>
          </cell>
          <cell r="K103" t="str">
            <v>-</v>
          </cell>
          <cell r="L103" t="str">
            <v>COSTO CONTABLE</v>
          </cell>
          <cell r="M103" t="str">
            <v>-</v>
          </cell>
        </row>
        <row r="104">
          <cell r="B104">
            <v>409950</v>
          </cell>
          <cell r="C104" t="str">
            <v>CUSTO DE PRODUCAO DE LEVEDURA</v>
          </cell>
          <cell r="D104" t="str">
            <v>409950-CUSTO DE PRODUCAO DE LEVEDURA</v>
          </cell>
          <cell r="E104">
            <v>10</v>
          </cell>
          <cell r="F104" t="str">
            <v>WILLIAN GUSTAVO OLIVEIRA</v>
          </cell>
          <cell r="G104" t="str">
            <v>INDUSTRIA</v>
          </cell>
          <cell r="H104" t="str">
            <v>COSTO PRODUCCIÓN CONTABLE</v>
          </cell>
          <cell r="I104" t="str">
            <v>IND</v>
          </cell>
          <cell r="J104" t="str">
            <v>-</v>
          </cell>
          <cell r="K104" t="str">
            <v>-</v>
          </cell>
          <cell r="L104" t="str">
            <v>COSTO CONTABLE</v>
          </cell>
          <cell r="M104" t="str">
            <v>-</v>
          </cell>
        </row>
        <row r="105">
          <cell r="B105">
            <v>500101</v>
          </cell>
          <cell r="C105" t="str">
            <v>GERÊNCIA AGR CORPORATIVO</v>
          </cell>
          <cell r="D105" t="str">
            <v>500101-GERÊNCIA AGR CORPORATIVO</v>
          </cell>
          <cell r="E105">
            <v>20</v>
          </cell>
          <cell r="F105" t="str">
            <v>MARTIN LOOSLI</v>
          </cell>
          <cell r="G105" t="str">
            <v>CAMPO</v>
          </cell>
          <cell r="H105" t="str">
            <v>ADMON CAMPO</v>
          </cell>
          <cell r="I105" t="str">
            <v>AGR</v>
          </cell>
          <cell r="J105" t="str">
            <v>-</v>
          </cell>
          <cell r="K105" t="str">
            <v>-</v>
          </cell>
          <cell r="L105" t="str">
            <v>-</v>
          </cell>
        </row>
        <row r="106">
          <cell r="B106">
            <v>500102</v>
          </cell>
          <cell r="C106" t="str">
            <v>GERÊNCIA AGRÍCOLA</v>
          </cell>
          <cell r="D106" t="str">
            <v>500102-GERÊNCIA AGRÍCOLA</v>
          </cell>
          <cell r="E106">
            <v>20</v>
          </cell>
          <cell r="F106" t="str">
            <v>MARTIN LOOSLI</v>
          </cell>
          <cell r="G106" t="str">
            <v>CAMPO</v>
          </cell>
          <cell r="H106" t="str">
            <v>ADMON CAMPO</v>
          </cell>
          <cell r="I106" t="str">
            <v>AGR</v>
          </cell>
          <cell r="J106" t="str">
            <v>-</v>
          </cell>
          <cell r="K106" t="str">
            <v>-</v>
          </cell>
          <cell r="L106" t="str">
            <v>-</v>
          </cell>
        </row>
        <row r="107">
          <cell r="B107">
            <v>500202</v>
          </cell>
          <cell r="C107" t="str">
            <v>ADM INFORMAÇÕES AGRÍCOLAS</v>
          </cell>
          <cell r="D107" t="str">
            <v>500202-ADM INFORMAÇÕES AGRÍCOLAS</v>
          </cell>
          <cell r="E107">
            <v>20</v>
          </cell>
          <cell r="F107" t="str">
            <v>EVERTON PASSARINI</v>
          </cell>
          <cell r="G107" t="str">
            <v>CAMPO</v>
          </cell>
          <cell r="H107" t="str">
            <v>ADMON CAMPO</v>
          </cell>
          <cell r="I107" t="str">
            <v>AGR</v>
          </cell>
          <cell r="J107" t="str">
            <v>-</v>
          </cell>
          <cell r="K107" t="str">
            <v>-</v>
          </cell>
          <cell r="L107" t="str">
            <v>-</v>
          </cell>
        </row>
        <row r="108">
          <cell r="B108">
            <v>500206</v>
          </cell>
          <cell r="C108" t="str">
            <v>TOPOGRAFIA</v>
          </cell>
          <cell r="D108" t="str">
            <v>500206-TOPOGRAFIA</v>
          </cell>
          <cell r="E108">
            <v>20</v>
          </cell>
          <cell r="F108" t="str">
            <v>MIGUEL GARCIA</v>
          </cell>
          <cell r="G108" t="str">
            <v>CAMPO</v>
          </cell>
          <cell r="H108" t="str">
            <v>ADMON CAMPO</v>
          </cell>
          <cell r="I108" t="str">
            <v>AGR</v>
          </cell>
          <cell r="J108" t="str">
            <v>-</v>
          </cell>
          <cell r="K108" t="str">
            <v>-</v>
          </cell>
          <cell r="L108" t="str">
            <v>-</v>
          </cell>
        </row>
        <row r="109">
          <cell r="B109">
            <v>500212</v>
          </cell>
          <cell r="C109" t="str">
            <v>ADM COLHEITA DE CANA</v>
          </cell>
          <cell r="D109" t="str">
            <v>500212-ADM COLHEITA DE CANA</v>
          </cell>
          <cell r="E109">
            <v>20</v>
          </cell>
          <cell r="F109" t="str">
            <v>MIGUEL GARCIA</v>
          </cell>
          <cell r="G109" t="str">
            <v>CAMPO</v>
          </cell>
          <cell r="H109" t="str">
            <v>ADMON CAMPO</v>
          </cell>
          <cell r="I109" t="str">
            <v>AGR</v>
          </cell>
          <cell r="J109" t="str">
            <v>-</v>
          </cell>
          <cell r="K109" t="str">
            <v>-</v>
          </cell>
          <cell r="L109" t="str">
            <v>-</v>
          </cell>
        </row>
        <row r="110">
          <cell r="B110">
            <v>500214</v>
          </cell>
          <cell r="C110" t="str">
            <v>ADM PRODUÇÃO AGRÍCOLA</v>
          </cell>
          <cell r="D110" t="str">
            <v>500214-ADM PRODUÇÃO AGRÍCOLA</v>
          </cell>
          <cell r="E110">
            <v>20</v>
          </cell>
          <cell r="F110" t="str">
            <v>MIGUEL GARCIA</v>
          </cell>
          <cell r="G110" t="str">
            <v>CAMPO</v>
          </cell>
          <cell r="H110" t="str">
            <v>ADMON CAMPO</v>
          </cell>
          <cell r="I110" t="str">
            <v>AGR</v>
          </cell>
          <cell r="J110" t="str">
            <v>-</v>
          </cell>
          <cell r="K110" t="str">
            <v>-</v>
          </cell>
          <cell r="L110" t="str">
            <v>-</v>
          </cell>
        </row>
        <row r="111">
          <cell r="B111">
            <v>500220</v>
          </cell>
          <cell r="C111" t="str">
            <v>ADM PARCERIAS/FORN. AGR</v>
          </cell>
          <cell r="D111" t="str">
            <v>500220-ADM PARCERIAS/FORN. AGR</v>
          </cell>
          <cell r="E111">
            <v>20</v>
          </cell>
          <cell r="F111" t="str">
            <v>NELSON ESQUIVEL</v>
          </cell>
          <cell r="G111" t="str">
            <v>CAMPO</v>
          </cell>
          <cell r="H111" t="str">
            <v>ADMON CAMPO</v>
          </cell>
          <cell r="I111" t="str">
            <v>AGR</v>
          </cell>
          <cell r="J111" t="str">
            <v>-</v>
          </cell>
          <cell r="K111" t="str">
            <v>-</v>
          </cell>
          <cell r="L111" t="str">
            <v>-</v>
          </cell>
        </row>
        <row r="112">
          <cell r="B112">
            <v>500222</v>
          </cell>
          <cell r="C112" t="str">
            <v>CONTROLE DE TRÁFEGO (CENTRAL)</v>
          </cell>
          <cell r="D112" t="str">
            <v>500222-CONTROLE DE TRÁFEGO (CENTRAL)</v>
          </cell>
          <cell r="E112">
            <v>20</v>
          </cell>
          <cell r="F112" t="str">
            <v>MIGUEL GARCIA</v>
          </cell>
          <cell r="G112" t="str">
            <v>CAMPO</v>
          </cell>
          <cell r="H112" t="str">
            <v>ADMON CAMPO</v>
          </cell>
          <cell r="I112" t="str">
            <v>AGR</v>
          </cell>
          <cell r="J112" t="str">
            <v>-</v>
          </cell>
          <cell r="K112" t="str">
            <v>-</v>
          </cell>
          <cell r="L112" t="str">
            <v>-</v>
          </cell>
        </row>
        <row r="113">
          <cell r="B113">
            <v>500226</v>
          </cell>
          <cell r="C113" t="str">
            <v>ADM TECNOLOGIA AGRÍCOLA</v>
          </cell>
          <cell r="D113" t="str">
            <v>500226-ADM TECNOLOGIA AGRÍCOLA</v>
          </cell>
          <cell r="E113">
            <v>20</v>
          </cell>
          <cell r="F113" t="str">
            <v>CARLOS ARCE</v>
          </cell>
          <cell r="G113" t="str">
            <v>CAMPO</v>
          </cell>
          <cell r="H113" t="str">
            <v>ADMON CAMPO</v>
          </cell>
          <cell r="I113" t="str">
            <v>AGR</v>
          </cell>
          <cell r="J113" t="str">
            <v>-</v>
          </cell>
          <cell r="K113" t="str">
            <v>-</v>
          </cell>
          <cell r="L113" t="str">
            <v>-</v>
          </cell>
        </row>
        <row r="114">
          <cell r="B114">
            <v>500502</v>
          </cell>
          <cell r="C114" t="str">
            <v>ADM MANUTENÇÃO AUTOMOTIVA</v>
          </cell>
          <cell r="D114" t="str">
            <v>500502-ADM MANUTENÇÃO AUTOMOTIVA</v>
          </cell>
          <cell r="E114">
            <v>20</v>
          </cell>
          <cell r="F114" t="str">
            <v>GUSTAVO NAGUMO</v>
          </cell>
          <cell r="G114" t="str">
            <v>CAMPO</v>
          </cell>
          <cell r="H114" t="str">
            <v>ADMON CAMPO</v>
          </cell>
          <cell r="I114" t="str">
            <v>AGR</v>
          </cell>
          <cell r="J114" t="str">
            <v>-</v>
          </cell>
          <cell r="K114" t="str">
            <v>-</v>
          </cell>
          <cell r="L114" t="str">
            <v>-</v>
          </cell>
        </row>
        <row r="115">
          <cell r="B115">
            <v>500302</v>
          </cell>
          <cell r="C115" t="str">
            <v>MDO FISCAIS CAMPO</v>
          </cell>
          <cell r="D115" t="str">
            <v>500302-MDO FISCAIS CAMPO</v>
          </cell>
          <cell r="E115">
            <v>20</v>
          </cell>
          <cell r="F115" t="str">
            <v>MIGUEL GARCIA</v>
          </cell>
          <cell r="G115" t="str">
            <v>CAMPO</v>
          </cell>
          <cell r="H115" t="str">
            <v>MANO OBRA OPERACIÓN</v>
          </cell>
          <cell r="I115" t="str">
            <v>AGR</v>
          </cell>
          <cell r="J115" t="str">
            <v>-</v>
          </cell>
          <cell r="K115" t="str">
            <v>-</v>
          </cell>
          <cell r="L115" t="str">
            <v>-</v>
          </cell>
        </row>
        <row r="116">
          <cell r="B116">
            <v>500304</v>
          </cell>
          <cell r="C116" t="str">
            <v>MDO QUEIMA DE CANA</v>
          </cell>
          <cell r="D116" t="str">
            <v>500304-MDO QUEIMA DE CANA</v>
          </cell>
          <cell r="E116">
            <v>20</v>
          </cell>
          <cell r="F116" t="str">
            <v>MIGUEL GARCIA</v>
          </cell>
          <cell r="G116" t="str">
            <v>CAMPO</v>
          </cell>
          <cell r="H116" t="str">
            <v>MANO OBRA OPERACIÓN</v>
          </cell>
          <cell r="I116" t="str">
            <v>AGR</v>
          </cell>
          <cell r="J116" t="str">
            <v>-</v>
          </cell>
          <cell r="K116" t="str">
            <v>-</v>
          </cell>
          <cell r="L116" t="str">
            <v>-</v>
          </cell>
        </row>
        <row r="117">
          <cell r="B117">
            <v>500404</v>
          </cell>
          <cell r="C117" t="str">
            <v>MDO FERTIRRIGAÇÃO</v>
          </cell>
          <cell r="D117" t="str">
            <v>500404-MDO FERTIRRIGAÇÃO</v>
          </cell>
          <cell r="E117">
            <v>20</v>
          </cell>
          <cell r="F117" t="str">
            <v>MIGUEL GARCIA</v>
          </cell>
          <cell r="G117" t="str">
            <v>CAMPO</v>
          </cell>
          <cell r="H117" t="str">
            <v>MANO OBRA OPERACIÓN</v>
          </cell>
          <cell r="I117" t="str">
            <v>AGR</v>
          </cell>
          <cell r="J117" t="str">
            <v>-</v>
          </cell>
          <cell r="K117" t="str">
            <v>-</v>
          </cell>
          <cell r="L117" t="str">
            <v>-</v>
          </cell>
        </row>
        <row r="118">
          <cell r="B118">
            <v>500702</v>
          </cell>
          <cell r="C118" t="str">
            <v>MOTORISTAS TRANSP CANA</v>
          </cell>
          <cell r="D118" t="str">
            <v>500702-MOTORISTAS TRANSP CANA</v>
          </cell>
          <cell r="E118">
            <v>20</v>
          </cell>
          <cell r="F118" t="str">
            <v>MIGUEL GARCIA</v>
          </cell>
          <cell r="G118" t="str">
            <v>CAMPO</v>
          </cell>
          <cell r="H118" t="str">
            <v>MANO OBRA OPERACIÓN</v>
          </cell>
          <cell r="I118" t="str">
            <v>AGR</v>
          </cell>
          <cell r="J118" t="str">
            <v>-</v>
          </cell>
          <cell r="K118" t="str">
            <v>-</v>
          </cell>
          <cell r="L118" t="str">
            <v>-</v>
          </cell>
        </row>
        <row r="119">
          <cell r="B119">
            <v>500710</v>
          </cell>
          <cell r="C119" t="str">
            <v>OPERADORES DE COLHEDORAS</v>
          </cell>
          <cell r="D119" t="str">
            <v>500710-OPERADORES DE COLHEDORAS</v>
          </cell>
          <cell r="E119">
            <v>20</v>
          </cell>
          <cell r="F119" t="str">
            <v>MIGUEL GARCIA</v>
          </cell>
          <cell r="G119" t="str">
            <v>CAMPO</v>
          </cell>
          <cell r="H119" t="str">
            <v>MANO OBRA OPERACIÓN</v>
          </cell>
          <cell r="I119" t="str">
            <v>AGR</v>
          </cell>
          <cell r="J119" t="str">
            <v>-</v>
          </cell>
          <cell r="K119" t="str">
            <v>-</v>
          </cell>
          <cell r="L119" t="str">
            <v>-</v>
          </cell>
        </row>
        <row r="120">
          <cell r="B120">
            <v>500712</v>
          </cell>
          <cell r="C120" t="str">
            <v>MOTORISTAS TRANSBORDO</v>
          </cell>
          <cell r="D120" t="str">
            <v>500712-MOTORISTAS TRANSBORDO</v>
          </cell>
          <cell r="E120">
            <v>20</v>
          </cell>
          <cell r="F120" t="str">
            <v>MIGUEL GARCIA</v>
          </cell>
          <cell r="G120" t="str">
            <v>CAMPO</v>
          </cell>
          <cell r="H120" t="str">
            <v>MANO OBRA OPERACIÓN</v>
          </cell>
          <cell r="I120" t="str">
            <v>AGR</v>
          </cell>
          <cell r="J120" t="str">
            <v>-</v>
          </cell>
          <cell r="K120" t="str">
            <v>-</v>
          </cell>
          <cell r="L120" t="str">
            <v>-</v>
          </cell>
        </row>
        <row r="121">
          <cell r="B121">
            <v>500718</v>
          </cell>
          <cell r="C121" t="str">
            <v>TRATORISTAS MAQ PESADAS</v>
          </cell>
          <cell r="D121" t="str">
            <v>500718-TRATORISTAS MAQ PESADAS</v>
          </cell>
          <cell r="E121">
            <v>20</v>
          </cell>
          <cell r="F121" t="str">
            <v>MIGUEL GARCIA</v>
          </cell>
          <cell r="G121" t="str">
            <v>CAMPO</v>
          </cell>
          <cell r="H121" t="str">
            <v>MANO OBRA OPERACIÓN</v>
          </cell>
          <cell r="I121" t="str">
            <v>AGR</v>
          </cell>
          <cell r="J121" t="str">
            <v>-</v>
          </cell>
          <cell r="K121" t="str">
            <v>-</v>
          </cell>
          <cell r="L121" t="str">
            <v>-</v>
          </cell>
        </row>
        <row r="122">
          <cell r="B122">
            <v>500720</v>
          </cell>
          <cell r="C122" t="str">
            <v>MOTORISTA TRANSP DE APOIO</v>
          </cell>
          <cell r="D122" t="str">
            <v>500720-MOTORISTA TRANSP DE APOIO</v>
          </cell>
          <cell r="E122">
            <v>20</v>
          </cell>
          <cell r="F122" t="str">
            <v>MIGUEL GARCIA</v>
          </cell>
          <cell r="G122" t="str">
            <v>CAMPO</v>
          </cell>
          <cell r="H122" t="str">
            <v>MANO OBRA OPERACIÓN</v>
          </cell>
          <cell r="I122" t="str">
            <v>AGR</v>
          </cell>
          <cell r="J122" t="str">
            <v>-</v>
          </cell>
          <cell r="K122" t="str">
            <v>-</v>
          </cell>
          <cell r="L122" t="str">
            <v>-</v>
          </cell>
        </row>
        <row r="123">
          <cell r="B123">
            <v>500722</v>
          </cell>
          <cell r="C123" t="str">
            <v>MDO LÍDERES/FISCAIS OPER</v>
          </cell>
          <cell r="D123" t="str">
            <v>500722-MDO LÍDERES/FISCAIS OPER</v>
          </cell>
          <cell r="E123">
            <v>20</v>
          </cell>
          <cell r="F123" t="str">
            <v>MIGUEL GARCIA</v>
          </cell>
          <cell r="G123" t="str">
            <v>CAMPO</v>
          </cell>
          <cell r="H123" t="str">
            <v>MANO OBRA OPERACIÓN</v>
          </cell>
          <cell r="I123" t="str">
            <v>AGR</v>
          </cell>
          <cell r="J123" t="str">
            <v>-</v>
          </cell>
          <cell r="K123" t="str">
            <v>-</v>
          </cell>
          <cell r="L123" t="str">
            <v>-</v>
          </cell>
        </row>
        <row r="124">
          <cell r="B124">
            <v>500724</v>
          </cell>
          <cell r="C124" t="str">
            <v>AUXILIAR DE CNTRL QUALIDADE</v>
          </cell>
          <cell r="D124" t="str">
            <v>500724-AUXILIAR DE CNTRL QUALIDADE</v>
          </cell>
          <cell r="E124">
            <v>20</v>
          </cell>
          <cell r="F124" t="str">
            <v>CARLOS ARCE</v>
          </cell>
          <cell r="G124" t="str">
            <v>CAMPO</v>
          </cell>
          <cell r="H124" t="str">
            <v>MANO OBRA OPERACIÓN</v>
          </cell>
          <cell r="I124" t="str">
            <v>AGR</v>
          </cell>
          <cell r="J124" t="str">
            <v>-</v>
          </cell>
          <cell r="K124" t="str">
            <v>-</v>
          </cell>
          <cell r="L124" t="str">
            <v>-</v>
          </cell>
        </row>
        <row r="125">
          <cell r="B125">
            <v>500726</v>
          </cell>
          <cell r="C125" t="str">
            <v>AUXILIARES AGRÍCOLAS</v>
          </cell>
          <cell r="D125" t="str">
            <v>500726-AUXILIARES AGRÍCOLAS</v>
          </cell>
          <cell r="E125">
            <v>20</v>
          </cell>
          <cell r="F125" t="str">
            <v>MIGUEL GARCIA</v>
          </cell>
          <cell r="G125" t="str">
            <v>CAMPO</v>
          </cell>
          <cell r="H125" t="str">
            <v>MANO OBRA OPERACIÓN</v>
          </cell>
          <cell r="I125" t="str">
            <v>AGR</v>
          </cell>
          <cell r="J125" t="str">
            <v>-</v>
          </cell>
          <cell r="K125" t="str">
            <v>-</v>
          </cell>
          <cell r="L125" t="str">
            <v>-</v>
          </cell>
        </row>
        <row r="126">
          <cell r="B126">
            <v>500728</v>
          </cell>
          <cell r="C126" t="str">
            <v>AUXILIARES AGRONOMIA</v>
          </cell>
          <cell r="D126" t="str">
            <v>500728-AUXILIARES AGRONOMIA</v>
          </cell>
          <cell r="E126">
            <v>20</v>
          </cell>
          <cell r="F126" t="str">
            <v>CARLOS ARCE</v>
          </cell>
          <cell r="G126" t="str">
            <v>CAMPO</v>
          </cell>
          <cell r="H126" t="str">
            <v>MANO OBRA OPERACIÓN</v>
          </cell>
          <cell r="I126" t="str">
            <v>AGR</v>
          </cell>
          <cell r="J126" t="str">
            <v>-</v>
          </cell>
          <cell r="K126" t="str">
            <v>-</v>
          </cell>
          <cell r="L126" t="str">
            <v>-</v>
          </cell>
        </row>
        <row r="127">
          <cell r="B127">
            <v>500308</v>
          </cell>
          <cell r="C127" t="str">
            <v>MDO CATAÇÃO QUÍMICA</v>
          </cell>
          <cell r="D127" t="str">
            <v>500308-MDO CATAÇÃO QUÍMICA</v>
          </cell>
          <cell r="E127">
            <v>20</v>
          </cell>
          <cell r="F127" t="str">
            <v>MIGUEL GARCIA</v>
          </cell>
          <cell r="G127" t="str">
            <v>CAMPO</v>
          </cell>
          <cell r="H127" t="str">
            <v>MANO OBRA RURAIS</v>
          </cell>
          <cell r="I127" t="str">
            <v>AGR</v>
          </cell>
          <cell r="J127" t="str">
            <v>-</v>
          </cell>
          <cell r="K127" t="str">
            <v>-</v>
          </cell>
          <cell r="L127" t="str">
            <v>-</v>
          </cell>
        </row>
        <row r="128">
          <cell r="B128">
            <v>500310</v>
          </cell>
          <cell r="C128" t="str">
            <v>MDO RURÍCOLAS - REGIONAIS</v>
          </cell>
          <cell r="D128" t="str">
            <v>500310-MDO RURÍCOLAS - REGIONAIS</v>
          </cell>
          <cell r="E128">
            <v>20</v>
          </cell>
          <cell r="F128" t="str">
            <v>MIGUEL GARCIA</v>
          </cell>
          <cell r="G128" t="str">
            <v>CAMPO</v>
          </cell>
          <cell r="H128" t="str">
            <v>MANO OBRA RURAIS</v>
          </cell>
          <cell r="I128" t="str">
            <v>AGR</v>
          </cell>
          <cell r="J128" t="str">
            <v>-</v>
          </cell>
          <cell r="K128" t="str">
            <v>-</v>
          </cell>
          <cell r="L128" t="str">
            <v>-</v>
          </cell>
        </row>
        <row r="129">
          <cell r="B129">
            <v>500314</v>
          </cell>
          <cell r="C129" t="str">
            <v>MDO RURICULAS - MIGRANTES</v>
          </cell>
          <cell r="D129" t="str">
            <v>500314-MDO RURICULAS - MIGRANTES</v>
          </cell>
          <cell r="E129">
            <v>20</v>
          </cell>
          <cell r="F129" t="str">
            <v>MIGUEL GARCIA</v>
          </cell>
          <cell r="G129" t="str">
            <v>CAMPO</v>
          </cell>
          <cell r="H129" t="str">
            <v>MANO OBRA RURAIS</v>
          </cell>
          <cell r="I129" t="str">
            <v>AGR</v>
          </cell>
          <cell r="J129" t="str">
            <v>-</v>
          </cell>
          <cell r="K129" t="str">
            <v>-</v>
          </cell>
          <cell r="L129" t="str">
            <v>-</v>
          </cell>
        </row>
        <row r="130">
          <cell r="B130">
            <v>500506</v>
          </cell>
          <cell r="C130" t="str">
            <v>LUBRIFICADORES</v>
          </cell>
          <cell r="D130" t="str">
            <v>500506-LUBRIFICADORES</v>
          </cell>
          <cell r="E130">
            <v>20</v>
          </cell>
          <cell r="F130" t="str">
            <v>GUSTAVO NAGUMO</v>
          </cell>
          <cell r="G130" t="str">
            <v>CAMPO</v>
          </cell>
          <cell r="H130" t="str">
            <v>MANO OBRA OFICINA</v>
          </cell>
          <cell r="I130" t="str">
            <v>AGR</v>
          </cell>
          <cell r="J130" t="str">
            <v>-</v>
          </cell>
          <cell r="K130" t="str">
            <v>-</v>
          </cell>
          <cell r="L130" t="str">
            <v>-</v>
          </cell>
        </row>
        <row r="131">
          <cell r="B131">
            <v>500508</v>
          </cell>
          <cell r="C131" t="str">
            <v>ELETRICISTA</v>
          </cell>
          <cell r="D131" t="str">
            <v>500508-ELETRICISTA</v>
          </cell>
          <cell r="E131">
            <v>20</v>
          </cell>
          <cell r="F131" t="str">
            <v>GUSTAVO NAGUMO</v>
          </cell>
          <cell r="G131" t="str">
            <v>CAMPO</v>
          </cell>
          <cell r="H131" t="str">
            <v>MANO OBRA OFICINA</v>
          </cell>
          <cell r="I131" t="str">
            <v>AGR</v>
          </cell>
          <cell r="J131" t="str">
            <v>-</v>
          </cell>
          <cell r="K131" t="str">
            <v>-</v>
          </cell>
          <cell r="L131" t="str">
            <v>-</v>
          </cell>
        </row>
        <row r="132">
          <cell r="B132">
            <v>500510</v>
          </cell>
          <cell r="C132" t="str">
            <v>SOLDADOR</v>
          </cell>
          <cell r="D132" t="str">
            <v>500510-SOLDADOR</v>
          </cell>
          <cell r="E132">
            <v>20</v>
          </cell>
          <cell r="F132" t="str">
            <v>GUSTAVO NAGUMO</v>
          </cell>
          <cell r="G132" t="str">
            <v>CAMPO</v>
          </cell>
          <cell r="H132" t="str">
            <v>MANO OBRA OFICINA</v>
          </cell>
          <cell r="I132" t="str">
            <v>AGR</v>
          </cell>
          <cell r="J132" t="str">
            <v>-</v>
          </cell>
          <cell r="K132" t="str">
            <v>-</v>
          </cell>
          <cell r="L132" t="str">
            <v>-</v>
          </cell>
        </row>
        <row r="133">
          <cell r="B133">
            <v>500512</v>
          </cell>
          <cell r="C133" t="str">
            <v>MECÂNICOS</v>
          </cell>
          <cell r="D133" t="str">
            <v>500512-MECÂNICOS</v>
          </cell>
          <cell r="E133">
            <v>20</v>
          </cell>
          <cell r="F133" t="str">
            <v>GUSTAVO NAGUMO</v>
          </cell>
          <cell r="G133" t="str">
            <v>CAMPO</v>
          </cell>
          <cell r="H133" t="str">
            <v>MANO OBRA OFICINA</v>
          </cell>
          <cell r="I133" t="str">
            <v>AGR</v>
          </cell>
          <cell r="J133" t="str">
            <v>-</v>
          </cell>
          <cell r="K133" t="str">
            <v>-</v>
          </cell>
          <cell r="L133" t="str">
            <v>-</v>
          </cell>
        </row>
        <row r="134">
          <cell r="B134">
            <v>500516</v>
          </cell>
          <cell r="C134" t="str">
            <v>BORRACHEIRO</v>
          </cell>
          <cell r="D134" t="str">
            <v>500516-BORRACHEIRO</v>
          </cell>
          <cell r="E134">
            <v>20</v>
          </cell>
          <cell r="F134" t="str">
            <v>GUSTAVO NAGUMO</v>
          </cell>
          <cell r="G134" t="str">
            <v>CAMPO</v>
          </cell>
          <cell r="H134" t="str">
            <v>MANO OBRA OFICINA</v>
          </cell>
          <cell r="I134" t="str">
            <v>AGR</v>
          </cell>
          <cell r="J134" t="str">
            <v>-</v>
          </cell>
          <cell r="K134" t="str">
            <v>-</v>
          </cell>
          <cell r="L134" t="str">
            <v>-</v>
          </cell>
        </row>
        <row r="135">
          <cell r="B135">
            <v>702008</v>
          </cell>
          <cell r="C135" t="str">
            <v>AP08 TR Ag 76-100 HP 4WD</v>
          </cell>
          <cell r="D135" t="str">
            <v>702008-AP08 TR Ag 76-100 HP 4WD</v>
          </cell>
          <cell r="E135">
            <v>20</v>
          </cell>
          <cell r="F135" t="str">
            <v>GUSTAVO NAGUMO</v>
          </cell>
          <cell r="G135" t="str">
            <v>CAMPO</v>
          </cell>
          <cell r="H135" t="str">
            <v>EQUIPOS PROPIOS</v>
          </cell>
          <cell r="I135" t="str">
            <v>AGR</v>
          </cell>
          <cell r="J135" t="str">
            <v>-</v>
          </cell>
          <cell r="K135" t="str">
            <v>-</v>
          </cell>
          <cell r="L135" t="str">
            <v>-</v>
          </cell>
        </row>
        <row r="136">
          <cell r="B136">
            <v>702019</v>
          </cell>
          <cell r="C136" t="str">
            <v>AP19 TR MI 151-175 HP 4WD</v>
          </cell>
          <cell r="D136" t="str">
            <v>702019-AP19 TR MI 151-175 HP 4WD</v>
          </cell>
          <cell r="E136">
            <v>20</v>
          </cell>
          <cell r="F136" t="str">
            <v>GUSTAVO NAGUMO</v>
          </cell>
          <cell r="G136" t="str">
            <v>CAMPO</v>
          </cell>
          <cell r="H136" t="str">
            <v>EQUIPOS PROPIOS</v>
          </cell>
          <cell r="I136" t="str">
            <v>AGR</v>
          </cell>
          <cell r="J136" t="str">
            <v>-</v>
          </cell>
          <cell r="K136" t="str">
            <v>-</v>
          </cell>
          <cell r="L136" t="str">
            <v>-</v>
          </cell>
        </row>
        <row r="137">
          <cell r="B137">
            <v>702021</v>
          </cell>
          <cell r="C137" t="str">
            <v>AP21 TR AG 176-200 HP 4WD</v>
          </cell>
          <cell r="D137" t="str">
            <v>702021-AP21 TR AG 176-200 HP 4WD</v>
          </cell>
          <cell r="E137">
            <v>20</v>
          </cell>
          <cell r="F137" t="str">
            <v>GUSTAVO NAGUMO</v>
          </cell>
          <cell r="G137" t="str">
            <v>CAMPO</v>
          </cell>
          <cell r="H137" t="str">
            <v>EQUIPOS PROPIOS</v>
          </cell>
          <cell r="I137" t="str">
            <v>AGR</v>
          </cell>
          <cell r="J137" t="str">
            <v>-</v>
          </cell>
          <cell r="K137" t="str">
            <v>-</v>
          </cell>
          <cell r="L137" t="str">
            <v>-</v>
          </cell>
        </row>
        <row r="138">
          <cell r="B138">
            <v>702024</v>
          </cell>
          <cell r="C138" t="str">
            <v>AP24 TR AG 201-225 HP 4WD</v>
          </cell>
          <cell r="D138" t="str">
            <v>702024-AP24 TR AG 201-225 HP 4WD</v>
          </cell>
          <cell r="E138">
            <v>20</v>
          </cell>
          <cell r="F138" t="str">
            <v>GUSTAVO NAGUMO</v>
          </cell>
          <cell r="G138" t="str">
            <v>CAMPO</v>
          </cell>
          <cell r="H138" t="str">
            <v>EQUIPOS PROPIOS</v>
          </cell>
          <cell r="I138" t="str">
            <v>AGR</v>
          </cell>
          <cell r="J138" t="str">
            <v>-</v>
          </cell>
          <cell r="K138" t="str">
            <v>-</v>
          </cell>
          <cell r="L138" t="str">
            <v>-</v>
          </cell>
        </row>
        <row r="139">
          <cell r="B139">
            <v>702034</v>
          </cell>
          <cell r="C139" t="str">
            <v>AP34 TR AG &gt; 300 HP 4WD</v>
          </cell>
          <cell r="D139" t="str">
            <v>702034-AP34 TR AG &gt; 300 HP 4WD</v>
          </cell>
          <cell r="E139">
            <v>20</v>
          </cell>
          <cell r="F139" t="str">
            <v>GUSTAVO NAGUMO</v>
          </cell>
          <cell r="G139" t="str">
            <v>CAMPO</v>
          </cell>
          <cell r="H139" t="str">
            <v>EQUIPOS PROPIOS</v>
          </cell>
          <cell r="I139" t="str">
            <v>AGR</v>
          </cell>
          <cell r="J139" t="str">
            <v>-</v>
          </cell>
          <cell r="K139" t="str">
            <v>-</v>
          </cell>
          <cell r="L139" t="str">
            <v>-</v>
          </cell>
        </row>
        <row r="140">
          <cell r="B140">
            <v>702035</v>
          </cell>
          <cell r="C140" t="str">
            <v>BP01 COLHEDORA ESTEIRA</v>
          </cell>
          <cell r="D140" t="str">
            <v>702035-BP01 COLHEDORA ESTEIRA</v>
          </cell>
          <cell r="E140">
            <v>20</v>
          </cell>
          <cell r="F140" t="str">
            <v>GUSTAVO NAGUMO</v>
          </cell>
          <cell r="G140" t="str">
            <v>CAMPO</v>
          </cell>
          <cell r="H140" t="str">
            <v>EQUIPOS PROPIOS</v>
          </cell>
          <cell r="I140" t="str">
            <v>AGR</v>
          </cell>
          <cell r="J140" t="str">
            <v>-</v>
          </cell>
          <cell r="K140" t="str">
            <v>-</v>
          </cell>
          <cell r="L140" t="str">
            <v>-</v>
          </cell>
        </row>
        <row r="141">
          <cell r="B141">
            <v>702044</v>
          </cell>
          <cell r="C141" t="str">
            <v>DP04 MT DIESEL &gt; 150 HP</v>
          </cell>
          <cell r="D141" t="str">
            <v>702044-DP04 MT DIESEL &gt; 150 HP</v>
          </cell>
          <cell r="E141">
            <v>20</v>
          </cell>
          <cell r="F141" t="str">
            <v>GUSTAVO NAGUMO</v>
          </cell>
          <cell r="G141" t="str">
            <v>CAMPO</v>
          </cell>
          <cell r="H141" t="str">
            <v>EQUIPOS PROPIOS</v>
          </cell>
          <cell r="I141" t="str">
            <v>AGR</v>
          </cell>
          <cell r="J141" t="str">
            <v>-</v>
          </cell>
          <cell r="K141" t="str">
            <v>-</v>
          </cell>
          <cell r="L141" t="str">
            <v>-</v>
          </cell>
        </row>
        <row r="142">
          <cell r="B142">
            <v>702053</v>
          </cell>
          <cell r="C142" t="str">
            <v>DP13 CONJUNTO IRRIGAÇÃO</v>
          </cell>
          <cell r="D142" t="str">
            <v>702053-DP13 CONJUNTO IRRIGAÇÃO</v>
          </cell>
          <cell r="E142">
            <v>20</v>
          </cell>
          <cell r="F142" t="str">
            <v>GUSTAVO NAGUMO</v>
          </cell>
          <cell r="G142" t="str">
            <v>CAMPO</v>
          </cell>
          <cell r="H142" t="str">
            <v>EQUIPOS PROPIOS</v>
          </cell>
          <cell r="I142" t="str">
            <v>AGR</v>
          </cell>
          <cell r="J142" t="str">
            <v>-</v>
          </cell>
          <cell r="K142" t="str">
            <v>-</v>
          </cell>
          <cell r="L142" t="str">
            <v>-</v>
          </cell>
        </row>
        <row r="143">
          <cell r="B143">
            <v>702059</v>
          </cell>
          <cell r="C143" t="str">
            <v>EP06 CA 11000-20000 KG 4WD</v>
          </cell>
          <cell r="D143" t="str">
            <v>702059-EP06 CA 11000-20000 KG 4WD</v>
          </cell>
          <cell r="E143">
            <v>20</v>
          </cell>
          <cell r="F143" t="str">
            <v>GUSTAVO NAGUMO</v>
          </cell>
          <cell r="G143" t="str">
            <v>CAMPO</v>
          </cell>
          <cell r="H143" t="str">
            <v>EQUIPOS PROPIOS</v>
          </cell>
          <cell r="I143" t="str">
            <v>AGR</v>
          </cell>
          <cell r="J143" t="str">
            <v>-</v>
          </cell>
          <cell r="K143" t="str">
            <v>-</v>
          </cell>
          <cell r="L143" t="str">
            <v>-</v>
          </cell>
        </row>
        <row r="144">
          <cell r="B144">
            <v>702063</v>
          </cell>
          <cell r="C144" t="str">
            <v>EP10CAMINHÃO BOMBEIRO 4X6</v>
          </cell>
          <cell r="D144" t="str">
            <v>702063-EP10CAMINHÃO BOMBEIRO 4X6</v>
          </cell>
          <cell r="E144">
            <v>20</v>
          </cell>
          <cell r="F144" t="str">
            <v>GUSTAVO NAGUMO</v>
          </cell>
          <cell r="G144" t="str">
            <v>CAMPO</v>
          </cell>
          <cell r="H144" t="str">
            <v>EQUIPOS PROPIOS</v>
          </cell>
          <cell r="I144" t="str">
            <v>AGR</v>
          </cell>
          <cell r="J144" t="str">
            <v>-</v>
          </cell>
          <cell r="K144" t="str">
            <v>-</v>
          </cell>
          <cell r="L144" t="str">
            <v>-</v>
          </cell>
        </row>
        <row r="145">
          <cell r="B145">
            <v>702065</v>
          </cell>
          <cell r="C145" t="str">
            <v>EP12 CAMINHÃO COMBOIO</v>
          </cell>
          <cell r="D145" t="str">
            <v>702065-EP12 CAMINHÃO COMBOIO</v>
          </cell>
          <cell r="E145">
            <v>20</v>
          </cell>
          <cell r="F145" t="str">
            <v>GUSTAVO NAGUMO</v>
          </cell>
          <cell r="G145" t="str">
            <v>CAMPO</v>
          </cell>
          <cell r="H145" t="str">
            <v>EQUIPOS PROPIOS</v>
          </cell>
          <cell r="I145" t="str">
            <v>AGR</v>
          </cell>
          <cell r="J145" t="str">
            <v>-</v>
          </cell>
          <cell r="K145" t="str">
            <v>-</v>
          </cell>
          <cell r="L145" t="str">
            <v>-</v>
          </cell>
        </row>
        <row r="146">
          <cell r="B146">
            <v>702067</v>
          </cell>
          <cell r="C146" t="str">
            <v>EP14 CAMINHÃO BORRACHARIA</v>
          </cell>
          <cell r="D146" t="str">
            <v>702067-EP14 CAMINHÃO BORRACHARIA</v>
          </cell>
          <cell r="E146">
            <v>20</v>
          </cell>
          <cell r="F146" t="str">
            <v>GUSTAVO NAGUMO</v>
          </cell>
          <cell r="G146" t="str">
            <v>CAMPO</v>
          </cell>
          <cell r="H146" t="str">
            <v>EQUIPOS PROPIOS</v>
          </cell>
          <cell r="I146" t="str">
            <v>AGR</v>
          </cell>
          <cell r="J146" t="str">
            <v>-</v>
          </cell>
          <cell r="K146" t="str">
            <v>-</v>
          </cell>
          <cell r="L146" t="str">
            <v>-</v>
          </cell>
        </row>
        <row r="147">
          <cell r="B147">
            <v>702068</v>
          </cell>
          <cell r="C147" t="str">
            <v>EP15 CAMINHÃO OFICINA</v>
          </cell>
          <cell r="D147" t="str">
            <v>702068-EP15 CAMINHÃO OFICINA</v>
          </cell>
          <cell r="E147">
            <v>20</v>
          </cell>
          <cell r="F147" t="str">
            <v>GUSTAVO NAGUMO</v>
          </cell>
          <cell r="G147" t="str">
            <v>CAMPO</v>
          </cell>
          <cell r="H147" t="str">
            <v>EQUIPOS PROPIOS</v>
          </cell>
          <cell r="I147" t="str">
            <v>AGR</v>
          </cell>
          <cell r="J147" t="str">
            <v>-</v>
          </cell>
          <cell r="K147" t="str">
            <v>-</v>
          </cell>
          <cell r="L147" t="str">
            <v>-</v>
          </cell>
        </row>
        <row r="148">
          <cell r="B148">
            <v>702070</v>
          </cell>
          <cell r="C148" t="str">
            <v>FP02 CB CANA 91K-135K KG</v>
          </cell>
          <cell r="D148" t="str">
            <v>702070-FP02 CB CANA 91K-135K KG</v>
          </cell>
          <cell r="E148">
            <v>20</v>
          </cell>
          <cell r="F148" t="str">
            <v>GUSTAVO NAGUMO</v>
          </cell>
          <cell r="G148" t="str">
            <v>CAMPO</v>
          </cell>
          <cell r="H148" t="str">
            <v>EQUIPOS PROPIOS</v>
          </cell>
          <cell r="I148" t="str">
            <v>AGR</v>
          </cell>
          <cell r="J148" t="str">
            <v>-</v>
          </cell>
          <cell r="K148" t="str">
            <v>-</v>
          </cell>
          <cell r="L148" t="str">
            <v>-</v>
          </cell>
        </row>
        <row r="149">
          <cell r="B149">
            <v>702078</v>
          </cell>
          <cell r="C149" t="str">
            <v>GP04 FURGÓN</v>
          </cell>
          <cell r="D149" t="str">
            <v>702078-GP04 FURGÓN</v>
          </cell>
          <cell r="E149">
            <v>20</v>
          </cell>
          <cell r="F149" t="str">
            <v>GUSTAVO NAGUMO</v>
          </cell>
          <cell r="G149" t="str">
            <v>CAMPO</v>
          </cell>
          <cell r="H149" t="str">
            <v>EQUIPOS PROPIOS</v>
          </cell>
          <cell r="I149" t="str">
            <v>AGR</v>
          </cell>
          <cell r="J149" t="str">
            <v>-</v>
          </cell>
          <cell r="K149" t="str">
            <v>-</v>
          </cell>
          <cell r="L149" t="str">
            <v>-</v>
          </cell>
        </row>
        <row r="150">
          <cell r="B150">
            <v>702079</v>
          </cell>
          <cell r="C150" t="str">
            <v>GP05 SEMI-REBOQUE PRANCHA</v>
          </cell>
          <cell r="D150" t="str">
            <v>702079-GP05 SEMI-REBOQUE PRANCHA</v>
          </cell>
          <cell r="E150">
            <v>20</v>
          </cell>
          <cell r="F150" t="str">
            <v>GUSTAVO NAGUMO</v>
          </cell>
          <cell r="G150" t="str">
            <v>CAMPO</v>
          </cell>
          <cell r="H150" t="str">
            <v>EQUIPOS PROPIOS</v>
          </cell>
          <cell r="I150" t="str">
            <v>AGR</v>
          </cell>
          <cell r="J150" t="str">
            <v>-</v>
          </cell>
          <cell r="K150" t="str">
            <v>-</v>
          </cell>
          <cell r="L150" t="str">
            <v>-</v>
          </cell>
        </row>
        <row r="151">
          <cell r="B151">
            <v>702085</v>
          </cell>
          <cell r="C151" t="str">
            <v>GP11 CARRETON MOV VARIOS</v>
          </cell>
          <cell r="D151" t="str">
            <v>702085-GP11 CARRETON MOV VARIOS</v>
          </cell>
          <cell r="E151">
            <v>20</v>
          </cell>
          <cell r="F151" t="str">
            <v>GUSTAVO NAGUMO</v>
          </cell>
          <cell r="G151" t="str">
            <v>CAMPO</v>
          </cell>
          <cell r="H151" t="str">
            <v>EQUIPOS PROPIOS</v>
          </cell>
          <cell r="I151" t="str">
            <v>AGR</v>
          </cell>
          <cell r="J151" t="str">
            <v>-</v>
          </cell>
          <cell r="K151" t="str">
            <v>-</v>
          </cell>
          <cell r="L151" t="str">
            <v>-</v>
          </cell>
        </row>
        <row r="152">
          <cell r="B152">
            <v>702086</v>
          </cell>
          <cell r="C152" t="str">
            <v>GP12 CARRETA EQUIPTO IRRI</v>
          </cell>
          <cell r="D152" t="str">
            <v>702086-GP12 CARRETA EQUIPTO IRRI</v>
          </cell>
          <cell r="E152">
            <v>20</v>
          </cell>
          <cell r="F152" t="str">
            <v>GUSTAVO NAGUMO</v>
          </cell>
          <cell r="G152" t="str">
            <v>CAMPO</v>
          </cell>
          <cell r="H152" t="str">
            <v>EQUIPOS PROPIOS</v>
          </cell>
          <cell r="I152" t="str">
            <v>AGR</v>
          </cell>
          <cell r="J152" t="str">
            <v>-</v>
          </cell>
          <cell r="K152" t="str">
            <v>-</v>
          </cell>
          <cell r="L152" t="str">
            <v>-</v>
          </cell>
        </row>
        <row r="153">
          <cell r="B153">
            <v>702090</v>
          </cell>
          <cell r="C153" t="str">
            <v>GP16 TANQUE 1.890-6.500 LTS</v>
          </cell>
          <cell r="D153" t="str">
            <v>702090-GP16 TANQUE 1.890-6.500 LTS</v>
          </cell>
          <cell r="E153">
            <v>20</v>
          </cell>
          <cell r="F153" t="str">
            <v>GUSTAVO NAGUMO</v>
          </cell>
          <cell r="G153" t="str">
            <v>CAMPO</v>
          </cell>
          <cell r="H153" t="str">
            <v>EQUIPOS PROPIOS</v>
          </cell>
          <cell r="I153" t="str">
            <v>AGR</v>
          </cell>
          <cell r="J153" t="str">
            <v>-</v>
          </cell>
          <cell r="K153" t="str">
            <v>-</v>
          </cell>
          <cell r="L153" t="str">
            <v>-</v>
          </cell>
        </row>
        <row r="154">
          <cell r="B154">
            <v>702092</v>
          </cell>
          <cell r="C154" t="str">
            <v>GP18 TANQUE &gt; 11.350 LTS</v>
          </cell>
          <cell r="D154" t="str">
            <v>702092-GP18 TANQUE &gt; 11.350 LTS</v>
          </cell>
          <cell r="E154">
            <v>20</v>
          </cell>
          <cell r="F154" t="str">
            <v>GUSTAVO NAGUMO</v>
          </cell>
          <cell r="G154" t="str">
            <v>CAMPO</v>
          </cell>
          <cell r="H154" t="str">
            <v>EQUIPOS PROPIOS</v>
          </cell>
          <cell r="I154" t="str">
            <v>AGR</v>
          </cell>
          <cell r="J154" t="str">
            <v>-</v>
          </cell>
          <cell r="K154" t="str">
            <v>-</v>
          </cell>
          <cell r="L154" t="str">
            <v>-</v>
          </cell>
        </row>
        <row r="155">
          <cell r="B155">
            <v>702095</v>
          </cell>
          <cell r="C155" t="str">
            <v>HP 02 CARRETA DE CANA MEC</v>
          </cell>
          <cell r="D155" t="str">
            <v>702095-HP 02 CARRETA DE CANA MEC</v>
          </cell>
          <cell r="E155">
            <v>20</v>
          </cell>
          <cell r="F155" t="str">
            <v>GUSTAVO NAGUMO</v>
          </cell>
          <cell r="G155" t="str">
            <v>CAMPO</v>
          </cell>
          <cell r="H155" t="str">
            <v>EQUIPOS PROPIOS</v>
          </cell>
          <cell r="I155" t="str">
            <v>AGR</v>
          </cell>
          <cell r="J155" t="str">
            <v>-</v>
          </cell>
          <cell r="K155" t="str">
            <v>-</v>
          </cell>
          <cell r="L155" t="str">
            <v>-</v>
          </cell>
        </row>
        <row r="156">
          <cell r="B156">
            <v>702096</v>
          </cell>
          <cell r="C156" t="str">
            <v>HP 03 CARRETA TRANSBORDO</v>
          </cell>
          <cell r="D156" t="str">
            <v>702096-HP 03 CARRETA TRANSBORDO</v>
          </cell>
          <cell r="E156">
            <v>20</v>
          </cell>
          <cell r="F156" t="str">
            <v>GUSTAVO NAGUMO</v>
          </cell>
          <cell r="G156" t="str">
            <v>CAMPO</v>
          </cell>
          <cell r="H156" t="str">
            <v>EQUIPOS PROPIOS</v>
          </cell>
          <cell r="I156" t="str">
            <v>AGR</v>
          </cell>
          <cell r="J156" t="str">
            <v>-</v>
          </cell>
          <cell r="K156" t="str">
            <v>-</v>
          </cell>
          <cell r="L156" t="str">
            <v>-</v>
          </cell>
        </row>
        <row r="157">
          <cell r="B157">
            <v>702098</v>
          </cell>
          <cell r="C157" t="str">
            <v>HP05 DOLLY</v>
          </cell>
          <cell r="D157" t="str">
            <v>702098-HP05 DOLLY</v>
          </cell>
          <cell r="E157">
            <v>20</v>
          </cell>
          <cell r="F157" t="str">
            <v>GUSTAVO NAGUMO</v>
          </cell>
          <cell r="G157" t="str">
            <v>CAMPO</v>
          </cell>
          <cell r="H157" t="str">
            <v>EQUIPOS PROPIOS</v>
          </cell>
          <cell r="I157" t="str">
            <v>AGR</v>
          </cell>
          <cell r="J157" t="str">
            <v>-</v>
          </cell>
          <cell r="K157" t="str">
            <v>-</v>
          </cell>
          <cell r="L157" t="str">
            <v>-</v>
          </cell>
        </row>
        <row r="158">
          <cell r="B158">
            <v>702117</v>
          </cell>
          <cell r="C158" t="str">
            <v>KP18 MICRO ONIBUS 4 CILIN</v>
          </cell>
          <cell r="D158" t="str">
            <v>702117-KP18 MICRO ONIBUS 4 CILIN</v>
          </cell>
          <cell r="E158">
            <v>20</v>
          </cell>
          <cell r="F158" t="str">
            <v>GUSTAVO NAGUMO</v>
          </cell>
          <cell r="G158" t="str">
            <v>CAMPO</v>
          </cell>
          <cell r="H158" t="str">
            <v>EQUIPOS PROPIOS</v>
          </cell>
          <cell r="I158" t="str">
            <v>AGR</v>
          </cell>
          <cell r="J158" t="str">
            <v>-</v>
          </cell>
          <cell r="K158" t="str">
            <v>-</v>
          </cell>
          <cell r="L158" t="str">
            <v>-</v>
          </cell>
        </row>
        <row r="159">
          <cell r="B159">
            <v>702118</v>
          </cell>
          <cell r="C159" t="str">
            <v>KP19 VEIC COMBUS FLEX</v>
          </cell>
          <cell r="D159" t="str">
            <v>702118-KP19 VEIC COMBUS FLEX</v>
          </cell>
          <cell r="E159">
            <v>20</v>
          </cell>
          <cell r="F159" t="str">
            <v>GUSTAVO NAGUMO</v>
          </cell>
          <cell r="G159" t="str">
            <v>CAMPO</v>
          </cell>
          <cell r="H159" t="str">
            <v>EQUIPOS PROPIOS</v>
          </cell>
          <cell r="I159" t="str">
            <v>AGR</v>
          </cell>
          <cell r="J159" t="str">
            <v>-</v>
          </cell>
          <cell r="K159" t="str">
            <v>-</v>
          </cell>
          <cell r="L159" t="str">
            <v>-</v>
          </cell>
        </row>
        <row r="160">
          <cell r="B160">
            <v>702119</v>
          </cell>
          <cell r="C160" t="str">
            <v>KP20 PU 4 CIL FLEX 4WD</v>
          </cell>
          <cell r="D160" t="str">
            <v>702119-KP20 PU 4 CIL FLEX 4WD</v>
          </cell>
          <cell r="E160">
            <v>20</v>
          </cell>
          <cell r="F160" t="str">
            <v>GUSTAVO NAGUMO</v>
          </cell>
          <cell r="G160" t="str">
            <v>CAMPO</v>
          </cell>
          <cell r="H160" t="str">
            <v>EQUIPOS PROPIOS</v>
          </cell>
          <cell r="I160" t="str">
            <v>AGR</v>
          </cell>
          <cell r="J160" t="str">
            <v>-</v>
          </cell>
          <cell r="K160" t="str">
            <v>-</v>
          </cell>
          <cell r="L160" t="str">
            <v>-</v>
          </cell>
        </row>
        <row r="161">
          <cell r="B161">
            <v>702120</v>
          </cell>
          <cell r="C161" t="str">
            <v>KP21 SUV 6 CIL FLEX 4WD</v>
          </cell>
          <cell r="D161" t="str">
            <v>702120-KP21 SUV 6 CIL FLEX 4WD</v>
          </cell>
          <cell r="E161">
            <v>20</v>
          </cell>
          <cell r="F161" t="str">
            <v>GUSTAVO NAGUMO</v>
          </cell>
          <cell r="G161" t="str">
            <v>CAMPO</v>
          </cell>
          <cell r="H161" t="str">
            <v>EQUIPOS PROPIOS</v>
          </cell>
          <cell r="I161" t="str">
            <v>AGR</v>
          </cell>
          <cell r="J161" t="str">
            <v>-</v>
          </cell>
          <cell r="K161" t="str">
            <v>-</v>
          </cell>
          <cell r="L161" t="str">
            <v>-</v>
          </cell>
        </row>
        <row r="162">
          <cell r="B162">
            <v>702125</v>
          </cell>
          <cell r="C162" t="str">
            <v>LP05 GRUA 0-10000 KG</v>
          </cell>
          <cell r="D162" t="str">
            <v>702125-LP05 GRUA 0-10000 KG</v>
          </cell>
          <cell r="E162">
            <v>20</v>
          </cell>
          <cell r="F162" t="str">
            <v>GUSTAVO NAGUMO</v>
          </cell>
          <cell r="G162" t="str">
            <v>CAMPO</v>
          </cell>
          <cell r="H162" t="str">
            <v>EQUIPOS PROPIOS</v>
          </cell>
          <cell r="I162" t="str">
            <v>AGR</v>
          </cell>
          <cell r="J162" t="str">
            <v>-</v>
          </cell>
          <cell r="K162" t="str">
            <v>-</v>
          </cell>
          <cell r="L162" t="str">
            <v>-</v>
          </cell>
        </row>
        <row r="163">
          <cell r="B163">
            <v>702129</v>
          </cell>
          <cell r="C163" t="str">
            <v>LP09 MOTONIVELA 125-200HP</v>
          </cell>
          <cell r="D163" t="str">
            <v>702129-LP09 MOTONIVELA 125-200HP</v>
          </cell>
          <cell r="E163">
            <v>20</v>
          </cell>
          <cell r="F163" t="str">
            <v>GUSTAVO NAGUMO</v>
          </cell>
          <cell r="G163" t="str">
            <v>CAMPO</v>
          </cell>
          <cell r="H163" t="str">
            <v>EQUIPOS PROPIOS</v>
          </cell>
          <cell r="I163" t="str">
            <v>AGR</v>
          </cell>
          <cell r="J163" t="str">
            <v>-</v>
          </cell>
          <cell r="K163" t="str">
            <v>-</v>
          </cell>
          <cell r="L163" t="str">
            <v>-</v>
          </cell>
        </row>
        <row r="164">
          <cell r="B164">
            <v>702151</v>
          </cell>
          <cell r="C164" t="str">
            <v>MP04 MOTOSERRA</v>
          </cell>
          <cell r="D164" t="str">
            <v>702151-MP04 MOTOSERRA</v>
          </cell>
          <cell r="E164">
            <v>20</v>
          </cell>
          <cell r="F164" t="str">
            <v>GUSTAVO NAGUMO</v>
          </cell>
          <cell r="G164" t="str">
            <v>CAMPO</v>
          </cell>
          <cell r="H164" t="str">
            <v>EQUIPOS PROPIOS</v>
          </cell>
          <cell r="I164" t="str">
            <v>AGR</v>
          </cell>
          <cell r="J164" t="str">
            <v>-</v>
          </cell>
          <cell r="K164" t="str">
            <v>-</v>
          </cell>
          <cell r="L164" t="str">
            <v>-</v>
          </cell>
        </row>
        <row r="165">
          <cell r="B165">
            <v>702160</v>
          </cell>
          <cell r="C165" t="str">
            <v>NP01 PULVERIZADOR</v>
          </cell>
          <cell r="D165" t="str">
            <v>702160-NP01 PULVERIZADOR</v>
          </cell>
          <cell r="E165">
            <v>20</v>
          </cell>
          <cell r="F165" t="str">
            <v>GUSTAVO NAGUMO</v>
          </cell>
          <cell r="G165" t="str">
            <v>CAMPO</v>
          </cell>
          <cell r="H165" t="str">
            <v>EQUIPOS PROPIOS</v>
          </cell>
          <cell r="I165" t="str">
            <v>AGR</v>
          </cell>
          <cell r="J165" t="str">
            <v>-</v>
          </cell>
          <cell r="K165" t="str">
            <v>-</v>
          </cell>
          <cell r="L165" t="str">
            <v>-</v>
          </cell>
        </row>
        <row r="166">
          <cell r="B166">
            <v>702164</v>
          </cell>
          <cell r="C166" t="str">
            <v>NP05 CULTIVADOR GRAN</v>
          </cell>
          <cell r="D166" t="str">
            <v>702164-NP05 CULTIVADOR GRAN</v>
          </cell>
          <cell r="E166">
            <v>20</v>
          </cell>
          <cell r="F166" t="str">
            <v>GUSTAVO NAGUMO</v>
          </cell>
          <cell r="G166" t="str">
            <v>CAMPO</v>
          </cell>
          <cell r="H166" t="str">
            <v>EQUIPOS PROPIOS</v>
          </cell>
          <cell r="I166" t="str">
            <v>AGR</v>
          </cell>
          <cell r="J166" t="str">
            <v>-</v>
          </cell>
          <cell r="K166" t="str">
            <v>-</v>
          </cell>
          <cell r="L166" t="str">
            <v>-</v>
          </cell>
        </row>
        <row r="167">
          <cell r="B167">
            <v>702168</v>
          </cell>
          <cell r="C167" t="str">
            <v>NP09 CHAPEADORA 1-4 CPOS</v>
          </cell>
          <cell r="D167" t="str">
            <v>702168-NP09 CHAPEADORA 1-4 CPOS</v>
          </cell>
          <cell r="E167">
            <v>20</v>
          </cell>
          <cell r="F167" t="str">
            <v>GUSTAVO NAGUMO</v>
          </cell>
          <cell r="G167" t="str">
            <v>CAMPO</v>
          </cell>
          <cell r="H167" t="str">
            <v>EQUIPOS PROPIOS</v>
          </cell>
          <cell r="I167" t="str">
            <v>AGR</v>
          </cell>
          <cell r="J167" t="str">
            <v>-</v>
          </cell>
          <cell r="K167" t="str">
            <v>-</v>
          </cell>
        </row>
        <row r="168">
          <cell r="B168">
            <v>702170</v>
          </cell>
          <cell r="C168" t="str">
            <v>NP11 ARADO</v>
          </cell>
          <cell r="D168" t="str">
            <v>702170-NP11 ARADO</v>
          </cell>
          <cell r="E168">
            <v>20</v>
          </cell>
          <cell r="F168" t="str">
            <v>GUSTAVO NAGUMO</v>
          </cell>
          <cell r="G168" t="str">
            <v>CAMPO</v>
          </cell>
          <cell r="H168" t="str">
            <v>EQUIPOS PROPIOS</v>
          </cell>
          <cell r="I168" t="str">
            <v>AGR</v>
          </cell>
          <cell r="J168" t="str">
            <v>-</v>
          </cell>
          <cell r="K168" t="str">
            <v>-</v>
          </cell>
          <cell r="L168" t="str">
            <v>-</v>
          </cell>
        </row>
        <row r="169">
          <cell r="B169">
            <v>702171</v>
          </cell>
          <cell r="C169" t="str">
            <v>NP12 SUBSOLADOR</v>
          </cell>
          <cell r="D169" t="str">
            <v>702171-NP12 SUBSOLADOR</v>
          </cell>
          <cell r="E169">
            <v>20</v>
          </cell>
          <cell r="F169" t="str">
            <v>GUSTAVO NAGUMO</v>
          </cell>
          <cell r="G169" t="str">
            <v>CAMPO</v>
          </cell>
          <cell r="H169" t="str">
            <v>EQUIPOS PROPIOS</v>
          </cell>
          <cell r="I169" t="str">
            <v>AGR</v>
          </cell>
          <cell r="J169" t="str">
            <v>-</v>
          </cell>
          <cell r="K169" t="str">
            <v>-</v>
          </cell>
          <cell r="L169" t="str">
            <v>-</v>
          </cell>
        </row>
        <row r="170">
          <cell r="B170">
            <v>702172</v>
          </cell>
          <cell r="C170" t="str">
            <v>NP13 GRADE MEDIA E PESADA</v>
          </cell>
          <cell r="D170" t="str">
            <v>702172-NP13 GRADE MEDIA E PESADA</v>
          </cell>
          <cell r="E170">
            <v>20</v>
          </cell>
          <cell r="F170" t="str">
            <v>GUSTAVO NAGUMO</v>
          </cell>
          <cell r="G170" t="str">
            <v>CAMPO</v>
          </cell>
          <cell r="H170" t="str">
            <v>EQUIPOS PROPIOS</v>
          </cell>
          <cell r="I170" t="str">
            <v>AGR</v>
          </cell>
          <cell r="J170" t="str">
            <v>-</v>
          </cell>
          <cell r="K170" t="str">
            <v>-</v>
          </cell>
          <cell r="L170" t="str">
            <v>-</v>
          </cell>
        </row>
        <row r="171">
          <cell r="B171">
            <v>702174</v>
          </cell>
          <cell r="C171" t="str">
            <v>NP15 SULCADOR</v>
          </cell>
          <cell r="D171" t="str">
            <v>702174-NP15 SULCADOR</v>
          </cell>
          <cell r="E171">
            <v>20</v>
          </cell>
          <cell r="F171" t="str">
            <v>GUSTAVO NAGUMO</v>
          </cell>
          <cell r="G171" t="str">
            <v>CAMPO</v>
          </cell>
          <cell r="H171" t="str">
            <v>EQUIPOS PROPIOS</v>
          </cell>
          <cell r="I171" t="str">
            <v>AGR</v>
          </cell>
          <cell r="J171" t="str">
            <v>-</v>
          </cell>
          <cell r="K171" t="str">
            <v>-</v>
          </cell>
          <cell r="L171" t="str">
            <v>-</v>
          </cell>
        </row>
        <row r="172">
          <cell r="B172">
            <v>702178</v>
          </cell>
          <cell r="C172" t="str">
            <v>NP19 GRADES LEVES</v>
          </cell>
          <cell r="D172" t="str">
            <v>702178-NP19 GRADES LEVES</v>
          </cell>
          <cell r="E172">
            <v>20</v>
          </cell>
          <cell r="F172" t="str">
            <v>GUSTAVO NAGUMO</v>
          </cell>
          <cell r="G172" t="str">
            <v>CAMPO</v>
          </cell>
          <cell r="H172" t="str">
            <v>EQUIPOS PROPIOS</v>
          </cell>
          <cell r="I172" t="str">
            <v>AGR</v>
          </cell>
          <cell r="J172" t="str">
            <v>-</v>
          </cell>
          <cell r="K172" t="str">
            <v>-</v>
          </cell>
          <cell r="L172" t="str">
            <v>-</v>
          </cell>
        </row>
        <row r="173">
          <cell r="B173">
            <v>702179</v>
          </cell>
          <cell r="C173" t="str">
            <v>NP20 COBRIDOR CANA</v>
          </cell>
          <cell r="D173" t="str">
            <v>702179-NP20 COBRIDOR CANA</v>
          </cell>
          <cell r="E173">
            <v>20</v>
          </cell>
          <cell r="F173" t="str">
            <v>GUSTAVO NAGUMO</v>
          </cell>
          <cell r="G173" t="str">
            <v>CAMPO</v>
          </cell>
          <cell r="H173" t="str">
            <v>EQUIPOS PROPIOS</v>
          </cell>
          <cell r="I173" t="str">
            <v>AGR</v>
          </cell>
          <cell r="J173" t="str">
            <v>-</v>
          </cell>
          <cell r="K173" t="str">
            <v>-</v>
          </cell>
          <cell r="L173" t="str">
            <v>-</v>
          </cell>
        </row>
        <row r="174">
          <cell r="B174">
            <v>702180</v>
          </cell>
          <cell r="C174" t="str">
            <v>NP21 DISTRIB DE CANA</v>
          </cell>
          <cell r="D174" t="str">
            <v>702180-NP21 DISTRIB DE CANA</v>
          </cell>
          <cell r="E174">
            <v>20</v>
          </cell>
          <cell r="F174" t="str">
            <v>GUSTAVO NAGUMO</v>
          </cell>
          <cell r="G174" t="str">
            <v>CAMPO</v>
          </cell>
          <cell r="H174" t="str">
            <v>EQUIPOS PROPIOS</v>
          </cell>
          <cell r="I174" t="str">
            <v>AGR</v>
          </cell>
          <cell r="J174" t="str">
            <v>-</v>
          </cell>
          <cell r="K174" t="str">
            <v>-</v>
          </cell>
          <cell r="L174" t="str">
            <v>-</v>
          </cell>
        </row>
        <row r="175">
          <cell r="B175">
            <v>702187</v>
          </cell>
          <cell r="C175" t="str">
            <v>NP27 COMPOSTADOR</v>
          </cell>
          <cell r="D175" t="str">
            <v>702187-NP27 COMPOSTADOR</v>
          </cell>
          <cell r="E175">
            <v>20</v>
          </cell>
          <cell r="F175" t="str">
            <v>GUSTAVO NAGUMO</v>
          </cell>
          <cell r="G175" t="str">
            <v>CAMPO</v>
          </cell>
          <cell r="H175" t="str">
            <v>EQUIPOS PROPIOS</v>
          </cell>
          <cell r="I175" t="str">
            <v>AGR</v>
          </cell>
          <cell r="J175" t="str">
            <v>-</v>
          </cell>
          <cell r="K175" t="str">
            <v>-</v>
          </cell>
          <cell r="L175" t="str">
            <v>-</v>
          </cell>
        </row>
        <row r="176">
          <cell r="B176">
            <v>702188</v>
          </cell>
          <cell r="C176" t="str">
            <v>NP29 ENLEIRADOR DE PALHA</v>
          </cell>
          <cell r="D176" t="str">
            <v>702188-NP29 ENLEIRADOR DE PALHA</v>
          </cell>
          <cell r="E176">
            <v>20</v>
          </cell>
          <cell r="F176" t="str">
            <v>GUSTAVO NAGUMO</v>
          </cell>
          <cell r="G176" t="str">
            <v>CAMPO</v>
          </cell>
          <cell r="H176" t="str">
            <v>EQUIPOS PROPIOS</v>
          </cell>
          <cell r="I176" t="str">
            <v>AGR</v>
          </cell>
          <cell r="J176" t="str">
            <v>-</v>
          </cell>
          <cell r="K176" t="str">
            <v>-</v>
          </cell>
          <cell r="L176" t="str">
            <v>-</v>
          </cell>
        </row>
        <row r="177">
          <cell r="B177">
            <v>703006</v>
          </cell>
          <cell r="C177" t="str">
            <v>AR06 TR AG 51-75 HP 4WD</v>
          </cell>
          <cell r="D177" t="str">
            <v>703006-AR06 TR AG 51-75 HP 4WD</v>
          </cell>
          <cell r="E177">
            <v>20</v>
          </cell>
          <cell r="F177" t="str">
            <v>GUSTAVO NAGUMO</v>
          </cell>
          <cell r="G177" t="str">
            <v>CAMPO</v>
          </cell>
          <cell r="H177" t="str">
            <v>EQUIPOS ALQUILADOS</v>
          </cell>
          <cell r="I177" t="str">
            <v>AGR</v>
          </cell>
          <cell r="J177" t="str">
            <v>-</v>
          </cell>
          <cell r="K177" t="str">
            <v>-</v>
          </cell>
          <cell r="L177" t="str">
            <v>-</v>
          </cell>
        </row>
        <row r="178">
          <cell r="B178">
            <v>703008</v>
          </cell>
          <cell r="C178" t="str">
            <v>AR08 TR Ag 76-100 HP 4WD</v>
          </cell>
          <cell r="D178" t="str">
            <v>703008-AR08 TR Ag 76-100 HP 4WD</v>
          </cell>
          <cell r="E178">
            <v>20</v>
          </cell>
          <cell r="F178" t="str">
            <v>GUSTAVO NAGUMO</v>
          </cell>
          <cell r="G178" t="str">
            <v>CAMPO</v>
          </cell>
          <cell r="H178" t="str">
            <v>EQUIPOS ALQUILADOS</v>
          </cell>
          <cell r="I178" t="str">
            <v>AGR</v>
          </cell>
          <cell r="J178" t="str">
            <v>-</v>
          </cell>
          <cell r="K178" t="str">
            <v>-</v>
          </cell>
          <cell r="L178" t="str">
            <v>-</v>
          </cell>
        </row>
        <row r="179">
          <cell r="B179">
            <v>703010</v>
          </cell>
          <cell r="C179" t="str">
            <v>AR10 TR Ag 101-125 HP 4WD</v>
          </cell>
          <cell r="D179" t="str">
            <v>703010-AR10 TR Ag 101-125 HP 4WD</v>
          </cell>
          <cell r="E179">
            <v>20</v>
          </cell>
          <cell r="F179" t="str">
            <v>GUSTAVO NAGUMO</v>
          </cell>
          <cell r="G179" t="str">
            <v>CAMPO</v>
          </cell>
          <cell r="H179" t="str">
            <v>EQUIPOS ALQUILADOS</v>
          </cell>
          <cell r="I179" t="str">
            <v>AGR</v>
          </cell>
          <cell r="J179" t="str">
            <v>-</v>
          </cell>
          <cell r="K179" t="str">
            <v>-</v>
          </cell>
          <cell r="L179" t="str">
            <v>-</v>
          </cell>
        </row>
        <row r="180">
          <cell r="B180">
            <v>703015</v>
          </cell>
          <cell r="C180" t="str">
            <v>AR15 TR MI 126-150 HP 4WD</v>
          </cell>
          <cell r="D180" t="str">
            <v>703015-AR15 TR MI 126-150 HP 4WD</v>
          </cell>
          <cell r="E180">
            <v>20</v>
          </cell>
          <cell r="F180" t="str">
            <v>GUSTAVO NAGUMO</v>
          </cell>
          <cell r="G180" t="str">
            <v>CAMPO</v>
          </cell>
          <cell r="H180" t="str">
            <v>EQUIPOS ALQUILADOS</v>
          </cell>
          <cell r="I180" t="str">
            <v>AGR</v>
          </cell>
          <cell r="J180" t="str">
            <v>-</v>
          </cell>
          <cell r="K180" t="str">
            <v>-</v>
          </cell>
          <cell r="L180" t="str">
            <v>-</v>
          </cell>
        </row>
        <row r="181">
          <cell r="B181">
            <v>703019</v>
          </cell>
          <cell r="C181" t="str">
            <v>AR19 TR MI 151-175 HP 4WD</v>
          </cell>
          <cell r="D181" t="str">
            <v>703019-AR19 TR MI 151-175 HP 4WD</v>
          </cell>
          <cell r="E181">
            <v>20</v>
          </cell>
          <cell r="F181" t="str">
            <v>GUSTAVO NAGUMO</v>
          </cell>
          <cell r="G181" t="str">
            <v>CAMPO</v>
          </cell>
          <cell r="H181" t="str">
            <v>EQUIPOS ALQUILADOS</v>
          </cell>
          <cell r="I181" t="str">
            <v>AGR</v>
          </cell>
          <cell r="J181" t="str">
            <v>-</v>
          </cell>
          <cell r="K181" t="str">
            <v>-</v>
          </cell>
          <cell r="L181" t="str">
            <v>-</v>
          </cell>
        </row>
        <row r="182">
          <cell r="B182">
            <v>703022</v>
          </cell>
          <cell r="C182" t="str">
            <v>AR22 TR MI 176-200 HP 4WD</v>
          </cell>
          <cell r="D182" t="str">
            <v>703022-AR22 TR MI 176-200 HP 4WD</v>
          </cell>
          <cell r="E182">
            <v>20</v>
          </cell>
          <cell r="F182" t="str">
            <v>GUSTAVO NAGUMO</v>
          </cell>
          <cell r="G182" t="str">
            <v>CAMPO</v>
          </cell>
          <cell r="H182" t="str">
            <v>EQUIPOS ALQUILADOS</v>
          </cell>
          <cell r="I182" t="str">
            <v>AGR</v>
          </cell>
          <cell r="J182" t="str">
            <v>-</v>
          </cell>
          <cell r="K182" t="str">
            <v>-</v>
          </cell>
          <cell r="L182" t="str">
            <v>-</v>
          </cell>
        </row>
        <row r="183">
          <cell r="B183">
            <v>703024</v>
          </cell>
          <cell r="C183" t="str">
            <v>AR24 TR AG 201-225 HP 4WD</v>
          </cell>
          <cell r="D183" t="str">
            <v>703024-AR24 TR AG 201-225 HP 4WD</v>
          </cell>
          <cell r="E183">
            <v>20</v>
          </cell>
          <cell r="F183" t="str">
            <v>GUSTAVO NAGUMO</v>
          </cell>
          <cell r="G183" t="str">
            <v>CAMPO</v>
          </cell>
          <cell r="H183" t="str">
            <v>EQUIPOS ALQUILADOS</v>
          </cell>
          <cell r="I183" t="str">
            <v>AGR</v>
          </cell>
          <cell r="J183" t="str">
            <v>-</v>
          </cell>
          <cell r="K183" t="str">
            <v>-</v>
          </cell>
          <cell r="L183" t="str">
            <v>-</v>
          </cell>
        </row>
        <row r="184">
          <cell r="B184">
            <v>703035</v>
          </cell>
          <cell r="C184" t="str">
            <v>BR01 COLHEDORA ESTEIRA</v>
          </cell>
          <cell r="D184" t="str">
            <v>703035-BR01 COLHEDORA ESTEIRA</v>
          </cell>
          <cell r="E184">
            <v>20</v>
          </cell>
          <cell r="F184" t="str">
            <v>GUSTAVO NAGUMO</v>
          </cell>
          <cell r="G184" t="str">
            <v>CAMPO</v>
          </cell>
          <cell r="H184" t="str">
            <v>EQUIPOS ALQUILADOS</v>
          </cell>
          <cell r="I184" t="str">
            <v>AGR</v>
          </cell>
          <cell r="J184" t="str">
            <v>-</v>
          </cell>
          <cell r="K184" t="str">
            <v>-</v>
          </cell>
          <cell r="L184" t="str">
            <v>-</v>
          </cell>
        </row>
        <row r="185">
          <cell r="B185">
            <v>703063</v>
          </cell>
          <cell r="C185" t="str">
            <v>ER10CAMINHÃO BOMBEIRO 4x6</v>
          </cell>
          <cell r="D185" t="str">
            <v>703063-ER10CAMINHÃO BOMBEIRO 4x6</v>
          </cell>
          <cell r="E185">
            <v>20</v>
          </cell>
          <cell r="F185" t="str">
            <v>GUSTAVO NAGUMO</v>
          </cell>
          <cell r="G185" t="str">
            <v>CAMPO</v>
          </cell>
          <cell r="H185" t="str">
            <v>EQUIPOS ALQUILADOS</v>
          </cell>
          <cell r="I185" t="str">
            <v>AGR</v>
          </cell>
          <cell r="J185" t="str">
            <v>-</v>
          </cell>
          <cell r="K185" t="str">
            <v>-</v>
          </cell>
          <cell r="L185" t="str">
            <v>-</v>
          </cell>
        </row>
        <row r="186">
          <cell r="B186">
            <v>703065</v>
          </cell>
          <cell r="C186" t="str">
            <v>ER12 CAMINHÃO COMBOIO</v>
          </cell>
          <cell r="D186" t="str">
            <v>703065-ER12 CAMINHÃO COMBOIO</v>
          </cell>
          <cell r="E186">
            <v>20</v>
          </cell>
          <cell r="F186" t="str">
            <v>GUSTAVO NAGUMO</v>
          </cell>
          <cell r="G186" t="str">
            <v>CAMPO</v>
          </cell>
          <cell r="H186" t="str">
            <v>EQUIPOS ALQUILADOS</v>
          </cell>
          <cell r="I186" t="str">
            <v>AGR</v>
          </cell>
          <cell r="J186" t="str">
            <v>-</v>
          </cell>
          <cell r="K186" t="str">
            <v>-</v>
          </cell>
          <cell r="L186" t="str">
            <v>-</v>
          </cell>
        </row>
        <row r="187">
          <cell r="B187">
            <v>703068</v>
          </cell>
          <cell r="C187" t="str">
            <v>ER15 CAMINHÃO OFICINA</v>
          </cell>
          <cell r="D187" t="str">
            <v>703068-ER15 CAMINHÃO OFICINA</v>
          </cell>
          <cell r="E187">
            <v>20</v>
          </cell>
          <cell r="F187" t="str">
            <v>GUSTAVO NAGUMO</v>
          </cell>
          <cell r="G187" t="str">
            <v>CAMPO</v>
          </cell>
          <cell r="H187" t="str">
            <v>EQUIPOS ALQUILADOS</v>
          </cell>
          <cell r="I187" t="str">
            <v>AGR</v>
          </cell>
          <cell r="J187" t="str">
            <v>-</v>
          </cell>
          <cell r="K187" t="str">
            <v>-</v>
          </cell>
          <cell r="L187" t="str">
            <v>-</v>
          </cell>
        </row>
        <row r="188">
          <cell r="B188">
            <v>703070</v>
          </cell>
          <cell r="C188" t="str">
            <v>FR02 CB CANA 91K-135K KG</v>
          </cell>
          <cell r="D188" t="str">
            <v>703070-FR02 CB CANA 91K-135K KG</v>
          </cell>
          <cell r="E188">
            <v>20</v>
          </cell>
          <cell r="F188" t="str">
            <v>GUSTAVO NAGUMO</v>
          </cell>
          <cell r="G188" t="str">
            <v>CAMPO</v>
          </cell>
          <cell r="H188" t="str">
            <v>EQUIPOS ALQUILADOS</v>
          </cell>
          <cell r="I188" t="str">
            <v>AGR</v>
          </cell>
          <cell r="J188" t="str">
            <v>-</v>
          </cell>
          <cell r="K188" t="str">
            <v>-</v>
          </cell>
          <cell r="L188" t="str">
            <v>-</v>
          </cell>
        </row>
        <row r="189">
          <cell r="B189">
            <v>703091</v>
          </cell>
          <cell r="C189" t="str">
            <v>GR17 TANQUE  3.780-11.350 LTS</v>
          </cell>
          <cell r="D189" t="str">
            <v>703091-GR17 TANQUE  3.780-11.350 LTS</v>
          </cell>
          <cell r="E189">
            <v>20</v>
          </cell>
          <cell r="F189" t="str">
            <v>GUSTAVO NAGUMO</v>
          </cell>
          <cell r="G189" t="str">
            <v>CAMPO</v>
          </cell>
          <cell r="H189" t="str">
            <v>EQUIPOS ALQUILADOS</v>
          </cell>
          <cell r="I189" t="str">
            <v>AGR</v>
          </cell>
          <cell r="J189" t="str">
            <v>-</v>
          </cell>
          <cell r="K189" t="str">
            <v>-</v>
          </cell>
          <cell r="L189" t="str">
            <v>-</v>
          </cell>
        </row>
        <row r="190">
          <cell r="B190">
            <v>703117</v>
          </cell>
          <cell r="C190" t="str">
            <v>KR18 MICRO ONIBUS 4 CILIN</v>
          </cell>
          <cell r="D190" t="str">
            <v>703117-KR18 MICRO ONIBUS 4 CILIN</v>
          </cell>
          <cell r="E190">
            <v>20</v>
          </cell>
          <cell r="F190" t="str">
            <v>GUSTAVO NAGUMO</v>
          </cell>
          <cell r="G190" t="str">
            <v>CAMPO</v>
          </cell>
          <cell r="H190" t="str">
            <v>EQUIPOS ALQUILADOS</v>
          </cell>
          <cell r="I190" t="str">
            <v>AGR</v>
          </cell>
          <cell r="J190" t="str">
            <v>-</v>
          </cell>
          <cell r="K190" t="str">
            <v>-</v>
          </cell>
          <cell r="L190" t="str">
            <v>-</v>
          </cell>
        </row>
        <row r="191">
          <cell r="B191">
            <v>703118</v>
          </cell>
          <cell r="C191" t="str">
            <v>KR19 VEÍC COMBUS FLEX</v>
          </cell>
          <cell r="D191" t="str">
            <v>703118-KR19 VEÍC COMBUS FLEX</v>
          </cell>
          <cell r="E191">
            <v>20</v>
          </cell>
          <cell r="F191" t="str">
            <v>GUSTAVO NAGUMO</v>
          </cell>
          <cell r="G191" t="str">
            <v>CAMPO</v>
          </cell>
          <cell r="H191" t="str">
            <v>EQUIPOS ALQUILADOS</v>
          </cell>
          <cell r="I191" t="str">
            <v>AGR</v>
          </cell>
          <cell r="J191" t="str">
            <v>-</v>
          </cell>
          <cell r="K191" t="str">
            <v>-</v>
          </cell>
          <cell r="L191" t="str">
            <v>-</v>
          </cell>
        </row>
        <row r="192">
          <cell r="B192">
            <v>703126</v>
          </cell>
          <cell r="C192" t="str">
            <v>LR06 GRUA 11K-20K KG</v>
          </cell>
          <cell r="D192" t="str">
            <v>703126-LR06 GRUA 11K-20K KG</v>
          </cell>
          <cell r="E192">
            <v>20</v>
          </cell>
          <cell r="F192" t="str">
            <v>GUSTAVO NAGUMO</v>
          </cell>
          <cell r="G192" t="str">
            <v>CAMPO</v>
          </cell>
          <cell r="H192" t="str">
            <v>EQUIPOS ALQUILADOS</v>
          </cell>
          <cell r="I192" t="str">
            <v>AGR</v>
          </cell>
          <cell r="J192" t="str">
            <v>-</v>
          </cell>
          <cell r="K192" t="str">
            <v>-</v>
          </cell>
          <cell r="L192" t="str">
            <v>-</v>
          </cell>
        </row>
        <row r="193">
          <cell r="B193">
            <v>501002</v>
          </cell>
          <cell r="C193" t="str">
            <v>PREPARO DE SOLO</v>
          </cell>
          <cell r="D193" t="str">
            <v>501002-PREPARO DE SOLO</v>
          </cell>
          <cell r="E193">
            <v>20</v>
          </cell>
          <cell r="F193" t="str">
            <v>MIGUEL GARCIA</v>
          </cell>
          <cell r="G193" t="str">
            <v>CAMPO</v>
          </cell>
          <cell r="H193" t="str">
            <v>OPERACION AGRICOLA PRÓPRIO</v>
          </cell>
          <cell r="I193" t="str">
            <v>AGR</v>
          </cell>
          <cell r="J193" t="str">
            <v>-</v>
          </cell>
          <cell r="K193" t="str">
            <v>-</v>
          </cell>
          <cell r="L193" t="str">
            <v>-</v>
          </cell>
        </row>
        <row r="194">
          <cell r="B194">
            <v>501008</v>
          </cell>
          <cell r="C194" t="str">
            <v>PLANTIO DE CANA</v>
          </cell>
          <cell r="D194" t="str">
            <v>501008-PLANTIO DE CANA</v>
          </cell>
          <cell r="E194">
            <v>20</v>
          </cell>
          <cell r="F194" t="str">
            <v>MIGUEL GARCIA</v>
          </cell>
          <cell r="G194" t="str">
            <v>CAMPO</v>
          </cell>
          <cell r="H194" t="str">
            <v>OPERACION AGRICOLA PRÓPRIO</v>
          </cell>
          <cell r="I194" t="str">
            <v>AGR</v>
          </cell>
          <cell r="J194" t="str">
            <v>-</v>
          </cell>
          <cell r="K194" t="str">
            <v>-</v>
          </cell>
          <cell r="L194" t="str">
            <v>-</v>
          </cell>
        </row>
        <row r="195">
          <cell r="B195">
            <v>501010</v>
          </cell>
          <cell r="C195" t="str">
            <v>TRATOS CANA PLANTA</v>
          </cell>
          <cell r="D195" t="str">
            <v>501010-TRATOS CANA PLANTA</v>
          </cell>
          <cell r="E195">
            <v>20</v>
          </cell>
          <cell r="F195" t="str">
            <v>MIGUEL GARCIA</v>
          </cell>
          <cell r="G195" t="str">
            <v>CAMPO</v>
          </cell>
          <cell r="H195" t="str">
            <v>OPERACION AGRICOLA PRÓPRIO</v>
          </cell>
          <cell r="I195" t="str">
            <v>AGR</v>
          </cell>
          <cell r="J195" t="str">
            <v>-</v>
          </cell>
          <cell r="K195" t="str">
            <v>-</v>
          </cell>
          <cell r="L195" t="str">
            <v>-</v>
          </cell>
        </row>
        <row r="196">
          <cell r="B196">
            <v>501012</v>
          </cell>
          <cell r="C196" t="str">
            <v>TRATOS CANA SOCA</v>
          </cell>
          <cell r="D196" t="str">
            <v>501012-TRATOS CANA SOCA</v>
          </cell>
          <cell r="E196">
            <v>20</v>
          </cell>
          <cell r="F196" t="str">
            <v>MIGUEL GARCIA</v>
          </cell>
          <cell r="G196" t="str">
            <v>CAMPO</v>
          </cell>
          <cell r="H196" t="str">
            <v>OPERACION AGRICOLA PRÓPRIO</v>
          </cell>
          <cell r="I196" t="str">
            <v>AGR</v>
          </cell>
          <cell r="J196" t="str">
            <v>-</v>
          </cell>
          <cell r="K196" t="str">
            <v>-</v>
          </cell>
          <cell r="L196" t="str">
            <v>-</v>
          </cell>
        </row>
      </sheetData>
      <sheetData sheetId="11"/>
      <sheetData sheetId="1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LA"/>
      <sheetName val="2013"/>
      <sheetName val="User Orçamentario"/>
      <sheetName val="2014-S-A"/>
      <sheetName val="User 901"/>
      <sheetName val="Desativando"/>
      <sheetName val="CC - 901"/>
      <sheetName val="Datasul"/>
      <sheetName val="Jerarquia CeCo"/>
      <sheetName val="Contas contables"/>
      <sheetName val="Pivot CeCo"/>
      <sheetName val="Grupos CF"/>
    </sheetNames>
    <sheetDataSet>
      <sheetData sheetId="0" refreshError="1"/>
      <sheetData sheetId="1" refreshError="1"/>
      <sheetData sheetId="2" refreshError="1"/>
      <sheetData sheetId="3" refreshError="1">
        <row r="2">
          <cell r="A2">
            <v>0</v>
          </cell>
          <cell r="B2">
            <v>0</v>
          </cell>
          <cell r="C2">
            <v>0</v>
          </cell>
          <cell r="D2">
            <v>0</v>
          </cell>
        </row>
        <row r="3">
          <cell r="A3" t="str">
            <v>UNIDADES DE NEGOCIO</v>
          </cell>
          <cell r="B3">
            <v>0</v>
          </cell>
          <cell r="C3" t="str">
            <v>Custos</v>
          </cell>
          <cell r="D3">
            <v>0</v>
          </cell>
        </row>
        <row r="4">
          <cell r="A4">
            <v>0</v>
          </cell>
          <cell r="B4">
            <v>10</v>
          </cell>
          <cell r="C4" t="str">
            <v>INDUSTRIA</v>
          </cell>
          <cell r="D4">
            <v>0</v>
          </cell>
        </row>
        <row r="5">
          <cell r="A5">
            <v>0</v>
          </cell>
          <cell r="B5">
            <v>20</v>
          </cell>
          <cell r="C5" t="str">
            <v>AGRICOLA</v>
          </cell>
          <cell r="D5">
            <v>0</v>
          </cell>
        </row>
        <row r="6">
          <cell r="A6">
            <v>0</v>
          </cell>
          <cell r="B6">
            <v>30</v>
          </cell>
          <cell r="C6" t="str">
            <v>COMERCIAL</v>
          </cell>
          <cell r="D6">
            <v>0</v>
          </cell>
        </row>
        <row r="7">
          <cell r="A7">
            <v>0</v>
          </cell>
          <cell r="B7">
            <v>40</v>
          </cell>
          <cell r="C7" t="str">
            <v>ADMINISTRATIVO</v>
          </cell>
          <cell r="D7">
            <v>0</v>
          </cell>
        </row>
        <row r="8">
          <cell r="A8" t="str">
            <v>C.CUSTO</v>
          </cell>
          <cell r="B8" t="str">
            <v>UG</v>
          </cell>
          <cell r="C8" t="str">
            <v>DESCRIÇÃO</v>
          </cell>
          <cell r="D8" t="str">
            <v>GESTOR</v>
          </cell>
          <cell r="E8">
            <v>0</v>
          </cell>
        </row>
        <row r="9">
          <cell r="A9" t="str">
            <v>DIRETORIA/CONSELHO/SUPERINTENDENCIA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</row>
        <row r="10">
          <cell r="A10">
            <v>100202</v>
          </cell>
          <cell r="B10">
            <v>40</v>
          </cell>
          <cell r="C10" t="str">
            <v>DIRETOR PRESIDENTE</v>
          </cell>
          <cell r="D10" t="str">
            <v>SALVADOR BIGURIA</v>
          </cell>
        </row>
        <row r="11">
          <cell r="A11" t="str">
            <v>ADMINISTRACAO CORPORATIVA</v>
          </cell>
          <cell r="B11">
            <v>0</v>
          </cell>
          <cell r="C11">
            <v>0</v>
          </cell>
          <cell r="D11">
            <v>0</v>
          </cell>
        </row>
        <row r="12">
          <cell r="A12">
            <v>200102</v>
          </cell>
          <cell r="B12">
            <v>40</v>
          </cell>
          <cell r="C12" t="str">
            <v>ADMINISTRACAO CORPORATIVA</v>
          </cell>
          <cell r="D12" t="str">
            <v>WILLIAM KLINGER</v>
          </cell>
        </row>
        <row r="13">
          <cell r="A13">
            <v>200103</v>
          </cell>
          <cell r="B13">
            <v>40</v>
          </cell>
          <cell r="C13" t="str">
            <v>DESPESAS DE CAPACITAÇÕES</v>
          </cell>
          <cell r="D13" t="str">
            <v>PAOLA LANDERAS</v>
          </cell>
        </row>
        <row r="14">
          <cell r="A14" t="str">
            <v>RECURSOS HUMANOS</v>
          </cell>
          <cell r="B14">
            <v>0</v>
          </cell>
          <cell r="C14">
            <v>0</v>
          </cell>
          <cell r="D14">
            <v>0</v>
          </cell>
        </row>
        <row r="15">
          <cell r="A15">
            <v>200402</v>
          </cell>
          <cell r="B15">
            <v>40</v>
          </cell>
          <cell r="C15" t="str">
            <v>ADMINISTRAÇÃO DE RECURSOS HUMANOS</v>
          </cell>
          <cell r="D15" t="str">
            <v>CELSO SESTO</v>
          </cell>
        </row>
        <row r="16">
          <cell r="A16">
            <v>200410</v>
          </cell>
          <cell r="B16">
            <v>40</v>
          </cell>
          <cell r="C16" t="str">
            <v>ASSISTÊNCIA SOCIAL</v>
          </cell>
          <cell r="D16" t="str">
            <v>CELSO SESTO</v>
          </cell>
        </row>
        <row r="17">
          <cell r="A17">
            <v>300404</v>
          </cell>
          <cell r="B17">
            <v>40</v>
          </cell>
          <cell r="C17" t="str">
            <v>ADMINISTRACAO DE PESSOAL</v>
          </cell>
          <cell r="D17" t="str">
            <v>CELSO SESTO</v>
          </cell>
        </row>
        <row r="18">
          <cell r="A18">
            <v>300410</v>
          </cell>
          <cell r="B18">
            <v>40</v>
          </cell>
          <cell r="C18" t="str">
            <v>MEDICINA DO TRABALHO</v>
          </cell>
          <cell r="D18" t="str">
            <v>CELSO SESTO</v>
          </cell>
        </row>
        <row r="19">
          <cell r="A19">
            <v>300412</v>
          </cell>
          <cell r="B19">
            <v>40</v>
          </cell>
          <cell r="C19" t="str">
            <v>SEGURANCA DO TRABALHO</v>
          </cell>
          <cell r="D19" t="str">
            <v>GABRIEL VIANA</v>
          </cell>
        </row>
        <row r="20">
          <cell r="A20">
            <v>300414</v>
          </cell>
          <cell r="B20">
            <v>40</v>
          </cell>
          <cell r="C20" t="str">
            <v>SEGURANCA PATRIMONIAL</v>
          </cell>
          <cell r="D20" t="str">
            <v>GABRIEL VIANA</v>
          </cell>
        </row>
        <row r="21">
          <cell r="A21">
            <v>300416</v>
          </cell>
          <cell r="B21">
            <v>40</v>
          </cell>
          <cell r="C21" t="str">
            <v>RESTAURANTE</v>
          </cell>
          <cell r="D21" t="str">
            <v>GABRIEL VIANA</v>
          </cell>
        </row>
        <row r="22">
          <cell r="A22" t="str">
            <v>CUSTO E ORÇAMENTO</v>
          </cell>
          <cell r="B22">
            <v>0</v>
          </cell>
          <cell r="C22">
            <v>0</v>
          </cell>
          <cell r="D22">
            <v>0</v>
          </cell>
        </row>
        <row r="23">
          <cell r="A23">
            <v>200602</v>
          </cell>
          <cell r="B23">
            <v>40</v>
          </cell>
          <cell r="C23" t="str">
            <v>PLANEJAMENTO FINANCEIRO</v>
          </cell>
          <cell r="D23" t="str">
            <v>WILLIAN KLINGER</v>
          </cell>
        </row>
        <row r="24">
          <cell r="A24" t="str">
            <v>ADMINISTRAÇÃO DE CONTRATOS</v>
          </cell>
          <cell r="B24">
            <v>0</v>
          </cell>
          <cell r="C24">
            <v>0</v>
          </cell>
          <cell r="D24">
            <v>0</v>
          </cell>
        </row>
        <row r="25">
          <cell r="A25">
            <v>200702</v>
          </cell>
          <cell r="B25">
            <v>40</v>
          </cell>
          <cell r="C25" t="str">
            <v>CONTRATOS</v>
          </cell>
          <cell r="D25" t="str">
            <v>MILTON VIERA</v>
          </cell>
        </row>
        <row r="26">
          <cell r="A26" t="str">
            <v>FINANCEIRO</v>
          </cell>
          <cell r="B26">
            <v>0</v>
          </cell>
          <cell r="C26">
            <v>0</v>
          </cell>
          <cell r="D26">
            <v>0</v>
          </cell>
        </row>
        <row r="27">
          <cell r="A27">
            <v>201404</v>
          </cell>
          <cell r="B27">
            <v>40</v>
          </cell>
          <cell r="C27" t="str">
            <v>TESOURARIA</v>
          </cell>
          <cell r="D27" t="str">
            <v>SILVIO CABRIOTI</v>
          </cell>
        </row>
        <row r="28">
          <cell r="A28" t="str">
            <v>JURIDICO</v>
          </cell>
          <cell r="B28">
            <v>0</v>
          </cell>
          <cell r="C28">
            <v>0</v>
          </cell>
          <cell r="D28">
            <v>0</v>
          </cell>
        </row>
        <row r="29">
          <cell r="A29">
            <v>201602</v>
          </cell>
          <cell r="B29">
            <v>40</v>
          </cell>
          <cell r="C29" t="str">
            <v>JURÍDICO</v>
          </cell>
          <cell r="D29" t="str">
            <v>THIAGO FOGAÇA</v>
          </cell>
        </row>
        <row r="30">
          <cell r="A30" t="str">
            <v>MEIO AMBIENTE</v>
          </cell>
          <cell r="B30">
            <v>0</v>
          </cell>
          <cell r="C30">
            <v>0</v>
          </cell>
          <cell r="D30">
            <v>0</v>
          </cell>
        </row>
        <row r="31">
          <cell r="A31">
            <v>202002</v>
          </cell>
          <cell r="B31">
            <v>40</v>
          </cell>
          <cell r="C31" t="str">
            <v>MEIO AMBIENTE</v>
          </cell>
          <cell r="D31" t="str">
            <v>DINAEL VEIGA</v>
          </cell>
        </row>
        <row r="32">
          <cell r="A32" t="str">
            <v>DEPARTAMENTO CONTABILIDADE/FISCAL</v>
          </cell>
          <cell r="B32">
            <v>0</v>
          </cell>
          <cell r="C32">
            <v>0</v>
          </cell>
          <cell r="D32">
            <v>0</v>
          </cell>
        </row>
        <row r="33">
          <cell r="A33">
            <v>200202</v>
          </cell>
          <cell r="B33">
            <v>40</v>
          </cell>
          <cell r="C33" t="str">
            <v>CONTABILIDADES</v>
          </cell>
          <cell r="D33" t="str">
            <v>WILLIAN GUSTAVO OLIVEIRA</v>
          </cell>
        </row>
        <row r="34">
          <cell r="A34">
            <v>200302</v>
          </cell>
          <cell r="B34">
            <v>40</v>
          </cell>
          <cell r="C34" t="str">
            <v>FISCAL</v>
          </cell>
          <cell r="D34" t="str">
            <v>RODOLFO LIMA</v>
          </cell>
        </row>
        <row r="35">
          <cell r="A35">
            <v>300206</v>
          </cell>
          <cell r="B35">
            <v>40</v>
          </cell>
          <cell r="C35" t="str">
            <v>FATURAMENTO</v>
          </cell>
          <cell r="D35" t="str">
            <v>GENNER FLORENCIO</v>
          </cell>
        </row>
        <row r="36">
          <cell r="A36">
            <v>300208</v>
          </cell>
          <cell r="B36">
            <v>40</v>
          </cell>
          <cell r="C36" t="str">
            <v>RECEBIMENTO FISCAL</v>
          </cell>
          <cell r="D36" t="str">
            <v>RODOLFO LIMA</v>
          </cell>
        </row>
        <row r="37">
          <cell r="A37">
            <v>300210</v>
          </cell>
          <cell r="B37">
            <v>40</v>
          </cell>
          <cell r="C37" t="str">
            <v>BALANÇA ENTRADA CANA</v>
          </cell>
          <cell r="D37" t="str">
            <v>GENNER FLORENCIO</v>
          </cell>
        </row>
        <row r="38">
          <cell r="A38" t="str">
            <v>ADMINISTRAÇÃO GERAL</v>
          </cell>
          <cell r="B38">
            <v>0</v>
          </cell>
          <cell r="C38">
            <v>0</v>
          </cell>
          <cell r="D38">
            <v>0</v>
          </cell>
        </row>
        <row r="39">
          <cell r="A39">
            <v>300602</v>
          </cell>
          <cell r="B39">
            <v>40</v>
          </cell>
          <cell r="C39" t="str">
            <v>GERÊNCIA ADMINISTRATIVA FINANCEIRA</v>
          </cell>
          <cell r="D39" t="str">
            <v>PAOLA LANDERAS</v>
          </cell>
        </row>
        <row r="40">
          <cell r="A40">
            <v>300604</v>
          </cell>
          <cell r="B40">
            <v>40</v>
          </cell>
          <cell r="C40" t="str">
            <v>GERENCIA GERAL</v>
          </cell>
          <cell r="D40" t="str">
            <v>ALBERTO OTOYA</v>
          </cell>
        </row>
        <row r="41">
          <cell r="A41" t="str">
            <v>ADMINISTRAÇÃO DE RISCO E AUDITORIA</v>
          </cell>
          <cell r="B41">
            <v>0</v>
          </cell>
          <cell r="C41">
            <v>0</v>
          </cell>
          <cell r="D41">
            <v>0</v>
          </cell>
        </row>
        <row r="42">
          <cell r="A42">
            <v>300606</v>
          </cell>
          <cell r="B42">
            <v>40</v>
          </cell>
          <cell r="C42" t="str">
            <v>ADMINISTRAÇÃO DE RISCO E AUDITORIA</v>
          </cell>
          <cell r="D42" t="str">
            <v>JOSE MARTINEZ</v>
          </cell>
        </row>
        <row r="43">
          <cell r="A43" t="str">
            <v>CONTINGENCIAS</v>
          </cell>
          <cell r="B43">
            <v>0</v>
          </cell>
          <cell r="C43">
            <v>0</v>
          </cell>
          <cell r="D43">
            <v>0</v>
          </cell>
        </row>
        <row r="44">
          <cell r="A44">
            <v>300607</v>
          </cell>
          <cell r="B44">
            <v>40</v>
          </cell>
          <cell r="C44" t="str">
            <v>INDENIZACOES TRABALHISTAS</v>
          </cell>
          <cell r="D44" t="str">
            <v>ALBERTO OTOYA</v>
          </cell>
        </row>
        <row r="45">
          <cell r="A45">
            <v>300608</v>
          </cell>
          <cell r="B45">
            <v>40</v>
          </cell>
          <cell r="C45" t="str">
            <v>INDENIZACOES CIVEIS</v>
          </cell>
          <cell r="D45" t="str">
            <v>ALBERTO OTOYA</v>
          </cell>
        </row>
        <row r="46">
          <cell r="A46">
            <v>300609</v>
          </cell>
          <cell r="B46">
            <v>40</v>
          </cell>
          <cell r="C46" t="str">
            <v>INDENIZACOES AMBIENTAIS</v>
          </cell>
          <cell r="D46" t="str">
            <v>ALBERTO OTOYA</v>
          </cell>
        </row>
        <row r="47">
          <cell r="A47">
            <v>300610</v>
          </cell>
          <cell r="B47">
            <v>40</v>
          </cell>
          <cell r="C47" t="str">
            <v>INDENIZACOES TRIBUTARIA</v>
          </cell>
          <cell r="D47" t="str">
            <v>ALBERTO OTOYA</v>
          </cell>
        </row>
        <row r="48">
          <cell r="A48" t="str">
            <v>TECNOLOGIA DA INFORMAÇÃO</v>
          </cell>
          <cell r="B48">
            <v>0</v>
          </cell>
          <cell r="C48">
            <v>0</v>
          </cell>
          <cell r="D48">
            <v>0</v>
          </cell>
        </row>
        <row r="49">
          <cell r="A49">
            <v>300802</v>
          </cell>
          <cell r="B49">
            <v>40</v>
          </cell>
          <cell r="C49" t="str">
            <v>TECNOLOGIA DA INFORMAÇÃO</v>
          </cell>
          <cell r="D49" t="str">
            <v>EMERSON OLIVO</v>
          </cell>
        </row>
        <row r="50">
          <cell r="A50" t="str">
            <v>ALMOXARIFADO / SUPRIMENTOS</v>
          </cell>
          <cell r="B50">
            <v>0</v>
          </cell>
          <cell r="C50">
            <v>0</v>
          </cell>
          <cell r="D50">
            <v>0</v>
          </cell>
        </row>
        <row r="51">
          <cell r="A51">
            <v>201001</v>
          </cell>
          <cell r="B51">
            <v>40</v>
          </cell>
          <cell r="C51" t="str">
            <v>LOGISTICA</v>
          </cell>
          <cell r="D51" t="str">
            <v>GENNER FLORENCIO</v>
          </cell>
        </row>
        <row r="52">
          <cell r="A52">
            <v>201002</v>
          </cell>
          <cell r="B52">
            <v>40</v>
          </cell>
          <cell r="C52" t="str">
            <v>COMPRAS</v>
          </cell>
          <cell r="D52" t="str">
            <v>GENNER FLORENCIO</v>
          </cell>
        </row>
        <row r="53">
          <cell r="A53">
            <v>301004</v>
          </cell>
          <cell r="B53">
            <v>40</v>
          </cell>
          <cell r="C53" t="str">
            <v>ALMOXARIFADO INDUSTRIAL</v>
          </cell>
          <cell r="D53" t="str">
            <v>GENNER FLORENCIO</v>
          </cell>
        </row>
        <row r="54">
          <cell r="A54">
            <v>301006</v>
          </cell>
          <cell r="B54">
            <v>40</v>
          </cell>
          <cell r="C54" t="str">
            <v>POSTO ABASTECIMENTO</v>
          </cell>
          <cell r="D54" t="str">
            <v>GENNER FLORENCIO</v>
          </cell>
        </row>
        <row r="55">
          <cell r="A55" t="str">
            <v>DEPARTAMENTO COMERCIAL</v>
          </cell>
          <cell r="B55">
            <v>0</v>
          </cell>
          <cell r="C55">
            <v>0</v>
          </cell>
          <cell r="D55">
            <v>0</v>
          </cell>
        </row>
        <row r="56">
          <cell r="A56">
            <v>201202</v>
          </cell>
          <cell r="B56">
            <v>30</v>
          </cell>
          <cell r="C56" t="str">
            <v>COMERCIAL</v>
          </cell>
          <cell r="D56" t="str">
            <v>GENNER FLORENCIO</v>
          </cell>
        </row>
        <row r="57">
          <cell r="A57">
            <v>201204</v>
          </cell>
          <cell r="B57">
            <v>30</v>
          </cell>
          <cell r="C57" t="str">
            <v>GASTOS COMERCIALIZAÇÃO</v>
          </cell>
          <cell r="D57" t="str">
            <v>GENNER FLORENCIO</v>
          </cell>
        </row>
        <row r="58">
          <cell r="A58">
            <v>301202</v>
          </cell>
          <cell r="B58">
            <v>30</v>
          </cell>
          <cell r="C58" t="str">
            <v>ARMAZENAGEM DE ALCOOL</v>
          </cell>
          <cell r="D58" t="str">
            <v>GENNER FLORENCIO</v>
          </cell>
        </row>
        <row r="59">
          <cell r="A59">
            <v>301206</v>
          </cell>
          <cell r="B59">
            <v>30</v>
          </cell>
          <cell r="C59" t="str">
            <v>CARREGAMENTO</v>
          </cell>
          <cell r="D59" t="str">
            <v>GENNER FLORENCIO</v>
          </cell>
        </row>
        <row r="60">
          <cell r="A60">
            <v>301208</v>
          </cell>
          <cell r="B60">
            <v>30</v>
          </cell>
          <cell r="C60" t="str">
            <v>LOGISTICA E TRANSPORTE</v>
          </cell>
          <cell r="D60" t="str">
            <v>GENNER FLORENCIO</v>
          </cell>
        </row>
        <row r="61">
          <cell r="A61" t="str">
            <v>CONSERVAÇÃO GERAL / BENFEITORIAS ADM</v>
          </cell>
          <cell r="B61">
            <v>0</v>
          </cell>
          <cell r="C61">
            <v>0</v>
          </cell>
          <cell r="D61">
            <v>0</v>
          </cell>
        </row>
        <row r="62">
          <cell r="A62">
            <v>300421</v>
          </cell>
          <cell r="B62">
            <v>40</v>
          </cell>
          <cell r="C62" t="str">
            <v>SERVIÇOS GERAIS</v>
          </cell>
          <cell r="D62" t="str">
            <v>GABRIEL VIANA</v>
          </cell>
        </row>
        <row r="63">
          <cell r="A63">
            <v>0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</row>
        <row r="64">
          <cell r="A64" t="str">
            <v xml:space="preserve"> AGRICOLA</v>
          </cell>
          <cell r="B64">
            <v>0</v>
          </cell>
          <cell r="C64">
            <v>0</v>
          </cell>
          <cell r="D64">
            <v>0</v>
          </cell>
        </row>
        <row r="65">
          <cell r="A65" t="str">
            <v>APOIO TECNICO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</row>
        <row r="66">
          <cell r="A66">
            <v>302001</v>
          </cell>
          <cell r="B66">
            <v>40</v>
          </cell>
          <cell r="C66" t="str">
            <v>APOIO OPERACIONAL</v>
          </cell>
          <cell r="D66" t="str">
            <v>WILLIAN KLINGER</v>
          </cell>
          <cell r="E66">
            <v>0</v>
          </cell>
        </row>
        <row r="67">
          <cell r="A67">
            <v>0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</row>
        <row r="68">
          <cell r="A68" t="str">
            <v xml:space="preserve"> INDUSTRIA</v>
          </cell>
          <cell r="B68">
            <v>0</v>
          </cell>
          <cell r="C68">
            <v>0</v>
          </cell>
          <cell r="D68">
            <v>0</v>
          </cell>
        </row>
        <row r="69">
          <cell r="A69">
            <v>400102</v>
          </cell>
          <cell r="B69">
            <v>10</v>
          </cell>
          <cell r="C69" t="str">
            <v>GERÊNCIA INDUSTRIAL</v>
          </cell>
          <cell r="D69" t="str">
            <v>GILBERTO STUCHI</v>
          </cell>
        </row>
        <row r="70">
          <cell r="A70" t="str">
            <v>APOIO TECNICO INDUSTRIAL</v>
          </cell>
          <cell r="B70">
            <v>0</v>
          </cell>
          <cell r="C70">
            <v>0</v>
          </cell>
          <cell r="D70">
            <v>0</v>
          </cell>
        </row>
        <row r="71">
          <cell r="A71">
            <v>400202</v>
          </cell>
          <cell r="B71">
            <v>10</v>
          </cell>
          <cell r="C71" t="str">
            <v>APOIO TÉCNICO INDUSTRIAL</v>
          </cell>
          <cell r="D71" t="str">
            <v>SERGIO FIORENTINO</v>
          </cell>
        </row>
        <row r="72">
          <cell r="A72" t="str">
            <v>CONTROLE DE QUALIDADE</v>
          </cell>
          <cell r="B72">
            <v>0</v>
          </cell>
          <cell r="C72">
            <v>0</v>
          </cell>
          <cell r="D72">
            <v>0</v>
          </cell>
        </row>
        <row r="73">
          <cell r="A73">
            <v>400402</v>
          </cell>
          <cell r="B73">
            <v>10</v>
          </cell>
          <cell r="C73" t="str">
            <v>LABORATORIO PCTS</v>
          </cell>
          <cell r="D73" t="str">
            <v>KELLY CRISTINA</v>
          </cell>
        </row>
        <row r="74">
          <cell r="A74">
            <v>400404</v>
          </cell>
          <cell r="B74">
            <v>10</v>
          </cell>
          <cell r="C74" t="str">
            <v>LABORATORIO INDUSTRIAL</v>
          </cell>
          <cell r="D74" t="str">
            <v>KELLY CRISTINA</v>
          </cell>
        </row>
        <row r="75">
          <cell r="A75">
            <v>400406</v>
          </cell>
          <cell r="B75">
            <v>10</v>
          </cell>
          <cell r="C75" t="str">
            <v>LABORATORIO MICRO-BIOLOGIA</v>
          </cell>
          <cell r="D75" t="str">
            <v>KELLY CRISTINA</v>
          </cell>
        </row>
        <row r="76">
          <cell r="A76" t="str">
            <v>RECEPÇÃO / MOAGEM</v>
          </cell>
          <cell r="B76">
            <v>0</v>
          </cell>
          <cell r="C76">
            <v>0</v>
          </cell>
          <cell r="D76">
            <v>0</v>
          </cell>
        </row>
        <row r="77">
          <cell r="A77">
            <v>401002</v>
          </cell>
          <cell r="B77">
            <v>10</v>
          </cell>
          <cell r="C77" t="str">
            <v>BARRACAO / LIMPEZA</v>
          </cell>
          <cell r="D77" t="str">
            <v>WILLIAN GUSTAVO OLIVEIRA</v>
          </cell>
        </row>
        <row r="78">
          <cell r="A78">
            <v>401004</v>
          </cell>
          <cell r="B78">
            <v>10</v>
          </cell>
          <cell r="C78" t="str">
            <v>ALIMENTACAO E PREPARO</v>
          </cell>
          <cell r="D78" t="str">
            <v>CARLOS JOSE DOS SANTOS</v>
          </cell>
        </row>
        <row r="79">
          <cell r="A79">
            <v>401006</v>
          </cell>
          <cell r="B79">
            <v>10</v>
          </cell>
          <cell r="C79" t="str">
            <v>MOAGEM CANA</v>
          </cell>
          <cell r="D79" t="str">
            <v>CARLOS JOSE DOS SANTOS</v>
          </cell>
        </row>
        <row r="80">
          <cell r="A80">
            <v>401008</v>
          </cell>
          <cell r="B80">
            <v>10</v>
          </cell>
          <cell r="C80" t="str">
            <v>DIFUSOR</v>
          </cell>
          <cell r="D80" t="str">
            <v>CARLOS JOSE DOS SANTOS</v>
          </cell>
        </row>
        <row r="81">
          <cell r="A81">
            <v>401012</v>
          </cell>
          <cell r="B81">
            <v>10</v>
          </cell>
          <cell r="C81" t="str">
            <v>SECAGEM DE BAGAÇO</v>
          </cell>
          <cell r="D81" t="str">
            <v>CARLOS JOSE DOS SANTOS</v>
          </cell>
        </row>
        <row r="82">
          <cell r="A82">
            <v>401098</v>
          </cell>
          <cell r="B82">
            <v>10</v>
          </cell>
          <cell r="C82" t="str">
            <v>ABSORÇÃO DO RATEIO INDUSTRIAL</v>
          </cell>
          <cell r="D82" t="str">
            <v>WILLIAN GUSTAVO OLIVEIRA</v>
          </cell>
        </row>
        <row r="83">
          <cell r="A83">
            <v>401099</v>
          </cell>
          <cell r="B83">
            <v>10</v>
          </cell>
          <cell r="C83" t="str">
            <v>MANUTENÇÃO DE ENTRESSAFRA</v>
          </cell>
          <cell r="D83" t="str">
            <v>CARLOS JOSE DOS SANTOS</v>
          </cell>
        </row>
        <row r="84">
          <cell r="A84" t="str">
            <v>TRATAMENTO E DISTR. DO CALDO</v>
          </cell>
          <cell r="B84">
            <v>0</v>
          </cell>
          <cell r="C84">
            <v>0</v>
          </cell>
          <cell r="D84">
            <v>0</v>
          </cell>
        </row>
        <row r="85">
          <cell r="A85">
            <v>401402</v>
          </cell>
          <cell r="B85">
            <v>10</v>
          </cell>
          <cell r="C85" t="str">
            <v>AQUECIMENTO/TROCADOR CALOR ALCOOL</v>
          </cell>
          <cell r="D85" t="str">
            <v>CARLOS DOMICILIANO</v>
          </cell>
        </row>
        <row r="86">
          <cell r="A86">
            <v>401404</v>
          </cell>
          <cell r="B86">
            <v>10</v>
          </cell>
          <cell r="C86" t="str">
            <v>DECANTACAO DO ALCOOL</v>
          </cell>
          <cell r="D86" t="str">
            <v>CARLOS DOMICILIANO</v>
          </cell>
        </row>
        <row r="87">
          <cell r="A87">
            <v>401406</v>
          </cell>
          <cell r="B87">
            <v>10</v>
          </cell>
          <cell r="C87" t="str">
            <v>PRE-EVAPORACAO DO ALCOOL</v>
          </cell>
          <cell r="D87" t="str">
            <v>CARLOS DOMICILIANO</v>
          </cell>
        </row>
        <row r="88">
          <cell r="A88" t="str">
            <v>CONSERVAÇÃO GERAL / BENFEITORIAS</v>
          </cell>
          <cell r="B88">
            <v>0</v>
          </cell>
          <cell r="C88">
            <v>0</v>
          </cell>
          <cell r="D88">
            <v>0</v>
          </cell>
        </row>
        <row r="89">
          <cell r="A89">
            <v>601000</v>
          </cell>
          <cell r="B89">
            <v>10</v>
          </cell>
          <cell r="C89" t="str">
            <v>CONSERVACAO PATIOS - INDUSTRIA</v>
          </cell>
          <cell r="D89" t="str">
            <v>GILSON MENEZES</v>
          </cell>
        </row>
        <row r="90">
          <cell r="A90" t="str">
            <v>GRUPOS OPERATIVOS</v>
          </cell>
          <cell r="B90">
            <v>0</v>
          </cell>
          <cell r="C90">
            <v>0</v>
          </cell>
          <cell r="D90">
            <v>0</v>
          </cell>
        </row>
        <row r="91">
          <cell r="A91">
            <v>401410</v>
          </cell>
          <cell r="B91">
            <v>10</v>
          </cell>
          <cell r="C91" t="str">
            <v>CALEACAO</v>
          </cell>
          <cell r="D91" t="str">
            <v>CARLOS DOMICILIANO</v>
          </cell>
        </row>
        <row r="92">
          <cell r="A92">
            <v>401414</v>
          </cell>
          <cell r="B92">
            <v>10</v>
          </cell>
          <cell r="C92" t="str">
            <v>DECANTACAO DO ACUCAR</v>
          </cell>
          <cell r="D92" t="str">
            <v>WILLIAN GUSTAVO OLIVEIRA</v>
          </cell>
        </row>
        <row r="93">
          <cell r="A93">
            <v>401416</v>
          </cell>
          <cell r="B93">
            <v>10</v>
          </cell>
          <cell r="C93" t="str">
            <v>FILTRACAO DO LODO DO ACUCAR</v>
          </cell>
          <cell r="D93" t="str">
            <v>WILLIAN GUSTAVO OLIVEIRA</v>
          </cell>
        </row>
        <row r="94">
          <cell r="A94">
            <v>401420</v>
          </cell>
          <cell r="B94">
            <v>10</v>
          </cell>
          <cell r="C94" t="str">
            <v>FILTRACAO DO LODO DO ALCOOL</v>
          </cell>
          <cell r="D94" t="str">
            <v>CARLOS DOMICILIANO</v>
          </cell>
        </row>
        <row r="95">
          <cell r="A95">
            <v>401499</v>
          </cell>
          <cell r="B95">
            <v>10</v>
          </cell>
          <cell r="C95" t="str">
            <v>MANUTENÇÃO DE ENTRESSAFRA</v>
          </cell>
          <cell r="D95" t="str">
            <v>CARLOS DOMICILIANO</v>
          </cell>
        </row>
        <row r="96">
          <cell r="A96" t="str">
            <v>FABRICAÇÃO DE ALCOOL</v>
          </cell>
          <cell r="B96">
            <v>0</v>
          </cell>
          <cell r="C96">
            <v>0</v>
          </cell>
          <cell r="D96">
            <v>0</v>
          </cell>
        </row>
        <row r="97">
          <cell r="A97">
            <v>402002</v>
          </cell>
          <cell r="B97">
            <v>10</v>
          </cell>
          <cell r="C97" t="str">
            <v>PRE-FERMENTACAO</v>
          </cell>
          <cell r="D97" t="str">
            <v>MARCOS CESAR DE PAULA</v>
          </cell>
        </row>
        <row r="98">
          <cell r="A98">
            <v>402004</v>
          </cell>
          <cell r="B98">
            <v>10</v>
          </cell>
          <cell r="C98" t="str">
            <v>FERMENTACAO</v>
          </cell>
          <cell r="D98" t="str">
            <v>MARCOS CESAR DE PAULA</v>
          </cell>
        </row>
        <row r="99">
          <cell r="A99">
            <v>402006</v>
          </cell>
          <cell r="B99">
            <v>10</v>
          </cell>
          <cell r="C99" t="str">
            <v>DESTILACAO HIDRATADO</v>
          </cell>
          <cell r="D99" t="str">
            <v>MARCOS CESAR DE PAULA</v>
          </cell>
        </row>
        <row r="100">
          <cell r="A100">
            <v>402008</v>
          </cell>
          <cell r="B100">
            <v>10</v>
          </cell>
          <cell r="C100" t="str">
            <v>DESTILACAO ANIDRO</v>
          </cell>
          <cell r="D100" t="str">
            <v>WILLIAN GUSTAVO OLIVEIRA</v>
          </cell>
        </row>
        <row r="101">
          <cell r="A101">
            <v>402010</v>
          </cell>
          <cell r="B101">
            <v>10</v>
          </cell>
          <cell r="C101" t="str">
            <v>TORRE DE RESFRIAMENTO</v>
          </cell>
          <cell r="D101" t="str">
            <v>MARCOS CESAR DE PAULA</v>
          </cell>
        </row>
        <row r="102">
          <cell r="A102">
            <v>402012</v>
          </cell>
          <cell r="B102">
            <v>10</v>
          </cell>
          <cell r="C102" t="str">
            <v>TANQUE SPRAY</v>
          </cell>
          <cell r="D102" t="str">
            <v>WILLIAN GUSTAVO OLIVEIRA</v>
          </cell>
        </row>
        <row r="103">
          <cell r="A103">
            <v>402014</v>
          </cell>
          <cell r="B103">
            <v>10</v>
          </cell>
          <cell r="C103" t="str">
            <v>CENTRIFUGAÇÃO</v>
          </cell>
          <cell r="D103" t="str">
            <v>MARCOS CESAR DE PAULA</v>
          </cell>
        </row>
        <row r="104">
          <cell r="A104">
            <v>402098</v>
          </cell>
          <cell r="B104">
            <v>10</v>
          </cell>
          <cell r="C104" t="str">
            <v>ABSORCAO DO RATEIO INDUSTRIAL</v>
          </cell>
          <cell r="D104" t="str">
            <v>WILLIAN GUSTAVO OLIVEIRA</v>
          </cell>
        </row>
        <row r="105">
          <cell r="A105">
            <v>402099</v>
          </cell>
          <cell r="B105">
            <v>10</v>
          </cell>
          <cell r="C105" t="str">
            <v>MANUTENÇÃO DE ENTRESSAFRA</v>
          </cell>
          <cell r="D105" t="str">
            <v>MARCOS CESAR DE PAULA</v>
          </cell>
        </row>
        <row r="106">
          <cell r="A106" t="str">
            <v>FABRICAÇÃO LEVEDURA</v>
          </cell>
          <cell r="B106">
            <v>0</v>
          </cell>
          <cell r="C106">
            <v>0</v>
          </cell>
          <cell r="D106">
            <v>0</v>
          </cell>
        </row>
        <row r="107">
          <cell r="A107">
            <v>405002</v>
          </cell>
          <cell r="B107">
            <v>10</v>
          </cell>
          <cell r="C107" t="str">
            <v>SECAGEM LEVEDURA</v>
          </cell>
          <cell r="D107" t="str">
            <v>WILLIAN GUSTAVO OLIVEIRA</v>
          </cell>
        </row>
        <row r="108">
          <cell r="A108" t="str">
            <v>FABRICAÇÃO XAROPE DE CANA</v>
          </cell>
          <cell r="B108">
            <v>0</v>
          </cell>
          <cell r="C108">
            <v>0</v>
          </cell>
          <cell r="D108">
            <v>0</v>
          </cell>
        </row>
        <row r="109">
          <cell r="A109" t="str">
            <v>AUXILIARES</v>
          </cell>
          <cell r="B109">
            <v>0</v>
          </cell>
          <cell r="C109">
            <v>0</v>
          </cell>
          <cell r="D109">
            <v>0</v>
          </cell>
        </row>
        <row r="110">
          <cell r="A110">
            <v>407002</v>
          </cell>
          <cell r="B110">
            <v>10</v>
          </cell>
          <cell r="C110" t="str">
            <v>GERACAO E DISTR.VAPOR</v>
          </cell>
          <cell r="D110" t="str">
            <v>JOSE CATANA</v>
          </cell>
        </row>
        <row r="111">
          <cell r="A111">
            <v>407004</v>
          </cell>
          <cell r="B111">
            <v>10</v>
          </cell>
          <cell r="C111" t="str">
            <v>GERACAO E DISTR.AR COMPRIMIDO</v>
          </cell>
          <cell r="D111" t="str">
            <v>EDSON BABOSA</v>
          </cell>
        </row>
        <row r="112">
          <cell r="A112">
            <v>407006</v>
          </cell>
          <cell r="B112">
            <v>10</v>
          </cell>
          <cell r="C112" t="str">
            <v>GERACAO E DISTR.ENERGIA</v>
          </cell>
          <cell r="D112" t="str">
            <v>EDSON BABOSA</v>
          </cell>
        </row>
        <row r="113">
          <cell r="A113">
            <v>407008</v>
          </cell>
          <cell r="B113">
            <v>10</v>
          </cell>
          <cell r="C113" t="str">
            <v>CAPTACAO DE AGUA</v>
          </cell>
          <cell r="D113" t="str">
            <v>JOSE CATANA</v>
          </cell>
        </row>
        <row r="114">
          <cell r="A114">
            <v>407010</v>
          </cell>
          <cell r="B114">
            <v>10</v>
          </cell>
          <cell r="C114" t="str">
            <v>ETA (ESTACAO DE TRATAMENTO AGUA)</v>
          </cell>
          <cell r="D114" t="str">
            <v>JOSE CATANA</v>
          </cell>
        </row>
        <row r="115">
          <cell r="A115">
            <v>407012</v>
          </cell>
          <cell r="B115">
            <v>10</v>
          </cell>
          <cell r="C115" t="str">
            <v>PATIO DE BAGACO</v>
          </cell>
          <cell r="D115" t="str">
            <v>GILSON MENEZES</v>
          </cell>
        </row>
        <row r="116">
          <cell r="A116">
            <v>407016</v>
          </cell>
          <cell r="B116">
            <v>10</v>
          </cell>
          <cell r="C116" t="str">
            <v>ENERGIA ELETRICA ADQUIRIDA</v>
          </cell>
          <cell r="D116" t="str">
            <v>EDSON BABOSA</v>
          </cell>
        </row>
        <row r="117">
          <cell r="A117">
            <v>407018</v>
          </cell>
          <cell r="B117">
            <v>10</v>
          </cell>
          <cell r="C117" t="str">
            <v>ETALC -ESTA TRAT AGUA DA LAVAGEM DE CANA</v>
          </cell>
          <cell r="D117" t="str">
            <v>CARLOS JOSE DOS SANTOS</v>
          </cell>
        </row>
        <row r="118">
          <cell r="A118">
            <v>407020</v>
          </cell>
          <cell r="B118">
            <v>10</v>
          </cell>
          <cell r="C118" t="str">
            <v>ETE - ESTAÇÃO TRATAMENTO DE ESGOTO</v>
          </cell>
          <cell r="D118" t="str">
            <v>JOSE CATANA</v>
          </cell>
        </row>
        <row r="119">
          <cell r="A119">
            <v>407022</v>
          </cell>
          <cell r="B119">
            <v>10</v>
          </cell>
          <cell r="C119" t="str">
            <v>ETALG - ESTAÇ.TRAT.ÁGUA DE LAVAGEM GASES</v>
          </cell>
          <cell r="D119" t="str">
            <v>JOSE CATANA</v>
          </cell>
        </row>
        <row r="120">
          <cell r="A120">
            <v>407099</v>
          </cell>
          <cell r="B120">
            <v>10</v>
          </cell>
          <cell r="C120" t="str">
            <v>MANUTENÇÃO DE ENTRESSAFRA</v>
          </cell>
          <cell r="D120" t="str">
            <v>JOSE CATANA / GILSON</v>
          </cell>
        </row>
        <row r="121">
          <cell r="A121" t="str">
            <v>MANUTENÇÃO INDUSTRIAL</v>
          </cell>
          <cell r="B121">
            <v>0</v>
          </cell>
          <cell r="C121">
            <v>0</v>
          </cell>
          <cell r="D121">
            <v>0</v>
          </cell>
        </row>
        <row r="122">
          <cell r="A122">
            <v>408002</v>
          </cell>
          <cell r="B122">
            <v>10</v>
          </cell>
          <cell r="C122" t="str">
            <v>MANUTENÇÃO MECANICA</v>
          </cell>
          <cell r="D122" t="str">
            <v>VANDERLEI FLORENCIO</v>
          </cell>
        </row>
        <row r="123">
          <cell r="A123">
            <v>408004</v>
          </cell>
          <cell r="B123">
            <v>10</v>
          </cell>
          <cell r="C123" t="str">
            <v>CALDERARIA</v>
          </cell>
          <cell r="D123" t="str">
            <v>VANDERLEI FLORENCIO</v>
          </cell>
        </row>
        <row r="124">
          <cell r="A124">
            <v>408006</v>
          </cell>
          <cell r="B124">
            <v>10</v>
          </cell>
          <cell r="C124" t="str">
            <v>MANUTENÇÃO ELETRICA</v>
          </cell>
          <cell r="D124" t="str">
            <v>EDSON BABOSA</v>
          </cell>
        </row>
        <row r="125">
          <cell r="A125">
            <v>408008</v>
          </cell>
          <cell r="B125">
            <v>10</v>
          </cell>
          <cell r="C125" t="str">
            <v>INSTRUMENTAÇÃO</v>
          </cell>
          <cell r="D125" t="str">
            <v>EDSON BABOSA</v>
          </cell>
        </row>
        <row r="126">
          <cell r="A126">
            <v>408010</v>
          </cell>
          <cell r="B126">
            <v>10</v>
          </cell>
          <cell r="C126" t="str">
            <v>MANUTENCAO CIVIL</v>
          </cell>
          <cell r="D126" t="str">
            <v>GILSON MENEZES</v>
          </cell>
        </row>
        <row r="127">
          <cell r="A127">
            <v>408012</v>
          </cell>
          <cell r="B127">
            <v>10</v>
          </cell>
          <cell r="C127" t="str">
            <v>PCM ( PLANEJ. E CONTROLE DA MANUTENÇAÕ)</v>
          </cell>
          <cell r="D127" t="str">
            <v>SERGIO FIORENTINO</v>
          </cell>
        </row>
        <row r="128">
          <cell r="A128" t="str">
            <v>RESIDUOS INDUSTRIAIS</v>
          </cell>
          <cell r="B128">
            <v>0</v>
          </cell>
          <cell r="C128">
            <v>0</v>
          </cell>
          <cell r="D128">
            <v>0</v>
          </cell>
        </row>
        <row r="129">
          <cell r="A129">
            <v>409002</v>
          </cell>
          <cell r="B129">
            <v>10</v>
          </cell>
          <cell r="C129" t="str">
            <v>ESCOAMENTO DA VINHACA</v>
          </cell>
          <cell r="D129" t="str">
            <v>GILSON MENEZES</v>
          </cell>
        </row>
        <row r="130">
          <cell r="A130">
            <v>409004</v>
          </cell>
          <cell r="B130">
            <v>10</v>
          </cell>
          <cell r="C130" t="str">
            <v>SISTEMA DE BOMBEAMENTO</v>
          </cell>
          <cell r="D130" t="str">
            <v>WILLIAN GUSTAVO OLIVEIRA</v>
          </cell>
        </row>
        <row r="131">
          <cell r="A131">
            <v>409099</v>
          </cell>
          <cell r="B131">
            <v>10</v>
          </cell>
          <cell r="C131" t="str">
            <v>MANUTENÇÃO DE ENTRESSAFRA</v>
          </cell>
          <cell r="D131" t="str">
            <v>GILSON MENEZES</v>
          </cell>
        </row>
        <row r="132">
          <cell r="A132" t="str">
            <v>CUSTO FINAL DE PRODUÇÃO</v>
          </cell>
          <cell r="B132">
            <v>0</v>
          </cell>
          <cell r="C132">
            <v>0</v>
          </cell>
          <cell r="D132">
            <v>0</v>
          </cell>
        </row>
        <row r="133">
          <cell r="A133">
            <v>409910</v>
          </cell>
          <cell r="B133">
            <v>10</v>
          </cell>
          <cell r="C133" t="str">
            <v>CUSTO DE PRODUCAO DO A.E.H.C.</v>
          </cell>
          <cell r="D133" t="str">
            <v>WILLIAN GUSTAVO OLIVEIRA</v>
          </cell>
        </row>
        <row r="134">
          <cell r="A134">
            <v>409920</v>
          </cell>
          <cell r="B134">
            <v>10</v>
          </cell>
          <cell r="C134" t="str">
            <v>CUSTO DE PRODUCAO DO A.E.A.C.</v>
          </cell>
          <cell r="D134" t="str">
            <v>WILLIAN GUSTAVO OLIVEIRA</v>
          </cell>
        </row>
        <row r="135">
          <cell r="A135">
            <v>409930</v>
          </cell>
          <cell r="B135">
            <v>10</v>
          </cell>
          <cell r="C135" t="str">
            <v>CUSTO DE PRODUCAO DO ACUCAR</v>
          </cell>
          <cell r="D135" t="str">
            <v>WILLIAN GUSTAVO OLIVEIRA</v>
          </cell>
        </row>
        <row r="136">
          <cell r="A136">
            <v>409940</v>
          </cell>
          <cell r="B136">
            <v>10</v>
          </cell>
          <cell r="C136" t="str">
            <v>CUSTO DE PRODUCAO DO XAROPE</v>
          </cell>
          <cell r="D136" t="str">
            <v>WILLIAN GUSTAVO OLIVEIRA</v>
          </cell>
        </row>
        <row r="137">
          <cell r="A137">
            <v>409950</v>
          </cell>
          <cell r="B137">
            <v>10</v>
          </cell>
          <cell r="C137" t="str">
            <v>CUSTO DE PRODUCAO DE LEVEDURA</v>
          </cell>
          <cell r="D137" t="str">
            <v>WILLIAN GUSTAVO OLIVEIRA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o de custo"/>
      <sheetName val="Usuario orçamentario"/>
      <sheetName val="CC Atual "/>
      <sheetName val="CC Atual Ind"/>
      <sheetName val="CC Atual Agr"/>
      <sheetName val="Vlr 2012x2013"/>
      <sheetName val="Desativados "/>
      <sheetName val="CC Datasul"/>
      <sheetName val="Classificação"/>
      <sheetName val="Plan1"/>
      <sheetName val="dados"/>
    </sheetNames>
    <sheetDataSet>
      <sheetData sheetId="0"/>
      <sheetData sheetId="1"/>
      <sheetData sheetId="2">
        <row r="2">
          <cell r="E2" t="str">
            <v>CODCC</v>
          </cell>
          <cell r="F2" t="str">
            <v>Título</v>
          </cell>
          <cell r="G2" t="str">
            <v>Un.Neg</v>
          </cell>
          <cell r="H2" t="str">
            <v>Tipo</v>
          </cell>
          <cell r="I2" t="str">
            <v>GESTOR</v>
          </cell>
          <cell r="J2" t="str">
            <v>Classificação</v>
          </cell>
          <cell r="K2" t="str">
            <v>STATUS</v>
          </cell>
          <cell r="L2" t="str">
            <v>Orçamento 2014</v>
          </cell>
          <cell r="M2" t="str">
            <v>APROVADOR</v>
          </cell>
          <cell r="N2" t="str">
            <v>DEPTO</v>
          </cell>
          <cell r="O2" t="str">
            <v>Status</v>
          </cell>
          <cell r="P2" t="str">
            <v>G1</v>
          </cell>
          <cell r="Q2" t="str">
            <v>G2</v>
          </cell>
          <cell r="R2" t="str">
            <v>G3</v>
          </cell>
          <cell r="S2" t="str">
            <v>G4</v>
          </cell>
          <cell r="T2" t="str">
            <v>G5</v>
          </cell>
        </row>
        <row r="3">
          <cell r="E3">
            <v>100100</v>
          </cell>
          <cell r="F3" t="str">
            <v>CONSELHO DE ADMINISTRACAO/FISCAL</v>
          </cell>
          <cell r="G3">
            <v>40</v>
          </cell>
          <cell r="H3" t="str">
            <v>ADM</v>
          </cell>
          <cell r="I3" t="str">
            <v>PAOLA LANDERAS</v>
          </cell>
          <cell r="J3" t="str">
            <v/>
          </cell>
          <cell r="K3">
            <v>0</v>
          </cell>
          <cell r="L3">
            <v>0</v>
          </cell>
          <cell r="M3">
            <v>0</v>
          </cell>
          <cell r="N3" t="str">
            <v>CONSELHO</v>
          </cell>
          <cell r="O3" t="str">
            <v>ATIVO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</row>
        <row r="4">
          <cell r="E4">
            <v>100102</v>
          </cell>
          <cell r="F4" t="str">
            <v>CONSELHEIRO ADMINISTRATIVO/FISCAL</v>
          </cell>
          <cell r="G4">
            <v>40</v>
          </cell>
          <cell r="H4" t="str">
            <v>ADM</v>
          </cell>
          <cell r="I4" t="str">
            <v>PAOLA LANDERAS</v>
          </cell>
          <cell r="J4" t="str">
            <v>ADM PAIS</v>
          </cell>
          <cell r="K4" t="str">
            <v>Aguarda Contab.</v>
          </cell>
          <cell r="L4" t="str">
            <v>Mudar a 100106 e inactivar</v>
          </cell>
          <cell r="M4">
            <v>0</v>
          </cell>
          <cell r="N4" t="str">
            <v>CONSELHO</v>
          </cell>
          <cell r="O4" t="str">
            <v>ATIVO</v>
          </cell>
          <cell r="P4" t="str">
            <v>E01</v>
          </cell>
          <cell r="Q4" t="str">
            <v>E20</v>
          </cell>
          <cell r="R4">
            <v>0</v>
          </cell>
          <cell r="S4">
            <v>0</v>
          </cell>
          <cell r="T4">
            <v>0</v>
          </cell>
        </row>
        <row r="5">
          <cell r="E5">
            <v>100102</v>
          </cell>
          <cell r="F5" t="str">
            <v>CONSELHEIRO ADMINISTRATIVO/FISCAL</v>
          </cell>
          <cell r="G5">
            <v>40</v>
          </cell>
          <cell r="H5" t="str">
            <v>ADM</v>
          </cell>
          <cell r="I5" t="str">
            <v>PAOLA LANDERAS</v>
          </cell>
          <cell r="J5" t="str">
            <v>ADM PAIS</v>
          </cell>
          <cell r="K5">
            <v>0</v>
          </cell>
          <cell r="L5" t="str">
            <v>Mudar a 100106 e inactivar</v>
          </cell>
          <cell r="M5">
            <v>0</v>
          </cell>
          <cell r="N5" t="str">
            <v>CONSELHO</v>
          </cell>
          <cell r="O5" t="str">
            <v>ATIVO</v>
          </cell>
          <cell r="P5" t="str">
            <v>E01</v>
          </cell>
          <cell r="Q5" t="str">
            <v>E03</v>
          </cell>
          <cell r="R5">
            <v>0</v>
          </cell>
          <cell r="S5">
            <v>0</v>
          </cell>
          <cell r="T5">
            <v>0</v>
          </cell>
        </row>
        <row r="6">
          <cell r="E6">
            <v>100106</v>
          </cell>
          <cell r="F6" t="str">
            <v>CONSELHO FISCAL</v>
          </cell>
          <cell r="G6">
            <v>40</v>
          </cell>
          <cell r="H6" t="str">
            <v>ADM</v>
          </cell>
          <cell r="I6" t="str">
            <v>PAOLA LANDERAS</v>
          </cell>
          <cell r="J6" t="str">
            <v>ADM PAIS</v>
          </cell>
          <cell r="K6">
            <v>0</v>
          </cell>
          <cell r="L6" t="str">
            <v>Despesa conselho fiscal</v>
          </cell>
          <cell r="M6">
            <v>0</v>
          </cell>
          <cell r="N6" t="str">
            <v>CONSELHO</v>
          </cell>
          <cell r="O6" t="str">
            <v>ATIVO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</row>
        <row r="7">
          <cell r="E7">
            <v>100200</v>
          </cell>
          <cell r="F7" t="str">
            <v>DIRETORIA</v>
          </cell>
          <cell r="G7">
            <v>40</v>
          </cell>
          <cell r="H7" t="str">
            <v>ADM</v>
          </cell>
          <cell r="I7" t="str">
            <v>SALVADOR BIGURIA</v>
          </cell>
          <cell r="J7" t="str">
            <v/>
          </cell>
          <cell r="K7">
            <v>0</v>
          </cell>
          <cell r="L7">
            <v>0</v>
          </cell>
          <cell r="M7">
            <v>0</v>
          </cell>
          <cell r="N7" t="str">
            <v>DIRETORIA</v>
          </cell>
          <cell r="O7" t="str">
            <v>ATIVO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</row>
        <row r="8">
          <cell r="E8">
            <v>100202</v>
          </cell>
          <cell r="F8" t="str">
            <v>DIRETOR PRESIDENTE</v>
          </cell>
          <cell r="G8">
            <v>40</v>
          </cell>
          <cell r="H8" t="str">
            <v>ADM</v>
          </cell>
          <cell r="I8" t="str">
            <v>SALVADOR BIGURIA</v>
          </cell>
          <cell r="J8" t="str">
            <v>ADM PAIS</v>
          </cell>
          <cell r="K8">
            <v>0</v>
          </cell>
          <cell r="L8" t="str">
            <v>OK (Alfredo Maculet, Carlos Arce)</v>
          </cell>
          <cell r="M8">
            <v>0</v>
          </cell>
          <cell r="N8" t="str">
            <v>CONSELHO</v>
          </cell>
          <cell r="O8" t="str">
            <v>ATIVO</v>
          </cell>
          <cell r="P8" t="str">
            <v>E01</v>
          </cell>
          <cell r="Q8" t="str">
            <v>E20</v>
          </cell>
          <cell r="R8">
            <v>0</v>
          </cell>
          <cell r="S8">
            <v>0</v>
          </cell>
          <cell r="T8">
            <v>0</v>
          </cell>
        </row>
        <row r="9">
          <cell r="E9">
            <v>100202</v>
          </cell>
          <cell r="F9" t="str">
            <v>DIRETOR PRESIDENTE</v>
          </cell>
          <cell r="G9">
            <v>40</v>
          </cell>
          <cell r="H9" t="str">
            <v>ADM</v>
          </cell>
          <cell r="I9" t="str">
            <v>SALVADOR BIGURIA</v>
          </cell>
          <cell r="J9" t="str">
            <v>ADM PAIS</v>
          </cell>
          <cell r="K9">
            <v>0</v>
          </cell>
          <cell r="L9" t="str">
            <v>OK (Alfredo Maculet, Carlos Arce)</v>
          </cell>
          <cell r="M9">
            <v>0</v>
          </cell>
          <cell r="N9" t="str">
            <v>CONSELHO</v>
          </cell>
          <cell r="O9" t="str">
            <v>ATIVO</v>
          </cell>
          <cell r="P9" t="str">
            <v>E01</v>
          </cell>
          <cell r="Q9" t="str">
            <v>E03</v>
          </cell>
          <cell r="R9">
            <v>0</v>
          </cell>
          <cell r="S9">
            <v>0</v>
          </cell>
          <cell r="T9">
            <v>0</v>
          </cell>
        </row>
        <row r="10">
          <cell r="E10">
            <v>100300</v>
          </cell>
          <cell r="F10" t="str">
            <v>SUPERINTENDENCIA</v>
          </cell>
          <cell r="G10">
            <v>40</v>
          </cell>
          <cell r="H10" t="str">
            <v>ADM</v>
          </cell>
          <cell r="I10" t="str">
            <v>PAOLA LANDERAS</v>
          </cell>
          <cell r="J10" t="str">
            <v/>
          </cell>
          <cell r="K10">
            <v>0</v>
          </cell>
          <cell r="L10">
            <v>0</v>
          </cell>
          <cell r="M10">
            <v>0</v>
          </cell>
          <cell r="N10" t="str">
            <v>DIRETORIA</v>
          </cell>
          <cell r="O10" t="str">
            <v>ATIVO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</row>
        <row r="11">
          <cell r="E11">
            <v>100302</v>
          </cell>
          <cell r="F11" t="str">
            <v>SUP.CONTROLADORIA E GESTAO</v>
          </cell>
          <cell r="G11">
            <v>40</v>
          </cell>
          <cell r="H11" t="str">
            <v>ADM</v>
          </cell>
          <cell r="I11" t="str">
            <v>PAOLA LANDERAS</v>
          </cell>
          <cell r="J11" t="str">
            <v>ADM ING</v>
          </cell>
          <cell r="K11" t="str">
            <v>ok - Email</v>
          </cell>
          <cell r="L11" t="str">
            <v>Preguntar A William que imobilizado esta com depreciaçao</v>
          </cell>
          <cell r="M11">
            <v>0</v>
          </cell>
          <cell r="N11" t="str">
            <v>CONTROLADORIA</v>
          </cell>
          <cell r="O11" t="str">
            <v>ATIVO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</row>
        <row r="12">
          <cell r="E12">
            <v>100400</v>
          </cell>
          <cell r="F12" t="str">
            <v>ESCRITORIO DE SAO PAULO</v>
          </cell>
          <cell r="G12">
            <v>40</v>
          </cell>
          <cell r="H12" t="str">
            <v>ADM</v>
          </cell>
          <cell r="I12" t="str">
            <v>PAOLA LANDERAS</v>
          </cell>
          <cell r="J12" t="str">
            <v/>
          </cell>
          <cell r="K12">
            <v>0</v>
          </cell>
          <cell r="L12">
            <v>0</v>
          </cell>
          <cell r="M12">
            <v>0</v>
          </cell>
          <cell r="N12" t="str">
            <v>CORPORATIVO</v>
          </cell>
          <cell r="O12" t="str">
            <v>ATIVO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</row>
        <row r="13">
          <cell r="E13">
            <v>100500</v>
          </cell>
          <cell r="F13" t="str">
            <v>ASSESSORIA DE IMPRENSA</v>
          </cell>
          <cell r="G13">
            <v>40</v>
          </cell>
          <cell r="H13" t="str">
            <v>ADM</v>
          </cell>
          <cell r="I13" t="str">
            <v>PAOLA LANDERAS</v>
          </cell>
          <cell r="J13" t="str">
            <v/>
          </cell>
          <cell r="K13">
            <v>0</v>
          </cell>
          <cell r="L13">
            <v>0</v>
          </cell>
          <cell r="M13">
            <v>0</v>
          </cell>
          <cell r="N13" t="str">
            <v>DIRETORIA</v>
          </cell>
          <cell r="O13" t="str">
            <v>ATIVO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</row>
        <row r="14">
          <cell r="E14">
            <v>200000</v>
          </cell>
          <cell r="F14" t="str">
            <v>ADMINISTRACAO CORPORATIVA</v>
          </cell>
          <cell r="G14">
            <v>40</v>
          </cell>
          <cell r="H14" t="str">
            <v>ADM</v>
          </cell>
          <cell r="I14" t="str">
            <v>PAOLA LANDERAS</v>
          </cell>
          <cell r="J14" t="str">
            <v/>
          </cell>
          <cell r="K14">
            <v>0</v>
          </cell>
          <cell r="L14">
            <v>0</v>
          </cell>
          <cell r="M14">
            <v>0</v>
          </cell>
          <cell r="N14" t="str">
            <v>CORPORATIVO</v>
          </cell>
          <cell r="O14" t="str">
            <v>ATIVO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</row>
        <row r="15">
          <cell r="E15">
            <v>200100</v>
          </cell>
          <cell r="F15" t="str">
            <v>GERENCIA ADMINISTRATIVA</v>
          </cell>
          <cell r="G15">
            <v>40</v>
          </cell>
          <cell r="H15" t="str">
            <v>ADM</v>
          </cell>
          <cell r="I15" t="str">
            <v>PAOLA LANDERAS</v>
          </cell>
          <cell r="J15" t="str">
            <v/>
          </cell>
          <cell r="K15">
            <v>0</v>
          </cell>
          <cell r="L15">
            <v>0</v>
          </cell>
          <cell r="M15">
            <v>0</v>
          </cell>
          <cell r="N15" t="str">
            <v>ADMINISTRACAO GERAL</v>
          </cell>
          <cell r="O15" t="str">
            <v>ATIVO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</row>
        <row r="16">
          <cell r="E16">
            <v>200102</v>
          </cell>
          <cell r="F16" t="str">
            <v>ADMINISTRACAO CORPORATIVA</v>
          </cell>
          <cell r="G16">
            <v>40</v>
          </cell>
          <cell r="H16" t="str">
            <v>ADM</v>
          </cell>
          <cell r="I16" t="str">
            <v>PAOLA LANDERAS</v>
          </cell>
          <cell r="J16" t="str">
            <v>ADM CORP</v>
          </cell>
          <cell r="K16" t="str">
            <v>ok - Email</v>
          </cell>
          <cell r="L16" t="str">
            <v>Revisar alugueis, Orçamento de costo viajes/alimentación/Estadía comité administrativo y visita de dueños</v>
          </cell>
          <cell r="M16">
            <v>0</v>
          </cell>
          <cell r="N16" t="str">
            <v>CORPORATIVO</v>
          </cell>
          <cell r="O16" t="str">
            <v>ATIVO</v>
          </cell>
          <cell r="P16" t="str">
            <v>E01</v>
          </cell>
          <cell r="Q16" t="str">
            <v>E20</v>
          </cell>
          <cell r="R16">
            <v>0</v>
          </cell>
          <cell r="S16">
            <v>0</v>
          </cell>
          <cell r="T16">
            <v>0</v>
          </cell>
        </row>
        <row r="17">
          <cell r="E17">
            <v>200103</v>
          </cell>
          <cell r="F17" t="str">
            <v>DESPESAS DE CAPACITAÇÕES</v>
          </cell>
          <cell r="G17">
            <v>40</v>
          </cell>
          <cell r="H17" t="str">
            <v>ADM</v>
          </cell>
          <cell r="I17" t="str">
            <v>PAOLA LANDERAS</v>
          </cell>
          <cell r="J17" t="str">
            <v>ADM CORP</v>
          </cell>
          <cell r="K17">
            <v>0</v>
          </cell>
          <cell r="L17" t="str">
            <v>OK</v>
          </cell>
          <cell r="M17">
            <v>0</v>
          </cell>
          <cell r="N17" t="str">
            <v>CORPORATIVO</v>
          </cell>
          <cell r="O17" t="str">
            <v>ATIVO</v>
          </cell>
          <cell r="P17" t="str">
            <v>E01</v>
          </cell>
          <cell r="Q17" t="str">
            <v>E20</v>
          </cell>
          <cell r="R17">
            <v>0</v>
          </cell>
          <cell r="S17">
            <v>0</v>
          </cell>
          <cell r="T17">
            <v>0</v>
          </cell>
        </row>
        <row r="18">
          <cell r="E18">
            <v>200200</v>
          </cell>
          <cell r="F18" t="str">
            <v>DEPTO CONTABILIDADE</v>
          </cell>
          <cell r="G18">
            <v>40</v>
          </cell>
          <cell r="H18" t="str">
            <v>ADM</v>
          </cell>
          <cell r="I18" t="str">
            <v>WILLIAN GUSTAVO</v>
          </cell>
          <cell r="J18" t="str">
            <v/>
          </cell>
          <cell r="K18">
            <v>0</v>
          </cell>
          <cell r="L18">
            <v>0</v>
          </cell>
          <cell r="M18">
            <v>0</v>
          </cell>
          <cell r="N18" t="str">
            <v>CONTROLADORIA</v>
          </cell>
          <cell r="O18" t="str">
            <v>ATIVO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</row>
        <row r="19">
          <cell r="E19">
            <v>200202</v>
          </cell>
          <cell r="F19" t="str">
            <v>CONTABILIDADE/FISCAL/PATRIMONIAL</v>
          </cell>
          <cell r="G19">
            <v>40</v>
          </cell>
          <cell r="H19" t="str">
            <v>ADM</v>
          </cell>
          <cell r="I19" t="str">
            <v>WILLIAN GUSTAVO OLIVEIRA</v>
          </cell>
          <cell r="J19" t="str">
            <v>ADM ING</v>
          </cell>
          <cell r="K19" t="str">
            <v>Aguarda Contab.</v>
          </cell>
          <cell r="L19" t="str">
            <v>mudar nombre a CONTABILIDADES</v>
          </cell>
          <cell r="M19">
            <v>0</v>
          </cell>
          <cell r="N19" t="str">
            <v>CONTROLADORIA</v>
          </cell>
          <cell r="O19" t="str">
            <v>ATIVO</v>
          </cell>
          <cell r="P19" t="str">
            <v>E01</v>
          </cell>
          <cell r="Q19" t="str">
            <v>E09</v>
          </cell>
          <cell r="R19">
            <v>0</v>
          </cell>
          <cell r="S19">
            <v>0</v>
          </cell>
          <cell r="T19">
            <v>0</v>
          </cell>
        </row>
        <row r="20">
          <cell r="E20">
            <v>200202</v>
          </cell>
          <cell r="F20" t="str">
            <v>CONTABILIDADE/FISCAL/PATRIMONIAL</v>
          </cell>
          <cell r="G20">
            <v>40</v>
          </cell>
          <cell r="H20" t="str">
            <v>ADM</v>
          </cell>
          <cell r="I20" t="str">
            <v>WILLIAN GUSTAVO OLIVEIRA</v>
          </cell>
          <cell r="J20" t="str">
            <v>ADM ING</v>
          </cell>
          <cell r="K20">
            <v>0</v>
          </cell>
          <cell r="L20" t="str">
            <v>mudar nombre a CONTABILIDADES</v>
          </cell>
          <cell r="M20">
            <v>0</v>
          </cell>
          <cell r="N20" t="str">
            <v>CONTROLADORIA</v>
          </cell>
          <cell r="O20" t="str">
            <v>ATIVO</v>
          </cell>
          <cell r="P20" t="str">
            <v>E01</v>
          </cell>
          <cell r="Q20" t="str">
            <v>E03</v>
          </cell>
          <cell r="R20" t="str">
            <v>E09</v>
          </cell>
          <cell r="S20">
            <v>0</v>
          </cell>
          <cell r="T20">
            <v>0</v>
          </cell>
        </row>
        <row r="21">
          <cell r="E21">
            <v>200300</v>
          </cell>
          <cell r="F21" t="str">
            <v>DEPARTAMENTO FISCAL</v>
          </cell>
          <cell r="G21">
            <v>40</v>
          </cell>
          <cell r="H21" t="str">
            <v>ADM</v>
          </cell>
          <cell r="I21" t="str">
            <v>RODOLFO LIMA</v>
          </cell>
          <cell r="J21" t="str">
            <v/>
          </cell>
          <cell r="K21">
            <v>0</v>
          </cell>
          <cell r="L21">
            <v>0</v>
          </cell>
          <cell r="M21">
            <v>0</v>
          </cell>
          <cell r="N21" t="str">
            <v>CONTROLADORIA</v>
          </cell>
          <cell r="O21" t="str">
            <v>ATIVO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</row>
        <row r="22">
          <cell r="E22">
            <v>200302</v>
          </cell>
          <cell r="F22" t="str">
            <v>FISCAL</v>
          </cell>
          <cell r="G22">
            <v>40</v>
          </cell>
          <cell r="H22" t="str">
            <v>ADM</v>
          </cell>
          <cell r="I22" t="str">
            <v>RODOLFO LIMA</v>
          </cell>
          <cell r="J22" t="str">
            <v>ADM ING</v>
          </cell>
          <cell r="K22">
            <v>0</v>
          </cell>
          <cell r="L22" t="str">
            <v>OK</v>
          </cell>
          <cell r="M22">
            <v>0</v>
          </cell>
          <cell r="N22" t="str">
            <v>CONTROLADORIA</v>
          </cell>
          <cell r="O22" t="str">
            <v>ATIVO</v>
          </cell>
          <cell r="P22" t="str">
            <v>E01</v>
          </cell>
          <cell r="Q22" t="str">
            <v>E10</v>
          </cell>
          <cell r="R22">
            <v>0</v>
          </cell>
          <cell r="S22">
            <v>0</v>
          </cell>
          <cell r="T22">
            <v>0</v>
          </cell>
        </row>
        <row r="23">
          <cell r="E23">
            <v>200400</v>
          </cell>
          <cell r="F23" t="str">
            <v>RECURSOS HUMANOS</v>
          </cell>
          <cell r="G23">
            <v>40</v>
          </cell>
          <cell r="H23" t="str">
            <v>ADM</v>
          </cell>
          <cell r="I23" t="str">
            <v>CELSO SESTO</v>
          </cell>
          <cell r="J23" t="str">
            <v/>
          </cell>
          <cell r="K23">
            <v>0</v>
          </cell>
          <cell r="L23">
            <v>0</v>
          </cell>
          <cell r="M23">
            <v>0</v>
          </cell>
          <cell r="N23" t="str">
            <v>Recursos Humanos</v>
          </cell>
          <cell r="O23" t="str">
            <v>ATIVO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</row>
        <row r="24">
          <cell r="E24">
            <v>200402</v>
          </cell>
          <cell r="F24" t="str">
            <v>ADMINISTRAÇÃO DE RECURSOS HUMANOS</v>
          </cell>
          <cell r="G24">
            <v>40</v>
          </cell>
          <cell r="H24" t="str">
            <v>ADM</v>
          </cell>
          <cell r="I24" t="str">
            <v>CELSO SESTO</v>
          </cell>
          <cell r="J24" t="str">
            <v>RH</v>
          </cell>
          <cell r="K24">
            <v>0</v>
          </cell>
          <cell r="L24" t="str">
            <v>OK</v>
          </cell>
          <cell r="M24">
            <v>0</v>
          </cell>
          <cell r="N24" t="str">
            <v>RECURSOS HUMANOS</v>
          </cell>
          <cell r="O24" t="str">
            <v>ATIVO</v>
          </cell>
          <cell r="P24" t="str">
            <v>E01</v>
          </cell>
          <cell r="Q24" t="str">
            <v>E12</v>
          </cell>
          <cell r="R24">
            <v>0</v>
          </cell>
          <cell r="S24">
            <v>0</v>
          </cell>
          <cell r="T24">
            <v>0</v>
          </cell>
        </row>
        <row r="25">
          <cell r="E25">
            <v>200402</v>
          </cell>
          <cell r="F25" t="str">
            <v>ADMINSITRAÇÃO DE RECURSOS HUMANOS</v>
          </cell>
          <cell r="G25">
            <v>40</v>
          </cell>
          <cell r="H25" t="str">
            <v>ADM</v>
          </cell>
          <cell r="I25" t="str">
            <v>CELSO SESTO</v>
          </cell>
          <cell r="J25" t="str">
            <v>RH</v>
          </cell>
          <cell r="K25">
            <v>0</v>
          </cell>
          <cell r="L25" t="str">
            <v>OK</v>
          </cell>
          <cell r="M25">
            <v>0</v>
          </cell>
          <cell r="N25" t="str">
            <v>RH</v>
          </cell>
          <cell r="O25" t="str">
            <v>ATIVO</v>
          </cell>
          <cell r="P25" t="str">
            <v>E01</v>
          </cell>
          <cell r="Q25" t="str">
            <v>E03</v>
          </cell>
          <cell r="R25">
            <v>0</v>
          </cell>
          <cell r="S25">
            <v>0</v>
          </cell>
          <cell r="T25">
            <v>0</v>
          </cell>
        </row>
        <row r="26">
          <cell r="E26">
            <v>200410</v>
          </cell>
          <cell r="F26" t="str">
            <v>ASSISTÊNCIA SOCIAL</v>
          </cell>
          <cell r="G26">
            <v>40</v>
          </cell>
          <cell r="H26" t="str">
            <v>ADM</v>
          </cell>
          <cell r="I26" t="str">
            <v>CELSO SESTO</v>
          </cell>
          <cell r="J26" t="str">
            <v>RH</v>
          </cell>
          <cell r="K26" t="str">
            <v>ok</v>
          </cell>
          <cell r="L26" t="str">
            <v>Mudar nome a ASSISTÊNCIA SOCIAL</v>
          </cell>
          <cell r="M26">
            <v>0</v>
          </cell>
          <cell r="N26" t="str">
            <v>ASSSITENTE SOCIAL</v>
          </cell>
          <cell r="O26" t="str">
            <v>ATIVO</v>
          </cell>
          <cell r="P26" t="str">
            <v>E01</v>
          </cell>
          <cell r="Q26" t="str">
            <v>E12</v>
          </cell>
          <cell r="R26" t="str">
            <v>E13</v>
          </cell>
          <cell r="S26">
            <v>0</v>
          </cell>
          <cell r="T26">
            <v>0</v>
          </cell>
        </row>
        <row r="27">
          <cell r="E27">
            <v>200410</v>
          </cell>
          <cell r="F27" t="str">
            <v>ASSISTÊNCIA SOCIAL</v>
          </cell>
          <cell r="G27">
            <v>40</v>
          </cell>
          <cell r="H27" t="str">
            <v>ADM</v>
          </cell>
          <cell r="I27" t="str">
            <v>CELSO SESTO</v>
          </cell>
          <cell r="J27" t="str">
            <v>RH</v>
          </cell>
          <cell r="K27">
            <v>0</v>
          </cell>
          <cell r="L27" t="str">
            <v>OK</v>
          </cell>
          <cell r="M27">
            <v>0</v>
          </cell>
          <cell r="N27" t="str">
            <v>Recursos Humanos</v>
          </cell>
          <cell r="O27" t="str">
            <v>ATIVO</v>
          </cell>
          <cell r="P27" t="str">
            <v>E01</v>
          </cell>
          <cell r="Q27" t="str">
            <v>E03</v>
          </cell>
          <cell r="R27">
            <v>0</v>
          </cell>
          <cell r="S27">
            <v>0</v>
          </cell>
          <cell r="T27">
            <v>0</v>
          </cell>
        </row>
        <row r="28">
          <cell r="E28">
            <v>200600</v>
          </cell>
          <cell r="F28" t="str">
            <v>CUSTO E ORCAMENTO</v>
          </cell>
          <cell r="G28">
            <v>40</v>
          </cell>
          <cell r="H28" t="str">
            <v>ADM</v>
          </cell>
          <cell r="I28" t="str">
            <v>WILLIAN KLINGER</v>
          </cell>
          <cell r="J28" t="str">
            <v/>
          </cell>
          <cell r="K28">
            <v>0</v>
          </cell>
          <cell r="L28">
            <v>0</v>
          </cell>
          <cell r="M28">
            <v>0</v>
          </cell>
          <cell r="N28" t="str">
            <v>CONTROLADORIA</v>
          </cell>
          <cell r="O28" t="str">
            <v>ATIVO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</row>
        <row r="29">
          <cell r="E29">
            <v>200602</v>
          </cell>
          <cell r="F29" t="str">
            <v>CUSTO E ORÇAMENTO</v>
          </cell>
          <cell r="G29">
            <v>40</v>
          </cell>
          <cell r="H29" t="str">
            <v>ADM</v>
          </cell>
          <cell r="I29" t="str">
            <v>WILLIAN KLINGER</v>
          </cell>
          <cell r="J29" t="str">
            <v>ADM ING</v>
          </cell>
          <cell r="K29">
            <v>0</v>
          </cell>
          <cell r="L29" t="str">
            <v>OK</v>
          </cell>
          <cell r="M29">
            <v>0</v>
          </cell>
          <cell r="N29" t="str">
            <v>CONTROLADORIA</v>
          </cell>
          <cell r="O29" t="str">
            <v>ATIVO</v>
          </cell>
          <cell r="P29" t="str">
            <v>E01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</row>
        <row r="30">
          <cell r="E30">
            <v>200700</v>
          </cell>
          <cell r="F30" t="str">
            <v>ADMINISTRAÇÃO DE CONTRATOS</v>
          </cell>
          <cell r="G30">
            <v>40</v>
          </cell>
          <cell r="H30" t="str">
            <v>ADM</v>
          </cell>
          <cell r="I30" t="str">
            <v>MILTON VIERA</v>
          </cell>
          <cell r="J30" t="str">
            <v/>
          </cell>
          <cell r="K30">
            <v>0</v>
          </cell>
          <cell r="L30">
            <v>0</v>
          </cell>
          <cell r="M30">
            <v>0</v>
          </cell>
          <cell r="N30" t="str">
            <v>CONTROLADORIA</v>
          </cell>
          <cell r="O30" t="str">
            <v>ATIVO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</row>
        <row r="31">
          <cell r="E31">
            <v>200702</v>
          </cell>
          <cell r="F31" t="str">
            <v>CONTRATOS</v>
          </cell>
          <cell r="G31">
            <v>40</v>
          </cell>
          <cell r="H31" t="str">
            <v>ADM</v>
          </cell>
          <cell r="I31" t="str">
            <v>MILTON VIERA</v>
          </cell>
          <cell r="J31" t="str">
            <v>ADM ING</v>
          </cell>
          <cell r="K31">
            <v>0</v>
          </cell>
          <cell r="L31" t="str">
            <v>OK</v>
          </cell>
          <cell r="M31">
            <v>0</v>
          </cell>
          <cell r="N31" t="str">
            <v>CONTROLADORIA</v>
          </cell>
          <cell r="O31" t="str">
            <v>ATIVO</v>
          </cell>
          <cell r="P31" t="str">
            <v>E01</v>
          </cell>
          <cell r="Q31" t="str">
            <v>E04</v>
          </cell>
          <cell r="R31">
            <v>0</v>
          </cell>
          <cell r="S31">
            <v>0</v>
          </cell>
          <cell r="T31">
            <v>0</v>
          </cell>
        </row>
        <row r="32">
          <cell r="E32">
            <v>200800</v>
          </cell>
          <cell r="F32" t="str">
            <v>TECNOLOGIA DA INFORMACAO</v>
          </cell>
          <cell r="G32">
            <v>40</v>
          </cell>
          <cell r="H32" t="str">
            <v>ADM</v>
          </cell>
          <cell r="I32" t="str">
            <v>EMERSON OLIVO</v>
          </cell>
          <cell r="J32" t="str">
            <v/>
          </cell>
          <cell r="K32">
            <v>0</v>
          </cell>
          <cell r="L32">
            <v>0</v>
          </cell>
          <cell r="M32">
            <v>0</v>
          </cell>
          <cell r="N32" t="str">
            <v>TI</v>
          </cell>
          <cell r="O32" t="str">
            <v>ATIVO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</row>
        <row r="33">
          <cell r="E33">
            <v>200802</v>
          </cell>
          <cell r="F33" t="str">
            <v>TECNOLOGIA DA INFORMAÇÃO</v>
          </cell>
          <cell r="G33">
            <v>40</v>
          </cell>
          <cell r="H33" t="str">
            <v>ADM</v>
          </cell>
          <cell r="I33" t="str">
            <v>EMERSON OLIVO</v>
          </cell>
          <cell r="J33" t="str">
            <v>ADM ING</v>
          </cell>
          <cell r="K33" t="str">
            <v>Aguarda Contab.</v>
          </cell>
          <cell r="L33" t="str">
            <v>Pasar imobilizado al ceco  300802 (Inativar)</v>
          </cell>
          <cell r="M33">
            <v>0</v>
          </cell>
          <cell r="N33" t="str">
            <v>TI</v>
          </cell>
          <cell r="O33" t="str">
            <v>ATIVO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</row>
        <row r="34">
          <cell r="E34">
            <v>201000</v>
          </cell>
          <cell r="F34" t="str">
            <v>SUPRIMENTOS</v>
          </cell>
          <cell r="G34">
            <v>40</v>
          </cell>
          <cell r="H34" t="str">
            <v>ADM</v>
          </cell>
          <cell r="I34" t="str">
            <v>GENNER FLORENCIO</v>
          </cell>
          <cell r="J34" t="str">
            <v/>
          </cell>
          <cell r="K34">
            <v>0</v>
          </cell>
          <cell r="L34">
            <v>0</v>
          </cell>
          <cell r="M34">
            <v>0</v>
          </cell>
          <cell r="N34" t="str">
            <v>SUPRIMENTOS</v>
          </cell>
          <cell r="O34" t="str">
            <v>ATIVO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</row>
        <row r="35">
          <cell r="E35">
            <v>201002</v>
          </cell>
          <cell r="F35" t="str">
            <v>COMPRAS</v>
          </cell>
          <cell r="G35">
            <v>40</v>
          </cell>
          <cell r="H35" t="str">
            <v>ADM</v>
          </cell>
          <cell r="I35" t="str">
            <v>GENNER FLORENCIO</v>
          </cell>
          <cell r="J35" t="str">
            <v>LOGISTICA</v>
          </cell>
          <cell r="K35" t="str">
            <v>Aguarda Contab.</v>
          </cell>
          <cell r="L35" t="str">
            <v>Mudar nome a Logística</v>
          </cell>
          <cell r="M35">
            <v>0</v>
          </cell>
          <cell r="N35" t="str">
            <v>SUPRIMENTOS</v>
          </cell>
          <cell r="O35" t="str">
            <v>ATIVO</v>
          </cell>
          <cell r="P35" t="str">
            <v>E01</v>
          </cell>
          <cell r="Q35" t="str">
            <v>E07</v>
          </cell>
          <cell r="R35" t="str">
            <v>E19</v>
          </cell>
          <cell r="S35">
            <v>0</v>
          </cell>
          <cell r="T35">
            <v>0</v>
          </cell>
        </row>
        <row r="36">
          <cell r="E36">
            <v>201200</v>
          </cell>
          <cell r="F36" t="str">
            <v>COMERCIAL</v>
          </cell>
          <cell r="G36">
            <v>30</v>
          </cell>
          <cell r="H36" t="str">
            <v>COM</v>
          </cell>
          <cell r="I36" t="str">
            <v>GENNER FLORENCIO</v>
          </cell>
          <cell r="J36" t="str">
            <v/>
          </cell>
          <cell r="K36">
            <v>0</v>
          </cell>
          <cell r="L36">
            <v>0</v>
          </cell>
          <cell r="M36">
            <v>0</v>
          </cell>
          <cell r="N36" t="str">
            <v>COMERCIAL</v>
          </cell>
          <cell r="O36" t="str">
            <v>ATIVO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</row>
        <row r="37">
          <cell r="E37">
            <v>201202</v>
          </cell>
          <cell r="F37" t="str">
            <v>COMERCIAL</v>
          </cell>
          <cell r="G37">
            <v>30</v>
          </cell>
          <cell r="H37" t="str">
            <v>COM</v>
          </cell>
          <cell r="I37" t="str">
            <v>GENNER FLORENCIO</v>
          </cell>
          <cell r="J37" t="str">
            <v>LOGISTICA</v>
          </cell>
          <cell r="K37">
            <v>0</v>
          </cell>
          <cell r="L37" t="str">
            <v>OK</v>
          </cell>
          <cell r="M37">
            <v>0</v>
          </cell>
          <cell r="N37" t="str">
            <v>COMERCIAL</v>
          </cell>
          <cell r="O37" t="str">
            <v>ATIVO</v>
          </cell>
          <cell r="P37" t="str">
            <v>E01</v>
          </cell>
          <cell r="Q37" t="str">
            <v>E07</v>
          </cell>
          <cell r="R37" t="str">
            <v>E05</v>
          </cell>
          <cell r="S37">
            <v>0</v>
          </cell>
          <cell r="T37">
            <v>0</v>
          </cell>
        </row>
        <row r="38">
          <cell r="E38">
            <v>201204</v>
          </cell>
          <cell r="F38" t="str">
            <v>COMERCIALIZAÇÃO</v>
          </cell>
          <cell r="G38">
            <v>30</v>
          </cell>
          <cell r="H38" t="str">
            <v>COM</v>
          </cell>
          <cell r="I38" t="str">
            <v>GENNER FLORENCIO</v>
          </cell>
          <cell r="J38" t="str">
            <v>LOGISTICA</v>
          </cell>
          <cell r="K38">
            <v>0</v>
          </cell>
          <cell r="L38" t="str">
            <v>OK (comissões e corretagens)</v>
          </cell>
          <cell r="M38">
            <v>0</v>
          </cell>
          <cell r="N38" t="str">
            <v>COMERCIAL</v>
          </cell>
          <cell r="O38" t="str">
            <v>ATIVO</v>
          </cell>
          <cell r="P38" t="str">
            <v>E01</v>
          </cell>
          <cell r="Q38" t="str">
            <v>E07</v>
          </cell>
          <cell r="R38" t="str">
            <v>E05</v>
          </cell>
          <cell r="S38">
            <v>0</v>
          </cell>
          <cell r="T38">
            <v>0</v>
          </cell>
        </row>
        <row r="39">
          <cell r="E39">
            <v>201400</v>
          </cell>
          <cell r="F39" t="str">
            <v>FINANCEIRO</v>
          </cell>
          <cell r="G39">
            <v>40</v>
          </cell>
          <cell r="H39" t="str">
            <v>ADM</v>
          </cell>
          <cell r="I39" t="str">
            <v>SILVIO CABRIOTI</v>
          </cell>
          <cell r="J39" t="str">
            <v/>
          </cell>
          <cell r="K39">
            <v>0</v>
          </cell>
          <cell r="L39">
            <v>0</v>
          </cell>
          <cell r="M39">
            <v>0</v>
          </cell>
          <cell r="N39" t="str">
            <v>CONTROLADORIA</v>
          </cell>
          <cell r="O39" t="str">
            <v>ATIVO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</row>
        <row r="40">
          <cell r="E40">
            <v>201402</v>
          </cell>
          <cell r="F40" t="str">
            <v>GERENCIA FINANCEIRA</v>
          </cell>
          <cell r="G40">
            <v>40</v>
          </cell>
          <cell r="H40" t="str">
            <v>ADM</v>
          </cell>
          <cell r="I40" t="str">
            <v>SILVIO CABRIOTI</v>
          </cell>
          <cell r="J40" t="str">
            <v>ADM ING</v>
          </cell>
          <cell r="K40" t="str">
            <v>Aguarda Contab.</v>
          </cell>
          <cell r="L40" t="str">
            <v>Pasar imobilizado al ceco 201.404 (inativar)</v>
          </cell>
          <cell r="M40">
            <v>0</v>
          </cell>
          <cell r="N40" t="str">
            <v>CONTROLADORIA</v>
          </cell>
          <cell r="O40" t="str">
            <v>VERIFICAR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</row>
        <row r="41">
          <cell r="E41">
            <v>201404</v>
          </cell>
          <cell r="F41" t="str">
            <v>TESOURARIA</v>
          </cell>
          <cell r="G41">
            <v>40</v>
          </cell>
          <cell r="H41" t="str">
            <v>ADM</v>
          </cell>
          <cell r="I41" t="str">
            <v>SILVIO CABRIOTI</v>
          </cell>
          <cell r="J41" t="str">
            <v>ADM ING</v>
          </cell>
          <cell r="K41">
            <v>0</v>
          </cell>
          <cell r="L41" t="str">
            <v>OK</v>
          </cell>
          <cell r="M41">
            <v>0</v>
          </cell>
          <cell r="N41" t="str">
            <v>CONTROLADORIA</v>
          </cell>
          <cell r="O41" t="str">
            <v>ATIVO</v>
          </cell>
          <cell r="P41" t="str">
            <v>E01</v>
          </cell>
          <cell r="Q41" t="str">
            <v>E11</v>
          </cell>
          <cell r="R41">
            <v>0</v>
          </cell>
          <cell r="S41">
            <v>0</v>
          </cell>
          <cell r="T41">
            <v>0</v>
          </cell>
        </row>
        <row r="42">
          <cell r="E42">
            <v>201600</v>
          </cell>
          <cell r="F42" t="str">
            <v>JURIDICO</v>
          </cell>
          <cell r="G42">
            <v>40</v>
          </cell>
          <cell r="H42" t="str">
            <v>ADM</v>
          </cell>
          <cell r="I42" t="str">
            <v>THIAGO FOGAÇA</v>
          </cell>
          <cell r="J42" t="str">
            <v/>
          </cell>
          <cell r="K42">
            <v>0</v>
          </cell>
          <cell r="L42">
            <v>0</v>
          </cell>
          <cell r="M42">
            <v>0</v>
          </cell>
          <cell r="N42" t="str">
            <v>JURIDICO</v>
          </cell>
          <cell r="O42" t="str">
            <v>ATIVO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</row>
        <row r="43">
          <cell r="E43">
            <v>201602</v>
          </cell>
          <cell r="F43" t="str">
            <v>JURÍDICO</v>
          </cell>
          <cell r="G43">
            <v>40</v>
          </cell>
          <cell r="H43" t="str">
            <v>ADM</v>
          </cell>
          <cell r="I43" t="str">
            <v>THIAGO FOGAÇA</v>
          </cell>
          <cell r="J43" t="str">
            <v>ADM PAIS</v>
          </cell>
          <cell r="K43">
            <v>0</v>
          </cell>
          <cell r="L43" t="str">
            <v>OK</v>
          </cell>
          <cell r="M43">
            <v>0</v>
          </cell>
          <cell r="N43" t="str">
            <v>JURIDICO</v>
          </cell>
          <cell r="O43" t="str">
            <v>ATIVO</v>
          </cell>
          <cell r="P43" t="str">
            <v>E01</v>
          </cell>
          <cell r="Q43" t="str">
            <v>E15</v>
          </cell>
          <cell r="R43">
            <v>0</v>
          </cell>
          <cell r="S43">
            <v>0</v>
          </cell>
          <cell r="T43">
            <v>0</v>
          </cell>
        </row>
        <row r="44">
          <cell r="E44">
            <v>201602</v>
          </cell>
          <cell r="F44" t="str">
            <v>JURÍDICO</v>
          </cell>
          <cell r="G44">
            <v>40</v>
          </cell>
          <cell r="H44" t="str">
            <v>ADM</v>
          </cell>
          <cell r="I44" t="str">
            <v>THIAGO FOGAÇA</v>
          </cell>
          <cell r="J44" t="str">
            <v>ADM PAIS</v>
          </cell>
          <cell r="K44">
            <v>0</v>
          </cell>
          <cell r="L44" t="str">
            <v>OK</v>
          </cell>
          <cell r="M44">
            <v>0</v>
          </cell>
          <cell r="N44" t="str">
            <v>JURIDICO</v>
          </cell>
          <cell r="O44" t="str">
            <v>ATIVO</v>
          </cell>
          <cell r="P44" t="str">
            <v>E01</v>
          </cell>
          <cell r="Q44" t="str">
            <v>E03</v>
          </cell>
          <cell r="R44" t="str">
            <v>E15</v>
          </cell>
          <cell r="S44">
            <v>0</v>
          </cell>
          <cell r="T44">
            <v>0</v>
          </cell>
        </row>
        <row r="45">
          <cell r="E45">
            <v>201800</v>
          </cell>
          <cell r="F45" t="str">
            <v>CONTROLE INTERNO</v>
          </cell>
          <cell r="G45">
            <v>40</v>
          </cell>
          <cell r="H45" t="str">
            <v>ADM</v>
          </cell>
          <cell r="I45" t="str">
            <v>PAOLA LANDERAS</v>
          </cell>
          <cell r="J45" t="str">
            <v/>
          </cell>
          <cell r="K45">
            <v>0</v>
          </cell>
          <cell r="L45">
            <v>0</v>
          </cell>
          <cell r="M45">
            <v>0</v>
          </cell>
          <cell r="N45" t="str">
            <v>AUDITORIA INTERNA</v>
          </cell>
          <cell r="O45" t="str">
            <v>ATIVO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</row>
        <row r="46">
          <cell r="E46">
            <v>201802</v>
          </cell>
          <cell r="F46" t="str">
            <v>CONTROLE INTERNO</v>
          </cell>
          <cell r="G46">
            <v>40</v>
          </cell>
          <cell r="H46" t="str">
            <v>ADM</v>
          </cell>
          <cell r="I46" t="str">
            <v>PAOLA LANDERAS</v>
          </cell>
          <cell r="J46" t="str">
            <v>ADM ING</v>
          </cell>
          <cell r="K46" t="str">
            <v>ok - Email</v>
          </cell>
          <cell r="L46" t="str">
            <v>que imobilizado tem? (reclasificar e inativar)</v>
          </cell>
          <cell r="M46">
            <v>0</v>
          </cell>
          <cell r="N46" t="str">
            <v>AUDITORIA INTERNA</v>
          </cell>
          <cell r="O46" t="str">
            <v>VERIFICAR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</row>
        <row r="47">
          <cell r="E47">
            <v>202000</v>
          </cell>
          <cell r="F47" t="str">
            <v>MEIO AMBIEMTE</v>
          </cell>
          <cell r="G47">
            <v>40</v>
          </cell>
          <cell r="H47" t="str">
            <v>ADM</v>
          </cell>
          <cell r="I47" t="str">
            <v>DINAEL VEIGA</v>
          </cell>
          <cell r="J47" t="str">
            <v/>
          </cell>
          <cell r="K47">
            <v>0</v>
          </cell>
          <cell r="L47">
            <v>0</v>
          </cell>
          <cell r="M47">
            <v>0</v>
          </cell>
          <cell r="N47" t="str">
            <v>MEIO AMBIENTE</v>
          </cell>
          <cell r="O47" t="str">
            <v>ATIVO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</row>
        <row r="48">
          <cell r="E48">
            <v>202002</v>
          </cell>
          <cell r="F48" t="str">
            <v>MEIO AMBIENTE</v>
          </cell>
          <cell r="G48">
            <v>40</v>
          </cell>
          <cell r="H48" t="str">
            <v>ADM</v>
          </cell>
          <cell r="I48" t="str">
            <v>DINAEL VEIGA</v>
          </cell>
          <cell r="J48" t="str">
            <v>ADM PAIS</v>
          </cell>
          <cell r="K48">
            <v>0</v>
          </cell>
          <cell r="L48" t="str">
            <v>OK</v>
          </cell>
          <cell r="M48">
            <v>0</v>
          </cell>
          <cell r="N48" t="str">
            <v>MEIO AMBIENTE</v>
          </cell>
          <cell r="O48" t="str">
            <v>ATIVO</v>
          </cell>
          <cell r="P48" t="str">
            <v>E01</v>
          </cell>
          <cell r="Q48" t="str">
            <v>E06</v>
          </cell>
          <cell r="R48">
            <v>0</v>
          </cell>
          <cell r="S48">
            <v>0</v>
          </cell>
          <cell r="T48">
            <v>0</v>
          </cell>
        </row>
        <row r="49">
          <cell r="E49">
            <v>202002</v>
          </cell>
          <cell r="F49" t="str">
            <v>MEIO AMBIENTE</v>
          </cell>
          <cell r="G49">
            <v>40</v>
          </cell>
          <cell r="H49" t="str">
            <v>ADM</v>
          </cell>
          <cell r="I49" t="str">
            <v>DINAEL VEIGA</v>
          </cell>
          <cell r="J49" t="str">
            <v>ADM PAIS</v>
          </cell>
          <cell r="K49">
            <v>0</v>
          </cell>
          <cell r="L49" t="str">
            <v>OK</v>
          </cell>
          <cell r="M49">
            <v>0</v>
          </cell>
          <cell r="N49" t="str">
            <v>MEIO AMBIENTE</v>
          </cell>
          <cell r="O49" t="str">
            <v>ATIVO</v>
          </cell>
          <cell r="P49" t="str">
            <v>E01</v>
          </cell>
          <cell r="Q49" t="str">
            <v>E03</v>
          </cell>
          <cell r="R49">
            <v>0</v>
          </cell>
          <cell r="S49">
            <v>0</v>
          </cell>
          <cell r="T49">
            <v>0</v>
          </cell>
        </row>
        <row r="50">
          <cell r="E50">
            <v>300000</v>
          </cell>
          <cell r="F50" t="str">
            <v>ADMINISTRACAO LOCAL</v>
          </cell>
          <cell r="G50">
            <v>40</v>
          </cell>
          <cell r="H50" t="str">
            <v>ADM</v>
          </cell>
          <cell r="I50" t="str">
            <v>PAOLA LANDERAS</v>
          </cell>
          <cell r="J50" t="str">
            <v/>
          </cell>
          <cell r="K50">
            <v>0</v>
          </cell>
          <cell r="L50">
            <v>0</v>
          </cell>
          <cell r="M50">
            <v>0</v>
          </cell>
          <cell r="N50" t="str">
            <v>ADMINISTRACAO GERAL</v>
          </cell>
          <cell r="O50" t="str">
            <v>ATIVO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</row>
        <row r="51">
          <cell r="E51">
            <v>300200</v>
          </cell>
          <cell r="F51" t="str">
            <v>DEPTO CONTABIL</v>
          </cell>
          <cell r="G51">
            <v>40</v>
          </cell>
          <cell r="H51" t="str">
            <v>ADM</v>
          </cell>
          <cell r="I51" t="str">
            <v>WILLIAN GUSTAVO</v>
          </cell>
          <cell r="J51" t="str">
            <v/>
          </cell>
          <cell r="K51" t="str">
            <v>Sem movimento</v>
          </cell>
          <cell r="L51" t="str">
            <v>??????</v>
          </cell>
          <cell r="M51">
            <v>0</v>
          </cell>
          <cell r="N51" t="str">
            <v>CONTROLADORIA</v>
          </cell>
          <cell r="O51" t="str">
            <v>ATIVO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</row>
        <row r="52">
          <cell r="E52">
            <v>300206</v>
          </cell>
          <cell r="F52" t="str">
            <v>FATURAMENTO</v>
          </cell>
          <cell r="G52">
            <v>40</v>
          </cell>
          <cell r="H52" t="str">
            <v>ADM</v>
          </cell>
          <cell r="I52" t="str">
            <v>GENNER FLORENCIO</v>
          </cell>
          <cell r="J52" t="str">
            <v>LOGISTICA</v>
          </cell>
          <cell r="K52">
            <v>0</v>
          </cell>
          <cell r="L52" t="str">
            <v>OK</v>
          </cell>
          <cell r="M52">
            <v>0</v>
          </cell>
          <cell r="N52" t="str">
            <v>CONTROLADORIA</v>
          </cell>
          <cell r="O52" t="str">
            <v>ATIVO</v>
          </cell>
          <cell r="P52" t="str">
            <v>E01</v>
          </cell>
          <cell r="Q52" t="str">
            <v>E07</v>
          </cell>
          <cell r="R52" t="str">
            <v>E22</v>
          </cell>
          <cell r="S52">
            <v>0</v>
          </cell>
          <cell r="T52">
            <v>0</v>
          </cell>
        </row>
        <row r="53">
          <cell r="E53">
            <v>300208</v>
          </cell>
          <cell r="F53" t="str">
            <v>RECEBIMENTO</v>
          </cell>
          <cell r="G53">
            <v>40</v>
          </cell>
          <cell r="H53" t="str">
            <v>ADM</v>
          </cell>
          <cell r="I53" t="str">
            <v>GENNER FLORENCIO</v>
          </cell>
          <cell r="J53" t="str">
            <v>ADM ING</v>
          </cell>
          <cell r="K53">
            <v>0</v>
          </cell>
          <cell r="L53" t="str">
            <v>OK</v>
          </cell>
          <cell r="M53">
            <v>0</v>
          </cell>
          <cell r="N53" t="str">
            <v>CONTROLADORIA</v>
          </cell>
          <cell r="O53" t="str">
            <v>ATIVO</v>
          </cell>
          <cell r="P53" t="str">
            <v>E01</v>
          </cell>
          <cell r="Q53" t="str">
            <v>E07</v>
          </cell>
          <cell r="R53" t="str">
            <v>E33</v>
          </cell>
          <cell r="S53">
            <v>0</v>
          </cell>
          <cell r="T53">
            <v>0</v>
          </cell>
        </row>
        <row r="54">
          <cell r="E54">
            <v>300210</v>
          </cell>
          <cell r="F54" t="str">
            <v>BALANÇA ENTRADA CANA</v>
          </cell>
          <cell r="G54">
            <v>40</v>
          </cell>
          <cell r="H54" t="str">
            <v>ADM</v>
          </cell>
          <cell r="I54" t="str">
            <v>GENNER FLORENCIO</v>
          </cell>
          <cell r="J54" t="str">
            <v>LOGISTICA</v>
          </cell>
          <cell r="K54">
            <v>0</v>
          </cell>
          <cell r="L54" t="str">
            <v>OK</v>
          </cell>
          <cell r="M54">
            <v>0</v>
          </cell>
          <cell r="N54" t="str">
            <v>CONTROLADORIA</v>
          </cell>
          <cell r="O54" t="str">
            <v>ATIVO</v>
          </cell>
          <cell r="P54" t="str">
            <v>E01</v>
          </cell>
          <cell r="Q54" t="str">
            <v>E07</v>
          </cell>
          <cell r="R54" t="str">
            <v>E22</v>
          </cell>
          <cell r="S54">
            <v>0</v>
          </cell>
          <cell r="T54">
            <v>0</v>
          </cell>
        </row>
        <row r="55">
          <cell r="E55">
            <v>300400</v>
          </cell>
          <cell r="F55" t="str">
            <v>RECURSOS HUMANOS</v>
          </cell>
          <cell r="G55">
            <v>40</v>
          </cell>
          <cell r="H55" t="str">
            <v>ADM</v>
          </cell>
          <cell r="I55" t="str">
            <v>CELSO SESTO</v>
          </cell>
          <cell r="J55" t="str">
            <v/>
          </cell>
          <cell r="K55">
            <v>0</v>
          </cell>
          <cell r="L55">
            <v>0</v>
          </cell>
          <cell r="M55">
            <v>0</v>
          </cell>
          <cell r="N55" t="str">
            <v>Recursos Humanos</v>
          </cell>
          <cell r="O55" t="str">
            <v>ATIVO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</row>
        <row r="56">
          <cell r="E56">
            <v>300404</v>
          </cell>
          <cell r="F56" t="str">
            <v>ADMINISTRACAO DE PESSOAL</v>
          </cell>
          <cell r="G56">
            <v>40</v>
          </cell>
          <cell r="H56" t="str">
            <v>ADM</v>
          </cell>
          <cell r="I56" t="str">
            <v>CELSO SESTO</v>
          </cell>
          <cell r="J56" t="str">
            <v>RH</v>
          </cell>
          <cell r="K56">
            <v>0</v>
          </cell>
          <cell r="L56" t="str">
            <v>OK</v>
          </cell>
          <cell r="M56">
            <v>0</v>
          </cell>
          <cell r="N56" t="str">
            <v>DEPARTAMENTO PESSOAL</v>
          </cell>
          <cell r="O56" t="str">
            <v>ATIVO</v>
          </cell>
          <cell r="P56" t="str">
            <v>E01</v>
          </cell>
          <cell r="Q56" t="str">
            <v>E30</v>
          </cell>
          <cell r="R56" t="str">
            <v>E30</v>
          </cell>
          <cell r="S56">
            <v>0</v>
          </cell>
          <cell r="T56">
            <v>0</v>
          </cell>
        </row>
        <row r="57">
          <cell r="E57">
            <v>300404</v>
          </cell>
          <cell r="F57" t="str">
            <v>ADMINISTRACAO DE PESSOAL</v>
          </cell>
          <cell r="G57">
            <v>40</v>
          </cell>
          <cell r="H57" t="str">
            <v>ADM</v>
          </cell>
          <cell r="I57" t="str">
            <v>CELSO SESTO</v>
          </cell>
          <cell r="J57" t="str">
            <v>RH</v>
          </cell>
          <cell r="K57">
            <v>0</v>
          </cell>
          <cell r="L57" t="str">
            <v>OK</v>
          </cell>
          <cell r="M57">
            <v>0</v>
          </cell>
          <cell r="N57" t="str">
            <v>RH</v>
          </cell>
          <cell r="O57" t="str">
            <v>ATIVO</v>
          </cell>
          <cell r="P57" t="str">
            <v>E01</v>
          </cell>
          <cell r="Q57" t="str">
            <v>E03</v>
          </cell>
          <cell r="R57">
            <v>0</v>
          </cell>
          <cell r="S57">
            <v>0</v>
          </cell>
          <cell r="T57">
            <v>0</v>
          </cell>
        </row>
        <row r="58">
          <cell r="E58">
            <v>300410</v>
          </cell>
          <cell r="F58" t="str">
            <v>MEDICINA DO TRABALHO</v>
          </cell>
          <cell r="G58">
            <v>40</v>
          </cell>
          <cell r="H58" t="str">
            <v>ADM</v>
          </cell>
          <cell r="I58" t="str">
            <v>CELSO SESTO</v>
          </cell>
          <cell r="J58" t="str">
            <v>RH</v>
          </cell>
          <cell r="K58">
            <v>0</v>
          </cell>
          <cell r="L58" t="str">
            <v>OK</v>
          </cell>
          <cell r="M58">
            <v>0</v>
          </cell>
          <cell r="N58" t="str">
            <v>MEDICINA DO TRABALHO</v>
          </cell>
          <cell r="O58" t="str">
            <v>ATIVO</v>
          </cell>
          <cell r="P58" t="str">
            <v>E01</v>
          </cell>
          <cell r="Q58" t="str">
            <v>E12</v>
          </cell>
          <cell r="R58" t="str">
            <v>E22</v>
          </cell>
          <cell r="S58">
            <v>0</v>
          </cell>
          <cell r="T58">
            <v>0</v>
          </cell>
        </row>
        <row r="59">
          <cell r="E59">
            <v>300410</v>
          </cell>
          <cell r="F59" t="str">
            <v>MEDICINA DO TRABALHO</v>
          </cell>
          <cell r="G59">
            <v>40</v>
          </cell>
          <cell r="H59" t="str">
            <v>ADM</v>
          </cell>
          <cell r="I59" t="str">
            <v>CELSO SESTO</v>
          </cell>
          <cell r="J59" t="str">
            <v>RH</v>
          </cell>
          <cell r="K59">
            <v>0</v>
          </cell>
          <cell r="L59" t="str">
            <v>OK</v>
          </cell>
          <cell r="M59">
            <v>0</v>
          </cell>
          <cell r="N59" t="str">
            <v>RH</v>
          </cell>
          <cell r="O59" t="str">
            <v>ATIVO</v>
          </cell>
          <cell r="P59" t="str">
            <v>E01</v>
          </cell>
          <cell r="Q59" t="str">
            <v>E03</v>
          </cell>
          <cell r="R59">
            <v>0</v>
          </cell>
          <cell r="S59">
            <v>0</v>
          </cell>
          <cell r="T59">
            <v>0</v>
          </cell>
        </row>
        <row r="60">
          <cell r="E60">
            <v>300412</v>
          </cell>
          <cell r="F60" t="str">
            <v>SEGURANCA DO TRABALHO</v>
          </cell>
          <cell r="G60">
            <v>40</v>
          </cell>
          <cell r="H60" t="str">
            <v>ADM</v>
          </cell>
          <cell r="I60" t="str">
            <v>GABRIEL VIANA</v>
          </cell>
          <cell r="J60" t="str">
            <v>RH</v>
          </cell>
          <cell r="K60">
            <v>0</v>
          </cell>
          <cell r="L60" t="str">
            <v>OK</v>
          </cell>
          <cell r="M60">
            <v>0</v>
          </cell>
          <cell r="N60" t="str">
            <v>SEGURANÇA DO TRABALHO</v>
          </cell>
          <cell r="O60" t="str">
            <v>ATIVO</v>
          </cell>
          <cell r="P60" t="str">
            <v>E01</v>
          </cell>
          <cell r="Q60" t="str">
            <v>E14</v>
          </cell>
          <cell r="R60">
            <v>0</v>
          </cell>
          <cell r="S60">
            <v>0</v>
          </cell>
          <cell r="T60">
            <v>0</v>
          </cell>
        </row>
        <row r="61">
          <cell r="E61">
            <v>300412</v>
          </cell>
          <cell r="F61" t="str">
            <v>SEGURANCA DO TRABALHO</v>
          </cell>
          <cell r="G61">
            <v>40</v>
          </cell>
          <cell r="H61" t="str">
            <v>ADM</v>
          </cell>
          <cell r="I61" t="str">
            <v>GABRIEL VIANA</v>
          </cell>
          <cell r="J61" t="str">
            <v>RH</v>
          </cell>
          <cell r="K61">
            <v>0</v>
          </cell>
          <cell r="L61" t="str">
            <v>OK</v>
          </cell>
          <cell r="M61">
            <v>0</v>
          </cell>
          <cell r="N61" t="str">
            <v>RH</v>
          </cell>
          <cell r="O61" t="str">
            <v>ATIVO</v>
          </cell>
          <cell r="P61" t="str">
            <v>E01</v>
          </cell>
          <cell r="Q61" t="str">
            <v>E03</v>
          </cell>
          <cell r="R61" t="str">
            <v>E14</v>
          </cell>
          <cell r="S61">
            <v>0</v>
          </cell>
          <cell r="T61">
            <v>0</v>
          </cell>
        </row>
        <row r="62">
          <cell r="E62">
            <v>300414</v>
          </cell>
          <cell r="F62" t="str">
            <v>SEGURANCA PATRIMONIAL</v>
          </cell>
          <cell r="G62">
            <v>40</v>
          </cell>
          <cell r="H62" t="str">
            <v>ADM</v>
          </cell>
          <cell r="I62" t="str">
            <v>GABRIEL VIANA</v>
          </cell>
          <cell r="J62" t="str">
            <v>RH</v>
          </cell>
          <cell r="K62">
            <v>0</v>
          </cell>
          <cell r="L62" t="str">
            <v>OK</v>
          </cell>
          <cell r="M62">
            <v>0</v>
          </cell>
          <cell r="N62" t="str">
            <v>SERGURANÇA PATRIMONIAL</v>
          </cell>
          <cell r="O62" t="str">
            <v>ATIVO</v>
          </cell>
          <cell r="P62" t="str">
            <v>E01</v>
          </cell>
          <cell r="Q62" t="str">
            <v>E12</v>
          </cell>
          <cell r="R62">
            <v>0</v>
          </cell>
          <cell r="S62">
            <v>0</v>
          </cell>
          <cell r="T62">
            <v>0</v>
          </cell>
        </row>
        <row r="63">
          <cell r="E63">
            <v>300416</v>
          </cell>
          <cell r="F63" t="str">
            <v>RESTAURANTE</v>
          </cell>
          <cell r="G63">
            <v>40</v>
          </cell>
          <cell r="H63" t="str">
            <v>ADM</v>
          </cell>
          <cell r="I63" t="str">
            <v>GABRIEL VIANA</v>
          </cell>
          <cell r="J63" t="str">
            <v>RH</v>
          </cell>
          <cell r="K63">
            <v>0</v>
          </cell>
          <cell r="L63" t="str">
            <v>OK</v>
          </cell>
          <cell r="M63">
            <v>0</v>
          </cell>
          <cell r="N63" t="str">
            <v>REFEITÓRIO</v>
          </cell>
          <cell r="O63" t="str">
            <v>ATIVO</v>
          </cell>
          <cell r="P63" t="str">
            <v>E01</v>
          </cell>
          <cell r="Q63" t="str">
            <v>E14</v>
          </cell>
          <cell r="R63">
            <v>0</v>
          </cell>
          <cell r="S63">
            <v>0</v>
          </cell>
          <cell r="T63">
            <v>0</v>
          </cell>
        </row>
        <row r="64">
          <cell r="E64">
            <v>300420</v>
          </cell>
          <cell r="F64" t="str">
            <v>RECEPCAO, COPA E COZINHA</v>
          </cell>
          <cell r="G64">
            <v>40</v>
          </cell>
          <cell r="H64" t="str">
            <v>ADM</v>
          </cell>
          <cell r="I64" t="str">
            <v>WILLIAN GUSTAVO OLIVEIRA</v>
          </cell>
          <cell r="J64" t="str">
            <v>ADM ING</v>
          </cell>
          <cell r="K64" t="str">
            <v>ok - Email</v>
          </cell>
          <cell r="L64" t="str">
            <v>??? Que despesas tem</v>
          </cell>
          <cell r="M64">
            <v>0</v>
          </cell>
          <cell r="N64" t="str">
            <v>ADMINISTRAÇÃO</v>
          </cell>
          <cell r="O64" t="str">
            <v>ATIVO</v>
          </cell>
          <cell r="P64" t="str">
            <v>E01</v>
          </cell>
          <cell r="Q64" t="str">
            <v>E14</v>
          </cell>
          <cell r="R64" t="str">
            <v>E20</v>
          </cell>
          <cell r="S64">
            <v>0</v>
          </cell>
          <cell r="T64">
            <v>0</v>
          </cell>
        </row>
        <row r="65">
          <cell r="E65">
            <v>300421</v>
          </cell>
          <cell r="F65" t="str">
            <v>SERVICOS GERAIS</v>
          </cell>
          <cell r="G65">
            <v>40</v>
          </cell>
          <cell r="H65" t="str">
            <v>ADM</v>
          </cell>
          <cell r="I65" t="str">
            <v>GABRIEL VIANA</v>
          </cell>
          <cell r="J65" t="str">
            <v/>
          </cell>
          <cell r="K65">
            <v>0</v>
          </cell>
          <cell r="L65" t="str">
            <v>OK</v>
          </cell>
          <cell r="M65">
            <v>0</v>
          </cell>
          <cell r="N65" t="str">
            <v>SEGURANÇA DO TRABALHO</v>
          </cell>
          <cell r="O65" t="str">
            <v>ATIVO</v>
          </cell>
          <cell r="P65" t="str">
            <v>E01</v>
          </cell>
          <cell r="Q65" t="str">
            <v>E14</v>
          </cell>
          <cell r="R65">
            <v>0</v>
          </cell>
          <cell r="S65">
            <v>0</v>
          </cell>
          <cell r="T65">
            <v>0</v>
          </cell>
        </row>
        <row r="66">
          <cell r="E66">
            <v>300421</v>
          </cell>
          <cell r="F66" t="str">
            <v>SERVICOS GERAIS</v>
          </cell>
          <cell r="G66">
            <v>40</v>
          </cell>
          <cell r="H66" t="str">
            <v>ADM</v>
          </cell>
          <cell r="I66" t="str">
            <v>GABRIEL VIANA</v>
          </cell>
          <cell r="J66" t="str">
            <v/>
          </cell>
          <cell r="K66">
            <v>0</v>
          </cell>
          <cell r="L66" t="str">
            <v>OK</v>
          </cell>
          <cell r="M66">
            <v>0</v>
          </cell>
          <cell r="N66" t="str">
            <v>SEGURANÇA DO TRABALHO</v>
          </cell>
          <cell r="O66" t="str">
            <v>ATIVO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</row>
        <row r="67">
          <cell r="E67">
            <v>300600</v>
          </cell>
          <cell r="F67" t="str">
            <v>ADMINISTRAÇÃO GERAL</v>
          </cell>
          <cell r="G67">
            <v>40</v>
          </cell>
          <cell r="H67" t="str">
            <v>ADM</v>
          </cell>
          <cell r="I67" t="str">
            <v>PAOLA LANDERAS</v>
          </cell>
          <cell r="J67" t="str">
            <v/>
          </cell>
          <cell r="K67">
            <v>0</v>
          </cell>
          <cell r="L67">
            <v>0</v>
          </cell>
          <cell r="M67">
            <v>0</v>
          </cell>
          <cell r="N67" t="str">
            <v>ADMINISTRACAO GERAL</v>
          </cell>
          <cell r="O67" t="str">
            <v>ATIVO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</row>
        <row r="68">
          <cell r="E68">
            <v>300602</v>
          </cell>
          <cell r="F68" t="str">
            <v>ADMINISTRAÇÃO GERAL</v>
          </cell>
          <cell r="G68">
            <v>40</v>
          </cell>
          <cell r="H68" t="str">
            <v>ADM</v>
          </cell>
          <cell r="I68" t="str">
            <v>PAOLA LANDERAS</v>
          </cell>
          <cell r="J68" t="str">
            <v>ADM PAIS</v>
          </cell>
          <cell r="K68" t="str">
            <v>Aguarda Contab.</v>
          </cell>
          <cell r="L68" t="str">
            <v>Mudar nome a GERÊNCIA ADMINISTRATIVA FINANCEIRA (Gastos de Paola)</v>
          </cell>
          <cell r="M68">
            <v>0</v>
          </cell>
          <cell r="N68" t="str">
            <v>ADMINISTRACAO GERAL</v>
          </cell>
          <cell r="O68" t="str">
            <v>ATIVO</v>
          </cell>
          <cell r="P68" t="str">
            <v>E01</v>
          </cell>
          <cell r="Q68" t="str">
            <v>E20</v>
          </cell>
          <cell r="R68">
            <v>0</v>
          </cell>
          <cell r="S68">
            <v>0</v>
          </cell>
          <cell r="T68">
            <v>0</v>
          </cell>
        </row>
        <row r="69">
          <cell r="E69">
            <v>300602</v>
          </cell>
          <cell r="F69" t="str">
            <v>ADMINISTRAÇÃO GERAL</v>
          </cell>
          <cell r="G69">
            <v>40</v>
          </cell>
          <cell r="H69" t="str">
            <v>ADM</v>
          </cell>
          <cell r="I69" t="str">
            <v>MARTIM LOOSLI</v>
          </cell>
          <cell r="J69" t="str">
            <v>ADM PAIS</v>
          </cell>
          <cell r="K69">
            <v>0</v>
          </cell>
          <cell r="L69" t="str">
            <v>Preguntar despesas (inativar)</v>
          </cell>
          <cell r="M69">
            <v>0</v>
          </cell>
          <cell r="N69" t="str">
            <v>ADMINISTRACAO GERAL</v>
          </cell>
          <cell r="O69" t="str">
            <v>ATIVO</v>
          </cell>
          <cell r="P69" t="str">
            <v>E01</v>
          </cell>
          <cell r="Q69" t="str">
            <v>E03</v>
          </cell>
          <cell r="R69">
            <v>0</v>
          </cell>
          <cell r="S69">
            <v>0</v>
          </cell>
          <cell r="T69">
            <v>0</v>
          </cell>
        </row>
        <row r="70">
          <cell r="E70">
            <v>300604</v>
          </cell>
          <cell r="F70" t="str">
            <v>GERÊNCIA GERAL</v>
          </cell>
          <cell r="G70">
            <v>40</v>
          </cell>
          <cell r="H70" t="str">
            <v>ADM</v>
          </cell>
          <cell r="I70" t="str">
            <v>ALBERTO OTOYA</v>
          </cell>
          <cell r="J70" t="str">
            <v>ADM ING</v>
          </cell>
          <cell r="K70" t="str">
            <v>ok</v>
          </cell>
          <cell r="L70" t="str">
            <v>Mudar gestor ALBERTO OTOYA</v>
          </cell>
          <cell r="M70">
            <v>0</v>
          </cell>
          <cell r="N70" t="str">
            <v>ADMINISTRACAO GERAL</v>
          </cell>
          <cell r="O70" t="str">
            <v>ATIVO</v>
          </cell>
          <cell r="P70" t="str">
            <v>E01</v>
          </cell>
          <cell r="Q70" t="str">
            <v>E20</v>
          </cell>
          <cell r="R70">
            <v>0</v>
          </cell>
          <cell r="S70">
            <v>0</v>
          </cell>
          <cell r="T70">
            <v>0</v>
          </cell>
        </row>
        <row r="71">
          <cell r="E71">
            <v>300606</v>
          </cell>
          <cell r="F71" t="str">
            <v>GER.ADMINISTRACAO DE RISCO E AUDITORIA</v>
          </cell>
          <cell r="G71">
            <v>40</v>
          </cell>
          <cell r="H71" t="str">
            <v>ADM</v>
          </cell>
          <cell r="I71" t="str">
            <v>JOSE MARTINEZ</v>
          </cell>
          <cell r="J71" t="str">
            <v>ADM CORP</v>
          </cell>
          <cell r="K71">
            <v>0</v>
          </cell>
          <cell r="L71" t="str">
            <v>OK</v>
          </cell>
          <cell r="M71">
            <v>0</v>
          </cell>
          <cell r="N71" t="str">
            <v>AUDITORIA INTERNA</v>
          </cell>
          <cell r="O71" t="str">
            <v>ATIVO</v>
          </cell>
          <cell r="P71" t="str">
            <v>E01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</row>
        <row r="72">
          <cell r="E72">
            <v>300607</v>
          </cell>
          <cell r="F72" t="str">
            <v>INDENIZACOES TRABALHISTAS</v>
          </cell>
          <cell r="G72">
            <v>40</v>
          </cell>
          <cell r="H72" t="str">
            <v>ADM</v>
          </cell>
          <cell r="I72" t="str">
            <v>ALBERTO OTOYA</v>
          </cell>
          <cell r="J72" t="str">
            <v/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</row>
        <row r="73">
          <cell r="E73">
            <v>300607</v>
          </cell>
          <cell r="F73" t="str">
            <v>INDENIZACOES TRABALHISTAS</v>
          </cell>
          <cell r="G73">
            <v>40</v>
          </cell>
          <cell r="H73" t="str">
            <v>ADM</v>
          </cell>
          <cell r="I73" t="str">
            <v>ALBERTO OTOYA</v>
          </cell>
          <cell r="J73" t="str">
            <v/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</row>
        <row r="74">
          <cell r="E74">
            <v>300608</v>
          </cell>
          <cell r="F74" t="str">
            <v>INDENIZACOES CIVEIS</v>
          </cell>
          <cell r="G74">
            <v>40</v>
          </cell>
          <cell r="H74" t="str">
            <v>ADM</v>
          </cell>
          <cell r="I74" t="str">
            <v>ALBERTO OTOYA</v>
          </cell>
          <cell r="J74" t="str">
            <v/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</row>
        <row r="75">
          <cell r="E75">
            <v>300608</v>
          </cell>
          <cell r="F75" t="str">
            <v>INDENIZACOES CIVEIS</v>
          </cell>
          <cell r="G75">
            <v>40</v>
          </cell>
          <cell r="H75" t="str">
            <v>ADM</v>
          </cell>
          <cell r="I75" t="str">
            <v>ALBERTO OTOYA</v>
          </cell>
          <cell r="J75" t="str">
            <v/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</row>
        <row r="76">
          <cell r="E76">
            <v>300609</v>
          </cell>
          <cell r="F76" t="str">
            <v>INDENIZACOES AMBIENTAIS</v>
          </cell>
          <cell r="G76">
            <v>40</v>
          </cell>
          <cell r="H76" t="str">
            <v>ADM</v>
          </cell>
          <cell r="I76" t="str">
            <v>ALBERTO OTOYA</v>
          </cell>
          <cell r="J76" t="str">
            <v/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</row>
        <row r="77">
          <cell r="E77">
            <v>300609</v>
          </cell>
          <cell r="F77" t="str">
            <v>INDENIZACOES AMBIENTAIS</v>
          </cell>
          <cell r="G77">
            <v>40</v>
          </cell>
          <cell r="H77" t="str">
            <v>ADM</v>
          </cell>
          <cell r="I77" t="str">
            <v>ALBERTO OTOYA</v>
          </cell>
          <cell r="J77" t="str">
            <v/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</row>
        <row r="78">
          <cell r="E78">
            <v>300610</v>
          </cell>
          <cell r="F78" t="str">
            <v>INDENIZACOES TRIBUTARIA</v>
          </cell>
          <cell r="G78">
            <v>40</v>
          </cell>
          <cell r="H78" t="str">
            <v>ADM</v>
          </cell>
          <cell r="I78" t="str">
            <v>ALBERTO OTOYA</v>
          </cell>
          <cell r="J78" t="str">
            <v/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</row>
        <row r="79">
          <cell r="E79">
            <v>300610</v>
          </cell>
          <cell r="F79" t="str">
            <v>INDENIZACOES TRIBUTARIA</v>
          </cell>
          <cell r="G79">
            <v>40</v>
          </cell>
          <cell r="H79" t="str">
            <v>ADM</v>
          </cell>
          <cell r="I79" t="str">
            <v>ALBERTO OTOYA</v>
          </cell>
          <cell r="J79" t="str">
            <v/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</row>
        <row r="80">
          <cell r="E80">
            <v>300800</v>
          </cell>
          <cell r="F80" t="str">
            <v>TECNOLOGIA DA INFORMACAO</v>
          </cell>
          <cell r="G80">
            <v>40</v>
          </cell>
          <cell r="H80" t="str">
            <v>ADM</v>
          </cell>
          <cell r="I80" t="str">
            <v>EMERSON OLIVO</v>
          </cell>
          <cell r="J80" t="str">
            <v/>
          </cell>
          <cell r="K80">
            <v>0</v>
          </cell>
          <cell r="L80">
            <v>0</v>
          </cell>
          <cell r="M80">
            <v>0</v>
          </cell>
          <cell r="N80" t="str">
            <v>TI</v>
          </cell>
          <cell r="O80" t="str">
            <v>ATIVO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</row>
        <row r="81">
          <cell r="E81">
            <v>300802</v>
          </cell>
          <cell r="F81" t="str">
            <v>TECNOLOGIA DA INFORMAÇÃO</v>
          </cell>
          <cell r="G81">
            <v>40</v>
          </cell>
          <cell r="H81" t="str">
            <v>ADM</v>
          </cell>
          <cell r="I81" t="str">
            <v>EMERSON OLIVO</v>
          </cell>
          <cell r="J81" t="str">
            <v>ADM ING</v>
          </cell>
          <cell r="K81">
            <v>0</v>
          </cell>
          <cell r="L81" t="str">
            <v>OK</v>
          </cell>
          <cell r="M81">
            <v>0</v>
          </cell>
          <cell r="N81" t="str">
            <v>TI</v>
          </cell>
          <cell r="O81" t="str">
            <v>ATIVO</v>
          </cell>
          <cell r="P81" t="str">
            <v>E01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</row>
        <row r="82">
          <cell r="E82">
            <v>300802</v>
          </cell>
          <cell r="F82" t="str">
            <v>TECNOLOGIA DA INFORMAÇÃO</v>
          </cell>
          <cell r="G82">
            <v>40</v>
          </cell>
          <cell r="H82" t="str">
            <v>ADM</v>
          </cell>
          <cell r="I82" t="str">
            <v>EMERSON OLIVO</v>
          </cell>
          <cell r="J82" t="str">
            <v>ADM ING</v>
          </cell>
          <cell r="K82">
            <v>0</v>
          </cell>
          <cell r="L82" t="str">
            <v>OK</v>
          </cell>
          <cell r="M82">
            <v>0</v>
          </cell>
          <cell r="N82" t="str">
            <v>TI</v>
          </cell>
          <cell r="O82" t="str">
            <v>ATIVO</v>
          </cell>
          <cell r="P82" t="str">
            <v>E01</v>
          </cell>
          <cell r="Q82" t="str">
            <v>E03</v>
          </cell>
          <cell r="R82">
            <v>0</v>
          </cell>
          <cell r="S82">
            <v>0</v>
          </cell>
          <cell r="T82">
            <v>0</v>
          </cell>
        </row>
        <row r="83">
          <cell r="E83">
            <v>301000</v>
          </cell>
          <cell r="F83" t="str">
            <v>SUPRIMENTOS</v>
          </cell>
          <cell r="G83">
            <v>40</v>
          </cell>
          <cell r="H83" t="str">
            <v>ADM</v>
          </cell>
          <cell r="I83" t="str">
            <v>GENNER FLORENCIO</v>
          </cell>
          <cell r="J83" t="str">
            <v/>
          </cell>
          <cell r="K83">
            <v>0</v>
          </cell>
          <cell r="L83">
            <v>0</v>
          </cell>
          <cell r="M83">
            <v>0</v>
          </cell>
          <cell r="N83" t="str">
            <v>SUPRIMENTOS</v>
          </cell>
          <cell r="O83" t="str">
            <v>ATIVO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</row>
        <row r="84">
          <cell r="E84">
            <v>301002</v>
          </cell>
          <cell r="F84" t="str">
            <v>ALMOXARIFADO AUTOMOTIVO</v>
          </cell>
          <cell r="G84">
            <v>40</v>
          </cell>
          <cell r="H84" t="str">
            <v>ADM</v>
          </cell>
          <cell r="I84" t="str">
            <v>GENNER FLORENCIO</v>
          </cell>
          <cell r="J84" t="str">
            <v>LOGISTICA</v>
          </cell>
          <cell r="K84">
            <v>0</v>
          </cell>
          <cell r="L84" t="str">
            <v>OK</v>
          </cell>
          <cell r="M84">
            <v>0</v>
          </cell>
          <cell r="N84" t="str">
            <v>SUPRIMENTOS</v>
          </cell>
          <cell r="O84" t="str">
            <v>ATIVO</v>
          </cell>
          <cell r="P84" t="str">
            <v>E01</v>
          </cell>
          <cell r="Q84" t="str">
            <v>E07</v>
          </cell>
          <cell r="R84" t="str">
            <v>E08</v>
          </cell>
          <cell r="S84">
            <v>0</v>
          </cell>
          <cell r="T84">
            <v>0</v>
          </cell>
        </row>
        <row r="85">
          <cell r="E85">
            <v>301002</v>
          </cell>
          <cell r="F85" t="str">
            <v>ALMOXARIFADO AUTOMOTIVO</v>
          </cell>
          <cell r="G85">
            <v>40</v>
          </cell>
          <cell r="H85" t="str">
            <v>ADM</v>
          </cell>
          <cell r="I85" t="str">
            <v>GENNER FLORENCIO</v>
          </cell>
          <cell r="J85" t="str">
            <v>LOGISTICA</v>
          </cell>
          <cell r="K85">
            <v>0</v>
          </cell>
          <cell r="L85" t="str">
            <v>OK</v>
          </cell>
          <cell r="M85">
            <v>0</v>
          </cell>
          <cell r="N85" t="str">
            <v>SUPRIMENTOS</v>
          </cell>
          <cell r="O85" t="str">
            <v>ATIVO</v>
          </cell>
          <cell r="P85" t="str">
            <v>E01</v>
          </cell>
          <cell r="Q85" t="str">
            <v>E03</v>
          </cell>
          <cell r="R85" t="str">
            <v>E07</v>
          </cell>
          <cell r="S85" t="str">
            <v>E08</v>
          </cell>
          <cell r="T85">
            <v>0</v>
          </cell>
        </row>
        <row r="86">
          <cell r="E86">
            <v>301004</v>
          </cell>
          <cell r="F86" t="str">
            <v>ALMOXARIFADO INDUSTRIAL</v>
          </cell>
          <cell r="G86">
            <v>40</v>
          </cell>
          <cell r="H86" t="str">
            <v>ADM</v>
          </cell>
          <cell r="I86" t="str">
            <v>GENNER FLORENCIO</v>
          </cell>
          <cell r="J86" t="str">
            <v>LOGISTICA</v>
          </cell>
          <cell r="K86">
            <v>0</v>
          </cell>
          <cell r="L86" t="str">
            <v>OK</v>
          </cell>
          <cell r="M86">
            <v>0</v>
          </cell>
          <cell r="N86" t="str">
            <v>SUPRIMENTOS</v>
          </cell>
          <cell r="O86" t="str">
            <v>ATIVO</v>
          </cell>
          <cell r="P86" t="str">
            <v>E01</v>
          </cell>
          <cell r="Q86" t="str">
            <v>E07</v>
          </cell>
          <cell r="R86" t="str">
            <v>E08</v>
          </cell>
          <cell r="S86">
            <v>0</v>
          </cell>
          <cell r="T86">
            <v>0</v>
          </cell>
        </row>
        <row r="87">
          <cell r="E87">
            <v>301006</v>
          </cell>
          <cell r="F87" t="str">
            <v>POSTO ABASTECIMENTO</v>
          </cell>
          <cell r="G87">
            <v>40</v>
          </cell>
          <cell r="H87" t="str">
            <v>ADM</v>
          </cell>
          <cell r="I87" t="str">
            <v>GENNER FLORENCIO</v>
          </cell>
          <cell r="J87" t="str">
            <v>LOGISTICA</v>
          </cell>
          <cell r="K87">
            <v>0</v>
          </cell>
          <cell r="L87" t="str">
            <v>OK</v>
          </cell>
          <cell r="M87">
            <v>0</v>
          </cell>
          <cell r="N87" t="str">
            <v>SUPRIMENTOS</v>
          </cell>
          <cell r="O87" t="str">
            <v>ATIVO</v>
          </cell>
          <cell r="P87" t="str">
            <v>E01</v>
          </cell>
          <cell r="Q87" t="str">
            <v>E07</v>
          </cell>
          <cell r="R87" t="str">
            <v>E08</v>
          </cell>
          <cell r="S87">
            <v>0</v>
          </cell>
          <cell r="T87">
            <v>0</v>
          </cell>
        </row>
        <row r="88">
          <cell r="E88">
            <v>301006</v>
          </cell>
          <cell r="F88" t="str">
            <v>POSTO ABASTECIMENTO</v>
          </cell>
          <cell r="G88">
            <v>40</v>
          </cell>
          <cell r="H88" t="str">
            <v>ADM</v>
          </cell>
          <cell r="I88" t="str">
            <v>GENNER FLORENCIO</v>
          </cell>
          <cell r="J88" t="str">
            <v>LOGISTICA</v>
          </cell>
          <cell r="K88">
            <v>0</v>
          </cell>
          <cell r="L88" t="str">
            <v>OK</v>
          </cell>
          <cell r="M88">
            <v>0</v>
          </cell>
          <cell r="N88" t="str">
            <v>Verificar</v>
          </cell>
          <cell r="O88" t="str">
            <v>ATIVO</v>
          </cell>
          <cell r="P88" t="str">
            <v>E01</v>
          </cell>
          <cell r="Q88" t="str">
            <v>E03</v>
          </cell>
          <cell r="R88" t="str">
            <v>E07</v>
          </cell>
          <cell r="S88" t="str">
            <v>E08</v>
          </cell>
          <cell r="T88">
            <v>0</v>
          </cell>
        </row>
        <row r="89">
          <cell r="E89">
            <v>301200</v>
          </cell>
          <cell r="F89" t="str">
            <v>DEPTO COMERCIAL</v>
          </cell>
          <cell r="G89">
            <v>30</v>
          </cell>
          <cell r="H89" t="str">
            <v>COM</v>
          </cell>
          <cell r="I89" t="str">
            <v>GENNER FLORENCIO</v>
          </cell>
          <cell r="J89" t="str">
            <v/>
          </cell>
          <cell r="K89">
            <v>0</v>
          </cell>
          <cell r="L89">
            <v>0</v>
          </cell>
          <cell r="M89">
            <v>0</v>
          </cell>
          <cell r="N89" t="str">
            <v>COMERCIAL</v>
          </cell>
          <cell r="O89" t="str">
            <v>ATIVO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</row>
        <row r="90">
          <cell r="E90">
            <v>301202</v>
          </cell>
          <cell r="F90" t="str">
            <v>ARMAZENAGEM DE ALCOOL</v>
          </cell>
          <cell r="G90">
            <v>30</v>
          </cell>
          <cell r="H90" t="str">
            <v>COM</v>
          </cell>
          <cell r="I90" t="str">
            <v>GENNER FLORENCIO</v>
          </cell>
          <cell r="J90" t="str">
            <v>LOGISTICA</v>
          </cell>
          <cell r="K90">
            <v>0</v>
          </cell>
          <cell r="L90" t="str">
            <v>OK</v>
          </cell>
          <cell r="M90">
            <v>0</v>
          </cell>
          <cell r="N90" t="str">
            <v>COMERCIAL</v>
          </cell>
          <cell r="O90" t="str">
            <v>ATIVO</v>
          </cell>
          <cell r="P90" t="str">
            <v>E01</v>
          </cell>
          <cell r="Q90" t="str">
            <v>E07</v>
          </cell>
          <cell r="R90" t="str">
            <v>E05</v>
          </cell>
          <cell r="S90">
            <v>0</v>
          </cell>
          <cell r="T90">
            <v>0</v>
          </cell>
        </row>
        <row r="91">
          <cell r="E91">
            <v>301204</v>
          </cell>
          <cell r="F91" t="str">
            <v>ARMAZENAGEM DE ACUCAR</v>
          </cell>
          <cell r="G91">
            <v>30</v>
          </cell>
          <cell r="H91" t="str">
            <v>COM</v>
          </cell>
          <cell r="I91" t="str">
            <v>GENNER FLORENCIO</v>
          </cell>
          <cell r="J91" t="str">
            <v/>
          </cell>
          <cell r="K91">
            <v>0</v>
          </cell>
          <cell r="L91" t="str">
            <v>OK</v>
          </cell>
          <cell r="M91">
            <v>0</v>
          </cell>
          <cell r="N91" t="str">
            <v>COMERCIAL</v>
          </cell>
          <cell r="O91" t="str">
            <v>ATIVO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</row>
        <row r="92">
          <cell r="E92">
            <v>301206</v>
          </cell>
          <cell r="F92" t="str">
            <v>CARREGAMENTO</v>
          </cell>
          <cell r="G92">
            <v>30</v>
          </cell>
          <cell r="H92" t="str">
            <v>COM</v>
          </cell>
          <cell r="I92" t="str">
            <v>GENNER FLORENCIO</v>
          </cell>
          <cell r="J92" t="str">
            <v>LOGISTICA</v>
          </cell>
          <cell r="K92">
            <v>0</v>
          </cell>
          <cell r="L92" t="str">
            <v>OK</v>
          </cell>
          <cell r="M92">
            <v>0</v>
          </cell>
          <cell r="N92" t="str">
            <v>COMERCIAL</v>
          </cell>
          <cell r="O92" t="str">
            <v>ATIVO</v>
          </cell>
          <cell r="P92" t="str">
            <v>E01</v>
          </cell>
          <cell r="Q92" t="str">
            <v>E07</v>
          </cell>
          <cell r="R92" t="str">
            <v>E05</v>
          </cell>
          <cell r="S92">
            <v>0</v>
          </cell>
          <cell r="T92">
            <v>0</v>
          </cell>
        </row>
        <row r="93">
          <cell r="E93">
            <v>301208</v>
          </cell>
          <cell r="F93" t="str">
            <v>LOGISTICA E TRANSPORTE</v>
          </cell>
          <cell r="G93">
            <v>30</v>
          </cell>
          <cell r="H93" t="str">
            <v>COM</v>
          </cell>
          <cell r="I93" t="str">
            <v>GENNER FLORENCIO</v>
          </cell>
          <cell r="J93" t="str">
            <v/>
          </cell>
          <cell r="K93">
            <v>0</v>
          </cell>
          <cell r="L93" t="str">
            <v>OK</v>
          </cell>
          <cell r="M93">
            <v>0</v>
          </cell>
          <cell r="N93" t="str">
            <v>COMERCIAL</v>
          </cell>
          <cell r="O93" t="str">
            <v>ATIVO</v>
          </cell>
          <cell r="P93" t="str">
            <v>E01</v>
          </cell>
          <cell r="Q93" t="str">
            <v>E07</v>
          </cell>
          <cell r="R93" t="str">
            <v>E05</v>
          </cell>
          <cell r="S93">
            <v>0</v>
          </cell>
          <cell r="T93">
            <v>0</v>
          </cell>
        </row>
        <row r="94">
          <cell r="E94">
            <v>301290</v>
          </cell>
          <cell r="F94" t="str">
            <v>LOGISTICA E TRANSPORTE</v>
          </cell>
          <cell r="G94">
            <v>30</v>
          </cell>
          <cell r="H94" t="str">
            <v>COM</v>
          </cell>
          <cell r="I94" t="str">
            <v>GENNER FLORENCIO</v>
          </cell>
          <cell r="J94" t="str">
            <v/>
          </cell>
          <cell r="K94">
            <v>0</v>
          </cell>
          <cell r="L94" t="str">
            <v>OK</v>
          </cell>
          <cell r="M94">
            <v>0</v>
          </cell>
          <cell r="N94" t="str">
            <v>COMERCIAL</v>
          </cell>
          <cell r="O94" t="str">
            <v>ATIVO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</row>
        <row r="95">
          <cell r="E95">
            <v>302001</v>
          </cell>
          <cell r="F95" t="str">
            <v>APOIO OPERACIONAL</v>
          </cell>
          <cell r="G95">
            <v>40</v>
          </cell>
          <cell r="H95" t="str">
            <v>ADM</v>
          </cell>
          <cell r="I95" t="str">
            <v>WILLIAN KLINGER</v>
          </cell>
          <cell r="J95" t="str">
            <v>ADM ING</v>
          </cell>
          <cell r="K95">
            <v>0</v>
          </cell>
          <cell r="L95" t="str">
            <v>OK</v>
          </cell>
          <cell r="M95">
            <v>0</v>
          </cell>
          <cell r="N95" t="str">
            <v>CUSTO - RATEIO AGR</v>
          </cell>
          <cell r="O95" t="str">
            <v>ATIVO</v>
          </cell>
          <cell r="P95" t="str">
            <v>E01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</row>
        <row r="96">
          <cell r="E96">
            <v>399990</v>
          </cell>
          <cell r="F96" t="str">
            <v>C.CUSTO PARA NÃO SER VALIDADO PELO ORÇAM</v>
          </cell>
          <cell r="G96">
            <v>40</v>
          </cell>
          <cell r="H96" t="str">
            <v>ADM</v>
          </cell>
          <cell r="I96" t="str">
            <v>WILLIAN KLINGER</v>
          </cell>
          <cell r="J96" t="str">
            <v/>
          </cell>
          <cell r="K96">
            <v>0</v>
          </cell>
          <cell r="L96">
            <v>0</v>
          </cell>
          <cell r="M96">
            <v>0</v>
          </cell>
          <cell r="N96" t="str">
            <v>NA</v>
          </cell>
          <cell r="O96" t="str">
            <v>ATIVO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</row>
        <row r="97">
          <cell r="E97">
            <v>400102</v>
          </cell>
          <cell r="F97" t="str">
            <v>GERÊNCIA INDUSTRIAL</v>
          </cell>
          <cell r="G97">
            <v>10</v>
          </cell>
          <cell r="H97" t="str">
            <v>IND</v>
          </cell>
          <cell r="I97" t="str">
            <v>GILBERTO STUCHI</v>
          </cell>
          <cell r="J97" t="str">
            <v/>
          </cell>
          <cell r="K97">
            <v>0</v>
          </cell>
          <cell r="L97">
            <v>0</v>
          </cell>
          <cell r="M97" t="str">
            <v>Gilberto Stuchi</v>
          </cell>
          <cell r="N97" t="str">
            <v>ADM INDUSTRIAL</v>
          </cell>
          <cell r="O97" t="str">
            <v>ATIVO</v>
          </cell>
          <cell r="P97" t="str">
            <v>E1</v>
          </cell>
          <cell r="Q97" t="str">
            <v>E2</v>
          </cell>
          <cell r="R97">
            <v>0</v>
          </cell>
          <cell r="S97">
            <v>0</v>
          </cell>
          <cell r="T97">
            <v>0</v>
          </cell>
        </row>
        <row r="98">
          <cell r="E98">
            <v>400202</v>
          </cell>
          <cell r="F98" t="str">
            <v>APOIO TÉCNICO INDUSTRIAL</v>
          </cell>
          <cell r="G98">
            <v>10</v>
          </cell>
          <cell r="H98" t="str">
            <v>IND</v>
          </cell>
          <cell r="I98" t="str">
            <v>SERGIO FIORENTINO</v>
          </cell>
          <cell r="J98" t="str">
            <v/>
          </cell>
          <cell r="K98">
            <v>0</v>
          </cell>
          <cell r="L98">
            <v>0</v>
          </cell>
          <cell r="M98" t="str">
            <v>Sergio Fiorentino / Gilberto</v>
          </cell>
          <cell r="N98" t="str">
            <v>ADM INDUSTRIAL</v>
          </cell>
          <cell r="O98" t="str">
            <v>ATIVO</v>
          </cell>
          <cell r="P98" t="str">
            <v>E1</v>
          </cell>
          <cell r="Q98" t="str">
            <v>E2</v>
          </cell>
          <cell r="R98">
            <v>0</v>
          </cell>
          <cell r="S98">
            <v>0</v>
          </cell>
          <cell r="T98">
            <v>0</v>
          </cell>
        </row>
        <row r="99">
          <cell r="E99">
            <v>400402</v>
          </cell>
          <cell r="F99" t="str">
            <v>LABORATORIO PCTS</v>
          </cell>
          <cell r="G99">
            <v>10</v>
          </cell>
          <cell r="H99" t="str">
            <v>IND</v>
          </cell>
          <cell r="I99" t="str">
            <v>KELLY CRISTINA</v>
          </cell>
          <cell r="J99" t="str">
            <v/>
          </cell>
          <cell r="K99">
            <v>0</v>
          </cell>
          <cell r="L99">
            <v>0</v>
          </cell>
          <cell r="M99" t="str">
            <v>Sergio Fiorentino / Gilberto</v>
          </cell>
          <cell r="N99" t="str">
            <v>CONTROLE E QUALIDADE</v>
          </cell>
          <cell r="O99" t="str">
            <v>ATIVO</v>
          </cell>
          <cell r="P99" t="str">
            <v>E1</v>
          </cell>
          <cell r="Q99" t="str">
            <v>E2</v>
          </cell>
          <cell r="R99" t="str">
            <v>E23</v>
          </cell>
          <cell r="S99">
            <v>0</v>
          </cell>
          <cell r="T99">
            <v>0</v>
          </cell>
        </row>
        <row r="100">
          <cell r="E100">
            <v>400404</v>
          </cell>
          <cell r="F100" t="str">
            <v>LABORATORIO INDUSTRIAL</v>
          </cell>
          <cell r="G100">
            <v>10</v>
          </cell>
          <cell r="H100" t="str">
            <v>IND</v>
          </cell>
          <cell r="I100" t="str">
            <v>KELLY CRISTINA</v>
          </cell>
          <cell r="J100" t="str">
            <v/>
          </cell>
          <cell r="K100">
            <v>0</v>
          </cell>
          <cell r="L100">
            <v>0</v>
          </cell>
          <cell r="M100" t="str">
            <v>Sergio Fiorentino / Gilberto</v>
          </cell>
          <cell r="N100" t="str">
            <v>CONTROLE E QUALIDADE</v>
          </cell>
          <cell r="O100" t="str">
            <v>ATIVO</v>
          </cell>
          <cell r="P100" t="str">
            <v>E1</v>
          </cell>
          <cell r="Q100" t="str">
            <v>E2</v>
          </cell>
          <cell r="R100" t="str">
            <v>E23</v>
          </cell>
          <cell r="S100">
            <v>0</v>
          </cell>
          <cell r="T100">
            <v>0</v>
          </cell>
        </row>
        <row r="101">
          <cell r="E101">
            <v>400406</v>
          </cell>
          <cell r="F101" t="str">
            <v>LABORATORIO MICRO-BIOLOGIA</v>
          </cell>
          <cell r="G101">
            <v>10</v>
          </cell>
          <cell r="H101" t="str">
            <v>IND</v>
          </cell>
          <cell r="I101" t="str">
            <v>KELLY CRISTINA</v>
          </cell>
          <cell r="J101" t="str">
            <v/>
          </cell>
          <cell r="K101">
            <v>0</v>
          </cell>
          <cell r="L101">
            <v>0</v>
          </cell>
          <cell r="M101" t="str">
            <v>Sergio Fiorentino / Gilberto</v>
          </cell>
          <cell r="N101" t="str">
            <v>CONTROLE E QUALIDADE</v>
          </cell>
          <cell r="O101" t="str">
            <v>ATIVO</v>
          </cell>
          <cell r="P101" t="str">
            <v>E1</v>
          </cell>
          <cell r="Q101" t="str">
            <v>E2</v>
          </cell>
          <cell r="R101" t="str">
            <v>E23</v>
          </cell>
          <cell r="S101">
            <v>0</v>
          </cell>
          <cell r="T101">
            <v>0</v>
          </cell>
        </row>
        <row r="102">
          <cell r="E102">
            <v>401002</v>
          </cell>
          <cell r="F102" t="str">
            <v>BARRACAO / LIMPEZA</v>
          </cell>
          <cell r="G102">
            <v>10</v>
          </cell>
          <cell r="H102" t="str">
            <v>IND</v>
          </cell>
          <cell r="I102" t="str">
            <v>WILLIAN GUSTAVO OLIVEIRA</v>
          </cell>
          <cell r="J102" t="str">
            <v/>
          </cell>
          <cell r="K102">
            <v>0</v>
          </cell>
          <cell r="L102">
            <v>0</v>
          </cell>
          <cell r="M102">
            <v>0</v>
          </cell>
          <cell r="N102" t="str">
            <v>Contabilidade - Depreciaçoes</v>
          </cell>
          <cell r="O102" t="str">
            <v>ATIVO</v>
          </cell>
          <cell r="P102" t="str">
            <v>E1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</row>
        <row r="103">
          <cell r="E103">
            <v>401004</v>
          </cell>
          <cell r="F103" t="str">
            <v>ALIMENTACAO E PREPARO</v>
          </cell>
          <cell r="G103">
            <v>10</v>
          </cell>
          <cell r="H103" t="str">
            <v>IND</v>
          </cell>
          <cell r="I103" t="str">
            <v>CARLOS JOSE DOS SANTOS</v>
          </cell>
          <cell r="J103" t="str">
            <v/>
          </cell>
          <cell r="K103">
            <v>0</v>
          </cell>
          <cell r="L103">
            <v>0</v>
          </cell>
          <cell r="M103" t="str">
            <v>Sergio Fiorentino / Gilberto</v>
          </cell>
          <cell r="N103" t="str">
            <v>RECEPÇÃO-MOAGEM</v>
          </cell>
          <cell r="O103" t="str">
            <v>ATIVO</v>
          </cell>
          <cell r="P103" t="str">
            <v>E1</v>
          </cell>
          <cell r="Q103" t="str">
            <v>E2</v>
          </cell>
          <cell r="R103" t="str">
            <v>E24</v>
          </cell>
          <cell r="S103">
            <v>0</v>
          </cell>
          <cell r="T103">
            <v>0</v>
          </cell>
        </row>
        <row r="104">
          <cell r="E104">
            <v>401006</v>
          </cell>
          <cell r="F104" t="str">
            <v>MOAGEM CANA</v>
          </cell>
          <cell r="G104">
            <v>10</v>
          </cell>
          <cell r="H104" t="str">
            <v>IND</v>
          </cell>
          <cell r="I104" t="str">
            <v>CARLOS JOSE DOS SANTOS</v>
          </cell>
          <cell r="J104" t="str">
            <v/>
          </cell>
          <cell r="K104">
            <v>0</v>
          </cell>
          <cell r="L104">
            <v>0</v>
          </cell>
          <cell r="M104" t="str">
            <v>Sergio Fiorentino / Gilberto</v>
          </cell>
          <cell r="N104" t="str">
            <v>RECEPÇÃO-MOAGEM</v>
          </cell>
          <cell r="O104" t="str">
            <v>ATIVO</v>
          </cell>
          <cell r="P104" t="str">
            <v>E1</v>
          </cell>
          <cell r="Q104" t="str">
            <v>E2</v>
          </cell>
          <cell r="R104" t="str">
            <v>E24</v>
          </cell>
          <cell r="S104">
            <v>0</v>
          </cell>
          <cell r="T104">
            <v>0</v>
          </cell>
        </row>
        <row r="105">
          <cell r="E105">
            <v>401008</v>
          </cell>
          <cell r="F105" t="str">
            <v>DIFUSOR</v>
          </cell>
          <cell r="G105">
            <v>10</v>
          </cell>
          <cell r="H105" t="str">
            <v>IND</v>
          </cell>
          <cell r="I105" t="str">
            <v>CARLOS JOSE DOS SANTOS</v>
          </cell>
          <cell r="J105" t="str">
            <v/>
          </cell>
          <cell r="K105">
            <v>0</v>
          </cell>
          <cell r="L105">
            <v>0</v>
          </cell>
          <cell r="M105" t="str">
            <v>Sergio Fiorentino / Gilberto</v>
          </cell>
          <cell r="N105" t="str">
            <v>RECEPÇÃO-MOAGEM</v>
          </cell>
          <cell r="O105" t="str">
            <v>ATIVO</v>
          </cell>
          <cell r="P105" t="str">
            <v>E1</v>
          </cell>
          <cell r="Q105" t="str">
            <v>E2</v>
          </cell>
          <cell r="R105" t="str">
            <v>E24</v>
          </cell>
          <cell r="S105">
            <v>0</v>
          </cell>
          <cell r="T105">
            <v>0</v>
          </cell>
        </row>
        <row r="106">
          <cell r="E106">
            <v>401010</v>
          </cell>
          <cell r="F106" t="str">
            <v>DESAGUADOR</v>
          </cell>
          <cell r="G106">
            <v>10</v>
          </cell>
          <cell r="H106" t="str">
            <v>IND</v>
          </cell>
          <cell r="I106" t="str">
            <v>CARLOS JOSE DOS SANTOS</v>
          </cell>
          <cell r="J106" t="str">
            <v/>
          </cell>
          <cell r="K106">
            <v>0</v>
          </cell>
          <cell r="L106">
            <v>0</v>
          </cell>
          <cell r="M106" t="str">
            <v>Sergio Fiorentino / Gilberto</v>
          </cell>
          <cell r="N106" t="str">
            <v>RECEPÇÃO-MOAGEM</v>
          </cell>
          <cell r="O106" t="str">
            <v>ATIVO</v>
          </cell>
          <cell r="P106" t="str">
            <v>E1</v>
          </cell>
          <cell r="Q106" t="str">
            <v>E2</v>
          </cell>
          <cell r="R106" t="str">
            <v>E24</v>
          </cell>
          <cell r="S106">
            <v>0</v>
          </cell>
          <cell r="T106">
            <v>0</v>
          </cell>
        </row>
        <row r="107">
          <cell r="E107">
            <v>401012</v>
          </cell>
          <cell r="F107" t="str">
            <v>SECAGEM DE BAGAÇO</v>
          </cell>
          <cell r="G107">
            <v>10</v>
          </cell>
          <cell r="H107" t="str">
            <v>IND</v>
          </cell>
          <cell r="I107" t="str">
            <v>CARLOS JOSE DOS SANTOS</v>
          </cell>
          <cell r="J107" t="str">
            <v/>
          </cell>
          <cell r="K107">
            <v>0</v>
          </cell>
          <cell r="L107">
            <v>0</v>
          </cell>
          <cell r="M107" t="str">
            <v>Sergio Fiorentino / Gilberto</v>
          </cell>
          <cell r="N107" t="str">
            <v>RECEPÇÃO-MOAGEM</v>
          </cell>
          <cell r="O107" t="str">
            <v>ATIVO</v>
          </cell>
          <cell r="P107" t="str">
            <v>E1</v>
          </cell>
          <cell r="Q107" t="str">
            <v>E2</v>
          </cell>
          <cell r="R107" t="str">
            <v>E24</v>
          </cell>
          <cell r="S107">
            <v>0</v>
          </cell>
          <cell r="T107">
            <v>0</v>
          </cell>
        </row>
        <row r="108">
          <cell r="E108">
            <v>401099</v>
          </cell>
          <cell r="F108" t="str">
            <v>MANUTENÇÃO DE ENTRESSAFRA</v>
          </cell>
          <cell r="G108">
            <v>10</v>
          </cell>
          <cell r="H108" t="str">
            <v>IND</v>
          </cell>
          <cell r="I108" t="str">
            <v>CARLOS JOSE DOS SANTOS</v>
          </cell>
          <cell r="J108" t="str">
            <v/>
          </cell>
          <cell r="K108">
            <v>0</v>
          </cell>
          <cell r="L108">
            <v>0</v>
          </cell>
          <cell r="M108" t="str">
            <v>Sergio Fiorentino / Gilberto</v>
          </cell>
          <cell r="N108" t="str">
            <v>RECEPÇÃO-MOAGEM</v>
          </cell>
          <cell r="O108" t="str">
            <v>ATIVO</v>
          </cell>
          <cell r="P108" t="str">
            <v>E1</v>
          </cell>
          <cell r="Q108" t="str">
            <v>E2</v>
          </cell>
          <cell r="R108" t="str">
            <v>E24</v>
          </cell>
          <cell r="S108">
            <v>0</v>
          </cell>
          <cell r="T108">
            <v>0</v>
          </cell>
        </row>
        <row r="109">
          <cell r="E109">
            <v>401402</v>
          </cell>
          <cell r="F109" t="str">
            <v>AQUECIMENTO/TROCADOR CALOR ALCOOL</v>
          </cell>
          <cell r="G109">
            <v>10</v>
          </cell>
          <cell r="H109" t="str">
            <v>IND</v>
          </cell>
          <cell r="I109" t="str">
            <v>CARLOS DOMICILIANO</v>
          </cell>
          <cell r="J109" t="str">
            <v/>
          </cell>
          <cell r="K109">
            <v>0</v>
          </cell>
          <cell r="L109">
            <v>0</v>
          </cell>
          <cell r="M109" t="str">
            <v>Sergio Fiorentino / Gilberto</v>
          </cell>
          <cell r="N109" t="str">
            <v>TRATAM. DISTR. CALDO</v>
          </cell>
          <cell r="O109" t="str">
            <v>ATIVO</v>
          </cell>
          <cell r="P109" t="str">
            <v>E1</v>
          </cell>
          <cell r="Q109" t="str">
            <v>E2</v>
          </cell>
          <cell r="R109" t="str">
            <v>E25</v>
          </cell>
          <cell r="S109">
            <v>0</v>
          </cell>
          <cell r="T109">
            <v>0</v>
          </cell>
        </row>
        <row r="110">
          <cell r="E110">
            <v>401404</v>
          </cell>
          <cell r="F110" t="str">
            <v>DECANTACAO DO ALCOOL</v>
          </cell>
          <cell r="G110">
            <v>10</v>
          </cell>
          <cell r="H110" t="str">
            <v>IND</v>
          </cell>
          <cell r="I110" t="str">
            <v>CARLOS DOMICILIANO</v>
          </cell>
          <cell r="J110" t="str">
            <v/>
          </cell>
          <cell r="K110">
            <v>0</v>
          </cell>
          <cell r="L110">
            <v>0</v>
          </cell>
          <cell r="M110" t="str">
            <v>Sergio Fiorentino / Gilberto</v>
          </cell>
          <cell r="N110" t="str">
            <v>TRATAM. DISTR. CALDO</v>
          </cell>
          <cell r="O110" t="str">
            <v>ATIVO</v>
          </cell>
          <cell r="P110" t="str">
            <v>E1</v>
          </cell>
          <cell r="Q110" t="str">
            <v>E2</v>
          </cell>
          <cell r="R110" t="str">
            <v>E25</v>
          </cell>
          <cell r="S110">
            <v>0</v>
          </cell>
          <cell r="T110">
            <v>0</v>
          </cell>
        </row>
        <row r="111">
          <cell r="E111">
            <v>401406</v>
          </cell>
          <cell r="F111" t="str">
            <v>PRE-EVAPORACAO DO ALCOOL</v>
          </cell>
          <cell r="G111">
            <v>10</v>
          </cell>
          <cell r="H111" t="str">
            <v>IND</v>
          </cell>
          <cell r="I111" t="str">
            <v>CARLOS DOMICILIANO</v>
          </cell>
          <cell r="J111" t="str">
            <v/>
          </cell>
          <cell r="K111">
            <v>0</v>
          </cell>
          <cell r="L111">
            <v>0</v>
          </cell>
          <cell r="M111" t="str">
            <v>Sergio Fiorentino / Gilberto</v>
          </cell>
          <cell r="N111" t="str">
            <v>TRATAM. DISTR. CALDO</v>
          </cell>
          <cell r="O111" t="str">
            <v>ATIVO</v>
          </cell>
          <cell r="P111" t="str">
            <v>E1</v>
          </cell>
          <cell r="Q111" t="str">
            <v>E2</v>
          </cell>
          <cell r="R111" t="str">
            <v>E25</v>
          </cell>
          <cell r="S111">
            <v>0</v>
          </cell>
          <cell r="T111">
            <v>0</v>
          </cell>
        </row>
        <row r="112">
          <cell r="E112">
            <v>401410</v>
          </cell>
          <cell r="F112" t="str">
            <v>CALEACAO</v>
          </cell>
          <cell r="G112">
            <v>10</v>
          </cell>
          <cell r="H112" t="str">
            <v>IND</v>
          </cell>
          <cell r="I112" t="str">
            <v>CARLOS DOMICILIANO</v>
          </cell>
          <cell r="J112" t="str">
            <v/>
          </cell>
          <cell r="K112">
            <v>0</v>
          </cell>
          <cell r="L112">
            <v>0</v>
          </cell>
          <cell r="M112" t="str">
            <v>Sergio Fiorentino / Gilberto</v>
          </cell>
          <cell r="N112" t="str">
            <v>TRATAM. DISTR. CALDO</v>
          </cell>
          <cell r="O112" t="str">
            <v>ATIVO</v>
          </cell>
          <cell r="P112" t="str">
            <v>E1</v>
          </cell>
          <cell r="Q112" t="str">
            <v>E2</v>
          </cell>
          <cell r="R112" t="str">
            <v>E25</v>
          </cell>
          <cell r="S112">
            <v>0</v>
          </cell>
          <cell r="T112">
            <v>0</v>
          </cell>
        </row>
        <row r="113">
          <cell r="E113">
            <v>401414</v>
          </cell>
          <cell r="F113" t="str">
            <v>DECANTACAO DO ACUCAR</v>
          </cell>
          <cell r="G113">
            <v>10</v>
          </cell>
          <cell r="H113" t="str">
            <v>IND</v>
          </cell>
          <cell r="I113" t="str">
            <v>WILLIAN GUSTAVO OLIVEIRA</v>
          </cell>
          <cell r="J113" t="str">
            <v/>
          </cell>
          <cell r="K113">
            <v>0</v>
          </cell>
          <cell r="L113">
            <v>0</v>
          </cell>
          <cell r="M113">
            <v>0</v>
          </cell>
          <cell r="N113" t="str">
            <v>Contabilidade - Depreciaçoes</v>
          </cell>
          <cell r="O113" t="str">
            <v>ATIVO</v>
          </cell>
          <cell r="P113" t="str">
            <v>E1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</row>
        <row r="114">
          <cell r="E114">
            <v>401416</v>
          </cell>
          <cell r="F114" t="str">
            <v>FILTRACAO DO LODO DO ACUCAR</v>
          </cell>
          <cell r="G114">
            <v>10</v>
          </cell>
          <cell r="H114" t="str">
            <v>IND</v>
          </cell>
          <cell r="I114" t="str">
            <v>WILLIAN GUSTAVO OLIVEIRA</v>
          </cell>
          <cell r="J114" t="str">
            <v/>
          </cell>
          <cell r="K114">
            <v>0</v>
          </cell>
          <cell r="L114">
            <v>0</v>
          </cell>
          <cell r="M114">
            <v>0</v>
          </cell>
          <cell r="N114" t="str">
            <v>Contabilidade - Depreciaçoes</v>
          </cell>
          <cell r="O114" t="str">
            <v>ATIVO</v>
          </cell>
          <cell r="P114" t="str">
            <v>E1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</row>
        <row r="115">
          <cell r="E115">
            <v>401420</v>
          </cell>
          <cell r="F115" t="str">
            <v>FILTRACAO DO LODO DO ALCOOL</v>
          </cell>
          <cell r="G115">
            <v>10</v>
          </cell>
          <cell r="H115" t="str">
            <v>IND</v>
          </cell>
          <cell r="I115" t="str">
            <v>CARLOS DOMICILIANO</v>
          </cell>
          <cell r="J115" t="str">
            <v/>
          </cell>
          <cell r="K115">
            <v>0</v>
          </cell>
          <cell r="L115">
            <v>0</v>
          </cell>
          <cell r="M115" t="str">
            <v>Sergio Fiorentino / Gilberto</v>
          </cell>
          <cell r="N115" t="str">
            <v>TRATAM. DISTR. CALDO</v>
          </cell>
          <cell r="O115" t="str">
            <v>ATIVO</v>
          </cell>
          <cell r="P115" t="str">
            <v>E1</v>
          </cell>
          <cell r="Q115" t="str">
            <v>E2</v>
          </cell>
          <cell r="R115" t="str">
            <v>E25</v>
          </cell>
          <cell r="S115">
            <v>0</v>
          </cell>
          <cell r="T115">
            <v>0</v>
          </cell>
        </row>
        <row r="116">
          <cell r="E116">
            <v>401499</v>
          </cell>
          <cell r="F116" t="str">
            <v>MANUTENÇÃO DE ENTRESSAFRA</v>
          </cell>
          <cell r="G116">
            <v>10</v>
          </cell>
          <cell r="H116" t="str">
            <v>IND</v>
          </cell>
          <cell r="I116" t="str">
            <v>CARLOS DOMICILIANO</v>
          </cell>
          <cell r="J116" t="str">
            <v/>
          </cell>
          <cell r="K116">
            <v>0</v>
          </cell>
          <cell r="L116">
            <v>0</v>
          </cell>
          <cell r="M116" t="str">
            <v>Sergio Fiorentino / Gilberto</v>
          </cell>
          <cell r="N116" t="str">
            <v>TRATAM. DISTR. CALDO</v>
          </cell>
          <cell r="O116" t="str">
            <v>ATIVO</v>
          </cell>
          <cell r="P116" t="str">
            <v>E1</v>
          </cell>
          <cell r="Q116" t="str">
            <v>E2</v>
          </cell>
          <cell r="R116" t="str">
            <v>E25</v>
          </cell>
          <cell r="S116">
            <v>0</v>
          </cell>
          <cell r="T116">
            <v>0</v>
          </cell>
        </row>
        <row r="117">
          <cell r="E117">
            <v>402002</v>
          </cell>
          <cell r="F117" t="str">
            <v>PRE-FERMENTACAO</v>
          </cell>
          <cell r="G117">
            <v>10</v>
          </cell>
          <cell r="H117" t="str">
            <v>IND</v>
          </cell>
          <cell r="I117" t="str">
            <v>MARCOS CESAR DE PAULA</v>
          </cell>
          <cell r="J117" t="str">
            <v/>
          </cell>
          <cell r="K117">
            <v>0</v>
          </cell>
          <cell r="L117">
            <v>0</v>
          </cell>
          <cell r="M117" t="str">
            <v>Sergio Fiorentino / Gilberto</v>
          </cell>
          <cell r="N117" t="str">
            <v>FABRICAÇÃO ÁLCOOL</v>
          </cell>
          <cell r="O117" t="str">
            <v>ATIVO</v>
          </cell>
          <cell r="P117" t="str">
            <v>E1</v>
          </cell>
          <cell r="Q117" t="str">
            <v>E2</v>
          </cell>
          <cell r="R117" t="str">
            <v>E27</v>
          </cell>
          <cell r="S117">
            <v>0</v>
          </cell>
          <cell r="T117">
            <v>0</v>
          </cell>
        </row>
        <row r="118">
          <cell r="E118">
            <v>402004</v>
          </cell>
          <cell r="F118" t="str">
            <v>FERMENTACAO</v>
          </cell>
          <cell r="G118">
            <v>10</v>
          </cell>
          <cell r="H118" t="str">
            <v>IND</v>
          </cell>
          <cell r="I118" t="str">
            <v>MARCOS CESAR DE PAULA</v>
          </cell>
          <cell r="J118" t="str">
            <v/>
          </cell>
          <cell r="K118">
            <v>0</v>
          </cell>
          <cell r="L118">
            <v>0</v>
          </cell>
          <cell r="M118" t="str">
            <v>Sergio Fiorentino / Gilberto</v>
          </cell>
          <cell r="N118" t="str">
            <v>FABRICAÇÃO ÁLCOOL</v>
          </cell>
          <cell r="O118" t="str">
            <v>ATIVO</v>
          </cell>
          <cell r="P118" t="str">
            <v>E1</v>
          </cell>
          <cell r="Q118" t="str">
            <v>E2</v>
          </cell>
          <cell r="R118" t="str">
            <v>E27</v>
          </cell>
          <cell r="S118">
            <v>0</v>
          </cell>
          <cell r="T118">
            <v>0</v>
          </cell>
        </row>
        <row r="119">
          <cell r="E119">
            <v>402006</v>
          </cell>
          <cell r="F119" t="str">
            <v>DESTILACAO HIDRATADO</v>
          </cell>
          <cell r="G119">
            <v>10</v>
          </cell>
          <cell r="H119" t="str">
            <v>IND</v>
          </cell>
          <cell r="I119" t="str">
            <v>MARCOS CESAR DE PAULA</v>
          </cell>
          <cell r="J119" t="str">
            <v/>
          </cell>
          <cell r="K119">
            <v>0</v>
          </cell>
          <cell r="L119">
            <v>0</v>
          </cell>
          <cell r="M119" t="str">
            <v>Sergio Fiorentino / Gilberto</v>
          </cell>
          <cell r="N119" t="str">
            <v>FABRICAÇÃO ÁLCOOL</v>
          </cell>
          <cell r="O119" t="str">
            <v>ATIVO</v>
          </cell>
          <cell r="P119" t="str">
            <v>E1</v>
          </cell>
          <cell r="Q119" t="str">
            <v>E2</v>
          </cell>
          <cell r="R119" t="str">
            <v>E27</v>
          </cell>
          <cell r="S119">
            <v>0</v>
          </cell>
          <cell r="T119">
            <v>0</v>
          </cell>
        </row>
        <row r="120">
          <cell r="E120">
            <v>402008</v>
          </cell>
          <cell r="F120" t="str">
            <v>DESTILACAO ANIDRO</v>
          </cell>
          <cell r="G120">
            <v>10</v>
          </cell>
          <cell r="H120" t="str">
            <v>IND</v>
          </cell>
          <cell r="I120" t="str">
            <v>WILLIAN GUSTAVO OLIVEIRA</v>
          </cell>
          <cell r="J120" t="str">
            <v/>
          </cell>
          <cell r="K120">
            <v>0</v>
          </cell>
          <cell r="L120">
            <v>0</v>
          </cell>
          <cell r="M120">
            <v>0</v>
          </cell>
          <cell r="N120" t="str">
            <v>Contabilidade - Depreciaçoes</v>
          </cell>
          <cell r="O120" t="str">
            <v>ATIVO</v>
          </cell>
          <cell r="P120" t="str">
            <v>E1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</row>
        <row r="121">
          <cell r="E121">
            <v>402010</v>
          </cell>
          <cell r="F121" t="str">
            <v>TORRE DE RESFRIAMENTO</v>
          </cell>
          <cell r="G121">
            <v>10</v>
          </cell>
          <cell r="H121" t="str">
            <v>IND</v>
          </cell>
          <cell r="I121" t="str">
            <v>MARCOS CESAR DE PAULA</v>
          </cell>
          <cell r="J121" t="str">
            <v/>
          </cell>
          <cell r="K121">
            <v>0</v>
          </cell>
          <cell r="L121">
            <v>0</v>
          </cell>
          <cell r="M121" t="str">
            <v>Sergio Fiorentino / Gilberto</v>
          </cell>
          <cell r="N121" t="str">
            <v>FABRICAÇÃO ÁLCOOL</v>
          </cell>
          <cell r="O121" t="str">
            <v>ATIVO</v>
          </cell>
          <cell r="P121" t="str">
            <v>E1</v>
          </cell>
          <cell r="Q121" t="str">
            <v>E2</v>
          </cell>
          <cell r="R121" t="str">
            <v>E27</v>
          </cell>
          <cell r="S121">
            <v>0</v>
          </cell>
          <cell r="T121">
            <v>0</v>
          </cell>
        </row>
        <row r="122">
          <cell r="E122">
            <v>402012</v>
          </cell>
          <cell r="F122" t="str">
            <v>TANQUE SPRAY</v>
          </cell>
          <cell r="G122">
            <v>10</v>
          </cell>
          <cell r="H122" t="str">
            <v>IND</v>
          </cell>
          <cell r="I122" t="str">
            <v>WILLIAN GUSTAVO OLIVEIRA</v>
          </cell>
          <cell r="J122" t="str">
            <v/>
          </cell>
          <cell r="K122">
            <v>0</v>
          </cell>
          <cell r="L122">
            <v>0</v>
          </cell>
          <cell r="M122">
            <v>0</v>
          </cell>
          <cell r="N122" t="str">
            <v>Contabilidade - Depreciaçoes</v>
          </cell>
          <cell r="O122" t="str">
            <v>ATIVO</v>
          </cell>
          <cell r="P122" t="str">
            <v>E1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</row>
        <row r="123">
          <cell r="E123">
            <v>402014</v>
          </cell>
          <cell r="F123" t="str">
            <v>CENTRIFUGAÇÃO</v>
          </cell>
          <cell r="G123">
            <v>10</v>
          </cell>
          <cell r="H123" t="str">
            <v>IND</v>
          </cell>
          <cell r="I123" t="str">
            <v>MARCOS CESAR DE PAULA</v>
          </cell>
          <cell r="J123" t="str">
            <v/>
          </cell>
          <cell r="K123">
            <v>0</v>
          </cell>
          <cell r="L123">
            <v>0</v>
          </cell>
          <cell r="M123" t="str">
            <v>Sergio Fiorentino / Gilberto</v>
          </cell>
          <cell r="N123" t="str">
            <v>FABRICAÇÃO ÁLCOOL</v>
          </cell>
          <cell r="O123" t="str">
            <v>ATIVO</v>
          </cell>
          <cell r="P123" t="str">
            <v>E1</v>
          </cell>
          <cell r="Q123" t="str">
            <v>E2</v>
          </cell>
          <cell r="R123" t="str">
            <v>E27</v>
          </cell>
          <cell r="S123">
            <v>0</v>
          </cell>
          <cell r="T123">
            <v>0</v>
          </cell>
        </row>
        <row r="124">
          <cell r="E124">
            <v>402099</v>
          </cell>
          <cell r="F124" t="str">
            <v>MANUTENÇÃO DE ENTRESSAFRA</v>
          </cell>
          <cell r="G124">
            <v>10</v>
          </cell>
          <cell r="H124" t="str">
            <v>IND</v>
          </cell>
          <cell r="I124" t="str">
            <v>MARCOS CESAR DE PAULA</v>
          </cell>
          <cell r="J124" t="str">
            <v/>
          </cell>
          <cell r="K124">
            <v>0</v>
          </cell>
          <cell r="L124">
            <v>0</v>
          </cell>
          <cell r="M124" t="str">
            <v>Sergio Fiorentino / Gilberto</v>
          </cell>
          <cell r="N124" t="str">
            <v>FABRICAÇÃO ÁLCOOL</v>
          </cell>
          <cell r="O124" t="str">
            <v>ATIVO</v>
          </cell>
          <cell r="P124" t="str">
            <v>E1</v>
          </cell>
          <cell r="Q124" t="str">
            <v>E2</v>
          </cell>
          <cell r="R124" t="str">
            <v>E27</v>
          </cell>
          <cell r="S124">
            <v>0</v>
          </cell>
          <cell r="T124">
            <v>0</v>
          </cell>
        </row>
        <row r="125">
          <cell r="E125">
            <v>407002</v>
          </cell>
          <cell r="F125" t="str">
            <v>GERACAO E DISTR.VAPOR</v>
          </cell>
          <cell r="G125">
            <v>10</v>
          </cell>
          <cell r="H125" t="str">
            <v>IND</v>
          </cell>
          <cell r="I125" t="str">
            <v>JOSE CATANA</v>
          </cell>
          <cell r="J125" t="str">
            <v/>
          </cell>
          <cell r="K125">
            <v>0</v>
          </cell>
          <cell r="L125">
            <v>0</v>
          </cell>
          <cell r="M125" t="str">
            <v>Sergio Fiorentino / Gilberto</v>
          </cell>
          <cell r="N125" t="str">
            <v>UTILIDADES</v>
          </cell>
          <cell r="O125" t="str">
            <v>ATIVO</v>
          </cell>
          <cell r="P125" t="str">
            <v>E1</v>
          </cell>
          <cell r="Q125" t="str">
            <v>E2</v>
          </cell>
          <cell r="R125" t="str">
            <v>E26</v>
          </cell>
          <cell r="S125">
            <v>0</v>
          </cell>
          <cell r="T125">
            <v>0</v>
          </cell>
        </row>
        <row r="126">
          <cell r="E126">
            <v>407004</v>
          </cell>
          <cell r="F126" t="str">
            <v>GERACAO E DISTR.AR COMPRIMIDO</v>
          </cell>
          <cell r="G126">
            <v>10</v>
          </cell>
          <cell r="H126" t="str">
            <v>IND</v>
          </cell>
          <cell r="I126" t="str">
            <v>EDSON BABOSA</v>
          </cell>
          <cell r="J126" t="str">
            <v/>
          </cell>
          <cell r="K126">
            <v>0</v>
          </cell>
          <cell r="L126">
            <v>0</v>
          </cell>
          <cell r="M126" t="str">
            <v>Sergio Fiorentino / Gilberto</v>
          </cell>
          <cell r="N126" t="str">
            <v>UTILIDADES</v>
          </cell>
          <cell r="O126" t="str">
            <v>ATIVO</v>
          </cell>
          <cell r="P126" t="str">
            <v>E1</v>
          </cell>
          <cell r="Q126" t="str">
            <v>E2</v>
          </cell>
          <cell r="R126">
            <v>0</v>
          </cell>
          <cell r="S126">
            <v>0</v>
          </cell>
          <cell r="T126">
            <v>0</v>
          </cell>
        </row>
        <row r="127">
          <cell r="E127">
            <v>407006</v>
          </cell>
          <cell r="F127" t="str">
            <v>GERACAO E DISTR.ENERGIA</v>
          </cell>
          <cell r="G127">
            <v>10</v>
          </cell>
          <cell r="H127" t="str">
            <v>IND</v>
          </cell>
          <cell r="I127" t="str">
            <v>EDSON BABOSA</v>
          </cell>
          <cell r="J127" t="str">
            <v/>
          </cell>
          <cell r="K127">
            <v>0</v>
          </cell>
          <cell r="L127">
            <v>0</v>
          </cell>
          <cell r="M127" t="str">
            <v>Sergio Fiorentino / Gilberto</v>
          </cell>
          <cell r="N127" t="str">
            <v>UTILIDADES</v>
          </cell>
          <cell r="O127" t="str">
            <v>ATIVO</v>
          </cell>
          <cell r="P127" t="str">
            <v>E1</v>
          </cell>
          <cell r="Q127" t="str">
            <v>E2</v>
          </cell>
          <cell r="R127">
            <v>0</v>
          </cell>
          <cell r="S127">
            <v>0</v>
          </cell>
          <cell r="T127">
            <v>0</v>
          </cell>
        </row>
        <row r="128">
          <cell r="E128">
            <v>407008</v>
          </cell>
          <cell r="F128" t="str">
            <v>CAPTACAO DE AGUA</v>
          </cell>
          <cell r="G128">
            <v>10</v>
          </cell>
          <cell r="H128" t="str">
            <v>IND</v>
          </cell>
          <cell r="I128" t="str">
            <v>JOSE CATANA</v>
          </cell>
          <cell r="J128" t="str">
            <v/>
          </cell>
          <cell r="K128">
            <v>0</v>
          </cell>
          <cell r="L128">
            <v>0</v>
          </cell>
          <cell r="M128" t="str">
            <v>Sergio Fiorentino / Gilberto</v>
          </cell>
          <cell r="N128" t="str">
            <v>UTILIDADES</v>
          </cell>
          <cell r="O128" t="str">
            <v>ATIVO</v>
          </cell>
          <cell r="P128" t="str">
            <v>E1</v>
          </cell>
          <cell r="Q128" t="str">
            <v>E2</v>
          </cell>
          <cell r="R128" t="str">
            <v>E26</v>
          </cell>
          <cell r="S128">
            <v>0</v>
          </cell>
          <cell r="T128">
            <v>0</v>
          </cell>
        </row>
        <row r="129">
          <cell r="E129">
            <v>407010</v>
          </cell>
          <cell r="F129" t="str">
            <v>ETA (ESTACAO DE TRATAMENTO AGUA)</v>
          </cell>
          <cell r="G129">
            <v>10</v>
          </cell>
          <cell r="H129" t="str">
            <v>IND</v>
          </cell>
          <cell r="I129" t="str">
            <v>JOSE CATANA</v>
          </cell>
          <cell r="J129" t="str">
            <v/>
          </cell>
          <cell r="K129">
            <v>0</v>
          </cell>
          <cell r="L129">
            <v>0</v>
          </cell>
          <cell r="M129" t="str">
            <v>Sergio Fiorentino / Gilberto</v>
          </cell>
          <cell r="N129" t="str">
            <v>UTILIDADES</v>
          </cell>
          <cell r="O129" t="str">
            <v>ATIVO</v>
          </cell>
          <cell r="P129" t="str">
            <v>E1</v>
          </cell>
          <cell r="Q129" t="str">
            <v>E2</v>
          </cell>
          <cell r="R129" t="str">
            <v>E26</v>
          </cell>
          <cell r="S129">
            <v>0</v>
          </cell>
          <cell r="T129">
            <v>0</v>
          </cell>
        </row>
        <row r="130">
          <cell r="E130">
            <v>407012</v>
          </cell>
          <cell r="F130" t="str">
            <v>PATIO DE BAGACO</v>
          </cell>
          <cell r="G130">
            <v>10</v>
          </cell>
          <cell r="H130" t="str">
            <v>IND</v>
          </cell>
          <cell r="I130" t="str">
            <v>GILSON MENEZES</v>
          </cell>
          <cell r="J130" t="str">
            <v/>
          </cell>
          <cell r="K130">
            <v>0</v>
          </cell>
          <cell r="L130">
            <v>0</v>
          </cell>
          <cell r="M130" t="str">
            <v>Sergio Fiorentino / Gilberto</v>
          </cell>
          <cell r="N130" t="str">
            <v>UTILIDADES</v>
          </cell>
          <cell r="O130" t="str">
            <v>ATIVO</v>
          </cell>
          <cell r="P130" t="str">
            <v>E1</v>
          </cell>
          <cell r="Q130" t="str">
            <v>E2</v>
          </cell>
          <cell r="R130" t="str">
            <v>E29</v>
          </cell>
          <cell r="S130">
            <v>0</v>
          </cell>
          <cell r="T130">
            <v>0</v>
          </cell>
        </row>
        <row r="131">
          <cell r="E131">
            <v>407016</v>
          </cell>
          <cell r="F131" t="str">
            <v>ENERGIA ELETRICA ADQUIRIDA</v>
          </cell>
          <cell r="G131">
            <v>10</v>
          </cell>
          <cell r="H131" t="str">
            <v>IND</v>
          </cell>
          <cell r="I131" t="str">
            <v>EDSON BABOSA</v>
          </cell>
          <cell r="J131" t="str">
            <v/>
          </cell>
          <cell r="K131">
            <v>0</v>
          </cell>
          <cell r="L131">
            <v>0</v>
          </cell>
          <cell r="M131" t="str">
            <v>Sergio Fiorentino / Gilberto</v>
          </cell>
          <cell r="N131" t="str">
            <v>UTILIDADES</v>
          </cell>
          <cell r="O131" t="str">
            <v>ATIVO</v>
          </cell>
          <cell r="P131" t="str">
            <v>E1</v>
          </cell>
          <cell r="Q131" t="str">
            <v>E2</v>
          </cell>
          <cell r="R131">
            <v>0</v>
          </cell>
          <cell r="S131">
            <v>0</v>
          </cell>
          <cell r="T131">
            <v>0</v>
          </cell>
        </row>
        <row r="132">
          <cell r="E132">
            <v>407018</v>
          </cell>
          <cell r="F132" t="str">
            <v>ETALC -ESTA TRAT AGUA DA LAVAGEM DE CANA</v>
          </cell>
          <cell r="G132">
            <v>10</v>
          </cell>
          <cell r="H132" t="str">
            <v>IND</v>
          </cell>
          <cell r="I132" t="str">
            <v>CARLOS JOSE DOS SANTOS</v>
          </cell>
          <cell r="J132" t="str">
            <v/>
          </cell>
          <cell r="K132">
            <v>0</v>
          </cell>
          <cell r="L132">
            <v>0</v>
          </cell>
          <cell r="M132" t="str">
            <v>Sergio Fiorentino / Gilberto</v>
          </cell>
          <cell r="N132" t="str">
            <v>UTILIDADES</v>
          </cell>
          <cell r="O132" t="str">
            <v>ATIVO</v>
          </cell>
          <cell r="P132" t="str">
            <v>E1</v>
          </cell>
          <cell r="Q132" t="str">
            <v>E2</v>
          </cell>
          <cell r="R132" t="str">
            <v>E24</v>
          </cell>
          <cell r="S132">
            <v>0</v>
          </cell>
          <cell r="T132">
            <v>0</v>
          </cell>
        </row>
        <row r="133">
          <cell r="E133">
            <v>407020</v>
          </cell>
          <cell r="F133" t="str">
            <v>ETE - ESTAÇÃO TRATAMENTO DE ESGOTO</v>
          </cell>
          <cell r="G133">
            <v>10</v>
          </cell>
          <cell r="H133" t="str">
            <v>IND</v>
          </cell>
          <cell r="I133" t="str">
            <v>JOSE CATANA</v>
          </cell>
          <cell r="J133" t="str">
            <v/>
          </cell>
          <cell r="K133">
            <v>0</v>
          </cell>
          <cell r="L133">
            <v>0</v>
          </cell>
          <cell r="M133" t="str">
            <v>Sergio Fiorentino / Gilberto</v>
          </cell>
          <cell r="N133" t="str">
            <v>UTILIDADES</v>
          </cell>
          <cell r="O133" t="str">
            <v>ATIVO</v>
          </cell>
          <cell r="P133" t="str">
            <v>E1</v>
          </cell>
          <cell r="Q133" t="str">
            <v>E2</v>
          </cell>
          <cell r="R133" t="str">
            <v>E26</v>
          </cell>
          <cell r="S133">
            <v>0</v>
          </cell>
          <cell r="T133">
            <v>0</v>
          </cell>
        </row>
        <row r="134">
          <cell r="E134">
            <v>407022</v>
          </cell>
          <cell r="F134" t="str">
            <v>ETALG - ESTAÇ.TRAT.ÁGUA DE LAVAGEM GASES</v>
          </cell>
          <cell r="G134">
            <v>10</v>
          </cell>
          <cell r="H134" t="str">
            <v>IND</v>
          </cell>
          <cell r="I134" t="str">
            <v>JOSE CATANA</v>
          </cell>
          <cell r="J134" t="str">
            <v/>
          </cell>
          <cell r="K134">
            <v>0</v>
          </cell>
          <cell r="L134">
            <v>0</v>
          </cell>
          <cell r="M134" t="str">
            <v>Sergio Fiorentino / Gilberto</v>
          </cell>
          <cell r="N134" t="str">
            <v>UTILIDADES</v>
          </cell>
          <cell r="O134" t="str">
            <v>ATIVO</v>
          </cell>
          <cell r="P134" t="str">
            <v>E1</v>
          </cell>
          <cell r="Q134" t="str">
            <v>E2</v>
          </cell>
          <cell r="R134" t="str">
            <v>E26</v>
          </cell>
          <cell r="S134">
            <v>0</v>
          </cell>
          <cell r="T134">
            <v>0</v>
          </cell>
        </row>
        <row r="135">
          <cell r="E135">
            <v>407099</v>
          </cell>
          <cell r="F135" t="str">
            <v>MANUTENÇÃO DE ENTRESSAFRA</v>
          </cell>
          <cell r="G135">
            <v>10</v>
          </cell>
          <cell r="H135" t="str">
            <v>IND</v>
          </cell>
          <cell r="I135" t="str">
            <v>JOSE CATANA / GILSON</v>
          </cell>
          <cell r="J135" t="str">
            <v/>
          </cell>
          <cell r="K135">
            <v>0</v>
          </cell>
          <cell r="L135">
            <v>0</v>
          </cell>
          <cell r="M135" t="str">
            <v>Sergio Fiorentino / Gilberto</v>
          </cell>
          <cell r="N135" t="str">
            <v>UTILIDADES</v>
          </cell>
          <cell r="O135" t="str">
            <v>ATIVO</v>
          </cell>
          <cell r="P135" t="str">
            <v>E1</v>
          </cell>
          <cell r="Q135" t="str">
            <v>E2</v>
          </cell>
          <cell r="R135" t="str">
            <v>E26</v>
          </cell>
          <cell r="S135" t="str">
            <v>E29</v>
          </cell>
          <cell r="T135">
            <v>0</v>
          </cell>
        </row>
        <row r="136">
          <cell r="E136">
            <v>408002</v>
          </cell>
          <cell r="F136" t="str">
            <v>MANUTENÇÃO MECANICA</v>
          </cell>
          <cell r="G136">
            <v>10</v>
          </cell>
          <cell r="H136" t="str">
            <v>IND</v>
          </cell>
          <cell r="I136" t="str">
            <v>VANDERLEI FLORENCIO</v>
          </cell>
          <cell r="J136" t="str">
            <v/>
          </cell>
          <cell r="K136">
            <v>0</v>
          </cell>
          <cell r="L136">
            <v>0</v>
          </cell>
          <cell r="M136" t="str">
            <v>Sergio Fiorentino / Gilberto</v>
          </cell>
          <cell r="N136" t="str">
            <v>MANUTENÇÃO INDUSTRIAL</v>
          </cell>
          <cell r="O136" t="str">
            <v>ATIVO</v>
          </cell>
          <cell r="P136" t="str">
            <v>E1</v>
          </cell>
          <cell r="Q136" t="str">
            <v>E2</v>
          </cell>
          <cell r="R136">
            <v>0</v>
          </cell>
          <cell r="S136">
            <v>0</v>
          </cell>
          <cell r="T136">
            <v>0</v>
          </cell>
        </row>
        <row r="137">
          <cell r="E137">
            <v>408004</v>
          </cell>
          <cell r="F137" t="str">
            <v>CALDERARIA</v>
          </cell>
          <cell r="G137">
            <v>10</v>
          </cell>
          <cell r="H137" t="str">
            <v>IND</v>
          </cell>
          <cell r="I137" t="str">
            <v>VANDERLEI FLORENCIO</v>
          </cell>
          <cell r="J137" t="str">
            <v/>
          </cell>
          <cell r="K137">
            <v>0</v>
          </cell>
          <cell r="L137">
            <v>0</v>
          </cell>
          <cell r="M137" t="str">
            <v>Sergio Fiorentino / Gilberto</v>
          </cell>
          <cell r="N137" t="str">
            <v>MANUTENÇÃO INDUSTRIAL</v>
          </cell>
          <cell r="O137" t="str">
            <v>ATIVO</v>
          </cell>
          <cell r="P137" t="str">
            <v>E1</v>
          </cell>
          <cell r="Q137" t="str">
            <v>E2</v>
          </cell>
          <cell r="R137">
            <v>0</v>
          </cell>
          <cell r="S137">
            <v>0</v>
          </cell>
          <cell r="T137">
            <v>0</v>
          </cell>
        </row>
        <row r="138">
          <cell r="E138">
            <v>408006</v>
          </cell>
          <cell r="F138" t="str">
            <v>MANUTENÇÃO ELETRICA</v>
          </cell>
          <cell r="G138">
            <v>10</v>
          </cell>
          <cell r="H138" t="str">
            <v>IND</v>
          </cell>
          <cell r="I138" t="str">
            <v>EDSON BABOSA</v>
          </cell>
          <cell r="J138" t="str">
            <v/>
          </cell>
          <cell r="K138">
            <v>0</v>
          </cell>
          <cell r="L138">
            <v>0</v>
          </cell>
          <cell r="M138" t="str">
            <v>Sergio Fiorentino / Gilberto</v>
          </cell>
          <cell r="N138" t="str">
            <v>MANUTENÇÃO INDUSTRIAL</v>
          </cell>
          <cell r="O138" t="str">
            <v>ATIVO</v>
          </cell>
          <cell r="P138" t="str">
            <v>E1</v>
          </cell>
          <cell r="Q138" t="str">
            <v>E2</v>
          </cell>
          <cell r="R138">
            <v>0</v>
          </cell>
          <cell r="S138">
            <v>0</v>
          </cell>
          <cell r="T138">
            <v>0</v>
          </cell>
        </row>
        <row r="139">
          <cell r="E139">
            <v>408008</v>
          </cell>
          <cell r="F139" t="str">
            <v>INSTRUMENTAÇÃO</v>
          </cell>
          <cell r="G139">
            <v>10</v>
          </cell>
          <cell r="H139" t="str">
            <v>IND</v>
          </cell>
          <cell r="I139" t="str">
            <v>EDSON BABOSA</v>
          </cell>
          <cell r="J139" t="str">
            <v/>
          </cell>
          <cell r="K139">
            <v>0</v>
          </cell>
          <cell r="L139">
            <v>0</v>
          </cell>
          <cell r="M139" t="str">
            <v>Sergio Fiorentino / Gilberto</v>
          </cell>
          <cell r="N139" t="str">
            <v>MANUTENÇÃO INDUSTRIAL</v>
          </cell>
          <cell r="O139" t="str">
            <v>ATIVO</v>
          </cell>
          <cell r="P139" t="str">
            <v>E1</v>
          </cell>
          <cell r="Q139" t="str">
            <v>E2</v>
          </cell>
          <cell r="R139">
            <v>0</v>
          </cell>
          <cell r="S139">
            <v>0</v>
          </cell>
          <cell r="T139">
            <v>0</v>
          </cell>
        </row>
        <row r="140">
          <cell r="E140">
            <v>408010</v>
          </cell>
          <cell r="F140" t="str">
            <v>MANUTENCAO CIVIL</v>
          </cell>
          <cell r="G140">
            <v>10</v>
          </cell>
          <cell r="H140" t="str">
            <v>IND</v>
          </cell>
          <cell r="I140" t="str">
            <v>GILSON MENEZES</v>
          </cell>
          <cell r="J140" t="str">
            <v/>
          </cell>
          <cell r="K140">
            <v>0</v>
          </cell>
          <cell r="L140">
            <v>0</v>
          </cell>
          <cell r="M140" t="str">
            <v>Sergio Fiorentino / Gilberto</v>
          </cell>
          <cell r="N140" t="str">
            <v>MANUTENÇÃO INDUSTRIAL</v>
          </cell>
          <cell r="O140" t="str">
            <v>ATIVO</v>
          </cell>
          <cell r="P140" t="str">
            <v>E1</v>
          </cell>
          <cell r="Q140" t="str">
            <v>E2</v>
          </cell>
          <cell r="R140" t="str">
            <v>E29</v>
          </cell>
          <cell r="S140">
            <v>0</v>
          </cell>
          <cell r="T140">
            <v>0</v>
          </cell>
        </row>
        <row r="141">
          <cell r="E141">
            <v>408012</v>
          </cell>
          <cell r="F141" t="str">
            <v>PCM (PLANEJ. E CONTROLE DA MANUT</v>
          </cell>
          <cell r="G141">
            <v>10</v>
          </cell>
          <cell r="H141" t="str">
            <v>IND</v>
          </cell>
          <cell r="I141" t="str">
            <v>SERGIO FIORENTINO</v>
          </cell>
          <cell r="J141" t="str">
            <v/>
          </cell>
          <cell r="K141">
            <v>0</v>
          </cell>
          <cell r="L141">
            <v>0</v>
          </cell>
          <cell r="M141" t="str">
            <v>Sergio Fiorentino / Gilberto</v>
          </cell>
          <cell r="N141" t="str">
            <v>MANUTENÇÃO INDUSTRIAL</v>
          </cell>
          <cell r="O141" t="str">
            <v>ATIVO</v>
          </cell>
          <cell r="P141" t="str">
            <v>E1</v>
          </cell>
          <cell r="Q141" t="str">
            <v>E2</v>
          </cell>
          <cell r="R141" t="str">
            <v>E28</v>
          </cell>
          <cell r="S141">
            <v>0</v>
          </cell>
          <cell r="T141">
            <v>0</v>
          </cell>
        </row>
        <row r="142">
          <cell r="E142">
            <v>409002</v>
          </cell>
          <cell r="F142" t="str">
            <v>ESCOAMENTO DA VINHACA</v>
          </cell>
          <cell r="G142">
            <v>10</v>
          </cell>
          <cell r="H142" t="str">
            <v>IND</v>
          </cell>
          <cell r="I142" t="str">
            <v>GILSON MENEZES</v>
          </cell>
          <cell r="J142" t="str">
            <v/>
          </cell>
          <cell r="K142">
            <v>0</v>
          </cell>
          <cell r="L142">
            <v>0</v>
          </cell>
          <cell r="M142" t="str">
            <v>Sergio Fiorentino / Gilberto</v>
          </cell>
          <cell r="N142" t="str">
            <v>RESÍDUOS INDUSTRIAIS</v>
          </cell>
          <cell r="O142" t="str">
            <v>ATIVO</v>
          </cell>
          <cell r="P142" t="str">
            <v>E1</v>
          </cell>
          <cell r="Q142" t="str">
            <v>E2</v>
          </cell>
          <cell r="R142" t="str">
            <v>E29</v>
          </cell>
          <cell r="S142">
            <v>0</v>
          </cell>
          <cell r="T142">
            <v>0</v>
          </cell>
        </row>
        <row r="143">
          <cell r="E143">
            <v>409004</v>
          </cell>
          <cell r="F143" t="str">
            <v>SISTEMA DE BOMBEAMENTO</v>
          </cell>
          <cell r="G143">
            <v>10</v>
          </cell>
          <cell r="H143" t="str">
            <v>IND</v>
          </cell>
          <cell r="I143" t="str">
            <v>WILLIAN GUSTAVO OLIVEIRA</v>
          </cell>
          <cell r="J143" t="str">
            <v/>
          </cell>
          <cell r="K143">
            <v>0</v>
          </cell>
          <cell r="L143">
            <v>0</v>
          </cell>
          <cell r="M143">
            <v>0</v>
          </cell>
          <cell r="N143" t="str">
            <v>Contabilidade - Depreciaçoes</v>
          </cell>
          <cell r="O143" t="str">
            <v>ATIVO</v>
          </cell>
          <cell r="P143" t="str">
            <v>E1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</row>
        <row r="144">
          <cell r="E144">
            <v>409099</v>
          </cell>
          <cell r="F144" t="str">
            <v>MANUTENÇÃO DE ENTRESSAFRA</v>
          </cell>
          <cell r="G144">
            <v>10</v>
          </cell>
          <cell r="H144" t="str">
            <v>IND</v>
          </cell>
          <cell r="I144" t="str">
            <v>GILSON MENEZES</v>
          </cell>
          <cell r="J144" t="str">
            <v/>
          </cell>
          <cell r="K144">
            <v>0</v>
          </cell>
          <cell r="L144">
            <v>0</v>
          </cell>
          <cell r="M144" t="str">
            <v>Sergio Fiorentino / Gilberto</v>
          </cell>
          <cell r="N144" t="str">
            <v>RESÍDUOS INDUSTRIAIS</v>
          </cell>
          <cell r="O144" t="str">
            <v>ATIVO</v>
          </cell>
          <cell r="P144" t="str">
            <v>E1</v>
          </cell>
          <cell r="Q144" t="str">
            <v>E2</v>
          </cell>
          <cell r="R144" t="str">
            <v>E29</v>
          </cell>
          <cell r="S144">
            <v>0</v>
          </cell>
          <cell r="T144">
            <v>0</v>
          </cell>
        </row>
        <row r="145">
          <cell r="E145">
            <v>500000</v>
          </cell>
          <cell r="F145" t="str">
            <v>GERENCIA AGRICOLA</v>
          </cell>
          <cell r="G145">
            <v>20</v>
          </cell>
          <cell r="H145" t="str">
            <v>AGR</v>
          </cell>
          <cell r="I145" t="str">
            <v>MARTIN LOOSLI</v>
          </cell>
          <cell r="J145" t="str">
            <v/>
          </cell>
          <cell r="K145">
            <v>0</v>
          </cell>
          <cell r="L145">
            <v>0</v>
          </cell>
          <cell r="M145">
            <v>0</v>
          </cell>
          <cell r="N145" t="str">
            <v>ADM AGRICOLA</v>
          </cell>
          <cell r="O145" t="str">
            <v>ATIVO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</row>
        <row r="146">
          <cell r="E146">
            <v>500100</v>
          </cell>
          <cell r="F146" t="str">
            <v>GERENCIA AGRICOLA</v>
          </cell>
          <cell r="G146">
            <v>20</v>
          </cell>
          <cell r="H146" t="str">
            <v>AGR</v>
          </cell>
          <cell r="I146" t="str">
            <v>MARTIN LOOSLI</v>
          </cell>
          <cell r="J146" t="str">
            <v/>
          </cell>
          <cell r="K146">
            <v>0</v>
          </cell>
          <cell r="L146">
            <v>0</v>
          </cell>
          <cell r="M146">
            <v>0</v>
          </cell>
          <cell r="N146" t="str">
            <v>ADM AGRICOLA</v>
          </cell>
          <cell r="O146" t="str">
            <v>ATIVO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</row>
        <row r="147">
          <cell r="E147">
            <v>500101</v>
          </cell>
          <cell r="F147" t="str">
            <v>GERENCIA AGRICOLA CORPORATIVA</v>
          </cell>
          <cell r="G147">
            <v>20</v>
          </cell>
          <cell r="H147" t="str">
            <v>AGR</v>
          </cell>
          <cell r="I147" t="str">
            <v>MARTIM LOOSLI</v>
          </cell>
          <cell r="J147" t="str">
            <v/>
          </cell>
          <cell r="K147">
            <v>0</v>
          </cell>
          <cell r="L147">
            <v>0</v>
          </cell>
          <cell r="M147">
            <v>0</v>
          </cell>
          <cell r="N147" t="str">
            <v>ADM AGRICOLA</v>
          </cell>
          <cell r="O147" t="str">
            <v>ATIVO</v>
          </cell>
          <cell r="P147" t="str">
            <v>E01</v>
          </cell>
          <cell r="Q147" t="str">
            <v>E03</v>
          </cell>
          <cell r="R147">
            <v>0</v>
          </cell>
          <cell r="S147">
            <v>0</v>
          </cell>
          <cell r="T147">
            <v>0</v>
          </cell>
        </row>
        <row r="148">
          <cell r="E148">
            <v>500102</v>
          </cell>
          <cell r="F148" t="str">
            <v>GERENCIA AGRICOLA</v>
          </cell>
          <cell r="G148">
            <v>20</v>
          </cell>
          <cell r="H148" t="str">
            <v>AGR</v>
          </cell>
          <cell r="I148" t="str">
            <v>MARTIM LOOSLI</v>
          </cell>
          <cell r="J148" t="str">
            <v/>
          </cell>
          <cell r="K148">
            <v>0</v>
          </cell>
          <cell r="L148">
            <v>0</v>
          </cell>
          <cell r="M148">
            <v>0</v>
          </cell>
          <cell r="N148" t="str">
            <v>ADM AGRICOLA</v>
          </cell>
          <cell r="O148" t="str">
            <v>ATIVO</v>
          </cell>
          <cell r="P148" t="str">
            <v>E01</v>
          </cell>
          <cell r="Q148" t="str">
            <v>E03</v>
          </cell>
          <cell r="R148">
            <v>0</v>
          </cell>
          <cell r="S148">
            <v>0</v>
          </cell>
          <cell r="T148">
            <v>0</v>
          </cell>
        </row>
        <row r="149">
          <cell r="E149">
            <v>500199</v>
          </cell>
          <cell r="F149" t="str">
            <v>MANUTENÇÃO DE ENTRESSAFRA</v>
          </cell>
          <cell r="G149">
            <v>20</v>
          </cell>
          <cell r="H149" t="str">
            <v>AGR</v>
          </cell>
          <cell r="I149" t="str">
            <v>MARTIN LOOSLI</v>
          </cell>
          <cell r="J149" t="str">
            <v/>
          </cell>
          <cell r="K149">
            <v>0</v>
          </cell>
          <cell r="L149">
            <v>0</v>
          </cell>
          <cell r="M149">
            <v>0</v>
          </cell>
          <cell r="N149" t="str">
            <v>ADM AGRICOLA</v>
          </cell>
          <cell r="O149" t="str">
            <v>ATIVO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</row>
        <row r="150">
          <cell r="E150">
            <v>500200</v>
          </cell>
          <cell r="F150" t="str">
            <v>CONTROLE AGRICOLA</v>
          </cell>
          <cell r="G150">
            <v>20</v>
          </cell>
          <cell r="H150" t="str">
            <v>AGR</v>
          </cell>
          <cell r="I150" t="str">
            <v>ALEXANDRE MARINS</v>
          </cell>
          <cell r="J150" t="str">
            <v/>
          </cell>
          <cell r="K150">
            <v>0</v>
          </cell>
          <cell r="L150">
            <v>0</v>
          </cell>
          <cell r="M150">
            <v>0</v>
          </cell>
          <cell r="N150" t="str">
            <v>ADM AGRICOLA</v>
          </cell>
          <cell r="O150" t="str">
            <v>ATIVO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</row>
        <row r="151">
          <cell r="E151">
            <v>500202</v>
          </cell>
          <cell r="F151" t="str">
            <v>ADM INFORMAÇÕES AGRÍCOLAS</v>
          </cell>
          <cell r="G151">
            <v>20</v>
          </cell>
          <cell r="H151" t="str">
            <v>AGR</v>
          </cell>
          <cell r="I151" t="str">
            <v>EVERTON PASSARINI</v>
          </cell>
          <cell r="J151" t="str">
            <v/>
          </cell>
          <cell r="K151">
            <v>0</v>
          </cell>
          <cell r="L151">
            <v>0</v>
          </cell>
          <cell r="M151">
            <v>0</v>
          </cell>
          <cell r="N151" t="str">
            <v>ADM AGRICOLA</v>
          </cell>
          <cell r="O151" t="str">
            <v>ATIVO</v>
          </cell>
          <cell r="P151" t="str">
            <v>E01</v>
          </cell>
          <cell r="Q151" t="str">
            <v>E03</v>
          </cell>
          <cell r="R151" t="str">
            <v>E16</v>
          </cell>
          <cell r="S151">
            <v>0</v>
          </cell>
          <cell r="T151">
            <v>0</v>
          </cell>
        </row>
        <row r="152">
          <cell r="E152">
            <v>500204</v>
          </cell>
          <cell r="F152" t="str">
            <v>TECNICOS AGRICOLAS</v>
          </cell>
          <cell r="G152">
            <v>20</v>
          </cell>
          <cell r="H152" t="str">
            <v>AGR</v>
          </cell>
          <cell r="I152" t="str">
            <v>ALEXANDRE MARINS</v>
          </cell>
          <cell r="J152" t="str">
            <v/>
          </cell>
          <cell r="K152">
            <v>0</v>
          </cell>
          <cell r="L152">
            <v>0</v>
          </cell>
          <cell r="M152">
            <v>0</v>
          </cell>
          <cell r="N152" t="str">
            <v>ADM AGRICOLA</v>
          </cell>
          <cell r="O152" t="str">
            <v>ATIVO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</row>
        <row r="153">
          <cell r="E153">
            <v>500206</v>
          </cell>
          <cell r="F153" t="str">
            <v>TOPOGRAFIA</v>
          </cell>
          <cell r="G153">
            <v>20</v>
          </cell>
          <cell r="H153" t="str">
            <v>AGR</v>
          </cell>
          <cell r="I153" t="str">
            <v>ALEXANDRE MARINS</v>
          </cell>
          <cell r="J153" t="str">
            <v/>
          </cell>
          <cell r="K153">
            <v>0</v>
          </cell>
          <cell r="L153">
            <v>0</v>
          </cell>
          <cell r="M153">
            <v>0</v>
          </cell>
          <cell r="N153" t="str">
            <v>COLHEITA</v>
          </cell>
          <cell r="O153" t="str">
            <v>ATIVO</v>
          </cell>
          <cell r="P153" t="str">
            <v>E01</v>
          </cell>
          <cell r="Q153" t="str">
            <v>E03</v>
          </cell>
          <cell r="R153" t="str">
            <v>E16</v>
          </cell>
          <cell r="S153">
            <v>0</v>
          </cell>
          <cell r="T153">
            <v>0</v>
          </cell>
        </row>
        <row r="154">
          <cell r="E154">
            <v>500208</v>
          </cell>
          <cell r="F154" t="str">
            <v>NOVOS PROJETOS</v>
          </cell>
          <cell r="G154">
            <v>20</v>
          </cell>
          <cell r="H154" t="str">
            <v>AGR</v>
          </cell>
          <cell r="I154" t="str">
            <v>ALEXANDRE MARINS</v>
          </cell>
          <cell r="J154" t="str">
            <v/>
          </cell>
          <cell r="K154">
            <v>0</v>
          </cell>
          <cell r="L154">
            <v>0</v>
          </cell>
          <cell r="M154">
            <v>0</v>
          </cell>
          <cell r="N154" t="str">
            <v>ADM AGRICOLA</v>
          </cell>
          <cell r="O154" t="str">
            <v>ATIVO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</row>
        <row r="155">
          <cell r="E155">
            <v>500210</v>
          </cell>
          <cell r="F155" t="str">
            <v>LAVANDERIA</v>
          </cell>
          <cell r="G155">
            <v>20</v>
          </cell>
          <cell r="H155" t="str">
            <v>AGR</v>
          </cell>
          <cell r="I155" t="str">
            <v>MIGUEL GARCIA</v>
          </cell>
          <cell r="J155" t="str">
            <v/>
          </cell>
          <cell r="K155">
            <v>0</v>
          </cell>
          <cell r="L155">
            <v>0</v>
          </cell>
          <cell r="M155">
            <v>0</v>
          </cell>
          <cell r="N155" t="str">
            <v>ADM AGRICOLA</v>
          </cell>
          <cell r="O155" t="str">
            <v>ATIVO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</row>
        <row r="156">
          <cell r="E156">
            <v>500212</v>
          </cell>
          <cell r="F156" t="str">
            <v>ADM COLHEITA DE CANA</v>
          </cell>
          <cell r="G156">
            <v>20</v>
          </cell>
          <cell r="H156" t="str">
            <v>AGR</v>
          </cell>
          <cell r="I156" t="str">
            <v>JOEL GARCIA</v>
          </cell>
          <cell r="J156" t="str">
            <v/>
          </cell>
          <cell r="K156">
            <v>0</v>
          </cell>
          <cell r="L156">
            <v>0</v>
          </cell>
          <cell r="M156">
            <v>0</v>
          </cell>
          <cell r="N156" t="str">
            <v>ADM AGRICOLA</v>
          </cell>
          <cell r="O156" t="str">
            <v>ATIVO</v>
          </cell>
          <cell r="P156" t="str">
            <v>E01</v>
          </cell>
          <cell r="Q156" t="str">
            <v>E03</v>
          </cell>
          <cell r="R156" t="str">
            <v>E16</v>
          </cell>
          <cell r="S156" t="str">
            <v>E17</v>
          </cell>
          <cell r="T156">
            <v>0</v>
          </cell>
        </row>
        <row r="157">
          <cell r="E157">
            <v>500214</v>
          </cell>
          <cell r="F157" t="str">
            <v>ADM PRODUÇÃO AGRÍCOLA</v>
          </cell>
          <cell r="G157">
            <v>20</v>
          </cell>
          <cell r="H157" t="str">
            <v>AGR</v>
          </cell>
          <cell r="I157" t="str">
            <v>MIGUEL GARCIA</v>
          </cell>
          <cell r="J157" t="str">
            <v/>
          </cell>
          <cell r="K157">
            <v>0</v>
          </cell>
          <cell r="L157">
            <v>0</v>
          </cell>
          <cell r="M157">
            <v>0</v>
          </cell>
          <cell r="N157" t="str">
            <v>ADM AGRICOLA</v>
          </cell>
          <cell r="O157" t="str">
            <v>ATIVO</v>
          </cell>
          <cell r="P157" t="str">
            <v>E01</v>
          </cell>
          <cell r="Q157" t="str">
            <v>E03</v>
          </cell>
          <cell r="R157" t="str">
            <v>E16</v>
          </cell>
          <cell r="S157">
            <v>0</v>
          </cell>
          <cell r="T157">
            <v>0</v>
          </cell>
        </row>
        <row r="158">
          <cell r="E158">
            <v>500216</v>
          </cell>
          <cell r="F158" t="str">
            <v>PLANEJAMENTO AGRICOLA</v>
          </cell>
          <cell r="G158">
            <v>20</v>
          </cell>
          <cell r="H158" t="str">
            <v>AGR</v>
          </cell>
          <cell r="I158" t="str">
            <v>ALEXANDRE MARINS</v>
          </cell>
          <cell r="J158" t="str">
            <v/>
          </cell>
          <cell r="K158">
            <v>0</v>
          </cell>
          <cell r="L158">
            <v>0</v>
          </cell>
          <cell r="M158">
            <v>0</v>
          </cell>
          <cell r="N158" t="str">
            <v>ADM AGRICOLA</v>
          </cell>
          <cell r="O158" t="str">
            <v>ATIVO</v>
          </cell>
          <cell r="P158" t="str">
            <v>E01</v>
          </cell>
          <cell r="Q158" t="str">
            <v>E03</v>
          </cell>
          <cell r="R158" t="str">
            <v>E16</v>
          </cell>
          <cell r="S158">
            <v>0</v>
          </cell>
          <cell r="T158">
            <v>0</v>
          </cell>
        </row>
        <row r="159">
          <cell r="E159">
            <v>500218</v>
          </cell>
          <cell r="F159" t="str">
            <v>CONTROLE DE QUALIDADE AGRICOLA</v>
          </cell>
          <cell r="G159">
            <v>20</v>
          </cell>
          <cell r="H159" t="str">
            <v>AGR</v>
          </cell>
          <cell r="I159" t="str">
            <v>EVERTON GEROMINI</v>
          </cell>
          <cell r="J159" t="str">
            <v/>
          </cell>
          <cell r="K159">
            <v>0</v>
          </cell>
          <cell r="L159">
            <v>0</v>
          </cell>
          <cell r="M159">
            <v>0</v>
          </cell>
          <cell r="N159" t="str">
            <v>ADM AGRICOLA</v>
          </cell>
          <cell r="O159" t="str">
            <v>ATIVO</v>
          </cell>
          <cell r="P159" t="str">
            <v>E01</v>
          </cell>
          <cell r="Q159" t="str">
            <v>E03</v>
          </cell>
          <cell r="R159" t="str">
            <v>E21</v>
          </cell>
          <cell r="S159">
            <v>0</v>
          </cell>
          <cell r="T159">
            <v>0</v>
          </cell>
        </row>
        <row r="160">
          <cell r="E160">
            <v>500220</v>
          </cell>
          <cell r="F160" t="str">
            <v>ADM PARCERIAS/FORN. AGRICOLA</v>
          </cell>
          <cell r="G160">
            <v>20</v>
          </cell>
          <cell r="H160" t="str">
            <v>AGR</v>
          </cell>
          <cell r="I160" t="str">
            <v>NELSON ESQUIVEL</v>
          </cell>
          <cell r="J160" t="str">
            <v/>
          </cell>
          <cell r="K160">
            <v>0</v>
          </cell>
          <cell r="L160">
            <v>0</v>
          </cell>
          <cell r="M160">
            <v>0</v>
          </cell>
          <cell r="N160" t="str">
            <v>ADM AGRICOLA</v>
          </cell>
          <cell r="O160" t="str">
            <v>ATIVO</v>
          </cell>
          <cell r="P160" t="str">
            <v>E01</v>
          </cell>
          <cell r="Q160" t="str">
            <v>E03</v>
          </cell>
          <cell r="R160" t="str">
            <v>E16</v>
          </cell>
          <cell r="S160">
            <v>0</v>
          </cell>
          <cell r="T160">
            <v>0</v>
          </cell>
        </row>
        <row r="161">
          <cell r="E161">
            <v>500222</v>
          </cell>
          <cell r="F161" t="str">
            <v>CONTROLE DE TRÁFEGO (CENTRAL)</v>
          </cell>
          <cell r="G161">
            <v>20</v>
          </cell>
          <cell r="H161" t="str">
            <v>AGR</v>
          </cell>
          <cell r="I161" t="str">
            <v>JOEL GARCIA</v>
          </cell>
          <cell r="J161" t="str">
            <v/>
          </cell>
          <cell r="K161">
            <v>0</v>
          </cell>
          <cell r="L161">
            <v>0</v>
          </cell>
          <cell r="M161">
            <v>0</v>
          </cell>
          <cell r="N161" t="str">
            <v>ADM AGRICOLA</v>
          </cell>
          <cell r="O161" t="str">
            <v>ATIVO</v>
          </cell>
          <cell r="P161" t="str">
            <v>E01</v>
          </cell>
          <cell r="Q161" t="str">
            <v>E03</v>
          </cell>
          <cell r="R161" t="str">
            <v>E16</v>
          </cell>
          <cell r="S161" t="str">
            <v>E17</v>
          </cell>
          <cell r="T161">
            <v>0</v>
          </cell>
        </row>
        <row r="162">
          <cell r="E162">
            <v>500224</v>
          </cell>
          <cell r="F162" t="str">
            <v>CONTROLE BIOLÓGICO</v>
          </cell>
          <cell r="G162">
            <v>20</v>
          </cell>
          <cell r="H162" t="str">
            <v>AGR</v>
          </cell>
          <cell r="I162" t="str">
            <v>CARLOS ARCE</v>
          </cell>
          <cell r="J162" t="str">
            <v/>
          </cell>
          <cell r="K162">
            <v>0</v>
          </cell>
          <cell r="L162">
            <v>0</v>
          </cell>
          <cell r="M162">
            <v>0</v>
          </cell>
          <cell r="N162" t="str">
            <v>ADM AGR</v>
          </cell>
          <cell r="O162" t="str">
            <v>ATIVO</v>
          </cell>
          <cell r="P162" t="str">
            <v>E01</v>
          </cell>
          <cell r="Q162" t="str">
            <v>E03</v>
          </cell>
          <cell r="R162" t="str">
            <v>E21</v>
          </cell>
          <cell r="S162">
            <v>0</v>
          </cell>
          <cell r="T162">
            <v>0</v>
          </cell>
        </row>
        <row r="163">
          <cell r="E163">
            <v>500226</v>
          </cell>
          <cell r="F163" t="str">
            <v>ADM TECNOLOGIA AGRÍCOLA</v>
          </cell>
          <cell r="G163">
            <v>20</v>
          </cell>
          <cell r="H163" t="str">
            <v>Agr</v>
          </cell>
          <cell r="I163" t="str">
            <v>MARTIM LOOSLI</v>
          </cell>
          <cell r="J163" t="str">
            <v/>
          </cell>
          <cell r="K163">
            <v>0</v>
          </cell>
          <cell r="L163">
            <v>0</v>
          </cell>
          <cell r="M163">
            <v>0</v>
          </cell>
          <cell r="N163" t="str">
            <v>MDO-AGRICOLA</v>
          </cell>
          <cell r="O163" t="str">
            <v>ATIVO</v>
          </cell>
          <cell r="P163" t="str">
            <v>E01</v>
          </cell>
          <cell r="Q163" t="str">
            <v>E03</v>
          </cell>
          <cell r="R163" t="str">
            <v>E16</v>
          </cell>
          <cell r="S163">
            <v>0</v>
          </cell>
          <cell r="T163">
            <v>0</v>
          </cell>
        </row>
        <row r="164">
          <cell r="E164">
            <v>500299</v>
          </cell>
          <cell r="F164" t="str">
            <v>MANUTENÇÃO DE ENTRESSAFRA</v>
          </cell>
          <cell r="G164">
            <v>20</v>
          </cell>
          <cell r="H164" t="str">
            <v>AGR</v>
          </cell>
          <cell r="I164" t="str">
            <v>EVERTON PASSARINI</v>
          </cell>
          <cell r="J164" t="str">
            <v/>
          </cell>
          <cell r="K164">
            <v>0</v>
          </cell>
          <cell r="L164">
            <v>0</v>
          </cell>
          <cell r="M164">
            <v>0</v>
          </cell>
          <cell r="N164" t="str">
            <v>ADM AGRICOLA</v>
          </cell>
          <cell r="O164" t="str">
            <v>ATIVO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</row>
        <row r="165">
          <cell r="E165">
            <v>500300</v>
          </cell>
          <cell r="F165" t="str">
            <v>ADMINISTRAÇÃO DE RURAL</v>
          </cell>
          <cell r="G165">
            <v>20</v>
          </cell>
          <cell r="H165" t="str">
            <v>AGR</v>
          </cell>
          <cell r="I165" t="str">
            <v>JOEL GARCIA</v>
          </cell>
          <cell r="J165" t="str">
            <v/>
          </cell>
          <cell r="K165">
            <v>0</v>
          </cell>
          <cell r="L165">
            <v>0</v>
          </cell>
          <cell r="M165">
            <v>0</v>
          </cell>
          <cell r="N165" t="str">
            <v>MDO-AGRICOLA</v>
          </cell>
          <cell r="O165" t="str">
            <v>ATIVO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</row>
        <row r="166">
          <cell r="E166">
            <v>500302</v>
          </cell>
          <cell r="F166" t="str">
            <v>MDO FISCAIS CAMPO</v>
          </cell>
          <cell r="G166">
            <v>20</v>
          </cell>
          <cell r="H166" t="str">
            <v>AGR</v>
          </cell>
          <cell r="I166" t="str">
            <v>JOEL GARCIA</v>
          </cell>
          <cell r="J166" t="str">
            <v/>
          </cell>
          <cell r="K166">
            <v>0</v>
          </cell>
          <cell r="L166">
            <v>0</v>
          </cell>
          <cell r="M166">
            <v>0</v>
          </cell>
          <cell r="N166" t="str">
            <v>COLHEITA</v>
          </cell>
          <cell r="O166" t="str">
            <v>ATIVO</v>
          </cell>
          <cell r="P166" t="str">
            <v>E01</v>
          </cell>
          <cell r="Q166" t="str">
            <v>E03</v>
          </cell>
          <cell r="R166" t="str">
            <v>E16</v>
          </cell>
          <cell r="S166" t="str">
            <v>E17</v>
          </cell>
          <cell r="T166">
            <v>0</v>
          </cell>
        </row>
        <row r="167">
          <cell r="E167">
            <v>500304</v>
          </cell>
          <cell r="F167" t="str">
            <v>MDO QUEIMA DE CANA</v>
          </cell>
          <cell r="G167">
            <v>20</v>
          </cell>
          <cell r="H167" t="str">
            <v>AGR</v>
          </cell>
          <cell r="I167" t="str">
            <v>JOEL GARCIA</v>
          </cell>
          <cell r="J167" t="str">
            <v/>
          </cell>
          <cell r="K167">
            <v>0</v>
          </cell>
          <cell r="L167">
            <v>0</v>
          </cell>
          <cell r="M167">
            <v>0</v>
          </cell>
          <cell r="N167" t="str">
            <v>COLHEITA</v>
          </cell>
          <cell r="O167" t="str">
            <v>ATIVO</v>
          </cell>
          <cell r="P167" t="str">
            <v>E01</v>
          </cell>
          <cell r="Q167" t="str">
            <v>E03</v>
          </cell>
          <cell r="R167" t="str">
            <v>E16</v>
          </cell>
          <cell r="S167" t="str">
            <v>E17</v>
          </cell>
          <cell r="T167">
            <v>0</v>
          </cell>
        </row>
        <row r="168">
          <cell r="E168">
            <v>500306</v>
          </cell>
          <cell r="F168" t="str">
            <v>MDO BITUCA</v>
          </cell>
          <cell r="G168">
            <v>20</v>
          </cell>
          <cell r="H168" t="str">
            <v>AGR</v>
          </cell>
          <cell r="I168" t="str">
            <v>JOEL GARCIA</v>
          </cell>
          <cell r="J168" t="str">
            <v/>
          </cell>
          <cell r="K168">
            <v>0</v>
          </cell>
          <cell r="L168">
            <v>0</v>
          </cell>
          <cell r="M168">
            <v>0</v>
          </cell>
          <cell r="N168" t="str">
            <v>TRATOS</v>
          </cell>
          <cell r="O168" t="str">
            <v>ATIVO</v>
          </cell>
          <cell r="P168" t="str">
            <v>E01</v>
          </cell>
          <cell r="Q168" t="str">
            <v>E03</v>
          </cell>
          <cell r="R168" t="str">
            <v>E16</v>
          </cell>
          <cell r="S168" t="str">
            <v>E17</v>
          </cell>
          <cell r="T168">
            <v>0</v>
          </cell>
        </row>
        <row r="169">
          <cell r="E169">
            <v>500308</v>
          </cell>
          <cell r="F169" t="str">
            <v>MDO CATAÇÃO QUIMICA</v>
          </cell>
          <cell r="G169">
            <v>20</v>
          </cell>
          <cell r="H169" t="str">
            <v>AGR</v>
          </cell>
          <cell r="I169" t="str">
            <v>MIGUEL GARCIA</v>
          </cell>
          <cell r="J169" t="str">
            <v/>
          </cell>
          <cell r="K169">
            <v>0</v>
          </cell>
          <cell r="L169">
            <v>0</v>
          </cell>
          <cell r="M169">
            <v>0</v>
          </cell>
          <cell r="N169" t="str">
            <v>MDO-AGRICOLA</v>
          </cell>
          <cell r="O169" t="str">
            <v>ATIVO</v>
          </cell>
          <cell r="P169" t="str">
            <v>E01</v>
          </cell>
          <cell r="Q169" t="str">
            <v>E03</v>
          </cell>
          <cell r="R169" t="str">
            <v>E16</v>
          </cell>
          <cell r="S169">
            <v>0</v>
          </cell>
          <cell r="T169">
            <v>0</v>
          </cell>
        </row>
        <row r="170">
          <cell r="E170">
            <v>500310</v>
          </cell>
          <cell r="F170" t="str">
            <v>MDO RURICOLAS - REGIONAIS</v>
          </cell>
          <cell r="G170">
            <v>20</v>
          </cell>
          <cell r="H170" t="str">
            <v>AGR</v>
          </cell>
          <cell r="I170" t="str">
            <v>JOEL GARCIA</v>
          </cell>
          <cell r="J170" t="str">
            <v/>
          </cell>
          <cell r="K170">
            <v>0</v>
          </cell>
          <cell r="L170">
            <v>0</v>
          </cell>
          <cell r="M170">
            <v>0</v>
          </cell>
          <cell r="N170" t="str">
            <v>MDO-AGRICOLA</v>
          </cell>
          <cell r="O170" t="str">
            <v>ATIVO</v>
          </cell>
          <cell r="P170" t="str">
            <v>E01</v>
          </cell>
          <cell r="Q170" t="str">
            <v>E03</v>
          </cell>
          <cell r="R170" t="str">
            <v>E16</v>
          </cell>
          <cell r="S170" t="str">
            <v>E17</v>
          </cell>
          <cell r="T170">
            <v>0</v>
          </cell>
        </row>
        <row r="171">
          <cell r="E171">
            <v>500312</v>
          </cell>
          <cell r="F171" t="str">
            <v>ENCARREGADO MDO RURAL</v>
          </cell>
          <cell r="G171">
            <v>20</v>
          </cell>
          <cell r="H171" t="str">
            <v>AGR</v>
          </cell>
          <cell r="I171" t="str">
            <v>JOEL GARCIA</v>
          </cell>
          <cell r="J171" t="str">
            <v/>
          </cell>
          <cell r="K171">
            <v>0</v>
          </cell>
          <cell r="L171">
            <v>0</v>
          </cell>
          <cell r="M171">
            <v>0</v>
          </cell>
          <cell r="N171" t="str">
            <v>MDO-AGRICOLA</v>
          </cell>
          <cell r="O171" t="str">
            <v>ATIVO</v>
          </cell>
          <cell r="P171" t="str">
            <v>E01</v>
          </cell>
          <cell r="Q171" t="str">
            <v>E03</v>
          </cell>
          <cell r="R171" t="str">
            <v>E16</v>
          </cell>
          <cell r="S171" t="str">
            <v>E17</v>
          </cell>
          <cell r="T171">
            <v>0</v>
          </cell>
        </row>
        <row r="172">
          <cell r="E172">
            <v>500314</v>
          </cell>
          <cell r="F172" t="str">
            <v>MDO MIGRANTES</v>
          </cell>
          <cell r="G172">
            <v>20</v>
          </cell>
          <cell r="H172" t="str">
            <v>AGR</v>
          </cell>
          <cell r="I172" t="str">
            <v>JOEL GARCIA</v>
          </cell>
          <cell r="J172" t="str">
            <v/>
          </cell>
          <cell r="K172">
            <v>0</v>
          </cell>
          <cell r="L172">
            <v>0</v>
          </cell>
          <cell r="M172">
            <v>0</v>
          </cell>
          <cell r="N172" t="str">
            <v>FERTIRRIGAÇÃO</v>
          </cell>
          <cell r="O172" t="str">
            <v>ATIVO</v>
          </cell>
          <cell r="P172" t="str">
            <v>E01</v>
          </cell>
          <cell r="Q172" t="str">
            <v>E03</v>
          </cell>
          <cell r="R172" t="str">
            <v>E16</v>
          </cell>
          <cell r="S172" t="str">
            <v>E17</v>
          </cell>
          <cell r="T172">
            <v>0</v>
          </cell>
        </row>
        <row r="173">
          <cell r="E173">
            <v>500399</v>
          </cell>
          <cell r="F173" t="str">
            <v>MANUTENÇÃO DE ENTRESSAFRA</v>
          </cell>
          <cell r="G173">
            <v>20</v>
          </cell>
          <cell r="H173" t="str">
            <v>AGR</v>
          </cell>
          <cell r="I173" t="str">
            <v>JOEL GARCIA</v>
          </cell>
          <cell r="J173" t="str">
            <v/>
          </cell>
          <cell r="K173">
            <v>0</v>
          </cell>
          <cell r="L173">
            <v>0</v>
          </cell>
          <cell r="M173">
            <v>0</v>
          </cell>
          <cell r="N173" t="str">
            <v>MDO-AGRICOLA</v>
          </cell>
          <cell r="O173" t="str">
            <v>ATIVO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</row>
        <row r="174">
          <cell r="E174">
            <v>500400</v>
          </cell>
          <cell r="F174" t="str">
            <v>FERTIRRIGAÇÃO (ESTRUTURA)</v>
          </cell>
          <cell r="G174">
            <v>20</v>
          </cell>
          <cell r="H174" t="str">
            <v>AGR</v>
          </cell>
          <cell r="I174" t="str">
            <v>MIGUEL GARCIA</v>
          </cell>
          <cell r="J174" t="str">
            <v/>
          </cell>
          <cell r="K174">
            <v>0</v>
          </cell>
          <cell r="L174">
            <v>0</v>
          </cell>
          <cell r="M174">
            <v>0</v>
          </cell>
          <cell r="N174" t="str">
            <v>FERTIRRIGAÇÃO</v>
          </cell>
          <cell r="O174" t="str">
            <v>ATIVO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</row>
        <row r="175">
          <cell r="E175">
            <v>500401</v>
          </cell>
          <cell r="F175" t="str">
            <v>ESTRUTURA DE FERTIRRIGAÇÃO</v>
          </cell>
          <cell r="G175">
            <v>20</v>
          </cell>
          <cell r="H175" t="str">
            <v>AGR</v>
          </cell>
          <cell r="I175" t="str">
            <v>MIGUEL GARCIA</v>
          </cell>
          <cell r="J175" t="str">
            <v/>
          </cell>
          <cell r="K175">
            <v>0</v>
          </cell>
          <cell r="L175">
            <v>0</v>
          </cell>
          <cell r="M175">
            <v>0</v>
          </cell>
          <cell r="N175" t="str">
            <v>FERTIRRIGAÇÃO</v>
          </cell>
          <cell r="O175" t="str">
            <v>ATIVO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</row>
        <row r="176">
          <cell r="E176">
            <v>500402</v>
          </cell>
          <cell r="F176" t="str">
            <v>MANUT. CANAIS DE VINHAÇA</v>
          </cell>
          <cell r="G176">
            <v>20</v>
          </cell>
          <cell r="H176" t="str">
            <v>AGR</v>
          </cell>
          <cell r="I176" t="str">
            <v>MIGUEL GARCIA</v>
          </cell>
          <cell r="J176" t="str">
            <v/>
          </cell>
          <cell r="K176">
            <v>0</v>
          </cell>
          <cell r="L176">
            <v>0</v>
          </cell>
          <cell r="M176">
            <v>0</v>
          </cell>
          <cell r="N176" t="str">
            <v>FERTIRRIGAÇÃO</v>
          </cell>
          <cell r="O176" t="str">
            <v>ATIVO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</row>
        <row r="177">
          <cell r="E177">
            <v>500404</v>
          </cell>
          <cell r="F177" t="str">
            <v>MDO FERTIRRIGAÇÃO</v>
          </cell>
          <cell r="G177">
            <v>20</v>
          </cell>
          <cell r="H177" t="str">
            <v>AGR</v>
          </cell>
          <cell r="I177" t="str">
            <v>MIGUEL GARCIA</v>
          </cell>
          <cell r="J177" t="str">
            <v/>
          </cell>
          <cell r="K177">
            <v>0</v>
          </cell>
          <cell r="L177">
            <v>0</v>
          </cell>
          <cell r="M177">
            <v>0</v>
          </cell>
          <cell r="N177" t="str">
            <v>OFICINA</v>
          </cell>
          <cell r="O177" t="str">
            <v>ATIVO</v>
          </cell>
          <cell r="P177" t="str">
            <v>E01</v>
          </cell>
          <cell r="Q177" t="str">
            <v>E03</v>
          </cell>
          <cell r="R177" t="str">
            <v>E16</v>
          </cell>
          <cell r="S177">
            <v>0</v>
          </cell>
          <cell r="T177">
            <v>0</v>
          </cell>
        </row>
        <row r="178">
          <cell r="E178">
            <v>500406</v>
          </cell>
          <cell r="F178" t="str">
            <v>DISTRIBUIÇAO DE VINHAÇA</v>
          </cell>
          <cell r="G178">
            <v>20</v>
          </cell>
          <cell r="H178" t="str">
            <v>AGR</v>
          </cell>
          <cell r="I178" t="str">
            <v>MIGUEL GARCIA</v>
          </cell>
          <cell r="J178" t="str">
            <v/>
          </cell>
          <cell r="K178">
            <v>0</v>
          </cell>
          <cell r="L178">
            <v>0</v>
          </cell>
          <cell r="M178">
            <v>0</v>
          </cell>
          <cell r="N178" t="str">
            <v>FERTIRRIGAÇÃO</v>
          </cell>
          <cell r="O178" t="str">
            <v>ATIVO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</row>
        <row r="179">
          <cell r="E179">
            <v>500499</v>
          </cell>
          <cell r="F179" t="str">
            <v>MANUTENÇÃO DE ENTRESSAFRA</v>
          </cell>
          <cell r="G179">
            <v>20</v>
          </cell>
          <cell r="H179" t="str">
            <v>AGR</v>
          </cell>
          <cell r="I179" t="str">
            <v>MIGUEL GARCIA</v>
          </cell>
          <cell r="J179" t="str">
            <v/>
          </cell>
          <cell r="K179">
            <v>0</v>
          </cell>
          <cell r="L179">
            <v>0</v>
          </cell>
          <cell r="M179">
            <v>0</v>
          </cell>
          <cell r="N179" t="str">
            <v>FERTIRRIGAÇÃO</v>
          </cell>
          <cell r="O179" t="str">
            <v>ATIVO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</row>
        <row r="180">
          <cell r="E180">
            <v>500500</v>
          </cell>
          <cell r="F180" t="str">
            <v>MANUTENÇÃO AUTOMOTIVA</v>
          </cell>
          <cell r="G180">
            <v>20</v>
          </cell>
          <cell r="H180" t="str">
            <v>AGR</v>
          </cell>
          <cell r="I180" t="str">
            <v>GUSTAVO NAGUMO</v>
          </cell>
          <cell r="J180" t="str">
            <v/>
          </cell>
          <cell r="K180">
            <v>0</v>
          </cell>
          <cell r="L180">
            <v>0</v>
          </cell>
          <cell r="M180">
            <v>0</v>
          </cell>
          <cell r="N180" t="str">
            <v>OFICINA</v>
          </cell>
          <cell r="O180" t="str">
            <v>ATIVO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</row>
        <row r="181">
          <cell r="E181">
            <v>500502</v>
          </cell>
          <cell r="F181" t="str">
            <v>ADM MANUTENÇÃO AUTOMOTIVA</v>
          </cell>
          <cell r="G181">
            <v>20</v>
          </cell>
          <cell r="H181" t="str">
            <v>AGR</v>
          </cell>
          <cell r="I181" t="str">
            <v>GUSTAVO NAGUMO</v>
          </cell>
          <cell r="J181" t="str">
            <v/>
          </cell>
          <cell r="K181">
            <v>0</v>
          </cell>
          <cell r="L181">
            <v>0</v>
          </cell>
          <cell r="M181">
            <v>0</v>
          </cell>
          <cell r="N181" t="str">
            <v>OFICINA</v>
          </cell>
          <cell r="O181" t="str">
            <v>ATIVO</v>
          </cell>
          <cell r="P181" t="str">
            <v>E01</v>
          </cell>
          <cell r="Q181" t="str">
            <v>E03</v>
          </cell>
          <cell r="R181" t="str">
            <v>E18</v>
          </cell>
          <cell r="S181">
            <v>0</v>
          </cell>
          <cell r="T181">
            <v>0</v>
          </cell>
        </row>
        <row r="182">
          <cell r="E182">
            <v>500506</v>
          </cell>
          <cell r="F182" t="str">
            <v>POSTO DE LAVAGEM/ LUBRIFICAÇÃO</v>
          </cell>
          <cell r="G182">
            <v>20</v>
          </cell>
          <cell r="H182" t="str">
            <v>AGR</v>
          </cell>
          <cell r="I182" t="str">
            <v>GUSTAVO NAGUMO</v>
          </cell>
          <cell r="J182" t="str">
            <v/>
          </cell>
          <cell r="K182">
            <v>0</v>
          </cell>
          <cell r="L182">
            <v>0</v>
          </cell>
          <cell r="M182">
            <v>0</v>
          </cell>
          <cell r="N182" t="str">
            <v>OFICINA</v>
          </cell>
          <cell r="O182" t="str">
            <v>ATIVO</v>
          </cell>
          <cell r="P182" t="str">
            <v>E01</v>
          </cell>
          <cell r="Q182" t="str">
            <v>E03</v>
          </cell>
          <cell r="R182" t="str">
            <v>E18</v>
          </cell>
          <cell r="S182">
            <v>0</v>
          </cell>
          <cell r="T182">
            <v>0</v>
          </cell>
        </row>
        <row r="183">
          <cell r="E183">
            <v>500508</v>
          </cell>
          <cell r="F183" t="str">
            <v>ELETRICISTA</v>
          </cell>
          <cell r="G183">
            <v>20</v>
          </cell>
          <cell r="H183" t="str">
            <v>AGR</v>
          </cell>
          <cell r="I183" t="str">
            <v>GUSTAVO NAGUMO</v>
          </cell>
          <cell r="J183" t="str">
            <v/>
          </cell>
          <cell r="K183">
            <v>0</v>
          </cell>
          <cell r="L183">
            <v>0</v>
          </cell>
          <cell r="M183">
            <v>0</v>
          </cell>
          <cell r="N183" t="str">
            <v>OFICINA</v>
          </cell>
          <cell r="O183" t="str">
            <v>ATIVO</v>
          </cell>
          <cell r="P183" t="str">
            <v>E01</v>
          </cell>
          <cell r="Q183" t="str">
            <v>E03</v>
          </cell>
          <cell r="R183" t="str">
            <v>E18</v>
          </cell>
          <cell r="S183">
            <v>0</v>
          </cell>
          <cell r="T183">
            <v>0</v>
          </cell>
        </row>
        <row r="184">
          <cell r="E184">
            <v>500510</v>
          </cell>
          <cell r="F184" t="str">
            <v>SOLDADOR</v>
          </cell>
          <cell r="G184">
            <v>20</v>
          </cell>
          <cell r="H184" t="str">
            <v>AGR</v>
          </cell>
          <cell r="I184" t="str">
            <v>GUSTAVO NAGUMO</v>
          </cell>
          <cell r="J184" t="str">
            <v/>
          </cell>
          <cell r="K184">
            <v>0</v>
          </cell>
          <cell r="L184">
            <v>0</v>
          </cell>
          <cell r="M184">
            <v>0</v>
          </cell>
          <cell r="N184" t="str">
            <v>OFICINA</v>
          </cell>
          <cell r="O184" t="str">
            <v>ATIVO</v>
          </cell>
          <cell r="P184" t="str">
            <v>E01</v>
          </cell>
          <cell r="Q184" t="str">
            <v>E03</v>
          </cell>
          <cell r="R184" t="str">
            <v>E18</v>
          </cell>
          <cell r="S184">
            <v>0</v>
          </cell>
          <cell r="T184">
            <v>0</v>
          </cell>
        </row>
        <row r="185">
          <cell r="E185">
            <v>500512</v>
          </cell>
          <cell r="F185" t="str">
            <v>MECÂNICO COLHEDORA</v>
          </cell>
          <cell r="G185">
            <v>20</v>
          </cell>
          <cell r="H185" t="str">
            <v>AGR</v>
          </cell>
          <cell r="I185" t="str">
            <v>GUSTAVO NAGUMO</v>
          </cell>
          <cell r="J185" t="str">
            <v/>
          </cell>
          <cell r="K185">
            <v>0</v>
          </cell>
          <cell r="L185">
            <v>0</v>
          </cell>
          <cell r="M185">
            <v>0</v>
          </cell>
          <cell r="N185" t="str">
            <v>OFICINA</v>
          </cell>
          <cell r="O185" t="str">
            <v>ATIVO</v>
          </cell>
          <cell r="P185" t="str">
            <v>E01</v>
          </cell>
          <cell r="Q185" t="str">
            <v>E03</v>
          </cell>
          <cell r="R185" t="str">
            <v>E18</v>
          </cell>
          <cell r="S185">
            <v>0</v>
          </cell>
          <cell r="T185">
            <v>0</v>
          </cell>
        </row>
        <row r="186">
          <cell r="E186">
            <v>500514</v>
          </cell>
          <cell r="F186" t="str">
            <v>MECÂNICO MAQUINAS / IMPLEMENTOS</v>
          </cell>
          <cell r="G186">
            <v>20</v>
          </cell>
          <cell r="H186" t="str">
            <v>AGR</v>
          </cell>
          <cell r="I186" t="str">
            <v>GUSTAVO NAGUMO</v>
          </cell>
          <cell r="J186" t="str">
            <v/>
          </cell>
          <cell r="K186">
            <v>0</v>
          </cell>
          <cell r="L186">
            <v>0</v>
          </cell>
          <cell r="M186">
            <v>0</v>
          </cell>
          <cell r="N186" t="str">
            <v>OFICINA</v>
          </cell>
          <cell r="O186" t="str">
            <v>ATIVO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</row>
        <row r="187">
          <cell r="E187">
            <v>500516</v>
          </cell>
          <cell r="F187" t="str">
            <v>BORRACHEIRO</v>
          </cell>
          <cell r="G187">
            <v>20</v>
          </cell>
          <cell r="H187" t="str">
            <v>AGR</v>
          </cell>
          <cell r="I187" t="str">
            <v>GUSTAVO NAGUMO</v>
          </cell>
          <cell r="J187" t="str">
            <v/>
          </cell>
          <cell r="K187">
            <v>0</v>
          </cell>
          <cell r="L187">
            <v>0</v>
          </cell>
          <cell r="M187">
            <v>0</v>
          </cell>
          <cell r="N187" t="str">
            <v>OPERADORES/MOTORISTAS</v>
          </cell>
          <cell r="O187" t="str">
            <v>ATIVO</v>
          </cell>
          <cell r="P187" t="str">
            <v>E01</v>
          </cell>
          <cell r="Q187" t="str">
            <v>E03</v>
          </cell>
          <cell r="R187" t="str">
            <v>E18</v>
          </cell>
          <cell r="S187">
            <v>0</v>
          </cell>
          <cell r="T187">
            <v>0</v>
          </cell>
        </row>
        <row r="188">
          <cell r="E188">
            <v>500599</v>
          </cell>
          <cell r="F188" t="str">
            <v>MANUTENÇÃO DE ENTRESSAFRA</v>
          </cell>
          <cell r="G188">
            <v>20</v>
          </cell>
          <cell r="H188" t="str">
            <v>AGR</v>
          </cell>
          <cell r="I188" t="str">
            <v>GUSTAVO NAGUMO</v>
          </cell>
          <cell r="J188" t="str">
            <v/>
          </cell>
          <cell r="K188">
            <v>0</v>
          </cell>
          <cell r="L188">
            <v>0</v>
          </cell>
          <cell r="M188">
            <v>0</v>
          </cell>
          <cell r="N188" t="str">
            <v>OFICINA</v>
          </cell>
          <cell r="O188" t="str">
            <v>ATIVO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</row>
        <row r="189">
          <cell r="E189">
            <v>500700</v>
          </cell>
          <cell r="F189" t="str">
            <v>MAO DE OBRA APONTADA</v>
          </cell>
          <cell r="G189">
            <v>20</v>
          </cell>
          <cell r="H189" t="str">
            <v>AGR</v>
          </cell>
          <cell r="I189" t="str">
            <v>JOEL GARCIA</v>
          </cell>
          <cell r="J189" t="str">
            <v/>
          </cell>
          <cell r="K189">
            <v>0</v>
          </cell>
          <cell r="L189">
            <v>0</v>
          </cell>
          <cell r="M189">
            <v>0</v>
          </cell>
          <cell r="N189" t="str">
            <v>OPERADORES/MOTORISTAS</v>
          </cell>
          <cell r="O189" t="str">
            <v>ATIVO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</row>
        <row r="190">
          <cell r="E190">
            <v>500702</v>
          </cell>
          <cell r="F190" t="str">
            <v>MOTORISTAS TRANSP CANA</v>
          </cell>
          <cell r="G190">
            <v>20</v>
          </cell>
          <cell r="H190" t="str">
            <v>AGR</v>
          </cell>
          <cell r="I190" t="str">
            <v>JOEL GARCIA</v>
          </cell>
          <cell r="J190" t="str">
            <v/>
          </cell>
          <cell r="K190">
            <v>0</v>
          </cell>
          <cell r="L190">
            <v>0</v>
          </cell>
          <cell r="M190">
            <v>0</v>
          </cell>
          <cell r="N190" t="str">
            <v>OPERADORES/MOTORISTAS</v>
          </cell>
          <cell r="O190" t="str">
            <v>ATIVO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</row>
        <row r="191">
          <cell r="E191">
            <v>500704</v>
          </cell>
          <cell r="F191" t="str">
            <v>MOTORISTAS DIVERSOS</v>
          </cell>
          <cell r="G191">
            <v>20</v>
          </cell>
          <cell r="H191" t="str">
            <v>AGR</v>
          </cell>
          <cell r="I191" t="str">
            <v>JOEL GARCIA</v>
          </cell>
          <cell r="J191" t="str">
            <v/>
          </cell>
          <cell r="K191">
            <v>0</v>
          </cell>
          <cell r="L191">
            <v>0</v>
          </cell>
          <cell r="M191">
            <v>0</v>
          </cell>
          <cell r="N191" t="str">
            <v>OPERADORES/MOTORISTAS</v>
          </cell>
          <cell r="O191" t="str">
            <v>ATIVO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</row>
        <row r="192">
          <cell r="E192">
            <v>500706</v>
          </cell>
          <cell r="F192" t="str">
            <v>CARREGADORES</v>
          </cell>
          <cell r="G192">
            <v>20</v>
          </cell>
          <cell r="H192" t="str">
            <v>AGR</v>
          </cell>
          <cell r="I192" t="str">
            <v>JOEL GARCIA</v>
          </cell>
          <cell r="J192" t="str">
            <v/>
          </cell>
          <cell r="K192">
            <v>0</v>
          </cell>
          <cell r="L192">
            <v>0</v>
          </cell>
          <cell r="M192">
            <v>0</v>
          </cell>
          <cell r="N192" t="str">
            <v>OPERADORES/MOTORISTAS</v>
          </cell>
          <cell r="O192" t="str">
            <v>ATIVO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</row>
        <row r="193">
          <cell r="E193">
            <v>500708</v>
          </cell>
          <cell r="F193" t="str">
            <v>REBOCADORES</v>
          </cell>
          <cell r="G193">
            <v>20</v>
          </cell>
          <cell r="H193" t="str">
            <v>AGR</v>
          </cell>
          <cell r="I193" t="str">
            <v>JOEL GARCIA</v>
          </cell>
          <cell r="J193" t="str">
            <v/>
          </cell>
          <cell r="K193">
            <v>0</v>
          </cell>
          <cell r="L193">
            <v>0</v>
          </cell>
          <cell r="M193">
            <v>0</v>
          </cell>
          <cell r="N193" t="str">
            <v>OPERADORES/MOTORISTAS</v>
          </cell>
          <cell r="O193" t="str">
            <v>ATIVO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</row>
        <row r="194">
          <cell r="E194">
            <v>500710</v>
          </cell>
          <cell r="F194" t="str">
            <v>OPERADORES DE COLHEDORAS</v>
          </cell>
          <cell r="G194">
            <v>20</v>
          </cell>
          <cell r="H194" t="str">
            <v>AGR</v>
          </cell>
          <cell r="I194" t="str">
            <v>JOEL GARCIA</v>
          </cell>
          <cell r="J194" t="str">
            <v/>
          </cell>
          <cell r="K194">
            <v>0</v>
          </cell>
          <cell r="L194">
            <v>0</v>
          </cell>
          <cell r="M194">
            <v>0</v>
          </cell>
          <cell r="N194" t="str">
            <v>OPERADORES/MOTORISTAS</v>
          </cell>
          <cell r="O194" t="str">
            <v>ATIVO</v>
          </cell>
          <cell r="P194" t="str">
            <v>E01</v>
          </cell>
          <cell r="Q194" t="str">
            <v>E03</v>
          </cell>
          <cell r="R194" t="str">
            <v>E16</v>
          </cell>
          <cell r="S194" t="str">
            <v>E17</v>
          </cell>
          <cell r="T194">
            <v>0</v>
          </cell>
        </row>
        <row r="195">
          <cell r="E195">
            <v>500712</v>
          </cell>
          <cell r="F195" t="str">
            <v>MOTORISTAS TRANSBORDO</v>
          </cell>
          <cell r="G195">
            <v>20</v>
          </cell>
          <cell r="H195" t="str">
            <v>AGR</v>
          </cell>
          <cell r="I195" t="str">
            <v>JOEL GARCIA</v>
          </cell>
          <cell r="J195" t="str">
            <v/>
          </cell>
          <cell r="K195">
            <v>0</v>
          </cell>
          <cell r="L195">
            <v>0</v>
          </cell>
          <cell r="M195">
            <v>0</v>
          </cell>
          <cell r="N195" t="str">
            <v>COLHEITA</v>
          </cell>
          <cell r="O195" t="str">
            <v>ATIVO</v>
          </cell>
          <cell r="P195" t="str">
            <v>E01</v>
          </cell>
          <cell r="Q195" t="str">
            <v>E03</v>
          </cell>
          <cell r="R195" t="str">
            <v>E16</v>
          </cell>
          <cell r="S195" t="str">
            <v>E17</v>
          </cell>
          <cell r="T195">
            <v>0</v>
          </cell>
        </row>
        <row r="196">
          <cell r="E196">
            <v>500714</v>
          </cell>
          <cell r="F196" t="str">
            <v>TRATORISTAS MAQ LEVES</v>
          </cell>
          <cell r="G196">
            <v>20</v>
          </cell>
          <cell r="H196" t="str">
            <v>AGR</v>
          </cell>
          <cell r="I196" t="str">
            <v>JOEL GARCIA</v>
          </cell>
          <cell r="J196" t="str">
            <v/>
          </cell>
          <cell r="K196">
            <v>0</v>
          </cell>
          <cell r="L196">
            <v>0</v>
          </cell>
          <cell r="M196">
            <v>0</v>
          </cell>
          <cell r="N196" t="str">
            <v>OPERADORES/MOTORISTAS</v>
          </cell>
          <cell r="O196" t="str">
            <v>ATIVO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</row>
        <row r="197">
          <cell r="E197">
            <v>500716</v>
          </cell>
          <cell r="F197" t="str">
            <v>TRATORISTAS MAQ MEDIAS</v>
          </cell>
          <cell r="G197">
            <v>20</v>
          </cell>
          <cell r="H197" t="str">
            <v>AGR</v>
          </cell>
          <cell r="I197" t="str">
            <v>JOEL GARCIA</v>
          </cell>
          <cell r="J197" t="str">
            <v/>
          </cell>
          <cell r="K197">
            <v>0</v>
          </cell>
          <cell r="L197">
            <v>0</v>
          </cell>
          <cell r="M197">
            <v>0</v>
          </cell>
          <cell r="N197" t="str">
            <v>OPERADORES/MOTORISTAS</v>
          </cell>
          <cell r="O197" t="str">
            <v>ATIVO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</row>
        <row r="198">
          <cell r="E198">
            <v>500718</v>
          </cell>
          <cell r="F198" t="str">
            <v>TRATORISTAS MAQ PESADAS</v>
          </cell>
          <cell r="G198">
            <v>20</v>
          </cell>
          <cell r="H198" t="str">
            <v>AGR</v>
          </cell>
          <cell r="I198" t="str">
            <v>JOEL GARCIA</v>
          </cell>
          <cell r="J198" t="str">
            <v/>
          </cell>
          <cell r="K198">
            <v>0</v>
          </cell>
          <cell r="L198">
            <v>0</v>
          </cell>
          <cell r="M198">
            <v>0</v>
          </cell>
          <cell r="N198" t="str">
            <v>ESTRUTURA DE APOIO</v>
          </cell>
          <cell r="O198" t="str">
            <v>ATIVO</v>
          </cell>
          <cell r="P198" t="str">
            <v>E01</v>
          </cell>
          <cell r="Q198" t="str">
            <v>E03</v>
          </cell>
          <cell r="R198" t="str">
            <v>E16</v>
          </cell>
          <cell r="S198" t="str">
            <v>E17</v>
          </cell>
          <cell r="T198">
            <v>0</v>
          </cell>
        </row>
        <row r="199">
          <cell r="E199">
            <v>500720</v>
          </cell>
          <cell r="F199" t="str">
            <v>MOTORISTA TRANSPORTE DE APOIO</v>
          </cell>
          <cell r="G199">
            <v>20</v>
          </cell>
          <cell r="H199" t="str">
            <v>AGR</v>
          </cell>
          <cell r="I199" t="str">
            <v>JOEL GARCIA</v>
          </cell>
          <cell r="J199" t="str">
            <v/>
          </cell>
          <cell r="K199">
            <v>0</v>
          </cell>
          <cell r="L199">
            <v>0</v>
          </cell>
          <cell r="M199">
            <v>0</v>
          </cell>
          <cell r="N199" t="str">
            <v>ESTRUTURA DE APOIO</v>
          </cell>
          <cell r="O199" t="str">
            <v>ATIVO</v>
          </cell>
          <cell r="P199" t="str">
            <v>E01</v>
          </cell>
          <cell r="Q199" t="str">
            <v>E03</v>
          </cell>
          <cell r="R199" t="str">
            <v>E16</v>
          </cell>
          <cell r="S199" t="str">
            <v>E17</v>
          </cell>
          <cell r="T199">
            <v>0</v>
          </cell>
        </row>
        <row r="200">
          <cell r="E200">
            <v>500722</v>
          </cell>
          <cell r="F200" t="str">
            <v>MDO LÍDERES/FÍSCAIS DE OPERAÇÃO</v>
          </cell>
          <cell r="G200">
            <v>20</v>
          </cell>
          <cell r="H200" t="str">
            <v>AGR</v>
          </cell>
          <cell r="I200" t="str">
            <v>JOEL GARCIA</v>
          </cell>
          <cell r="J200" t="str">
            <v/>
          </cell>
          <cell r="K200">
            <v>0</v>
          </cell>
          <cell r="L200">
            <v>0</v>
          </cell>
          <cell r="M200">
            <v>0</v>
          </cell>
          <cell r="N200" t="str">
            <v>ESTRUTURA DE APOIO</v>
          </cell>
          <cell r="O200" t="str">
            <v>ATIVO</v>
          </cell>
          <cell r="P200" t="str">
            <v>E01</v>
          </cell>
          <cell r="Q200" t="str">
            <v>E03</v>
          </cell>
          <cell r="R200" t="str">
            <v>E16</v>
          </cell>
          <cell r="S200" t="str">
            <v>E17</v>
          </cell>
          <cell r="T200">
            <v>0</v>
          </cell>
        </row>
        <row r="201">
          <cell r="E201">
            <v>500724</v>
          </cell>
          <cell r="F201" t="str">
            <v>AUXILIAR DE CONTROLE DE QUALIDADE</v>
          </cell>
          <cell r="G201">
            <v>20</v>
          </cell>
          <cell r="H201" t="str">
            <v>AGR</v>
          </cell>
          <cell r="I201" t="str">
            <v>EVERTON GEROMINI</v>
          </cell>
          <cell r="J201" t="str">
            <v/>
          </cell>
          <cell r="K201">
            <v>0</v>
          </cell>
          <cell r="L201">
            <v>0</v>
          </cell>
          <cell r="M201">
            <v>0</v>
          </cell>
          <cell r="N201" t="str">
            <v>ESTRUTURA DE APOIO</v>
          </cell>
          <cell r="O201" t="str">
            <v>ATIVO</v>
          </cell>
          <cell r="P201" t="str">
            <v>E01</v>
          </cell>
          <cell r="Q201" t="str">
            <v>E03</v>
          </cell>
          <cell r="R201" t="str">
            <v>E21</v>
          </cell>
          <cell r="S201">
            <v>0</v>
          </cell>
          <cell r="T201">
            <v>0</v>
          </cell>
        </row>
        <row r="202">
          <cell r="E202">
            <v>500726</v>
          </cell>
          <cell r="F202" t="str">
            <v>AUXILIARES AGRICOLAS</v>
          </cell>
          <cell r="G202">
            <v>20</v>
          </cell>
          <cell r="H202" t="str">
            <v>AGR</v>
          </cell>
          <cell r="I202" t="str">
            <v>CARLOS ARCE</v>
          </cell>
          <cell r="J202" t="str">
            <v/>
          </cell>
          <cell r="K202">
            <v>0</v>
          </cell>
          <cell r="L202">
            <v>0</v>
          </cell>
          <cell r="M202">
            <v>0</v>
          </cell>
          <cell r="N202" t="str">
            <v>ESTRUTURA DE APOIO</v>
          </cell>
          <cell r="O202" t="str">
            <v>ATIVO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</row>
        <row r="203">
          <cell r="E203">
            <v>500728</v>
          </cell>
          <cell r="F203" t="str">
            <v>AUXILIARES DE AGRONOMIA</v>
          </cell>
          <cell r="G203">
            <v>20</v>
          </cell>
          <cell r="H203" t="str">
            <v>AGR</v>
          </cell>
          <cell r="I203" t="str">
            <v>CARLOS ARCE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</row>
        <row r="204">
          <cell r="E204">
            <v>500790</v>
          </cell>
          <cell r="F204" t="str">
            <v>FUNCIONARIOS DE TERCEIROS</v>
          </cell>
          <cell r="G204">
            <v>20</v>
          </cell>
          <cell r="H204" t="str">
            <v>AGR</v>
          </cell>
          <cell r="I204" t="str">
            <v>JOEL GARCIA</v>
          </cell>
          <cell r="J204" t="str">
            <v/>
          </cell>
          <cell r="K204">
            <v>0</v>
          </cell>
          <cell r="L204">
            <v>0</v>
          </cell>
          <cell r="M204">
            <v>0</v>
          </cell>
          <cell r="N204" t="str">
            <v>ESTRUTURA DE APOIO</v>
          </cell>
          <cell r="O204" t="str">
            <v>ATIVO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</row>
        <row r="205">
          <cell r="E205">
            <v>500799</v>
          </cell>
          <cell r="F205" t="str">
            <v>MANUTENÇÃO DE ENTRESSAFRA</v>
          </cell>
          <cell r="G205">
            <v>20</v>
          </cell>
          <cell r="H205" t="str">
            <v>AGR</v>
          </cell>
          <cell r="I205" t="str">
            <v>JOEL GARCIA</v>
          </cell>
          <cell r="J205" t="str">
            <v/>
          </cell>
          <cell r="K205">
            <v>0</v>
          </cell>
          <cell r="L205">
            <v>0</v>
          </cell>
          <cell r="M205">
            <v>0</v>
          </cell>
          <cell r="N205" t="str">
            <v>OPERADORES/MOTORISTAS</v>
          </cell>
          <cell r="O205" t="str">
            <v>ATIVO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</row>
        <row r="206">
          <cell r="E206">
            <v>501000</v>
          </cell>
          <cell r="F206" t="str">
            <v>CULTURA DE CANA</v>
          </cell>
          <cell r="G206">
            <v>20</v>
          </cell>
          <cell r="H206" t="str">
            <v>AGR</v>
          </cell>
          <cell r="I206" t="str">
            <v>MIGUEL GARCIA</v>
          </cell>
          <cell r="J206" t="str">
            <v/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 t="str">
            <v>ATIVO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</row>
        <row r="207">
          <cell r="E207">
            <v>501002</v>
          </cell>
          <cell r="F207" t="str">
            <v>PREPARO DE SOLO</v>
          </cell>
          <cell r="G207">
            <v>20</v>
          </cell>
          <cell r="H207" t="str">
            <v>AGR</v>
          </cell>
          <cell r="I207" t="str">
            <v>ALEXANDRE MARINS</v>
          </cell>
          <cell r="J207" t="str">
            <v/>
          </cell>
          <cell r="K207">
            <v>0</v>
          </cell>
          <cell r="L207">
            <v>0</v>
          </cell>
          <cell r="M207">
            <v>0</v>
          </cell>
          <cell r="N207" t="str">
            <v>PLANTIO</v>
          </cell>
          <cell r="O207" t="str">
            <v>ATIVO</v>
          </cell>
          <cell r="P207" t="str">
            <v>E01</v>
          </cell>
          <cell r="Q207" t="str">
            <v>E03</v>
          </cell>
          <cell r="R207" t="str">
            <v>E16</v>
          </cell>
          <cell r="S207">
            <v>0</v>
          </cell>
          <cell r="T207">
            <v>0</v>
          </cell>
        </row>
        <row r="208">
          <cell r="E208">
            <v>501004</v>
          </cell>
          <cell r="F208" t="str">
            <v>COLHEITA DE MUDA</v>
          </cell>
          <cell r="G208">
            <v>20</v>
          </cell>
          <cell r="H208" t="str">
            <v>AGR</v>
          </cell>
          <cell r="I208" t="str">
            <v>MIGUEL GARCIA</v>
          </cell>
          <cell r="J208" t="str">
            <v/>
          </cell>
          <cell r="K208">
            <v>0</v>
          </cell>
          <cell r="L208">
            <v>0</v>
          </cell>
          <cell r="M208">
            <v>0</v>
          </cell>
          <cell r="N208" t="str">
            <v>PLANTIO</v>
          </cell>
          <cell r="O208" t="str">
            <v>ATIVO</v>
          </cell>
          <cell r="P208" t="str">
            <v>E01</v>
          </cell>
          <cell r="Q208" t="str">
            <v>E03</v>
          </cell>
          <cell r="R208" t="str">
            <v>E16</v>
          </cell>
          <cell r="S208">
            <v>0</v>
          </cell>
          <cell r="T208">
            <v>0</v>
          </cell>
        </row>
        <row r="209">
          <cell r="E209">
            <v>501006</v>
          </cell>
          <cell r="F209" t="str">
            <v>COLHEITA DE MUDA - TERCEIROS</v>
          </cell>
          <cell r="G209">
            <v>20</v>
          </cell>
          <cell r="H209" t="str">
            <v>AGR</v>
          </cell>
          <cell r="I209" t="str">
            <v>MIGUEL GARCIA</v>
          </cell>
          <cell r="J209" t="str">
            <v/>
          </cell>
          <cell r="K209">
            <v>0</v>
          </cell>
          <cell r="L209">
            <v>0</v>
          </cell>
          <cell r="M209">
            <v>0</v>
          </cell>
          <cell r="N209" t="str">
            <v>PLANTIO</v>
          </cell>
          <cell r="O209" t="str">
            <v>ATIVO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</row>
        <row r="210">
          <cell r="E210">
            <v>501008</v>
          </cell>
          <cell r="F210" t="str">
            <v>PLANTIO DE CANA</v>
          </cell>
          <cell r="G210">
            <v>20</v>
          </cell>
          <cell r="H210" t="str">
            <v>AGR</v>
          </cell>
          <cell r="I210" t="str">
            <v>MIGUEL GARCIA</v>
          </cell>
          <cell r="J210" t="str">
            <v/>
          </cell>
          <cell r="K210">
            <v>0</v>
          </cell>
          <cell r="L210">
            <v>0</v>
          </cell>
          <cell r="M210">
            <v>0</v>
          </cell>
          <cell r="N210" t="str">
            <v>PLANTIO</v>
          </cell>
          <cell r="O210" t="str">
            <v>ATIVO</v>
          </cell>
          <cell r="P210" t="str">
            <v>E01</v>
          </cell>
          <cell r="Q210" t="str">
            <v>E03</v>
          </cell>
          <cell r="R210" t="str">
            <v>E16</v>
          </cell>
          <cell r="S210">
            <v>0</v>
          </cell>
          <cell r="T210">
            <v>0</v>
          </cell>
        </row>
        <row r="211">
          <cell r="E211">
            <v>501010</v>
          </cell>
          <cell r="F211" t="str">
            <v>TRATOS CANA PLANTA</v>
          </cell>
          <cell r="G211">
            <v>20</v>
          </cell>
          <cell r="H211" t="str">
            <v>AGR</v>
          </cell>
          <cell r="I211" t="str">
            <v>MIGUEL GARCIA</v>
          </cell>
          <cell r="J211" t="str">
            <v/>
          </cell>
          <cell r="K211">
            <v>0</v>
          </cell>
          <cell r="L211">
            <v>0</v>
          </cell>
          <cell r="M211">
            <v>0</v>
          </cell>
          <cell r="N211" t="str">
            <v>TRATOS</v>
          </cell>
          <cell r="O211" t="str">
            <v>ATIVO</v>
          </cell>
          <cell r="P211" t="str">
            <v>E01</v>
          </cell>
          <cell r="Q211" t="str">
            <v>E03</v>
          </cell>
          <cell r="R211" t="str">
            <v>E16</v>
          </cell>
          <cell r="S211">
            <v>0</v>
          </cell>
          <cell r="T211">
            <v>0</v>
          </cell>
        </row>
        <row r="212">
          <cell r="E212">
            <v>501012</v>
          </cell>
          <cell r="F212" t="str">
            <v>TRATOS CANA SOCA</v>
          </cell>
          <cell r="G212">
            <v>20</v>
          </cell>
          <cell r="H212" t="str">
            <v>AGR</v>
          </cell>
          <cell r="I212" t="str">
            <v>MIGUEL GARCIA</v>
          </cell>
          <cell r="J212" t="str">
            <v/>
          </cell>
          <cell r="K212">
            <v>0</v>
          </cell>
          <cell r="L212">
            <v>0</v>
          </cell>
          <cell r="M212">
            <v>0</v>
          </cell>
          <cell r="N212" t="str">
            <v>COLHEITA</v>
          </cell>
          <cell r="O212" t="str">
            <v>ATIVO</v>
          </cell>
          <cell r="P212" t="str">
            <v>E01</v>
          </cell>
          <cell r="Q212" t="str">
            <v>E03</v>
          </cell>
          <cell r="R212" t="str">
            <v>E16</v>
          </cell>
          <cell r="S212">
            <v>0</v>
          </cell>
          <cell r="T212">
            <v>0</v>
          </cell>
        </row>
        <row r="213">
          <cell r="E213">
            <v>501014</v>
          </cell>
          <cell r="F213" t="str">
            <v>COLHEITA MANUAL</v>
          </cell>
          <cell r="G213">
            <v>20</v>
          </cell>
          <cell r="H213" t="str">
            <v>AGR</v>
          </cell>
          <cell r="I213" t="str">
            <v>JOEL GARCIA</v>
          </cell>
          <cell r="J213" t="str">
            <v/>
          </cell>
          <cell r="K213">
            <v>0</v>
          </cell>
          <cell r="L213">
            <v>0</v>
          </cell>
          <cell r="M213">
            <v>0</v>
          </cell>
          <cell r="N213" t="str">
            <v>COLHEITA</v>
          </cell>
          <cell r="O213" t="str">
            <v>ATIVO</v>
          </cell>
          <cell r="P213" t="str">
            <v>E01</v>
          </cell>
          <cell r="Q213" t="str">
            <v>E03</v>
          </cell>
          <cell r="R213" t="str">
            <v>E16</v>
          </cell>
          <cell r="S213" t="str">
            <v>E17</v>
          </cell>
          <cell r="T213">
            <v>0</v>
          </cell>
        </row>
        <row r="214">
          <cell r="E214">
            <v>501016</v>
          </cell>
          <cell r="F214" t="str">
            <v>COLHEITA MECANIZADA</v>
          </cell>
          <cell r="G214">
            <v>20</v>
          </cell>
          <cell r="H214" t="str">
            <v>AGR</v>
          </cell>
          <cell r="I214" t="str">
            <v>JOEL GARCIA</v>
          </cell>
          <cell r="J214" t="str">
            <v/>
          </cell>
          <cell r="K214">
            <v>0</v>
          </cell>
          <cell r="L214">
            <v>0</v>
          </cell>
          <cell r="M214">
            <v>0</v>
          </cell>
          <cell r="N214" t="str">
            <v>PLANTIO</v>
          </cell>
          <cell r="O214" t="str">
            <v>ATIVO</v>
          </cell>
          <cell r="P214" t="str">
            <v>E01</v>
          </cell>
          <cell r="Q214" t="str">
            <v>E03</v>
          </cell>
          <cell r="R214" t="str">
            <v>E16</v>
          </cell>
          <cell r="S214" t="str">
            <v>E17</v>
          </cell>
          <cell r="T214">
            <v>0</v>
          </cell>
        </row>
        <row r="215">
          <cell r="E215">
            <v>501018</v>
          </cell>
          <cell r="F215" t="str">
            <v>PÁTIO DE COMPOSTAGEM</v>
          </cell>
          <cell r="G215">
            <v>20</v>
          </cell>
          <cell r="H215" t="str">
            <v>AGR</v>
          </cell>
          <cell r="I215" t="str">
            <v>MIGUEL GARCIA</v>
          </cell>
          <cell r="J215" t="str">
            <v/>
          </cell>
          <cell r="K215">
            <v>0</v>
          </cell>
          <cell r="L215">
            <v>0</v>
          </cell>
          <cell r="M215">
            <v>0</v>
          </cell>
          <cell r="N215" t="str">
            <v>PLANTIO</v>
          </cell>
          <cell r="O215" t="str">
            <v>ATIVO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</row>
        <row r="216">
          <cell r="E216">
            <v>501020</v>
          </cell>
          <cell r="F216" t="str">
            <v>REPLANTIO DA CANA PLANTA</v>
          </cell>
          <cell r="G216">
            <v>20</v>
          </cell>
          <cell r="H216" t="str">
            <v>AGR</v>
          </cell>
          <cell r="I216" t="str">
            <v>MIGUEL GARCIA</v>
          </cell>
          <cell r="J216" t="str">
            <v/>
          </cell>
          <cell r="K216">
            <v>0</v>
          </cell>
          <cell r="L216">
            <v>0</v>
          </cell>
          <cell r="M216">
            <v>0</v>
          </cell>
          <cell r="N216" t="str">
            <v>PLANTIO</v>
          </cell>
          <cell r="O216" t="str">
            <v>ATIVO</v>
          </cell>
          <cell r="P216" t="str">
            <v>E01</v>
          </cell>
          <cell r="Q216" t="str">
            <v>E03</v>
          </cell>
          <cell r="R216" t="str">
            <v>E16</v>
          </cell>
          <cell r="S216">
            <v>0</v>
          </cell>
          <cell r="T216">
            <v>0</v>
          </cell>
        </row>
        <row r="217">
          <cell r="E217">
            <v>501022</v>
          </cell>
          <cell r="F217" t="str">
            <v>REPLANTIO DA CANA SOCA</v>
          </cell>
          <cell r="G217">
            <v>20</v>
          </cell>
          <cell r="H217" t="str">
            <v>AGR</v>
          </cell>
          <cell r="I217" t="str">
            <v>MIGUEL GARCIA</v>
          </cell>
          <cell r="J217" t="str">
            <v/>
          </cell>
          <cell r="K217">
            <v>0</v>
          </cell>
          <cell r="L217">
            <v>0</v>
          </cell>
          <cell r="M217">
            <v>0</v>
          </cell>
          <cell r="N217" t="str">
            <v>ADM AGR</v>
          </cell>
          <cell r="O217" t="str">
            <v>ATIVO</v>
          </cell>
          <cell r="P217" t="str">
            <v>E01</v>
          </cell>
          <cell r="Q217" t="str">
            <v>E03</v>
          </cell>
          <cell r="R217" t="str">
            <v>E16</v>
          </cell>
          <cell r="S217">
            <v>0</v>
          </cell>
          <cell r="T217">
            <v>0</v>
          </cell>
        </row>
        <row r="218">
          <cell r="E218">
            <v>501030</v>
          </cell>
          <cell r="F218" t="str">
            <v>ADMINISTRAÇÃO AGRÍCOLA</v>
          </cell>
          <cell r="G218">
            <v>20</v>
          </cell>
          <cell r="H218" t="str">
            <v>Agr</v>
          </cell>
          <cell r="I218" t="str">
            <v>EVERTON PASSARINI</v>
          </cell>
          <cell r="J218" t="str">
            <v/>
          </cell>
          <cell r="K218">
            <v>0</v>
          </cell>
          <cell r="L218">
            <v>0</v>
          </cell>
          <cell r="M218">
            <v>0</v>
          </cell>
          <cell r="N218" t="str">
            <v>OUTRAS CULTURAS</v>
          </cell>
          <cell r="O218" t="str">
            <v>ATIVO</v>
          </cell>
          <cell r="P218" t="str">
            <v>E01</v>
          </cell>
          <cell r="Q218" t="str">
            <v>E03</v>
          </cell>
          <cell r="R218" t="str">
            <v>E16</v>
          </cell>
          <cell r="S218">
            <v>0</v>
          </cell>
          <cell r="T218">
            <v>0</v>
          </cell>
        </row>
        <row r="219">
          <cell r="E219">
            <v>501099</v>
          </cell>
          <cell r="F219" t="str">
            <v>MANUTENÇÃO DE ENTRESSAFRA</v>
          </cell>
          <cell r="G219">
            <v>20</v>
          </cell>
          <cell r="H219" t="str">
            <v>AGR</v>
          </cell>
          <cell r="I219" t="str">
            <v>MIGUEL GARCIA</v>
          </cell>
          <cell r="J219" t="str">
            <v/>
          </cell>
          <cell r="K219">
            <v>0</v>
          </cell>
          <cell r="L219">
            <v>0</v>
          </cell>
          <cell r="M219">
            <v>0</v>
          </cell>
          <cell r="N219" t="str">
            <v>Man. Entre safra</v>
          </cell>
          <cell r="O219" t="str">
            <v>ATIVO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</row>
        <row r="220">
          <cell r="E220">
            <v>501100</v>
          </cell>
          <cell r="F220" t="str">
            <v>OUTRAS CULTURAS</v>
          </cell>
          <cell r="G220">
            <v>20</v>
          </cell>
          <cell r="H220" t="str">
            <v>AGR</v>
          </cell>
          <cell r="I220" t="str">
            <v>EVERTON PASSARINI</v>
          </cell>
          <cell r="J220" t="str">
            <v/>
          </cell>
          <cell r="K220">
            <v>0</v>
          </cell>
          <cell r="L220">
            <v>0</v>
          </cell>
          <cell r="M220">
            <v>0</v>
          </cell>
          <cell r="N220" t="str">
            <v>OUTRAS CULTURAS</v>
          </cell>
          <cell r="O220" t="str">
            <v>ATIVO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</row>
        <row r="221">
          <cell r="E221">
            <v>501102</v>
          </cell>
          <cell r="F221" t="str">
            <v>REFLORESTAMENTO</v>
          </cell>
          <cell r="G221">
            <v>20</v>
          </cell>
          <cell r="H221" t="str">
            <v>AGR</v>
          </cell>
          <cell r="I221" t="str">
            <v>CARLOS ARCE</v>
          </cell>
          <cell r="J221" t="str">
            <v/>
          </cell>
          <cell r="K221">
            <v>0</v>
          </cell>
          <cell r="L221">
            <v>0</v>
          </cell>
          <cell r="M221">
            <v>0</v>
          </cell>
          <cell r="N221" t="str">
            <v>ADM AGRICOLA</v>
          </cell>
          <cell r="O221" t="str">
            <v>ATIVO</v>
          </cell>
          <cell r="P221" t="str">
            <v>E01</v>
          </cell>
          <cell r="Q221" t="str">
            <v>E03</v>
          </cell>
          <cell r="R221" t="str">
            <v>E21</v>
          </cell>
          <cell r="S221">
            <v>0</v>
          </cell>
          <cell r="T221">
            <v>0</v>
          </cell>
        </row>
        <row r="222">
          <cell r="E222">
            <v>501106</v>
          </cell>
          <cell r="F222" t="str">
            <v>EXPERIMENTO</v>
          </cell>
          <cell r="G222">
            <v>20</v>
          </cell>
          <cell r="H222" t="str">
            <v>AGR</v>
          </cell>
          <cell r="I222" t="str">
            <v>CARLOS ARCE</v>
          </cell>
          <cell r="J222" t="str">
            <v/>
          </cell>
          <cell r="K222">
            <v>0</v>
          </cell>
          <cell r="L222">
            <v>0</v>
          </cell>
          <cell r="M222">
            <v>0</v>
          </cell>
          <cell r="N222" t="str">
            <v>OUTRAS CULTURAS</v>
          </cell>
          <cell r="O222" t="str">
            <v>ATIVO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</row>
        <row r="223">
          <cell r="E223">
            <v>501108</v>
          </cell>
          <cell r="F223" t="str">
            <v>ADUBACAO VERDE</v>
          </cell>
          <cell r="G223">
            <v>20</v>
          </cell>
          <cell r="H223" t="str">
            <v>AGR</v>
          </cell>
          <cell r="I223" t="str">
            <v>CARLOS ARCE</v>
          </cell>
          <cell r="J223" t="str">
            <v/>
          </cell>
          <cell r="K223">
            <v>0</v>
          </cell>
          <cell r="L223">
            <v>0</v>
          </cell>
          <cell r="M223">
            <v>0</v>
          </cell>
          <cell r="N223" t="str">
            <v>OUTRAS CULTURAS</v>
          </cell>
          <cell r="O223" t="str">
            <v>ATIVO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</row>
        <row r="224">
          <cell r="E224">
            <v>501112</v>
          </cell>
          <cell r="F224" t="str">
            <v>OUTROS SERVICOS</v>
          </cell>
          <cell r="G224">
            <v>20</v>
          </cell>
          <cell r="H224" t="str">
            <v>AGR</v>
          </cell>
          <cell r="I224" t="str">
            <v>EVERTON PASSARINI</v>
          </cell>
          <cell r="J224" t="str">
            <v/>
          </cell>
          <cell r="K224">
            <v>0</v>
          </cell>
          <cell r="L224">
            <v>0</v>
          </cell>
          <cell r="M224">
            <v>0</v>
          </cell>
          <cell r="N224" t="str">
            <v>OUTRAS CULTURAS</v>
          </cell>
          <cell r="O224" t="str">
            <v>ATIVO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</row>
        <row r="225">
          <cell r="E225">
            <v>501199</v>
          </cell>
          <cell r="F225" t="str">
            <v>MANUTENÇÃO DE ENTRESSAFRA</v>
          </cell>
          <cell r="G225">
            <v>20</v>
          </cell>
          <cell r="H225" t="str">
            <v>AGR</v>
          </cell>
          <cell r="I225" t="str">
            <v>EVERTON PASSARINI</v>
          </cell>
          <cell r="J225" t="str">
            <v/>
          </cell>
          <cell r="K225">
            <v>0</v>
          </cell>
          <cell r="L225">
            <v>0</v>
          </cell>
          <cell r="M225">
            <v>0</v>
          </cell>
          <cell r="N225" t="str">
            <v>OUTRAS CULTURAS</v>
          </cell>
          <cell r="O225" t="str">
            <v>ATIVO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</row>
        <row r="226">
          <cell r="E226">
            <v>501202</v>
          </cell>
          <cell r="F226" t="str">
            <v>DESENVOLVIMENTO AGRONOMICO</v>
          </cell>
          <cell r="G226">
            <v>20</v>
          </cell>
          <cell r="H226" t="str">
            <v>AGR</v>
          </cell>
          <cell r="I226" t="str">
            <v>CARLOS ARCE</v>
          </cell>
          <cell r="J226" t="str">
            <v/>
          </cell>
          <cell r="K226">
            <v>0</v>
          </cell>
          <cell r="L226">
            <v>0</v>
          </cell>
          <cell r="M226">
            <v>0</v>
          </cell>
          <cell r="N226" t="str">
            <v>ADM AGRICOLA</v>
          </cell>
          <cell r="O226" t="str">
            <v>ATIVO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</row>
        <row r="227">
          <cell r="E227">
            <v>509900</v>
          </cell>
          <cell r="F227" t="str">
            <v>CUSTO FINAL DE PRODUCAO</v>
          </cell>
          <cell r="G227">
            <v>20</v>
          </cell>
          <cell r="H227" t="str">
            <v>AGR</v>
          </cell>
          <cell r="I227" t="str">
            <v>N/A</v>
          </cell>
          <cell r="J227" t="str">
            <v/>
          </cell>
          <cell r="K227">
            <v>0</v>
          </cell>
          <cell r="L227">
            <v>0</v>
          </cell>
          <cell r="M227">
            <v>0</v>
          </cell>
          <cell r="N227" t="str">
            <v>ADM AGRICOLA</v>
          </cell>
          <cell r="O227" t="str">
            <v>ATIVO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</row>
        <row r="228">
          <cell r="E228">
            <v>509902</v>
          </cell>
          <cell r="F228" t="str">
            <v>CUSTO MATERIA-PRIMA</v>
          </cell>
          <cell r="G228">
            <v>20</v>
          </cell>
          <cell r="H228" t="str">
            <v>AGR</v>
          </cell>
          <cell r="I228" t="str">
            <v>N/A</v>
          </cell>
          <cell r="J228" t="str">
            <v/>
          </cell>
          <cell r="K228">
            <v>0</v>
          </cell>
          <cell r="L228">
            <v>0</v>
          </cell>
          <cell r="M228">
            <v>0</v>
          </cell>
          <cell r="N228" t="str">
            <v>ADM AGRICOLA</v>
          </cell>
          <cell r="O228" t="str">
            <v>ATIVO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</row>
        <row r="229">
          <cell r="E229">
            <v>509999</v>
          </cell>
          <cell r="F229" t="str">
            <v>MANUTENÇÃO DE ENTRESSAFRA</v>
          </cell>
          <cell r="G229">
            <v>20</v>
          </cell>
          <cell r="H229" t="str">
            <v>AGR</v>
          </cell>
          <cell r="I229" t="str">
            <v>N/A</v>
          </cell>
          <cell r="J229" t="str">
            <v/>
          </cell>
          <cell r="K229">
            <v>0</v>
          </cell>
          <cell r="L229">
            <v>0</v>
          </cell>
          <cell r="M229">
            <v>0</v>
          </cell>
          <cell r="N229" t="str">
            <v>ADM AGRICOLA</v>
          </cell>
          <cell r="O229" t="str">
            <v>ATIVO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</row>
        <row r="230">
          <cell r="E230">
            <v>600000</v>
          </cell>
          <cell r="F230" t="str">
            <v>CONSERVACAO GERAL/BENFEITORIAS</v>
          </cell>
          <cell r="G230">
            <v>20</v>
          </cell>
          <cell r="H230" t="str">
            <v>AGR</v>
          </cell>
          <cell r="I230" t="str">
            <v>EVERTON PASSARINI</v>
          </cell>
          <cell r="J230" t="str">
            <v/>
          </cell>
          <cell r="K230">
            <v>0</v>
          </cell>
          <cell r="L230">
            <v>0</v>
          </cell>
          <cell r="M230">
            <v>0</v>
          </cell>
          <cell r="N230" t="str">
            <v>ESTRUTURA DE APOIO</v>
          </cell>
          <cell r="O230" t="str">
            <v>ATIVO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</row>
        <row r="231">
          <cell r="E231">
            <v>600200</v>
          </cell>
          <cell r="F231" t="str">
            <v>CONSERVACAO DE SEDES</v>
          </cell>
          <cell r="G231">
            <v>20</v>
          </cell>
          <cell r="H231" t="str">
            <v>AGR</v>
          </cell>
          <cell r="I231" t="str">
            <v>EVERTON PASSARINI</v>
          </cell>
          <cell r="J231" t="str">
            <v/>
          </cell>
          <cell r="K231">
            <v>0</v>
          </cell>
          <cell r="L231">
            <v>0</v>
          </cell>
          <cell r="M231">
            <v>0</v>
          </cell>
          <cell r="N231" t="str">
            <v>ESTRUTURA DE APOIO</v>
          </cell>
          <cell r="O231" t="str">
            <v>ATIVO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</row>
        <row r="232">
          <cell r="E232">
            <v>600400</v>
          </cell>
          <cell r="F232" t="str">
            <v>CONSTR.E CONSERVACAO DEPENDENCIAS</v>
          </cell>
          <cell r="G232">
            <v>20</v>
          </cell>
          <cell r="H232" t="str">
            <v>AGR</v>
          </cell>
          <cell r="I232" t="str">
            <v>EVERTON PASSARINI</v>
          </cell>
          <cell r="J232" t="str">
            <v/>
          </cell>
          <cell r="K232">
            <v>0</v>
          </cell>
          <cell r="L232">
            <v>0</v>
          </cell>
          <cell r="M232">
            <v>0</v>
          </cell>
          <cell r="N232" t="str">
            <v>ESTRUTURA DE APOIO</v>
          </cell>
          <cell r="O232" t="str">
            <v>ATIVO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</row>
      </sheetData>
      <sheetData sheetId="3"/>
      <sheetData sheetId="4"/>
      <sheetData sheetId="5">
        <row r="2">
          <cell r="B2" t="str">
            <v>CC</v>
          </cell>
        </row>
      </sheetData>
      <sheetData sheetId="6"/>
      <sheetData sheetId="7">
        <row r="3">
          <cell r="A3">
            <v>100000</v>
          </cell>
        </row>
      </sheetData>
      <sheetData sheetId="8">
        <row r="2">
          <cell r="A2">
            <v>200102</v>
          </cell>
          <cell r="B2" t="str">
            <v>ADMINISTRACAO CORPORATIVA</v>
          </cell>
          <cell r="C2" t="str">
            <v>Presidencia y Gerencia General</v>
          </cell>
          <cell r="D2" t="str">
            <v>ADM CORP</v>
          </cell>
        </row>
        <row r="3">
          <cell r="A3">
            <v>300606</v>
          </cell>
          <cell r="B3" t="str">
            <v>GER.ADMINISTRACAO DE RISCO E AUDITORIA</v>
          </cell>
          <cell r="C3" t="str">
            <v>Presidencia y Gerencia General</v>
          </cell>
          <cell r="D3" t="str">
            <v>ADM CORP</v>
          </cell>
        </row>
        <row r="4">
          <cell r="A4">
            <v>200202</v>
          </cell>
          <cell r="B4" t="str">
            <v>CONTABILIDADE/FISCAL/PATRIMONIAL</v>
          </cell>
          <cell r="C4" t="str">
            <v>Contabilidad</v>
          </cell>
          <cell r="D4" t="str">
            <v>ADM ING</v>
          </cell>
        </row>
        <row r="5">
          <cell r="A5">
            <v>200302</v>
          </cell>
          <cell r="B5" t="str">
            <v>Fiscal</v>
          </cell>
          <cell r="C5" t="str">
            <v>Impuestos</v>
          </cell>
          <cell r="D5" t="str">
            <v>ADM ING</v>
          </cell>
        </row>
        <row r="6">
          <cell r="A6">
            <v>200602</v>
          </cell>
          <cell r="B6" t="str">
            <v>CUSTOS E ORÇAMENTOS</v>
          </cell>
          <cell r="C6" t="str">
            <v>Presupuesto Central</v>
          </cell>
          <cell r="D6" t="str">
            <v>ADM ING</v>
          </cell>
        </row>
        <row r="7">
          <cell r="A7">
            <v>200702</v>
          </cell>
          <cell r="B7" t="str">
            <v>Contratos</v>
          </cell>
          <cell r="C7" t="str">
            <v>Gerencia Financiera</v>
          </cell>
          <cell r="D7" t="str">
            <v>ADM ING</v>
          </cell>
        </row>
        <row r="8">
          <cell r="A8">
            <v>201404</v>
          </cell>
          <cell r="B8" t="str">
            <v>TESOURARIA</v>
          </cell>
          <cell r="C8" t="str">
            <v>Tesoreria</v>
          </cell>
          <cell r="D8" t="str">
            <v>ADM ING</v>
          </cell>
        </row>
        <row r="9">
          <cell r="A9">
            <v>300208</v>
          </cell>
          <cell r="B9" t="str">
            <v>RECEBIMENTO FISCAL</v>
          </cell>
          <cell r="C9" t="str">
            <v>Impuestos</v>
          </cell>
          <cell r="D9" t="str">
            <v>ADM ING</v>
          </cell>
        </row>
        <row r="10">
          <cell r="A10">
            <v>300420</v>
          </cell>
          <cell r="B10" t="str">
            <v>RECEPCAO, COPA E COZINHA</v>
          </cell>
          <cell r="C10" t="str">
            <v>Gerencia Administrativa</v>
          </cell>
          <cell r="D10" t="str">
            <v>ADM ING</v>
          </cell>
        </row>
        <row r="11">
          <cell r="A11">
            <v>300604</v>
          </cell>
          <cell r="B11" t="str">
            <v>GERENCIA ADMINISTRATIVA LOCAL</v>
          </cell>
          <cell r="C11" t="str">
            <v>Gerencia Administrativa</v>
          </cell>
          <cell r="D11" t="str">
            <v>ADM ING</v>
          </cell>
        </row>
        <row r="12">
          <cell r="A12">
            <v>300802</v>
          </cell>
          <cell r="B12" t="str">
            <v>TECNOLOGIA DA INFORMAÇÃO</v>
          </cell>
          <cell r="C12" t="str">
            <v>Soporte Informatico</v>
          </cell>
          <cell r="D12" t="str">
            <v>ADM ING</v>
          </cell>
        </row>
        <row r="13">
          <cell r="A13">
            <v>200802</v>
          </cell>
          <cell r="B13" t="str">
            <v>TECNOLOGIA DA INFORMAÇÃO</v>
          </cell>
          <cell r="C13" t="str">
            <v>Soporte Informatico</v>
          </cell>
          <cell r="D13" t="str">
            <v>ADM ING</v>
          </cell>
        </row>
        <row r="14">
          <cell r="A14">
            <v>201802</v>
          </cell>
          <cell r="B14" t="str">
            <v>CONTROLE INTERNO</v>
          </cell>
          <cell r="C14" t="str">
            <v>Gerencia Financiera</v>
          </cell>
          <cell r="D14" t="str">
            <v>ADM ING</v>
          </cell>
        </row>
        <row r="15">
          <cell r="A15">
            <v>200102</v>
          </cell>
          <cell r="B15" t="str">
            <v>GERENCIA ADMINISTRATIVA</v>
          </cell>
          <cell r="C15" t="str">
            <v>Gerencia Administrativa</v>
          </cell>
          <cell r="D15" t="str">
            <v>ADM ING</v>
          </cell>
        </row>
        <row r="16">
          <cell r="A16">
            <v>201402</v>
          </cell>
          <cell r="B16" t="str">
            <v>ADMINISTRAÇÃO FINANCEIRA</v>
          </cell>
          <cell r="C16" t="str">
            <v>Gerencia Administrativa</v>
          </cell>
          <cell r="D16" t="str">
            <v>ADM ING</v>
          </cell>
        </row>
        <row r="17">
          <cell r="A17">
            <v>100302</v>
          </cell>
          <cell r="B17" t="str">
            <v>SUP.CONTROLADORIA E GESTAO</v>
          </cell>
          <cell r="C17" t="str">
            <v>Presupuesto Central</v>
          </cell>
          <cell r="D17" t="str">
            <v>ADM ING</v>
          </cell>
        </row>
        <row r="18">
          <cell r="A18">
            <v>100102</v>
          </cell>
          <cell r="B18" t="str">
            <v>CONSELHEIRO ADMINISTRATIVO/FISCAL</v>
          </cell>
          <cell r="C18" t="str">
            <v>Gerencia Pais</v>
          </cell>
          <cell r="D18" t="str">
            <v>ADM PAIS</v>
          </cell>
        </row>
        <row r="19">
          <cell r="A19">
            <v>100202</v>
          </cell>
          <cell r="B19" t="str">
            <v>DIRETOR PRESIDENTE</v>
          </cell>
          <cell r="C19" t="str">
            <v>Gerencia Pais</v>
          </cell>
          <cell r="D19" t="str">
            <v>ADM PAIS</v>
          </cell>
        </row>
        <row r="20">
          <cell r="A20">
            <v>200204</v>
          </cell>
          <cell r="B20" t="str">
            <v>CONSULTORIA E AUDITORIA EXTERNA</v>
          </cell>
          <cell r="C20" t="str">
            <v>Gerencia Pais</v>
          </cell>
          <cell r="D20" t="str">
            <v>ADM PAIS</v>
          </cell>
        </row>
        <row r="21">
          <cell r="A21">
            <v>201602</v>
          </cell>
          <cell r="B21" t="str">
            <v>JURÍDICO</v>
          </cell>
          <cell r="C21" t="str">
            <v>Gerencia Pais</v>
          </cell>
          <cell r="D21" t="str">
            <v>ADM PAIS</v>
          </cell>
        </row>
        <row r="22">
          <cell r="A22">
            <v>201604</v>
          </cell>
          <cell r="B22" t="str">
            <v>CONSULTORIA JURÍDICA EXTERNA</v>
          </cell>
          <cell r="C22" t="str">
            <v>Gerencia Pais</v>
          </cell>
          <cell r="D22" t="str">
            <v>ADM PAIS</v>
          </cell>
        </row>
        <row r="23">
          <cell r="A23">
            <v>202002</v>
          </cell>
          <cell r="B23" t="str">
            <v>MEIO AMBIENTE</v>
          </cell>
          <cell r="C23" t="str">
            <v>Gestion Ambiental</v>
          </cell>
          <cell r="D23" t="str">
            <v>ADM PAIS</v>
          </cell>
        </row>
        <row r="24">
          <cell r="A24">
            <v>300602</v>
          </cell>
          <cell r="B24" t="str">
            <v>ADMINISTRAÇÃO GERAL</v>
          </cell>
          <cell r="C24" t="str">
            <v>Gerencia Pais</v>
          </cell>
          <cell r="D24" t="str">
            <v>ADM PAIS</v>
          </cell>
        </row>
        <row r="25">
          <cell r="A25">
            <v>100106</v>
          </cell>
          <cell r="B25" t="str">
            <v>CONSELHO FISCAL</v>
          </cell>
          <cell r="C25" t="str">
            <v>Gerencia Pais</v>
          </cell>
          <cell r="D25" t="str">
            <v>ADM PAIS</v>
          </cell>
        </row>
        <row r="26">
          <cell r="A26">
            <v>201002</v>
          </cell>
          <cell r="B26" t="str">
            <v>COMPRAS</v>
          </cell>
          <cell r="C26" t="str">
            <v>Compra</v>
          </cell>
          <cell r="D26" t="str">
            <v>LOGISTICA</v>
          </cell>
        </row>
        <row r="27">
          <cell r="A27">
            <v>201202</v>
          </cell>
          <cell r="B27" t="str">
            <v>COMERCIAL</v>
          </cell>
          <cell r="C27" t="str">
            <v>Gerencia</v>
          </cell>
          <cell r="D27" t="str">
            <v>LOGISTICA</v>
          </cell>
        </row>
        <row r="28">
          <cell r="A28">
            <v>300206</v>
          </cell>
          <cell r="B28" t="str">
            <v>FATURAMENTO</v>
          </cell>
          <cell r="C28" t="str">
            <v>Bascula</v>
          </cell>
          <cell r="D28" t="str">
            <v>LOGISTICA</v>
          </cell>
        </row>
        <row r="29">
          <cell r="A29">
            <v>300210</v>
          </cell>
          <cell r="B29" t="str">
            <v>BALANÇA ENTRADA CANA</v>
          </cell>
          <cell r="C29" t="str">
            <v>Bascula</v>
          </cell>
          <cell r="D29" t="str">
            <v>LOGISTICA</v>
          </cell>
        </row>
        <row r="30">
          <cell r="A30">
            <v>301004</v>
          </cell>
          <cell r="B30" t="str">
            <v>ALMOXARIFADO INDUSTRIAL</v>
          </cell>
          <cell r="C30" t="str">
            <v>Materiales</v>
          </cell>
          <cell r="D30" t="str">
            <v>LOGISTICA</v>
          </cell>
        </row>
        <row r="31">
          <cell r="A31">
            <v>301006</v>
          </cell>
          <cell r="B31" t="str">
            <v>POSTO ABASTECIMENTO</v>
          </cell>
          <cell r="C31" t="str">
            <v>Materiales</v>
          </cell>
          <cell r="D31" t="str">
            <v>LOGISTICA</v>
          </cell>
        </row>
        <row r="32">
          <cell r="A32">
            <v>301202</v>
          </cell>
          <cell r="B32" t="str">
            <v>ARMAZENAGEM DE ALCOOL</v>
          </cell>
          <cell r="C32" t="str">
            <v>Manejo de alcohol</v>
          </cell>
          <cell r="D32" t="str">
            <v>LOGISTICA</v>
          </cell>
        </row>
        <row r="33">
          <cell r="A33">
            <v>301206</v>
          </cell>
          <cell r="B33" t="str">
            <v>CARREGAMENTO DE ALCOOL</v>
          </cell>
          <cell r="C33" t="str">
            <v>Manejo de alcohol</v>
          </cell>
          <cell r="D33" t="str">
            <v>LOGISTICA</v>
          </cell>
        </row>
        <row r="34">
          <cell r="A34">
            <v>201204</v>
          </cell>
          <cell r="B34" t="str">
            <v>COMERCIALIZAÇÃO</v>
          </cell>
          <cell r="C34" t="str">
            <v>Gerencia</v>
          </cell>
          <cell r="D34" t="str">
            <v>LOGISTICA</v>
          </cell>
        </row>
        <row r="35">
          <cell r="A35">
            <v>200402</v>
          </cell>
          <cell r="B35" t="str">
            <v>ADMINISTRAÇÃO DE RECURSOS HUMANOS</v>
          </cell>
          <cell r="C35" t="str">
            <v>Administracion</v>
          </cell>
          <cell r="D35" t="str">
            <v>RH</v>
          </cell>
        </row>
        <row r="36">
          <cell r="A36">
            <v>200404</v>
          </cell>
          <cell r="B36" t="str">
            <v>CARGOS E SALÁRIOS</v>
          </cell>
          <cell r="C36" t="str">
            <v>Dotacion de personal</v>
          </cell>
          <cell r="D36" t="str">
            <v>RH</v>
          </cell>
        </row>
        <row r="37">
          <cell r="A37">
            <v>200408</v>
          </cell>
          <cell r="B37" t="str">
            <v>RECRUTAMENTO E SELEÇÃO</v>
          </cell>
          <cell r="C37" t="str">
            <v>Dotacion de personal</v>
          </cell>
          <cell r="D37" t="str">
            <v>RH</v>
          </cell>
        </row>
        <row r="38">
          <cell r="A38">
            <v>200410</v>
          </cell>
          <cell r="B38" t="str">
            <v>ASSISTÊNCIA SOCIAL</v>
          </cell>
          <cell r="C38" t="str">
            <v>Atencion al personal</v>
          </cell>
          <cell r="D38" t="str">
            <v>RH</v>
          </cell>
        </row>
        <row r="39">
          <cell r="A39">
            <v>300404</v>
          </cell>
          <cell r="B39" t="str">
            <v>ADMINISTRACAO DE PESSOAL</v>
          </cell>
          <cell r="C39" t="str">
            <v>Administracion</v>
          </cell>
          <cell r="D39" t="str">
            <v>RH</v>
          </cell>
        </row>
        <row r="40">
          <cell r="A40">
            <v>300410</v>
          </cell>
          <cell r="B40" t="str">
            <v>MEDICINA DO TRABALHO</v>
          </cell>
          <cell r="C40" t="str">
            <v>Servicios de salud</v>
          </cell>
          <cell r="D40" t="str">
            <v>RH</v>
          </cell>
        </row>
        <row r="41">
          <cell r="A41">
            <v>300412</v>
          </cell>
          <cell r="B41" t="str">
            <v>SEGURANCA DO TRABALHO</v>
          </cell>
          <cell r="C41" t="str">
            <v>Administracion</v>
          </cell>
          <cell r="D41" t="str">
            <v>RH</v>
          </cell>
        </row>
        <row r="42">
          <cell r="A42">
            <v>300414</v>
          </cell>
          <cell r="B42" t="str">
            <v>SEGURANCA PATRIMONIAL</v>
          </cell>
          <cell r="C42" t="str">
            <v>Seguridad</v>
          </cell>
          <cell r="D42" t="str">
            <v>RH</v>
          </cell>
        </row>
        <row r="43">
          <cell r="A43">
            <v>200402</v>
          </cell>
          <cell r="B43" t="str">
            <v>ADMINISTRAÇÃO DE RECURSOS HUMANOS</v>
          </cell>
          <cell r="C43" t="str">
            <v>Dotacion de personal</v>
          </cell>
          <cell r="D43" t="str">
            <v>RH</v>
          </cell>
        </row>
        <row r="44">
          <cell r="A44">
            <v>200103</v>
          </cell>
          <cell r="B44" t="str">
            <v>DESPESAS CAPACITAÇÕES</v>
          </cell>
          <cell r="C44" t="str">
            <v>Presidencia y Gerencia General</v>
          </cell>
          <cell r="D44" t="str">
            <v>ADM CORP</v>
          </cell>
        </row>
        <row r="45">
          <cell r="A45">
            <v>300416</v>
          </cell>
          <cell r="B45" t="str">
            <v>RESTAURANTE</v>
          </cell>
          <cell r="C45" t="str">
            <v>Clubs y restaurantes</v>
          </cell>
          <cell r="D45" t="str">
            <v>RH</v>
          </cell>
        </row>
        <row r="46">
          <cell r="A46">
            <v>601200</v>
          </cell>
          <cell r="B46" t="str">
            <v>CONSERVACAO PATIOS - ADMINISTRACAO</v>
          </cell>
          <cell r="C46" t="str">
            <v>Servicios Generales</v>
          </cell>
          <cell r="D46" t="str">
            <v>RH</v>
          </cell>
        </row>
        <row r="47">
          <cell r="A47">
            <v>200406</v>
          </cell>
          <cell r="B47" t="str">
            <v>ADMINISTRAÇÃO DE PESSOAL</v>
          </cell>
          <cell r="C47" t="str">
            <v>Administracion</v>
          </cell>
          <cell r="D47" t="str">
            <v>RH</v>
          </cell>
        </row>
        <row r="48">
          <cell r="A48">
            <v>301002</v>
          </cell>
          <cell r="B48" t="str">
            <v>Almoxarifado Automotivo</v>
          </cell>
          <cell r="C48" t="str">
            <v>Materiales</v>
          </cell>
          <cell r="D48" t="str">
            <v>LOGISTICA</v>
          </cell>
        </row>
        <row r="49">
          <cell r="A49">
            <v>302001</v>
          </cell>
          <cell r="B49" t="str">
            <v>Apoio Operacional</v>
          </cell>
          <cell r="D49" t="str">
            <v>ADM ING</v>
          </cell>
        </row>
      </sheetData>
      <sheetData sheetId="9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ificar"/>
      <sheetName val="Conferencia"/>
      <sheetName val="Cuadro Presenta Adm Venta"/>
      <sheetName val="DIN_Grupo Conta"/>
      <sheetName val="Base Geral_Oficial"/>
      <sheetName val="2014O (2)"/>
      <sheetName val="2014O"/>
      <sheetName val="2013R"/>
      <sheetName val="Revisao Gestor"/>
      <sheetName val="conta"/>
      <sheetName val="REAL_AGR_2012"/>
      <sheetName val="Realizado2012"/>
      <sheetName val="Notas"/>
      <sheetName val="Din Conta"/>
      <sheetName val="DIN_Grupo Conta (2)"/>
      <sheetName val="Grupo Cuenta"/>
      <sheetName val="centro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3">
          <cell r="A3">
            <v>31101011</v>
          </cell>
          <cell r="B3" t="str">
            <v>Salarios</v>
          </cell>
        </row>
        <row r="4">
          <cell r="A4">
            <v>31101021</v>
          </cell>
          <cell r="B4" t="str">
            <v>Hora Extra</v>
          </cell>
        </row>
        <row r="5">
          <cell r="A5">
            <v>31101031</v>
          </cell>
          <cell r="B5" t="str">
            <v>Provisao de Ferias</v>
          </cell>
        </row>
        <row r="6">
          <cell r="A6">
            <v>31101041</v>
          </cell>
          <cell r="B6" t="str">
            <v>Provisao 13. Salario</v>
          </cell>
        </row>
        <row r="7">
          <cell r="A7">
            <v>31101051</v>
          </cell>
          <cell r="B7" t="str">
            <v>Ferias</v>
          </cell>
        </row>
        <row r="8">
          <cell r="A8">
            <v>31101061</v>
          </cell>
          <cell r="B8" t="str">
            <v>13. Salario</v>
          </cell>
        </row>
        <row r="9">
          <cell r="A9">
            <v>31101071</v>
          </cell>
          <cell r="B9" t="str">
            <v>Aviso Previo</v>
          </cell>
        </row>
        <row r="10">
          <cell r="A10">
            <v>31101081</v>
          </cell>
          <cell r="B10" t="str">
            <v>Gratificações</v>
          </cell>
        </row>
        <row r="11">
          <cell r="A11">
            <v>31101091</v>
          </cell>
          <cell r="B11" t="str">
            <v>Plano Participacao Resultados</v>
          </cell>
        </row>
        <row r="12">
          <cell r="A12">
            <v>31101111</v>
          </cell>
          <cell r="B12" t="str">
            <v>Pro-Labore</v>
          </cell>
        </row>
        <row r="13">
          <cell r="A13">
            <v>31101131</v>
          </cell>
          <cell r="B13" t="str">
            <v>Auxilio Enfermidade</v>
          </cell>
        </row>
        <row r="14">
          <cell r="A14">
            <v>31101134</v>
          </cell>
          <cell r="B14" t="str">
            <v>Auxilio Funerário</v>
          </cell>
        </row>
        <row r="15">
          <cell r="A15">
            <v>31101141</v>
          </cell>
          <cell r="B15" t="str">
            <v>Auxilio Maternidade</v>
          </cell>
        </row>
        <row r="16">
          <cell r="A16">
            <v>31101151</v>
          </cell>
          <cell r="B16" t="str">
            <v>Indenizações Trabalhistas</v>
          </cell>
        </row>
        <row r="17">
          <cell r="A17">
            <v>31101161</v>
          </cell>
          <cell r="B17" t="str">
            <v>Fgts</v>
          </cell>
        </row>
        <row r="18">
          <cell r="A18">
            <v>31101201</v>
          </cell>
          <cell r="B18" t="str">
            <v>Seguro Acidente Trabalho-Sat</v>
          </cell>
        </row>
        <row r="19">
          <cell r="A19">
            <v>31101211</v>
          </cell>
          <cell r="B19" t="str">
            <v>Plano Saude Diretoria e Gerentes</v>
          </cell>
        </row>
        <row r="20">
          <cell r="A20">
            <v>31101221</v>
          </cell>
          <cell r="B20" t="str">
            <v>Plano Saude Funcionarios</v>
          </cell>
        </row>
        <row r="21">
          <cell r="A21">
            <v>31101301</v>
          </cell>
          <cell r="B21" t="str">
            <v>Exames Médicos em geral</v>
          </cell>
        </row>
        <row r="22">
          <cell r="A22">
            <v>31101511</v>
          </cell>
          <cell r="B22" t="str">
            <v>Inss</v>
          </cell>
        </row>
        <row r="23">
          <cell r="A23">
            <v>31102101</v>
          </cell>
          <cell r="B23" t="str">
            <v>Auditoria</v>
          </cell>
        </row>
        <row r="24">
          <cell r="A24">
            <v>31102102</v>
          </cell>
          <cell r="B24" t="str">
            <v>Consultoria Fiscal - Conselho Fiscal</v>
          </cell>
        </row>
        <row r="25">
          <cell r="A25">
            <v>31102103</v>
          </cell>
          <cell r="B25" t="str">
            <v>Outros Servicos</v>
          </cell>
        </row>
        <row r="26">
          <cell r="A26">
            <v>31102104</v>
          </cell>
          <cell r="B26" t="str">
            <v>Servicos Advogaticios</v>
          </cell>
        </row>
        <row r="27">
          <cell r="A27">
            <v>31102105</v>
          </cell>
          <cell r="B27" t="str">
            <v>Servicos de Manutencao e Reparos</v>
          </cell>
        </row>
        <row r="28">
          <cell r="A28">
            <v>31102106</v>
          </cell>
          <cell r="B28" t="str">
            <v>Servicos de Maquinas e Tratores</v>
          </cell>
        </row>
        <row r="29">
          <cell r="A29">
            <v>31102108</v>
          </cell>
          <cell r="B29" t="str">
            <v>Serviços de Transportes</v>
          </cell>
        </row>
        <row r="30">
          <cell r="A30">
            <v>31102109</v>
          </cell>
          <cell r="B30" t="str">
            <v>Serviços de Armazenagem</v>
          </cell>
        </row>
        <row r="31">
          <cell r="A31">
            <v>31102110</v>
          </cell>
          <cell r="B31" t="str">
            <v>Serviços de Veiculos</v>
          </cell>
        </row>
        <row r="32">
          <cell r="A32">
            <v>31102111</v>
          </cell>
          <cell r="B32" t="str">
            <v>Serviços de Veiculos-PJ</v>
          </cell>
        </row>
        <row r="33">
          <cell r="A33">
            <v>31102113</v>
          </cell>
          <cell r="B33" t="str">
            <v>Honorários Profissionais</v>
          </cell>
        </row>
        <row r="34">
          <cell r="A34">
            <v>31102117</v>
          </cell>
          <cell r="B34" t="str">
            <v>Assessoria e Consultoria</v>
          </cell>
        </row>
        <row r="35">
          <cell r="A35">
            <v>31102119</v>
          </cell>
          <cell r="B35" t="str">
            <v>Serviços Administrativos</v>
          </cell>
        </row>
        <row r="36">
          <cell r="A36">
            <v>31102121</v>
          </cell>
          <cell r="B36" t="str">
            <v>Serviços de segurança e vigilancia</v>
          </cell>
        </row>
        <row r="37">
          <cell r="A37">
            <v>31102402</v>
          </cell>
          <cell r="B37" t="str">
            <v>Serviços Máq. Tratores e Equip. - Pims</v>
          </cell>
        </row>
        <row r="38">
          <cell r="A38">
            <v>31102403</v>
          </cell>
          <cell r="B38" t="str">
            <v>Transp/Carregamentos Cana-de-açucar-Pims</v>
          </cell>
        </row>
        <row r="39">
          <cell r="A39">
            <v>31102404</v>
          </cell>
          <cell r="B39" t="str">
            <v>Transporte de Pessoal - Pims</v>
          </cell>
        </row>
        <row r="40">
          <cell r="A40">
            <v>31102405</v>
          </cell>
          <cell r="B40" t="str">
            <v>Serviços Gerais - Pims</v>
          </cell>
        </row>
        <row r="41">
          <cell r="A41">
            <v>31102406</v>
          </cell>
          <cell r="B41" t="str">
            <v>Transportes Diversos</v>
          </cell>
        </row>
        <row r="42">
          <cell r="A42">
            <v>31102407</v>
          </cell>
          <cell r="B42" t="str">
            <v>Carregamento Cana-de-açucar</v>
          </cell>
        </row>
        <row r="43">
          <cell r="A43">
            <v>31102408</v>
          </cell>
          <cell r="B43" t="str">
            <v>Transporte Cana Muda</v>
          </cell>
        </row>
        <row r="44">
          <cell r="A44">
            <v>31102409</v>
          </cell>
          <cell r="B44" t="str">
            <v>Carregamento Cana Muda</v>
          </cell>
        </row>
        <row r="45">
          <cell r="A45">
            <v>31102410</v>
          </cell>
          <cell r="B45" t="str">
            <v>Serviços Colheita Mecanizada</v>
          </cell>
        </row>
        <row r="46">
          <cell r="A46">
            <v>31103101</v>
          </cell>
          <cell r="B46" t="str">
            <v>Afericao</v>
          </cell>
        </row>
        <row r="47">
          <cell r="A47">
            <v>31103102</v>
          </cell>
          <cell r="B47" t="str">
            <v>Alugueis de Maquinas e Equipamentos</v>
          </cell>
        </row>
        <row r="48">
          <cell r="A48">
            <v>31103103</v>
          </cell>
          <cell r="B48" t="str">
            <v>Alugueis aparelhos/utensilios</v>
          </cell>
        </row>
        <row r="49">
          <cell r="A49">
            <v>31103104</v>
          </cell>
          <cell r="B49" t="str">
            <v>Analises</v>
          </cell>
        </row>
        <row r="50">
          <cell r="A50">
            <v>31103105</v>
          </cell>
          <cell r="B50" t="str">
            <v>Anuncios e Publicacoes</v>
          </cell>
        </row>
        <row r="51">
          <cell r="A51">
            <v>31103107</v>
          </cell>
          <cell r="B51" t="str">
            <v>Assistencia Social</v>
          </cell>
        </row>
        <row r="52">
          <cell r="A52">
            <v>31103108</v>
          </cell>
          <cell r="B52" t="str">
            <v>Ass. de Classes / Contrib. e Anuidades</v>
          </cell>
        </row>
        <row r="53">
          <cell r="A53">
            <v>31103109</v>
          </cell>
          <cell r="B53" t="str">
            <v>Bens de Natureza Permanente</v>
          </cell>
        </row>
        <row r="54">
          <cell r="A54">
            <v>31103110</v>
          </cell>
          <cell r="B54" t="str">
            <v>Brindes</v>
          </cell>
        </row>
        <row r="55">
          <cell r="A55">
            <v>31103111</v>
          </cell>
          <cell r="B55" t="str">
            <v>Combustiveis e Lubrificantes-Gerais</v>
          </cell>
        </row>
        <row r="56">
          <cell r="A56">
            <v>31103112</v>
          </cell>
          <cell r="B56" t="str">
            <v>Comunicacoes</v>
          </cell>
        </row>
        <row r="57">
          <cell r="A57">
            <v>31103113</v>
          </cell>
          <cell r="B57" t="str">
            <v>Consumo de Agua</v>
          </cell>
        </row>
        <row r="58">
          <cell r="A58">
            <v>31103114</v>
          </cell>
          <cell r="B58" t="str">
            <v>Anuidades</v>
          </cell>
        </row>
        <row r="59">
          <cell r="A59">
            <v>31103115</v>
          </cell>
          <cell r="B59" t="str">
            <v>Correios e Malotes</v>
          </cell>
        </row>
        <row r="60">
          <cell r="A60">
            <v>31103116</v>
          </cell>
          <cell r="B60" t="str">
            <v>Cursos e Treinamentos</v>
          </cell>
        </row>
        <row r="61">
          <cell r="A61">
            <v>31103117</v>
          </cell>
          <cell r="B61" t="str">
            <v>Despesas Diversas</v>
          </cell>
        </row>
        <row r="62">
          <cell r="A62">
            <v>31103119</v>
          </cell>
          <cell r="B62" t="str">
            <v>Despesas Legais</v>
          </cell>
        </row>
        <row r="63">
          <cell r="A63">
            <v>31103120</v>
          </cell>
          <cell r="B63" t="str">
            <v>Doacoes</v>
          </cell>
        </row>
        <row r="64">
          <cell r="A64">
            <v>31103122</v>
          </cell>
          <cell r="B64" t="str">
            <v>Embalagens</v>
          </cell>
        </row>
        <row r="65">
          <cell r="A65">
            <v>31103123</v>
          </cell>
          <cell r="B65" t="str">
            <v>Energia Eletrica</v>
          </cell>
        </row>
        <row r="66">
          <cell r="A66">
            <v>31103126</v>
          </cell>
          <cell r="B66" t="str">
            <v>Fotos e Molduras</v>
          </cell>
        </row>
        <row r="67">
          <cell r="A67">
            <v>31103127</v>
          </cell>
          <cell r="B67" t="str">
            <v>Fretes e Carretos</v>
          </cell>
        </row>
        <row r="68">
          <cell r="A68">
            <v>31103129</v>
          </cell>
          <cell r="B68" t="str">
            <v>Lanches e Refeições</v>
          </cell>
        </row>
        <row r="69">
          <cell r="A69">
            <v>31103131</v>
          </cell>
          <cell r="B69" t="str">
            <v>Impostos, Taxas e Licencas</v>
          </cell>
        </row>
        <row r="70">
          <cell r="A70">
            <v>31103132</v>
          </cell>
          <cell r="B70" t="str">
            <v>Indenizações</v>
          </cell>
        </row>
        <row r="71">
          <cell r="A71">
            <v>31103133</v>
          </cell>
          <cell r="B71" t="str">
            <v>Jornais, Livros e Revistas</v>
          </cell>
        </row>
        <row r="72">
          <cell r="A72">
            <v>31103134</v>
          </cell>
          <cell r="B72" t="str">
            <v>Refeitorio</v>
          </cell>
        </row>
        <row r="73">
          <cell r="A73">
            <v>31103136</v>
          </cell>
          <cell r="B73" t="str">
            <v>Licenciamentos de Veiculos e DPVAT</v>
          </cell>
        </row>
        <row r="74">
          <cell r="A74">
            <v>31103137</v>
          </cell>
          <cell r="B74" t="str">
            <v>Mat de Expediente,Uso e Consumo-Gerais</v>
          </cell>
        </row>
        <row r="75">
          <cell r="A75">
            <v>31103138</v>
          </cell>
          <cell r="B75" t="str">
            <v>Materiais de Seguranca</v>
          </cell>
        </row>
        <row r="76">
          <cell r="A76">
            <v>31103140</v>
          </cell>
          <cell r="B76" t="str">
            <v>Multas de Transito</v>
          </cell>
        </row>
        <row r="77">
          <cell r="A77">
            <v>31103141</v>
          </cell>
          <cell r="B77" t="str">
            <v>Propaganda e Publicidade</v>
          </cell>
        </row>
        <row r="78">
          <cell r="A78">
            <v>31103142</v>
          </cell>
          <cell r="B78" t="str">
            <v>Despesas c/ Cartório/Xerox/Autenticações</v>
          </cell>
        </row>
        <row r="79">
          <cell r="A79">
            <v>31103143</v>
          </cell>
          <cell r="B79" t="str">
            <v>Seguranca e Vigilancia</v>
          </cell>
        </row>
        <row r="80">
          <cell r="A80">
            <v>31103144</v>
          </cell>
          <cell r="B80" t="str">
            <v>Seguros Gerais</v>
          </cell>
        </row>
        <row r="81">
          <cell r="A81">
            <v>31103145</v>
          </cell>
          <cell r="B81" t="str">
            <v>Comunicações / Telefones / Fax</v>
          </cell>
        </row>
        <row r="82">
          <cell r="A82">
            <v>31103146</v>
          </cell>
          <cell r="B82" t="str">
            <v>Transporte de Pessoal</v>
          </cell>
        </row>
        <row r="83">
          <cell r="A83">
            <v>31103147</v>
          </cell>
          <cell r="B83" t="str">
            <v>Utensilios e Ferramentas</v>
          </cell>
        </row>
        <row r="84">
          <cell r="A84">
            <v>31103148</v>
          </cell>
          <cell r="B84" t="str">
            <v>Viagens e Estadias</v>
          </cell>
        </row>
        <row r="85">
          <cell r="A85">
            <v>31103149</v>
          </cell>
          <cell r="B85" t="str">
            <v>Alugueis de casa</v>
          </cell>
        </row>
        <row r="86">
          <cell r="A86">
            <v>31103150</v>
          </cell>
          <cell r="B86" t="str">
            <v>Inss S/Reclamacoes Trabalhistas</v>
          </cell>
        </row>
        <row r="87">
          <cell r="A87">
            <v>31103151</v>
          </cell>
          <cell r="B87" t="str">
            <v>Arrendamento</v>
          </cell>
        </row>
        <row r="88">
          <cell r="A88">
            <v>31103155</v>
          </cell>
          <cell r="B88" t="str">
            <v>Multas e Infracoes Fiscais</v>
          </cell>
        </row>
        <row r="89">
          <cell r="A89">
            <v>31103157</v>
          </cell>
          <cell r="B89" t="str">
            <v>Formação Profissional</v>
          </cell>
        </row>
        <row r="90">
          <cell r="A90">
            <v>31103158</v>
          </cell>
          <cell r="B90" t="str">
            <v>Alugueis de Veículos</v>
          </cell>
        </row>
        <row r="91">
          <cell r="A91">
            <v>31103159</v>
          </cell>
          <cell r="B91" t="str">
            <v>Mudas/Sementes/bagaços</v>
          </cell>
        </row>
        <row r="92">
          <cell r="A92">
            <v>31103160</v>
          </cell>
          <cell r="B92" t="str">
            <v>Medicamentos e Drogas</v>
          </cell>
        </row>
        <row r="93">
          <cell r="A93">
            <v>31103162</v>
          </cell>
          <cell r="B93" t="str">
            <v>Pneus e Camaras</v>
          </cell>
        </row>
        <row r="94">
          <cell r="A94">
            <v>31103163</v>
          </cell>
          <cell r="B94" t="str">
            <v>Serviços de Condominio</v>
          </cell>
        </row>
        <row r="95">
          <cell r="A95">
            <v>31103167</v>
          </cell>
          <cell r="B95" t="str">
            <v>IPVA</v>
          </cell>
        </row>
        <row r="96">
          <cell r="A96">
            <v>31103168</v>
          </cell>
          <cell r="B96" t="str">
            <v>IRRF s/Reclamações Trabalhistas</v>
          </cell>
        </row>
        <row r="97">
          <cell r="A97">
            <v>31103169</v>
          </cell>
          <cell r="B97" t="str">
            <v>Auxilio Funerário</v>
          </cell>
        </row>
        <row r="98">
          <cell r="A98">
            <v>31104101</v>
          </cell>
          <cell r="B98" t="str">
            <v>Ajuste de Estoques-Almoxarifado</v>
          </cell>
        </row>
        <row r="99">
          <cell r="A99">
            <v>31104102</v>
          </cell>
          <cell r="B99" t="str">
            <v>Combustiveis-Almoxarifado</v>
          </cell>
        </row>
        <row r="100">
          <cell r="A100">
            <v>31104103</v>
          </cell>
          <cell r="B100" t="str">
            <v>Copa, Cozinha e Limpeza-Almoxarifado</v>
          </cell>
        </row>
        <row r="101">
          <cell r="A101">
            <v>31104104</v>
          </cell>
          <cell r="B101" t="str">
            <v>Insumos Agricolas-Almoxarifado</v>
          </cell>
        </row>
        <row r="102">
          <cell r="A102">
            <v>31104105</v>
          </cell>
          <cell r="B102" t="str">
            <v>Lenhas/Eucalipto Tratado</v>
          </cell>
        </row>
        <row r="103">
          <cell r="A103">
            <v>31104106</v>
          </cell>
          <cell r="B103" t="str">
            <v>Lubrificantes Industriais-Almoxarifado</v>
          </cell>
        </row>
        <row r="104">
          <cell r="A104">
            <v>31104107</v>
          </cell>
          <cell r="B104" t="str">
            <v>Lubrificantes Veiculos-Almoxarifado</v>
          </cell>
        </row>
        <row r="105">
          <cell r="A105">
            <v>31104108</v>
          </cell>
          <cell r="B105" t="str">
            <v>Materiais Eletricos-Almoxarifado</v>
          </cell>
        </row>
        <row r="106">
          <cell r="A106">
            <v>31104109</v>
          </cell>
          <cell r="B106" t="str">
            <v>Materiais Manutenção Mecânica-Almoxarif</v>
          </cell>
        </row>
        <row r="107">
          <cell r="A107">
            <v>31104110</v>
          </cell>
          <cell r="B107" t="str">
            <v>Peças e Acessorios de Veiculos-Almoxarif</v>
          </cell>
        </row>
        <row r="108">
          <cell r="A108">
            <v>31104111</v>
          </cell>
          <cell r="B108" t="str">
            <v>Pneus e Camaras-Almoxarifado</v>
          </cell>
        </row>
        <row r="109">
          <cell r="A109">
            <v>31104112</v>
          </cell>
          <cell r="B109" t="str">
            <v>Produtos Quimicos-Almoxarifado</v>
          </cell>
        </row>
        <row r="110">
          <cell r="A110">
            <v>31104115</v>
          </cell>
          <cell r="B110" t="str">
            <v>Materiais Hidraulicos-Almoxarifado</v>
          </cell>
        </row>
        <row r="111">
          <cell r="A111">
            <v>31104119</v>
          </cell>
          <cell r="B111" t="str">
            <v>Materiais de Manutenção Pneumática</v>
          </cell>
        </row>
        <row r="112">
          <cell r="A112">
            <v>31104120</v>
          </cell>
          <cell r="B112" t="str">
            <v>Materiais de construção civil</v>
          </cell>
        </row>
        <row r="113">
          <cell r="A113">
            <v>31104121</v>
          </cell>
          <cell r="B113" t="str">
            <v>Materiais e Utensilios de Pinturas</v>
          </cell>
        </row>
        <row r="114">
          <cell r="A114">
            <v>31104122</v>
          </cell>
          <cell r="B114" t="str">
            <v>Materiais de Soldas</v>
          </cell>
        </row>
        <row r="115">
          <cell r="A115">
            <v>31104124</v>
          </cell>
          <cell r="B115" t="str">
            <v>Materiais e Vidrarias p/laboratorio</v>
          </cell>
        </row>
        <row r="116">
          <cell r="A116">
            <v>31104125</v>
          </cell>
          <cell r="B116" t="str">
            <v>Reagentes p/Laboratorio</v>
          </cell>
        </row>
        <row r="117">
          <cell r="A117">
            <v>31104126</v>
          </cell>
          <cell r="B117" t="str">
            <v>Materiais de Higiene e Limpeza</v>
          </cell>
        </row>
        <row r="118">
          <cell r="A118">
            <v>31104127</v>
          </cell>
          <cell r="B118" t="str">
            <v>Materiais de Escritorio</v>
          </cell>
        </row>
        <row r="119">
          <cell r="A119">
            <v>31104128</v>
          </cell>
          <cell r="B119" t="str">
            <v>Suprimentos de Informática</v>
          </cell>
        </row>
        <row r="120">
          <cell r="A120">
            <v>31104129</v>
          </cell>
          <cell r="B120" t="str">
            <v>Materiais Ferrosos e Chaparias</v>
          </cell>
        </row>
        <row r="121">
          <cell r="A121">
            <v>31104130</v>
          </cell>
          <cell r="B121" t="str">
            <v>Materiais de Automação</v>
          </cell>
        </row>
        <row r="122">
          <cell r="A122">
            <v>31108101</v>
          </cell>
          <cell r="B122" t="str">
            <v>Depreciação Apropriações</v>
          </cell>
        </row>
        <row r="123">
          <cell r="A123">
            <v>31108115</v>
          </cell>
          <cell r="B123" t="str">
            <v>Despesas Manutenção Entressafra</v>
          </cell>
        </row>
        <row r="124">
          <cell r="A124">
            <v>31108116</v>
          </cell>
          <cell r="B124" t="str">
            <v>Depreciação Leasing - RTT</v>
          </cell>
        </row>
        <row r="125">
          <cell r="A125">
            <v>31108117</v>
          </cell>
          <cell r="B125" t="str">
            <v>Depreciação - IFRS</v>
          </cell>
        </row>
        <row r="126">
          <cell r="A126">
            <v>31108118</v>
          </cell>
          <cell r="B126" t="str">
            <v>(-) Credito de Pis/Cof</v>
          </cell>
        </row>
        <row r="127">
          <cell r="A127">
            <v>31108199</v>
          </cell>
          <cell r="B127" t="str">
            <v>(-) Estorno Depreciação Fiscal - CPC 27</v>
          </cell>
        </row>
        <row r="128">
          <cell r="A128">
            <v>31103132</v>
          </cell>
          <cell r="B128" t="str">
            <v xml:space="preserve">Indenizações Trabalhistas    </v>
          </cell>
        </row>
        <row r="129">
          <cell r="A129">
            <v>31701120</v>
          </cell>
          <cell r="B129" t="str">
            <v>Indenizações Ambientais/Cíveis</v>
          </cell>
        </row>
        <row r="130">
          <cell r="A130">
            <v>31107114</v>
          </cell>
          <cell r="B130" t="str">
            <v>Doação / Bonicificação</v>
          </cell>
        </row>
        <row r="131">
          <cell r="A131">
            <v>31101151</v>
          </cell>
          <cell r="B131" t="str">
            <v>Indenizações Trabalhistas</v>
          </cell>
        </row>
        <row r="132">
          <cell r="A132">
            <v>31103132</v>
          </cell>
          <cell r="B132" t="str">
            <v>Indenizações Trabalhistas</v>
          </cell>
        </row>
        <row r="133">
          <cell r="A133">
            <v>31201110</v>
          </cell>
          <cell r="B133" t="str">
            <v>Icms AIIM 2108712/000527/3102516/4006790</v>
          </cell>
        </row>
        <row r="134">
          <cell r="A134">
            <v>31103121</v>
          </cell>
          <cell r="B134" t="str">
            <v>Donativos e contribuiçoes</v>
          </cell>
        </row>
        <row r="135">
          <cell r="A135">
            <v>31104123</v>
          </cell>
          <cell r="B135" t="str">
            <v>Materiais de ambulatório</v>
          </cell>
        </row>
        <row r="136">
          <cell r="A136">
            <v>31701104</v>
          </cell>
          <cell r="B136" t="str">
            <v>Despesas diversas</v>
          </cell>
        </row>
        <row r="137">
          <cell r="A137">
            <v>31102114</v>
          </cell>
          <cell r="B137" t="str">
            <v>Comissões e corretatnes</v>
          </cell>
        </row>
        <row r="138">
          <cell r="A138">
            <v>31101231</v>
          </cell>
          <cell r="B138" t="str">
            <v>Bonus</v>
          </cell>
        </row>
        <row r="139">
          <cell r="A139">
            <v>42101301</v>
          </cell>
          <cell r="B139" t="str">
            <v>Comissoes / Corretagens</v>
          </cell>
        </row>
        <row r="140">
          <cell r="A140">
            <v>42101302</v>
          </cell>
          <cell r="B140" t="str">
            <v>Fretes e Carretos - Alcool</v>
          </cell>
        </row>
        <row r="141">
          <cell r="A141">
            <v>42101305</v>
          </cell>
          <cell r="B141" t="str">
            <v>Quebra DE Alcool</v>
          </cell>
        </row>
        <row r="142">
          <cell r="A142">
            <v>0</v>
          </cell>
          <cell r="B142">
            <v>0</v>
          </cell>
        </row>
        <row r="143">
          <cell r="A143">
            <v>0</v>
          </cell>
          <cell r="B143">
            <v>0</v>
          </cell>
        </row>
        <row r="144">
          <cell r="A144">
            <v>31201116</v>
          </cell>
          <cell r="B144" t="str">
            <v>Despesa Bancaria</v>
          </cell>
        </row>
        <row r="145">
          <cell r="A145">
            <v>31102115</v>
          </cell>
          <cell r="B145" t="str">
            <v>Serv de mantencao e repareos PF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O"/>
      <sheetName val="Aux"/>
      <sheetName val="201002 - Compras"/>
      <sheetName val="201202 - Comercial"/>
      <sheetName val="201204 - Comercialização"/>
      <sheetName val="300206 - Faturamento"/>
      <sheetName val="300210 - Balança"/>
      <sheetName val="301002 - Almoxarifado Agrícola"/>
      <sheetName val="301004 - Almoxarifado Industria"/>
      <sheetName val="301006 - Posto de Combustível"/>
      <sheetName val="301202 - Armazenagem de Álcool"/>
      <sheetName val="301206 - Carregamento de Álcool"/>
      <sheetName val="301208 - Logística e Transporte"/>
      <sheetName val="200702 - Contratos"/>
      <sheetName val="TOTAL"/>
      <sheetName val="centro de custo"/>
      <sheetName val="con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">
          <cell r="A1" t="str">
            <v>CUENTA</v>
          </cell>
          <cell r="B1" t="str">
            <v>CUENTA ESTRUTURADA</v>
          </cell>
          <cell r="C1" t="str">
            <v>TEXTO CUENTA</v>
          </cell>
        </row>
        <row r="2">
          <cell r="A2">
            <v>10000000</v>
          </cell>
          <cell r="B2" t="str">
            <v>1.0.0.00.000</v>
          </cell>
          <cell r="C2" t="str">
            <v>ATIVO</v>
          </cell>
        </row>
        <row r="3">
          <cell r="A3">
            <v>11000000</v>
          </cell>
          <cell r="B3" t="str">
            <v>1.1.0.00.000</v>
          </cell>
          <cell r="C3" t="str">
            <v>ATIVO CIRCULANTE</v>
          </cell>
        </row>
        <row r="4">
          <cell r="A4">
            <v>11100000</v>
          </cell>
          <cell r="B4" t="str">
            <v>1.1.1.00.000</v>
          </cell>
          <cell r="C4" t="str">
            <v>DISPONIVEL</v>
          </cell>
        </row>
        <row r="5">
          <cell r="A5">
            <v>11101000</v>
          </cell>
          <cell r="B5" t="str">
            <v>1.1.1.01.000</v>
          </cell>
          <cell r="C5" t="str">
            <v>DISPONIVEL</v>
          </cell>
        </row>
        <row r="6">
          <cell r="A6">
            <v>11101100</v>
          </cell>
          <cell r="B6" t="str">
            <v>1.1.1.01.100</v>
          </cell>
          <cell r="C6" t="str">
            <v>NUMERARIOS</v>
          </cell>
        </row>
        <row r="7">
          <cell r="A7">
            <v>11101101</v>
          </cell>
          <cell r="B7" t="str">
            <v>1.1.1.01.101</v>
          </cell>
          <cell r="C7" t="str">
            <v>Caixa</v>
          </cell>
        </row>
        <row r="8">
          <cell r="A8">
            <v>11101102</v>
          </cell>
          <cell r="B8" t="str">
            <v>1.1.1.01.102</v>
          </cell>
          <cell r="C8" t="str">
            <v>Fundo Fixo</v>
          </cell>
        </row>
        <row r="9">
          <cell r="A9">
            <v>11101103</v>
          </cell>
          <cell r="B9" t="str">
            <v>1.1.1.01.103</v>
          </cell>
          <cell r="C9" t="str">
            <v>Valores a Depositar</v>
          </cell>
        </row>
        <row r="10">
          <cell r="A10">
            <v>11101104</v>
          </cell>
          <cell r="B10" t="str">
            <v>1.1.1.01.104</v>
          </cell>
          <cell r="C10" t="str">
            <v>TESTE</v>
          </cell>
        </row>
        <row r="11">
          <cell r="A11">
            <v>11102000</v>
          </cell>
          <cell r="B11" t="str">
            <v>1.1.1.02.000</v>
          </cell>
          <cell r="C11" t="str">
            <v>BANCOS CONTA MOVIMENTO</v>
          </cell>
        </row>
        <row r="12">
          <cell r="A12">
            <v>11102100</v>
          </cell>
          <cell r="B12" t="str">
            <v>1.1.1.02.100</v>
          </cell>
          <cell r="C12" t="str">
            <v>BANCOS CONTA MOVIMENTO</v>
          </cell>
        </row>
        <row r="13">
          <cell r="A13">
            <v>11102101</v>
          </cell>
          <cell r="B13" t="str">
            <v>1.1.1.02.101</v>
          </cell>
          <cell r="C13" t="str">
            <v>Banco do Brasil S/A</v>
          </cell>
        </row>
        <row r="14">
          <cell r="A14">
            <v>11102102</v>
          </cell>
          <cell r="B14" t="str">
            <v>1.1.1.02.102</v>
          </cell>
          <cell r="C14" t="str">
            <v>Banco BMC S/A</v>
          </cell>
        </row>
        <row r="15">
          <cell r="A15">
            <v>11102103</v>
          </cell>
          <cell r="B15" t="str">
            <v>1.1.1.02.103</v>
          </cell>
          <cell r="C15" t="str">
            <v>Banco BBM S/A</v>
          </cell>
        </row>
        <row r="16">
          <cell r="A16">
            <v>11102104</v>
          </cell>
          <cell r="B16" t="str">
            <v>1.1.1.02.104</v>
          </cell>
          <cell r="C16" t="str">
            <v>Banco do Est.S.Paulo S/A</v>
          </cell>
        </row>
        <row r="17">
          <cell r="A17">
            <v>11102105</v>
          </cell>
          <cell r="B17" t="str">
            <v>1.1.1.02.105</v>
          </cell>
          <cell r="C17" t="str">
            <v>Banco Fibra S/A</v>
          </cell>
        </row>
        <row r="18">
          <cell r="A18">
            <v>11102106</v>
          </cell>
          <cell r="B18" t="str">
            <v>1.1.1.02.106</v>
          </cell>
          <cell r="C18" t="str">
            <v>Banco Bras.Descontos S/A</v>
          </cell>
        </row>
        <row r="19">
          <cell r="A19">
            <v>11102108</v>
          </cell>
          <cell r="B19" t="str">
            <v>1.1.1.02.108</v>
          </cell>
          <cell r="C19" t="str">
            <v>Banco Sudameris S/A</v>
          </cell>
        </row>
        <row r="20">
          <cell r="A20">
            <v>11102109</v>
          </cell>
          <cell r="B20" t="str">
            <v>1.1.1.02.109</v>
          </cell>
          <cell r="C20" t="str">
            <v>Banco Rural S/A</v>
          </cell>
        </row>
        <row r="21">
          <cell r="A21">
            <v>11102110</v>
          </cell>
          <cell r="B21" t="str">
            <v>1.1.1.02.110</v>
          </cell>
          <cell r="C21" t="str">
            <v>Banco HSBC Bamerindus S/A</v>
          </cell>
        </row>
        <row r="22">
          <cell r="A22">
            <v>11102111</v>
          </cell>
          <cell r="B22" t="str">
            <v>1.1.1.02.111</v>
          </cell>
          <cell r="C22" t="str">
            <v>Banco de Credito Nacional</v>
          </cell>
        </row>
        <row r="23">
          <cell r="A23">
            <v>11102112</v>
          </cell>
          <cell r="B23" t="str">
            <v>1.1.1.02.112</v>
          </cell>
          <cell r="C23" t="str">
            <v>Uniao de Bancos Brasileiros S/A</v>
          </cell>
        </row>
        <row r="24">
          <cell r="A24">
            <v>11102113</v>
          </cell>
          <cell r="B24" t="str">
            <v>1.1.1.02.113</v>
          </cell>
          <cell r="C24" t="str">
            <v>Banco Bilbao Vizcaya Brasil S/A</v>
          </cell>
        </row>
        <row r="25">
          <cell r="A25">
            <v>11102114</v>
          </cell>
          <cell r="B25" t="str">
            <v>1.1.1.02.114</v>
          </cell>
          <cell r="C25" t="str">
            <v>Banco ABC Brasil S/A</v>
          </cell>
        </row>
        <row r="26">
          <cell r="A26">
            <v>11102115</v>
          </cell>
          <cell r="B26" t="str">
            <v>1.1.1.02.115</v>
          </cell>
          <cell r="C26" t="str">
            <v>Banco Bras. de Descontos S/A</v>
          </cell>
        </row>
        <row r="27">
          <cell r="A27">
            <v>11102116</v>
          </cell>
          <cell r="B27" t="str">
            <v>1.1.1.02.116</v>
          </cell>
          <cell r="C27" t="str">
            <v>Banco Bras.de Descontos S/A-agricola</v>
          </cell>
        </row>
        <row r="28">
          <cell r="A28">
            <v>11102117</v>
          </cell>
          <cell r="B28" t="str">
            <v>1.1.1.02.117</v>
          </cell>
          <cell r="C28" t="str">
            <v>Caixa Economica Federal</v>
          </cell>
        </row>
        <row r="29">
          <cell r="A29">
            <v>11102118</v>
          </cell>
          <cell r="B29" t="str">
            <v>1.1.1.02.118</v>
          </cell>
          <cell r="C29" t="str">
            <v>Banco do Brasil S/A-Cta Salario</v>
          </cell>
        </row>
        <row r="30">
          <cell r="A30">
            <v>11102119</v>
          </cell>
          <cell r="B30" t="str">
            <v>1.1.1.02.119</v>
          </cell>
          <cell r="C30" t="str">
            <v>Banco Pine S/A</v>
          </cell>
        </row>
        <row r="31">
          <cell r="A31">
            <v>11102120</v>
          </cell>
          <cell r="B31" t="str">
            <v>1.1.1.02.120</v>
          </cell>
          <cell r="C31" t="str">
            <v>Banco Boavista S/A</v>
          </cell>
        </row>
        <row r="32">
          <cell r="A32">
            <v>11102121</v>
          </cell>
          <cell r="B32" t="str">
            <v>1.1.1.02.121</v>
          </cell>
          <cell r="C32" t="str">
            <v>Banco BBA Creditanstalt S/A</v>
          </cell>
        </row>
        <row r="33">
          <cell r="A33">
            <v>11102122</v>
          </cell>
          <cell r="B33" t="str">
            <v>1.1.1.02.122</v>
          </cell>
          <cell r="C33" t="str">
            <v>Banco Ind.e Comercial - BIC S/A</v>
          </cell>
        </row>
        <row r="34">
          <cell r="A34">
            <v>11102123</v>
          </cell>
          <cell r="B34" t="str">
            <v>1.1.1.02.123</v>
          </cell>
          <cell r="C34" t="str">
            <v>Banco UBS Pactual S/A</v>
          </cell>
        </row>
        <row r="35">
          <cell r="A35">
            <v>11102124</v>
          </cell>
          <cell r="B35" t="str">
            <v>1.1.1.02.124</v>
          </cell>
          <cell r="C35" t="str">
            <v>Banco Intercap S/A</v>
          </cell>
        </row>
        <row r="36">
          <cell r="A36">
            <v>11102125</v>
          </cell>
          <cell r="B36" t="str">
            <v>1.1.1.02.125</v>
          </cell>
          <cell r="C36" t="str">
            <v>Banco Itau S/A-Araçatuba</v>
          </cell>
        </row>
        <row r="37">
          <cell r="A37">
            <v>11102126</v>
          </cell>
          <cell r="B37" t="str">
            <v>1.1.1.02.126</v>
          </cell>
          <cell r="C37" t="str">
            <v>Banco Bradesco S/A</v>
          </cell>
        </row>
        <row r="38">
          <cell r="A38">
            <v>11102127</v>
          </cell>
          <cell r="B38" t="str">
            <v>1.1.1.02.127</v>
          </cell>
          <cell r="C38" t="str">
            <v>Banco Citibank S/A</v>
          </cell>
        </row>
        <row r="39">
          <cell r="A39">
            <v>11102128</v>
          </cell>
          <cell r="B39" t="str">
            <v>1.1.1.02.128</v>
          </cell>
          <cell r="C39" t="str">
            <v>Banco Safra S/A</v>
          </cell>
        </row>
        <row r="40">
          <cell r="A40">
            <v>11102129</v>
          </cell>
          <cell r="B40" t="str">
            <v>1.1.1.02.129</v>
          </cell>
          <cell r="C40" t="str">
            <v>Banco Santander S/A</v>
          </cell>
        </row>
        <row r="41">
          <cell r="A41">
            <v>11102130</v>
          </cell>
          <cell r="B41" t="str">
            <v>1.1.1.02.130</v>
          </cell>
          <cell r="C41" t="str">
            <v>Banco Cargil S/A - bco 040 - ag-0001</v>
          </cell>
        </row>
        <row r="42">
          <cell r="A42">
            <v>11102132</v>
          </cell>
          <cell r="B42" t="str">
            <v>1.1.1.02.132</v>
          </cell>
          <cell r="C42" t="str">
            <v>Banco Nossa Caixa S/A</v>
          </cell>
        </row>
        <row r="43">
          <cell r="A43">
            <v>11102133</v>
          </cell>
          <cell r="B43" t="str">
            <v>1.1.1.02.133</v>
          </cell>
          <cell r="C43" t="str">
            <v>Banco ABN Amro Bank</v>
          </cell>
        </row>
        <row r="44">
          <cell r="A44">
            <v>11102134</v>
          </cell>
          <cell r="B44" t="str">
            <v>1.1.1.02.134</v>
          </cell>
          <cell r="C44" t="str">
            <v>Banco do Brasil- agricola</v>
          </cell>
        </row>
        <row r="45">
          <cell r="A45">
            <v>11102135</v>
          </cell>
          <cell r="B45" t="str">
            <v>1.1.1.02.135</v>
          </cell>
          <cell r="C45" t="str">
            <v>Banco HSBC Bamerindus -Agricola</v>
          </cell>
        </row>
        <row r="46">
          <cell r="A46">
            <v>11102136</v>
          </cell>
          <cell r="B46" t="str">
            <v>1.1.1.02.136</v>
          </cell>
          <cell r="C46" t="str">
            <v>Banco Itau S/A -  agricola</v>
          </cell>
        </row>
        <row r="47">
          <cell r="A47">
            <v>11102138</v>
          </cell>
          <cell r="B47" t="str">
            <v>1.1.1.02.138</v>
          </cell>
          <cell r="C47" t="str">
            <v>Banco Citibank S/A -Agricola</v>
          </cell>
        </row>
        <row r="48">
          <cell r="A48">
            <v>11102139</v>
          </cell>
          <cell r="B48" t="str">
            <v>1.1.1.02.139</v>
          </cell>
          <cell r="C48" t="str">
            <v>Banco ABN Amro Banck - agricola</v>
          </cell>
        </row>
        <row r="49">
          <cell r="A49">
            <v>11102140</v>
          </cell>
          <cell r="B49" t="str">
            <v>1.1.1.02.140</v>
          </cell>
          <cell r="C49" t="str">
            <v>Banco Votorantim S.A.</v>
          </cell>
        </row>
        <row r="50">
          <cell r="A50">
            <v>11102141</v>
          </cell>
          <cell r="B50" t="str">
            <v>1.1.1.02.141</v>
          </cell>
          <cell r="C50" t="str">
            <v>Banco Bradesco Colombia</v>
          </cell>
        </row>
        <row r="51">
          <cell r="A51">
            <v>11103000</v>
          </cell>
          <cell r="B51" t="str">
            <v>1.1.1.03.000</v>
          </cell>
          <cell r="C51" t="str">
            <v>APLICACOES FINANCEIRAS</v>
          </cell>
        </row>
        <row r="52">
          <cell r="A52">
            <v>11103100</v>
          </cell>
          <cell r="B52" t="str">
            <v>1.1.1.03.100</v>
          </cell>
          <cell r="C52" t="str">
            <v>APLICACOES FINANCEIRAS</v>
          </cell>
        </row>
        <row r="53">
          <cell r="A53">
            <v>11103101</v>
          </cell>
          <cell r="B53" t="str">
            <v>1.1.1.03.101</v>
          </cell>
          <cell r="C53" t="str">
            <v>Banco Santander S/A</v>
          </cell>
        </row>
        <row r="54">
          <cell r="A54">
            <v>11103102</v>
          </cell>
          <cell r="B54" t="str">
            <v>1.1.1.03.102</v>
          </cell>
          <cell r="C54" t="str">
            <v>Banco de Credito Nacional -BCN</v>
          </cell>
        </row>
        <row r="55">
          <cell r="A55">
            <v>11103103</v>
          </cell>
          <cell r="B55" t="str">
            <v>1.1.1.03.103</v>
          </cell>
          <cell r="C55" t="str">
            <v>Banco Itau S/A</v>
          </cell>
        </row>
        <row r="56">
          <cell r="A56">
            <v>11103104</v>
          </cell>
          <cell r="B56" t="str">
            <v>1.1.1.03.104</v>
          </cell>
          <cell r="C56" t="str">
            <v>Caixa Economica Federal-Guararapes</v>
          </cell>
        </row>
        <row r="57">
          <cell r="A57">
            <v>11103105</v>
          </cell>
          <cell r="B57" t="str">
            <v>1.1.1.03.105</v>
          </cell>
          <cell r="C57" t="str">
            <v>Unibanco-Uniao de Bcos Bras. S/A</v>
          </cell>
        </row>
        <row r="58">
          <cell r="A58">
            <v>11103106</v>
          </cell>
          <cell r="B58" t="str">
            <v>1.1.1.03.106</v>
          </cell>
          <cell r="C58" t="str">
            <v>Bradesco S/A</v>
          </cell>
        </row>
        <row r="59">
          <cell r="A59">
            <v>11103107</v>
          </cell>
          <cell r="B59" t="str">
            <v>1.1.1.03.107</v>
          </cell>
          <cell r="C59" t="str">
            <v>Banco Rural S/A</v>
          </cell>
        </row>
        <row r="60">
          <cell r="A60">
            <v>11103108</v>
          </cell>
          <cell r="B60" t="str">
            <v>1.1.1.03.108</v>
          </cell>
          <cell r="C60" t="str">
            <v>Banco Santander Banespa -CDB</v>
          </cell>
        </row>
        <row r="61">
          <cell r="A61">
            <v>11103109</v>
          </cell>
          <cell r="B61" t="str">
            <v>1.1.1.03.109</v>
          </cell>
          <cell r="C61" t="str">
            <v>Banco Santander Brasil S/A</v>
          </cell>
        </row>
        <row r="62">
          <cell r="A62">
            <v>11103110</v>
          </cell>
          <cell r="B62" t="str">
            <v>1.1.1.03.110</v>
          </cell>
          <cell r="C62" t="str">
            <v>Unibanco-Uniao de Bcos Bras. S/A-</v>
          </cell>
        </row>
        <row r="63">
          <cell r="A63">
            <v>11103111</v>
          </cell>
          <cell r="B63" t="str">
            <v>1.1.1.03.111</v>
          </cell>
          <cell r="C63" t="str">
            <v>Banco ABC Brasil S/A</v>
          </cell>
        </row>
        <row r="64">
          <cell r="A64">
            <v>11103112</v>
          </cell>
          <cell r="B64" t="str">
            <v>1.1.1.03.112</v>
          </cell>
          <cell r="C64" t="str">
            <v>Banco BBM S/A-NDF-Derivativo</v>
          </cell>
        </row>
        <row r="65">
          <cell r="A65">
            <v>11103113</v>
          </cell>
          <cell r="B65" t="str">
            <v>1.1.1.03.113</v>
          </cell>
          <cell r="C65" t="str">
            <v>Banco Do Brasil S/A</v>
          </cell>
        </row>
        <row r="66">
          <cell r="A66">
            <v>11103114</v>
          </cell>
          <cell r="B66" t="str">
            <v>1.1.1.03.114</v>
          </cell>
          <cell r="C66" t="str">
            <v>Banco HSBC Bank</v>
          </cell>
        </row>
        <row r="67">
          <cell r="A67">
            <v>11103115</v>
          </cell>
          <cell r="B67" t="str">
            <v>1.1.1.03.115</v>
          </cell>
          <cell r="C67" t="str">
            <v>Banco Itau S/A - Aplicação Swap</v>
          </cell>
        </row>
        <row r="68">
          <cell r="A68">
            <v>11103116</v>
          </cell>
          <cell r="B68" t="str">
            <v>1.1.1.03.116</v>
          </cell>
          <cell r="C68" t="str">
            <v>Banco HSBC Bamerindus S/A</v>
          </cell>
        </row>
        <row r="69">
          <cell r="A69">
            <v>11103117</v>
          </cell>
          <cell r="B69" t="str">
            <v>1.1.1.03.117</v>
          </cell>
          <cell r="C69" t="str">
            <v>Nossa Caixa Nosso Banco</v>
          </cell>
        </row>
        <row r="70">
          <cell r="A70">
            <v>11103118</v>
          </cell>
          <cell r="B70" t="str">
            <v>1.1.1.03.118</v>
          </cell>
          <cell r="C70" t="str">
            <v>Banco Votorantim S.A.</v>
          </cell>
        </row>
        <row r="71">
          <cell r="A71">
            <v>11103119</v>
          </cell>
          <cell r="B71" t="str">
            <v>1.1.1.03.119</v>
          </cell>
          <cell r="C71" t="str">
            <v>Investimentos no Exterior</v>
          </cell>
        </row>
        <row r="72">
          <cell r="A72">
            <v>11103120</v>
          </cell>
          <cell r="B72" t="str">
            <v>1.1.1.03.120</v>
          </cell>
          <cell r="C72" t="str">
            <v>Banco Santander NDF-Derivativo</v>
          </cell>
        </row>
        <row r="73">
          <cell r="A73">
            <v>11103121</v>
          </cell>
          <cell r="B73" t="str">
            <v>1.1.1.03.121</v>
          </cell>
          <cell r="C73" t="str">
            <v>Banco Votorantin - NDF Derivatido</v>
          </cell>
        </row>
        <row r="74">
          <cell r="A74">
            <v>11103122</v>
          </cell>
          <cell r="B74" t="str">
            <v>1.1.1.03.122</v>
          </cell>
          <cell r="C74" t="str">
            <v>Banco BBM NDF</v>
          </cell>
        </row>
        <row r="75">
          <cell r="A75">
            <v>11103123</v>
          </cell>
          <cell r="B75" t="str">
            <v>1.1.1.03.123</v>
          </cell>
          <cell r="C75" t="str">
            <v>Banco Real NDF-Derivativo</v>
          </cell>
        </row>
        <row r="76">
          <cell r="A76">
            <v>11103124</v>
          </cell>
          <cell r="B76" t="str">
            <v>1.1.1.03.124</v>
          </cell>
          <cell r="C76" t="str">
            <v>Banco Itau - CDB</v>
          </cell>
        </row>
        <row r="77">
          <cell r="A77">
            <v>11200000</v>
          </cell>
          <cell r="B77" t="str">
            <v>1.1.2.00.000</v>
          </cell>
          <cell r="C77" t="str">
            <v>REALIZAVEL</v>
          </cell>
        </row>
        <row r="78">
          <cell r="A78">
            <v>11201000</v>
          </cell>
          <cell r="B78" t="str">
            <v>1.1.2.01.000</v>
          </cell>
          <cell r="C78" t="str">
            <v>CLIENTES</v>
          </cell>
        </row>
        <row r="79">
          <cell r="A79">
            <v>11201100</v>
          </cell>
          <cell r="B79" t="str">
            <v>1.1.2.01.100</v>
          </cell>
          <cell r="C79" t="str">
            <v>DUPLICATAS A RECEBER</v>
          </cell>
        </row>
        <row r="80">
          <cell r="A80">
            <v>11201101</v>
          </cell>
          <cell r="B80" t="str">
            <v>1.1.2.01.101</v>
          </cell>
          <cell r="C80" t="str">
            <v>Duplicatas a receber</v>
          </cell>
        </row>
        <row r="81">
          <cell r="A81">
            <v>11201102</v>
          </cell>
          <cell r="B81" t="str">
            <v>1.1.2.01.102</v>
          </cell>
          <cell r="C81" t="str">
            <v>Dupl.a rec.Alcool Anidro Merc.Ext.</v>
          </cell>
        </row>
        <row r="82">
          <cell r="A82">
            <v>11201103</v>
          </cell>
          <cell r="B82" t="str">
            <v>1.1.2.01.103</v>
          </cell>
          <cell r="C82" t="str">
            <v>Dupl.a rec.Alcool Hidrat.merc.int.</v>
          </cell>
        </row>
        <row r="83">
          <cell r="A83">
            <v>11201104</v>
          </cell>
          <cell r="B83" t="str">
            <v>1.1.2.01.104</v>
          </cell>
          <cell r="C83" t="str">
            <v>Dup.a rec.Alcool Hidrat.Merc.Ext.</v>
          </cell>
        </row>
        <row r="84">
          <cell r="A84">
            <v>11201105</v>
          </cell>
          <cell r="B84" t="str">
            <v>1.1.2.01.105</v>
          </cell>
          <cell r="C84" t="str">
            <v>Dup.a Rec.Acucar Merc.Int.</v>
          </cell>
        </row>
        <row r="85">
          <cell r="A85">
            <v>11201106</v>
          </cell>
          <cell r="B85" t="str">
            <v>1.1.2.01.106</v>
          </cell>
          <cell r="C85" t="str">
            <v>Dupl.a rec.Acucar Merc.ext.</v>
          </cell>
        </row>
        <row r="86">
          <cell r="A86">
            <v>11201107</v>
          </cell>
          <cell r="B86" t="str">
            <v>1.1.2.01.107</v>
          </cell>
          <cell r="C86" t="str">
            <v>Dupl.a rec.Cana- de-Acucar</v>
          </cell>
        </row>
        <row r="87">
          <cell r="A87">
            <v>11201108</v>
          </cell>
          <cell r="B87" t="str">
            <v>1.1.2.01.108</v>
          </cell>
          <cell r="C87" t="str">
            <v>Dupl. a rec. bagaço</v>
          </cell>
        </row>
        <row r="88">
          <cell r="A88">
            <v>11201109</v>
          </cell>
          <cell r="B88" t="str">
            <v>1.1.2.01.109</v>
          </cell>
          <cell r="C88" t="str">
            <v>Dupl a rec.- Sucatas</v>
          </cell>
        </row>
        <row r="89">
          <cell r="A89">
            <v>11201110</v>
          </cell>
          <cell r="B89" t="str">
            <v>1.1.2.01.110</v>
          </cell>
          <cell r="C89" t="str">
            <v>Dupl.a Rec - Clientes  Diversos</v>
          </cell>
        </row>
        <row r="90">
          <cell r="A90">
            <v>11201111</v>
          </cell>
          <cell r="B90" t="str">
            <v>1.1.2.01.111</v>
          </cell>
          <cell r="C90" t="str">
            <v>Dupl. a rec Serv. de Transporte</v>
          </cell>
        </row>
        <row r="91">
          <cell r="A91">
            <v>11201112</v>
          </cell>
          <cell r="B91" t="str">
            <v>1.1.2.01.112</v>
          </cell>
          <cell r="C91" t="str">
            <v>Prov. Duplicatas a Receber</v>
          </cell>
        </row>
        <row r="92">
          <cell r="A92">
            <v>11201500</v>
          </cell>
          <cell r="B92" t="str">
            <v>1.1.2.01.500</v>
          </cell>
          <cell r="C92" t="str">
            <v>Titulos do Sistema Anterior</v>
          </cell>
        </row>
        <row r="93">
          <cell r="A93">
            <v>11201501</v>
          </cell>
          <cell r="B93" t="str">
            <v>1.1.2.01.501</v>
          </cell>
          <cell r="C93" t="str">
            <v>Provisão para perdas dupl a receber</v>
          </cell>
        </row>
        <row r="94">
          <cell r="A94">
            <v>11202000</v>
          </cell>
          <cell r="B94" t="str">
            <v>1.1.2.02.000</v>
          </cell>
          <cell r="C94" t="str">
            <v>(-) DUPLICATAS DESCONTADAS</v>
          </cell>
        </row>
        <row r="95">
          <cell r="A95">
            <v>11202100</v>
          </cell>
          <cell r="B95" t="str">
            <v>1.1.2.02.100</v>
          </cell>
          <cell r="C95" t="str">
            <v>(-) DUPLICATAS DESCONTADAS</v>
          </cell>
        </row>
        <row r="96">
          <cell r="A96">
            <v>11202101</v>
          </cell>
          <cell r="B96" t="str">
            <v>1.1.2.02.101</v>
          </cell>
          <cell r="C96" t="str">
            <v>BS -Fac.Fom.Com.Ltda</v>
          </cell>
        </row>
        <row r="97">
          <cell r="A97">
            <v>11202102</v>
          </cell>
          <cell r="B97" t="str">
            <v>1.1.2.02.102</v>
          </cell>
          <cell r="C97" t="str">
            <v>(-) Banco do Brasil S/A</v>
          </cell>
        </row>
        <row r="98">
          <cell r="A98">
            <v>11202103</v>
          </cell>
          <cell r="B98" t="str">
            <v>1.1.2.02.103</v>
          </cell>
          <cell r="C98" t="str">
            <v>(-) Banco Bradesco S/A</v>
          </cell>
        </row>
        <row r="99">
          <cell r="A99">
            <v>11202104</v>
          </cell>
          <cell r="B99" t="str">
            <v>1.1.2.02.104</v>
          </cell>
          <cell r="C99" t="str">
            <v>(-) Banco BMC S/A</v>
          </cell>
        </row>
        <row r="100">
          <cell r="A100">
            <v>11202105</v>
          </cell>
          <cell r="B100" t="str">
            <v>1.1.2.02.105</v>
          </cell>
          <cell r="C100" t="str">
            <v>(-) Banco BBM S/A</v>
          </cell>
        </row>
        <row r="101">
          <cell r="A101">
            <v>11202106</v>
          </cell>
          <cell r="B101" t="str">
            <v>1.1.2.02.106</v>
          </cell>
          <cell r="C101" t="str">
            <v>(-) Banco Sudameris S/A</v>
          </cell>
        </row>
        <row r="102">
          <cell r="A102">
            <v>11203000</v>
          </cell>
          <cell r="B102" t="str">
            <v>1.1.2.03.000</v>
          </cell>
          <cell r="C102" t="str">
            <v>OUTROS CREDITOS</v>
          </cell>
        </row>
        <row r="103">
          <cell r="A103">
            <v>11203100</v>
          </cell>
          <cell r="B103" t="str">
            <v>1.1.2.03.100</v>
          </cell>
          <cell r="C103" t="str">
            <v>OUTROS CREDITOS</v>
          </cell>
        </row>
        <row r="104">
          <cell r="A104">
            <v>11203101</v>
          </cell>
          <cell r="B104" t="str">
            <v>1.1.2.03.101</v>
          </cell>
          <cell r="C104" t="str">
            <v>Cheques devolvidos</v>
          </cell>
        </row>
        <row r="105">
          <cell r="A105">
            <v>11203102</v>
          </cell>
          <cell r="B105" t="str">
            <v>1.1.2.03.102</v>
          </cell>
          <cell r="C105" t="str">
            <v>Cheques em cobrança</v>
          </cell>
        </row>
        <row r="106">
          <cell r="A106">
            <v>11203103</v>
          </cell>
          <cell r="B106" t="str">
            <v>1.1.2.03.103</v>
          </cell>
          <cell r="C106" t="str">
            <v>Adiantamento de salarios</v>
          </cell>
        </row>
        <row r="107">
          <cell r="A107">
            <v>11203104</v>
          </cell>
          <cell r="B107" t="str">
            <v>1.1.2.03.104</v>
          </cell>
          <cell r="C107" t="str">
            <v>Adiantamentos de ferias</v>
          </cell>
        </row>
        <row r="108">
          <cell r="A108">
            <v>11203105</v>
          </cell>
          <cell r="B108" t="str">
            <v>1.1.2.03.105</v>
          </cell>
          <cell r="C108" t="str">
            <v>Adiantamento 13. Salario</v>
          </cell>
        </row>
        <row r="109">
          <cell r="A109">
            <v>11203106</v>
          </cell>
          <cell r="B109" t="str">
            <v>1.1.2.03.106</v>
          </cell>
          <cell r="C109" t="str">
            <v>Adiantamento de PIS - Abono</v>
          </cell>
        </row>
        <row r="110">
          <cell r="A110">
            <v>11203107</v>
          </cell>
          <cell r="B110" t="str">
            <v>1.1.2.03.107</v>
          </cell>
          <cell r="C110" t="str">
            <v>Adiantamento Despesas Viagens</v>
          </cell>
        </row>
        <row r="111">
          <cell r="A111">
            <v>11203108</v>
          </cell>
          <cell r="B111" t="str">
            <v>1.1.2.03.108</v>
          </cell>
          <cell r="C111" t="str">
            <v>Provisão para perdas adto acionistas</v>
          </cell>
        </row>
        <row r="112">
          <cell r="A112">
            <v>11203109</v>
          </cell>
          <cell r="B112" t="str">
            <v>1.1.2.03.109</v>
          </cell>
          <cell r="C112" t="str">
            <v>José João Ramos de Oliveira</v>
          </cell>
        </row>
        <row r="113">
          <cell r="A113">
            <v>11203110</v>
          </cell>
          <cell r="B113" t="str">
            <v>1.1.2.03.110</v>
          </cell>
          <cell r="C113" t="str">
            <v>Dividendos a Receber</v>
          </cell>
        </row>
        <row r="114">
          <cell r="A114">
            <v>11204000</v>
          </cell>
          <cell r="B114" t="str">
            <v>1.1.2.04.000</v>
          </cell>
          <cell r="C114" t="str">
            <v>ADIANTAMENTO A FORNECEDORES</v>
          </cell>
        </row>
        <row r="115">
          <cell r="A115">
            <v>11204100</v>
          </cell>
          <cell r="B115" t="str">
            <v>1.1.2.04.100</v>
          </cell>
          <cell r="C115" t="str">
            <v>ADIANTAMENTO A FORNECEDORES</v>
          </cell>
        </row>
        <row r="116">
          <cell r="A116">
            <v>11204101</v>
          </cell>
          <cell r="B116" t="str">
            <v>1.1.2.04.101</v>
          </cell>
          <cell r="C116" t="str">
            <v>Adiantamentos a Forneced.Bens e Mater.</v>
          </cell>
        </row>
        <row r="117">
          <cell r="A117">
            <v>11204102</v>
          </cell>
          <cell r="B117" t="str">
            <v>1.1.2.04.102</v>
          </cell>
          <cell r="C117" t="str">
            <v>Adiant. a Parcerias e Fornec Cana-de-Açu</v>
          </cell>
        </row>
        <row r="118">
          <cell r="A118">
            <v>11204103</v>
          </cell>
          <cell r="B118" t="str">
            <v>1.1.2.04.103</v>
          </cell>
          <cell r="C118" t="str">
            <v>Adiant. a Fornecedores Cana</v>
          </cell>
        </row>
        <row r="119">
          <cell r="A119">
            <v>11204104</v>
          </cell>
          <cell r="B119" t="str">
            <v>1.1.2.04.104</v>
          </cell>
          <cell r="C119" t="str">
            <v>Adto. Forn. Cana - Mansa Agroind.</v>
          </cell>
        </row>
        <row r="120">
          <cell r="A120">
            <v>11204105</v>
          </cell>
          <cell r="B120" t="str">
            <v>1.1.2.04.105</v>
          </cell>
          <cell r="C120" t="str">
            <v>Adto. Forn. Cana - Pantaleon Agroind.</v>
          </cell>
        </row>
        <row r="121">
          <cell r="A121">
            <v>11204106</v>
          </cell>
          <cell r="B121" t="str">
            <v>1.1.2.04.106</v>
          </cell>
          <cell r="C121" t="str">
            <v>Adiantamentos a Forneced.Bens e (-)</v>
          </cell>
        </row>
        <row r="122">
          <cell r="A122">
            <v>11204107</v>
          </cell>
          <cell r="B122" t="str">
            <v>1.1.2.04.107</v>
          </cell>
          <cell r="C122" t="str">
            <v>Adiantamentos a Acionistas Sist.Anterior</v>
          </cell>
        </row>
        <row r="123">
          <cell r="A123">
            <v>11204108</v>
          </cell>
          <cell r="B123" t="str">
            <v>1.1.2.04.108</v>
          </cell>
          <cell r="C123" t="str">
            <v>Adiantamentos a Forned.Cana Parc.Sis Ant</v>
          </cell>
        </row>
        <row r="124">
          <cell r="A124">
            <v>11204109</v>
          </cell>
          <cell r="B124" t="str">
            <v>1.1.2.04.109</v>
          </cell>
          <cell r="C124" t="str">
            <v>Adiantamento impostos</v>
          </cell>
        </row>
        <row r="125">
          <cell r="A125">
            <v>11204199</v>
          </cell>
          <cell r="B125" t="str">
            <v>1.1.2.04.199</v>
          </cell>
          <cell r="C125" t="str">
            <v>Saldo Antecip Sist Anterior</v>
          </cell>
        </row>
        <row r="126">
          <cell r="A126">
            <v>11205000</v>
          </cell>
          <cell r="B126" t="str">
            <v>1.1.2.05.000</v>
          </cell>
          <cell r="C126" t="str">
            <v>ADIANTAMENTOS A COLIGADAS</v>
          </cell>
        </row>
        <row r="127">
          <cell r="A127">
            <v>11205100</v>
          </cell>
          <cell r="B127" t="str">
            <v>1.1.2.05.100</v>
          </cell>
          <cell r="C127" t="str">
            <v>ADIANTAMENTOS A COLIGADAS</v>
          </cell>
        </row>
        <row r="128">
          <cell r="A128">
            <v>11205101</v>
          </cell>
          <cell r="B128" t="str">
            <v>1.1.2.05.101</v>
          </cell>
          <cell r="C128" t="str">
            <v>Adiantamentos a Coligadas</v>
          </cell>
        </row>
        <row r="129">
          <cell r="A129">
            <v>11206000</v>
          </cell>
          <cell r="B129" t="str">
            <v>1.1.2.06.000</v>
          </cell>
          <cell r="C129" t="str">
            <v>IMPOSTOS A RECUPERAR</v>
          </cell>
        </row>
        <row r="130">
          <cell r="A130">
            <v>11206100</v>
          </cell>
          <cell r="B130" t="str">
            <v>1.1.2.06.100</v>
          </cell>
          <cell r="C130" t="str">
            <v>IMPOSTOS A RECUPERAR</v>
          </cell>
        </row>
        <row r="131">
          <cell r="A131">
            <v>11206101</v>
          </cell>
          <cell r="B131" t="str">
            <v>1.1.2.06.101</v>
          </cell>
          <cell r="C131" t="str">
            <v>IRRF a compensar Apl.Fin.</v>
          </cell>
        </row>
        <row r="132">
          <cell r="A132">
            <v>11206102</v>
          </cell>
          <cell r="B132" t="str">
            <v>1.1.2.06.102</v>
          </cell>
          <cell r="C132" t="str">
            <v>PIS s/oleo Diesel a Compensar</v>
          </cell>
        </row>
        <row r="133">
          <cell r="A133">
            <v>11206103</v>
          </cell>
          <cell r="B133" t="str">
            <v>1.1.2.06.103</v>
          </cell>
          <cell r="C133" t="str">
            <v>COFINS s/oleo diesel a compensar</v>
          </cell>
        </row>
        <row r="134">
          <cell r="A134">
            <v>11206104</v>
          </cell>
          <cell r="B134" t="str">
            <v>1.1.2.06.104</v>
          </cell>
          <cell r="C134" t="str">
            <v>ICMS a recuperar</v>
          </cell>
        </row>
        <row r="135">
          <cell r="A135">
            <v>11206105</v>
          </cell>
          <cell r="B135" t="str">
            <v>1.1.2.06.105</v>
          </cell>
          <cell r="C135" t="str">
            <v>IRPJ. a compensar 2004</v>
          </cell>
        </row>
        <row r="136">
          <cell r="A136">
            <v>11206106</v>
          </cell>
          <cell r="B136" t="str">
            <v>1.1.2.06.106</v>
          </cell>
          <cell r="C136" t="str">
            <v>CSSL. a compensar 2004</v>
          </cell>
        </row>
        <row r="137">
          <cell r="A137">
            <v>11206107</v>
          </cell>
          <cell r="B137" t="str">
            <v>1.1.2.06.107</v>
          </cell>
          <cell r="C137" t="str">
            <v>IPI Presumido a recup.proc.11610/0</v>
          </cell>
        </row>
        <row r="138">
          <cell r="A138">
            <v>11206108</v>
          </cell>
          <cell r="B138" t="str">
            <v>1.1.2.06.108</v>
          </cell>
          <cell r="C138" t="str">
            <v>IRRF a compensar/mutuo</v>
          </cell>
        </row>
        <row r="139">
          <cell r="A139">
            <v>11206109</v>
          </cell>
          <cell r="B139" t="str">
            <v>1.1.2.06.109</v>
          </cell>
          <cell r="C139" t="str">
            <v>CSSL/1996 Sub-judice</v>
          </cell>
        </row>
        <row r="140">
          <cell r="A140">
            <v>11206110</v>
          </cell>
          <cell r="B140" t="str">
            <v>1.1.2.06.110</v>
          </cell>
          <cell r="C140" t="str">
            <v>IRRF a compensar/derivativos</v>
          </cell>
        </row>
        <row r="141">
          <cell r="A141">
            <v>11206111</v>
          </cell>
          <cell r="B141" t="str">
            <v>1.1.2.06.111</v>
          </cell>
          <cell r="C141" t="str">
            <v>I.Renda a Compensar/PAT</v>
          </cell>
        </row>
        <row r="142">
          <cell r="A142">
            <v>11206112</v>
          </cell>
          <cell r="B142" t="str">
            <v>1.1.2.06.112</v>
          </cell>
          <cell r="C142" t="str">
            <v>IPI. a recuperar</v>
          </cell>
        </row>
        <row r="143">
          <cell r="A143">
            <v>11206113</v>
          </cell>
          <cell r="B143" t="str">
            <v>1.1.2.06.113</v>
          </cell>
          <cell r="C143" t="str">
            <v>PIS a compensar - LEI 10.637/0</v>
          </cell>
        </row>
        <row r="144">
          <cell r="A144">
            <v>11206114</v>
          </cell>
          <cell r="B144" t="str">
            <v>1.1.2.06.114</v>
          </cell>
          <cell r="C144" t="str">
            <v>CIDE a compensar</v>
          </cell>
        </row>
        <row r="145">
          <cell r="A145">
            <v>11206115</v>
          </cell>
          <cell r="B145" t="str">
            <v>1.1.2.06.115</v>
          </cell>
          <cell r="C145" t="str">
            <v>IPI Presumido a recup.proc.00851919/</v>
          </cell>
        </row>
        <row r="146">
          <cell r="A146">
            <v>11206116</v>
          </cell>
          <cell r="B146" t="str">
            <v>1.1.2.06.116</v>
          </cell>
          <cell r="C146" t="str">
            <v>IPI presumido 2.trim.proc.25.359</v>
          </cell>
        </row>
        <row r="147">
          <cell r="A147">
            <v>11206117</v>
          </cell>
          <cell r="B147" t="str">
            <v>1.1.2.06.117</v>
          </cell>
          <cell r="C147" t="str">
            <v>CIDE a recuperar</v>
          </cell>
        </row>
        <row r="148">
          <cell r="A148">
            <v>11206118</v>
          </cell>
          <cell r="B148" t="str">
            <v>1.1.2.06.118</v>
          </cell>
          <cell r="C148" t="str">
            <v>IPI presum.3 trim.proc.17712.43154.28</v>
          </cell>
        </row>
        <row r="149">
          <cell r="A149">
            <v>11206119</v>
          </cell>
          <cell r="B149" t="str">
            <v>1.1.2.06.119</v>
          </cell>
          <cell r="C149" t="str">
            <v>IPI presum.36286.53897.290104.1.1</v>
          </cell>
        </row>
        <row r="150">
          <cell r="A150">
            <v>11206120</v>
          </cell>
          <cell r="B150" t="str">
            <v>1.1.2.06.120</v>
          </cell>
          <cell r="C150" t="str">
            <v>IPI presum.insumos proc.16979001771/</v>
          </cell>
        </row>
        <row r="151">
          <cell r="A151">
            <v>11206121</v>
          </cell>
          <cell r="B151" t="str">
            <v>1.1.2.06.121</v>
          </cell>
          <cell r="C151" t="str">
            <v>COFINS a compensar - LEI 10833</v>
          </cell>
        </row>
        <row r="152">
          <cell r="A152">
            <v>11206122</v>
          </cell>
          <cell r="B152" t="str">
            <v>1.1.2.06.122</v>
          </cell>
          <cell r="C152" t="str">
            <v>IPI presum.insumos proc.PR.19679008222/</v>
          </cell>
        </row>
        <row r="153">
          <cell r="A153">
            <v>11206123</v>
          </cell>
          <cell r="B153" t="str">
            <v>1.1.2.06.123</v>
          </cell>
          <cell r="C153" t="str">
            <v>IPI presum.insumos proc.19679014324</v>
          </cell>
        </row>
        <row r="154">
          <cell r="A154">
            <v>11206124</v>
          </cell>
          <cell r="B154" t="str">
            <v>1.1.2.06.124</v>
          </cell>
          <cell r="C154" t="str">
            <v>IRPJ a compensar exercício 2005</v>
          </cell>
        </row>
        <row r="155">
          <cell r="A155">
            <v>11206125</v>
          </cell>
          <cell r="B155" t="str">
            <v>1.1.2.06.125</v>
          </cell>
          <cell r="C155" t="str">
            <v>(-) Icms a Recuperar</v>
          </cell>
        </row>
        <row r="156">
          <cell r="A156">
            <v>11206126</v>
          </cell>
          <cell r="B156" t="str">
            <v>1.1.2.06.126</v>
          </cell>
          <cell r="C156" t="str">
            <v>CSLL a compensar exercício 2005</v>
          </cell>
        </row>
        <row r="157">
          <cell r="A157">
            <v>11206127</v>
          </cell>
          <cell r="B157" t="str">
            <v>1.1.2.06.127</v>
          </cell>
          <cell r="C157" t="str">
            <v>Impostos (Pis/Cofins) s/ importação</v>
          </cell>
        </row>
        <row r="158">
          <cell r="A158">
            <v>11206128</v>
          </cell>
          <cell r="B158" t="str">
            <v>1.1.2.06.128</v>
          </cell>
          <cell r="C158" t="str">
            <v>IR a recuperar S/Aplicação Financeira</v>
          </cell>
        </row>
        <row r="159">
          <cell r="A159">
            <v>11206129</v>
          </cell>
          <cell r="B159" t="str">
            <v>1.1.2.06.129</v>
          </cell>
          <cell r="C159" t="str">
            <v>IR a Recupers s/ aplic Swap</v>
          </cell>
        </row>
        <row r="160">
          <cell r="A160">
            <v>11206130</v>
          </cell>
          <cell r="B160" t="str">
            <v>1.1.2.06.130</v>
          </cell>
          <cell r="C160" t="str">
            <v>Saldo Negativo Irpj 2006</v>
          </cell>
        </row>
        <row r="161">
          <cell r="A161">
            <v>11206131</v>
          </cell>
          <cell r="B161" t="str">
            <v>1.1.2.06.131</v>
          </cell>
          <cell r="C161" t="str">
            <v>Saldo Negativo CSLL 2006</v>
          </cell>
        </row>
        <row r="162">
          <cell r="A162">
            <v>11206132</v>
          </cell>
          <cell r="B162" t="str">
            <v>1.1.2.06.132</v>
          </cell>
          <cell r="C162" t="str">
            <v>ICMS a recuperar - agricola</v>
          </cell>
        </row>
        <row r="163">
          <cell r="A163">
            <v>11206133</v>
          </cell>
          <cell r="B163" t="str">
            <v>1.1.2.06.133</v>
          </cell>
          <cell r="C163" t="str">
            <v>IRPJ a compensar - agricola</v>
          </cell>
        </row>
        <row r="164">
          <cell r="A164">
            <v>11206134</v>
          </cell>
          <cell r="B164" t="str">
            <v>1.1.2.06.134</v>
          </cell>
          <cell r="C164" t="str">
            <v>(-) Icms a recuperar - agricola</v>
          </cell>
        </row>
        <row r="165">
          <cell r="A165">
            <v>11206135</v>
          </cell>
          <cell r="B165" t="str">
            <v>1.1.2.06.135</v>
          </cell>
          <cell r="C165" t="str">
            <v>Ir s/ serviços 1,5% a compensar</v>
          </cell>
        </row>
        <row r="166">
          <cell r="A166">
            <v>11206136</v>
          </cell>
          <cell r="B166" t="str">
            <v>1.1.2.06.136</v>
          </cell>
          <cell r="C166" t="str">
            <v>Pis/Cofins/CSLL ( 4,65%) a compensar</v>
          </cell>
        </row>
        <row r="167">
          <cell r="A167">
            <v>11206137</v>
          </cell>
          <cell r="B167" t="str">
            <v>1.1.2.06.137</v>
          </cell>
          <cell r="C167" t="str">
            <v>Pis a Recuperar</v>
          </cell>
        </row>
        <row r="168">
          <cell r="A168">
            <v>11206138</v>
          </cell>
          <cell r="B168" t="str">
            <v>1.1.2.06.138</v>
          </cell>
          <cell r="C168" t="str">
            <v>Cofins a recuperar</v>
          </cell>
        </row>
        <row r="169">
          <cell r="A169">
            <v>11206139</v>
          </cell>
          <cell r="B169" t="str">
            <v>1.1.2.06.139</v>
          </cell>
          <cell r="C169" t="str">
            <v>Saldo negativo IRPJ 2007</v>
          </cell>
        </row>
        <row r="170">
          <cell r="A170">
            <v>11206140</v>
          </cell>
          <cell r="B170" t="str">
            <v>1.1.2.06.140</v>
          </cell>
          <cell r="C170" t="str">
            <v>Saldo negativo CSLL 2007</v>
          </cell>
        </row>
        <row r="171">
          <cell r="A171">
            <v>11206141</v>
          </cell>
          <cell r="B171" t="str">
            <v>1.1.2.06.141</v>
          </cell>
          <cell r="C171" t="str">
            <v>Saldo negativo IRPJ</v>
          </cell>
        </row>
        <row r="172">
          <cell r="A172">
            <v>11206142</v>
          </cell>
          <cell r="B172" t="str">
            <v>1.1.2.06.142</v>
          </cell>
          <cell r="C172" t="str">
            <v>Saldo Negativo CSSL</v>
          </cell>
        </row>
        <row r="173">
          <cell r="A173">
            <v>11206143</v>
          </cell>
          <cell r="B173" t="str">
            <v>1.1.2.06.143</v>
          </cell>
          <cell r="C173" t="str">
            <v>IRRF a recuperar</v>
          </cell>
        </row>
        <row r="174">
          <cell r="A174">
            <v>11206144</v>
          </cell>
          <cell r="B174" t="str">
            <v>1.1.2.06.144</v>
          </cell>
          <cell r="C174" t="str">
            <v>Icms sobre ativo imobilizado</v>
          </cell>
        </row>
        <row r="175">
          <cell r="A175">
            <v>11206145</v>
          </cell>
          <cell r="B175" t="str">
            <v>1.1.2.06.145</v>
          </cell>
          <cell r="C175" t="str">
            <v>IR a compensar exercicio 2006</v>
          </cell>
        </row>
        <row r="176">
          <cell r="A176">
            <v>11206146</v>
          </cell>
          <cell r="B176" t="str">
            <v>1.1.2.06.146</v>
          </cell>
          <cell r="C176" t="str">
            <v>CS a compensar exercicio 2006</v>
          </cell>
        </row>
        <row r="177">
          <cell r="A177">
            <v>11206147</v>
          </cell>
          <cell r="B177" t="str">
            <v>1.1.2.06.147</v>
          </cell>
          <cell r="C177" t="str">
            <v>Credito Pis Exportação</v>
          </cell>
        </row>
        <row r="178">
          <cell r="A178">
            <v>11206148</v>
          </cell>
          <cell r="B178" t="str">
            <v>1.1.2.06.148</v>
          </cell>
          <cell r="C178" t="str">
            <v>Credito Cofins Exportação</v>
          </cell>
        </row>
        <row r="179">
          <cell r="A179">
            <v>11206149</v>
          </cell>
          <cell r="B179" t="str">
            <v>1.1.2.06.149</v>
          </cell>
          <cell r="C179" t="str">
            <v>Funrural á recuperar</v>
          </cell>
        </row>
        <row r="180">
          <cell r="A180">
            <v>11206150</v>
          </cell>
          <cell r="B180" t="str">
            <v>1.1.2.06.150</v>
          </cell>
          <cell r="C180" t="str">
            <v>ITR a recuperar</v>
          </cell>
        </row>
        <row r="181">
          <cell r="A181">
            <v>11206151</v>
          </cell>
          <cell r="B181" t="str">
            <v>1.1.2.06.151</v>
          </cell>
          <cell r="C181" t="str">
            <v>INSS S/ folha a recuparar</v>
          </cell>
        </row>
        <row r="182">
          <cell r="A182">
            <v>11206152</v>
          </cell>
          <cell r="B182" t="str">
            <v>1.1.2.06.152</v>
          </cell>
          <cell r="C182" t="str">
            <v>ICMS sobre remessa a recuperar</v>
          </cell>
        </row>
        <row r="183">
          <cell r="A183">
            <v>11206153</v>
          </cell>
          <cell r="B183" t="str">
            <v>1.1.2.06.153</v>
          </cell>
          <cell r="C183" t="str">
            <v>CS a compensar exercicio 2009</v>
          </cell>
        </row>
        <row r="184">
          <cell r="A184">
            <v>11206154</v>
          </cell>
          <cell r="B184" t="str">
            <v>1.1.2.06.154</v>
          </cell>
          <cell r="C184" t="str">
            <v>ICMS s/cana de açucar a recuperar</v>
          </cell>
        </row>
        <row r="185">
          <cell r="A185">
            <v>11206155</v>
          </cell>
          <cell r="B185" t="str">
            <v>1.1.2.06.155</v>
          </cell>
          <cell r="C185" t="str">
            <v>IRPJ Estimativa</v>
          </cell>
        </row>
        <row r="186">
          <cell r="A186">
            <v>11206156</v>
          </cell>
          <cell r="B186" t="str">
            <v>1.1.2.06.156</v>
          </cell>
          <cell r="C186" t="str">
            <v>CSLL Estimativa</v>
          </cell>
        </row>
        <row r="187">
          <cell r="A187">
            <v>11206157</v>
          </cell>
          <cell r="B187" t="str">
            <v>1.1.2.06.157</v>
          </cell>
          <cell r="C187" t="str">
            <v>Antecipação IRPJ 2010</v>
          </cell>
        </row>
        <row r="188">
          <cell r="A188">
            <v>11206158</v>
          </cell>
          <cell r="B188" t="str">
            <v>1.1.2.06.158</v>
          </cell>
          <cell r="C188" t="str">
            <v>Antecipação CSLL 2010</v>
          </cell>
        </row>
        <row r="189">
          <cell r="A189">
            <v>11206159</v>
          </cell>
          <cell r="B189" t="str">
            <v>1.1.2.06.159</v>
          </cell>
          <cell r="C189" t="str">
            <v>Saldo negativo IRRF s/ mutuo a recup</v>
          </cell>
        </row>
        <row r="190">
          <cell r="A190">
            <v>11206160</v>
          </cell>
          <cell r="B190" t="str">
            <v>1.1.2.06.160</v>
          </cell>
          <cell r="C190" t="str">
            <v>IRPJ a recuperar</v>
          </cell>
        </row>
        <row r="191">
          <cell r="A191">
            <v>11206161</v>
          </cell>
          <cell r="B191" t="str">
            <v>1.1.2.06.161</v>
          </cell>
          <cell r="C191" t="str">
            <v>Saldo negativo CSLL 2009</v>
          </cell>
        </row>
        <row r="192">
          <cell r="A192">
            <v>11206162</v>
          </cell>
          <cell r="B192" t="str">
            <v>1.1.2.06.162</v>
          </cell>
          <cell r="C192" t="str">
            <v>Saldo negativo IRPJ 2010</v>
          </cell>
        </row>
        <row r="193">
          <cell r="A193">
            <v>11206163</v>
          </cell>
          <cell r="B193" t="str">
            <v>1.1.2.06.163</v>
          </cell>
          <cell r="C193" t="str">
            <v>Saldo negativo CSLL 2010</v>
          </cell>
        </row>
        <row r="194">
          <cell r="A194">
            <v>11206164</v>
          </cell>
          <cell r="B194" t="str">
            <v>1.1.2.06.164</v>
          </cell>
          <cell r="C194" t="str">
            <v>INSS a recuperar</v>
          </cell>
        </row>
        <row r="195">
          <cell r="A195">
            <v>11206165</v>
          </cell>
          <cell r="B195" t="str">
            <v>1.1.2.06.165</v>
          </cell>
          <cell r="C195" t="str">
            <v>icms parcelasdo sobre cana</v>
          </cell>
        </row>
        <row r="196">
          <cell r="A196">
            <v>11207000</v>
          </cell>
          <cell r="B196" t="str">
            <v>1.1.2.07.000</v>
          </cell>
          <cell r="C196" t="str">
            <v>SOCIEDADES RELACIONADAS</v>
          </cell>
        </row>
        <row r="197">
          <cell r="A197">
            <v>11207100</v>
          </cell>
          <cell r="B197" t="str">
            <v>1.1.2.07.100</v>
          </cell>
          <cell r="C197" t="str">
            <v>SOCIEDADES RELACIONADAS</v>
          </cell>
        </row>
        <row r="198">
          <cell r="A198">
            <v>11207101</v>
          </cell>
          <cell r="B198" t="str">
            <v>1.1.2.07.101</v>
          </cell>
          <cell r="C198" t="str">
            <v>Unialco S/A -Alcool e Acucar</v>
          </cell>
        </row>
        <row r="199">
          <cell r="A199">
            <v>11207102</v>
          </cell>
          <cell r="B199" t="str">
            <v>1.1.2.07.102</v>
          </cell>
          <cell r="C199" t="str">
            <v>Alcoolvale S/A Alcool e Acucar</v>
          </cell>
        </row>
        <row r="200">
          <cell r="A200">
            <v>11207103</v>
          </cell>
          <cell r="B200" t="str">
            <v>1.1.2.07.103</v>
          </cell>
          <cell r="C200" t="str">
            <v>Unialco Agricola Ltda</v>
          </cell>
        </row>
        <row r="201">
          <cell r="A201">
            <v>11207104</v>
          </cell>
          <cell r="B201" t="str">
            <v>1.1.2.07.104</v>
          </cell>
          <cell r="C201" t="str">
            <v>Canavale Agricola Ltda</v>
          </cell>
        </row>
        <row r="202">
          <cell r="A202">
            <v>11207105</v>
          </cell>
          <cell r="B202" t="str">
            <v>1.1.2.07.105</v>
          </cell>
          <cell r="C202" t="str">
            <v>Alcoolvale Agricola Ltda.</v>
          </cell>
        </row>
        <row r="203">
          <cell r="A203">
            <v>11207106</v>
          </cell>
          <cell r="B203" t="str">
            <v>1.1.2.07.106</v>
          </cell>
          <cell r="C203" t="str">
            <v>Vale do Paraná S/A Álcool e Açúcar</v>
          </cell>
        </row>
        <row r="204">
          <cell r="A204">
            <v>11207107</v>
          </cell>
          <cell r="B204" t="str">
            <v>1.1.2.07.107</v>
          </cell>
          <cell r="C204" t="str">
            <v>Dourados Alcool e Acucar Ltda</v>
          </cell>
        </row>
        <row r="205">
          <cell r="A205">
            <v>11207108</v>
          </cell>
          <cell r="B205" t="str">
            <v>1.1.2.07.108</v>
          </cell>
          <cell r="C205" t="str">
            <v>Transcristal Transportes Rodoviários Ltd</v>
          </cell>
        </row>
        <row r="206">
          <cell r="A206">
            <v>11207109</v>
          </cell>
          <cell r="B206" t="str">
            <v>1.1.2.07.109</v>
          </cell>
          <cell r="C206" t="str">
            <v>Colgua Investimentos S/A</v>
          </cell>
        </row>
        <row r="207">
          <cell r="A207">
            <v>11207110</v>
          </cell>
          <cell r="B207" t="str">
            <v>1.1.2.07.110</v>
          </cell>
          <cell r="C207" t="str">
            <v>Mansa Agroind.Brasil Ltda</v>
          </cell>
        </row>
        <row r="208">
          <cell r="A208">
            <v>11207111</v>
          </cell>
          <cell r="B208" t="str">
            <v>1.1.2.07.111</v>
          </cell>
          <cell r="C208" t="str">
            <v>Pantaleon Agric.Brasil Ltda</v>
          </cell>
        </row>
        <row r="209">
          <cell r="A209">
            <v>11207112</v>
          </cell>
          <cell r="B209" t="str">
            <v>1.1.2.07.112</v>
          </cell>
          <cell r="C209" t="str">
            <v>Vale do Paranaá Agricola Ltda</v>
          </cell>
        </row>
        <row r="210">
          <cell r="A210">
            <v>11208000</v>
          </cell>
          <cell r="B210" t="str">
            <v>1.1.2.08.000</v>
          </cell>
          <cell r="C210" t="str">
            <v>(-)PROVISÕES P/ DEVEDORES DUVIDOSOS</v>
          </cell>
        </row>
        <row r="211">
          <cell r="A211">
            <v>11208001</v>
          </cell>
          <cell r="B211" t="str">
            <v>1.1.2.08.001</v>
          </cell>
          <cell r="C211" t="str">
            <v>Petronova distr.ind.com.ltda</v>
          </cell>
        </row>
        <row r="212">
          <cell r="A212">
            <v>11208002</v>
          </cell>
          <cell r="B212" t="str">
            <v>1.1.2.08.002</v>
          </cell>
          <cell r="C212" t="str">
            <v>Centrosul Distrib.petrol.ltda</v>
          </cell>
        </row>
        <row r="213">
          <cell r="A213">
            <v>11208003</v>
          </cell>
          <cell r="B213" t="str">
            <v>1.1.2.08.003</v>
          </cell>
          <cell r="C213" t="str">
            <v>Uberlandia distr.petroleo</v>
          </cell>
        </row>
        <row r="214">
          <cell r="A214">
            <v>11208004</v>
          </cell>
          <cell r="B214" t="str">
            <v>1.1.2.08.004</v>
          </cell>
          <cell r="C214" t="str">
            <v>Titanic distrib. petroleo</v>
          </cell>
        </row>
        <row r="215">
          <cell r="A215">
            <v>11208005</v>
          </cell>
          <cell r="B215" t="str">
            <v>1.1.2.08.005</v>
          </cell>
          <cell r="C215" t="str">
            <v>Simarelli distrib. petroleo ltda</v>
          </cell>
        </row>
        <row r="216">
          <cell r="A216">
            <v>11208999</v>
          </cell>
          <cell r="B216" t="str">
            <v>1.1.2.08.999</v>
          </cell>
          <cell r="C216" t="str">
            <v>(-) Provisão P/ Perdas</v>
          </cell>
        </row>
        <row r="217">
          <cell r="A217">
            <v>11209000</v>
          </cell>
          <cell r="B217" t="str">
            <v>1.1.2.09.000</v>
          </cell>
          <cell r="C217" t="str">
            <v>PROVISÃO P/ PERDAS DE IMPOSTOS</v>
          </cell>
        </row>
        <row r="218">
          <cell r="A218">
            <v>11209001</v>
          </cell>
          <cell r="B218" t="str">
            <v>1.1.2.09.001</v>
          </cell>
          <cell r="C218" t="str">
            <v>CIDE a Recuperar</v>
          </cell>
        </row>
        <row r="219">
          <cell r="A219">
            <v>11209002</v>
          </cell>
          <cell r="B219" t="str">
            <v>1.1.2.09.002</v>
          </cell>
          <cell r="C219" t="str">
            <v>CIDE a Compensar</v>
          </cell>
        </row>
        <row r="220">
          <cell r="A220">
            <v>11209003</v>
          </cell>
          <cell r="B220" t="str">
            <v>1.1.2.09.003</v>
          </cell>
          <cell r="C220" t="str">
            <v>(-)CIDE a Recuperar</v>
          </cell>
        </row>
        <row r="221">
          <cell r="A221">
            <v>11209004</v>
          </cell>
          <cell r="B221" t="str">
            <v>1.1.2.09.004</v>
          </cell>
          <cell r="C221" t="str">
            <v>(-)CIDE a Compensar</v>
          </cell>
        </row>
        <row r="222">
          <cell r="A222">
            <v>11210000</v>
          </cell>
          <cell r="B222" t="str">
            <v>1.1.2.10.000</v>
          </cell>
          <cell r="C222" t="str">
            <v>IRPJ/CSLL DIFERIDOS - C.P</v>
          </cell>
        </row>
        <row r="223">
          <cell r="A223">
            <v>11210001</v>
          </cell>
          <cell r="B223" t="str">
            <v>1.1.2.10.001</v>
          </cell>
          <cell r="C223" t="str">
            <v>IRPJ s/Prejuizos Fiscais</v>
          </cell>
        </row>
        <row r="224">
          <cell r="A224">
            <v>11210002</v>
          </cell>
          <cell r="B224" t="str">
            <v>1.1.2.10.002</v>
          </cell>
          <cell r="C224" t="str">
            <v>CSLL Bases Negativas</v>
          </cell>
        </row>
        <row r="225">
          <cell r="A225">
            <v>11210003</v>
          </cell>
          <cell r="B225" t="str">
            <v>1.1.2.10.003</v>
          </cell>
          <cell r="C225" t="str">
            <v>IR/CS Diferidos</v>
          </cell>
        </row>
        <row r="226">
          <cell r="A226">
            <v>11300000</v>
          </cell>
          <cell r="B226" t="str">
            <v>1.1.3.00.000</v>
          </cell>
          <cell r="C226" t="str">
            <v>ESTOQUES</v>
          </cell>
        </row>
        <row r="227">
          <cell r="A227">
            <v>11301000</v>
          </cell>
          <cell r="B227" t="str">
            <v>1.1.3.01.000</v>
          </cell>
          <cell r="C227" t="str">
            <v>ESTOQUES</v>
          </cell>
        </row>
        <row r="228">
          <cell r="A228">
            <v>11301100</v>
          </cell>
          <cell r="B228" t="str">
            <v>1.1.3.01.100</v>
          </cell>
          <cell r="C228" t="str">
            <v>PRODUDOS ACABADOS</v>
          </cell>
        </row>
        <row r="229">
          <cell r="A229">
            <v>11301101</v>
          </cell>
          <cell r="B229" t="str">
            <v>1.1.3.01.101</v>
          </cell>
          <cell r="C229" t="str">
            <v>Alcool Hidratado</v>
          </cell>
        </row>
        <row r="230">
          <cell r="A230">
            <v>11301102</v>
          </cell>
          <cell r="B230" t="str">
            <v>1.1.3.01.102</v>
          </cell>
          <cell r="C230" t="str">
            <v>Alcool Anidro</v>
          </cell>
        </row>
        <row r="231">
          <cell r="A231">
            <v>11301103</v>
          </cell>
          <cell r="B231" t="str">
            <v>1.1.3.01.103</v>
          </cell>
          <cell r="C231" t="str">
            <v>Acucar</v>
          </cell>
        </row>
        <row r="232">
          <cell r="A232">
            <v>11301104</v>
          </cell>
          <cell r="B232" t="str">
            <v>1.1.3.01.104</v>
          </cell>
          <cell r="C232" t="str">
            <v>Provisão com perda de estoque - (CPV)</v>
          </cell>
        </row>
        <row r="233">
          <cell r="A233">
            <v>11301105</v>
          </cell>
          <cell r="B233" t="str">
            <v>1.1.3.01.105</v>
          </cell>
          <cell r="C233" t="str">
            <v>Alcool Anidro em armazens gerais</v>
          </cell>
        </row>
        <row r="234">
          <cell r="A234">
            <v>11301106</v>
          </cell>
          <cell r="B234" t="str">
            <v>1.1.3.01.106</v>
          </cell>
          <cell r="C234" t="str">
            <v>Acucar em armazens gerais</v>
          </cell>
        </row>
        <row r="235">
          <cell r="A235">
            <v>11301107</v>
          </cell>
          <cell r="B235" t="str">
            <v>1.1.3.01.107</v>
          </cell>
          <cell r="C235" t="str">
            <v>Estoque Nosso em poder de Terceiros</v>
          </cell>
        </row>
        <row r="236">
          <cell r="A236">
            <v>11301108</v>
          </cell>
          <cell r="B236" t="str">
            <v>1.1.3.01.108</v>
          </cell>
          <cell r="C236" t="str">
            <v>Consignação</v>
          </cell>
        </row>
        <row r="237">
          <cell r="A237">
            <v>11301109</v>
          </cell>
          <cell r="B237" t="str">
            <v>1.1.3.01.109</v>
          </cell>
          <cell r="C237" t="str">
            <v>Acerto do custo medio</v>
          </cell>
        </row>
        <row r="238">
          <cell r="A238">
            <v>11301110</v>
          </cell>
          <cell r="B238" t="str">
            <v>1.1.3.01.110</v>
          </cell>
          <cell r="C238" t="str">
            <v>Beneficamento Entrada/Saida</v>
          </cell>
        </row>
        <row r="239">
          <cell r="A239">
            <v>11301111</v>
          </cell>
          <cell r="B239" t="str">
            <v>1.1.3.01.111</v>
          </cell>
          <cell r="C239" t="str">
            <v>Óleo Fusel</v>
          </cell>
        </row>
        <row r="240">
          <cell r="A240">
            <v>11301112</v>
          </cell>
          <cell r="B240" t="str">
            <v>1.1.3.01.112</v>
          </cell>
          <cell r="C240" t="str">
            <v>Açucar Apropr.Cana Acionistas</v>
          </cell>
        </row>
        <row r="241">
          <cell r="A241">
            <v>11301113</v>
          </cell>
          <cell r="B241" t="str">
            <v>1.1.3.01.113</v>
          </cell>
          <cell r="C241" t="str">
            <v>Alcool Apropr.Cana Acionistas</v>
          </cell>
        </row>
        <row r="242">
          <cell r="A242">
            <v>11301114</v>
          </cell>
          <cell r="B242" t="str">
            <v>1.1.3.01.114</v>
          </cell>
          <cell r="C242" t="str">
            <v>Benefeciamento de Açúcar</v>
          </cell>
        </row>
        <row r="243">
          <cell r="A243">
            <v>11301115</v>
          </cell>
          <cell r="B243" t="str">
            <v>1.1.3.01.115</v>
          </cell>
          <cell r="C243" t="str">
            <v>Beneficiamento de Álcool</v>
          </cell>
        </row>
        <row r="244">
          <cell r="A244">
            <v>11301116</v>
          </cell>
          <cell r="B244" t="str">
            <v>1.1.3.01.116</v>
          </cell>
          <cell r="C244" t="str">
            <v>Estoque de Terceiros - Alcool</v>
          </cell>
        </row>
        <row r="245">
          <cell r="A245">
            <v>11301117</v>
          </cell>
          <cell r="B245" t="str">
            <v>1.1.3.01.117</v>
          </cell>
          <cell r="C245" t="str">
            <v>Estoque de Terceiros - açucar</v>
          </cell>
        </row>
        <row r="246">
          <cell r="A246">
            <v>11301118</v>
          </cell>
          <cell r="B246" t="str">
            <v>1.1.3.01.118</v>
          </cell>
          <cell r="C246" t="str">
            <v>Milho</v>
          </cell>
        </row>
        <row r="247">
          <cell r="A247">
            <v>11301200</v>
          </cell>
          <cell r="B247" t="str">
            <v>1.1.3.01.200</v>
          </cell>
          <cell r="C247" t="str">
            <v>PRODUTOS EM ELABORAÇÃO</v>
          </cell>
        </row>
        <row r="248">
          <cell r="A248">
            <v>11301201</v>
          </cell>
          <cell r="B248" t="str">
            <v>1.1.3.01.201</v>
          </cell>
          <cell r="C248" t="str">
            <v>Mel</v>
          </cell>
        </row>
        <row r="249">
          <cell r="A249">
            <v>11301202</v>
          </cell>
          <cell r="B249" t="str">
            <v>1.1.3.01.202</v>
          </cell>
          <cell r="C249" t="str">
            <v>Caldo</v>
          </cell>
        </row>
        <row r="250">
          <cell r="A250">
            <v>11302000</v>
          </cell>
          <cell r="B250" t="str">
            <v>1.1.3.02.000</v>
          </cell>
          <cell r="C250" t="str">
            <v>MANUTENCAO PARA ENTRE-SAFRA</v>
          </cell>
        </row>
        <row r="251">
          <cell r="A251">
            <v>11302100</v>
          </cell>
          <cell r="B251" t="str">
            <v>1.1.3.02.100</v>
          </cell>
          <cell r="C251" t="str">
            <v>MANUTENCAO PARA ENTRE-SAFRA</v>
          </cell>
        </row>
        <row r="252">
          <cell r="A252">
            <v>11302101</v>
          </cell>
          <cell r="B252" t="str">
            <v>1.1.3.02.101</v>
          </cell>
          <cell r="C252" t="str">
            <v>Provisao para manutencao de entre-safra</v>
          </cell>
        </row>
        <row r="253">
          <cell r="A253">
            <v>11303000</v>
          </cell>
          <cell r="B253" t="str">
            <v>1.1.3.03.000</v>
          </cell>
          <cell r="C253" t="str">
            <v>POSTO DE ABASTECIMENTO</v>
          </cell>
        </row>
        <row r="254">
          <cell r="A254">
            <v>11303100</v>
          </cell>
          <cell r="B254" t="str">
            <v>1.1.3.03.100</v>
          </cell>
          <cell r="C254" t="str">
            <v>POSTO DE ABASTECIMENTO</v>
          </cell>
        </row>
        <row r="255">
          <cell r="A255">
            <v>11303101</v>
          </cell>
          <cell r="B255" t="str">
            <v>1.1.3.03.101</v>
          </cell>
          <cell r="C255" t="str">
            <v>Alcool Hidratado</v>
          </cell>
        </row>
        <row r="256">
          <cell r="A256">
            <v>11304000</v>
          </cell>
          <cell r="B256" t="str">
            <v>1.1.3.04.000</v>
          </cell>
          <cell r="C256" t="str">
            <v>ALMOXARIFADO</v>
          </cell>
        </row>
        <row r="257">
          <cell r="A257">
            <v>11304100</v>
          </cell>
          <cell r="B257" t="str">
            <v>1.1.3.04.100</v>
          </cell>
          <cell r="C257" t="str">
            <v>ALMOXARIFADO</v>
          </cell>
        </row>
        <row r="258">
          <cell r="A258">
            <v>11304101</v>
          </cell>
          <cell r="B258" t="str">
            <v>1.1.3.04.101</v>
          </cell>
          <cell r="C258" t="str">
            <v>Materiais em estoque</v>
          </cell>
        </row>
        <row r="259">
          <cell r="A259">
            <v>11304102</v>
          </cell>
          <cell r="B259" t="str">
            <v>1.1.3.04.102</v>
          </cell>
          <cell r="C259" t="str">
            <v>Materiais em poder de terceiros</v>
          </cell>
        </row>
        <row r="260">
          <cell r="A260">
            <v>11304103</v>
          </cell>
          <cell r="B260" t="str">
            <v>1.1.3.04.103</v>
          </cell>
          <cell r="C260" t="str">
            <v>Conta Variação de Saldo Estoque</v>
          </cell>
        </row>
        <row r="261">
          <cell r="A261">
            <v>11304104</v>
          </cell>
          <cell r="B261" t="str">
            <v>1.1.3.04.104</v>
          </cell>
          <cell r="C261" t="str">
            <v>Estoque Terceiros em nosso poder</v>
          </cell>
        </row>
        <row r="262">
          <cell r="A262">
            <v>11304105</v>
          </cell>
          <cell r="B262" t="str">
            <v>1.1.3.04.105</v>
          </cell>
          <cell r="C262" t="str">
            <v>(-) Material em estoque -Absoleto</v>
          </cell>
        </row>
        <row r="263">
          <cell r="A263">
            <v>11304106</v>
          </cell>
          <cell r="B263" t="str">
            <v>1.1.3.04.106</v>
          </cell>
          <cell r="C263" t="str">
            <v>Combustiveis/Lubrif./Filtros e Component</v>
          </cell>
        </row>
        <row r="264">
          <cell r="A264">
            <v>11304107</v>
          </cell>
          <cell r="B264" t="str">
            <v>1.1.3.04.107</v>
          </cell>
          <cell r="C264" t="str">
            <v>Insumos/reagentes/peças e vidrarias</v>
          </cell>
        </row>
        <row r="265">
          <cell r="A265">
            <v>11304108</v>
          </cell>
          <cell r="B265" t="str">
            <v>1.1.3.04.108</v>
          </cell>
          <cell r="C265" t="str">
            <v>Mat.Escrit./Limpeza/Segurança/Drogas/Med</v>
          </cell>
        </row>
        <row r="266">
          <cell r="A266">
            <v>11304109</v>
          </cell>
          <cell r="B266" t="str">
            <v>1.1.3.04.109</v>
          </cell>
          <cell r="C266" t="str">
            <v>Debito Direto</v>
          </cell>
        </row>
        <row r="267">
          <cell r="A267">
            <v>11305000</v>
          </cell>
          <cell r="B267" t="str">
            <v>1.1.3.05.000</v>
          </cell>
          <cell r="C267" t="str">
            <v>MATERIA PRIMA</v>
          </cell>
        </row>
        <row r="268">
          <cell r="A268">
            <v>11305100</v>
          </cell>
          <cell r="B268" t="str">
            <v>1.1.3.05.100</v>
          </cell>
          <cell r="C268" t="str">
            <v>MATERIA PRIMA</v>
          </cell>
        </row>
        <row r="269">
          <cell r="A269">
            <v>11305101</v>
          </cell>
          <cell r="B269" t="str">
            <v>1.1.3.05.101</v>
          </cell>
          <cell r="C269" t="str">
            <v>Cana-de-acucar</v>
          </cell>
        </row>
        <row r="270">
          <cell r="A270">
            <v>11305102</v>
          </cell>
          <cell r="B270" t="str">
            <v>1.1.3.05.102</v>
          </cell>
          <cell r="C270" t="str">
            <v>Fretes de cana-de-acucar</v>
          </cell>
        </row>
        <row r="271">
          <cell r="A271">
            <v>11306000</v>
          </cell>
          <cell r="B271" t="str">
            <v>1.1.3.06.000</v>
          </cell>
          <cell r="C271" t="str">
            <v>TRATOS CULTURAIS - CANA FORMADA</v>
          </cell>
        </row>
        <row r="272">
          <cell r="A272">
            <v>11306100</v>
          </cell>
          <cell r="B272" t="str">
            <v>1.1.3.06.100</v>
          </cell>
          <cell r="C272" t="str">
            <v>TRATOS CULTURAIS - CANA FORMADA</v>
          </cell>
        </row>
        <row r="273">
          <cell r="A273">
            <v>11306101</v>
          </cell>
          <cell r="B273" t="str">
            <v>1.1.3.06.101</v>
          </cell>
          <cell r="C273" t="str">
            <v>9-Faz.Sta Tereza -p.Barreto</v>
          </cell>
        </row>
        <row r="274">
          <cell r="A274">
            <v>11306102</v>
          </cell>
          <cell r="B274" t="str">
            <v>1.1.3.06.102</v>
          </cell>
          <cell r="C274" t="str">
            <v>2-Faz. Nametalla Rezek</v>
          </cell>
        </row>
        <row r="275">
          <cell r="A275">
            <v>11306103</v>
          </cell>
          <cell r="B275" t="str">
            <v>1.1.3.06.103</v>
          </cell>
          <cell r="C275" t="str">
            <v>2-Faz. São Francisco</v>
          </cell>
        </row>
        <row r="276">
          <cell r="A276">
            <v>11306104</v>
          </cell>
          <cell r="B276" t="str">
            <v>1.1.3.06.104</v>
          </cell>
          <cell r="C276" t="str">
            <v>2-Faz. Garrafão</v>
          </cell>
        </row>
        <row r="277">
          <cell r="A277">
            <v>11306105</v>
          </cell>
          <cell r="B277" t="str">
            <v>1.1.3.06.105</v>
          </cell>
          <cell r="C277" t="str">
            <v>9-Fazenda São Manoel</v>
          </cell>
        </row>
        <row r="278">
          <cell r="A278">
            <v>11306106</v>
          </cell>
          <cell r="B278" t="str">
            <v>1.1.3.06.106</v>
          </cell>
          <cell r="C278" t="str">
            <v>9-Sitio professor Mauro</v>
          </cell>
        </row>
        <row r="279">
          <cell r="A279">
            <v>11306107</v>
          </cell>
          <cell r="B279" t="str">
            <v>1.1.3.06.107</v>
          </cell>
          <cell r="C279" t="str">
            <v>9-Fazenda Bacuri</v>
          </cell>
        </row>
        <row r="280">
          <cell r="A280">
            <v>11306108</v>
          </cell>
          <cell r="B280" t="str">
            <v>1.1.3.06.108</v>
          </cell>
          <cell r="C280" t="str">
            <v>9-Fazenda Santa Rosa III</v>
          </cell>
        </row>
        <row r="281">
          <cell r="A281">
            <v>11306109</v>
          </cell>
          <cell r="B281" t="str">
            <v>1.1.3.06.109</v>
          </cell>
          <cell r="C281" t="str">
            <v>9-Sitio Sao Jose</v>
          </cell>
        </row>
        <row r="282">
          <cell r="A282">
            <v>11306110</v>
          </cell>
          <cell r="B282" t="str">
            <v>1.1.3.06.110</v>
          </cell>
          <cell r="C282" t="str">
            <v>2-Fazenda São Martinho</v>
          </cell>
        </row>
        <row r="283">
          <cell r="A283">
            <v>11306111</v>
          </cell>
          <cell r="B283" t="str">
            <v>1.1.3.06.111</v>
          </cell>
          <cell r="C283" t="str">
            <v>9-Fazenda Bonito</v>
          </cell>
        </row>
        <row r="284">
          <cell r="A284">
            <v>11306112</v>
          </cell>
          <cell r="B284" t="str">
            <v>1.1.3.06.112</v>
          </cell>
          <cell r="C284" t="str">
            <v>9-Fazenda Dois Rios</v>
          </cell>
        </row>
        <row r="285">
          <cell r="A285">
            <v>11306113</v>
          </cell>
          <cell r="B285" t="str">
            <v>1.1.3.06.113</v>
          </cell>
          <cell r="C285" t="str">
            <v>9-Fazenda São Pedro</v>
          </cell>
        </row>
        <row r="286">
          <cell r="A286">
            <v>11306114</v>
          </cell>
          <cell r="B286" t="str">
            <v>1.1.3.06.114</v>
          </cell>
          <cell r="C286" t="str">
            <v>9-Fazenda brasil</v>
          </cell>
        </row>
        <row r="287">
          <cell r="A287">
            <v>11306115</v>
          </cell>
          <cell r="B287" t="str">
            <v>1.1.3.06.115</v>
          </cell>
          <cell r="C287" t="str">
            <v>9-Fazenda Colorado III</v>
          </cell>
        </row>
        <row r="288">
          <cell r="A288">
            <v>11306116</v>
          </cell>
          <cell r="B288" t="str">
            <v>1.1.3.06.116</v>
          </cell>
          <cell r="C288" t="str">
            <v>9-Sitio boiati</v>
          </cell>
        </row>
        <row r="289">
          <cell r="A289">
            <v>11306117</v>
          </cell>
          <cell r="B289" t="str">
            <v>1.1.3.06.117</v>
          </cell>
          <cell r="C289" t="str">
            <v>9-Sitio Estancia Vista Alegre</v>
          </cell>
        </row>
        <row r="290">
          <cell r="A290">
            <v>11306118</v>
          </cell>
          <cell r="B290" t="str">
            <v>1.1.3.06.118</v>
          </cell>
          <cell r="C290" t="str">
            <v>9-Sitio São Luiz</v>
          </cell>
        </row>
        <row r="291">
          <cell r="A291">
            <v>11306119</v>
          </cell>
          <cell r="B291" t="str">
            <v>1.1.3.06.119</v>
          </cell>
          <cell r="C291" t="str">
            <v>9-Sitio N. S. Aparecida I</v>
          </cell>
        </row>
        <row r="292">
          <cell r="A292">
            <v>11306120</v>
          </cell>
          <cell r="B292" t="str">
            <v>1.1.3.06.120</v>
          </cell>
          <cell r="C292" t="str">
            <v>9-Faz. S. J. Dourados</v>
          </cell>
        </row>
        <row r="293">
          <cell r="A293">
            <v>11306121</v>
          </cell>
          <cell r="B293" t="str">
            <v>1.1.3.06.121</v>
          </cell>
          <cell r="C293" t="str">
            <v>9-Fazenda Sta Clara - Ant. corrego seco</v>
          </cell>
        </row>
        <row r="294">
          <cell r="A294">
            <v>11306122</v>
          </cell>
          <cell r="B294" t="str">
            <v>1.1.3.06.122</v>
          </cell>
          <cell r="C294" t="str">
            <v>9-Sitio Santa Rita</v>
          </cell>
        </row>
        <row r="295">
          <cell r="A295">
            <v>11306123</v>
          </cell>
          <cell r="B295" t="str">
            <v>1.1.3.06.123</v>
          </cell>
          <cell r="C295" t="str">
            <v>9-E. Rio Claro</v>
          </cell>
        </row>
        <row r="296">
          <cell r="A296">
            <v>11306124</v>
          </cell>
          <cell r="B296" t="str">
            <v>1.1.3.06.124</v>
          </cell>
          <cell r="C296" t="str">
            <v>9-Fazenda Sagarana</v>
          </cell>
        </row>
        <row r="297">
          <cell r="A297">
            <v>11306125</v>
          </cell>
          <cell r="B297" t="str">
            <v>1.1.3.06.125</v>
          </cell>
          <cell r="C297" t="str">
            <v>9-Fazenda Santa Rita I</v>
          </cell>
        </row>
        <row r="298">
          <cell r="A298">
            <v>11306126</v>
          </cell>
          <cell r="B298" t="str">
            <v>1.1.3.06.126</v>
          </cell>
          <cell r="C298" t="str">
            <v>9-Fazenda Santa Iria</v>
          </cell>
        </row>
        <row r="299">
          <cell r="A299">
            <v>11306127</v>
          </cell>
          <cell r="B299" t="str">
            <v>1.1.3.06.127</v>
          </cell>
          <cell r="C299" t="str">
            <v>9-Sitio São Jose III</v>
          </cell>
        </row>
        <row r="300">
          <cell r="A300">
            <v>11306128</v>
          </cell>
          <cell r="B300" t="str">
            <v>1.1.3.06.128</v>
          </cell>
          <cell r="C300" t="str">
            <v>9-Sitio boa Esperança IV</v>
          </cell>
        </row>
        <row r="301">
          <cell r="A301">
            <v>11306129</v>
          </cell>
          <cell r="B301" t="str">
            <v>1.1.3.06.129</v>
          </cell>
          <cell r="C301" t="str">
            <v>9-Fazenda N. S. de Fatima</v>
          </cell>
        </row>
        <row r="302">
          <cell r="A302">
            <v>11306130</v>
          </cell>
          <cell r="B302" t="str">
            <v>1.1.3.06.130</v>
          </cell>
          <cell r="C302" t="str">
            <v>9-Sitio 1 de Novembro</v>
          </cell>
        </row>
        <row r="303">
          <cell r="A303">
            <v>11306131</v>
          </cell>
          <cell r="B303" t="str">
            <v>1.1.3.06.131</v>
          </cell>
          <cell r="C303" t="str">
            <v>9-Sitio São Pedro II</v>
          </cell>
        </row>
        <row r="304">
          <cell r="A304">
            <v>11306132</v>
          </cell>
          <cell r="B304" t="str">
            <v>1.1.3.06.132</v>
          </cell>
          <cell r="C304" t="str">
            <v>9-Fazenda Mosquito I</v>
          </cell>
        </row>
        <row r="305">
          <cell r="A305">
            <v>11306133</v>
          </cell>
          <cell r="B305" t="str">
            <v>1.1.3.06.133</v>
          </cell>
          <cell r="C305" t="str">
            <v>9-Fazenda Santa Rita II</v>
          </cell>
        </row>
        <row r="306">
          <cell r="A306">
            <v>11306134</v>
          </cell>
          <cell r="B306" t="str">
            <v>1.1.3.06.134</v>
          </cell>
          <cell r="C306" t="str">
            <v>9-Fazenda Ipê</v>
          </cell>
        </row>
        <row r="307">
          <cell r="A307">
            <v>11306135</v>
          </cell>
          <cell r="B307" t="str">
            <v>1.1.3.06.135</v>
          </cell>
          <cell r="C307" t="str">
            <v>9-Estancia Analex I</v>
          </cell>
        </row>
        <row r="308">
          <cell r="A308">
            <v>11306136</v>
          </cell>
          <cell r="B308" t="str">
            <v>1.1.3.06.136</v>
          </cell>
          <cell r="C308" t="str">
            <v>9-Sitio Pires</v>
          </cell>
        </row>
        <row r="309">
          <cell r="A309">
            <v>11306137</v>
          </cell>
          <cell r="B309" t="str">
            <v>1.1.3.06.137</v>
          </cell>
          <cell r="C309" t="str">
            <v>9-Faz. Nametala rezek</v>
          </cell>
        </row>
        <row r="310">
          <cell r="A310">
            <v>11306138</v>
          </cell>
          <cell r="B310" t="str">
            <v>1.1.3.06.138</v>
          </cell>
          <cell r="C310" t="str">
            <v>9-Faz. Sao Martinho</v>
          </cell>
        </row>
        <row r="311">
          <cell r="A311">
            <v>11306139</v>
          </cell>
          <cell r="B311" t="str">
            <v>1.1.3.06.139</v>
          </cell>
          <cell r="C311" t="str">
            <v>9-Faz. Sao Bento</v>
          </cell>
        </row>
        <row r="312">
          <cell r="A312">
            <v>11306140</v>
          </cell>
          <cell r="B312" t="str">
            <v>1.1.3.06.140</v>
          </cell>
          <cell r="C312" t="str">
            <v>9- Faz. Garrafao</v>
          </cell>
        </row>
        <row r="313">
          <cell r="A313">
            <v>11306141</v>
          </cell>
          <cell r="B313" t="str">
            <v>1.1.3.06.141</v>
          </cell>
          <cell r="C313" t="str">
            <v>9-Fazenda São Sebastião</v>
          </cell>
        </row>
        <row r="314">
          <cell r="A314">
            <v>11306142</v>
          </cell>
          <cell r="B314" t="str">
            <v>1.1.3.06.142</v>
          </cell>
          <cell r="C314" t="str">
            <v>9-Sitio Sonia Romero</v>
          </cell>
        </row>
        <row r="315">
          <cell r="A315">
            <v>11306143</v>
          </cell>
          <cell r="B315" t="str">
            <v>1.1.3.06.143</v>
          </cell>
          <cell r="C315" t="str">
            <v>9-Sitio N. S. de Fátima</v>
          </cell>
        </row>
        <row r="316">
          <cell r="A316">
            <v>11306144</v>
          </cell>
          <cell r="B316" t="str">
            <v>1.1.3.06.144</v>
          </cell>
          <cell r="C316" t="str">
            <v>9-Sitio Bom Retiro</v>
          </cell>
        </row>
        <row r="317">
          <cell r="A317">
            <v>11306145</v>
          </cell>
          <cell r="B317" t="str">
            <v>1.1.3.06.145</v>
          </cell>
          <cell r="C317" t="str">
            <v>9-Estancia Analex</v>
          </cell>
        </row>
        <row r="318">
          <cell r="A318">
            <v>11306146</v>
          </cell>
          <cell r="B318" t="str">
            <v>1.1.3.06.146</v>
          </cell>
          <cell r="C318" t="str">
            <v>9-Sitio Guaruja</v>
          </cell>
        </row>
        <row r="319">
          <cell r="A319">
            <v>11306147</v>
          </cell>
          <cell r="B319" t="str">
            <v>1.1.3.06.147</v>
          </cell>
          <cell r="C319" t="str">
            <v>9-Sitio Boa Esperanca I</v>
          </cell>
        </row>
        <row r="320">
          <cell r="A320">
            <v>11306148</v>
          </cell>
          <cell r="B320" t="str">
            <v>1.1.3.06.148</v>
          </cell>
          <cell r="C320" t="str">
            <v>9-Fazenda Sape</v>
          </cell>
        </row>
        <row r="321">
          <cell r="A321">
            <v>11306149</v>
          </cell>
          <cell r="B321" t="str">
            <v>1.1.3.06.149</v>
          </cell>
          <cell r="C321" t="str">
            <v>9- Sitio Santo Reis</v>
          </cell>
        </row>
        <row r="322">
          <cell r="A322">
            <v>11306150</v>
          </cell>
          <cell r="B322" t="str">
            <v>1.1.3.06.150</v>
          </cell>
          <cell r="C322" t="str">
            <v>9-Sitio Sao Joao</v>
          </cell>
        </row>
        <row r="323">
          <cell r="A323">
            <v>11306151</v>
          </cell>
          <cell r="B323" t="str">
            <v>1.1.3.06.151</v>
          </cell>
          <cell r="C323" t="str">
            <v>9- Faz. Boa Sorte</v>
          </cell>
        </row>
        <row r="324">
          <cell r="A324">
            <v>11306152</v>
          </cell>
          <cell r="B324" t="str">
            <v>1.1.3.06.152</v>
          </cell>
          <cell r="C324" t="str">
            <v>9- Faz. Sao Bento</v>
          </cell>
        </row>
        <row r="325">
          <cell r="A325">
            <v>11306153</v>
          </cell>
          <cell r="B325" t="str">
            <v>1.1.3.06.153</v>
          </cell>
          <cell r="C325" t="str">
            <v>9- Faz. Sao Luiz</v>
          </cell>
        </row>
        <row r="326">
          <cell r="A326">
            <v>11306154</v>
          </cell>
          <cell r="B326" t="str">
            <v>1.1.3.06.154</v>
          </cell>
          <cell r="C326" t="str">
            <v>9- Faz. Santa Rosa 2</v>
          </cell>
        </row>
        <row r="327">
          <cell r="A327">
            <v>11306155</v>
          </cell>
          <cell r="B327" t="str">
            <v>1.1.3.06.155</v>
          </cell>
          <cell r="C327" t="str">
            <v>Sitio Santo Antonio III</v>
          </cell>
        </row>
        <row r="328">
          <cell r="A328">
            <v>11306156</v>
          </cell>
          <cell r="B328" t="str">
            <v>1.1.3.06.156</v>
          </cell>
          <cell r="C328" t="str">
            <v>Sitio 04 Irmãos</v>
          </cell>
        </row>
        <row r="329">
          <cell r="A329">
            <v>11306157</v>
          </cell>
          <cell r="B329" t="str">
            <v>1.1.3.06.157</v>
          </cell>
          <cell r="C329" t="str">
            <v>Sitio São Pedro  II</v>
          </cell>
        </row>
        <row r="330">
          <cell r="A330">
            <v>11306158</v>
          </cell>
          <cell r="B330" t="str">
            <v>1.1.3.06.158</v>
          </cell>
          <cell r="C330" t="str">
            <v>Sitio São Raimundo</v>
          </cell>
        </row>
        <row r="331">
          <cell r="A331">
            <v>11306159</v>
          </cell>
          <cell r="B331" t="str">
            <v>1.1.3.06.159</v>
          </cell>
          <cell r="C331" t="str">
            <v>Fazenda Agua Limpa</v>
          </cell>
        </row>
        <row r="332">
          <cell r="A332">
            <v>11306160</v>
          </cell>
          <cell r="B332" t="str">
            <v>1.1.3.06.160</v>
          </cell>
          <cell r="C332" t="str">
            <v>Fazenda Santa Izabel</v>
          </cell>
        </row>
        <row r="333">
          <cell r="A333">
            <v>11306161</v>
          </cell>
          <cell r="B333" t="str">
            <v>1.1.3.06.161</v>
          </cell>
          <cell r="C333" t="str">
            <v>Sitio São Marcos</v>
          </cell>
        </row>
        <row r="334">
          <cell r="A334">
            <v>11306162</v>
          </cell>
          <cell r="B334" t="str">
            <v>1.1.3.06.162</v>
          </cell>
          <cell r="C334" t="str">
            <v>El Shadai</v>
          </cell>
        </row>
        <row r="335">
          <cell r="A335">
            <v>11306163</v>
          </cell>
          <cell r="B335" t="str">
            <v>1.1.3.06.163</v>
          </cell>
          <cell r="C335" t="str">
            <v>9-Sitio Emilia</v>
          </cell>
        </row>
        <row r="336">
          <cell r="A336">
            <v>11306164</v>
          </cell>
          <cell r="B336" t="str">
            <v>1.1.3.06.164</v>
          </cell>
          <cell r="C336" t="str">
            <v>9-Faz. Francisco Neto</v>
          </cell>
        </row>
        <row r="337">
          <cell r="A337">
            <v>11306165</v>
          </cell>
          <cell r="B337" t="str">
            <v>1.1.3.06.165</v>
          </cell>
          <cell r="C337" t="str">
            <v>9-Faz. Bom Jesus</v>
          </cell>
        </row>
        <row r="338">
          <cell r="A338">
            <v>11306166</v>
          </cell>
          <cell r="B338" t="str">
            <v>1.1.3.06.166</v>
          </cell>
          <cell r="C338" t="str">
            <v>9-Sitio Sao Francisco</v>
          </cell>
        </row>
        <row r="339">
          <cell r="A339">
            <v>11306167</v>
          </cell>
          <cell r="B339" t="str">
            <v>1.1.3.06.167</v>
          </cell>
          <cell r="C339" t="str">
            <v>9-Sitio estancia Soares</v>
          </cell>
        </row>
        <row r="340">
          <cell r="A340">
            <v>11306168</v>
          </cell>
          <cell r="B340" t="str">
            <v>1.1.3.06.168</v>
          </cell>
          <cell r="C340" t="str">
            <v>9-Fazenda Colorado I e II</v>
          </cell>
        </row>
        <row r="341">
          <cell r="A341">
            <v>11306169</v>
          </cell>
          <cell r="B341" t="str">
            <v>1.1.3.06.169</v>
          </cell>
          <cell r="C341" t="str">
            <v>9-Sitio Bacuri</v>
          </cell>
        </row>
        <row r="342">
          <cell r="A342">
            <v>11306170</v>
          </cell>
          <cell r="B342" t="str">
            <v>1.1.3.06.170</v>
          </cell>
          <cell r="C342" t="str">
            <v>9-Bacuri Ouro</v>
          </cell>
        </row>
        <row r="343">
          <cell r="A343">
            <v>11306171</v>
          </cell>
          <cell r="B343" t="str">
            <v>1.1.3.06.171</v>
          </cell>
          <cell r="C343" t="str">
            <v>9-Faz. N. S. Aparecida</v>
          </cell>
        </row>
        <row r="344">
          <cell r="A344">
            <v>11306172</v>
          </cell>
          <cell r="B344" t="str">
            <v>1.1.3.06.172</v>
          </cell>
          <cell r="C344" t="str">
            <v>9-Faz. Grauna</v>
          </cell>
        </row>
        <row r="345">
          <cell r="A345">
            <v>11306173</v>
          </cell>
          <cell r="B345" t="str">
            <v>1.1.3.06.173</v>
          </cell>
          <cell r="C345" t="str">
            <v>9-Faz. N. S. Aparecida IV</v>
          </cell>
        </row>
        <row r="346">
          <cell r="A346">
            <v>11306174</v>
          </cell>
          <cell r="B346" t="str">
            <v>1.1.3.06.174</v>
          </cell>
          <cell r="C346" t="str">
            <v>9-Sitio Boa Esperanca</v>
          </cell>
        </row>
        <row r="347">
          <cell r="A347">
            <v>11306175</v>
          </cell>
          <cell r="B347" t="str">
            <v>1.1.3.06.175</v>
          </cell>
          <cell r="C347" t="str">
            <v>9-Sitio Nova Alvorada</v>
          </cell>
        </row>
        <row r="348">
          <cell r="A348">
            <v>11306176</v>
          </cell>
          <cell r="B348" t="str">
            <v>1.1.3.06.176</v>
          </cell>
          <cell r="C348" t="str">
            <v>9-Sitio Sao Jose V</v>
          </cell>
        </row>
        <row r="349">
          <cell r="A349">
            <v>11306177</v>
          </cell>
          <cell r="B349" t="str">
            <v>1.1.3.06.177</v>
          </cell>
          <cell r="C349" t="str">
            <v>9-Sitio Sao Pedro</v>
          </cell>
        </row>
        <row r="350">
          <cell r="A350">
            <v>11306178</v>
          </cell>
          <cell r="B350" t="str">
            <v>1.1.3.06.178</v>
          </cell>
          <cell r="C350" t="str">
            <v>9-Sitio Santa Luzia</v>
          </cell>
        </row>
        <row r="351">
          <cell r="A351">
            <v>11306179</v>
          </cell>
          <cell r="B351" t="str">
            <v>1.1.3.06.179</v>
          </cell>
          <cell r="C351" t="str">
            <v>9-Faz. Santa Izabel I</v>
          </cell>
        </row>
        <row r="352">
          <cell r="A352">
            <v>11306180</v>
          </cell>
          <cell r="B352" t="str">
            <v>1.1.3.06.180</v>
          </cell>
          <cell r="C352" t="str">
            <v>9-Estancia das Aguas</v>
          </cell>
        </row>
        <row r="353">
          <cell r="A353">
            <v>11306181</v>
          </cell>
          <cell r="B353" t="str">
            <v>1.1.3.06.181</v>
          </cell>
          <cell r="C353" t="str">
            <v>9-Fazenda Sao Marco</v>
          </cell>
        </row>
        <row r="354">
          <cell r="A354">
            <v>11306182</v>
          </cell>
          <cell r="B354" t="str">
            <v>1.1.3.06.182</v>
          </cell>
          <cell r="C354" t="str">
            <v>9-Fazenda Grauna I</v>
          </cell>
        </row>
        <row r="355">
          <cell r="A355">
            <v>11306183</v>
          </cell>
          <cell r="B355" t="str">
            <v>1.1.3.06.183</v>
          </cell>
          <cell r="C355" t="str">
            <v>9-Faz. Sao Jose do Rancho Alegre</v>
          </cell>
        </row>
        <row r="356">
          <cell r="A356">
            <v>11306184</v>
          </cell>
          <cell r="B356" t="str">
            <v>1.1.3.06.184</v>
          </cell>
          <cell r="C356" t="str">
            <v>9-Sitio Analex</v>
          </cell>
        </row>
        <row r="357">
          <cell r="A357">
            <v>11306185</v>
          </cell>
          <cell r="B357" t="str">
            <v>1.1.3.06.185</v>
          </cell>
          <cell r="C357" t="str">
            <v>9-Sitio Jacare</v>
          </cell>
        </row>
        <row r="358">
          <cell r="A358">
            <v>11306186</v>
          </cell>
          <cell r="B358" t="str">
            <v>1.1.3.06.186</v>
          </cell>
          <cell r="C358" t="str">
            <v>9-Sitio Santa Barbara</v>
          </cell>
        </row>
        <row r="359">
          <cell r="A359">
            <v>11306187</v>
          </cell>
          <cell r="B359" t="str">
            <v>1.1.3.06.187</v>
          </cell>
          <cell r="C359" t="str">
            <v>4/5-Fazenda Nossa Senhora Aparecida</v>
          </cell>
        </row>
        <row r="360">
          <cell r="A360">
            <v>11306188</v>
          </cell>
          <cell r="B360" t="str">
            <v>1.1.3.06.188</v>
          </cell>
          <cell r="C360" t="str">
            <v>4-Fazenda Estreito</v>
          </cell>
        </row>
        <row r="361">
          <cell r="A361">
            <v>11306189</v>
          </cell>
          <cell r="B361" t="str">
            <v>1.1.3.06.189</v>
          </cell>
          <cell r="C361" t="str">
            <v>4/7-Fazenda Santa Madalena</v>
          </cell>
        </row>
        <row r="362">
          <cell r="A362">
            <v>11306190</v>
          </cell>
          <cell r="B362" t="str">
            <v>1.1.3.06.190</v>
          </cell>
          <cell r="C362" t="str">
            <v>4/5-Fazenda Boa Sorte</v>
          </cell>
        </row>
        <row r="363">
          <cell r="A363">
            <v>11306191</v>
          </cell>
          <cell r="B363" t="str">
            <v>1.1.3.06.191</v>
          </cell>
          <cell r="C363" t="str">
            <v>4-Fazenda Aroeira III</v>
          </cell>
        </row>
        <row r="364">
          <cell r="A364">
            <v>11306192</v>
          </cell>
          <cell r="B364" t="str">
            <v>1.1.3.06.192</v>
          </cell>
          <cell r="C364" t="str">
            <v>4-Fazenda Jangadeiro</v>
          </cell>
        </row>
        <row r="365">
          <cell r="A365">
            <v>11306193</v>
          </cell>
          <cell r="B365" t="str">
            <v>1.1.3.06.193</v>
          </cell>
          <cell r="C365" t="str">
            <v>4-Fazenda Tonleilen</v>
          </cell>
        </row>
        <row r="366">
          <cell r="A366">
            <v>11306194</v>
          </cell>
          <cell r="B366" t="str">
            <v>1.1.3.06.194</v>
          </cell>
          <cell r="C366" t="str">
            <v>4-Fazenda Arauna</v>
          </cell>
        </row>
        <row r="367">
          <cell r="A367">
            <v>11306195</v>
          </cell>
          <cell r="B367" t="str">
            <v>1.1.3.06.195</v>
          </cell>
          <cell r="C367" t="str">
            <v>4/5-Fazenda Liberdade</v>
          </cell>
        </row>
        <row r="368">
          <cell r="A368">
            <v>11306196</v>
          </cell>
          <cell r="B368" t="str">
            <v>1.1.3.06.196</v>
          </cell>
          <cell r="C368" t="str">
            <v>4-Fazenda Santa Angela</v>
          </cell>
        </row>
        <row r="369">
          <cell r="A369">
            <v>11306197</v>
          </cell>
          <cell r="B369" t="str">
            <v>1.1.3.06.197</v>
          </cell>
          <cell r="C369" t="str">
            <v>4-Fazenda Aroeiro V</v>
          </cell>
        </row>
        <row r="370">
          <cell r="A370">
            <v>11306198</v>
          </cell>
          <cell r="B370" t="str">
            <v>1.1.3.06.198</v>
          </cell>
          <cell r="C370" t="str">
            <v>4-Fazenda Arrastão</v>
          </cell>
        </row>
        <row r="371">
          <cell r="A371">
            <v>11306199</v>
          </cell>
          <cell r="B371" t="str">
            <v>1.1.3.06.199</v>
          </cell>
          <cell r="C371" t="str">
            <v>4-Fazenda Aroeira VI</v>
          </cell>
        </row>
        <row r="372">
          <cell r="A372">
            <v>11306200</v>
          </cell>
          <cell r="B372" t="str">
            <v>1.1.3.06.200</v>
          </cell>
          <cell r="C372" t="str">
            <v>4-Fazenda Liberdade II</v>
          </cell>
        </row>
        <row r="373">
          <cell r="A373">
            <v>11306201</v>
          </cell>
          <cell r="B373" t="str">
            <v>1.1.3.06.201</v>
          </cell>
          <cell r="C373" t="str">
            <v>4-Fazenda Liberdade III</v>
          </cell>
        </row>
        <row r="374">
          <cell r="A374">
            <v>11306202</v>
          </cell>
          <cell r="B374" t="str">
            <v>1.1.3.06.202</v>
          </cell>
          <cell r="C374" t="str">
            <v>4-Fazenda Jangadeira II</v>
          </cell>
        </row>
        <row r="375">
          <cell r="A375">
            <v>11306203</v>
          </cell>
          <cell r="B375" t="str">
            <v>1.1.3.06.203</v>
          </cell>
          <cell r="C375" t="str">
            <v>4-Fazenda Jangadeira III</v>
          </cell>
        </row>
        <row r="376">
          <cell r="A376">
            <v>11306204</v>
          </cell>
          <cell r="B376" t="str">
            <v>1.1.3.06.204</v>
          </cell>
          <cell r="C376" t="str">
            <v>4-Fazenda Taperão III</v>
          </cell>
        </row>
        <row r="377">
          <cell r="A377">
            <v>11306205</v>
          </cell>
          <cell r="B377" t="str">
            <v>1.1.3.06.205</v>
          </cell>
          <cell r="C377" t="str">
            <v>4/5-Fazenda Santa Helena</v>
          </cell>
        </row>
        <row r="378">
          <cell r="A378">
            <v>11306206</v>
          </cell>
          <cell r="B378" t="str">
            <v>1.1.3.06.206</v>
          </cell>
          <cell r="C378" t="str">
            <v>4-Fazenda Vale do Pecuaria</v>
          </cell>
        </row>
        <row r="379">
          <cell r="A379">
            <v>11306207</v>
          </cell>
          <cell r="B379" t="str">
            <v>1.1.3.06.207</v>
          </cell>
          <cell r="C379" t="str">
            <v>4-Fazenda Certeza</v>
          </cell>
        </row>
        <row r="380">
          <cell r="A380">
            <v>11306208</v>
          </cell>
          <cell r="B380" t="str">
            <v>1.1.3.06.208</v>
          </cell>
          <cell r="C380" t="str">
            <v>4-Fazenda Estreito III</v>
          </cell>
        </row>
        <row r="381">
          <cell r="A381">
            <v>11306209</v>
          </cell>
          <cell r="B381" t="str">
            <v>1.1.3.06.209</v>
          </cell>
          <cell r="C381" t="str">
            <v>4-Fazenda Aroeira VI</v>
          </cell>
        </row>
        <row r="382">
          <cell r="A382">
            <v>11306210</v>
          </cell>
          <cell r="B382" t="str">
            <v>1.1.3.06.210</v>
          </cell>
          <cell r="C382" t="str">
            <v>5-Sitio Formoso</v>
          </cell>
        </row>
        <row r="383">
          <cell r="A383">
            <v>11306211</v>
          </cell>
          <cell r="B383" t="str">
            <v>1.1.3.06.211</v>
          </cell>
          <cell r="C383" t="str">
            <v>Fazenda Dois Meninos</v>
          </cell>
        </row>
        <row r="384">
          <cell r="A384">
            <v>11306212</v>
          </cell>
          <cell r="B384" t="str">
            <v>1.1.3.06.212</v>
          </cell>
          <cell r="C384" t="str">
            <v>5-Fazenda Retiro I</v>
          </cell>
        </row>
        <row r="385">
          <cell r="A385">
            <v>11306213</v>
          </cell>
          <cell r="B385" t="str">
            <v>1.1.3.06.213</v>
          </cell>
          <cell r="C385" t="str">
            <v>5-Fazenda Retiro II</v>
          </cell>
        </row>
        <row r="386">
          <cell r="A386">
            <v>11306214</v>
          </cell>
          <cell r="B386" t="str">
            <v>1.1.3.06.214</v>
          </cell>
          <cell r="C386" t="str">
            <v>5-Fazenda Vovo Amelia</v>
          </cell>
        </row>
        <row r="387">
          <cell r="A387">
            <v>11306215</v>
          </cell>
          <cell r="B387" t="str">
            <v>1.1.3.06.215</v>
          </cell>
          <cell r="C387" t="str">
            <v>5-Fazenda Santa Marta</v>
          </cell>
        </row>
        <row r="388">
          <cell r="A388">
            <v>11306216</v>
          </cell>
          <cell r="B388" t="str">
            <v>1.1.3.06.216</v>
          </cell>
          <cell r="C388" t="str">
            <v>5-Fazenda Santa Rosa</v>
          </cell>
        </row>
        <row r="389">
          <cell r="A389">
            <v>11306217</v>
          </cell>
          <cell r="B389" t="str">
            <v>1.1.3.06.217</v>
          </cell>
          <cell r="C389" t="str">
            <v>5-Fazenda Yamamoto</v>
          </cell>
        </row>
        <row r="390">
          <cell r="A390">
            <v>11306218</v>
          </cell>
          <cell r="B390" t="str">
            <v>1.1.3.06.218</v>
          </cell>
          <cell r="C390" t="str">
            <v>5-Fazenda São Francisco</v>
          </cell>
        </row>
        <row r="391">
          <cell r="A391">
            <v>11306219</v>
          </cell>
          <cell r="B391" t="str">
            <v>1.1.3.06.219</v>
          </cell>
          <cell r="C391" t="str">
            <v>5-Fazenda San Romulo</v>
          </cell>
        </row>
        <row r="392">
          <cell r="A392">
            <v>11306220</v>
          </cell>
          <cell r="B392" t="str">
            <v>1.1.3.06.220</v>
          </cell>
          <cell r="C392" t="str">
            <v>5-Fazenda Ponta Porã</v>
          </cell>
        </row>
        <row r="393">
          <cell r="A393">
            <v>11306221</v>
          </cell>
          <cell r="B393" t="str">
            <v>1.1.3.06.221</v>
          </cell>
          <cell r="C393" t="str">
            <v>5-Fazenda São José</v>
          </cell>
        </row>
        <row r="394">
          <cell r="A394">
            <v>11306222</v>
          </cell>
          <cell r="B394" t="str">
            <v>1.1.3.06.222</v>
          </cell>
          <cell r="C394" t="str">
            <v>5-Fazenda Santa Terezinha</v>
          </cell>
        </row>
        <row r="395">
          <cell r="A395">
            <v>11306223</v>
          </cell>
          <cell r="B395" t="str">
            <v>1.1.3.06.223</v>
          </cell>
          <cell r="C395" t="str">
            <v>5-Fazenda Santa Maria</v>
          </cell>
        </row>
        <row r="396">
          <cell r="A396">
            <v>11306224</v>
          </cell>
          <cell r="B396" t="str">
            <v>1.1.3.06.224</v>
          </cell>
          <cell r="C396" t="str">
            <v>5-Fazenda Bom Jesus</v>
          </cell>
        </row>
        <row r="397">
          <cell r="A397">
            <v>11306225</v>
          </cell>
          <cell r="B397" t="str">
            <v>1.1.3.06.225</v>
          </cell>
          <cell r="C397" t="str">
            <v>5-Fazenda Dois Irmãos</v>
          </cell>
        </row>
        <row r="398">
          <cell r="A398">
            <v>11306226</v>
          </cell>
          <cell r="B398" t="str">
            <v>1.1.3.06.226</v>
          </cell>
          <cell r="C398" t="str">
            <v>5-Fazenda PEdra Negra</v>
          </cell>
        </row>
        <row r="399">
          <cell r="A399">
            <v>11306227</v>
          </cell>
          <cell r="B399" t="str">
            <v>1.1.3.06.227</v>
          </cell>
          <cell r="C399" t="str">
            <v>5-Fazenda Barra L</v>
          </cell>
        </row>
        <row r="400">
          <cell r="A400">
            <v>11306228</v>
          </cell>
          <cell r="B400" t="str">
            <v>1.1.3.06.228</v>
          </cell>
          <cell r="C400" t="str">
            <v>5-Fazenda A Raimundo</v>
          </cell>
        </row>
        <row r="401">
          <cell r="A401">
            <v>11306229</v>
          </cell>
          <cell r="B401" t="str">
            <v>1.1.3.06.229</v>
          </cell>
          <cell r="C401" t="str">
            <v>5-Fazenda Nossa Sra Aparecida</v>
          </cell>
        </row>
        <row r="402">
          <cell r="A402">
            <v>11306230</v>
          </cell>
          <cell r="B402" t="str">
            <v>1.1.3.06.230</v>
          </cell>
          <cell r="C402" t="str">
            <v>5/7-Fazenda Santa Ines</v>
          </cell>
        </row>
        <row r="403">
          <cell r="A403">
            <v>11306231</v>
          </cell>
          <cell r="B403" t="str">
            <v>1.1.3.06.231</v>
          </cell>
          <cell r="C403" t="str">
            <v>Sitio Brasil</v>
          </cell>
        </row>
        <row r="404">
          <cell r="A404">
            <v>11306232</v>
          </cell>
          <cell r="B404" t="str">
            <v>1.1.3.06.232</v>
          </cell>
          <cell r="C404" t="str">
            <v>Sitio Salmourao III</v>
          </cell>
        </row>
        <row r="405">
          <cell r="A405">
            <v>11306233</v>
          </cell>
          <cell r="B405" t="str">
            <v>1.1.3.06.233</v>
          </cell>
          <cell r="C405" t="str">
            <v>Fazenda Sao Joao</v>
          </cell>
        </row>
        <row r="406">
          <cell r="A406">
            <v>11306234</v>
          </cell>
          <cell r="B406" t="str">
            <v>1.1.3.06.234</v>
          </cell>
          <cell r="C406" t="str">
            <v>Fazenda Quiteria</v>
          </cell>
        </row>
        <row r="407">
          <cell r="A407">
            <v>11306235</v>
          </cell>
          <cell r="B407" t="str">
            <v>1.1.3.06.235</v>
          </cell>
          <cell r="C407" t="str">
            <v>Fazenda Caru</v>
          </cell>
        </row>
        <row r="408">
          <cell r="A408">
            <v>11306236</v>
          </cell>
          <cell r="B408" t="str">
            <v>1.1.3.06.236</v>
          </cell>
          <cell r="C408" t="str">
            <v>9-Estancia Tres Irmaos</v>
          </cell>
        </row>
        <row r="409">
          <cell r="A409">
            <v>11306237</v>
          </cell>
          <cell r="B409" t="str">
            <v>1.1.3.06.237</v>
          </cell>
          <cell r="C409" t="str">
            <v>Estancia Tres Nascentes</v>
          </cell>
        </row>
        <row r="410">
          <cell r="A410">
            <v>11306238</v>
          </cell>
          <cell r="B410" t="str">
            <v>1.1.3.06.238</v>
          </cell>
          <cell r="C410" t="str">
            <v>Fazenda Santa Cruz</v>
          </cell>
        </row>
        <row r="411">
          <cell r="A411">
            <v>11306239</v>
          </cell>
          <cell r="B411" t="str">
            <v>1.1.3.06.239</v>
          </cell>
          <cell r="C411" t="str">
            <v>Sitio Salmourao II</v>
          </cell>
        </row>
        <row r="412">
          <cell r="A412">
            <v>11306240</v>
          </cell>
          <cell r="B412" t="str">
            <v>1.1.3.06.240</v>
          </cell>
          <cell r="C412" t="str">
            <v>sitio Agua Branca</v>
          </cell>
        </row>
        <row r="413">
          <cell r="A413">
            <v>11306241</v>
          </cell>
          <cell r="B413" t="str">
            <v>1.1.3.06.241</v>
          </cell>
          <cell r="C413" t="str">
            <v>Fazenda Barahona</v>
          </cell>
        </row>
        <row r="414">
          <cell r="A414">
            <v>11306242</v>
          </cell>
          <cell r="B414" t="str">
            <v>1.1.3.06.242</v>
          </cell>
          <cell r="C414" t="str">
            <v>5-Fazenda Arauna</v>
          </cell>
        </row>
        <row r="415">
          <cell r="A415">
            <v>11306243</v>
          </cell>
          <cell r="B415" t="str">
            <v>1.1.3.06.243</v>
          </cell>
          <cell r="C415" t="str">
            <v>5-Fazenda Macuton</v>
          </cell>
        </row>
        <row r="416">
          <cell r="A416">
            <v>11306244</v>
          </cell>
          <cell r="B416" t="str">
            <v>1.1.3.06.244</v>
          </cell>
          <cell r="C416" t="str">
            <v>5-Fazenda Cachoeirinha</v>
          </cell>
        </row>
        <row r="417">
          <cell r="A417">
            <v>11306245</v>
          </cell>
          <cell r="B417" t="str">
            <v>1.1.3.06.245</v>
          </cell>
          <cell r="C417" t="str">
            <v>Fazenda Santo Antonio</v>
          </cell>
        </row>
        <row r="418">
          <cell r="A418">
            <v>11306247</v>
          </cell>
          <cell r="B418" t="str">
            <v>1.1.3.06.247</v>
          </cell>
          <cell r="C418" t="str">
            <v>5-Fazenda Pile I</v>
          </cell>
        </row>
        <row r="419">
          <cell r="A419">
            <v>11306248</v>
          </cell>
          <cell r="B419" t="str">
            <v>1.1.3.06.248</v>
          </cell>
          <cell r="C419" t="str">
            <v>9-Fazenda do Sam</v>
          </cell>
        </row>
        <row r="420">
          <cell r="A420">
            <v>11306249</v>
          </cell>
          <cell r="B420" t="str">
            <v>1.1.3.06.249</v>
          </cell>
          <cell r="C420" t="str">
            <v>7-Fazenda Dom Pierino-Dourados</v>
          </cell>
        </row>
        <row r="421">
          <cell r="A421">
            <v>11306250</v>
          </cell>
          <cell r="B421" t="str">
            <v>1.1.3.06.250</v>
          </cell>
          <cell r="C421" t="str">
            <v>7-Fazenda Dal Lago I</v>
          </cell>
        </row>
        <row r="422">
          <cell r="A422">
            <v>11306251</v>
          </cell>
          <cell r="B422" t="str">
            <v>1.1.3.06.251</v>
          </cell>
          <cell r="C422" t="str">
            <v>7-Fazenda Gaurirobinha</v>
          </cell>
        </row>
        <row r="423">
          <cell r="A423">
            <v>11306252</v>
          </cell>
          <cell r="B423" t="str">
            <v>1.1.3.06.252</v>
          </cell>
          <cell r="C423" t="str">
            <v>7-Fazenda Santa Emília</v>
          </cell>
        </row>
        <row r="424">
          <cell r="A424">
            <v>11306253</v>
          </cell>
          <cell r="B424" t="str">
            <v>1.1.3.06.253</v>
          </cell>
          <cell r="C424" t="str">
            <v>9-Fazenda Tres Irmas</v>
          </cell>
        </row>
        <row r="425">
          <cell r="A425">
            <v>11306254</v>
          </cell>
          <cell r="B425" t="str">
            <v>1.1.3.06.254</v>
          </cell>
          <cell r="C425" t="str">
            <v>7-Fazenda Quevedo</v>
          </cell>
        </row>
        <row r="426">
          <cell r="A426">
            <v>11306255</v>
          </cell>
          <cell r="B426" t="str">
            <v>1.1.3.06.255</v>
          </cell>
          <cell r="C426" t="str">
            <v>7-Fazenda Jatobá</v>
          </cell>
        </row>
        <row r="427">
          <cell r="A427">
            <v>11306256</v>
          </cell>
          <cell r="B427" t="str">
            <v>1.1.3.06.256</v>
          </cell>
          <cell r="C427" t="str">
            <v>9-Sitio Planalto</v>
          </cell>
        </row>
        <row r="428">
          <cell r="A428">
            <v>11306257</v>
          </cell>
          <cell r="B428" t="str">
            <v>1.1.3.06.257</v>
          </cell>
          <cell r="C428" t="str">
            <v>9-Fazenda Santa Rosa</v>
          </cell>
        </row>
        <row r="429">
          <cell r="A429">
            <v>11306258</v>
          </cell>
          <cell r="B429" t="str">
            <v>1.1.3.06.258</v>
          </cell>
          <cell r="C429" t="str">
            <v>5- Fazenda Santa Quiteria</v>
          </cell>
        </row>
        <row r="430">
          <cell r="A430">
            <v>11306259</v>
          </cell>
          <cell r="B430" t="str">
            <v>1.1.3.06.259</v>
          </cell>
          <cell r="C430" t="str">
            <v>7-Fazenda Figueira</v>
          </cell>
        </row>
        <row r="431">
          <cell r="A431">
            <v>11306260</v>
          </cell>
          <cell r="B431" t="str">
            <v>1.1.3.06.260</v>
          </cell>
          <cell r="C431" t="str">
            <v>7-Fazenda Lucélia</v>
          </cell>
        </row>
        <row r="432">
          <cell r="A432">
            <v>11306261</v>
          </cell>
          <cell r="B432" t="str">
            <v>1.1.3.06.261</v>
          </cell>
          <cell r="C432" t="str">
            <v>7-Fazenda Fortaleza</v>
          </cell>
        </row>
        <row r="433">
          <cell r="A433">
            <v>11306262</v>
          </cell>
          <cell r="B433" t="str">
            <v>1.1.3.06.262</v>
          </cell>
          <cell r="C433" t="str">
            <v>7-Fazenda Carioca</v>
          </cell>
        </row>
        <row r="434">
          <cell r="A434">
            <v>11306263</v>
          </cell>
          <cell r="B434" t="str">
            <v>1.1.3.06.263</v>
          </cell>
          <cell r="C434" t="str">
            <v>9-Fazenda Ary Gaia II</v>
          </cell>
        </row>
        <row r="435">
          <cell r="A435">
            <v>11306264</v>
          </cell>
          <cell r="B435" t="str">
            <v>1.1.3.06.264</v>
          </cell>
          <cell r="C435" t="str">
            <v>9-Fazenda Valença</v>
          </cell>
        </row>
        <row r="436">
          <cell r="A436">
            <v>11306265</v>
          </cell>
          <cell r="B436" t="str">
            <v>1.1.3.06.265</v>
          </cell>
          <cell r="C436" t="str">
            <v>9-Fazenda Castilho</v>
          </cell>
        </row>
        <row r="437">
          <cell r="A437">
            <v>11306266</v>
          </cell>
          <cell r="B437" t="str">
            <v>1.1.3.06.266</v>
          </cell>
          <cell r="C437" t="str">
            <v>9-Fazenda Limoeiro</v>
          </cell>
        </row>
        <row r="438">
          <cell r="A438">
            <v>11306267</v>
          </cell>
          <cell r="B438" t="str">
            <v>1.1.3.06.267</v>
          </cell>
          <cell r="C438" t="str">
            <v>5-Fazenda Sao Jorge</v>
          </cell>
        </row>
        <row r="439">
          <cell r="A439">
            <v>11306268</v>
          </cell>
          <cell r="B439" t="str">
            <v>1.1.3.06.268</v>
          </cell>
          <cell r="C439" t="str">
            <v>5-Fazenda Rio Grande</v>
          </cell>
        </row>
        <row r="440">
          <cell r="A440">
            <v>11306269</v>
          </cell>
          <cell r="B440" t="str">
            <v>1.1.3.06.269</v>
          </cell>
          <cell r="C440" t="str">
            <v>5-Sitio  Grande II</v>
          </cell>
        </row>
        <row r="441">
          <cell r="A441">
            <v>11306270</v>
          </cell>
          <cell r="B441" t="str">
            <v>1.1.3.06.270</v>
          </cell>
          <cell r="C441" t="str">
            <v>5-Sitio Jurema</v>
          </cell>
        </row>
        <row r="442">
          <cell r="A442">
            <v>11306271</v>
          </cell>
          <cell r="B442" t="str">
            <v>1.1.3.06.271</v>
          </cell>
          <cell r="C442" t="str">
            <v>5-Fazenda Santa Joana</v>
          </cell>
        </row>
        <row r="443">
          <cell r="A443">
            <v>11306272</v>
          </cell>
          <cell r="B443" t="str">
            <v>1.1.3.06.272</v>
          </cell>
          <cell r="C443" t="str">
            <v>Fazenda Tres Curumim</v>
          </cell>
        </row>
        <row r="444">
          <cell r="A444">
            <v>11306273</v>
          </cell>
          <cell r="B444" t="str">
            <v>1.1.3.06.273</v>
          </cell>
          <cell r="C444" t="str">
            <v>Fazenda Santa Angela</v>
          </cell>
        </row>
        <row r="445">
          <cell r="A445">
            <v>11306274</v>
          </cell>
          <cell r="B445" t="str">
            <v>1.1.3.06.274</v>
          </cell>
          <cell r="C445" t="str">
            <v>Fazenda NSra Belem II</v>
          </cell>
        </row>
        <row r="446">
          <cell r="A446">
            <v>11306275</v>
          </cell>
          <cell r="B446" t="str">
            <v>1.1.3.06.275</v>
          </cell>
          <cell r="C446" t="str">
            <v>5-Fazenda São Rafael</v>
          </cell>
        </row>
        <row r="447">
          <cell r="A447">
            <v>11306276</v>
          </cell>
          <cell r="B447" t="str">
            <v>1.1.3.06.276</v>
          </cell>
          <cell r="C447" t="str">
            <v>4 - Fazenda Taperão III</v>
          </cell>
        </row>
        <row r="448">
          <cell r="A448">
            <v>11306277</v>
          </cell>
          <cell r="B448" t="str">
            <v>1.1.3.06.277</v>
          </cell>
          <cell r="C448" t="str">
            <v>Sitio Primor</v>
          </cell>
        </row>
        <row r="449">
          <cell r="A449">
            <v>11306278</v>
          </cell>
          <cell r="B449" t="str">
            <v>1.1.3.06.278</v>
          </cell>
          <cell r="C449" t="str">
            <v>Fazenda São Pedro</v>
          </cell>
        </row>
        <row r="450">
          <cell r="A450">
            <v>11306279</v>
          </cell>
          <cell r="B450" t="str">
            <v>1.1.3.06.279</v>
          </cell>
          <cell r="C450" t="str">
            <v>9-Sitio N. S. Aparecida III</v>
          </cell>
        </row>
        <row r="451">
          <cell r="A451">
            <v>11306280</v>
          </cell>
          <cell r="B451" t="str">
            <v>1.1.3.06.280</v>
          </cell>
          <cell r="C451" t="str">
            <v>Fazenda Rio Preto</v>
          </cell>
        </row>
        <row r="452">
          <cell r="A452">
            <v>11306281</v>
          </cell>
          <cell r="B452" t="str">
            <v>1.1.3.06.281</v>
          </cell>
          <cell r="C452" t="str">
            <v>Fazenda são Lucas</v>
          </cell>
        </row>
        <row r="453">
          <cell r="A453">
            <v>11306282</v>
          </cell>
          <cell r="B453" t="str">
            <v>1.1.3.06.282</v>
          </cell>
          <cell r="C453" t="str">
            <v>Fazenda Santa Luiza</v>
          </cell>
        </row>
        <row r="454">
          <cell r="A454">
            <v>11306283</v>
          </cell>
          <cell r="B454" t="str">
            <v>1.1.3.06.283</v>
          </cell>
          <cell r="C454" t="str">
            <v>9-Fazenda Vitoria</v>
          </cell>
        </row>
        <row r="455">
          <cell r="A455">
            <v>11306284</v>
          </cell>
          <cell r="B455" t="str">
            <v>1.1.3.06.284</v>
          </cell>
          <cell r="C455" t="str">
            <v>9-Fazenda Dois Vales</v>
          </cell>
        </row>
        <row r="456">
          <cell r="A456">
            <v>11306285</v>
          </cell>
          <cell r="B456" t="str">
            <v>1.1.3.06.285</v>
          </cell>
          <cell r="C456" t="str">
            <v>Fazenda Dal Lago II</v>
          </cell>
        </row>
        <row r="457">
          <cell r="A457">
            <v>11306286</v>
          </cell>
          <cell r="B457" t="str">
            <v>1.1.3.06.286</v>
          </cell>
          <cell r="C457" t="str">
            <v>Fazenda Dal Lago III</v>
          </cell>
        </row>
        <row r="458">
          <cell r="A458">
            <v>11306287</v>
          </cell>
          <cell r="B458" t="str">
            <v>1.1.3.06.287</v>
          </cell>
          <cell r="C458" t="str">
            <v>Fazenda Bem Te Vi</v>
          </cell>
        </row>
        <row r="459">
          <cell r="A459">
            <v>11306288</v>
          </cell>
          <cell r="B459" t="str">
            <v>1.1.3.06.288</v>
          </cell>
          <cell r="C459" t="str">
            <v>Faz.  Santa Quiteria</v>
          </cell>
        </row>
        <row r="460">
          <cell r="A460">
            <v>11306289</v>
          </cell>
          <cell r="B460" t="str">
            <v>1.1.3.06.289</v>
          </cell>
          <cell r="C460" t="str">
            <v>7- Fazenda Nova Esperança (5018)</v>
          </cell>
        </row>
        <row r="461">
          <cell r="A461">
            <v>11306290</v>
          </cell>
          <cell r="B461" t="str">
            <v>1.1.3.06.290</v>
          </cell>
          <cell r="C461" t="str">
            <v>7-Fazenda Serra Branca</v>
          </cell>
        </row>
        <row r="462">
          <cell r="A462">
            <v>11306291</v>
          </cell>
          <cell r="B462" t="str">
            <v>1.1.3.06.291</v>
          </cell>
          <cell r="C462" t="str">
            <v>9-Fazenda Caiçara</v>
          </cell>
        </row>
        <row r="463">
          <cell r="A463">
            <v>11306292</v>
          </cell>
          <cell r="B463" t="str">
            <v>1.1.3.06.292</v>
          </cell>
          <cell r="C463" t="str">
            <v>Sitio Santa Josefina</v>
          </cell>
        </row>
        <row r="464">
          <cell r="A464">
            <v>11306293</v>
          </cell>
          <cell r="B464" t="str">
            <v>1.1.3.06.293</v>
          </cell>
          <cell r="C464" t="str">
            <v>Fazenda Tres Irmãs</v>
          </cell>
        </row>
        <row r="465">
          <cell r="A465">
            <v>11306294</v>
          </cell>
          <cell r="B465" t="str">
            <v>1.1.3.06.294</v>
          </cell>
          <cell r="C465" t="str">
            <v>5- São Jerônimo</v>
          </cell>
        </row>
        <row r="466">
          <cell r="A466">
            <v>11306295</v>
          </cell>
          <cell r="B466" t="str">
            <v>1.1.3.06.295</v>
          </cell>
          <cell r="C466" t="str">
            <v>5- Fazenda Nunes</v>
          </cell>
        </row>
        <row r="467">
          <cell r="A467">
            <v>11306296</v>
          </cell>
          <cell r="B467" t="str">
            <v>1.1.3.06.296</v>
          </cell>
          <cell r="C467" t="str">
            <v>5- Fazenda Fazendinha</v>
          </cell>
        </row>
        <row r="468">
          <cell r="A468">
            <v>11306297</v>
          </cell>
          <cell r="B468" t="str">
            <v>1.1.3.06.297</v>
          </cell>
          <cell r="C468" t="str">
            <v>Fazenda São Joaquim I</v>
          </cell>
        </row>
        <row r="469">
          <cell r="A469">
            <v>11306298</v>
          </cell>
          <cell r="B469" t="str">
            <v>1.1.3.06.298</v>
          </cell>
          <cell r="C469" t="str">
            <v>Fazenda Palacios</v>
          </cell>
        </row>
        <row r="470">
          <cell r="A470">
            <v>11306299</v>
          </cell>
          <cell r="B470" t="str">
            <v>1.1.3.06.299</v>
          </cell>
          <cell r="C470" t="str">
            <v>5- Sitio Grande</v>
          </cell>
        </row>
        <row r="471">
          <cell r="A471">
            <v>11306300</v>
          </cell>
          <cell r="B471" t="str">
            <v>1.1.3.06.300</v>
          </cell>
          <cell r="C471" t="str">
            <v>5- Fazenda Campos e Flores</v>
          </cell>
        </row>
        <row r="472">
          <cell r="A472">
            <v>11306301</v>
          </cell>
          <cell r="B472" t="str">
            <v>1.1.3.06.301</v>
          </cell>
          <cell r="C472" t="str">
            <v>5- Santa Barbara</v>
          </cell>
        </row>
        <row r="473">
          <cell r="A473">
            <v>11306302</v>
          </cell>
          <cell r="B473" t="str">
            <v>1.1.3.06.302</v>
          </cell>
          <cell r="C473" t="str">
            <v>5- Santa Terezinha</v>
          </cell>
        </row>
        <row r="474">
          <cell r="A474">
            <v>11306303</v>
          </cell>
          <cell r="B474" t="str">
            <v>1.1.3.06.303</v>
          </cell>
          <cell r="C474" t="str">
            <v>9-Sitio Bela Vista</v>
          </cell>
        </row>
        <row r="475">
          <cell r="A475">
            <v>11306304</v>
          </cell>
          <cell r="B475" t="str">
            <v>1.1.3.06.304</v>
          </cell>
          <cell r="C475" t="str">
            <v>Fazenda Santa Izabel II</v>
          </cell>
        </row>
        <row r="476">
          <cell r="A476">
            <v>11306305</v>
          </cell>
          <cell r="B476" t="str">
            <v>1.1.3.06.305</v>
          </cell>
          <cell r="C476" t="str">
            <v>5-Fazenda Ter de Jardi</v>
          </cell>
        </row>
        <row r="477">
          <cell r="A477">
            <v>11306306</v>
          </cell>
          <cell r="B477" t="str">
            <v>1.1.3.06.306</v>
          </cell>
          <cell r="C477" t="str">
            <v>5-Fazenda Irmao Cavalcante</v>
          </cell>
        </row>
        <row r="478">
          <cell r="A478">
            <v>11306307</v>
          </cell>
          <cell r="B478" t="str">
            <v>1.1.3.06.307</v>
          </cell>
          <cell r="C478" t="str">
            <v>5-Fazenda Cabana</v>
          </cell>
        </row>
        <row r="479">
          <cell r="A479">
            <v>11306308</v>
          </cell>
          <cell r="B479" t="str">
            <v>1.1.3.06.308</v>
          </cell>
          <cell r="C479" t="str">
            <v>5-Fazenda Sul MAtogrossense</v>
          </cell>
        </row>
        <row r="480">
          <cell r="A480">
            <v>11306309</v>
          </cell>
          <cell r="B480" t="str">
            <v>1.1.3.06.309</v>
          </cell>
          <cell r="C480" t="str">
            <v>5-Fazenda Eldorado</v>
          </cell>
        </row>
        <row r="481">
          <cell r="A481">
            <v>11306310</v>
          </cell>
          <cell r="B481" t="str">
            <v>1.1.3.06.310</v>
          </cell>
          <cell r="C481" t="str">
            <v>5-Estancia Esperança</v>
          </cell>
        </row>
        <row r="482">
          <cell r="A482">
            <v>11306311</v>
          </cell>
          <cell r="B482" t="str">
            <v>1.1.3.06.311</v>
          </cell>
          <cell r="C482" t="str">
            <v>Fazenda Esperança</v>
          </cell>
        </row>
        <row r="483">
          <cell r="A483">
            <v>11306312</v>
          </cell>
          <cell r="B483" t="str">
            <v>1.1.3.06.312</v>
          </cell>
          <cell r="C483" t="str">
            <v>Fazenda Boa Esperança</v>
          </cell>
        </row>
        <row r="484">
          <cell r="A484">
            <v>11306313</v>
          </cell>
          <cell r="B484" t="str">
            <v>1.1.3.06.313</v>
          </cell>
          <cell r="C484" t="str">
            <v>Fazenda Santa Aurelia</v>
          </cell>
        </row>
        <row r="485">
          <cell r="A485">
            <v>11306314</v>
          </cell>
          <cell r="B485" t="str">
            <v>1.1.3.06.314</v>
          </cell>
          <cell r="C485" t="str">
            <v>Estancia Regina</v>
          </cell>
        </row>
        <row r="486">
          <cell r="A486">
            <v>11306315</v>
          </cell>
          <cell r="B486" t="str">
            <v>1.1.3.06.315</v>
          </cell>
          <cell r="C486" t="str">
            <v>7 - Fazenda Dal Lago IV</v>
          </cell>
        </row>
        <row r="487">
          <cell r="A487">
            <v>11306316</v>
          </cell>
          <cell r="B487" t="str">
            <v>1.1.3.06.316</v>
          </cell>
          <cell r="C487" t="str">
            <v>7 - Fazenda Figueira II</v>
          </cell>
        </row>
        <row r="488">
          <cell r="A488">
            <v>11306317</v>
          </cell>
          <cell r="B488" t="str">
            <v>1.1.3.06.317</v>
          </cell>
          <cell r="C488" t="str">
            <v>5- Estancia Lucia</v>
          </cell>
        </row>
        <row r="489">
          <cell r="A489">
            <v>11306318</v>
          </cell>
          <cell r="B489" t="str">
            <v>1.1.3.06.318</v>
          </cell>
          <cell r="C489" t="str">
            <v>9-Fazenda Brasil II</v>
          </cell>
        </row>
        <row r="490">
          <cell r="A490">
            <v>11306319</v>
          </cell>
          <cell r="B490" t="str">
            <v>1.1.3.06.319</v>
          </cell>
          <cell r="C490" t="str">
            <v>9-Sitio Paraiso</v>
          </cell>
        </row>
        <row r="491">
          <cell r="A491">
            <v>11306320</v>
          </cell>
          <cell r="B491" t="str">
            <v>1.1.3.06.320</v>
          </cell>
          <cell r="C491" t="str">
            <v>9-Estancia Lavinia</v>
          </cell>
        </row>
        <row r="492">
          <cell r="A492">
            <v>11306321</v>
          </cell>
          <cell r="B492" t="str">
            <v>1.1.3.06.321</v>
          </cell>
          <cell r="C492" t="str">
            <v>9-Estancia Santa Olga</v>
          </cell>
        </row>
        <row r="493">
          <cell r="A493">
            <v>11306322</v>
          </cell>
          <cell r="B493" t="str">
            <v>1.1.3.06.322</v>
          </cell>
          <cell r="C493" t="str">
            <v>9-Sitio Nossa Sra Aparecida</v>
          </cell>
        </row>
        <row r="494">
          <cell r="A494">
            <v>11306323</v>
          </cell>
          <cell r="B494" t="str">
            <v>1.1.3.06.323</v>
          </cell>
          <cell r="C494" t="str">
            <v>Fazenda Campos e Flores</v>
          </cell>
        </row>
        <row r="495">
          <cell r="A495">
            <v>11306324</v>
          </cell>
          <cell r="B495" t="str">
            <v>1.1.3.06.324</v>
          </cell>
          <cell r="C495" t="str">
            <v>5-Fazenda São Jose</v>
          </cell>
        </row>
        <row r="496">
          <cell r="A496">
            <v>11306325</v>
          </cell>
          <cell r="B496" t="str">
            <v>1.1.3.06.325</v>
          </cell>
          <cell r="C496" t="str">
            <v>Fazenda Kpmg - acertos tratos</v>
          </cell>
        </row>
        <row r="497">
          <cell r="A497">
            <v>11306326</v>
          </cell>
          <cell r="B497" t="str">
            <v>1.1.3.06.326</v>
          </cell>
          <cell r="C497" t="str">
            <v>Sitio 03 Irmãos</v>
          </cell>
        </row>
        <row r="498">
          <cell r="A498">
            <v>11306327</v>
          </cell>
          <cell r="B498" t="str">
            <v>1.1.3.06.327</v>
          </cell>
          <cell r="C498" t="str">
            <v>Sítio São João</v>
          </cell>
        </row>
        <row r="499">
          <cell r="A499">
            <v>11306328</v>
          </cell>
          <cell r="B499" t="str">
            <v>1.1.3.06.328</v>
          </cell>
          <cell r="C499" t="str">
            <v>Estância Santa Olga</v>
          </cell>
        </row>
        <row r="500">
          <cell r="A500">
            <v>11306329</v>
          </cell>
          <cell r="B500" t="str">
            <v>1.1.3.06.329</v>
          </cell>
          <cell r="C500" t="str">
            <v>7 - Fazenda Crioula</v>
          </cell>
        </row>
        <row r="501">
          <cell r="A501">
            <v>11306330</v>
          </cell>
          <cell r="B501" t="str">
            <v>1.1.3.06.330</v>
          </cell>
          <cell r="C501" t="str">
            <v>7 - Fazenda Jacutinga</v>
          </cell>
        </row>
        <row r="502">
          <cell r="A502">
            <v>11306331</v>
          </cell>
          <cell r="B502" t="str">
            <v>1.1.3.06.331</v>
          </cell>
          <cell r="C502" t="str">
            <v>7 - Fazenda Três Irmãs I</v>
          </cell>
        </row>
        <row r="503">
          <cell r="A503">
            <v>11306332</v>
          </cell>
          <cell r="B503" t="str">
            <v>1.1.3.06.332</v>
          </cell>
          <cell r="C503" t="str">
            <v>Fazenda Jangadinha</v>
          </cell>
        </row>
        <row r="504">
          <cell r="A504">
            <v>11306333</v>
          </cell>
          <cell r="B504" t="str">
            <v>1.1.3.06.333</v>
          </cell>
          <cell r="C504" t="str">
            <v>Fazenda Promissão</v>
          </cell>
        </row>
        <row r="505">
          <cell r="A505">
            <v>11306334</v>
          </cell>
          <cell r="B505" t="str">
            <v>1.1.3.06.334</v>
          </cell>
          <cell r="C505" t="str">
            <v>7- Sítio São PEdro</v>
          </cell>
        </row>
        <row r="506">
          <cell r="A506">
            <v>11306335</v>
          </cell>
          <cell r="B506" t="str">
            <v>1.1.3.06.335</v>
          </cell>
          <cell r="C506" t="str">
            <v>7-Fazenda Rio Peroba</v>
          </cell>
        </row>
        <row r="507">
          <cell r="A507">
            <v>11306336</v>
          </cell>
          <cell r="B507" t="str">
            <v>1.1.3.06.336</v>
          </cell>
          <cell r="C507" t="str">
            <v>9-Fazenda São Paulo</v>
          </cell>
        </row>
        <row r="508">
          <cell r="A508">
            <v>11306337</v>
          </cell>
          <cell r="B508" t="str">
            <v>1.1.3.06.337</v>
          </cell>
          <cell r="C508" t="str">
            <v>Fazenda Santo Antonio II</v>
          </cell>
        </row>
        <row r="509">
          <cell r="A509">
            <v>11306338</v>
          </cell>
          <cell r="B509" t="str">
            <v>1.1.3.06.338</v>
          </cell>
          <cell r="C509" t="str">
            <v>Fazenda Unialco I</v>
          </cell>
        </row>
        <row r="510">
          <cell r="A510">
            <v>11306339</v>
          </cell>
          <cell r="B510" t="str">
            <v>1.1.3.06.339</v>
          </cell>
          <cell r="C510" t="str">
            <v>7- Fazenda Fortaleza II</v>
          </cell>
        </row>
        <row r="511">
          <cell r="A511">
            <v>11306340</v>
          </cell>
          <cell r="B511" t="str">
            <v>1.1.3.06.340</v>
          </cell>
          <cell r="C511" t="str">
            <v>9-Chacara SLC</v>
          </cell>
        </row>
        <row r="512">
          <cell r="A512">
            <v>11306341</v>
          </cell>
          <cell r="B512" t="str">
            <v>1.1.3.06.341</v>
          </cell>
          <cell r="C512" t="str">
            <v>9-Fazenda S. Sebastião</v>
          </cell>
        </row>
        <row r="513">
          <cell r="A513">
            <v>11306342</v>
          </cell>
          <cell r="B513" t="str">
            <v>1.1.3.06.342</v>
          </cell>
          <cell r="C513" t="str">
            <v>9-Sitio Canguçu</v>
          </cell>
        </row>
        <row r="514">
          <cell r="A514">
            <v>11306343</v>
          </cell>
          <cell r="B514" t="str">
            <v>1.1.3.06.343</v>
          </cell>
          <cell r="C514" t="str">
            <v>9-Fazenda Santa Ana</v>
          </cell>
        </row>
        <row r="515">
          <cell r="A515">
            <v>11306344</v>
          </cell>
          <cell r="B515" t="str">
            <v>1.1.3.06.344</v>
          </cell>
          <cell r="C515" t="str">
            <v>Fazenda Santo Antonio I</v>
          </cell>
        </row>
        <row r="516">
          <cell r="A516">
            <v>11306345</v>
          </cell>
          <cell r="B516" t="str">
            <v>1.1.3.06.345</v>
          </cell>
          <cell r="C516" t="str">
            <v>7- Fazenda Volta Rica</v>
          </cell>
        </row>
        <row r="517">
          <cell r="A517">
            <v>11306346</v>
          </cell>
          <cell r="B517" t="str">
            <v>1.1.3.06.346</v>
          </cell>
          <cell r="C517" t="str">
            <v>7- Fazenda Cristal</v>
          </cell>
        </row>
        <row r="518">
          <cell r="A518">
            <v>11306347</v>
          </cell>
          <cell r="B518" t="str">
            <v>1.1.3.06.347</v>
          </cell>
          <cell r="C518" t="str">
            <v>9-Fazenda Sao Felix</v>
          </cell>
        </row>
        <row r="519">
          <cell r="A519">
            <v>11306348</v>
          </cell>
          <cell r="B519" t="str">
            <v>1.1.3.06.348</v>
          </cell>
          <cell r="C519" t="str">
            <v>Fazenda Santo Antonio I</v>
          </cell>
        </row>
        <row r="520">
          <cell r="A520">
            <v>11306349</v>
          </cell>
          <cell r="B520" t="str">
            <v>1.1.3.06.349</v>
          </cell>
          <cell r="C520" t="str">
            <v>9-Bela Vista III</v>
          </cell>
        </row>
        <row r="521">
          <cell r="A521">
            <v>11306350</v>
          </cell>
          <cell r="B521" t="str">
            <v>1.1.3.06.350</v>
          </cell>
          <cell r="C521" t="str">
            <v>9-Fco Neto II</v>
          </cell>
        </row>
        <row r="522">
          <cell r="A522">
            <v>11306351</v>
          </cell>
          <cell r="B522" t="str">
            <v>1.1.3.06.351</v>
          </cell>
          <cell r="C522" t="str">
            <v>Estância São Francisco</v>
          </cell>
        </row>
        <row r="523">
          <cell r="A523">
            <v>11306352</v>
          </cell>
          <cell r="B523" t="str">
            <v>1.1.3.06.352</v>
          </cell>
          <cell r="C523" t="str">
            <v>Sitio Rio das Pedras</v>
          </cell>
        </row>
        <row r="524">
          <cell r="A524">
            <v>11306353</v>
          </cell>
          <cell r="B524" t="str">
            <v>1.1.3.06.353</v>
          </cell>
          <cell r="C524" t="str">
            <v>9- Sitio São Paulo</v>
          </cell>
        </row>
        <row r="525">
          <cell r="A525">
            <v>11306354</v>
          </cell>
          <cell r="B525" t="str">
            <v>1.1.3.06.354</v>
          </cell>
          <cell r="C525" t="str">
            <v>Provisão Perdas Estoques RTT</v>
          </cell>
        </row>
        <row r="526">
          <cell r="A526">
            <v>11306355</v>
          </cell>
          <cell r="B526" t="str">
            <v>1.1.3.06.355</v>
          </cell>
          <cell r="C526" t="str">
            <v>5- Fazenda Arauna I</v>
          </cell>
        </row>
        <row r="527">
          <cell r="A527">
            <v>11306356</v>
          </cell>
          <cell r="B527" t="str">
            <v>1.1.3.06.356</v>
          </cell>
          <cell r="C527" t="str">
            <v>5- Fazenda Jardim</v>
          </cell>
        </row>
        <row r="528">
          <cell r="A528">
            <v>11306357</v>
          </cell>
          <cell r="B528" t="str">
            <v>1.1.3.06.357</v>
          </cell>
          <cell r="C528" t="str">
            <v>Fazenda Sao Joao</v>
          </cell>
        </row>
        <row r="529">
          <cell r="A529">
            <v>11306358</v>
          </cell>
          <cell r="B529" t="str">
            <v>1.1.3.06.358</v>
          </cell>
          <cell r="C529" t="str">
            <v>Fazenda Vale Verde</v>
          </cell>
        </row>
        <row r="530">
          <cell r="A530">
            <v>11306359</v>
          </cell>
          <cell r="B530" t="str">
            <v>1.1.3.06.359</v>
          </cell>
          <cell r="C530" t="str">
            <v>9-Sítio Morumbi</v>
          </cell>
        </row>
        <row r="531">
          <cell r="A531">
            <v>11306360</v>
          </cell>
          <cell r="B531" t="str">
            <v>1.1.3.06.360</v>
          </cell>
          <cell r="C531" t="str">
            <v>9-Sítio Santa Izabel</v>
          </cell>
        </row>
        <row r="532">
          <cell r="A532">
            <v>11306361</v>
          </cell>
          <cell r="B532" t="str">
            <v>1.1.3.06.361</v>
          </cell>
          <cell r="C532" t="str">
            <v>9-Fazenda Sucesso</v>
          </cell>
        </row>
        <row r="533">
          <cell r="A533">
            <v>11306362</v>
          </cell>
          <cell r="B533" t="str">
            <v>1.1.3.06.362</v>
          </cell>
          <cell r="C533" t="str">
            <v>7- Fazenda Santa Maria I</v>
          </cell>
        </row>
        <row r="534">
          <cell r="A534">
            <v>11306363</v>
          </cell>
          <cell r="B534" t="str">
            <v>1.1.3.06.363</v>
          </cell>
          <cell r="C534" t="str">
            <v>7- Fazenda Santa Madalena I</v>
          </cell>
        </row>
        <row r="535">
          <cell r="A535">
            <v>11306364</v>
          </cell>
          <cell r="B535" t="str">
            <v>1.1.3.06.364</v>
          </cell>
          <cell r="C535" t="str">
            <v>Fazenda Tangará</v>
          </cell>
        </row>
        <row r="536">
          <cell r="A536">
            <v>11306365</v>
          </cell>
          <cell r="B536" t="str">
            <v>1.1.3.06.365</v>
          </cell>
          <cell r="C536" t="str">
            <v>7- Fazenda Carioca III</v>
          </cell>
        </row>
        <row r="537">
          <cell r="A537">
            <v>11306366</v>
          </cell>
          <cell r="B537" t="str">
            <v>1.1.3.06.366</v>
          </cell>
          <cell r="C537" t="str">
            <v>7- Fazenda Tres Meninos</v>
          </cell>
        </row>
        <row r="538">
          <cell r="A538">
            <v>11306367</v>
          </cell>
          <cell r="B538" t="str">
            <v>1.1.3.06.367</v>
          </cell>
          <cell r="C538" t="str">
            <v>Fazenda Dois Corações</v>
          </cell>
        </row>
        <row r="539">
          <cell r="A539">
            <v>11306368</v>
          </cell>
          <cell r="B539" t="str">
            <v>1.1.3.06.368</v>
          </cell>
          <cell r="C539" t="str">
            <v>9-Fazenda Bela Vista 2</v>
          </cell>
        </row>
        <row r="540">
          <cell r="A540">
            <v>11306369</v>
          </cell>
          <cell r="B540" t="str">
            <v>1.1.3.06.369</v>
          </cell>
          <cell r="C540" t="str">
            <v>9-Sitio Santo Antonio</v>
          </cell>
        </row>
        <row r="541">
          <cell r="A541">
            <v>11306370</v>
          </cell>
          <cell r="B541" t="str">
            <v>1.1.3.06.370</v>
          </cell>
          <cell r="C541" t="str">
            <v>9-Fazenda Joia</v>
          </cell>
        </row>
        <row r="542">
          <cell r="A542">
            <v>11306371</v>
          </cell>
          <cell r="B542" t="str">
            <v>1.1.3.06.371</v>
          </cell>
          <cell r="C542" t="str">
            <v>9-Fazenda Bacuri</v>
          </cell>
        </row>
        <row r="543">
          <cell r="A543">
            <v>11306372</v>
          </cell>
          <cell r="B543" t="str">
            <v>1.1.3.06.372</v>
          </cell>
          <cell r="C543" t="str">
            <v>9-Sitio Fujimoto</v>
          </cell>
        </row>
        <row r="544">
          <cell r="A544">
            <v>11306373</v>
          </cell>
          <cell r="B544" t="str">
            <v>1.1.3.06.373</v>
          </cell>
          <cell r="C544" t="str">
            <v>9-Sitio Jatoba</v>
          </cell>
        </row>
        <row r="545">
          <cell r="A545">
            <v>11306374</v>
          </cell>
          <cell r="B545" t="str">
            <v>1.1.3.06.374</v>
          </cell>
          <cell r="C545" t="str">
            <v>Fazenda Liberdade</v>
          </cell>
        </row>
        <row r="546">
          <cell r="A546">
            <v>11306375</v>
          </cell>
          <cell r="B546" t="str">
            <v>1.1.3.06.375</v>
          </cell>
          <cell r="C546" t="str">
            <v>Fazenda Sao Sebastiao I</v>
          </cell>
        </row>
        <row r="547">
          <cell r="A547">
            <v>11306376</v>
          </cell>
          <cell r="B547" t="str">
            <v>1.1.3.06.376</v>
          </cell>
          <cell r="C547" t="str">
            <v>Sitio Carlu I</v>
          </cell>
        </row>
        <row r="548">
          <cell r="A548">
            <v>11306377</v>
          </cell>
          <cell r="B548" t="str">
            <v>1.1.3.06.377</v>
          </cell>
          <cell r="C548" t="str">
            <v>5- Fazenda Por do Sol</v>
          </cell>
        </row>
        <row r="549">
          <cell r="A549">
            <v>11306378</v>
          </cell>
          <cell r="B549" t="str">
            <v>1.1.3.06.378</v>
          </cell>
          <cell r="C549" t="str">
            <v>Fazenda Santa Barbara</v>
          </cell>
        </row>
        <row r="550">
          <cell r="A550">
            <v>11306379</v>
          </cell>
          <cell r="B550" t="str">
            <v>1.1.3.06.379</v>
          </cell>
          <cell r="C550" t="str">
            <v>Fazenda Caramuru</v>
          </cell>
        </row>
        <row r="551">
          <cell r="A551">
            <v>11306380</v>
          </cell>
          <cell r="B551" t="str">
            <v>1.1.3.06.380</v>
          </cell>
          <cell r="C551" t="str">
            <v>7-Fazenda N. Sra. Aparecida</v>
          </cell>
        </row>
        <row r="552">
          <cell r="A552">
            <v>11306381</v>
          </cell>
          <cell r="B552" t="str">
            <v>1.1.3.06.381</v>
          </cell>
          <cell r="C552" t="str">
            <v>7-Fazenda S. José do Desterro</v>
          </cell>
        </row>
        <row r="553">
          <cell r="A553">
            <v>11306382</v>
          </cell>
          <cell r="B553" t="str">
            <v>1.1.3.06.382</v>
          </cell>
          <cell r="C553" t="str">
            <v>9- N Senhora Aparecida I (4053)</v>
          </cell>
        </row>
        <row r="554">
          <cell r="A554">
            <v>11306383</v>
          </cell>
          <cell r="B554" t="str">
            <v>1.1.3.06.383</v>
          </cell>
          <cell r="C554" t="str">
            <v>7- Fazenda Jatobá I</v>
          </cell>
        </row>
        <row r="555">
          <cell r="A555">
            <v>11306384</v>
          </cell>
          <cell r="B555" t="str">
            <v>1.1.3.06.384</v>
          </cell>
          <cell r="C555" t="str">
            <v>Fazenda Quevedo II</v>
          </cell>
        </row>
        <row r="556">
          <cell r="A556">
            <v>11306385</v>
          </cell>
          <cell r="B556" t="str">
            <v>1.1.3.06.385</v>
          </cell>
          <cell r="C556" t="str">
            <v>Faz.S.Jose Desterro I</v>
          </cell>
        </row>
        <row r="557">
          <cell r="A557">
            <v>11306386</v>
          </cell>
          <cell r="B557" t="str">
            <v>1.1.3.06.386</v>
          </cell>
          <cell r="C557" t="str">
            <v>5- Fazenda Herança</v>
          </cell>
        </row>
        <row r="558">
          <cell r="A558">
            <v>11306387</v>
          </cell>
          <cell r="B558" t="str">
            <v>1.1.3.06.387</v>
          </cell>
          <cell r="C558" t="str">
            <v>5- Fazenda Nossa Senhora do Carmo</v>
          </cell>
        </row>
        <row r="559">
          <cell r="A559">
            <v>11306388</v>
          </cell>
          <cell r="B559" t="str">
            <v>1.1.3.06.388</v>
          </cell>
          <cell r="C559" t="str">
            <v>9-Fazenda Guanabara</v>
          </cell>
        </row>
        <row r="560">
          <cell r="A560">
            <v>11306389</v>
          </cell>
          <cell r="B560" t="str">
            <v>1.1.3.06.389</v>
          </cell>
          <cell r="C560" t="str">
            <v>9-Fazenda Cova da Onça</v>
          </cell>
        </row>
        <row r="561">
          <cell r="A561">
            <v>11306390</v>
          </cell>
          <cell r="B561" t="str">
            <v>1.1.3.06.390</v>
          </cell>
          <cell r="C561" t="str">
            <v>Fazenda Gavea</v>
          </cell>
        </row>
        <row r="562">
          <cell r="A562">
            <v>11306391</v>
          </cell>
          <cell r="B562" t="str">
            <v>1.1.3.06.391</v>
          </cell>
          <cell r="C562" t="str">
            <v>Fazenda Nossa Senhora Aparecida</v>
          </cell>
        </row>
        <row r="563">
          <cell r="A563">
            <v>11306392</v>
          </cell>
          <cell r="B563" t="str">
            <v>1.1.3.06.392</v>
          </cell>
          <cell r="C563" t="str">
            <v>Fazenda Duas Estrelas</v>
          </cell>
        </row>
        <row r="564">
          <cell r="A564">
            <v>11306393</v>
          </cell>
          <cell r="B564" t="str">
            <v>1.1.3.06.393</v>
          </cell>
          <cell r="C564" t="str">
            <v>Estancia Mendes</v>
          </cell>
        </row>
        <row r="565">
          <cell r="A565">
            <v>11306394</v>
          </cell>
          <cell r="B565" t="str">
            <v>1.1.3.06.394</v>
          </cell>
          <cell r="C565" t="str">
            <v>9-Sítio N. Senhora Aparecida II</v>
          </cell>
        </row>
        <row r="566">
          <cell r="A566">
            <v>11306395</v>
          </cell>
          <cell r="B566" t="str">
            <v>1.1.3.06.395</v>
          </cell>
          <cell r="C566" t="str">
            <v>9-Estancia João Lazinho</v>
          </cell>
        </row>
        <row r="567">
          <cell r="A567">
            <v>11306396</v>
          </cell>
          <cell r="B567" t="str">
            <v>1.1.3.06.396</v>
          </cell>
          <cell r="C567" t="str">
            <v>9-Fazenda Brasil III</v>
          </cell>
        </row>
        <row r="568">
          <cell r="A568">
            <v>11306397</v>
          </cell>
          <cell r="B568" t="str">
            <v>1.1.3.06.397</v>
          </cell>
          <cell r="C568" t="str">
            <v>Fazenda Aroeira IV</v>
          </cell>
        </row>
        <row r="569">
          <cell r="A569">
            <v>11306398</v>
          </cell>
          <cell r="B569" t="str">
            <v>1.1.3.06.398</v>
          </cell>
          <cell r="C569" t="str">
            <v>Sitio São Paulo</v>
          </cell>
        </row>
        <row r="570">
          <cell r="A570">
            <v>11306399</v>
          </cell>
          <cell r="B570" t="str">
            <v>1.1.3.06.399</v>
          </cell>
          <cell r="C570" t="str">
            <v>5- Fazenda Santo Anastacio</v>
          </cell>
        </row>
        <row r="571">
          <cell r="A571">
            <v>11306400</v>
          </cell>
          <cell r="B571" t="str">
            <v>1.1.3.06.400</v>
          </cell>
          <cell r="C571" t="str">
            <v>9-Chacara Maria Rosa</v>
          </cell>
        </row>
        <row r="572">
          <cell r="A572">
            <v>11306401</v>
          </cell>
          <cell r="B572" t="str">
            <v>1.1.3.06.401</v>
          </cell>
          <cell r="C572" t="str">
            <v>Fazenda Taperão II</v>
          </cell>
        </row>
        <row r="573">
          <cell r="A573">
            <v>11306402</v>
          </cell>
          <cell r="B573" t="str">
            <v>1.1.3.06.402</v>
          </cell>
          <cell r="C573" t="str">
            <v>9-Fazenda Guarabara II</v>
          </cell>
        </row>
        <row r="574">
          <cell r="A574">
            <v>11306403</v>
          </cell>
          <cell r="B574" t="str">
            <v>1.1.3.06.403</v>
          </cell>
          <cell r="C574" t="str">
            <v>Sitio Carlú III e IV</v>
          </cell>
        </row>
        <row r="575">
          <cell r="A575">
            <v>11306404</v>
          </cell>
          <cell r="B575" t="str">
            <v>1.1.3.06.404</v>
          </cell>
          <cell r="C575" t="str">
            <v>5- Fazenda Nunes III</v>
          </cell>
        </row>
        <row r="576">
          <cell r="A576">
            <v>11306405</v>
          </cell>
          <cell r="B576" t="str">
            <v>1.1.3.06.405</v>
          </cell>
          <cell r="C576" t="str">
            <v>Fazenda Triangulo</v>
          </cell>
        </row>
        <row r="577">
          <cell r="A577">
            <v>11306499</v>
          </cell>
          <cell r="B577" t="str">
            <v>1.1.3.06.499</v>
          </cell>
          <cell r="C577" t="str">
            <v>Tratos Culturais A.Biológico-CPC29-RTT</v>
          </cell>
        </row>
        <row r="578">
          <cell r="A578">
            <v>11307000</v>
          </cell>
          <cell r="B578" t="str">
            <v>1.1.3.07.000</v>
          </cell>
          <cell r="C578" t="str">
            <v>TÍTULOS - SISTEMA ANTERIOR</v>
          </cell>
        </row>
        <row r="579">
          <cell r="A579">
            <v>11307100</v>
          </cell>
          <cell r="B579" t="str">
            <v>1.1.3.07.100</v>
          </cell>
          <cell r="C579" t="str">
            <v>TÍTULOS - SISTEMA ANTERIOR</v>
          </cell>
        </row>
        <row r="580">
          <cell r="A580">
            <v>11307101</v>
          </cell>
          <cell r="B580" t="str">
            <v>1.1.3.07.101</v>
          </cell>
          <cell r="C580" t="str">
            <v>Títulos a Receber - Sistema Anterior</v>
          </cell>
        </row>
        <row r="581">
          <cell r="A581">
            <v>11308000</v>
          </cell>
          <cell r="B581" t="str">
            <v>1.1.3.08.000</v>
          </cell>
          <cell r="C581" t="str">
            <v>ORDENS EM PROCESSO</v>
          </cell>
        </row>
        <row r="582">
          <cell r="A582">
            <v>11308001</v>
          </cell>
          <cell r="B582" t="str">
            <v>1.1.3.08.001</v>
          </cell>
          <cell r="C582" t="str">
            <v>Ordens em Processo</v>
          </cell>
        </row>
        <row r="583">
          <cell r="A583">
            <v>11400000</v>
          </cell>
          <cell r="B583" t="str">
            <v>1.1.4.00.000</v>
          </cell>
          <cell r="C583" t="str">
            <v>DEPÓSITO CAUÇÃO</v>
          </cell>
        </row>
        <row r="584">
          <cell r="A584">
            <v>11401000</v>
          </cell>
          <cell r="B584" t="str">
            <v>1.1.4.01.000</v>
          </cell>
          <cell r="C584" t="str">
            <v>DEPÓSITO CAUÇÃO</v>
          </cell>
        </row>
        <row r="585">
          <cell r="A585">
            <v>11401100</v>
          </cell>
          <cell r="B585" t="str">
            <v>1.1.4.01.100</v>
          </cell>
          <cell r="C585" t="str">
            <v>DEPÓSITO CAUÇÃO</v>
          </cell>
        </row>
        <row r="586">
          <cell r="A586">
            <v>11401101</v>
          </cell>
          <cell r="B586" t="str">
            <v>1.1.4.01.101</v>
          </cell>
          <cell r="C586" t="str">
            <v>Depósito Caução</v>
          </cell>
        </row>
        <row r="587">
          <cell r="A587">
            <v>11600000</v>
          </cell>
          <cell r="B587" t="str">
            <v>1.1.6.00.000</v>
          </cell>
          <cell r="C587" t="str">
            <v>DESPESAS FUTURAS</v>
          </cell>
        </row>
        <row r="588">
          <cell r="A588">
            <v>11601000</v>
          </cell>
          <cell r="B588" t="str">
            <v>1.1.6.01.000</v>
          </cell>
          <cell r="C588" t="str">
            <v>DESPESAS A APROPRIAR</v>
          </cell>
        </row>
        <row r="589">
          <cell r="A589">
            <v>11601100</v>
          </cell>
          <cell r="B589" t="str">
            <v>1.1.6.01.100</v>
          </cell>
          <cell r="C589" t="str">
            <v>DESPESAS A APROPRIAR</v>
          </cell>
        </row>
        <row r="590">
          <cell r="A590">
            <v>11601101</v>
          </cell>
          <cell r="B590" t="str">
            <v>1.1.6.01.101</v>
          </cell>
          <cell r="C590" t="str">
            <v>Seguros Diversos</v>
          </cell>
        </row>
        <row r="591">
          <cell r="A591">
            <v>11601102</v>
          </cell>
          <cell r="B591" t="str">
            <v>1.1.6.01.102</v>
          </cell>
          <cell r="C591" t="str">
            <v>Seguros Mapfre -Cambio</v>
          </cell>
        </row>
        <row r="592">
          <cell r="A592">
            <v>11601103</v>
          </cell>
          <cell r="B592" t="str">
            <v>1.1.6.01.103</v>
          </cell>
          <cell r="C592" t="str">
            <v>Icms sobre Imobilizado</v>
          </cell>
        </row>
        <row r="593">
          <cell r="A593">
            <v>11601104</v>
          </cell>
          <cell r="B593" t="str">
            <v>1.1.6.01.104</v>
          </cell>
          <cell r="C593" t="str">
            <v>Diversos</v>
          </cell>
        </row>
        <row r="594">
          <cell r="A594">
            <v>11601105</v>
          </cell>
          <cell r="B594" t="str">
            <v>1.1.6.01.105</v>
          </cell>
          <cell r="C594" t="str">
            <v>Compras em Andamento</v>
          </cell>
        </row>
        <row r="595">
          <cell r="A595">
            <v>11601106</v>
          </cell>
          <cell r="B595" t="str">
            <v>1.1.6.01.106</v>
          </cell>
          <cell r="C595" t="str">
            <v>Juros pago antecipado - NPR</v>
          </cell>
        </row>
        <row r="596">
          <cell r="A596">
            <v>12000000</v>
          </cell>
          <cell r="B596" t="str">
            <v>1.2.0.00.000</v>
          </cell>
          <cell r="C596" t="str">
            <v>REALIZAVEL A LONGO PRAZO</v>
          </cell>
        </row>
        <row r="597">
          <cell r="A597">
            <v>12100000</v>
          </cell>
          <cell r="B597" t="str">
            <v>1.2.1.00.000</v>
          </cell>
          <cell r="C597" t="str">
            <v>REALIZAVEL A LONGO PRAZO</v>
          </cell>
        </row>
        <row r="598">
          <cell r="A598">
            <v>12101000</v>
          </cell>
          <cell r="B598" t="str">
            <v>1.2.1.01.000</v>
          </cell>
          <cell r="C598" t="str">
            <v>CREDITOS E VALORES</v>
          </cell>
        </row>
        <row r="599">
          <cell r="A599">
            <v>12101100</v>
          </cell>
          <cell r="B599" t="str">
            <v>1.2.1.01.100</v>
          </cell>
          <cell r="C599" t="str">
            <v>OUTROS CRÉDITOS</v>
          </cell>
        </row>
        <row r="600">
          <cell r="A600">
            <v>12101101</v>
          </cell>
          <cell r="B600" t="str">
            <v>1.2.1.01.101</v>
          </cell>
          <cell r="C600" t="str">
            <v>Icms cana parcelado</v>
          </cell>
        </row>
        <row r="601">
          <cell r="A601">
            <v>12101102</v>
          </cell>
          <cell r="B601" t="str">
            <v>1.2.1.01.102</v>
          </cell>
          <cell r="C601" t="str">
            <v>Deposito FGTS</v>
          </cell>
        </row>
        <row r="602">
          <cell r="A602">
            <v>12101103</v>
          </cell>
          <cell r="B602" t="str">
            <v>1.2.1.01.103</v>
          </cell>
          <cell r="C602" t="str">
            <v>Ministerio do trabalho- Dep. judiciais</v>
          </cell>
        </row>
        <row r="603">
          <cell r="A603">
            <v>12101104</v>
          </cell>
          <cell r="B603" t="str">
            <v>1.2.1.01.104</v>
          </cell>
          <cell r="C603" t="str">
            <v>PIS a compensar lei.10637/0</v>
          </cell>
        </row>
        <row r="604">
          <cell r="A604">
            <v>12101105</v>
          </cell>
          <cell r="B604" t="str">
            <v>1.2.1.01.105</v>
          </cell>
          <cell r="C604" t="str">
            <v>COFINS a recuperar Lei.10833</v>
          </cell>
        </row>
        <row r="605">
          <cell r="A605">
            <v>12101106</v>
          </cell>
          <cell r="B605" t="str">
            <v>1.2.1.01.106</v>
          </cell>
          <cell r="C605" t="str">
            <v>Aplicações financeiras</v>
          </cell>
        </row>
        <row r="606">
          <cell r="A606">
            <v>12101107</v>
          </cell>
          <cell r="B606" t="str">
            <v>1.2.1.01.107</v>
          </cell>
          <cell r="C606" t="str">
            <v>Incentivos Fiscais</v>
          </cell>
        </row>
        <row r="607">
          <cell r="A607">
            <v>12101108</v>
          </cell>
          <cell r="B607" t="str">
            <v>1.2.1.01.108</v>
          </cell>
          <cell r="C607" t="str">
            <v>Icms a recuperar sobre Imobilizado</v>
          </cell>
        </row>
        <row r="608">
          <cell r="A608">
            <v>12101109</v>
          </cell>
          <cell r="B608" t="str">
            <v>1.2.1.01.109</v>
          </cell>
          <cell r="C608" t="str">
            <v>adto a fornecedores materiais</v>
          </cell>
        </row>
        <row r="609">
          <cell r="A609">
            <v>12101110</v>
          </cell>
          <cell r="B609" t="str">
            <v>1.2.1.01.110</v>
          </cell>
          <cell r="C609" t="str">
            <v>Contribuição Sindical - Dep. Juízo</v>
          </cell>
        </row>
        <row r="610">
          <cell r="A610">
            <v>12101111</v>
          </cell>
          <cell r="B610" t="str">
            <v>1.2.1.01.111</v>
          </cell>
          <cell r="C610" t="str">
            <v>IRPJ  Diferidos</v>
          </cell>
        </row>
        <row r="611">
          <cell r="A611">
            <v>12101112</v>
          </cell>
          <cell r="B611" t="str">
            <v>1.2.1.01.112</v>
          </cell>
          <cell r="C611" t="str">
            <v>Funrural a recuperar</v>
          </cell>
        </row>
        <row r="612">
          <cell r="A612">
            <v>12101113</v>
          </cell>
          <cell r="B612" t="str">
            <v>1.2.1.01.113</v>
          </cell>
          <cell r="C612" t="str">
            <v>Deposito Judicial - recurso</v>
          </cell>
        </row>
        <row r="613">
          <cell r="A613">
            <v>12101114</v>
          </cell>
          <cell r="B613" t="str">
            <v>1.2.1.01.114</v>
          </cell>
          <cell r="C613" t="str">
            <v>Icms a Compensar</v>
          </cell>
        </row>
        <row r="614">
          <cell r="A614">
            <v>12101115</v>
          </cell>
          <cell r="B614" t="str">
            <v>1.2.1.01.115</v>
          </cell>
          <cell r="C614" t="str">
            <v>CTN Pesa  -RTT</v>
          </cell>
        </row>
        <row r="615">
          <cell r="A615">
            <v>12101116</v>
          </cell>
          <cell r="B615" t="str">
            <v>1.2.1.01.116</v>
          </cell>
          <cell r="C615" t="str">
            <v>Deposito Judical - Impostos</v>
          </cell>
        </row>
        <row r="616">
          <cell r="A616">
            <v>12101200</v>
          </cell>
          <cell r="B616" t="str">
            <v>1.2.1.01.200</v>
          </cell>
          <cell r="C616" t="str">
            <v>APLICAÇÕES FINANCEIRAS</v>
          </cell>
        </row>
        <row r="617">
          <cell r="A617">
            <v>12101201</v>
          </cell>
          <cell r="B617" t="str">
            <v>1.2.1.01.201</v>
          </cell>
          <cell r="C617" t="str">
            <v>Banco HSBC Bamerindus S/A</v>
          </cell>
        </row>
        <row r="618">
          <cell r="A618">
            <v>12101300</v>
          </cell>
          <cell r="B618" t="str">
            <v>1.2.1.01.300</v>
          </cell>
          <cell r="C618" t="str">
            <v>ICMS A RECUPERAR S/IMOBILIZADO</v>
          </cell>
        </row>
        <row r="619">
          <cell r="A619">
            <v>12101301</v>
          </cell>
          <cell r="B619" t="str">
            <v>1.2.1.01.301</v>
          </cell>
          <cell r="C619" t="str">
            <v>Icms a Recuperar s/Imobilizado</v>
          </cell>
        </row>
        <row r="620">
          <cell r="A620">
            <v>12101400</v>
          </cell>
          <cell r="B620" t="str">
            <v>1.2.1.01.400</v>
          </cell>
          <cell r="C620" t="str">
            <v>DEPÓSITO CAUÇÃO</v>
          </cell>
        </row>
        <row r="621">
          <cell r="A621">
            <v>12101401</v>
          </cell>
          <cell r="B621" t="str">
            <v>1.2.1.01.401</v>
          </cell>
          <cell r="C621" t="str">
            <v>Depósito Caução</v>
          </cell>
        </row>
        <row r="622">
          <cell r="A622">
            <v>12102000</v>
          </cell>
          <cell r="B622" t="str">
            <v>1.2.1.02.000</v>
          </cell>
          <cell r="C622" t="str">
            <v>PROVISOES P/PERDAS</v>
          </cell>
        </row>
        <row r="623">
          <cell r="A623">
            <v>12102100</v>
          </cell>
          <cell r="B623" t="str">
            <v>1.2.1.02.100</v>
          </cell>
          <cell r="C623" t="str">
            <v>PROVISOES P/PERDAS</v>
          </cell>
        </row>
        <row r="624">
          <cell r="A624">
            <v>12102101</v>
          </cell>
          <cell r="B624" t="str">
            <v>1.2.1.02.101</v>
          </cell>
          <cell r="C624" t="str">
            <v>Emprestimos Compulsorios</v>
          </cell>
        </row>
        <row r="625">
          <cell r="A625">
            <v>12103000</v>
          </cell>
          <cell r="B625" t="str">
            <v>1.2.1.03.000</v>
          </cell>
          <cell r="C625" t="str">
            <v>SOCIEDADES RELACIONADAS</v>
          </cell>
        </row>
        <row r="626">
          <cell r="A626">
            <v>12103100</v>
          </cell>
          <cell r="B626" t="str">
            <v>1.2.1.03.100</v>
          </cell>
          <cell r="C626" t="str">
            <v>SOCIEDADES RELACIONADAS</v>
          </cell>
        </row>
        <row r="627">
          <cell r="A627">
            <v>12103101</v>
          </cell>
          <cell r="B627" t="str">
            <v>1.2.1.03.101</v>
          </cell>
          <cell r="C627" t="str">
            <v>Unialco S/A -Alcool e Acucar</v>
          </cell>
        </row>
        <row r="628">
          <cell r="A628">
            <v>12103102</v>
          </cell>
          <cell r="B628" t="str">
            <v>1.2.1.03.102</v>
          </cell>
          <cell r="C628" t="str">
            <v>Alcoolvale S/A Alcool e Acucar</v>
          </cell>
        </row>
        <row r="629">
          <cell r="A629">
            <v>12103103</v>
          </cell>
          <cell r="B629" t="str">
            <v>1.2.1.03.103</v>
          </cell>
          <cell r="C629" t="str">
            <v>Unialco MS Participações S/A</v>
          </cell>
        </row>
        <row r="630">
          <cell r="A630">
            <v>12103104</v>
          </cell>
          <cell r="B630" t="str">
            <v>1.2.1.03.104</v>
          </cell>
          <cell r="C630" t="str">
            <v>Unialco Agricola Ltda.</v>
          </cell>
        </row>
        <row r="631">
          <cell r="A631">
            <v>12103105</v>
          </cell>
          <cell r="B631" t="str">
            <v>1.2.1.03.105</v>
          </cell>
          <cell r="C631" t="str">
            <v>Canavale Agricola Ltda</v>
          </cell>
        </row>
        <row r="632">
          <cell r="A632">
            <v>12103106</v>
          </cell>
          <cell r="B632" t="str">
            <v>1.2.1.03.106</v>
          </cell>
          <cell r="C632" t="str">
            <v>Alcoolvale Agricola Ltda.</v>
          </cell>
        </row>
        <row r="633">
          <cell r="A633">
            <v>12103107</v>
          </cell>
          <cell r="B633" t="str">
            <v>1.2.1.03.107</v>
          </cell>
          <cell r="C633" t="str">
            <v>Vale do Paraná S/A Alcool e Açúcar</v>
          </cell>
        </row>
        <row r="634">
          <cell r="A634">
            <v>12103108</v>
          </cell>
          <cell r="B634" t="str">
            <v>1.2.1.03.108</v>
          </cell>
          <cell r="C634" t="str">
            <v>Dourados Alcool e Acucar Ltda.</v>
          </cell>
        </row>
        <row r="635">
          <cell r="A635">
            <v>12103109</v>
          </cell>
          <cell r="B635" t="str">
            <v>1.2.1.03.109</v>
          </cell>
          <cell r="C635" t="str">
            <v>Trans Cristal Transp. Rodov.Ltda</v>
          </cell>
        </row>
        <row r="636">
          <cell r="A636">
            <v>12103110</v>
          </cell>
          <cell r="B636" t="str">
            <v>1.2.1.03.110</v>
          </cell>
          <cell r="C636" t="str">
            <v>Colgua Investiments S/A</v>
          </cell>
        </row>
        <row r="637">
          <cell r="A637">
            <v>12103111</v>
          </cell>
          <cell r="B637" t="str">
            <v>1.2.1.03.111</v>
          </cell>
          <cell r="C637" t="str">
            <v>Vale do Paraná Agricola Ltda</v>
          </cell>
        </row>
        <row r="638">
          <cell r="A638">
            <v>12103112</v>
          </cell>
          <cell r="B638" t="str">
            <v>1.2.1.03.112</v>
          </cell>
          <cell r="C638" t="str">
            <v>Itaporã Agroenergética ltda</v>
          </cell>
        </row>
        <row r="639">
          <cell r="A639">
            <v>12104000</v>
          </cell>
          <cell r="B639" t="str">
            <v>1.2.1.04.000</v>
          </cell>
          <cell r="C639" t="str">
            <v>IRPJ/CSLL DIFERIDOS - L.P</v>
          </cell>
        </row>
        <row r="640">
          <cell r="A640">
            <v>12104001</v>
          </cell>
          <cell r="B640" t="str">
            <v>1.2.1.04.001</v>
          </cell>
          <cell r="C640" t="str">
            <v>IRPJ Diferidos</v>
          </cell>
        </row>
        <row r="641">
          <cell r="A641">
            <v>12104002</v>
          </cell>
          <cell r="B641" t="str">
            <v>1.2.1.04.002</v>
          </cell>
          <cell r="C641" t="str">
            <v>CSLL Diferidos</v>
          </cell>
        </row>
        <row r="642">
          <cell r="A642">
            <v>13000000</v>
          </cell>
          <cell r="B642" t="str">
            <v>1.3.0.00.000</v>
          </cell>
          <cell r="C642" t="str">
            <v>ATIVO PERMANENTE</v>
          </cell>
        </row>
        <row r="643">
          <cell r="A643">
            <v>13100000</v>
          </cell>
          <cell r="B643" t="str">
            <v>1.3.1.00.000</v>
          </cell>
          <cell r="C643" t="str">
            <v>PERMANENTE</v>
          </cell>
        </row>
        <row r="644">
          <cell r="A644">
            <v>13101000</v>
          </cell>
          <cell r="B644" t="str">
            <v>1.3.1.01.000</v>
          </cell>
          <cell r="C644" t="str">
            <v>INVESTIMENTOS</v>
          </cell>
        </row>
        <row r="645">
          <cell r="A645">
            <v>13101100</v>
          </cell>
          <cell r="B645" t="str">
            <v>1.3.1.01.100</v>
          </cell>
          <cell r="C645" t="str">
            <v>PARTICIPACOES</v>
          </cell>
        </row>
        <row r="646">
          <cell r="A646">
            <v>13101101</v>
          </cell>
          <cell r="B646" t="str">
            <v>1.3.1.01.101</v>
          </cell>
          <cell r="C646" t="str">
            <v>Unimodal Ltda</v>
          </cell>
        </row>
        <row r="647">
          <cell r="A647">
            <v>13101102</v>
          </cell>
          <cell r="B647" t="str">
            <v>1.3.1.01.102</v>
          </cell>
          <cell r="C647" t="str">
            <v>Unialco Agricola Ltda</v>
          </cell>
        </row>
        <row r="648">
          <cell r="A648">
            <v>13101103</v>
          </cell>
          <cell r="B648" t="str">
            <v>1.3.1.01.103</v>
          </cell>
          <cell r="C648" t="str">
            <v>Alcoolvale S/A Alcool e Acucar</v>
          </cell>
        </row>
        <row r="649">
          <cell r="A649">
            <v>13101104</v>
          </cell>
          <cell r="B649" t="str">
            <v>1.3.1.01.104</v>
          </cell>
          <cell r="C649" t="str">
            <v>Alcoolvale S/A Alcool e Acucar</v>
          </cell>
        </row>
        <row r="650">
          <cell r="A650">
            <v>13101105</v>
          </cell>
          <cell r="B650" t="str">
            <v>1.3.1.01.105</v>
          </cell>
          <cell r="C650" t="str">
            <v>Araçatuba Participações Ltda</v>
          </cell>
        </row>
        <row r="651">
          <cell r="A651">
            <v>13101106</v>
          </cell>
          <cell r="B651" t="str">
            <v>1.3.1.01.106</v>
          </cell>
          <cell r="C651" t="str">
            <v>Canavale Agricola Ltda</v>
          </cell>
        </row>
        <row r="652">
          <cell r="A652">
            <v>13101107</v>
          </cell>
          <cell r="B652" t="str">
            <v>1.3.1.01.107</v>
          </cell>
          <cell r="C652" t="str">
            <v>Agio Aquis.Controlada Alcoolvale S/A</v>
          </cell>
        </row>
        <row r="653">
          <cell r="A653">
            <v>13101108</v>
          </cell>
          <cell r="B653" t="str">
            <v>1.3.1.01.108</v>
          </cell>
          <cell r="C653" t="str">
            <v>Alcoolvale Agricola Ltda</v>
          </cell>
        </row>
        <row r="654">
          <cell r="A654">
            <v>13101109</v>
          </cell>
          <cell r="B654" t="str">
            <v>1.3.1.01.109</v>
          </cell>
          <cell r="C654" t="str">
            <v>Outras empresas</v>
          </cell>
        </row>
        <row r="655">
          <cell r="A655">
            <v>13101110</v>
          </cell>
          <cell r="B655" t="str">
            <v>1.3.1.01.110</v>
          </cell>
          <cell r="C655" t="str">
            <v>Vale do Paraná S/A Alcool e Açucar</v>
          </cell>
        </row>
        <row r="656">
          <cell r="A656">
            <v>13101111</v>
          </cell>
          <cell r="B656" t="str">
            <v>1.3.1.01.111</v>
          </cell>
          <cell r="C656" t="str">
            <v>Dourados Alcool e Açucar Ltda</v>
          </cell>
        </row>
        <row r="657">
          <cell r="A657">
            <v>13101112</v>
          </cell>
          <cell r="B657" t="str">
            <v>1.3.1.01.112</v>
          </cell>
          <cell r="C657" t="str">
            <v>Trans. Cristal Transp. Rodoviarios Ltda</v>
          </cell>
        </row>
        <row r="658">
          <cell r="A658">
            <v>13101113</v>
          </cell>
          <cell r="B658" t="str">
            <v>1.3.1.01.113</v>
          </cell>
          <cell r="C658" t="str">
            <v>Vale do Paraná Agrícola Ltda</v>
          </cell>
        </row>
        <row r="659">
          <cell r="A659">
            <v>13101114</v>
          </cell>
          <cell r="B659" t="str">
            <v>1.3.1.01.114</v>
          </cell>
          <cell r="C659" t="str">
            <v>Incorporação Unialco Agricola</v>
          </cell>
        </row>
        <row r="660">
          <cell r="A660">
            <v>13101115</v>
          </cell>
          <cell r="B660" t="str">
            <v>1.3.1.01.115</v>
          </cell>
          <cell r="C660" t="str">
            <v>Itaporã Agroenergetica Ltda</v>
          </cell>
        </row>
        <row r="661">
          <cell r="A661">
            <v>13101116</v>
          </cell>
          <cell r="B661" t="str">
            <v>1.3.1.01.116</v>
          </cell>
          <cell r="C661" t="str">
            <v>Unialco MS Participações S/A</v>
          </cell>
        </row>
        <row r="662">
          <cell r="A662">
            <v>13101117</v>
          </cell>
          <cell r="B662" t="str">
            <v>1.3.1.01.117</v>
          </cell>
          <cell r="C662" t="str">
            <v>Agio Dourados S/A Alcool e Açúcar</v>
          </cell>
        </row>
        <row r="663">
          <cell r="A663">
            <v>13101118</v>
          </cell>
          <cell r="B663" t="str">
            <v>1.3.1.01.118</v>
          </cell>
          <cell r="C663" t="str">
            <v>Clean Energy Brazil Plc</v>
          </cell>
        </row>
        <row r="664">
          <cell r="A664">
            <v>13101119</v>
          </cell>
          <cell r="B664" t="str">
            <v>1.3.1.01.119</v>
          </cell>
          <cell r="C664" t="str">
            <v>Investimentos a AVP -RTT</v>
          </cell>
        </row>
        <row r="665">
          <cell r="A665">
            <v>13101120</v>
          </cell>
          <cell r="B665" t="str">
            <v>1.3.1.01.120</v>
          </cell>
          <cell r="C665" t="str">
            <v>Agio Vale do Paraná S/A</v>
          </cell>
        </row>
        <row r="666">
          <cell r="A666">
            <v>13101200</v>
          </cell>
          <cell r="B666" t="str">
            <v>1.3.1.01.200</v>
          </cell>
          <cell r="C666" t="str">
            <v>(-)EQUIV.PATRIMONIAL/AMORTIZACAO AGIO</v>
          </cell>
        </row>
        <row r="667">
          <cell r="A667">
            <v>13101201</v>
          </cell>
          <cell r="B667" t="str">
            <v>1.3.1.01.201</v>
          </cell>
          <cell r="C667" t="str">
            <v>( - ) Unimodal Ltda</v>
          </cell>
        </row>
        <row r="668">
          <cell r="A668">
            <v>13101202</v>
          </cell>
          <cell r="B668" t="str">
            <v>1.3.1.01.202</v>
          </cell>
          <cell r="C668" t="str">
            <v>( - ) Unialco Agricola Ltda</v>
          </cell>
        </row>
        <row r="669">
          <cell r="A669">
            <v>13101203</v>
          </cell>
          <cell r="B669" t="str">
            <v>1.3.1.01.203</v>
          </cell>
          <cell r="C669" t="str">
            <v>( - ) Alcoolvale S/A Alcool e Acucar</v>
          </cell>
        </row>
        <row r="670">
          <cell r="A670">
            <v>13101204</v>
          </cell>
          <cell r="B670" t="str">
            <v>1.3.1.01.204</v>
          </cell>
          <cell r="C670" t="str">
            <v>( - ) Araçatuba Participacoes Ltda</v>
          </cell>
        </row>
        <row r="671">
          <cell r="A671">
            <v>13101205</v>
          </cell>
          <cell r="B671" t="str">
            <v>1.3.1.01.205</v>
          </cell>
          <cell r="C671" t="str">
            <v>( - ) Amortiz. do Agio-Alcoolvale S/A</v>
          </cell>
        </row>
        <row r="672">
          <cell r="A672">
            <v>13101206</v>
          </cell>
          <cell r="B672" t="str">
            <v>1.3.1.01.206</v>
          </cell>
          <cell r="C672" t="str">
            <v>( - ) Canavale Agricola ltda</v>
          </cell>
        </row>
        <row r="673">
          <cell r="A673">
            <v>13101207</v>
          </cell>
          <cell r="B673" t="str">
            <v>1.3.1.01.207</v>
          </cell>
          <cell r="C673" t="str">
            <v>(-) Amortização Agio Dourados S/A Alcool</v>
          </cell>
        </row>
        <row r="674">
          <cell r="A674">
            <v>13101300</v>
          </cell>
          <cell r="B674" t="str">
            <v>1.3.1.01.300</v>
          </cell>
          <cell r="C674" t="str">
            <v>AFAC Adiant p/ Futuro Aumento Capital</v>
          </cell>
        </row>
        <row r="675">
          <cell r="A675">
            <v>13101301</v>
          </cell>
          <cell r="B675" t="str">
            <v>1.3.1.01.301</v>
          </cell>
          <cell r="C675" t="str">
            <v>Unialco Agricola Ltda</v>
          </cell>
        </row>
        <row r="676">
          <cell r="A676">
            <v>13101302</v>
          </cell>
          <cell r="B676" t="str">
            <v>1.3.1.01.302</v>
          </cell>
          <cell r="C676" t="str">
            <v>Canavale Agricola Ltda.</v>
          </cell>
        </row>
        <row r="677">
          <cell r="A677">
            <v>13101303</v>
          </cell>
          <cell r="B677" t="str">
            <v>1.3.1.01.303</v>
          </cell>
          <cell r="C677" t="str">
            <v>Dourados S/A - Alcool e Açucar</v>
          </cell>
        </row>
        <row r="678">
          <cell r="A678">
            <v>13101304</v>
          </cell>
          <cell r="B678" t="str">
            <v>1.3.1.01.304</v>
          </cell>
          <cell r="C678" t="str">
            <v>Alcoolvale S/A - Alcool e Açucar</v>
          </cell>
        </row>
        <row r="679">
          <cell r="A679">
            <v>13101305</v>
          </cell>
          <cell r="B679" t="str">
            <v>1.3.1.01.305</v>
          </cell>
          <cell r="C679" t="str">
            <v>Vale do Paraná S/a</v>
          </cell>
        </row>
        <row r="680">
          <cell r="A680">
            <v>13101306</v>
          </cell>
          <cell r="B680" t="str">
            <v>1.3.1.01.306</v>
          </cell>
          <cell r="C680" t="str">
            <v>Unialco MS Participações S/A</v>
          </cell>
        </row>
        <row r="681">
          <cell r="A681">
            <v>13101400</v>
          </cell>
          <cell r="B681" t="str">
            <v>1.3.1.01.400</v>
          </cell>
          <cell r="C681" t="str">
            <v>TITULOS DO GOVERNO</v>
          </cell>
        </row>
        <row r="682">
          <cell r="A682">
            <v>13101401</v>
          </cell>
          <cell r="B682" t="str">
            <v>1.3.1.01.401</v>
          </cell>
          <cell r="C682" t="str">
            <v>Titulos da Divida Agraria</v>
          </cell>
        </row>
        <row r="683">
          <cell r="A683">
            <v>13101402</v>
          </cell>
          <cell r="B683" t="str">
            <v>1.3.1.01.402</v>
          </cell>
          <cell r="C683" t="str">
            <v>Apolice da Divida Publica</v>
          </cell>
        </row>
        <row r="684">
          <cell r="A684">
            <v>13101500</v>
          </cell>
          <cell r="B684" t="str">
            <v>1.3.1.01.500</v>
          </cell>
          <cell r="C684" t="str">
            <v>(-) PROVISOES P/PERDAS</v>
          </cell>
        </row>
        <row r="685">
          <cell r="A685">
            <v>13101501</v>
          </cell>
          <cell r="B685" t="str">
            <v>1.3.1.01.501</v>
          </cell>
          <cell r="C685" t="str">
            <v>(-) Titulos da Divida Agraria</v>
          </cell>
        </row>
        <row r="686">
          <cell r="A686">
            <v>13101600</v>
          </cell>
          <cell r="B686" t="str">
            <v>1.3.1.01.600</v>
          </cell>
          <cell r="C686" t="str">
            <v>INVESTIMENTO IMOBILIARIO</v>
          </cell>
        </row>
        <row r="687">
          <cell r="A687">
            <v>13101601</v>
          </cell>
          <cell r="B687" t="str">
            <v>1.3.1.01.601</v>
          </cell>
          <cell r="C687" t="str">
            <v>Imoveis</v>
          </cell>
        </row>
        <row r="688">
          <cell r="A688">
            <v>13101700</v>
          </cell>
          <cell r="B688" t="str">
            <v>1.3.1.01.700</v>
          </cell>
          <cell r="C688" t="str">
            <v>INVESTIMENTO EM CURSO</v>
          </cell>
        </row>
        <row r="689">
          <cell r="A689">
            <v>13101701</v>
          </cell>
          <cell r="B689" t="str">
            <v>1.3.1.01.701</v>
          </cell>
          <cell r="C689" t="str">
            <v>Reforma Apartamento</v>
          </cell>
        </row>
        <row r="690">
          <cell r="A690">
            <v>13200000</v>
          </cell>
          <cell r="B690" t="str">
            <v>1.3.2.00.000</v>
          </cell>
          <cell r="C690" t="str">
            <v>IMOBILIZADO</v>
          </cell>
        </row>
        <row r="691">
          <cell r="A691">
            <v>13201000</v>
          </cell>
          <cell r="B691" t="str">
            <v>1.3.2.01.000</v>
          </cell>
          <cell r="C691" t="str">
            <v>IMOBILIZADO</v>
          </cell>
        </row>
        <row r="692">
          <cell r="A692">
            <v>13201100</v>
          </cell>
          <cell r="B692" t="str">
            <v>1.3.2.01.100</v>
          </cell>
          <cell r="C692" t="str">
            <v>IMOVEIS</v>
          </cell>
        </row>
        <row r="693">
          <cell r="A693">
            <v>13201101</v>
          </cell>
          <cell r="B693" t="str">
            <v>1.3.2.01.101</v>
          </cell>
          <cell r="C693" t="str">
            <v>Imoveis em terras</v>
          </cell>
        </row>
        <row r="694">
          <cell r="A694">
            <v>13201102</v>
          </cell>
          <cell r="B694" t="str">
            <v>1.3.2.01.102</v>
          </cell>
          <cell r="C694" t="str">
            <v>Imoveis em terras IPC-90</v>
          </cell>
        </row>
        <row r="695">
          <cell r="A695">
            <v>13201103</v>
          </cell>
          <cell r="B695" t="str">
            <v>1.3.2.01.103</v>
          </cell>
          <cell r="C695" t="str">
            <v>Imoveis em terras - Reavalizacao</v>
          </cell>
        </row>
        <row r="696">
          <cell r="A696">
            <v>13201150</v>
          </cell>
          <cell r="B696" t="str">
            <v>1.3.2.01.150</v>
          </cell>
          <cell r="C696" t="str">
            <v>EDIFICACOES</v>
          </cell>
        </row>
        <row r="697">
          <cell r="A697">
            <v>13201151</v>
          </cell>
          <cell r="B697" t="str">
            <v>1.3.2.01.151</v>
          </cell>
          <cell r="C697" t="str">
            <v>Predios</v>
          </cell>
        </row>
        <row r="698">
          <cell r="A698">
            <v>13201152</v>
          </cell>
          <cell r="B698" t="str">
            <v>1.3.2.01.152</v>
          </cell>
          <cell r="C698" t="str">
            <v>Predios IPC-90</v>
          </cell>
        </row>
        <row r="699">
          <cell r="A699">
            <v>13201153</v>
          </cell>
          <cell r="B699" t="str">
            <v>1.3.2.01.153</v>
          </cell>
          <cell r="C699" t="str">
            <v>Predios - Reavaliação</v>
          </cell>
        </row>
        <row r="700">
          <cell r="A700">
            <v>13201200</v>
          </cell>
          <cell r="B700" t="str">
            <v>1.3.2.01.200</v>
          </cell>
          <cell r="C700" t="str">
            <v>OBRAS DE INFRA ESTRUTURA</v>
          </cell>
        </row>
        <row r="701">
          <cell r="A701">
            <v>13201201</v>
          </cell>
          <cell r="B701" t="str">
            <v>1.3.2.01.201</v>
          </cell>
          <cell r="C701" t="str">
            <v>Obras de Infra Estrutura</v>
          </cell>
        </row>
        <row r="702">
          <cell r="A702">
            <v>13201202</v>
          </cell>
          <cell r="B702" t="str">
            <v>1.3.2.01.202</v>
          </cell>
          <cell r="C702" t="str">
            <v>Obras de Infra estrutura-IPC-90</v>
          </cell>
        </row>
        <row r="703">
          <cell r="A703">
            <v>13201203</v>
          </cell>
          <cell r="B703" t="str">
            <v>1.3.2.01.203</v>
          </cell>
          <cell r="C703" t="str">
            <v>Obras de Infra Estrutura - Reav</v>
          </cell>
        </row>
        <row r="704">
          <cell r="A704">
            <v>13201250</v>
          </cell>
          <cell r="B704" t="str">
            <v>1.3.2.01.250</v>
          </cell>
          <cell r="C704" t="str">
            <v>MAQUINAS E EQUIPAMENTOS</v>
          </cell>
        </row>
        <row r="705">
          <cell r="A705">
            <v>13201251</v>
          </cell>
          <cell r="B705" t="str">
            <v>1.3.2.01.251</v>
          </cell>
          <cell r="C705" t="str">
            <v>Maquinas e Equipamentos</v>
          </cell>
        </row>
        <row r="706">
          <cell r="A706">
            <v>13201252</v>
          </cell>
          <cell r="B706" t="str">
            <v>1.3.2.01.252</v>
          </cell>
          <cell r="C706" t="str">
            <v>Maquinas e Equip.-IPC-90</v>
          </cell>
        </row>
        <row r="707">
          <cell r="A707">
            <v>13201253</v>
          </cell>
          <cell r="B707" t="str">
            <v>1.3.2.01.253</v>
          </cell>
          <cell r="C707" t="str">
            <v>Maquinas e Equip.-Reavaliacao</v>
          </cell>
        </row>
        <row r="708">
          <cell r="A708">
            <v>13201254</v>
          </cell>
          <cell r="B708" t="str">
            <v>1.3.2.01.254</v>
          </cell>
          <cell r="C708" t="str">
            <v>Maquinas e Equipamentos - Não Industriai</v>
          </cell>
        </row>
        <row r="709">
          <cell r="A709">
            <v>13201255</v>
          </cell>
          <cell r="B709" t="str">
            <v>1.3.2.01.255</v>
          </cell>
          <cell r="C709" t="str">
            <v>maquinas e equip.N.I-ipc 90</v>
          </cell>
        </row>
        <row r="710">
          <cell r="A710">
            <v>13201256</v>
          </cell>
          <cell r="B710" t="str">
            <v>1.3.2.01.256</v>
          </cell>
          <cell r="C710" t="str">
            <v>Maquinas e eqptos N.I. reavaliação</v>
          </cell>
        </row>
        <row r="711">
          <cell r="A711">
            <v>13201257</v>
          </cell>
          <cell r="B711" t="str">
            <v>1.3.2.01.257</v>
          </cell>
          <cell r="C711" t="str">
            <v>Maquinas p/Colheideira</v>
          </cell>
        </row>
        <row r="712">
          <cell r="A712">
            <v>13201258</v>
          </cell>
          <cell r="B712" t="str">
            <v>1.3.2.01.258</v>
          </cell>
          <cell r="C712" t="str">
            <v>Maquinas e Equipamentos - Lei 10833</v>
          </cell>
        </row>
        <row r="713">
          <cell r="A713">
            <v>13201300</v>
          </cell>
          <cell r="B713" t="str">
            <v>1.3.2.01.300</v>
          </cell>
          <cell r="C713" t="str">
            <v>VEICULOS</v>
          </cell>
        </row>
        <row r="714">
          <cell r="A714">
            <v>13201301</v>
          </cell>
          <cell r="B714" t="str">
            <v>1.3.2.01.301</v>
          </cell>
          <cell r="C714" t="str">
            <v>Veiculos</v>
          </cell>
        </row>
        <row r="715">
          <cell r="A715">
            <v>13201302</v>
          </cell>
          <cell r="B715" t="str">
            <v>1.3.2.01.302</v>
          </cell>
          <cell r="C715" t="str">
            <v>Veiculos Reavaliacao</v>
          </cell>
        </row>
        <row r="716">
          <cell r="A716">
            <v>13201303</v>
          </cell>
          <cell r="B716" t="str">
            <v>1.3.2.01.303</v>
          </cell>
          <cell r="C716" t="str">
            <v>Veiculos Reavaliacao</v>
          </cell>
        </row>
        <row r="717">
          <cell r="A717">
            <v>13201304</v>
          </cell>
          <cell r="B717" t="str">
            <v>1.3.2.01.304</v>
          </cell>
          <cell r="C717" t="str">
            <v>Veiculos - IPC 90</v>
          </cell>
        </row>
        <row r="718">
          <cell r="A718">
            <v>13201305</v>
          </cell>
          <cell r="B718" t="str">
            <v>1.3.2.01.305</v>
          </cell>
          <cell r="C718" t="str">
            <v>Veículos Leasing</v>
          </cell>
        </row>
        <row r="719">
          <cell r="A719">
            <v>13201330</v>
          </cell>
          <cell r="B719" t="str">
            <v>1.3.2.01.330</v>
          </cell>
          <cell r="C719" t="str">
            <v>IMPLEMENTOS AGRICOLAS</v>
          </cell>
        </row>
        <row r="720">
          <cell r="A720">
            <v>13201331</v>
          </cell>
          <cell r="B720" t="str">
            <v>1.3.2.01.331</v>
          </cell>
          <cell r="C720" t="str">
            <v>Implementos Agricolas</v>
          </cell>
        </row>
        <row r="721">
          <cell r="A721">
            <v>13201332</v>
          </cell>
          <cell r="B721" t="str">
            <v>1.3.2.01.332</v>
          </cell>
          <cell r="C721" t="str">
            <v>Implementos Agricolas - IPC 90</v>
          </cell>
        </row>
        <row r="722">
          <cell r="A722">
            <v>13201333</v>
          </cell>
          <cell r="B722" t="str">
            <v>1.3.2.01.333</v>
          </cell>
          <cell r="C722" t="str">
            <v>Implementos Agricolas - Reavaliação</v>
          </cell>
        </row>
        <row r="723">
          <cell r="A723">
            <v>13201350</v>
          </cell>
          <cell r="B723" t="str">
            <v>1.3.2.01.350</v>
          </cell>
          <cell r="C723" t="str">
            <v>MOVEIS E UTENSILIOS</v>
          </cell>
        </row>
        <row r="724">
          <cell r="A724">
            <v>13201351</v>
          </cell>
          <cell r="B724" t="str">
            <v>1.3.2.01.351</v>
          </cell>
          <cell r="C724" t="str">
            <v>Moveis e Utensilios</v>
          </cell>
        </row>
        <row r="725">
          <cell r="A725">
            <v>13201352</v>
          </cell>
          <cell r="B725" t="str">
            <v>1.3.2.01.352</v>
          </cell>
          <cell r="C725" t="str">
            <v>Moveis e Utensilios- IPC-90</v>
          </cell>
        </row>
        <row r="726">
          <cell r="A726">
            <v>13201353</v>
          </cell>
          <cell r="B726" t="str">
            <v>1.3.2.01.353</v>
          </cell>
          <cell r="C726" t="str">
            <v>Moveis e Utensilios - Reavaliação</v>
          </cell>
        </row>
        <row r="727">
          <cell r="A727">
            <v>13201354</v>
          </cell>
          <cell r="B727" t="str">
            <v>1.3.2.01.354</v>
          </cell>
          <cell r="C727" t="str">
            <v>Moveis e Utensilios - Não Industriais</v>
          </cell>
        </row>
        <row r="728">
          <cell r="A728">
            <v>13201355</v>
          </cell>
          <cell r="B728" t="str">
            <v>1.3.2.01.355</v>
          </cell>
          <cell r="C728" t="str">
            <v>Moveis e Utensilios - Não Ind - IPC 90</v>
          </cell>
        </row>
        <row r="729">
          <cell r="A729">
            <v>13201356</v>
          </cell>
          <cell r="B729" t="str">
            <v>1.3.2.01.356</v>
          </cell>
          <cell r="C729" t="str">
            <v>Moveis e Utensilios - Não Industriais</v>
          </cell>
        </row>
        <row r="730">
          <cell r="A730">
            <v>13201357</v>
          </cell>
          <cell r="B730" t="str">
            <v>1.3.2.01.357</v>
          </cell>
          <cell r="C730" t="str">
            <v>Moveis e Utensilios - Não Industriais</v>
          </cell>
        </row>
        <row r="731">
          <cell r="A731">
            <v>13201359</v>
          </cell>
          <cell r="B731" t="str">
            <v>1.3.2.01.359</v>
          </cell>
          <cell r="C731" t="str">
            <v>Moveis e Utensilios Ñ Industriais p.Reav</v>
          </cell>
        </row>
        <row r="732">
          <cell r="A732">
            <v>13201360</v>
          </cell>
          <cell r="B732" t="str">
            <v>1.3.2.01.360</v>
          </cell>
          <cell r="C732" t="str">
            <v>APARELHOS E EQUIPAMENTOS</v>
          </cell>
        </row>
        <row r="733">
          <cell r="A733">
            <v>13201361</v>
          </cell>
          <cell r="B733" t="str">
            <v>1.3.2.01.361</v>
          </cell>
          <cell r="C733" t="str">
            <v>Aparelhos e Equipamentos</v>
          </cell>
        </row>
        <row r="734">
          <cell r="A734">
            <v>13201362</v>
          </cell>
          <cell r="B734" t="str">
            <v>1.3.2.01.362</v>
          </cell>
          <cell r="C734" t="str">
            <v>Aparelhos e Equipamentos - IPC 90</v>
          </cell>
        </row>
        <row r="735">
          <cell r="A735">
            <v>13201363</v>
          </cell>
          <cell r="B735" t="str">
            <v>1.3.2.01.363</v>
          </cell>
          <cell r="C735" t="str">
            <v>Aparelhos e Equipamentos - Reaval.</v>
          </cell>
        </row>
        <row r="736">
          <cell r="A736">
            <v>13201370</v>
          </cell>
          <cell r="B736" t="str">
            <v>1.3.2.01.370</v>
          </cell>
          <cell r="C736" t="str">
            <v>COMPUTADORES E PERIFERICOS</v>
          </cell>
        </row>
        <row r="737">
          <cell r="A737">
            <v>13201371</v>
          </cell>
          <cell r="B737" t="str">
            <v>1.3.2.01.371</v>
          </cell>
          <cell r="C737" t="str">
            <v>Computadores e Perifericos</v>
          </cell>
        </row>
        <row r="738">
          <cell r="A738">
            <v>13201372</v>
          </cell>
          <cell r="B738" t="str">
            <v>1.3.2.01.372</v>
          </cell>
          <cell r="C738" t="str">
            <v>Computadores e Perifericos - IPC 90</v>
          </cell>
        </row>
        <row r="739">
          <cell r="A739">
            <v>13201373</v>
          </cell>
          <cell r="B739" t="str">
            <v>1.3.2.01.373</v>
          </cell>
          <cell r="C739" t="str">
            <v>Computadores e Perifericos -Reaval.</v>
          </cell>
        </row>
        <row r="740">
          <cell r="A740">
            <v>13201400</v>
          </cell>
          <cell r="B740" t="str">
            <v>1.3.2.01.400</v>
          </cell>
          <cell r="C740" t="str">
            <v>FERRAMENTAS E UTENSILIOS</v>
          </cell>
        </row>
        <row r="741">
          <cell r="A741">
            <v>13201401</v>
          </cell>
          <cell r="B741" t="str">
            <v>1.3.2.01.401</v>
          </cell>
          <cell r="C741" t="str">
            <v>Ferramentas e utensilios</v>
          </cell>
        </row>
        <row r="742">
          <cell r="A742">
            <v>13201402</v>
          </cell>
          <cell r="B742" t="str">
            <v>1.3.2.01.402</v>
          </cell>
          <cell r="C742" t="str">
            <v>Ferramentas e utensilios IPC-90</v>
          </cell>
        </row>
        <row r="743">
          <cell r="A743">
            <v>13201403</v>
          </cell>
          <cell r="B743" t="str">
            <v>1.3.2.01.403</v>
          </cell>
          <cell r="C743" t="str">
            <v>Ferramentas e utensilios-Reavaliação</v>
          </cell>
        </row>
        <row r="744">
          <cell r="A744">
            <v>13201450</v>
          </cell>
          <cell r="B744" t="str">
            <v>1.3.2.01.450</v>
          </cell>
          <cell r="C744" t="str">
            <v>EQUIPAMENTOS DE SEGURANCA</v>
          </cell>
        </row>
        <row r="745">
          <cell r="A745">
            <v>13201451</v>
          </cell>
          <cell r="B745" t="str">
            <v>1.3.2.01.451</v>
          </cell>
          <cell r="C745" t="str">
            <v>Equipamentos de Segurança</v>
          </cell>
        </row>
        <row r="746">
          <cell r="A746">
            <v>13201452</v>
          </cell>
          <cell r="B746" t="str">
            <v>1.3.2.01.452</v>
          </cell>
          <cell r="C746" t="str">
            <v>Equipamentos de Segurança-IPC 90</v>
          </cell>
        </row>
        <row r="747">
          <cell r="A747">
            <v>13201453</v>
          </cell>
          <cell r="B747" t="str">
            <v>1.3.2.01.453</v>
          </cell>
          <cell r="C747" t="str">
            <v>Equipamentos de Segurança -Reavaliação</v>
          </cell>
        </row>
        <row r="748">
          <cell r="A748">
            <v>13201470</v>
          </cell>
          <cell r="B748" t="str">
            <v>1.3.2.01.470</v>
          </cell>
          <cell r="C748" t="str">
            <v>INSTALAÇÕES</v>
          </cell>
        </row>
        <row r="749">
          <cell r="A749">
            <v>13201471</v>
          </cell>
          <cell r="B749" t="str">
            <v>1.3.2.01.471</v>
          </cell>
          <cell r="C749" t="str">
            <v>Instalações</v>
          </cell>
        </row>
        <row r="750">
          <cell r="A750">
            <v>13201472</v>
          </cell>
          <cell r="B750" t="str">
            <v>1.3.2.01.472</v>
          </cell>
          <cell r="C750" t="str">
            <v>Instalações - IPC 90</v>
          </cell>
        </row>
        <row r="751">
          <cell r="A751">
            <v>13201473</v>
          </cell>
          <cell r="B751" t="str">
            <v>1.3.2.01.473</v>
          </cell>
          <cell r="C751" t="str">
            <v>Instalações - Reaval.</v>
          </cell>
        </row>
        <row r="752">
          <cell r="A752">
            <v>13201474</v>
          </cell>
          <cell r="B752" t="str">
            <v>1.3.2.01.474</v>
          </cell>
          <cell r="C752" t="str">
            <v>Instalações - Lei 10833</v>
          </cell>
        </row>
        <row r="753">
          <cell r="A753">
            <v>13201500</v>
          </cell>
          <cell r="B753" t="str">
            <v>1.3.2.01.500</v>
          </cell>
          <cell r="C753" t="str">
            <v>OUTRAS IMOBILIZACOES</v>
          </cell>
        </row>
        <row r="754">
          <cell r="A754">
            <v>13201501</v>
          </cell>
          <cell r="B754" t="str">
            <v>1.3.2.01.501</v>
          </cell>
          <cell r="C754" t="str">
            <v>Outras Imobilizacoes- IPC-90</v>
          </cell>
        </row>
        <row r="755">
          <cell r="A755">
            <v>13201502</v>
          </cell>
          <cell r="B755" t="str">
            <v>1.3.2.01.502</v>
          </cell>
          <cell r="C755" t="str">
            <v>Outras Imobilizacoes - Reavaliacao</v>
          </cell>
        </row>
        <row r="756">
          <cell r="A756">
            <v>13201503</v>
          </cell>
          <cell r="B756" t="str">
            <v>1.3.2.01.503</v>
          </cell>
          <cell r="C756" t="str">
            <v>Outras Imobilizações</v>
          </cell>
        </row>
        <row r="757">
          <cell r="A757">
            <v>13201550</v>
          </cell>
          <cell r="B757" t="str">
            <v>1.3.2.01.550</v>
          </cell>
          <cell r="C757" t="str">
            <v>IMOBILIZADO ENTRESSAFRA</v>
          </cell>
        </row>
        <row r="758">
          <cell r="A758">
            <v>13201551</v>
          </cell>
          <cell r="B758" t="str">
            <v>1.3.2.01.551</v>
          </cell>
          <cell r="C758" t="str">
            <v>Imobilizado em Andamento</v>
          </cell>
        </row>
        <row r="759">
          <cell r="A759">
            <v>13201552</v>
          </cell>
          <cell r="B759" t="str">
            <v>1.3.2.01.552</v>
          </cell>
          <cell r="C759" t="str">
            <v>Implantação Lavoura Agricola</v>
          </cell>
        </row>
        <row r="760">
          <cell r="A760">
            <v>13201553</v>
          </cell>
          <cell r="B760" t="str">
            <v>1.3.2.01.553</v>
          </cell>
          <cell r="C760" t="str">
            <v>Imobilizado Entressafra</v>
          </cell>
        </row>
        <row r="761">
          <cell r="A761">
            <v>13201560</v>
          </cell>
          <cell r="B761" t="str">
            <v>1.3.2.01.560</v>
          </cell>
          <cell r="C761" t="str">
            <v>DEPRECIAÇÃO ENTRESSAFRA</v>
          </cell>
        </row>
        <row r="762">
          <cell r="A762">
            <v>13201561</v>
          </cell>
          <cell r="B762" t="str">
            <v>1.3.2.01.561</v>
          </cell>
          <cell r="C762" t="str">
            <v>Depreciacao Entressafra</v>
          </cell>
        </row>
        <row r="763">
          <cell r="A763">
            <v>13201600</v>
          </cell>
          <cell r="B763" t="str">
            <v>1.3.2.01.600</v>
          </cell>
          <cell r="C763" t="str">
            <v>ADIANTAMENTO AQUISICAO IMOBILIZADO</v>
          </cell>
        </row>
        <row r="764">
          <cell r="A764">
            <v>13201601</v>
          </cell>
          <cell r="B764" t="str">
            <v>1.3.2.01.601</v>
          </cell>
          <cell r="C764" t="str">
            <v>Adiantamento Aquisição Imobilizado</v>
          </cell>
        </row>
        <row r="765">
          <cell r="A765">
            <v>13201602</v>
          </cell>
          <cell r="B765" t="str">
            <v>1.3.2.01.602</v>
          </cell>
          <cell r="C765" t="str">
            <v>Gol 1.0 Alcool Plus cinza - Leasing</v>
          </cell>
        </row>
        <row r="766">
          <cell r="A766">
            <v>13201603</v>
          </cell>
          <cell r="B766" t="str">
            <v>1.3.2.01.603</v>
          </cell>
          <cell r="C766" t="str">
            <v>Parati Ambulancia Branca- Leasing</v>
          </cell>
        </row>
        <row r="767">
          <cell r="A767">
            <v>13201604</v>
          </cell>
          <cell r="B767" t="str">
            <v>1.3.2.01.604</v>
          </cell>
          <cell r="C767" t="str">
            <v>Leasing- BBV eqp.informatica</v>
          </cell>
        </row>
        <row r="768">
          <cell r="A768">
            <v>13201605</v>
          </cell>
          <cell r="B768" t="str">
            <v>1.3.2.01.605</v>
          </cell>
          <cell r="C768" t="str">
            <v>Sitio São Lourenço</v>
          </cell>
        </row>
        <row r="769">
          <cell r="A769">
            <v>13201606</v>
          </cell>
          <cell r="B769" t="str">
            <v>1.3.2.01.606</v>
          </cell>
          <cell r="C769" t="str">
            <v>Ford. fiesta 1.6 leasing</v>
          </cell>
        </row>
        <row r="770">
          <cell r="A770">
            <v>13201607</v>
          </cell>
          <cell r="B770" t="str">
            <v>1.3.2.01.607</v>
          </cell>
          <cell r="C770" t="str">
            <v>Rastreadores de Caminhões</v>
          </cell>
        </row>
        <row r="771">
          <cell r="A771">
            <v>13201608</v>
          </cell>
          <cell r="B771" t="str">
            <v>1.3.2.01.608</v>
          </cell>
          <cell r="C771" t="str">
            <v>Avião</v>
          </cell>
        </row>
        <row r="772">
          <cell r="A772">
            <v>13201900</v>
          </cell>
          <cell r="B772" t="str">
            <v>1.3.2.01.900</v>
          </cell>
          <cell r="C772" t="str">
            <v>DEPRECIACOES</v>
          </cell>
        </row>
        <row r="773">
          <cell r="A773">
            <v>13201901</v>
          </cell>
          <cell r="B773" t="str">
            <v>1.3.2.01.901</v>
          </cell>
          <cell r="C773" t="str">
            <v>Depreciação Acelerada</v>
          </cell>
        </row>
        <row r="774">
          <cell r="A774">
            <v>13201902</v>
          </cell>
          <cell r="B774" t="str">
            <v>1.3.2.01.902</v>
          </cell>
          <cell r="C774" t="str">
            <v>Depreciação Edificacoes</v>
          </cell>
        </row>
        <row r="775">
          <cell r="A775">
            <v>13201903</v>
          </cell>
          <cell r="B775" t="str">
            <v>1.3.2.01.903</v>
          </cell>
          <cell r="C775" t="str">
            <v>Depreciação Edificacoes- Reavaliacao</v>
          </cell>
        </row>
        <row r="776">
          <cell r="A776">
            <v>13201904</v>
          </cell>
          <cell r="B776" t="str">
            <v>1.3.2.01.904</v>
          </cell>
          <cell r="C776" t="str">
            <v>Depreciação Edificacoes - IPC 90</v>
          </cell>
        </row>
        <row r="777">
          <cell r="A777">
            <v>13201905</v>
          </cell>
          <cell r="B777" t="str">
            <v>1.3.2.01.905</v>
          </cell>
          <cell r="C777" t="str">
            <v>Depreciação Equipamentos de Seguranca</v>
          </cell>
        </row>
        <row r="778">
          <cell r="A778">
            <v>13201906</v>
          </cell>
          <cell r="B778" t="str">
            <v>1.3.2.01.906</v>
          </cell>
          <cell r="C778" t="str">
            <v>Depreciação Equipamentos de Seg.-Reavali</v>
          </cell>
        </row>
        <row r="779">
          <cell r="A779">
            <v>13201907</v>
          </cell>
          <cell r="B779" t="str">
            <v>1.3.2.01.907</v>
          </cell>
          <cell r="C779" t="str">
            <v>Depreciação Equipamentos de Segu.-IPC 90</v>
          </cell>
        </row>
        <row r="780">
          <cell r="A780">
            <v>13201908</v>
          </cell>
          <cell r="B780" t="str">
            <v>1.3.2.01.908</v>
          </cell>
          <cell r="C780" t="str">
            <v>Depreciação Ferramentas e Utensilios</v>
          </cell>
        </row>
        <row r="781">
          <cell r="A781">
            <v>13201909</v>
          </cell>
          <cell r="B781" t="str">
            <v>1.3.2.01.909</v>
          </cell>
          <cell r="C781" t="str">
            <v>Depreciação Ferramentas e Utens.-Reaval.</v>
          </cell>
        </row>
        <row r="782">
          <cell r="A782">
            <v>13201910</v>
          </cell>
          <cell r="B782" t="str">
            <v>1.3.2.01.910</v>
          </cell>
          <cell r="C782" t="str">
            <v>Depreciação Ferramentas e Utens.-IPC 90</v>
          </cell>
        </row>
        <row r="783">
          <cell r="A783">
            <v>13201911</v>
          </cell>
          <cell r="B783" t="str">
            <v>1.3.2.01.911</v>
          </cell>
          <cell r="C783" t="str">
            <v>Depreciação Maquinas e Equipamentos</v>
          </cell>
        </row>
        <row r="784">
          <cell r="A784">
            <v>13201912</v>
          </cell>
          <cell r="B784" t="str">
            <v>1.3.2.01.912</v>
          </cell>
          <cell r="C784" t="str">
            <v>Depreciação Maquinas e Equip.-Reaval.</v>
          </cell>
        </row>
        <row r="785">
          <cell r="A785">
            <v>13201913</v>
          </cell>
          <cell r="B785" t="str">
            <v>1.3.2.01.913</v>
          </cell>
          <cell r="C785" t="str">
            <v>Depreciação Maquinas e Equip.- IPC 90</v>
          </cell>
        </row>
        <row r="786">
          <cell r="A786">
            <v>13201914</v>
          </cell>
          <cell r="B786" t="str">
            <v>1.3.2.01.914</v>
          </cell>
          <cell r="C786" t="str">
            <v>Depreciação Moveis e Utensilios</v>
          </cell>
        </row>
        <row r="787">
          <cell r="A787">
            <v>13201915</v>
          </cell>
          <cell r="B787" t="str">
            <v>1.3.2.01.915</v>
          </cell>
          <cell r="C787" t="str">
            <v>Depreciação Moveis e Utensilios-Reaval.</v>
          </cell>
        </row>
        <row r="788">
          <cell r="A788">
            <v>13201916</v>
          </cell>
          <cell r="B788" t="str">
            <v>1.3.2.01.916</v>
          </cell>
          <cell r="C788" t="str">
            <v>Depreciação Moveis e Utensilios - IPC 90</v>
          </cell>
        </row>
        <row r="789">
          <cell r="A789">
            <v>13201917</v>
          </cell>
          <cell r="B789" t="str">
            <v>1.3.2.01.917</v>
          </cell>
          <cell r="C789" t="str">
            <v>Depreciação Obras de Infra-Estrutura</v>
          </cell>
        </row>
        <row r="790">
          <cell r="A790">
            <v>13201918</v>
          </cell>
          <cell r="B790" t="str">
            <v>1.3.2.01.918</v>
          </cell>
          <cell r="C790" t="str">
            <v>Depreciação Obras de Infra-Estrut.-Reav.</v>
          </cell>
        </row>
        <row r="791">
          <cell r="A791">
            <v>13201919</v>
          </cell>
          <cell r="B791" t="str">
            <v>1.3.2.01.919</v>
          </cell>
          <cell r="C791" t="str">
            <v>Depreciação Obras de Infra-Estrut-IPC 90</v>
          </cell>
        </row>
        <row r="792">
          <cell r="A792">
            <v>13201920</v>
          </cell>
          <cell r="B792" t="str">
            <v>1.3.2.01.920</v>
          </cell>
          <cell r="C792" t="str">
            <v>Depreciação Veiculos</v>
          </cell>
        </row>
        <row r="793">
          <cell r="A793">
            <v>13201921</v>
          </cell>
          <cell r="B793" t="str">
            <v>1.3.2.01.921</v>
          </cell>
          <cell r="C793" t="str">
            <v>Depreciação Veiculos - Reavaliação</v>
          </cell>
        </row>
        <row r="794">
          <cell r="A794">
            <v>13201922</v>
          </cell>
          <cell r="B794" t="str">
            <v>1.3.2.01.922</v>
          </cell>
          <cell r="C794" t="str">
            <v>Veiculos - IPC 90</v>
          </cell>
        </row>
        <row r="795">
          <cell r="A795">
            <v>13201923</v>
          </cell>
          <cell r="B795" t="str">
            <v>1.3.2.01.923</v>
          </cell>
          <cell r="C795" t="str">
            <v>Depreciação Computadores e Perifericos</v>
          </cell>
        </row>
        <row r="796">
          <cell r="A796">
            <v>13201924</v>
          </cell>
          <cell r="B796" t="str">
            <v>1.3.2.01.924</v>
          </cell>
          <cell r="C796" t="str">
            <v>Depreciação Comput. e Perifericos - Reav</v>
          </cell>
        </row>
        <row r="797">
          <cell r="A797">
            <v>13201925</v>
          </cell>
          <cell r="B797" t="str">
            <v>1.3.2.01.925</v>
          </cell>
          <cell r="C797" t="str">
            <v>Depreciação Implementos Agricolas</v>
          </cell>
        </row>
        <row r="798">
          <cell r="A798">
            <v>13201926</v>
          </cell>
          <cell r="B798" t="str">
            <v>1.3.2.01.926</v>
          </cell>
          <cell r="C798" t="str">
            <v>Depreciação de Aparelhos e Equipamentos</v>
          </cell>
        </row>
        <row r="799">
          <cell r="A799">
            <v>13201927</v>
          </cell>
          <cell r="B799" t="str">
            <v>1.3.2.01.927</v>
          </cell>
          <cell r="C799" t="str">
            <v>Depreciação Instalações</v>
          </cell>
        </row>
        <row r="800">
          <cell r="A800">
            <v>13201928</v>
          </cell>
          <cell r="B800" t="str">
            <v>1.3.2.01.928</v>
          </cell>
          <cell r="C800" t="str">
            <v>Depreciação Computadores e Perif-IPC 90</v>
          </cell>
        </row>
        <row r="801">
          <cell r="A801">
            <v>13201929</v>
          </cell>
          <cell r="B801" t="str">
            <v>1.3.2.01.929</v>
          </cell>
          <cell r="C801" t="str">
            <v>Instalações Ipc 90</v>
          </cell>
        </row>
        <row r="802">
          <cell r="A802">
            <v>13201930</v>
          </cell>
          <cell r="B802" t="str">
            <v>1.3.2.01.930</v>
          </cell>
          <cell r="C802" t="str">
            <v>Instalações Reavaliação</v>
          </cell>
        </row>
        <row r="803">
          <cell r="A803">
            <v>13201931</v>
          </cell>
          <cell r="B803" t="str">
            <v>1.3.2.01.931</v>
          </cell>
          <cell r="C803" t="str">
            <v>Depreciação Apar. e Equipamentos-Ipc/90</v>
          </cell>
        </row>
        <row r="804">
          <cell r="A804">
            <v>13201932</v>
          </cell>
          <cell r="B804" t="str">
            <v>1.3.2.01.932</v>
          </cell>
          <cell r="C804" t="str">
            <v>Depreciação maq e eqptos das colheitad.</v>
          </cell>
        </row>
        <row r="805">
          <cell r="A805">
            <v>13201933</v>
          </cell>
          <cell r="B805" t="str">
            <v>1.3.2.01.933</v>
          </cell>
          <cell r="C805" t="str">
            <v>Depreciação Acelerada</v>
          </cell>
        </row>
        <row r="806">
          <cell r="A806">
            <v>13201934</v>
          </cell>
          <cell r="B806" t="str">
            <v>1.3.2.01.934</v>
          </cell>
          <cell r="C806" t="str">
            <v>Depreciação Veículos - leasing</v>
          </cell>
        </row>
        <row r="807">
          <cell r="A807">
            <v>13201996</v>
          </cell>
          <cell r="B807" t="str">
            <v>1.3.2.01.996</v>
          </cell>
          <cell r="C807" t="str">
            <v>(-)Depreciação CPC27</v>
          </cell>
        </row>
        <row r="808">
          <cell r="A808">
            <v>13201997</v>
          </cell>
          <cell r="B808" t="str">
            <v>1.3.2.01.997</v>
          </cell>
          <cell r="C808" t="str">
            <v>Credito Pis s/ Imobilizado</v>
          </cell>
        </row>
        <row r="809">
          <cell r="A809">
            <v>13201998</v>
          </cell>
          <cell r="B809" t="str">
            <v>1.3.2.01.998</v>
          </cell>
          <cell r="C809" t="str">
            <v>Credito Cofins s/ Imobilizado</v>
          </cell>
        </row>
        <row r="810">
          <cell r="A810">
            <v>13201999</v>
          </cell>
          <cell r="B810" t="str">
            <v>1.3.2.01.999</v>
          </cell>
          <cell r="C810" t="str">
            <v>Depreciação Sistema Anterior</v>
          </cell>
        </row>
        <row r="811">
          <cell r="A811">
            <v>13202000</v>
          </cell>
          <cell r="B811" t="str">
            <v>1.3.2.02.000</v>
          </cell>
          <cell r="C811" t="str">
            <v>IMOBILIZADO LAVOURAS</v>
          </cell>
        </row>
        <row r="812">
          <cell r="A812">
            <v>13202100</v>
          </cell>
          <cell r="B812" t="str">
            <v>1.3.2.02.100</v>
          </cell>
          <cell r="C812" t="str">
            <v>LAVOURAS FORMADAS CANA-DE-ACUCAR</v>
          </cell>
        </row>
        <row r="813">
          <cell r="A813">
            <v>13202101</v>
          </cell>
          <cell r="B813" t="str">
            <v>1.3.2.02.101</v>
          </cell>
          <cell r="C813" t="str">
            <v>2-Fazenda São Martinho</v>
          </cell>
        </row>
        <row r="814">
          <cell r="A814">
            <v>13202102</v>
          </cell>
          <cell r="B814" t="str">
            <v>1.3.2.02.102</v>
          </cell>
          <cell r="C814" t="str">
            <v>9-Fazenda Colorado l e II</v>
          </cell>
        </row>
        <row r="815">
          <cell r="A815">
            <v>13202103</v>
          </cell>
          <cell r="B815" t="str">
            <v>1.3.2.02.103</v>
          </cell>
          <cell r="C815" t="str">
            <v>9-Sitio São francisco</v>
          </cell>
        </row>
        <row r="816">
          <cell r="A816">
            <v>13202104</v>
          </cell>
          <cell r="B816" t="str">
            <v>1.3.2.02.104</v>
          </cell>
          <cell r="C816" t="str">
            <v>9-Sítio Estancia Soares</v>
          </cell>
        </row>
        <row r="817">
          <cell r="A817">
            <v>13202105</v>
          </cell>
          <cell r="B817" t="str">
            <v>1.3.2.02.105</v>
          </cell>
          <cell r="C817" t="str">
            <v>9-Sitio N. S. de Fatima</v>
          </cell>
        </row>
        <row r="818">
          <cell r="A818">
            <v>13202106</v>
          </cell>
          <cell r="B818" t="str">
            <v>1.3.2.02.106</v>
          </cell>
          <cell r="C818" t="str">
            <v>9-Fazenda São Pedro</v>
          </cell>
        </row>
        <row r="819">
          <cell r="A819">
            <v>13202107</v>
          </cell>
          <cell r="B819" t="str">
            <v>1.3.2.02.107</v>
          </cell>
          <cell r="C819" t="str">
            <v>9-Sitio São José</v>
          </cell>
        </row>
        <row r="820">
          <cell r="A820">
            <v>13202108</v>
          </cell>
          <cell r="B820" t="str">
            <v>1.3.2.02.108</v>
          </cell>
          <cell r="C820" t="str">
            <v>9-Fazenda Bom Retiro</v>
          </cell>
        </row>
        <row r="821">
          <cell r="A821">
            <v>13202109</v>
          </cell>
          <cell r="B821" t="str">
            <v>1.3.2.02.109</v>
          </cell>
          <cell r="C821" t="str">
            <v>9-Fazenda Bonito</v>
          </cell>
        </row>
        <row r="822">
          <cell r="A822">
            <v>13202110</v>
          </cell>
          <cell r="B822" t="str">
            <v>1.3.2.02.110</v>
          </cell>
          <cell r="C822" t="str">
            <v>9-Fazenda Bacuri II</v>
          </cell>
        </row>
        <row r="823">
          <cell r="A823">
            <v>13202111</v>
          </cell>
          <cell r="B823" t="str">
            <v>1.3.2.02.111</v>
          </cell>
          <cell r="C823" t="str">
            <v>9-Fazenda Santa Rosa III</v>
          </cell>
        </row>
        <row r="824">
          <cell r="A824">
            <v>13202112</v>
          </cell>
          <cell r="B824" t="str">
            <v>1.3.2.02.112</v>
          </cell>
          <cell r="C824" t="str">
            <v>9-Sitio Sônia Romero</v>
          </cell>
        </row>
        <row r="825">
          <cell r="A825">
            <v>13202113</v>
          </cell>
          <cell r="B825" t="str">
            <v>1.3.2.02.113</v>
          </cell>
          <cell r="C825" t="str">
            <v>2-Fazenda Nametala Rezek</v>
          </cell>
        </row>
        <row r="826">
          <cell r="A826">
            <v>13202114</v>
          </cell>
          <cell r="B826" t="str">
            <v>1.3.2.02.114</v>
          </cell>
          <cell r="C826" t="str">
            <v>2-Estancia São francisco</v>
          </cell>
        </row>
        <row r="827">
          <cell r="A827">
            <v>13202115</v>
          </cell>
          <cell r="B827" t="str">
            <v>1.3.2.02.115</v>
          </cell>
          <cell r="C827" t="str">
            <v>2-Fazenda Garrafão</v>
          </cell>
        </row>
        <row r="828">
          <cell r="A828">
            <v>13202116</v>
          </cell>
          <cell r="B828" t="str">
            <v>1.3.2.02.116</v>
          </cell>
          <cell r="C828" t="str">
            <v>9-Sitio Santa Rita</v>
          </cell>
        </row>
        <row r="829">
          <cell r="A829">
            <v>13202117</v>
          </cell>
          <cell r="B829" t="str">
            <v>1.3.2.02.117</v>
          </cell>
          <cell r="C829" t="str">
            <v>9-Fazenda Sta Rita II</v>
          </cell>
        </row>
        <row r="830">
          <cell r="A830">
            <v>13202118</v>
          </cell>
          <cell r="B830" t="str">
            <v>1.3.2.02.118</v>
          </cell>
          <cell r="C830" t="str">
            <v>9-Sitio N. Sra. Aparecida</v>
          </cell>
        </row>
        <row r="831">
          <cell r="A831">
            <v>13202119</v>
          </cell>
          <cell r="B831" t="str">
            <v>1.3.2.02.119</v>
          </cell>
          <cell r="C831" t="str">
            <v>9-Faz. Bacuri Ouro</v>
          </cell>
        </row>
        <row r="832">
          <cell r="A832">
            <v>13202120</v>
          </cell>
          <cell r="B832" t="str">
            <v>1.3.2.02.120</v>
          </cell>
          <cell r="C832" t="str">
            <v>9-Faz. Sta Clara - ant. corrego seco</v>
          </cell>
        </row>
        <row r="833">
          <cell r="A833">
            <v>13202121</v>
          </cell>
          <cell r="B833" t="str">
            <v>1.3.2.02.121</v>
          </cell>
          <cell r="C833" t="str">
            <v>9-Sitio Brasil</v>
          </cell>
        </row>
        <row r="834">
          <cell r="A834">
            <v>13202122</v>
          </cell>
          <cell r="B834" t="str">
            <v>1.3.2.02.122</v>
          </cell>
          <cell r="C834" t="str">
            <v>9-Estancia Rio Claro</v>
          </cell>
        </row>
        <row r="835">
          <cell r="A835">
            <v>13202123</v>
          </cell>
          <cell r="B835" t="str">
            <v>1.3.2.02.123</v>
          </cell>
          <cell r="C835" t="str">
            <v>9-Faz. N. S. de Fatima</v>
          </cell>
        </row>
        <row r="836">
          <cell r="A836">
            <v>13202124</v>
          </cell>
          <cell r="B836" t="str">
            <v>1.3.2.02.124</v>
          </cell>
          <cell r="C836" t="str">
            <v>9-Faz. Ipe</v>
          </cell>
        </row>
        <row r="837">
          <cell r="A837">
            <v>13202125</v>
          </cell>
          <cell r="B837" t="str">
            <v>1.3.2.02.125</v>
          </cell>
          <cell r="C837" t="str">
            <v>9-Estancia Analex</v>
          </cell>
        </row>
        <row r="838">
          <cell r="A838">
            <v>13202126</v>
          </cell>
          <cell r="B838" t="str">
            <v>1.3.2.02.126</v>
          </cell>
          <cell r="C838" t="str">
            <v>9-Estancia Analex II</v>
          </cell>
        </row>
        <row r="839">
          <cell r="A839">
            <v>13202127</v>
          </cell>
          <cell r="B839" t="str">
            <v>1.3.2.02.127</v>
          </cell>
          <cell r="C839" t="str">
            <v>9-Sitio Analex</v>
          </cell>
        </row>
        <row r="840">
          <cell r="A840">
            <v>13202128</v>
          </cell>
          <cell r="B840" t="str">
            <v>1.3.2.02.128</v>
          </cell>
          <cell r="C840" t="str">
            <v>9-Sitio Guaruja</v>
          </cell>
        </row>
        <row r="841">
          <cell r="A841">
            <v>13202129</v>
          </cell>
          <cell r="B841" t="str">
            <v>1.3.2.02.129</v>
          </cell>
          <cell r="C841" t="str">
            <v>9-Sitio Sto Antonio I</v>
          </cell>
        </row>
        <row r="842">
          <cell r="A842">
            <v>13202130</v>
          </cell>
          <cell r="B842" t="str">
            <v>1.3.2.02.130</v>
          </cell>
          <cell r="C842" t="str">
            <v>9-Sitio Santo Reis</v>
          </cell>
        </row>
        <row r="843">
          <cell r="A843">
            <v>13202131</v>
          </cell>
          <cell r="B843" t="str">
            <v>1.3.2.02.131</v>
          </cell>
          <cell r="C843" t="str">
            <v>9- Sitio N. S. Aparecida II</v>
          </cell>
        </row>
        <row r="844">
          <cell r="A844">
            <v>13202132</v>
          </cell>
          <cell r="B844" t="str">
            <v>1.3.2.02.132</v>
          </cell>
          <cell r="C844" t="str">
            <v>9-Sitio Sao Jose III</v>
          </cell>
        </row>
        <row r="845">
          <cell r="A845">
            <v>13202133</v>
          </cell>
          <cell r="B845" t="str">
            <v>1.3.2.02.133</v>
          </cell>
          <cell r="C845" t="str">
            <v>9-Sitio Sao Pedro III</v>
          </cell>
        </row>
        <row r="846">
          <cell r="A846">
            <v>13202134</v>
          </cell>
          <cell r="B846" t="str">
            <v>1.3.2.02.134</v>
          </cell>
          <cell r="C846" t="str">
            <v>9- Sitio Jacare</v>
          </cell>
        </row>
        <row r="847">
          <cell r="A847">
            <v>13202135</v>
          </cell>
          <cell r="B847" t="str">
            <v>1.3.2.02.135</v>
          </cell>
          <cell r="C847" t="str">
            <v>9- Faz. Colorado III</v>
          </cell>
        </row>
        <row r="848">
          <cell r="A848">
            <v>13202136</v>
          </cell>
          <cell r="B848" t="str">
            <v>1.3.2.02.136</v>
          </cell>
          <cell r="C848" t="str">
            <v>9-Sitio Bacuri</v>
          </cell>
        </row>
        <row r="849">
          <cell r="A849">
            <v>13202137</v>
          </cell>
          <cell r="B849" t="str">
            <v>1.3.2.02.137</v>
          </cell>
          <cell r="C849" t="str">
            <v>9- Sitio Sta Luzia</v>
          </cell>
        </row>
        <row r="850">
          <cell r="A850">
            <v>13202138</v>
          </cell>
          <cell r="B850" t="str">
            <v>1.3.2.02.138</v>
          </cell>
          <cell r="C850" t="str">
            <v>9-Sitio N. S. Aparecida I</v>
          </cell>
        </row>
        <row r="851">
          <cell r="A851">
            <v>13202139</v>
          </cell>
          <cell r="B851" t="str">
            <v>1.3.2.02.139</v>
          </cell>
          <cell r="C851" t="str">
            <v>9-Sitio Pires</v>
          </cell>
        </row>
        <row r="852">
          <cell r="A852">
            <v>13202140</v>
          </cell>
          <cell r="B852" t="str">
            <v>1.3.2.02.140</v>
          </cell>
          <cell r="C852" t="str">
            <v>9-Estancia das Aguas</v>
          </cell>
        </row>
        <row r="853">
          <cell r="A853">
            <v>13202141</v>
          </cell>
          <cell r="B853" t="str">
            <v>1.3.2.02.141</v>
          </cell>
          <cell r="C853" t="str">
            <v>9-Sitio Boa Esperanca I</v>
          </cell>
        </row>
        <row r="854">
          <cell r="A854">
            <v>13202142</v>
          </cell>
          <cell r="B854" t="str">
            <v>1.3.2.02.142</v>
          </cell>
          <cell r="C854" t="str">
            <v>9-Faz. Santa Iria</v>
          </cell>
        </row>
        <row r="855">
          <cell r="A855">
            <v>13202143</v>
          </cell>
          <cell r="B855" t="str">
            <v>1.3.2.02.143</v>
          </cell>
          <cell r="C855" t="str">
            <v>9-Faz. Sape</v>
          </cell>
        </row>
        <row r="856">
          <cell r="A856">
            <v>13202144</v>
          </cell>
          <cell r="B856" t="str">
            <v>1.3.2.02.144</v>
          </cell>
          <cell r="C856" t="str">
            <v>9-faz. N. S. Aparecida IV</v>
          </cell>
        </row>
        <row r="857">
          <cell r="A857">
            <v>13202145</v>
          </cell>
          <cell r="B857" t="str">
            <v>1.3.2.02.145</v>
          </cell>
          <cell r="C857" t="str">
            <v>9-Faz. Grauna I</v>
          </cell>
        </row>
        <row r="858">
          <cell r="A858">
            <v>13202146</v>
          </cell>
          <cell r="B858" t="str">
            <v>1.3.2.02.146</v>
          </cell>
          <cell r="C858" t="str">
            <v>9-Sitio Sta. Barbara</v>
          </cell>
        </row>
        <row r="859">
          <cell r="A859">
            <v>13202147</v>
          </cell>
          <cell r="B859" t="str">
            <v>1.3.2.02.147</v>
          </cell>
          <cell r="C859" t="str">
            <v>9-Estancia Sta. Ines</v>
          </cell>
        </row>
        <row r="860">
          <cell r="A860">
            <v>13202148</v>
          </cell>
          <cell r="B860" t="str">
            <v>1.3.2.02.148</v>
          </cell>
          <cell r="C860" t="str">
            <v>9-Sitio Sao Marcos</v>
          </cell>
        </row>
        <row r="861">
          <cell r="A861">
            <v>13202149</v>
          </cell>
          <cell r="B861" t="str">
            <v>1.3.2.02.149</v>
          </cell>
          <cell r="C861" t="str">
            <v>9-Sitio Unidos</v>
          </cell>
        </row>
        <row r="862">
          <cell r="A862">
            <v>13202150</v>
          </cell>
          <cell r="B862" t="str">
            <v>1.3.2.02.150</v>
          </cell>
          <cell r="C862" t="str">
            <v>9-Sitio Boa Esperanca</v>
          </cell>
        </row>
        <row r="863">
          <cell r="A863">
            <v>13202151</v>
          </cell>
          <cell r="B863" t="str">
            <v>1.3.2.02.151</v>
          </cell>
          <cell r="C863" t="str">
            <v>9-Faz. Sao Jose</v>
          </cell>
        </row>
        <row r="864">
          <cell r="A864">
            <v>13202152</v>
          </cell>
          <cell r="B864" t="str">
            <v>1.3.2.02.152</v>
          </cell>
          <cell r="C864" t="str">
            <v>9-Sitio Boa Esperanca III</v>
          </cell>
        </row>
        <row r="865">
          <cell r="A865">
            <v>13202153</v>
          </cell>
          <cell r="B865" t="str">
            <v>1.3.2.02.153</v>
          </cell>
          <cell r="C865" t="str">
            <v>9-Sitio Boa Esperanca IV</v>
          </cell>
        </row>
        <row r="866">
          <cell r="A866">
            <v>13202154</v>
          </cell>
          <cell r="B866" t="str">
            <v>1.3.2.02.154</v>
          </cell>
          <cell r="C866" t="str">
            <v>9-Fazenda Sao Sebastiao</v>
          </cell>
        </row>
        <row r="867">
          <cell r="A867">
            <v>13202155</v>
          </cell>
          <cell r="B867" t="str">
            <v>1.3.2.02.155</v>
          </cell>
          <cell r="C867" t="str">
            <v>9-Estancia Rancho Alegre</v>
          </cell>
        </row>
        <row r="868">
          <cell r="A868">
            <v>13202156</v>
          </cell>
          <cell r="B868" t="str">
            <v>1.3.2.02.156</v>
          </cell>
          <cell r="C868" t="str">
            <v>9-Sitio Sao Joao II</v>
          </cell>
        </row>
        <row r="869">
          <cell r="A869">
            <v>13202157</v>
          </cell>
          <cell r="B869" t="str">
            <v>1.3.2.02.157</v>
          </cell>
          <cell r="C869" t="str">
            <v>9-Sitio Sao Joao III</v>
          </cell>
        </row>
        <row r="870">
          <cell r="A870">
            <v>13202158</v>
          </cell>
          <cell r="B870" t="str">
            <v>1.3.2.02.158</v>
          </cell>
          <cell r="C870" t="str">
            <v>9-Sitio Sao Jose IV</v>
          </cell>
        </row>
        <row r="871">
          <cell r="A871">
            <v>13202159</v>
          </cell>
          <cell r="B871" t="str">
            <v>1.3.2.02.159</v>
          </cell>
          <cell r="C871" t="str">
            <v>9-Sitio Santo Ivo</v>
          </cell>
        </row>
        <row r="872">
          <cell r="A872">
            <v>13202160</v>
          </cell>
          <cell r="B872" t="str">
            <v>1.3.2.02.160</v>
          </cell>
          <cell r="C872" t="str">
            <v>9-Sitio Nova Alvorada</v>
          </cell>
        </row>
        <row r="873">
          <cell r="A873">
            <v>13202161</v>
          </cell>
          <cell r="B873" t="str">
            <v>1.3.2.02.161</v>
          </cell>
          <cell r="C873" t="str">
            <v>9-Sitio Analax I</v>
          </cell>
        </row>
        <row r="874">
          <cell r="A874">
            <v>13202162</v>
          </cell>
          <cell r="B874" t="str">
            <v>1.3.2.02.162</v>
          </cell>
          <cell r="C874" t="str">
            <v>9-Sitio Sao Jose V</v>
          </cell>
        </row>
        <row r="875">
          <cell r="A875">
            <v>13202163</v>
          </cell>
          <cell r="B875" t="str">
            <v>1.3.2.02.163</v>
          </cell>
          <cell r="C875" t="str">
            <v>9-Sitio Bom Jesus I</v>
          </cell>
        </row>
        <row r="876">
          <cell r="A876">
            <v>13202164</v>
          </cell>
          <cell r="B876" t="str">
            <v>1.3.2.02.164</v>
          </cell>
          <cell r="C876" t="str">
            <v>9-Fazenda Grauna</v>
          </cell>
        </row>
        <row r="877">
          <cell r="A877">
            <v>13202165</v>
          </cell>
          <cell r="B877" t="str">
            <v>1.3.2.02.165</v>
          </cell>
          <cell r="C877" t="str">
            <v>9-Sitio Sao Joao</v>
          </cell>
        </row>
        <row r="878">
          <cell r="A878">
            <v>13202166</v>
          </cell>
          <cell r="B878" t="str">
            <v>1.3.2.02.166</v>
          </cell>
          <cell r="C878" t="str">
            <v>9-Faz. Sao Marco</v>
          </cell>
        </row>
        <row r="879">
          <cell r="A879">
            <v>13202167</v>
          </cell>
          <cell r="B879" t="str">
            <v>1.3.2.02.167</v>
          </cell>
          <cell r="C879" t="str">
            <v>9-Faz. Sagarana</v>
          </cell>
        </row>
        <row r="880">
          <cell r="A880">
            <v>13202168</v>
          </cell>
          <cell r="B880" t="str">
            <v>1.3.2.02.168</v>
          </cell>
          <cell r="C880" t="str">
            <v>9-Faz. Sao Jose</v>
          </cell>
        </row>
        <row r="881">
          <cell r="A881">
            <v>13202169</v>
          </cell>
          <cell r="B881" t="str">
            <v>1.3.2.02.169</v>
          </cell>
          <cell r="C881" t="str">
            <v>9-Sitio Santo Antonio II</v>
          </cell>
        </row>
        <row r="882">
          <cell r="A882">
            <v>13202170</v>
          </cell>
          <cell r="B882" t="str">
            <v>1.3.2.02.170</v>
          </cell>
          <cell r="C882" t="str">
            <v>9-Sitio Vitoria</v>
          </cell>
        </row>
        <row r="883">
          <cell r="A883">
            <v>13202171</v>
          </cell>
          <cell r="B883" t="str">
            <v>1.3.2.02.171</v>
          </cell>
          <cell r="C883" t="str">
            <v>9-Sitio Sao Pedro</v>
          </cell>
        </row>
        <row r="884">
          <cell r="A884">
            <v>13202172</v>
          </cell>
          <cell r="B884" t="str">
            <v>1.3.2.02.172</v>
          </cell>
          <cell r="C884" t="str">
            <v>9-Faz. S. J. Dourados</v>
          </cell>
        </row>
        <row r="885">
          <cell r="A885">
            <v>13202173</v>
          </cell>
          <cell r="B885" t="str">
            <v>1.3.2.02.173</v>
          </cell>
          <cell r="C885" t="str">
            <v>9-Faz. Sta. Izabel I</v>
          </cell>
        </row>
        <row r="886">
          <cell r="A886">
            <v>13202174</v>
          </cell>
          <cell r="B886" t="str">
            <v>1.3.2.02.174</v>
          </cell>
          <cell r="C886" t="str">
            <v>9-Faz. Mosquito I</v>
          </cell>
        </row>
        <row r="887">
          <cell r="A887">
            <v>13202175</v>
          </cell>
          <cell r="B887" t="str">
            <v>1.3.2.02.175</v>
          </cell>
          <cell r="C887" t="str">
            <v>9-Faz. Sta. Rita I</v>
          </cell>
        </row>
        <row r="888">
          <cell r="A888">
            <v>13202176</v>
          </cell>
          <cell r="B888" t="str">
            <v>1.3.2.02.176</v>
          </cell>
          <cell r="C888" t="str">
            <v>9-Faz. Fco. Neto I</v>
          </cell>
        </row>
        <row r="889">
          <cell r="A889">
            <v>13202177</v>
          </cell>
          <cell r="B889" t="str">
            <v>1.3.2.02.177</v>
          </cell>
          <cell r="C889" t="str">
            <v>9-Sitio Sao Pedro II</v>
          </cell>
        </row>
        <row r="890">
          <cell r="A890">
            <v>13202178</v>
          </cell>
          <cell r="B890" t="str">
            <v>1.3.2.02.178</v>
          </cell>
          <cell r="C890" t="str">
            <v>9-Sitio Boiati</v>
          </cell>
        </row>
        <row r="891">
          <cell r="A891">
            <v>13202179</v>
          </cell>
          <cell r="B891" t="str">
            <v>1.3.2.02.179</v>
          </cell>
          <cell r="C891" t="str">
            <v>9-Sitio Est. Vista Alegre</v>
          </cell>
        </row>
        <row r="892">
          <cell r="A892">
            <v>13202180</v>
          </cell>
          <cell r="B892" t="str">
            <v>1.3.2.02.180</v>
          </cell>
          <cell r="C892" t="str">
            <v>9-Sitio Sao Luiz</v>
          </cell>
        </row>
        <row r="893">
          <cell r="A893">
            <v>13202181</v>
          </cell>
          <cell r="B893" t="str">
            <v>1.3.2.02.181</v>
          </cell>
          <cell r="C893" t="str">
            <v>9-Sitio Nossa Senhora Aparecida</v>
          </cell>
        </row>
        <row r="894">
          <cell r="A894">
            <v>13202182</v>
          </cell>
          <cell r="B894" t="str">
            <v>1.3.2.02.182</v>
          </cell>
          <cell r="C894" t="str">
            <v>9-Sitio 1 de Novembro</v>
          </cell>
        </row>
        <row r="895">
          <cell r="A895">
            <v>13202183</v>
          </cell>
          <cell r="B895" t="str">
            <v>1.3.2.02.183</v>
          </cell>
          <cell r="C895" t="str">
            <v>9-Faz. Bom Jesus</v>
          </cell>
        </row>
        <row r="896">
          <cell r="A896">
            <v>13202184</v>
          </cell>
          <cell r="B896" t="str">
            <v>1.3.2.02.184</v>
          </cell>
          <cell r="C896" t="str">
            <v>9-Faz. Nametala Rezek</v>
          </cell>
        </row>
        <row r="897">
          <cell r="A897">
            <v>13202185</v>
          </cell>
          <cell r="B897" t="str">
            <v>1.3.2.02.185</v>
          </cell>
          <cell r="C897" t="str">
            <v>9-Faz. Sao Martinho</v>
          </cell>
        </row>
        <row r="898">
          <cell r="A898">
            <v>13202186</v>
          </cell>
          <cell r="B898" t="str">
            <v>1.3.2.02.186</v>
          </cell>
          <cell r="C898" t="str">
            <v>9-Faz. Sao bento</v>
          </cell>
        </row>
        <row r="899">
          <cell r="A899">
            <v>13202187</v>
          </cell>
          <cell r="B899" t="str">
            <v>1.3.2.02.187</v>
          </cell>
          <cell r="C899" t="str">
            <v>9-Faz. Garrafao</v>
          </cell>
        </row>
        <row r="900">
          <cell r="A900">
            <v>13202188</v>
          </cell>
          <cell r="B900" t="str">
            <v>1.3.2.02.188</v>
          </cell>
          <cell r="C900" t="str">
            <v>9-Faz. Boa Sorte</v>
          </cell>
        </row>
        <row r="901">
          <cell r="A901">
            <v>13202189</v>
          </cell>
          <cell r="B901" t="str">
            <v>1.3.2.02.189</v>
          </cell>
          <cell r="C901" t="str">
            <v>9-Faz. Sao Bento II</v>
          </cell>
        </row>
        <row r="902">
          <cell r="A902">
            <v>13202190</v>
          </cell>
          <cell r="B902" t="str">
            <v>1.3.2.02.190</v>
          </cell>
          <cell r="C902" t="str">
            <v>9-Faz. Sao Luiz</v>
          </cell>
        </row>
        <row r="903">
          <cell r="A903">
            <v>13202191</v>
          </cell>
          <cell r="B903" t="str">
            <v>1.3.2.02.191</v>
          </cell>
          <cell r="C903" t="str">
            <v>9-Faz. Santa Rosa 2</v>
          </cell>
        </row>
        <row r="904">
          <cell r="A904">
            <v>13202192</v>
          </cell>
          <cell r="B904" t="str">
            <v>1.3.2.02.192</v>
          </cell>
          <cell r="C904" t="str">
            <v>4-Fazenda Aroeira VI</v>
          </cell>
        </row>
        <row r="905">
          <cell r="A905">
            <v>13202193</v>
          </cell>
          <cell r="B905" t="str">
            <v>1.3.2.02.193</v>
          </cell>
          <cell r="C905" t="str">
            <v>4-Fazenda Taperão II</v>
          </cell>
        </row>
        <row r="906">
          <cell r="A906">
            <v>13202194</v>
          </cell>
          <cell r="B906" t="str">
            <v>1.3.2.02.194</v>
          </cell>
          <cell r="C906" t="str">
            <v>4-Fazenda Arrastão</v>
          </cell>
        </row>
        <row r="907">
          <cell r="A907">
            <v>13202195</v>
          </cell>
          <cell r="B907" t="str">
            <v>1.3.2.02.195</v>
          </cell>
          <cell r="C907" t="str">
            <v>4-Fazenda Vale do Pecuaria</v>
          </cell>
        </row>
        <row r="908">
          <cell r="A908">
            <v>13202196</v>
          </cell>
          <cell r="B908" t="str">
            <v>1.3.2.02.196</v>
          </cell>
          <cell r="C908" t="str">
            <v>4-Fazenda Boa Sorte</v>
          </cell>
        </row>
        <row r="909">
          <cell r="A909">
            <v>13202197</v>
          </cell>
          <cell r="B909" t="str">
            <v>1.3.2.02.197</v>
          </cell>
          <cell r="C909" t="str">
            <v>4-Fazenda Santa Angela</v>
          </cell>
        </row>
        <row r="910">
          <cell r="A910">
            <v>13202198</v>
          </cell>
          <cell r="B910" t="str">
            <v>1.3.2.02.198</v>
          </cell>
          <cell r="C910" t="str">
            <v>4-Fazenda Jangadeiro III</v>
          </cell>
        </row>
        <row r="911">
          <cell r="A911">
            <v>13202199</v>
          </cell>
          <cell r="B911" t="str">
            <v>1.3.2.02.199</v>
          </cell>
          <cell r="C911" t="str">
            <v>4-Fazenda Certeza</v>
          </cell>
        </row>
        <row r="912">
          <cell r="A912">
            <v>13202201</v>
          </cell>
          <cell r="B912" t="str">
            <v>1.3.2.02.201</v>
          </cell>
          <cell r="C912" t="str">
            <v>4-Fazenda Estreito III</v>
          </cell>
        </row>
        <row r="913">
          <cell r="A913">
            <v>13202202</v>
          </cell>
          <cell r="B913" t="str">
            <v>1.3.2.02.202</v>
          </cell>
          <cell r="C913" t="str">
            <v>4-Fazenda Jardim I</v>
          </cell>
        </row>
        <row r="914">
          <cell r="A914">
            <v>13202203</v>
          </cell>
          <cell r="B914" t="str">
            <v>1.3.2.02.203</v>
          </cell>
          <cell r="C914" t="str">
            <v>4-Faz. Faceiro B (Waine)</v>
          </cell>
        </row>
        <row r="915">
          <cell r="A915">
            <v>13202204</v>
          </cell>
          <cell r="B915" t="str">
            <v>1.3.2.02.204</v>
          </cell>
          <cell r="C915" t="str">
            <v>Fazenda Monte das Videiras</v>
          </cell>
        </row>
        <row r="916">
          <cell r="A916">
            <v>13202205</v>
          </cell>
          <cell r="B916" t="str">
            <v>1.3.2.02.205</v>
          </cell>
          <cell r="C916" t="str">
            <v>Sitio N.S.Aparecida</v>
          </cell>
        </row>
        <row r="917">
          <cell r="A917">
            <v>13202206</v>
          </cell>
          <cell r="B917" t="str">
            <v>1.3.2.02.206</v>
          </cell>
          <cell r="C917" t="str">
            <v>Fazenda Brisa II</v>
          </cell>
        </row>
        <row r="918">
          <cell r="A918">
            <v>13202207</v>
          </cell>
          <cell r="B918" t="str">
            <v>1.3.2.02.207</v>
          </cell>
          <cell r="C918" t="str">
            <v>Fazenda Bela Alvorada II</v>
          </cell>
        </row>
        <row r="919">
          <cell r="A919">
            <v>13202208</v>
          </cell>
          <cell r="B919" t="str">
            <v>1.3.2.02.208</v>
          </cell>
          <cell r="C919" t="str">
            <v>Fazenda Monte Verde do Iporanga III</v>
          </cell>
        </row>
        <row r="920">
          <cell r="A920">
            <v>13202209</v>
          </cell>
          <cell r="B920" t="str">
            <v>1.3.2.02.209</v>
          </cell>
          <cell r="C920" t="str">
            <v>Fazenda 02 Meninos</v>
          </cell>
        </row>
        <row r="921">
          <cell r="A921">
            <v>13202210</v>
          </cell>
          <cell r="B921" t="str">
            <v>1.3.2.02.210</v>
          </cell>
          <cell r="C921" t="str">
            <v>Sitio Brasil</v>
          </cell>
        </row>
        <row r="922">
          <cell r="A922">
            <v>13202211</v>
          </cell>
          <cell r="B922" t="str">
            <v>1.3.2.02.211</v>
          </cell>
          <cell r="C922" t="str">
            <v>Sitio Salmourao III</v>
          </cell>
        </row>
        <row r="923">
          <cell r="A923">
            <v>13202212</v>
          </cell>
          <cell r="B923" t="str">
            <v>1.3.2.02.212</v>
          </cell>
          <cell r="C923" t="str">
            <v>Fazenda Vitoria</v>
          </cell>
        </row>
        <row r="924">
          <cell r="A924">
            <v>13202213</v>
          </cell>
          <cell r="B924" t="str">
            <v>1.3.2.02.213</v>
          </cell>
          <cell r="C924" t="str">
            <v>Fazenda Caru</v>
          </cell>
        </row>
        <row r="925">
          <cell r="A925">
            <v>13202214</v>
          </cell>
          <cell r="B925" t="str">
            <v>1.3.2.02.214</v>
          </cell>
          <cell r="C925" t="str">
            <v>Fazenda Tres Nascentes</v>
          </cell>
        </row>
        <row r="926">
          <cell r="A926">
            <v>13202215</v>
          </cell>
          <cell r="B926" t="str">
            <v>1.3.2.02.215</v>
          </cell>
          <cell r="C926" t="str">
            <v>Sitio Salmourao II</v>
          </cell>
        </row>
        <row r="927">
          <cell r="A927">
            <v>13202216</v>
          </cell>
          <cell r="B927" t="str">
            <v>1.3.2.02.216</v>
          </cell>
          <cell r="C927" t="str">
            <v>Sitio Agua Branca</v>
          </cell>
        </row>
        <row r="928">
          <cell r="A928">
            <v>13202217</v>
          </cell>
          <cell r="B928" t="str">
            <v>1.3.2.02.217</v>
          </cell>
          <cell r="C928" t="str">
            <v>Fazenda Barahona (1313)</v>
          </cell>
        </row>
        <row r="929">
          <cell r="A929">
            <v>13202218</v>
          </cell>
          <cell r="B929" t="str">
            <v>1.3.2.02.218</v>
          </cell>
          <cell r="C929" t="str">
            <v>Sitio Santo Antonio II</v>
          </cell>
        </row>
        <row r="930">
          <cell r="A930">
            <v>13202219</v>
          </cell>
          <cell r="B930" t="str">
            <v>1.3.2.02.219</v>
          </cell>
          <cell r="C930" t="str">
            <v>Fazenda Santa Cruz</v>
          </cell>
        </row>
        <row r="931">
          <cell r="A931">
            <v>13202220</v>
          </cell>
          <cell r="B931" t="str">
            <v>1.3.2.02.220</v>
          </cell>
          <cell r="C931" t="str">
            <v>Sitio Santa Josefina (1309)</v>
          </cell>
        </row>
        <row r="932">
          <cell r="A932">
            <v>13202221</v>
          </cell>
          <cell r="B932" t="str">
            <v>1.3.2.02.221</v>
          </cell>
          <cell r="C932" t="str">
            <v>Sítio Tres Irmaos</v>
          </cell>
        </row>
        <row r="933">
          <cell r="A933">
            <v>13202222</v>
          </cell>
          <cell r="B933" t="str">
            <v>1.3.2.02.222</v>
          </cell>
          <cell r="C933" t="str">
            <v>Fazenda Cintra I</v>
          </cell>
        </row>
        <row r="934">
          <cell r="A934">
            <v>13202223</v>
          </cell>
          <cell r="B934" t="str">
            <v>1.3.2.02.223</v>
          </cell>
          <cell r="C934" t="str">
            <v>Fazenda Sao Francisco</v>
          </cell>
        </row>
        <row r="935">
          <cell r="A935">
            <v>13202224</v>
          </cell>
          <cell r="B935" t="str">
            <v>1.3.2.02.224</v>
          </cell>
          <cell r="C935" t="str">
            <v>5-Sitio Formoso</v>
          </cell>
        </row>
        <row r="936">
          <cell r="A936">
            <v>13202225</v>
          </cell>
          <cell r="B936" t="str">
            <v>1.3.2.02.225</v>
          </cell>
          <cell r="C936" t="str">
            <v>5-Fazenda Pile I</v>
          </cell>
        </row>
        <row r="937">
          <cell r="A937">
            <v>13202226</v>
          </cell>
          <cell r="B937" t="str">
            <v>1.3.2.02.226</v>
          </cell>
          <cell r="C937" t="str">
            <v>5-Fazenda Arauna I</v>
          </cell>
        </row>
        <row r="938">
          <cell r="A938">
            <v>13202227</v>
          </cell>
          <cell r="B938" t="str">
            <v>1.3.2.02.227</v>
          </cell>
          <cell r="C938" t="str">
            <v>5-Fazenda Retiro I</v>
          </cell>
        </row>
        <row r="939">
          <cell r="A939">
            <v>13202228</v>
          </cell>
          <cell r="B939" t="str">
            <v>1.3.2.02.228</v>
          </cell>
          <cell r="C939" t="str">
            <v>5-Fazenda Retiro II</v>
          </cell>
        </row>
        <row r="940">
          <cell r="A940">
            <v>13202229</v>
          </cell>
          <cell r="B940" t="str">
            <v>1.3.2.02.229</v>
          </cell>
          <cell r="C940" t="str">
            <v>5-Estancia Vovo Amelia</v>
          </cell>
        </row>
        <row r="941">
          <cell r="A941">
            <v>13202230</v>
          </cell>
          <cell r="B941" t="str">
            <v>1.3.2.02.230</v>
          </cell>
          <cell r="C941" t="str">
            <v>5-Fazenda São Jorge</v>
          </cell>
        </row>
        <row r="942">
          <cell r="A942">
            <v>13202231</v>
          </cell>
          <cell r="B942" t="str">
            <v>1.3.2.02.231</v>
          </cell>
          <cell r="C942" t="str">
            <v>5-Fazenda Macuton</v>
          </cell>
        </row>
        <row r="943">
          <cell r="A943">
            <v>13202232</v>
          </cell>
          <cell r="B943" t="str">
            <v>1.3.2.02.232</v>
          </cell>
          <cell r="C943" t="str">
            <v>5-Fazenda Raimundo</v>
          </cell>
        </row>
        <row r="944">
          <cell r="A944">
            <v>13202233</v>
          </cell>
          <cell r="B944" t="str">
            <v>1.3.2.02.233</v>
          </cell>
          <cell r="C944" t="str">
            <v>5-Fazenda Cachoeirinha</v>
          </cell>
        </row>
        <row r="945">
          <cell r="A945">
            <v>13202234</v>
          </cell>
          <cell r="B945" t="str">
            <v>1.3.2.02.234</v>
          </cell>
          <cell r="C945" t="str">
            <v>5-Sitio Grande</v>
          </cell>
        </row>
        <row r="946">
          <cell r="A946">
            <v>13202235</v>
          </cell>
          <cell r="B946" t="str">
            <v>1.3.2.02.235</v>
          </cell>
          <cell r="C946" t="str">
            <v>5-Sitio Jurema</v>
          </cell>
        </row>
        <row r="947">
          <cell r="A947">
            <v>13202236</v>
          </cell>
          <cell r="B947" t="str">
            <v>1.3.2.02.236</v>
          </cell>
          <cell r="C947" t="str">
            <v>5-Fazenda Santa Marta</v>
          </cell>
        </row>
        <row r="948">
          <cell r="A948">
            <v>13202237</v>
          </cell>
          <cell r="B948" t="str">
            <v>1.3.2.02.237</v>
          </cell>
          <cell r="C948" t="str">
            <v>5-Fazenda N.S. Aparecida</v>
          </cell>
        </row>
        <row r="949">
          <cell r="A949">
            <v>13202238</v>
          </cell>
          <cell r="B949" t="str">
            <v>1.3.2.02.238</v>
          </cell>
          <cell r="C949" t="str">
            <v>5-Fazenda Santa Rosa</v>
          </cell>
        </row>
        <row r="950">
          <cell r="A950">
            <v>13202239</v>
          </cell>
          <cell r="B950" t="str">
            <v>1.3.2.02.239</v>
          </cell>
          <cell r="C950" t="str">
            <v>5-Fazenda Santa Joana</v>
          </cell>
        </row>
        <row r="951">
          <cell r="A951">
            <v>13202240</v>
          </cell>
          <cell r="B951" t="str">
            <v>1.3.2.02.240</v>
          </cell>
          <cell r="C951" t="str">
            <v>5-Fazenda Santa Quiteria (Pedra Negra)</v>
          </cell>
        </row>
        <row r="952">
          <cell r="A952">
            <v>13202241</v>
          </cell>
          <cell r="B952" t="str">
            <v>1.3.2.02.241</v>
          </cell>
          <cell r="C952" t="str">
            <v>5-Fazenda Santa Ines</v>
          </cell>
        </row>
        <row r="953">
          <cell r="A953">
            <v>13202242</v>
          </cell>
          <cell r="B953" t="str">
            <v>1.3.2.02.242</v>
          </cell>
          <cell r="C953" t="str">
            <v>5-Fazenda Yamamoto</v>
          </cell>
        </row>
        <row r="954">
          <cell r="A954">
            <v>13202243</v>
          </cell>
          <cell r="B954" t="str">
            <v>1.3.2.02.243</v>
          </cell>
          <cell r="C954" t="str">
            <v>5-Fazenda São Francisco</v>
          </cell>
        </row>
        <row r="955">
          <cell r="A955">
            <v>13202244</v>
          </cell>
          <cell r="B955" t="str">
            <v>1.3.2.02.244</v>
          </cell>
          <cell r="C955" t="str">
            <v>5-Fazenda San Romulo</v>
          </cell>
        </row>
        <row r="956">
          <cell r="A956">
            <v>13202245</v>
          </cell>
          <cell r="B956" t="str">
            <v>1.3.2.02.245</v>
          </cell>
          <cell r="C956" t="str">
            <v>5-Fazenda Ponta Porã</v>
          </cell>
        </row>
        <row r="957">
          <cell r="A957">
            <v>13202246</v>
          </cell>
          <cell r="B957" t="str">
            <v>1.3.2.02.246</v>
          </cell>
          <cell r="C957" t="str">
            <v>5-Fazenda São José</v>
          </cell>
        </row>
        <row r="958">
          <cell r="A958">
            <v>13202247</v>
          </cell>
          <cell r="B958" t="str">
            <v>1.3.2.02.247</v>
          </cell>
          <cell r="C958" t="str">
            <v>5-Fazenda Santa Terezinha</v>
          </cell>
        </row>
        <row r="959">
          <cell r="A959">
            <v>13202248</v>
          </cell>
          <cell r="B959" t="str">
            <v>1.3.2.02.248</v>
          </cell>
          <cell r="C959" t="str">
            <v>5-Fazenda Pedra Negra</v>
          </cell>
        </row>
        <row r="960">
          <cell r="A960">
            <v>13202249</v>
          </cell>
          <cell r="B960" t="str">
            <v>1.3.2.02.249</v>
          </cell>
          <cell r="C960" t="str">
            <v>5-Fazenda Faceiro B</v>
          </cell>
        </row>
        <row r="961">
          <cell r="A961">
            <v>13202250</v>
          </cell>
          <cell r="B961" t="str">
            <v>1.3.2.02.250</v>
          </cell>
          <cell r="C961" t="str">
            <v>5-Fazenda São Rafael</v>
          </cell>
        </row>
        <row r="962">
          <cell r="A962">
            <v>13202251</v>
          </cell>
          <cell r="B962" t="str">
            <v>1.3.2.02.251</v>
          </cell>
          <cell r="C962" t="str">
            <v>5-Sitio Rio Grande II</v>
          </cell>
        </row>
        <row r="963">
          <cell r="A963">
            <v>13202252</v>
          </cell>
          <cell r="B963" t="str">
            <v>1.3.2.02.252</v>
          </cell>
          <cell r="C963" t="str">
            <v>5-Fazenda Dois Irmãos</v>
          </cell>
        </row>
        <row r="964">
          <cell r="A964">
            <v>13202253</v>
          </cell>
          <cell r="B964" t="str">
            <v>1.3.2.02.253</v>
          </cell>
          <cell r="C964" t="str">
            <v>5-Fazenda Barra L</v>
          </cell>
        </row>
        <row r="965">
          <cell r="A965">
            <v>13202254</v>
          </cell>
          <cell r="B965" t="str">
            <v>1.3.2.02.254</v>
          </cell>
          <cell r="C965" t="str">
            <v>5-Fazenda Santa Maria</v>
          </cell>
        </row>
        <row r="966">
          <cell r="A966">
            <v>13202255</v>
          </cell>
          <cell r="B966" t="str">
            <v>1.3.2.02.255</v>
          </cell>
          <cell r="C966" t="str">
            <v>5-Fazenda Bom Jesus I</v>
          </cell>
        </row>
        <row r="967">
          <cell r="A967">
            <v>13202256</v>
          </cell>
          <cell r="B967" t="str">
            <v>1.3.2.02.256</v>
          </cell>
          <cell r="C967" t="str">
            <v>5-Fazenda Santa Quitéria</v>
          </cell>
        </row>
        <row r="968">
          <cell r="A968">
            <v>13202257</v>
          </cell>
          <cell r="B968" t="str">
            <v>1.3.2.02.257</v>
          </cell>
          <cell r="C968" t="str">
            <v>7-Fazenda Dom Pierino-Dourados</v>
          </cell>
        </row>
        <row r="969">
          <cell r="A969">
            <v>13202258</v>
          </cell>
          <cell r="B969" t="str">
            <v>1.3.2.02.258</v>
          </cell>
          <cell r="C969" t="str">
            <v>7-Fazenda Dal Lago</v>
          </cell>
        </row>
        <row r="970">
          <cell r="A970">
            <v>13202259</v>
          </cell>
          <cell r="B970" t="str">
            <v>1.3.2.02.259</v>
          </cell>
          <cell r="C970" t="str">
            <v>7-Fazenda Figeuria</v>
          </cell>
        </row>
        <row r="971">
          <cell r="A971">
            <v>13202260</v>
          </cell>
          <cell r="B971" t="str">
            <v>1.3.2.02.260</v>
          </cell>
          <cell r="C971" t="str">
            <v>7-Fazenda Lucelia</v>
          </cell>
        </row>
        <row r="972">
          <cell r="A972">
            <v>13202261</v>
          </cell>
          <cell r="B972" t="str">
            <v>1.3.2.02.261</v>
          </cell>
          <cell r="C972" t="str">
            <v>7-Fazenda Santa Emilia</v>
          </cell>
        </row>
        <row r="973">
          <cell r="A973">
            <v>13202262</v>
          </cell>
          <cell r="B973" t="str">
            <v>1.3.2.02.262</v>
          </cell>
          <cell r="C973" t="str">
            <v>7-Fazenda Fortaleza</v>
          </cell>
        </row>
        <row r="974">
          <cell r="A974">
            <v>13202263</v>
          </cell>
          <cell r="B974" t="str">
            <v>1.3.2.02.263</v>
          </cell>
          <cell r="C974" t="str">
            <v>7-Fazenda Guarirobinha</v>
          </cell>
        </row>
        <row r="975">
          <cell r="A975">
            <v>13202264</v>
          </cell>
          <cell r="B975" t="str">
            <v>1.3.2.02.264</v>
          </cell>
          <cell r="C975" t="str">
            <v>9-Fazenda Tres Irmãs</v>
          </cell>
        </row>
        <row r="976">
          <cell r="A976">
            <v>13202265</v>
          </cell>
          <cell r="B976" t="str">
            <v>1.3.2.02.265</v>
          </cell>
          <cell r="C976" t="str">
            <v>7-Fazenda Quevedo</v>
          </cell>
        </row>
        <row r="977">
          <cell r="A977">
            <v>13202266</v>
          </cell>
          <cell r="B977" t="str">
            <v>1.3.2.02.266</v>
          </cell>
          <cell r="C977" t="str">
            <v>7-Fazenda Jatoba</v>
          </cell>
        </row>
        <row r="978">
          <cell r="A978">
            <v>13202267</v>
          </cell>
          <cell r="B978" t="str">
            <v>1.3.2.02.267</v>
          </cell>
          <cell r="C978" t="str">
            <v>7-Fazenda Carioca</v>
          </cell>
        </row>
        <row r="979">
          <cell r="A979">
            <v>13202268</v>
          </cell>
          <cell r="B979" t="str">
            <v>1.3.2.02.268</v>
          </cell>
          <cell r="C979" t="str">
            <v>7-Fazenda Dal Lago II</v>
          </cell>
        </row>
        <row r="980">
          <cell r="A980">
            <v>13202269</v>
          </cell>
          <cell r="B980" t="str">
            <v>1.3.2.02.269</v>
          </cell>
          <cell r="C980" t="str">
            <v>7-Fazenda Dal LAgo III</v>
          </cell>
        </row>
        <row r="981">
          <cell r="A981">
            <v>13202270</v>
          </cell>
          <cell r="B981" t="str">
            <v>1.3.2.02.270</v>
          </cell>
          <cell r="C981" t="str">
            <v>7-Fazenda Santa Maria</v>
          </cell>
        </row>
        <row r="982">
          <cell r="A982">
            <v>13202271</v>
          </cell>
          <cell r="B982" t="str">
            <v>1.3.2.02.271</v>
          </cell>
          <cell r="C982" t="str">
            <v>7-Fazenda Santa Ines</v>
          </cell>
        </row>
        <row r="983">
          <cell r="A983">
            <v>13202272</v>
          </cell>
          <cell r="B983" t="str">
            <v>1.3.2.02.272</v>
          </cell>
          <cell r="C983" t="str">
            <v>9-Fazenda Santa Rosa</v>
          </cell>
        </row>
        <row r="984">
          <cell r="A984">
            <v>13202273</v>
          </cell>
          <cell r="B984" t="str">
            <v>1.3.2.02.273</v>
          </cell>
          <cell r="C984" t="str">
            <v>9-Fazenda Ary Gaia II</v>
          </cell>
        </row>
        <row r="985">
          <cell r="A985">
            <v>13202274</v>
          </cell>
          <cell r="B985" t="str">
            <v>1.3.2.02.274</v>
          </cell>
          <cell r="C985" t="str">
            <v>9-Fazenda Valença</v>
          </cell>
        </row>
        <row r="986">
          <cell r="A986">
            <v>13202275</v>
          </cell>
          <cell r="B986" t="str">
            <v>1.3.2.02.275</v>
          </cell>
          <cell r="C986" t="str">
            <v>9-Fazenda Castilho</v>
          </cell>
        </row>
        <row r="987">
          <cell r="A987">
            <v>13202276</v>
          </cell>
          <cell r="B987" t="str">
            <v>1.3.2.02.276</v>
          </cell>
          <cell r="C987" t="str">
            <v>7-Fazenda Fortaleza II</v>
          </cell>
        </row>
        <row r="988">
          <cell r="A988">
            <v>13202277</v>
          </cell>
          <cell r="B988" t="str">
            <v>1.3.2.02.277</v>
          </cell>
          <cell r="C988" t="str">
            <v>7-Fazenda Serra Branca</v>
          </cell>
        </row>
        <row r="989">
          <cell r="A989">
            <v>13202278</v>
          </cell>
          <cell r="B989" t="str">
            <v>1.3.2.02.278</v>
          </cell>
          <cell r="C989" t="str">
            <v>7-Fazenda Nova Esperança</v>
          </cell>
        </row>
        <row r="990">
          <cell r="A990">
            <v>13202279</v>
          </cell>
          <cell r="B990" t="str">
            <v>1.3.2.02.279</v>
          </cell>
          <cell r="C990" t="str">
            <v>9-Fazenda Limoeiro</v>
          </cell>
        </row>
        <row r="991">
          <cell r="A991">
            <v>13202280</v>
          </cell>
          <cell r="B991" t="str">
            <v>1.3.2.02.280</v>
          </cell>
          <cell r="C991" t="str">
            <v>Estancia Tres Nascentes (1296)</v>
          </cell>
        </row>
        <row r="992">
          <cell r="A992">
            <v>13202291</v>
          </cell>
          <cell r="B992" t="str">
            <v>1.3.2.02.291</v>
          </cell>
          <cell r="C992" t="str">
            <v>Fazenda N.S.Aparecida III</v>
          </cell>
        </row>
        <row r="993">
          <cell r="A993">
            <v>13202292</v>
          </cell>
          <cell r="B993" t="str">
            <v>1.3.2.02.292</v>
          </cell>
          <cell r="C993" t="str">
            <v>Fazenda Santo Antonio III</v>
          </cell>
        </row>
        <row r="994">
          <cell r="A994">
            <v>13202293</v>
          </cell>
          <cell r="B994" t="str">
            <v>1.3.2.02.293</v>
          </cell>
          <cell r="C994" t="str">
            <v>9-Fazenda Santa Rosa II</v>
          </cell>
        </row>
        <row r="995">
          <cell r="A995">
            <v>13202294</v>
          </cell>
          <cell r="B995" t="str">
            <v>1.3.2.02.294</v>
          </cell>
          <cell r="C995" t="str">
            <v>Sitio Salmourao III (1305)</v>
          </cell>
        </row>
        <row r="996">
          <cell r="A996">
            <v>13202295</v>
          </cell>
          <cell r="B996" t="str">
            <v>1.3.2.02.295</v>
          </cell>
          <cell r="C996" t="str">
            <v>Fazenda Caru (1294)</v>
          </cell>
        </row>
        <row r="997">
          <cell r="A997">
            <v>13202296</v>
          </cell>
          <cell r="B997" t="str">
            <v>1.3.2.02.296</v>
          </cell>
          <cell r="C997" t="str">
            <v>Fazenda Sao Joao</v>
          </cell>
        </row>
        <row r="998">
          <cell r="A998">
            <v>13202297</v>
          </cell>
          <cell r="B998" t="str">
            <v>1.3.2.02.297</v>
          </cell>
          <cell r="C998" t="str">
            <v>9-Fazenda Caiçara</v>
          </cell>
        </row>
        <row r="999">
          <cell r="A999">
            <v>13202298</v>
          </cell>
          <cell r="B999" t="str">
            <v>1.3.2.02.298</v>
          </cell>
          <cell r="C999" t="str">
            <v>9-Fazenda Vitória</v>
          </cell>
        </row>
        <row r="1000">
          <cell r="A1000">
            <v>13202299</v>
          </cell>
          <cell r="B1000" t="str">
            <v>1.3.2.02.299</v>
          </cell>
          <cell r="C1000" t="str">
            <v>Estancia Tres Irmaos (1295)</v>
          </cell>
        </row>
        <row r="1001">
          <cell r="A1001">
            <v>13202300</v>
          </cell>
          <cell r="B1001" t="str">
            <v>1.3.2.02.300</v>
          </cell>
          <cell r="C1001" t="str">
            <v>9-Fazenda Dois Vales</v>
          </cell>
        </row>
        <row r="1002">
          <cell r="A1002">
            <v>13202301</v>
          </cell>
          <cell r="B1002" t="str">
            <v>1.3.2.02.301</v>
          </cell>
          <cell r="C1002" t="str">
            <v>1- Sitio Sao Jose</v>
          </cell>
        </row>
        <row r="1003">
          <cell r="A1003">
            <v>13202302</v>
          </cell>
          <cell r="B1003" t="str">
            <v>1.3.2.02.302</v>
          </cell>
          <cell r="C1003" t="str">
            <v>1- Fazenda Sao Joaquim</v>
          </cell>
        </row>
        <row r="1004">
          <cell r="A1004">
            <v>13202303</v>
          </cell>
          <cell r="B1004" t="str">
            <v>1.3.2.02.303</v>
          </cell>
          <cell r="C1004" t="str">
            <v>1- Fazenda Palaciow</v>
          </cell>
        </row>
        <row r="1005">
          <cell r="A1005">
            <v>13202304</v>
          </cell>
          <cell r="B1005" t="str">
            <v>1.3.2.02.304</v>
          </cell>
          <cell r="C1005" t="str">
            <v>Fazenda Vale Verde</v>
          </cell>
        </row>
        <row r="1006">
          <cell r="A1006">
            <v>13202305</v>
          </cell>
          <cell r="B1006" t="str">
            <v>1.3.2.02.305</v>
          </cell>
          <cell r="C1006" t="str">
            <v>7-Fazenda Tres Irmas I</v>
          </cell>
        </row>
        <row r="1007">
          <cell r="A1007">
            <v>13202306</v>
          </cell>
          <cell r="B1007" t="str">
            <v>1.3.2.02.306</v>
          </cell>
          <cell r="C1007" t="str">
            <v>5- Fazenda Santa Quiteria</v>
          </cell>
        </row>
        <row r="1008">
          <cell r="A1008">
            <v>13202307</v>
          </cell>
          <cell r="B1008" t="str">
            <v>1.3.2.02.307</v>
          </cell>
          <cell r="C1008" t="str">
            <v>5- Fazenda Cabana</v>
          </cell>
        </row>
        <row r="1009">
          <cell r="A1009">
            <v>13202308</v>
          </cell>
          <cell r="B1009" t="str">
            <v>1.3.2.02.308</v>
          </cell>
          <cell r="C1009" t="str">
            <v>5- Fazenda Nossa Senhora Aparecida</v>
          </cell>
        </row>
        <row r="1010">
          <cell r="A1010">
            <v>13202309</v>
          </cell>
          <cell r="B1010" t="str">
            <v>1.3.2.02.309</v>
          </cell>
          <cell r="C1010" t="str">
            <v>5- Fazenda Eldorado</v>
          </cell>
        </row>
        <row r="1011">
          <cell r="A1011">
            <v>13202310</v>
          </cell>
          <cell r="B1011" t="str">
            <v>1.3.2.02.310</v>
          </cell>
          <cell r="C1011" t="str">
            <v>5- Fazenda Sao Jose</v>
          </cell>
        </row>
        <row r="1012">
          <cell r="A1012">
            <v>13202311</v>
          </cell>
          <cell r="B1012" t="str">
            <v>1.3.2.02.311</v>
          </cell>
          <cell r="C1012" t="str">
            <v>9-Fazenda do Sam</v>
          </cell>
        </row>
        <row r="1013">
          <cell r="A1013">
            <v>13202312</v>
          </cell>
          <cell r="B1013" t="str">
            <v>1.3.2.02.312</v>
          </cell>
          <cell r="C1013" t="str">
            <v>9-Sítio Planalto</v>
          </cell>
        </row>
        <row r="1014">
          <cell r="A1014">
            <v>13202313</v>
          </cell>
          <cell r="B1014" t="str">
            <v>1.3.2.02.313</v>
          </cell>
          <cell r="C1014" t="str">
            <v>9-Sítio TrÊs Irmãos</v>
          </cell>
        </row>
        <row r="1015">
          <cell r="A1015">
            <v>13202314</v>
          </cell>
          <cell r="B1015" t="str">
            <v>1.3.2.02.314</v>
          </cell>
          <cell r="C1015" t="str">
            <v>5- Sítio São Jerônimo</v>
          </cell>
        </row>
        <row r="1016">
          <cell r="A1016">
            <v>13202315</v>
          </cell>
          <cell r="B1016" t="str">
            <v>1.3.2.02.315</v>
          </cell>
          <cell r="C1016" t="str">
            <v>Fazenda Jangadinha</v>
          </cell>
        </row>
        <row r="1017">
          <cell r="A1017">
            <v>13202316</v>
          </cell>
          <cell r="B1017" t="str">
            <v>1.3.2.02.316</v>
          </cell>
          <cell r="C1017" t="str">
            <v>Fazenda Santo Antonio I</v>
          </cell>
        </row>
        <row r="1018">
          <cell r="A1018">
            <v>13202317</v>
          </cell>
          <cell r="B1018" t="str">
            <v>1.3.2.02.317</v>
          </cell>
          <cell r="C1018" t="str">
            <v>Fazenda Boa Esperança</v>
          </cell>
        </row>
        <row r="1019">
          <cell r="A1019">
            <v>13202318</v>
          </cell>
          <cell r="B1019" t="str">
            <v>1.3.2.02.318</v>
          </cell>
          <cell r="C1019" t="str">
            <v>7- Fazenda Jacutinga</v>
          </cell>
        </row>
        <row r="1020">
          <cell r="A1020">
            <v>13202319</v>
          </cell>
          <cell r="B1020" t="str">
            <v>1.3.2.02.319</v>
          </cell>
          <cell r="C1020" t="str">
            <v>5- Fzda Irmaos Cavalcanti (3104)</v>
          </cell>
        </row>
        <row r="1021">
          <cell r="A1021">
            <v>13202320</v>
          </cell>
          <cell r="B1021" t="str">
            <v>1.3.2.02.320</v>
          </cell>
          <cell r="C1021" t="str">
            <v>5- Fzda Sul Matogrossense (3107)</v>
          </cell>
        </row>
        <row r="1022">
          <cell r="A1022">
            <v>13202321</v>
          </cell>
          <cell r="B1022" t="str">
            <v>1.3.2.02.321</v>
          </cell>
          <cell r="C1022" t="str">
            <v>5- Fzda Santo Terezinha (3126)</v>
          </cell>
        </row>
        <row r="1023">
          <cell r="A1023">
            <v>13202322</v>
          </cell>
          <cell r="B1023" t="str">
            <v>1.3.2.02.322</v>
          </cell>
          <cell r="C1023" t="str">
            <v>5- Fzda Campos e Flores (3128)</v>
          </cell>
        </row>
        <row r="1024">
          <cell r="A1024">
            <v>13202323</v>
          </cell>
          <cell r="B1024" t="str">
            <v>1.3.2.02.323</v>
          </cell>
          <cell r="C1024" t="str">
            <v>5- Fazenda Boa Sorte (3123)</v>
          </cell>
        </row>
        <row r="1025">
          <cell r="A1025">
            <v>13202324</v>
          </cell>
          <cell r="B1025" t="str">
            <v>1.3.2.02.324</v>
          </cell>
          <cell r="C1025" t="str">
            <v>Fazenda Santo Anotnio II</v>
          </cell>
        </row>
        <row r="1026">
          <cell r="A1026">
            <v>13202325</v>
          </cell>
          <cell r="B1026" t="str">
            <v>1.3.2.02.325</v>
          </cell>
          <cell r="C1026" t="str">
            <v>Fazenda Promissão</v>
          </cell>
        </row>
        <row r="1027">
          <cell r="A1027">
            <v>13202326</v>
          </cell>
          <cell r="B1027" t="str">
            <v>1.3.2.02.326</v>
          </cell>
          <cell r="C1027" t="str">
            <v>5-Fazenda Terras Jardim</v>
          </cell>
        </row>
        <row r="1028">
          <cell r="A1028">
            <v>13202327</v>
          </cell>
          <cell r="B1028" t="str">
            <v>1.3.2.02.327</v>
          </cell>
          <cell r="C1028" t="str">
            <v>5-Estancia Esperanca</v>
          </cell>
        </row>
        <row r="1029">
          <cell r="A1029">
            <v>13202328</v>
          </cell>
          <cell r="B1029" t="str">
            <v>1.3.2.02.328</v>
          </cell>
          <cell r="C1029" t="str">
            <v>Fazenda Unialco I</v>
          </cell>
        </row>
        <row r="1030">
          <cell r="A1030">
            <v>13202329</v>
          </cell>
          <cell r="B1030" t="str">
            <v>1.3.2.02.329</v>
          </cell>
          <cell r="C1030" t="str">
            <v>Fazenda Santa Aurelia</v>
          </cell>
        </row>
        <row r="1031">
          <cell r="A1031">
            <v>13202330</v>
          </cell>
          <cell r="B1031" t="str">
            <v>1.3.2.02.330</v>
          </cell>
          <cell r="C1031" t="str">
            <v>7- Fazenda Dal Lago IV</v>
          </cell>
        </row>
        <row r="1032">
          <cell r="A1032">
            <v>13202331</v>
          </cell>
          <cell r="B1032" t="str">
            <v>1.3.2.02.331</v>
          </cell>
          <cell r="C1032" t="str">
            <v>7- Fazenda Rio Peroba</v>
          </cell>
        </row>
        <row r="1033">
          <cell r="A1033">
            <v>13202332</v>
          </cell>
          <cell r="B1033" t="str">
            <v>1.3.2.02.332</v>
          </cell>
          <cell r="C1033" t="str">
            <v>5- Fazenda Santa Helena</v>
          </cell>
        </row>
        <row r="1034">
          <cell r="A1034">
            <v>13202333</v>
          </cell>
          <cell r="B1034" t="str">
            <v>1.3.2.02.333</v>
          </cell>
          <cell r="C1034" t="str">
            <v>5- Fazenda Santa Bárbara</v>
          </cell>
        </row>
        <row r="1035">
          <cell r="A1035">
            <v>13202334</v>
          </cell>
          <cell r="B1035" t="str">
            <v>1.3.2.02.334</v>
          </cell>
          <cell r="C1035" t="str">
            <v>7-Fazenda Volta Rica</v>
          </cell>
        </row>
        <row r="1036">
          <cell r="A1036">
            <v>13202335</v>
          </cell>
          <cell r="B1036" t="str">
            <v>1.3.2.02.335</v>
          </cell>
          <cell r="C1036" t="str">
            <v>9-Fazenda São Sebastião II</v>
          </cell>
        </row>
        <row r="1037">
          <cell r="A1037">
            <v>13202336</v>
          </cell>
          <cell r="B1037" t="str">
            <v>1.3.2.02.336</v>
          </cell>
          <cell r="C1037" t="str">
            <v>9-Chacara SLC</v>
          </cell>
        </row>
        <row r="1038">
          <cell r="A1038">
            <v>13202337</v>
          </cell>
          <cell r="B1038" t="str">
            <v>1.3.2.02.337</v>
          </cell>
          <cell r="C1038" t="str">
            <v>9-Fazenda Santa Ana</v>
          </cell>
        </row>
        <row r="1039">
          <cell r="A1039">
            <v>13202338</v>
          </cell>
          <cell r="B1039" t="str">
            <v>1.3.2.02.338</v>
          </cell>
          <cell r="C1039" t="str">
            <v>9-Fazenda Brasil</v>
          </cell>
        </row>
        <row r="1040">
          <cell r="A1040">
            <v>13202339</v>
          </cell>
          <cell r="B1040" t="str">
            <v>1.3.2.02.339</v>
          </cell>
          <cell r="C1040" t="str">
            <v>9-Fazenda Cangaçu</v>
          </cell>
        </row>
        <row r="1041">
          <cell r="A1041">
            <v>13202340</v>
          </cell>
          <cell r="B1041" t="str">
            <v>1.3.2.02.340</v>
          </cell>
          <cell r="C1041" t="str">
            <v>9-Fazenda Brasil II</v>
          </cell>
        </row>
        <row r="1042">
          <cell r="A1042">
            <v>13202341</v>
          </cell>
          <cell r="B1042" t="str">
            <v>1.3.2.02.341</v>
          </cell>
          <cell r="C1042" t="str">
            <v>9-Fazenda Sao Paulo</v>
          </cell>
        </row>
        <row r="1043">
          <cell r="A1043">
            <v>13202342</v>
          </cell>
          <cell r="B1043" t="str">
            <v>1.3.2.02.342</v>
          </cell>
          <cell r="C1043" t="str">
            <v>7- Fazenda Cristal</v>
          </cell>
        </row>
        <row r="1044">
          <cell r="A1044">
            <v>13202343</v>
          </cell>
          <cell r="B1044" t="str">
            <v>1.3.2.02.343</v>
          </cell>
          <cell r="C1044" t="str">
            <v>9-Sitio Bela Vista</v>
          </cell>
        </row>
        <row r="1045">
          <cell r="A1045">
            <v>13202344</v>
          </cell>
          <cell r="B1045" t="str">
            <v>1.3.2.02.344</v>
          </cell>
          <cell r="C1045" t="str">
            <v>9-Fazenda Sao Felix</v>
          </cell>
        </row>
        <row r="1046">
          <cell r="A1046">
            <v>13202345</v>
          </cell>
          <cell r="B1046" t="str">
            <v>1.3.2.02.345</v>
          </cell>
          <cell r="C1046" t="str">
            <v>9-Sitio Bela Vista III - Ilha Solt.</v>
          </cell>
        </row>
        <row r="1047">
          <cell r="A1047">
            <v>13202346</v>
          </cell>
          <cell r="B1047" t="str">
            <v>1.3.2.02.346</v>
          </cell>
          <cell r="C1047" t="str">
            <v>Sitio Primor</v>
          </cell>
        </row>
        <row r="1048">
          <cell r="A1048">
            <v>13202347</v>
          </cell>
          <cell r="B1048" t="str">
            <v>1.3.2.02.347</v>
          </cell>
          <cell r="C1048" t="str">
            <v>Estancia Santa Olga</v>
          </cell>
        </row>
        <row r="1049">
          <cell r="A1049">
            <v>13202348</v>
          </cell>
          <cell r="B1049" t="str">
            <v>1.3.2.02.348</v>
          </cell>
          <cell r="C1049" t="str">
            <v>Estancia Sao Francisco</v>
          </cell>
        </row>
        <row r="1050">
          <cell r="A1050">
            <v>13202349</v>
          </cell>
          <cell r="B1050" t="str">
            <v>1.3.2.02.349</v>
          </cell>
          <cell r="C1050" t="str">
            <v>Sitio Rio das Pedras</v>
          </cell>
        </row>
        <row r="1051">
          <cell r="A1051">
            <v>13202350</v>
          </cell>
          <cell r="B1051" t="str">
            <v>1.3.2.02.350</v>
          </cell>
          <cell r="C1051" t="str">
            <v>9-Frco Neto II</v>
          </cell>
        </row>
        <row r="1052">
          <cell r="A1052">
            <v>13202351</v>
          </cell>
          <cell r="B1052" t="str">
            <v>1.3.2.02.351</v>
          </cell>
          <cell r="C1052" t="str">
            <v>7- Fazenda Figueira II</v>
          </cell>
        </row>
        <row r="1053">
          <cell r="A1053">
            <v>13202352</v>
          </cell>
          <cell r="B1053" t="str">
            <v>1.3.2.02.352</v>
          </cell>
          <cell r="C1053" t="str">
            <v>7- Sitio São Pedro</v>
          </cell>
        </row>
        <row r="1054">
          <cell r="A1054">
            <v>13202353</v>
          </cell>
          <cell r="B1054" t="str">
            <v>1.3.2.02.353</v>
          </cell>
          <cell r="C1054" t="str">
            <v>9-Fazenda Bela Vista II -Aparecida</v>
          </cell>
        </row>
        <row r="1055">
          <cell r="A1055">
            <v>13202354</v>
          </cell>
          <cell r="B1055" t="str">
            <v>1.3.2.02.354</v>
          </cell>
          <cell r="C1055" t="str">
            <v>9-Estancia Lavinia</v>
          </cell>
        </row>
        <row r="1056">
          <cell r="A1056">
            <v>13202355</v>
          </cell>
          <cell r="B1056" t="str">
            <v>1.3.2.02.355</v>
          </cell>
          <cell r="C1056" t="str">
            <v>9-Sitio Santo Antonio</v>
          </cell>
        </row>
        <row r="1057">
          <cell r="A1057">
            <v>13202356</v>
          </cell>
          <cell r="B1057" t="str">
            <v>1.3.2.02.356</v>
          </cell>
          <cell r="C1057" t="str">
            <v>9-Sitio Morumbi</v>
          </cell>
        </row>
        <row r="1058">
          <cell r="A1058">
            <v>13202357</v>
          </cell>
          <cell r="B1058" t="str">
            <v>1.3.2.02.357</v>
          </cell>
          <cell r="C1058" t="str">
            <v>Sitio Izabel II</v>
          </cell>
        </row>
        <row r="1059">
          <cell r="A1059">
            <v>13202358</v>
          </cell>
          <cell r="B1059" t="str">
            <v>1.3.2.02.358</v>
          </cell>
          <cell r="C1059" t="str">
            <v>Fazenda Santa Luiza</v>
          </cell>
        </row>
        <row r="1060">
          <cell r="A1060">
            <v>13202359</v>
          </cell>
          <cell r="B1060" t="str">
            <v>1.3.2.02.359</v>
          </cell>
          <cell r="C1060" t="str">
            <v>Sitio Sao Joao</v>
          </cell>
        </row>
        <row r="1061">
          <cell r="A1061">
            <v>13202360</v>
          </cell>
          <cell r="B1061" t="str">
            <v>1.3.2.02.360</v>
          </cell>
          <cell r="C1061" t="str">
            <v>Fazenda Rio Preto</v>
          </cell>
        </row>
        <row r="1062">
          <cell r="A1062">
            <v>13202361</v>
          </cell>
          <cell r="B1062" t="str">
            <v>1.3.2.02.361</v>
          </cell>
          <cell r="C1062" t="str">
            <v>Estancia Regina</v>
          </cell>
        </row>
        <row r="1063">
          <cell r="A1063">
            <v>13202362</v>
          </cell>
          <cell r="B1063" t="str">
            <v>1.3.2.02.362</v>
          </cell>
          <cell r="C1063" t="str">
            <v>Fazenda Esperança</v>
          </cell>
        </row>
        <row r="1064">
          <cell r="A1064">
            <v>13202363</v>
          </cell>
          <cell r="B1064" t="str">
            <v>1.3.2.02.363</v>
          </cell>
          <cell r="C1064" t="str">
            <v>10A- Fazenda São João - Carimbé.</v>
          </cell>
        </row>
        <row r="1065">
          <cell r="A1065">
            <v>13202364</v>
          </cell>
          <cell r="B1065" t="str">
            <v>1.3.2.02.364</v>
          </cell>
          <cell r="C1065" t="str">
            <v>10A- Fazenda Vale Verde</v>
          </cell>
        </row>
        <row r="1066">
          <cell r="A1066">
            <v>13202365</v>
          </cell>
          <cell r="B1066" t="str">
            <v>1.3.2.02.365</v>
          </cell>
          <cell r="C1066" t="str">
            <v>Fazenda Nunes</v>
          </cell>
        </row>
        <row r="1067">
          <cell r="A1067">
            <v>13202366</v>
          </cell>
          <cell r="B1067" t="str">
            <v>1.3.2.02.366</v>
          </cell>
          <cell r="C1067" t="str">
            <v>Estancia Lucia</v>
          </cell>
        </row>
        <row r="1068">
          <cell r="A1068">
            <v>13202367</v>
          </cell>
          <cell r="B1068" t="str">
            <v>1.3.2.02.367</v>
          </cell>
          <cell r="C1068" t="str">
            <v>Fazenda Tangará</v>
          </cell>
        </row>
        <row r="1069">
          <cell r="A1069">
            <v>13202368</v>
          </cell>
          <cell r="B1069" t="str">
            <v>1.3.2.02.368</v>
          </cell>
          <cell r="C1069" t="str">
            <v>Fazenda Conquista</v>
          </cell>
        </row>
        <row r="1070">
          <cell r="A1070">
            <v>13202369</v>
          </cell>
          <cell r="B1070" t="str">
            <v>1.3.2.02.369</v>
          </cell>
          <cell r="C1070" t="str">
            <v>5- Fazenda Jardim</v>
          </cell>
        </row>
        <row r="1071">
          <cell r="A1071">
            <v>13202370</v>
          </cell>
          <cell r="B1071" t="str">
            <v>1.3.2.02.370</v>
          </cell>
          <cell r="C1071" t="str">
            <v>9-Sitio Santa Izabel</v>
          </cell>
        </row>
        <row r="1072">
          <cell r="A1072">
            <v>13202371</v>
          </cell>
          <cell r="B1072" t="str">
            <v>1.3.2.02.371</v>
          </cell>
          <cell r="C1072" t="str">
            <v>9-Fazenda Sucesso</v>
          </cell>
        </row>
        <row r="1073">
          <cell r="A1073">
            <v>13202372</v>
          </cell>
          <cell r="B1073" t="str">
            <v>1.3.2.02.372</v>
          </cell>
          <cell r="C1073" t="str">
            <v>7- Fazenda Crioula</v>
          </cell>
        </row>
        <row r="1074">
          <cell r="A1074">
            <v>13202373</v>
          </cell>
          <cell r="B1074" t="str">
            <v>1.3.2.02.373</v>
          </cell>
          <cell r="C1074" t="str">
            <v>5- Fazenda Taperão</v>
          </cell>
        </row>
        <row r="1075">
          <cell r="A1075">
            <v>13202374</v>
          </cell>
          <cell r="B1075" t="str">
            <v>1.3.2.02.374</v>
          </cell>
          <cell r="C1075" t="str">
            <v>9-Fazenda Jatobá</v>
          </cell>
        </row>
        <row r="1076">
          <cell r="A1076">
            <v>13202375</v>
          </cell>
          <cell r="B1076" t="str">
            <v>1.3.2.02.375</v>
          </cell>
          <cell r="C1076" t="str">
            <v>9-Fazenda Jóia</v>
          </cell>
        </row>
        <row r="1077">
          <cell r="A1077">
            <v>13202376</v>
          </cell>
          <cell r="B1077" t="str">
            <v>1.3.2.02.376</v>
          </cell>
          <cell r="C1077" t="str">
            <v>9-Sítio Paraiso</v>
          </cell>
        </row>
        <row r="1078">
          <cell r="A1078">
            <v>13202377</v>
          </cell>
          <cell r="B1078" t="str">
            <v>1.3.2.02.377</v>
          </cell>
          <cell r="C1078" t="str">
            <v>9-Fz.N.Sra Aparecida III</v>
          </cell>
        </row>
        <row r="1079">
          <cell r="A1079">
            <v>13202378</v>
          </cell>
          <cell r="B1079" t="str">
            <v>1.3.2.02.378</v>
          </cell>
          <cell r="C1079" t="str">
            <v>9-Sitio Fugimoto</v>
          </cell>
        </row>
        <row r="1080">
          <cell r="A1080">
            <v>13202379</v>
          </cell>
          <cell r="B1080" t="str">
            <v>1.3.2.02.379</v>
          </cell>
          <cell r="C1080" t="str">
            <v>Fazenda Dois Corações</v>
          </cell>
        </row>
        <row r="1081">
          <cell r="A1081">
            <v>13202380</v>
          </cell>
          <cell r="B1081" t="str">
            <v>1.3.2.02.380</v>
          </cell>
          <cell r="C1081" t="str">
            <v>Fazenda Santa Barbara</v>
          </cell>
        </row>
        <row r="1082">
          <cell r="A1082">
            <v>13202381</v>
          </cell>
          <cell r="B1082" t="str">
            <v>1.3.2.02.381</v>
          </cell>
          <cell r="C1082" t="str">
            <v>Fazenda Sao Sebastiao I</v>
          </cell>
        </row>
        <row r="1083">
          <cell r="A1083">
            <v>13202382</v>
          </cell>
          <cell r="B1083" t="str">
            <v>1.3.2.02.382</v>
          </cell>
          <cell r="C1083" t="str">
            <v>7- Fazenda JAtoba I</v>
          </cell>
        </row>
        <row r="1084">
          <cell r="A1084">
            <v>13202383</v>
          </cell>
          <cell r="B1084" t="str">
            <v>1.3.2.02.383</v>
          </cell>
          <cell r="C1084" t="str">
            <v>9-Fazenda Bacury</v>
          </cell>
        </row>
        <row r="1085">
          <cell r="A1085">
            <v>13202384</v>
          </cell>
          <cell r="B1085" t="str">
            <v>1.3.2.02.384</v>
          </cell>
          <cell r="C1085" t="str">
            <v>Fazenda Liberdade</v>
          </cell>
        </row>
        <row r="1086">
          <cell r="A1086">
            <v>13202385</v>
          </cell>
          <cell r="B1086" t="str">
            <v>1.3.2.02.385</v>
          </cell>
          <cell r="C1086" t="str">
            <v>9-Sitio São Paulo</v>
          </cell>
        </row>
        <row r="1087">
          <cell r="A1087">
            <v>13202386</v>
          </cell>
          <cell r="B1087" t="str">
            <v>1.3.2.02.386</v>
          </cell>
          <cell r="C1087" t="str">
            <v>Fazenda Camaru</v>
          </cell>
        </row>
        <row r="1088">
          <cell r="A1088">
            <v>13202387</v>
          </cell>
          <cell r="B1088" t="str">
            <v>1.3.2.02.387</v>
          </cell>
          <cell r="C1088" t="str">
            <v>Fazenda Bem-Te-Vi</v>
          </cell>
        </row>
        <row r="1089">
          <cell r="A1089">
            <v>13202388</v>
          </cell>
          <cell r="B1089" t="str">
            <v>1.3.2.02.388</v>
          </cell>
          <cell r="C1089" t="str">
            <v>7- Fazenda Nossa Senhora Aparecida</v>
          </cell>
        </row>
        <row r="1090">
          <cell r="A1090">
            <v>13202389</v>
          </cell>
          <cell r="B1090" t="str">
            <v>1.3.2.02.389</v>
          </cell>
          <cell r="C1090" t="str">
            <v>7- Fazenda Sao Jose do Desterro</v>
          </cell>
        </row>
        <row r="1091">
          <cell r="A1091">
            <v>13202390</v>
          </cell>
          <cell r="B1091" t="str">
            <v>1.3.2.02.390</v>
          </cell>
          <cell r="C1091" t="str">
            <v>7- Fazenda Tres Meninos</v>
          </cell>
        </row>
        <row r="1092">
          <cell r="A1092">
            <v>13202391</v>
          </cell>
          <cell r="B1092" t="str">
            <v>1.3.2.02.391</v>
          </cell>
          <cell r="C1092" t="str">
            <v>Fazenda Fortaleza</v>
          </cell>
        </row>
        <row r="1093">
          <cell r="A1093">
            <v>13202392</v>
          </cell>
          <cell r="B1093" t="str">
            <v>1.3.2.02.392</v>
          </cell>
          <cell r="C1093" t="str">
            <v>7- Fazenda São José do Desterro I</v>
          </cell>
        </row>
        <row r="1094">
          <cell r="A1094">
            <v>13202393</v>
          </cell>
          <cell r="B1094" t="str">
            <v>1.3.2.02.393</v>
          </cell>
          <cell r="C1094" t="str">
            <v>7- Fazenda Santa Madalena</v>
          </cell>
        </row>
        <row r="1095">
          <cell r="A1095">
            <v>13202394</v>
          </cell>
          <cell r="B1095" t="str">
            <v>1.3.2.02.394</v>
          </cell>
          <cell r="C1095" t="str">
            <v>5- Fazenda Por do Sol (3127)</v>
          </cell>
        </row>
        <row r="1096">
          <cell r="A1096">
            <v>13202395</v>
          </cell>
          <cell r="B1096" t="str">
            <v>1.3.2.02.395</v>
          </cell>
          <cell r="C1096" t="str">
            <v>5- Fazenda Santa Helena (3116)</v>
          </cell>
        </row>
        <row r="1097">
          <cell r="A1097">
            <v>13202396</v>
          </cell>
          <cell r="B1097" t="str">
            <v>1.3.2.02.396</v>
          </cell>
          <cell r="C1097" t="str">
            <v>5- Fazenda N.Senhora aparecida (3142)</v>
          </cell>
        </row>
        <row r="1098">
          <cell r="A1098">
            <v>13202397</v>
          </cell>
          <cell r="B1098" t="str">
            <v>1.3.2.02.397</v>
          </cell>
          <cell r="C1098" t="str">
            <v>5- Fazenda Gavea</v>
          </cell>
        </row>
        <row r="1099">
          <cell r="A1099">
            <v>13202398</v>
          </cell>
          <cell r="B1099" t="str">
            <v>1.3.2.02.398</v>
          </cell>
          <cell r="C1099" t="str">
            <v>7- Fazenda Santa Maria</v>
          </cell>
        </row>
        <row r="1100">
          <cell r="A1100">
            <v>13202399</v>
          </cell>
          <cell r="B1100" t="str">
            <v>1.3.2.02.399</v>
          </cell>
          <cell r="C1100" t="str">
            <v>7- Fazenda Quevedo II</v>
          </cell>
        </row>
        <row r="1101">
          <cell r="A1101">
            <v>13202400</v>
          </cell>
          <cell r="B1101" t="str">
            <v>1.3.2.02.400</v>
          </cell>
          <cell r="C1101" t="str">
            <v>9-Fazenda Nossa Senhora Aparecida I</v>
          </cell>
        </row>
        <row r="1102">
          <cell r="A1102">
            <v>13202401</v>
          </cell>
          <cell r="B1102" t="str">
            <v>1.3.2.02.401</v>
          </cell>
          <cell r="C1102" t="str">
            <v>7- Fazenda Carioca III</v>
          </cell>
        </row>
        <row r="1103">
          <cell r="A1103">
            <v>13202402</v>
          </cell>
          <cell r="B1103" t="str">
            <v>1.3.2.02.402</v>
          </cell>
          <cell r="C1103" t="str">
            <v>7- Fazenda Jatobá II</v>
          </cell>
        </row>
        <row r="1104">
          <cell r="A1104">
            <v>13202403</v>
          </cell>
          <cell r="B1104" t="str">
            <v>1.3.2.02.403</v>
          </cell>
          <cell r="C1104" t="str">
            <v>7- Fazenda Tres Irmas II</v>
          </cell>
        </row>
        <row r="1105">
          <cell r="A1105">
            <v>13202404</v>
          </cell>
          <cell r="B1105" t="str">
            <v>1.3.2.02.404</v>
          </cell>
          <cell r="C1105" t="str">
            <v>7- Fazenda Sao Jose do Desterro II</v>
          </cell>
        </row>
        <row r="1106">
          <cell r="A1106">
            <v>13202405</v>
          </cell>
          <cell r="B1106" t="str">
            <v>1.3.2.02.405</v>
          </cell>
          <cell r="C1106" t="str">
            <v>9-Fazenda Guanabara I</v>
          </cell>
        </row>
        <row r="1107">
          <cell r="A1107">
            <v>13202406</v>
          </cell>
          <cell r="B1107" t="str">
            <v>1.3.2.02.406</v>
          </cell>
          <cell r="C1107" t="str">
            <v>5- Fazenda Duas Estrelas</v>
          </cell>
        </row>
        <row r="1108">
          <cell r="A1108">
            <v>13202407</v>
          </cell>
          <cell r="B1108" t="str">
            <v>1.3.2.02.407</v>
          </cell>
          <cell r="C1108" t="str">
            <v>Estancia Mendes</v>
          </cell>
        </row>
        <row r="1109">
          <cell r="A1109">
            <v>13202408</v>
          </cell>
          <cell r="B1109" t="str">
            <v>1.3.2.02.408</v>
          </cell>
          <cell r="C1109" t="str">
            <v>9-Fazenda Guanabara II</v>
          </cell>
        </row>
        <row r="1110">
          <cell r="A1110">
            <v>13202409</v>
          </cell>
          <cell r="B1110" t="str">
            <v>1.3.2.02.409</v>
          </cell>
          <cell r="C1110" t="str">
            <v>9-Chacara Maria Rosa</v>
          </cell>
        </row>
        <row r="1111">
          <cell r="A1111">
            <v>13202410</v>
          </cell>
          <cell r="B1111" t="str">
            <v>1.3.2.02.410</v>
          </cell>
          <cell r="C1111" t="str">
            <v>9-Estancia João Lazinho</v>
          </cell>
        </row>
        <row r="1112">
          <cell r="A1112">
            <v>13202411</v>
          </cell>
          <cell r="B1112" t="str">
            <v>1.3.2.02.411</v>
          </cell>
          <cell r="C1112" t="str">
            <v>5- Fazenda Nossa Senhora do Carmo</v>
          </cell>
        </row>
        <row r="1113">
          <cell r="A1113">
            <v>13202412</v>
          </cell>
          <cell r="B1113" t="str">
            <v>1.3.2.02.412</v>
          </cell>
          <cell r="C1113" t="str">
            <v>9-Fazenda N.Senhora Aparecida II</v>
          </cell>
        </row>
        <row r="1114">
          <cell r="A1114">
            <v>13202413</v>
          </cell>
          <cell r="B1114" t="str">
            <v>1.3.2.02.413</v>
          </cell>
          <cell r="C1114" t="str">
            <v>5- Estancia Esperança (Cintia)</v>
          </cell>
        </row>
        <row r="1115">
          <cell r="A1115">
            <v>13202414</v>
          </cell>
          <cell r="B1115" t="str">
            <v>1.3.2.02.414</v>
          </cell>
          <cell r="C1115" t="str">
            <v>5- Fazenda Herança</v>
          </cell>
        </row>
        <row r="1116">
          <cell r="A1116">
            <v>13202415</v>
          </cell>
          <cell r="B1116" t="str">
            <v>1.3.2.02.415</v>
          </cell>
          <cell r="C1116" t="str">
            <v>Sitio Sao Sebastiao II</v>
          </cell>
        </row>
        <row r="1117">
          <cell r="A1117">
            <v>13202416</v>
          </cell>
          <cell r="B1117" t="str">
            <v>1.3.2.02.416</v>
          </cell>
          <cell r="C1117" t="str">
            <v>Fazenda Caru I</v>
          </cell>
        </row>
        <row r="1118">
          <cell r="A1118">
            <v>13202417</v>
          </cell>
          <cell r="B1118" t="str">
            <v>1.3.2.02.417</v>
          </cell>
          <cell r="C1118" t="str">
            <v>Fazenda Caru III e IV</v>
          </cell>
        </row>
        <row r="1119">
          <cell r="A1119">
            <v>13202418</v>
          </cell>
          <cell r="B1119" t="str">
            <v>1.3.2.02.418</v>
          </cell>
          <cell r="C1119" t="str">
            <v>9-Fazenda Brasil III</v>
          </cell>
        </row>
        <row r="1120">
          <cell r="A1120">
            <v>13202419</v>
          </cell>
          <cell r="B1120" t="str">
            <v>1.3.2.02.419</v>
          </cell>
          <cell r="C1120" t="str">
            <v>9-Fazenda Santa tereza</v>
          </cell>
        </row>
        <row r="1121">
          <cell r="A1121">
            <v>13202420</v>
          </cell>
          <cell r="B1121" t="str">
            <v>1.3.2.02.420</v>
          </cell>
          <cell r="C1121" t="str">
            <v>9-Sitio Emilia</v>
          </cell>
        </row>
        <row r="1122">
          <cell r="A1122">
            <v>13202421</v>
          </cell>
          <cell r="B1122" t="str">
            <v>1.3.2.02.421</v>
          </cell>
          <cell r="C1122" t="str">
            <v>9-Sitio Professor Mauro</v>
          </cell>
        </row>
        <row r="1123">
          <cell r="A1123">
            <v>13202422</v>
          </cell>
          <cell r="B1123" t="str">
            <v>1.3.2.02.422</v>
          </cell>
          <cell r="C1123" t="str">
            <v>9-Fazenda Cova da Onca</v>
          </cell>
        </row>
        <row r="1124">
          <cell r="A1124">
            <v>13202423</v>
          </cell>
          <cell r="B1124" t="str">
            <v>1.3.2.02.423</v>
          </cell>
          <cell r="C1124" t="str">
            <v>9-Fazenda Dois Rios</v>
          </cell>
        </row>
        <row r="1125">
          <cell r="A1125">
            <v>13202424</v>
          </cell>
          <cell r="B1125" t="str">
            <v>1.3.2.02.424</v>
          </cell>
          <cell r="C1125" t="str">
            <v>5- Fazenda Jangadeiro</v>
          </cell>
        </row>
        <row r="1126">
          <cell r="A1126">
            <v>13202425</v>
          </cell>
          <cell r="B1126" t="str">
            <v>1.3.2.02.425</v>
          </cell>
          <cell r="C1126" t="str">
            <v>5- Fazenda Nunes III</v>
          </cell>
        </row>
        <row r="1127">
          <cell r="A1127">
            <v>13202499</v>
          </cell>
          <cell r="B1127" t="str">
            <v>1.3.2.02.499</v>
          </cell>
          <cell r="C1127" t="str">
            <v>Ativo Biologico - CPC29 - RTT</v>
          </cell>
        </row>
        <row r="1128">
          <cell r="A1128">
            <v>13202900</v>
          </cell>
          <cell r="B1128" t="str">
            <v>1.3.2.02.900</v>
          </cell>
          <cell r="C1128" t="str">
            <v>DEPRECIAÇÃO DE LAVOURAS</v>
          </cell>
        </row>
        <row r="1129">
          <cell r="A1129">
            <v>13202901</v>
          </cell>
          <cell r="B1129" t="str">
            <v>1.3.2.02.901</v>
          </cell>
          <cell r="C1129" t="str">
            <v>Lavouras formadas</v>
          </cell>
        </row>
        <row r="1130">
          <cell r="A1130">
            <v>13203000</v>
          </cell>
          <cell r="B1130" t="str">
            <v>1.3.2.03.000</v>
          </cell>
          <cell r="C1130" t="str">
            <v>INTANGÍVEL</v>
          </cell>
        </row>
        <row r="1131">
          <cell r="A1131">
            <v>13203100</v>
          </cell>
          <cell r="B1131" t="str">
            <v>1.3.2.03.100</v>
          </cell>
          <cell r="C1131" t="str">
            <v>INTANGÍVEL</v>
          </cell>
        </row>
        <row r="1132">
          <cell r="A1132">
            <v>13203101</v>
          </cell>
          <cell r="B1132" t="str">
            <v>1.3.2.03.101</v>
          </cell>
          <cell r="C1132" t="str">
            <v>Softwares</v>
          </cell>
        </row>
        <row r="1133">
          <cell r="A1133">
            <v>13203900</v>
          </cell>
          <cell r="B1133" t="str">
            <v>1.3.2.03.900</v>
          </cell>
          <cell r="C1133" t="str">
            <v>DEPRECIAÇÕES</v>
          </cell>
        </row>
        <row r="1134">
          <cell r="A1134">
            <v>13203901</v>
          </cell>
          <cell r="B1134" t="str">
            <v>1.3.2.03.901</v>
          </cell>
          <cell r="C1134" t="str">
            <v>Depreciação Softwares</v>
          </cell>
        </row>
        <row r="1135">
          <cell r="A1135">
            <v>13204000</v>
          </cell>
          <cell r="B1135" t="str">
            <v>1.3.2.04.000</v>
          </cell>
          <cell r="C1135" t="str">
            <v>IMOBILIZADO EM ANDAMENTO</v>
          </cell>
        </row>
        <row r="1136">
          <cell r="A1136">
            <v>13204100</v>
          </cell>
          <cell r="B1136" t="str">
            <v>1.3.2.04.100</v>
          </cell>
          <cell r="C1136" t="str">
            <v>IMOBILIZADO EM ANDAMENTO</v>
          </cell>
        </row>
        <row r="1137">
          <cell r="A1137">
            <v>13204101</v>
          </cell>
          <cell r="B1137" t="str">
            <v>1.3.2.04.101</v>
          </cell>
          <cell r="C1137" t="str">
            <v>Unidade de tratamento térmico</v>
          </cell>
        </row>
        <row r="1138">
          <cell r="A1138">
            <v>13204102</v>
          </cell>
          <cell r="B1138" t="str">
            <v>1.3.2.04.102</v>
          </cell>
          <cell r="C1138" t="str">
            <v>Fertirrigacao</v>
          </cell>
        </row>
        <row r="1139">
          <cell r="A1139">
            <v>13204103</v>
          </cell>
          <cell r="B1139" t="str">
            <v>1.3.2.04.103</v>
          </cell>
          <cell r="C1139" t="str">
            <v>Circuito fechado de cameras - Balanca</v>
          </cell>
        </row>
        <row r="1140">
          <cell r="A1140">
            <v>13204104</v>
          </cell>
          <cell r="B1140" t="str">
            <v>1.3.2.04.104</v>
          </cell>
          <cell r="C1140" t="str">
            <v>Ampl./Sub. Torre de Resfriamento Vinhaça</v>
          </cell>
        </row>
        <row r="1141">
          <cell r="A1141">
            <v>13204105</v>
          </cell>
          <cell r="B1141" t="str">
            <v>1.3.2.04.105</v>
          </cell>
          <cell r="C1141" t="str">
            <v>Escritorio Agricola</v>
          </cell>
        </row>
        <row r="1142">
          <cell r="A1142">
            <v>13204106</v>
          </cell>
          <cell r="B1142" t="str">
            <v>1.3.2.04.106</v>
          </cell>
          <cell r="C1142" t="str">
            <v>Adiantamento a Fornecedor</v>
          </cell>
        </row>
        <row r="1143">
          <cell r="A1143">
            <v>13204107</v>
          </cell>
          <cell r="B1143" t="str">
            <v>1.3.2.04.107</v>
          </cell>
          <cell r="C1143" t="str">
            <v>Infra estrutura de radios</v>
          </cell>
        </row>
        <row r="1144">
          <cell r="A1144">
            <v>13204108</v>
          </cell>
          <cell r="B1144" t="str">
            <v>1.3.2.04.108</v>
          </cell>
          <cell r="C1144" t="str">
            <v>Impl. Desfibrador reserva</v>
          </cell>
        </row>
        <row r="1145">
          <cell r="A1145">
            <v>13204109</v>
          </cell>
          <cell r="B1145" t="str">
            <v>1.3.2.04.109</v>
          </cell>
          <cell r="C1145" t="str">
            <v>Software R.I.</v>
          </cell>
        </row>
        <row r="1146">
          <cell r="A1146">
            <v>13204110</v>
          </cell>
          <cell r="B1146" t="str">
            <v>1.3.2.04.110</v>
          </cell>
          <cell r="C1146" t="str">
            <v>Trat. Caldo- Aum. Capac. Aquecedor Calor</v>
          </cell>
        </row>
        <row r="1147">
          <cell r="A1147">
            <v>13204111</v>
          </cell>
          <cell r="B1147" t="str">
            <v>1.3.2.04.111</v>
          </cell>
          <cell r="C1147" t="str">
            <v>Trat. Caldo - Aumento Capac. Decantador</v>
          </cell>
        </row>
        <row r="1148">
          <cell r="A1148">
            <v>13204112</v>
          </cell>
          <cell r="B1148" t="str">
            <v>1.3.2.04.112</v>
          </cell>
          <cell r="C1148" t="str">
            <v>Trat. Caldo - Reativacao Filtro Prensa</v>
          </cell>
        </row>
        <row r="1149">
          <cell r="A1149">
            <v>13204113</v>
          </cell>
          <cell r="B1149" t="str">
            <v>1.3.2.04.113</v>
          </cell>
          <cell r="C1149" t="str">
            <v>Ferm./Dest. - Aum. Trocador de Calor</v>
          </cell>
        </row>
        <row r="1150">
          <cell r="A1150">
            <v>13204114</v>
          </cell>
          <cell r="B1150" t="str">
            <v>1.3.2.04.114</v>
          </cell>
          <cell r="C1150" t="str">
            <v>Ferm./Dest - Aquisicao Trocador Calor</v>
          </cell>
        </row>
        <row r="1151">
          <cell r="A1151">
            <v>13204115</v>
          </cell>
          <cell r="B1151" t="str">
            <v>1.3.2.04.115</v>
          </cell>
          <cell r="C1151" t="str">
            <v>Ferm./Dest. - Aquis. Centrifuga Vinho</v>
          </cell>
        </row>
        <row r="1152">
          <cell r="A1152">
            <v>13204116</v>
          </cell>
          <cell r="B1152" t="str">
            <v>1.3.2.04.116</v>
          </cell>
          <cell r="C1152" t="str">
            <v>Ferm./Dest. - Aparelho Destilacao</v>
          </cell>
        </row>
        <row r="1153">
          <cell r="A1153">
            <v>13204117</v>
          </cell>
          <cell r="B1153" t="str">
            <v>1.3.2.04.117</v>
          </cell>
          <cell r="C1153" t="str">
            <v>Ferm./Dest. - Peneira Molecular</v>
          </cell>
        </row>
        <row r="1154">
          <cell r="A1154">
            <v>13204118</v>
          </cell>
          <cell r="B1154" t="str">
            <v>1.3.2.04.118</v>
          </cell>
          <cell r="C1154" t="str">
            <v>Torre Resfriamento de Agua - Destilaria</v>
          </cell>
        </row>
        <row r="1155">
          <cell r="A1155">
            <v>13204119</v>
          </cell>
          <cell r="B1155" t="str">
            <v>1.3.2.04.119</v>
          </cell>
          <cell r="C1155" t="str">
            <v>Otimizacao das Bombas</v>
          </cell>
        </row>
        <row r="1156">
          <cell r="A1156">
            <v>13204120</v>
          </cell>
          <cell r="B1156" t="str">
            <v>1.3.2.04.120</v>
          </cell>
          <cell r="C1156" t="str">
            <v>Impl. Pré Evaporador</v>
          </cell>
        </row>
        <row r="1157">
          <cell r="A1157">
            <v>13204121</v>
          </cell>
          <cell r="B1157" t="str">
            <v>1.3.2.04.121</v>
          </cell>
          <cell r="C1157" t="str">
            <v>Implantação da Fabrica de Açucar</v>
          </cell>
        </row>
        <row r="1158">
          <cell r="A1158">
            <v>13204122</v>
          </cell>
          <cell r="B1158" t="str">
            <v>1.3.2.04.122</v>
          </cell>
          <cell r="C1158" t="str">
            <v>Sistema de Incendio - Tanque 20.000M³</v>
          </cell>
        </row>
        <row r="1159">
          <cell r="A1159">
            <v>13204123</v>
          </cell>
          <cell r="B1159" t="str">
            <v>1.3.2.04.123</v>
          </cell>
          <cell r="C1159" t="str">
            <v>Revisao Reservatorio de Vinhaca</v>
          </cell>
        </row>
        <row r="1160">
          <cell r="A1160">
            <v>13204124</v>
          </cell>
          <cell r="B1160" t="str">
            <v>1.3.2.04.124</v>
          </cell>
          <cell r="C1160" t="str">
            <v>Resfriamento de Mancais</v>
          </cell>
        </row>
        <row r="1161">
          <cell r="A1161">
            <v>13204125</v>
          </cell>
          <cell r="B1161" t="str">
            <v>1.3.2.04.125</v>
          </cell>
          <cell r="C1161" t="str">
            <v>Refazer Caixas de Cabos Eletricos</v>
          </cell>
        </row>
        <row r="1162">
          <cell r="A1162">
            <v>13204126</v>
          </cell>
          <cell r="B1162" t="str">
            <v>1.3.2.04.126</v>
          </cell>
          <cell r="C1162" t="str">
            <v>CCM Caldeira - Dist. dos Cabos</v>
          </cell>
        </row>
        <row r="1163">
          <cell r="A1163">
            <v>13204127</v>
          </cell>
          <cell r="B1163" t="str">
            <v>1.3.2.04.127</v>
          </cell>
          <cell r="C1163" t="str">
            <v>Laboratorio - Reforma de Armarios</v>
          </cell>
        </row>
        <row r="1164">
          <cell r="A1164">
            <v>13204128</v>
          </cell>
          <cell r="B1164" t="str">
            <v>1.3.2.04.128</v>
          </cell>
          <cell r="C1164" t="str">
            <v>SPDA - Inst. Sistema Protecao</v>
          </cell>
        </row>
        <row r="1165">
          <cell r="A1165">
            <v>13204129</v>
          </cell>
          <cell r="B1165" t="str">
            <v>1.3.2.04.129</v>
          </cell>
          <cell r="C1165" t="str">
            <v>Construção Poço Artesiano</v>
          </cell>
        </row>
        <row r="1166">
          <cell r="A1166">
            <v>13204130</v>
          </cell>
          <cell r="B1166" t="str">
            <v>1.3.2.04.130</v>
          </cell>
          <cell r="C1166" t="str">
            <v>6-Instal. Gerador a Diesel</v>
          </cell>
        </row>
        <row r="1167">
          <cell r="A1167">
            <v>13204131</v>
          </cell>
          <cell r="B1167" t="str">
            <v>1.3.2.04.131</v>
          </cell>
          <cell r="C1167" t="str">
            <v>6/7-Serviço de Terraplanagem/Topografia</v>
          </cell>
        </row>
        <row r="1168">
          <cell r="A1168">
            <v>13204132</v>
          </cell>
          <cell r="B1168" t="str">
            <v>1.3.2.04.132</v>
          </cell>
          <cell r="C1168" t="str">
            <v>6-Instalação do Difusor</v>
          </cell>
        </row>
        <row r="1169">
          <cell r="A1169">
            <v>13204133</v>
          </cell>
          <cell r="B1169" t="str">
            <v>1.3.2.04.133</v>
          </cell>
          <cell r="C1169" t="str">
            <v>1/6-Instalação Gerador de Energia</v>
          </cell>
        </row>
        <row r="1170">
          <cell r="A1170">
            <v>13204134</v>
          </cell>
          <cell r="B1170" t="str">
            <v>1.3.2.04.134</v>
          </cell>
          <cell r="C1170" t="str">
            <v>6-Utilidades(Caldeira/arcomprimido/agua)</v>
          </cell>
        </row>
        <row r="1171">
          <cell r="A1171">
            <v>13204135</v>
          </cell>
          <cell r="B1171" t="str">
            <v>1.3.2.04.135</v>
          </cell>
          <cell r="C1171" t="str">
            <v>6-Instal. Balança Rodov. Eletrônica</v>
          </cell>
        </row>
        <row r="1172">
          <cell r="A1172">
            <v>13204136</v>
          </cell>
          <cell r="B1172" t="str">
            <v>1.3.2.04.136</v>
          </cell>
          <cell r="C1172" t="str">
            <v>Plataforma para Parque Quimico</v>
          </cell>
        </row>
        <row r="1173">
          <cell r="A1173">
            <v>13204137</v>
          </cell>
          <cell r="B1173" t="str">
            <v>1.3.2.04.137</v>
          </cell>
          <cell r="C1173" t="str">
            <v>PCTS - Plataforma para Caminhoes Cana</v>
          </cell>
        </row>
        <row r="1174">
          <cell r="A1174">
            <v>13204138</v>
          </cell>
          <cell r="B1174" t="str">
            <v>1.3.2.04.138</v>
          </cell>
          <cell r="C1174" t="str">
            <v>Alim./Prep. - Ampl. Plataforma Hilo</v>
          </cell>
        </row>
        <row r="1175">
          <cell r="A1175">
            <v>13204139</v>
          </cell>
          <cell r="B1175" t="str">
            <v>1.3.2.04.139</v>
          </cell>
          <cell r="C1175" t="str">
            <v>Caldeira - Pisos da Caldeira</v>
          </cell>
        </row>
        <row r="1176">
          <cell r="A1176">
            <v>13204140</v>
          </cell>
          <cell r="B1176" t="str">
            <v>1.3.2.04.140</v>
          </cell>
          <cell r="C1176" t="str">
            <v>CCMS - Pisos e Bases</v>
          </cell>
        </row>
        <row r="1177">
          <cell r="A1177">
            <v>13204141</v>
          </cell>
          <cell r="B1177" t="str">
            <v>1.3.2.04.141</v>
          </cell>
          <cell r="C1177" t="str">
            <v>Revisao Gerador 20.000cv e Motor 6.000cv</v>
          </cell>
        </row>
        <row r="1178">
          <cell r="A1178">
            <v>13204142</v>
          </cell>
          <cell r="B1178" t="str">
            <v>1.3.2.04.142</v>
          </cell>
          <cell r="C1178" t="str">
            <v>Caldeira - Aum. Capac. Lavador de Gas</v>
          </cell>
        </row>
        <row r="1179">
          <cell r="A1179">
            <v>13204143</v>
          </cell>
          <cell r="B1179" t="str">
            <v>1.3.2.04.143</v>
          </cell>
          <cell r="C1179" t="str">
            <v>Armaz. Alcool - Medidor de Vazao</v>
          </cell>
        </row>
        <row r="1180">
          <cell r="A1180">
            <v>13204144</v>
          </cell>
          <cell r="B1180" t="str">
            <v>1.3.2.04.144</v>
          </cell>
          <cell r="C1180" t="str">
            <v>Destilaria - Controle Temp. Condensadore</v>
          </cell>
        </row>
        <row r="1181">
          <cell r="A1181">
            <v>13204145</v>
          </cell>
          <cell r="B1181" t="str">
            <v>1.3.2.04.145</v>
          </cell>
          <cell r="C1181" t="str">
            <v>Laboratorio - Cromatografo</v>
          </cell>
        </row>
        <row r="1182">
          <cell r="A1182">
            <v>13204146</v>
          </cell>
          <cell r="B1182" t="str">
            <v>1.3.2.04.146</v>
          </cell>
          <cell r="C1182" t="str">
            <v>1-Implantação Datasul/Gesplan2010</v>
          </cell>
        </row>
        <row r="1183">
          <cell r="A1183">
            <v>13204147</v>
          </cell>
          <cell r="B1183" t="str">
            <v>1.3.2.04.147</v>
          </cell>
          <cell r="C1183" t="str">
            <v>1-Implantação Lavagem de Cana</v>
          </cell>
        </row>
        <row r="1184">
          <cell r="A1184">
            <v>13204148</v>
          </cell>
          <cell r="B1184" t="str">
            <v>1.3.2.04.148</v>
          </cell>
          <cell r="C1184" t="str">
            <v>Implant Trocador de Calor</v>
          </cell>
        </row>
        <row r="1185">
          <cell r="A1185">
            <v>13204149</v>
          </cell>
          <cell r="B1185" t="str">
            <v>1.3.2.04.149</v>
          </cell>
          <cell r="C1185" t="str">
            <v>1-Implant. Coletor de Amostras</v>
          </cell>
        </row>
        <row r="1186">
          <cell r="A1186">
            <v>13204150</v>
          </cell>
          <cell r="B1186" t="str">
            <v>1.3.2.04.150</v>
          </cell>
          <cell r="C1186" t="str">
            <v>1-Expansão Fábrica de Açucar</v>
          </cell>
        </row>
        <row r="1187">
          <cell r="A1187">
            <v>13204151</v>
          </cell>
          <cell r="B1187" t="str">
            <v>1.3.2.04.151</v>
          </cell>
          <cell r="C1187" t="str">
            <v>1-Ferramentaria e Central Lubrificação</v>
          </cell>
        </row>
        <row r="1188">
          <cell r="A1188">
            <v>13204152</v>
          </cell>
          <cell r="B1188" t="str">
            <v>1.3.2.04.152</v>
          </cell>
          <cell r="C1188" t="str">
            <v>3-Ampliação da Moenda</v>
          </cell>
        </row>
        <row r="1189">
          <cell r="A1189">
            <v>13204153</v>
          </cell>
          <cell r="B1189" t="str">
            <v>1.3.2.04.153</v>
          </cell>
          <cell r="C1189" t="str">
            <v>Melhoria da Fermentação</v>
          </cell>
        </row>
        <row r="1190">
          <cell r="A1190">
            <v>13204154</v>
          </cell>
          <cell r="B1190" t="str">
            <v>1.3.2.04.154</v>
          </cell>
          <cell r="C1190" t="str">
            <v>3-Isolamento Térmico</v>
          </cell>
        </row>
        <row r="1191">
          <cell r="A1191">
            <v>13204155</v>
          </cell>
          <cell r="B1191" t="str">
            <v>1.3.2.04.155</v>
          </cell>
          <cell r="C1191" t="str">
            <v>Ampliação da Moenda</v>
          </cell>
        </row>
        <row r="1192">
          <cell r="A1192">
            <v>13204156</v>
          </cell>
          <cell r="B1192" t="str">
            <v>1.3.2.04.156</v>
          </cell>
          <cell r="C1192" t="str">
            <v>3- Impl.pre-evaporador  11000 m2</v>
          </cell>
        </row>
        <row r="1193">
          <cell r="A1193">
            <v>13204157</v>
          </cell>
          <cell r="B1193" t="str">
            <v>1.3.2.04.157</v>
          </cell>
          <cell r="C1193" t="str">
            <v>3- Impl.torres de telecomunicações</v>
          </cell>
        </row>
        <row r="1194">
          <cell r="A1194">
            <v>13204158</v>
          </cell>
          <cell r="B1194" t="str">
            <v>1.3.2.04.158</v>
          </cell>
          <cell r="C1194" t="str">
            <v>3- Impl.tanque de Alcool cap. 10.000</v>
          </cell>
        </row>
        <row r="1195">
          <cell r="A1195">
            <v>13204159</v>
          </cell>
          <cell r="B1195" t="str">
            <v>1.3.2.04.159</v>
          </cell>
          <cell r="C1195" t="str">
            <v>Impl. Turbina</v>
          </cell>
        </row>
        <row r="1196">
          <cell r="A1196">
            <v>13204160</v>
          </cell>
          <cell r="B1196" t="str">
            <v>1.3.2.04.160</v>
          </cell>
          <cell r="C1196" t="str">
            <v>3- Impl. deposito de herbicidas</v>
          </cell>
        </row>
        <row r="1197">
          <cell r="A1197">
            <v>13204161</v>
          </cell>
          <cell r="B1197" t="str">
            <v>1.3.2.04.161</v>
          </cell>
          <cell r="C1197" t="str">
            <v>Implantação da Coogeração</v>
          </cell>
        </row>
        <row r="1198">
          <cell r="A1198">
            <v>13204162</v>
          </cell>
          <cell r="B1198" t="str">
            <v>1.3.2.04.162</v>
          </cell>
          <cell r="C1198" t="str">
            <v>3-Automação do Sistema Hidráulico Moenda</v>
          </cell>
        </row>
        <row r="1199">
          <cell r="A1199">
            <v>13204163</v>
          </cell>
          <cell r="B1199" t="str">
            <v>1.3.2.04.163</v>
          </cell>
          <cell r="C1199" t="str">
            <v>6-Extração de Caldo</v>
          </cell>
        </row>
        <row r="1200">
          <cell r="A1200">
            <v>13204164</v>
          </cell>
          <cell r="B1200" t="str">
            <v>1.3.2.04.164</v>
          </cell>
          <cell r="C1200" t="str">
            <v>6-Concentração do Caldo</v>
          </cell>
        </row>
        <row r="1201">
          <cell r="A1201">
            <v>13204165</v>
          </cell>
          <cell r="B1201" t="str">
            <v>1.3.2.04.165</v>
          </cell>
          <cell r="C1201" t="str">
            <v>Tratamento do Caldo</v>
          </cell>
        </row>
        <row r="1202">
          <cell r="A1202">
            <v>13204166</v>
          </cell>
          <cell r="B1202" t="str">
            <v>1.3.2.04.166</v>
          </cell>
          <cell r="C1202" t="str">
            <v>1/6-Fermentação / Destilaria</v>
          </cell>
        </row>
        <row r="1203">
          <cell r="A1203">
            <v>13204167</v>
          </cell>
          <cell r="B1203" t="str">
            <v>1.3.2.04.167</v>
          </cell>
          <cell r="C1203" t="str">
            <v>6/7-Balança Rodoviária e Sala de Control</v>
          </cell>
        </row>
        <row r="1204">
          <cell r="A1204">
            <v>13204168</v>
          </cell>
          <cell r="B1204" t="str">
            <v>1.3.2.04.168</v>
          </cell>
          <cell r="C1204" t="str">
            <v>6/7-Laboratório Sacarose e Tomador Amost</v>
          </cell>
        </row>
        <row r="1205">
          <cell r="A1205">
            <v>13204169</v>
          </cell>
          <cell r="B1205" t="str">
            <v>1.3.2.04.169</v>
          </cell>
          <cell r="C1205" t="str">
            <v>6-Implantação do Hillo</v>
          </cell>
        </row>
        <row r="1206">
          <cell r="A1206">
            <v>13204170</v>
          </cell>
          <cell r="B1206" t="str">
            <v>1.3.2.04.170</v>
          </cell>
          <cell r="C1206" t="str">
            <v>6-Lavanderia Adm. e Agrícola</v>
          </cell>
        </row>
        <row r="1207">
          <cell r="A1207">
            <v>13204171</v>
          </cell>
          <cell r="B1207" t="str">
            <v>1.3.2.04.171</v>
          </cell>
          <cell r="C1207" t="str">
            <v>6-Escritório Adm. e Agrícola</v>
          </cell>
        </row>
        <row r="1208">
          <cell r="A1208">
            <v>13204172</v>
          </cell>
          <cell r="B1208" t="str">
            <v>1.3.2.04.172</v>
          </cell>
          <cell r="C1208" t="str">
            <v>7- Elaboracao de Projetos Edificacoes</v>
          </cell>
        </row>
        <row r="1209">
          <cell r="A1209">
            <v>13204173</v>
          </cell>
          <cell r="B1209" t="str">
            <v>1.3.2.04.173</v>
          </cell>
          <cell r="C1209" t="str">
            <v>Imp. Torre de Radio</v>
          </cell>
        </row>
        <row r="1210">
          <cell r="A1210">
            <v>13204174</v>
          </cell>
          <cell r="B1210" t="str">
            <v>1.3.2.04.174</v>
          </cell>
          <cell r="C1210" t="str">
            <v>6-Implantacao Predios Industriais</v>
          </cell>
        </row>
        <row r="1211">
          <cell r="A1211">
            <v>13204209</v>
          </cell>
          <cell r="B1211" t="str">
            <v>1.3.2.04.209</v>
          </cell>
          <cell r="C1211" t="str">
            <v>1-Impl.Decantador de Cinzas</v>
          </cell>
        </row>
        <row r="1212">
          <cell r="A1212">
            <v>13204210</v>
          </cell>
          <cell r="B1212" t="str">
            <v>1.3.2.04.210</v>
          </cell>
          <cell r="C1212" t="str">
            <v>1-Impl.Rede de Hidrantes</v>
          </cell>
        </row>
        <row r="1213">
          <cell r="A1213">
            <v>13204211</v>
          </cell>
          <cell r="B1213" t="str">
            <v>1.3.2.04.211</v>
          </cell>
          <cell r="C1213" t="str">
            <v>1/6-Impl.Casa de Força - Coogeração</v>
          </cell>
        </row>
        <row r="1214">
          <cell r="A1214">
            <v>13204212</v>
          </cell>
          <cell r="B1214" t="str">
            <v>1.3.2.04.212</v>
          </cell>
          <cell r="C1214" t="str">
            <v>1-Impl.Sist de Segurança Circuito de TV</v>
          </cell>
        </row>
        <row r="1215">
          <cell r="A1215">
            <v>13204213</v>
          </cell>
          <cell r="B1215" t="str">
            <v>1.3.2.04.213</v>
          </cell>
          <cell r="C1215" t="str">
            <v>1-Secador de levedura de spray</v>
          </cell>
        </row>
        <row r="1216">
          <cell r="A1216">
            <v>13204214</v>
          </cell>
          <cell r="B1216" t="str">
            <v>1.3.2.04.214</v>
          </cell>
          <cell r="C1216" t="str">
            <v>1-Base para Esteira Metalica</v>
          </cell>
        </row>
        <row r="1217">
          <cell r="A1217">
            <v>13204215</v>
          </cell>
          <cell r="B1217" t="str">
            <v>1.3.2.04.215</v>
          </cell>
          <cell r="C1217" t="str">
            <v>1-Implantaçao Reboiller</v>
          </cell>
        </row>
        <row r="1218">
          <cell r="A1218">
            <v>13204216</v>
          </cell>
          <cell r="B1218" t="str">
            <v>1.3.2.04.216</v>
          </cell>
          <cell r="C1218" t="str">
            <v>1/7-Impl.Poço Semi Artesiano</v>
          </cell>
        </row>
        <row r="1219">
          <cell r="A1219">
            <v>13204217</v>
          </cell>
          <cell r="B1219" t="str">
            <v>1.3.2.04.217</v>
          </cell>
          <cell r="C1219" t="str">
            <v>1-Impl.Aetor Alimentaçao e Preparo</v>
          </cell>
        </row>
        <row r="1220">
          <cell r="A1220">
            <v>13204218</v>
          </cell>
          <cell r="B1220" t="str">
            <v>1.3.2.04.218</v>
          </cell>
          <cell r="C1220" t="str">
            <v>1/6/7-Implantação da Moenda</v>
          </cell>
        </row>
        <row r="1221">
          <cell r="A1221">
            <v>13204219</v>
          </cell>
          <cell r="B1221" t="str">
            <v>1.3.2.04.219</v>
          </cell>
          <cell r="C1221" t="str">
            <v>3- Automação da fermentação</v>
          </cell>
        </row>
        <row r="1222">
          <cell r="A1222">
            <v>13204220</v>
          </cell>
          <cell r="B1222" t="str">
            <v>1.3.2.04.220</v>
          </cell>
          <cell r="C1222" t="str">
            <v>1-Modificação da Caldeira</v>
          </cell>
        </row>
        <row r="1223">
          <cell r="A1223">
            <v>13204221</v>
          </cell>
          <cell r="B1223" t="str">
            <v>1.3.2.04.221</v>
          </cell>
          <cell r="C1223" t="str">
            <v>6-Oficina e Almoxarifado</v>
          </cell>
        </row>
        <row r="1224">
          <cell r="A1224">
            <v>13204222</v>
          </cell>
          <cell r="B1224" t="str">
            <v>1.3.2.04.222</v>
          </cell>
          <cell r="C1224" t="str">
            <v>6/7-Sanitário Típico</v>
          </cell>
        </row>
        <row r="1225">
          <cell r="A1225">
            <v>13204223</v>
          </cell>
          <cell r="B1225" t="str">
            <v>1.3.2.04.223</v>
          </cell>
          <cell r="C1225" t="str">
            <v>6-Construção da Portaria</v>
          </cell>
        </row>
        <row r="1226">
          <cell r="A1226">
            <v>13204224</v>
          </cell>
          <cell r="B1226" t="str">
            <v>1.3.2.04.224</v>
          </cell>
          <cell r="C1226" t="str">
            <v>Implantacao do tanque de alcool</v>
          </cell>
        </row>
        <row r="1227">
          <cell r="A1227">
            <v>13204225</v>
          </cell>
          <cell r="B1227" t="str">
            <v>1.3.2.04.225</v>
          </cell>
          <cell r="C1227" t="str">
            <v>3-Centrifuga Separadora SCM95 (nova)</v>
          </cell>
        </row>
        <row r="1228">
          <cell r="A1228">
            <v>13204226</v>
          </cell>
          <cell r="B1228" t="str">
            <v>1.3.2.04.226</v>
          </cell>
          <cell r="C1228" t="str">
            <v>Sistema Combate a Incendio</v>
          </cell>
        </row>
        <row r="1229">
          <cell r="A1229">
            <v>13204227</v>
          </cell>
          <cell r="B1229" t="str">
            <v>1.3.2.04.227</v>
          </cell>
          <cell r="C1229" t="str">
            <v>3-Constr bacia p/instal Torre Resfriamen</v>
          </cell>
        </row>
        <row r="1230">
          <cell r="A1230">
            <v>13204228</v>
          </cell>
          <cell r="B1230" t="str">
            <v>1.3.2.04.228</v>
          </cell>
          <cell r="C1230" t="str">
            <v>1-Contrucao Banheiro coletivo da indust</v>
          </cell>
        </row>
        <row r="1231">
          <cell r="A1231">
            <v>13204229</v>
          </cell>
          <cell r="B1231" t="str">
            <v>1.3.2.04.229</v>
          </cell>
          <cell r="C1231" t="str">
            <v>1-Implantacao Apoio Tecnico Industrial</v>
          </cell>
        </row>
        <row r="1232">
          <cell r="A1232">
            <v>13204230</v>
          </cell>
          <cell r="B1232" t="str">
            <v>1.3.2.04.230</v>
          </cell>
          <cell r="C1232" t="str">
            <v>6/7-Implantação da Caldeira</v>
          </cell>
        </row>
        <row r="1233">
          <cell r="A1233">
            <v>13204231</v>
          </cell>
          <cell r="B1233" t="str">
            <v>1.3.2.04.231</v>
          </cell>
          <cell r="C1233" t="str">
            <v>6-Estação Abastacem/Capt.Água Industr</v>
          </cell>
        </row>
        <row r="1234">
          <cell r="A1234">
            <v>13204232</v>
          </cell>
          <cell r="B1234" t="str">
            <v>1.3.2.04.232</v>
          </cell>
          <cell r="C1234" t="str">
            <v>1/6-Estacao de tratamento de agua</v>
          </cell>
        </row>
        <row r="1235">
          <cell r="A1235">
            <v>13204233</v>
          </cell>
          <cell r="B1235" t="str">
            <v>1.3.2.04.233</v>
          </cell>
          <cell r="C1235" t="str">
            <v>6-Recepção e Preparo de Cana</v>
          </cell>
        </row>
        <row r="1236">
          <cell r="A1236">
            <v>13204234</v>
          </cell>
          <cell r="B1236" t="str">
            <v>1.3.2.04.234</v>
          </cell>
          <cell r="C1236" t="str">
            <v>6-Concretagem da usina</v>
          </cell>
        </row>
        <row r="1237">
          <cell r="A1237">
            <v>13204235</v>
          </cell>
          <cell r="B1237" t="str">
            <v>1.3.2.04.235</v>
          </cell>
          <cell r="C1237" t="str">
            <v>6-Mura de Alambrado no páteo ind/adm</v>
          </cell>
        </row>
        <row r="1238">
          <cell r="A1238">
            <v>13204236</v>
          </cell>
          <cell r="B1238" t="str">
            <v>1.3.2.04.236</v>
          </cell>
          <cell r="C1238" t="str">
            <v>Escada acesso chamine caldeira</v>
          </cell>
        </row>
        <row r="1239">
          <cell r="A1239">
            <v>13204237</v>
          </cell>
          <cell r="B1239" t="str">
            <v>1.3.2.04.237</v>
          </cell>
          <cell r="C1239" t="str">
            <v>Imp. da Torre de Resfriamento</v>
          </cell>
        </row>
        <row r="1240">
          <cell r="A1240">
            <v>13204238</v>
          </cell>
          <cell r="B1240" t="str">
            <v>1.3.2.04.238</v>
          </cell>
          <cell r="C1240" t="str">
            <v>6-Impl.Sistema de Combate a Incêndio</v>
          </cell>
        </row>
        <row r="1241">
          <cell r="A1241">
            <v>13204239</v>
          </cell>
          <cell r="B1241" t="str">
            <v>1.3.2.04.239</v>
          </cell>
          <cell r="C1241" t="str">
            <v>6-Impl.Pintura dos Prédios da Vale PR.</v>
          </cell>
        </row>
        <row r="1242">
          <cell r="A1242">
            <v>13204240</v>
          </cell>
          <cell r="B1242" t="str">
            <v>1.3.2.04.240</v>
          </cell>
          <cell r="C1242" t="str">
            <v>3-Constr.Estrutura Centrifuga TGB</v>
          </cell>
        </row>
        <row r="1243">
          <cell r="A1243">
            <v>13204241</v>
          </cell>
          <cell r="B1243" t="str">
            <v>1.3.2.04.241</v>
          </cell>
          <cell r="C1243" t="str">
            <v>3-Instal.Secador de Açucar</v>
          </cell>
        </row>
        <row r="1244">
          <cell r="A1244">
            <v>13204242</v>
          </cell>
          <cell r="B1244" t="str">
            <v>1.3.2.04.242</v>
          </cell>
          <cell r="C1244" t="str">
            <v>3-Implantacao do soprador de fuligem</v>
          </cell>
        </row>
        <row r="1245">
          <cell r="A1245">
            <v>13204243</v>
          </cell>
          <cell r="B1245" t="str">
            <v>1.3.2.04.243</v>
          </cell>
          <cell r="C1245" t="str">
            <v>6-Impl.Destilaria de Alcool</v>
          </cell>
        </row>
        <row r="1246">
          <cell r="A1246">
            <v>13204244</v>
          </cell>
          <cell r="B1246" t="str">
            <v>1.3.2.04.244</v>
          </cell>
          <cell r="C1246" t="str">
            <v>6-Cozinha Industrial / Refeitório</v>
          </cell>
        </row>
        <row r="1247">
          <cell r="A1247">
            <v>13204245</v>
          </cell>
          <cell r="B1247" t="str">
            <v>1.3.2.04.245</v>
          </cell>
          <cell r="C1247" t="str">
            <v>6- Apoio ao motorista</v>
          </cell>
        </row>
        <row r="1248">
          <cell r="A1248">
            <v>13204246</v>
          </cell>
          <cell r="B1248" t="str">
            <v>1.3.2.04.246</v>
          </cell>
          <cell r="C1248" t="str">
            <v>6/7- Vestiario / Sanitário / Ponto</v>
          </cell>
        </row>
        <row r="1249">
          <cell r="A1249">
            <v>13204247</v>
          </cell>
          <cell r="B1249" t="str">
            <v>1.3.2.04.247</v>
          </cell>
          <cell r="C1249" t="str">
            <v>6- Laboratorio C O I</v>
          </cell>
        </row>
        <row r="1250">
          <cell r="A1250">
            <v>13204248</v>
          </cell>
          <cell r="B1250" t="str">
            <v>1.3.2.04.248</v>
          </cell>
          <cell r="C1250" t="str">
            <v>Automação Industrial</v>
          </cell>
        </row>
        <row r="1251">
          <cell r="A1251">
            <v>13204249</v>
          </cell>
          <cell r="B1251" t="str">
            <v>1.3.2.04.249</v>
          </cell>
          <cell r="C1251" t="str">
            <v>1-Estação de Tratamento de Água (nova)</v>
          </cell>
        </row>
        <row r="1252">
          <cell r="A1252">
            <v>13204250</v>
          </cell>
          <cell r="B1252" t="str">
            <v>1.3.2.04.250</v>
          </cell>
          <cell r="C1252" t="str">
            <v>6- Tombador de Cana</v>
          </cell>
        </row>
        <row r="1253">
          <cell r="A1253">
            <v>13204251</v>
          </cell>
          <cell r="B1253" t="str">
            <v>1.3.2.04.251</v>
          </cell>
          <cell r="C1253" t="str">
            <v>6- Esteira Metalica</v>
          </cell>
        </row>
        <row r="1254">
          <cell r="A1254">
            <v>13204252</v>
          </cell>
          <cell r="B1254" t="str">
            <v>1.3.2.04.252</v>
          </cell>
          <cell r="C1254" t="str">
            <v>6-Const.Caixa Decantação Areia/Etalc</v>
          </cell>
        </row>
        <row r="1255">
          <cell r="A1255">
            <v>13204253</v>
          </cell>
          <cell r="B1255" t="str">
            <v>1.3.2.04.253</v>
          </cell>
          <cell r="C1255" t="str">
            <v>6-Trevo de acesso rodovia</v>
          </cell>
        </row>
        <row r="1256">
          <cell r="A1256">
            <v>13204254</v>
          </cell>
          <cell r="B1256" t="str">
            <v>1.3.2.04.254</v>
          </cell>
          <cell r="C1256" t="str">
            <v>6-Passadores de Gado</v>
          </cell>
        </row>
        <row r="1257">
          <cell r="A1257">
            <v>13204255</v>
          </cell>
          <cell r="B1257" t="str">
            <v>1.3.2.04.255</v>
          </cell>
          <cell r="C1257" t="str">
            <v>6-Sistema de Tratamento de Esgoto</v>
          </cell>
        </row>
        <row r="1258">
          <cell r="A1258">
            <v>13204257</v>
          </cell>
          <cell r="B1258" t="str">
            <v>1.3.2.04.257</v>
          </cell>
          <cell r="C1258" t="str">
            <v>1-Tanques de água  caldeira 1.000.000</v>
          </cell>
        </row>
        <row r="1259">
          <cell r="A1259">
            <v>13204258</v>
          </cell>
          <cell r="B1259" t="str">
            <v>1.3.2.04.258</v>
          </cell>
          <cell r="C1259" t="str">
            <v>1/6-Impermebialização Tanque de Vinhaça</v>
          </cell>
        </row>
        <row r="1260">
          <cell r="A1260">
            <v>13204259</v>
          </cell>
          <cell r="B1260" t="str">
            <v>1.3.2.04.259</v>
          </cell>
          <cell r="C1260" t="str">
            <v>6/7-Elaboração de Projetos Elétricos</v>
          </cell>
        </row>
        <row r="1261">
          <cell r="A1261">
            <v>13204260</v>
          </cell>
          <cell r="B1261" t="str">
            <v>1.3.2.04.260</v>
          </cell>
          <cell r="C1261" t="str">
            <v>1/3-Desp.Manutenção Entressafra</v>
          </cell>
        </row>
        <row r="1262">
          <cell r="A1262">
            <v>13204261</v>
          </cell>
          <cell r="B1262" t="str">
            <v>1.3.2.04.261</v>
          </cell>
          <cell r="C1262" t="str">
            <v>03 Dornas - "600"</v>
          </cell>
        </row>
        <row r="1263">
          <cell r="A1263">
            <v>13204262</v>
          </cell>
          <cell r="B1263" t="str">
            <v>1.3.2.04.262</v>
          </cell>
          <cell r="C1263" t="str">
            <v>7- Decantador</v>
          </cell>
        </row>
        <row r="1264">
          <cell r="A1264">
            <v>13204263</v>
          </cell>
          <cell r="B1264" t="str">
            <v>1.3.2.04.263</v>
          </cell>
          <cell r="C1264" t="str">
            <v>7- Fermentação/Dornas/Cubas/Tq.Mel</v>
          </cell>
        </row>
        <row r="1265">
          <cell r="A1265">
            <v>13204264</v>
          </cell>
          <cell r="B1265" t="str">
            <v>1.3.2.04.264</v>
          </cell>
          <cell r="C1265" t="str">
            <v>Impl./Ampl. Destilaria</v>
          </cell>
        </row>
        <row r="1266">
          <cell r="A1266">
            <v>13204265</v>
          </cell>
          <cell r="B1266" t="str">
            <v>1.3.2.04.265</v>
          </cell>
          <cell r="C1266" t="str">
            <v>6 - Pavimentação de ruas internas</v>
          </cell>
        </row>
        <row r="1267">
          <cell r="A1267">
            <v>13204266</v>
          </cell>
          <cell r="B1267" t="str">
            <v>1.3.2.04.266</v>
          </cell>
          <cell r="C1267" t="str">
            <v>Impl. Balança Nova</v>
          </cell>
        </row>
        <row r="1268">
          <cell r="A1268">
            <v>13204267</v>
          </cell>
          <cell r="B1268" t="str">
            <v>1.3.2.04.267</v>
          </cell>
          <cell r="C1268" t="str">
            <v>Spray do Açucar</v>
          </cell>
        </row>
        <row r="1269">
          <cell r="A1269">
            <v>13204268</v>
          </cell>
          <cell r="B1269" t="str">
            <v>1.3.2.04.268</v>
          </cell>
          <cell r="C1269" t="str">
            <v>Tanque de Xarope</v>
          </cell>
        </row>
        <row r="1270">
          <cell r="A1270">
            <v>13204269</v>
          </cell>
          <cell r="B1270" t="str">
            <v>1.3.2.04.269</v>
          </cell>
          <cell r="C1270" t="str">
            <v>Tanque de Caldo Misto</v>
          </cell>
        </row>
        <row r="1271">
          <cell r="A1271">
            <v>13204270</v>
          </cell>
          <cell r="B1271" t="str">
            <v>1.3.2.04.270</v>
          </cell>
          <cell r="C1271" t="str">
            <v>1/6-laboratorio pcts</v>
          </cell>
        </row>
        <row r="1272">
          <cell r="A1272">
            <v>13204271</v>
          </cell>
          <cell r="B1272" t="str">
            <v>1.3.2.04.271</v>
          </cell>
          <cell r="C1272" t="str">
            <v>6-Predio C.C.M (controles Inds)</v>
          </cell>
        </row>
        <row r="1273">
          <cell r="A1273">
            <v>13204272</v>
          </cell>
          <cell r="B1273" t="str">
            <v>1.3.2.04.272</v>
          </cell>
          <cell r="C1273" t="str">
            <v>Peneira do Caldo</v>
          </cell>
        </row>
        <row r="1274">
          <cell r="A1274">
            <v>13204273</v>
          </cell>
          <cell r="B1274" t="str">
            <v>1.3.2.04.273</v>
          </cell>
          <cell r="C1274" t="str">
            <v>6- Construção Prédio Administração</v>
          </cell>
        </row>
        <row r="1275">
          <cell r="A1275">
            <v>13204274</v>
          </cell>
          <cell r="B1275" t="str">
            <v>1.3.2.04.274</v>
          </cell>
          <cell r="C1275" t="str">
            <v>6-Infra Estrutura Envelopamento</v>
          </cell>
        </row>
        <row r="1276">
          <cell r="A1276">
            <v>13204275</v>
          </cell>
          <cell r="B1276" t="str">
            <v>1.3.2.04.275</v>
          </cell>
          <cell r="C1276" t="str">
            <v>3-Contr.ALmoxarifado Oficina Automotiva</v>
          </cell>
        </row>
        <row r="1277">
          <cell r="A1277">
            <v>13204276</v>
          </cell>
          <cell r="B1277" t="str">
            <v>1.3.2.04.276</v>
          </cell>
          <cell r="C1277" t="str">
            <v>Automoação do Filtro Prensa</v>
          </cell>
        </row>
        <row r="1278">
          <cell r="A1278">
            <v>13204277</v>
          </cell>
          <cell r="B1278" t="str">
            <v>1.3.2.04.277</v>
          </cell>
          <cell r="C1278" t="str">
            <v>7-Elaboração Projetos Constr.Eqptos Indl</v>
          </cell>
        </row>
        <row r="1279">
          <cell r="A1279">
            <v>13204279</v>
          </cell>
          <cell r="B1279" t="str">
            <v>1.3.2.04.279</v>
          </cell>
          <cell r="C1279" t="str">
            <v>3-Deposito de Epi´s / sanitario</v>
          </cell>
        </row>
        <row r="1280">
          <cell r="A1280">
            <v>13204280</v>
          </cell>
          <cell r="B1280" t="str">
            <v>1.3.2.04.280</v>
          </cell>
          <cell r="C1280" t="str">
            <v>6- Rede capac.escoamento aguas resid.ind</v>
          </cell>
        </row>
        <row r="1281">
          <cell r="A1281">
            <v>13204281</v>
          </cell>
          <cell r="B1281" t="str">
            <v>1.3.2.04.281</v>
          </cell>
          <cell r="C1281" t="str">
            <v>Reforma dos Sanitários Industriais</v>
          </cell>
        </row>
        <row r="1282">
          <cell r="A1282">
            <v>13204282</v>
          </cell>
          <cell r="B1282" t="str">
            <v>1.3.2.04.282</v>
          </cell>
          <cell r="C1282" t="str">
            <v>6-Patio de Carga de Vinhaça</v>
          </cell>
        </row>
        <row r="1283">
          <cell r="A1283">
            <v>13204283</v>
          </cell>
          <cell r="B1283" t="str">
            <v>1.3.2.04.283</v>
          </cell>
          <cell r="C1283" t="str">
            <v>6- Rede Escoamento Aguas Pluviais</v>
          </cell>
        </row>
        <row r="1284">
          <cell r="A1284">
            <v>13204284</v>
          </cell>
          <cell r="B1284" t="str">
            <v>1.3.2.04.284</v>
          </cell>
          <cell r="C1284" t="str">
            <v>Reforma das Salas - RH - DP - Rádio</v>
          </cell>
        </row>
        <row r="1285">
          <cell r="A1285">
            <v>13204285</v>
          </cell>
          <cell r="B1285" t="str">
            <v>1.3.2.04.285</v>
          </cell>
          <cell r="C1285" t="str">
            <v>6- ETALG-Estaç.TRat.LAvagem Gases</v>
          </cell>
        </row>
        <row r="1286">
          <cell r="A1286">
            <v>13204286</v>
          </cell>
          <cell r="B1286" t="str">
            <v>1.3.2.04.286</v>
          </cell>
          <cell r="C1286" t="str">
            <v>6- Amostradores (mel/xarope/vinhaça/outr</v>
          </cell>
        </row>
        <row r="1287">
          <cell r="A1287">
            <v>13204287</v>
          </cell>
          <cell r="B1287" t="str">
            <v>1.3.2.04.287</v>
          </cell>
          <cell r="C1287" t="str">
            <v>6- PArque produto quimico</v>
          </cell>
        </row>
        <row r="1288">
          <cell r="A1288">
            <v>13204288</v>
          </cell>
          <cell r="B1288" t="str">
            <v>1.3.2.04.288</v>
          </cell>
          <cell r="C1288" t="str">
            <v>7-Desfirador / picador</v>
          </cell>
        </row>
        <row r="1289">
          <cell r="A1289">
            <v>13204289</v>
          </cell>
          <cell r="B1289" t="str">
            <v>1.3.2.04.289</v>
          </cell>
          <cell r="C1289" t="str">
            <v>6- ETALC-Est.Trat.Agua da Lavagem Cana</v>
          </cell>
        </row>
        <row r="1290">
          <cell r="A1290">
            <v>13204290</v>
          </cell>
          <cell r="B1290" t="str">
            <v>1.3.2.04.290</v>
          </cell>
          <cell r="C1290" t="str">
            <v>Suporte Bagaceira Moenda 78" safra 09/10</v>
          </cell>
        </row>
        <row r="1291">
          <cell r="A1291">
            <v>13204291</v>
          </cell>
          <cell r="B1291" t="str">
            <v>1.3.2.04.291</v>
          </cell>
          <cell r="C1291" t="str">
            <v>Instalação do Turbo Filtro Mecat</v>
          </cell>
        </row>
        <row r="1292">
          <cell r="A1292">
            <v>13204292</v>
          </cell>
          <cell r="B1292" t="str">
            <v>1.3.2.04.292</v>
          </cell>
          <cell r="C1292" t="str">
            <v>Automatização do Proc. de Fermentação</v>
          </cell>
        </row>
        <row r="1293">
          <cell r="A1293">
            <v>13204293</v>
          </cell>
          <cell r="B1293" t="str">
            <v>1.3.2.04.293</v>
          </cell>
          <cell r="C1293" t="str">
            <v>3- Ampliação do Patio de Bagaço</v>
          </cell>
        </row>
        <row r="1294">
          <cell r="A1294">
            <v>13204294</v>
          </cell>
          <cell r="B1294" t="str">
            <v>1.3.2.04.294</v>
          </cell>
          <cell r="C1294" t="str">
            <v>Corrimão Industrial</v>
          </cell>
        </row>
        <row r="1295">
          <cell r="A1295">
            <v>13204295</v>
          </cell>
          <cell r="B1295" t="str">
            <v>1.3.2.04.295</v>
          </cell>
          <cell r="C1295" t="str">
            <v>3- Nova captacao de agua p.industria</v>
          </cell>
        </row>
        <row r="1296">
          <cell r="A1296">
            <v>13204296</v>
          </cell>
          <cell r="B1296" t="str">
            <v>1.3.2.04.296</v>
          </cell>
          <cell r="C1296" t="str">
            <v>6-Adequação Datacenter - TI</v>
          </cell>
        </row>
        <row r="1297">
          <cell r="A1297">
            <v>13204297</v>
          </cell>
          <cell r="B1297" t="str">
            <v>1.3.2.04.297</v>
          </cell>
          <cell r="C1297" t="str">
            <v>Contrução Caixa Sepradora Agua e Oleo</v>
          </cell>
        </row>
        <row r="1298">
          <cell r="A1298">
            <v>13204298</v>
          </cell>
          <cell r="B1298" t="str">
            <v>1.3.2.04.298</v>
          </cell>
          <cell r="C1298" t="str">
            <v>Construção do Patio Industrial</v>
          </cell>
        </row>
        <row r="1299">
          <cell r="A1299">
            <v>13204299</v>
          </cell>
          <cell r="B1299" t="str">
            <v>1.3.2.04.299</v>
          </cell>
          <cell r="C1299" t="str">
            <v>Almoxarifado de manutenção</v>
          </cell>
        </row>
        <row r="1300">
          <cell r="A1300">
            <v>13204300</v>
          </cell>
          <cell r="B1300" t="str">
            <v>1.3.2.04.300</v>
          </cell>
          <cell r="C1300" t="str">
            <v>Construção posto Combustivel</v>
          </cell>
        </row>
        <row r="1301">
          <cell r="A1301">
            <v>13204301</v>
          </cell>
          <cell r="B1301" t="str">
            <v>1.3.2.04.301</v>
          </cell>
          <cell r="C1301" t="str">
            <v>Construção Oficina Automotiva</v>
          </cell>
        </row>
        <row r="1302">
          <cell r="A1302">
            <v>13205000</v>
          </cell>
          <cell r="B1302" t="str">
            <v>1.3.2.05.000</v>
          </cell>
          <cell r="C1302" t="str">
            <v>ARRENDAMENTO MERCANTIL - LEASING</v>
          </cell>
        </row>
        <row r="1303">
          <cell r="A1303">
            <v>13205100</v>
          </cell>
          <cell r="B1303" t="str">
            <v>1.3.2.05.100</v>
          </cell>
          <cell r="C1303" t="str">
            <v>ARRENDAMENTO MERCANTIL - LEASING</v>
          </cell>
        </row>
        <row r="1304">
          <cell r="A1304">
            <v>13205101</v>
          </cell>
          <cell r="B1304" t="str">
            <v>1.3.2.05.101</v>
          </cell>
          <cell r="C1304" t="str">
            <v>3-Leasing Finasa Ctr-001.01.4.236039-0</v>
          </cell>
        </row>
        <row r="1305">
          <cell r="A1305">
            <v>13205102</v>
          </cell>
          <cell r="B1305" t="str">
            <v>1.3.2.05.102</v>
          </cell>
          <cell r="C1305" t="str">
            <v>1-Leasing Bco Brasil Ctr-</v>
          </cell>
        </row>
        <row r="1306">
          <cell r="A1306">
            <v>13205103</v>
          </cell>
          <cell r="B1306" t="str">
            <v>1.3.2.05.103</v>
          </cell>
          <cell r="C1306" t="str">
            <v>1-Leasing Bradesco ctr. 252.923</v>
          </cell>
        </row>
        <row r="1307">
          <cell r="A1307">
            <v>13205104</v>
          </cell>
          <cell r="B1307" t="str">
            <v>1.3.2.05.104</v>
          </cell>
          <cell r="C1307" t="str">
            <v>1-Leasing Bradesco ctr. 252.925</v>
          </cell>
        </row>
        <row r="1308">
          <cell r="A1308">
            <v>13205105</v>
          </cell>
          <cell r="B1308" t="str">
            <v>1.3.2.05.105</v>
          </cell>
          <cell r="C1308" t="str">
            <v>1-Leasing Bradesco ctr. 252.928</v>
          </cell>
        </row>
        <row r="1309">
          <cell r="A1309">
            <v>13205106</v>
          </cell>
          <cell r="B1309" t="str">
            <v>1.3.2.05.106</v>
          </cell>
          <cell r="C1309" t="str">
            <v>1-Leasing Finasa ctr. 01.4.212.110-8</v>
          </cell>
        </row>
        <row r="1310">
          <cell r="A1310">
            <v>13205107</v>
          </cell>
          <cell r="B1310" t="str">
            <v>1.3.2.05.107</v>
          </cell>
          <cell r="C1310" t="str">
            <v>1-Leasing Finasa ctr. 01.4.454.670-0</v>
          </cell>
        </row>
        <row r="1311">
          <cell r="A1311">
            <v>13205108</v>
          </cell>
          <cell r="B1311" t="str">
            <v>1.3.2.05.108</v>
          </cell>
          <cell r="C1311" t="str">
            <v>1-Leasing Safra ctr. 756.024.617</v>
          </cell>
        </row>
        <row r="1312">
          <cell r="A1312">
            <v>13205109</v>
          </cell>
          <cell r="B1312" t="str">
            <v>1.3.2.05.109</v>
          </cell>
          <cell r="C1312" t="str">
            <v>1-Leasing Bradesco ctr. 1.000.890</v>
          </cell>
        </row>
        <row r="1313">
          <cell r="A1313">
            <v>13205110</v>
          </cell>
          <cell r="B1313" t="str">
            <v>1.3.2.05.110</v>
          </cell>
          <cell r="C1313" t="str">
            <v>1-Leasing Safra ctr. 756.025.770</v>
          </cell>
        </row>
        <row r="1314">
          <cell r="A1314">
            <v>13205111</v>
          </cell>
          <cell r="B1314" t="str">
            <v>1.3.2.05.111</v>
          </cell>
          <cell r="C1314" t="str">
            <v>1-Leasing Safra ctr. 756.025.761</v>
          </cell>
        </row>
        <row r="1315">
          <cell r="A1315">
            <v>13205112</v>
          </cell>
          <cell r="B1315" t="str">
            <v>1.3.2.05.112</v>
          </cell>
          <cell r="C1315" t="str">
            <v>1-Leasing Safra ctr. 756.025.788</v>
          </cell>
        </row>
        <row r="1316">
          <cell r="A1316">
            <v>13205113</v>
          </cell>
          <cell r="B1316" t="str">
            <v>1.3.2.05.113</v>
          </cell>
          <cell r="C1316" t="str">
            <v>1-Leasing Safra ctr. 756.025.818</v>
          </cell>
        </row>
        <row r="1317">
          <cell r="A1317">
            <v>13205114</v>
          </cell>
          <cell r="B1317" t="str">
            <v>1.3.2.05.114</v>
          </cell>
          <cell r="C1317" t="str">
            <v>1-Leasing Safra ctr. 756.025.826</v>
          </cell>
        </row>
        <row r="1318">
          <cell r="A1318">
            <v>13205115</v>
          </cell>
          <cell r="B1318" t="str">
            <v>1.3.2.05.115</v>
          </cell>
          <cell r="C1318" t="str">
            <v>1-Leasing Bradesco ctr. 1.003.647-P</v>
          </cell>
        </row>
        <row r="1319">
          <cell r="A1319">
            <v>13205116</v>
          </cell>
          <cell r="B1319" t="str">
            <v>1.3.2.05.116</v>
          </cell>
          <cell r="C1319" t="str">
            <v>1-Leasing Safra ctr. 751.212.636</v>
          </cell>
        </row>
        <row r="1320">
          <cell r="A1320">
            <v>13205117</v>
          </cell>
          <cell r="B1320" t="str">
            <v>1.3.2.05.117</v>
          </cell>
          <cell r="C1320" t="str">
            <v>3-Leasing Bradesco ctr. 250.818</v>
          </cell>
        </row>
        <row r="1321">
          <cell r="A1321">
            <v>13205118</v>
          </cell>
          <cell r="B1321" t="str">
            <v>1.3.2.05.118</v>
          </cell>
          <cell r="C1321" t="str">
            <v>3-Leasing Bradesco ctr. 254.019</v>
          </cell>
        </row>
        <row r="1322">
          <cell r="A1322">
            <v>13205119</v>
          </cell>
          <cell r="B1322" t="str">
            <v>1.3.2.05.119</v>
          </cell>
          <cell r="C1322" t="str">
            <v>3-Leasing Bradesco ctr. 100.296.3</v>
          </cell>
        </row>
        <row r="1323">
          <cell r="A1323">
            <v>13205120</v>
          </cell>
          <cell r="B1323" t="str">
            <v>1.3.2.05.120</v>
          </cell>
          <cell r="C1323" t="str">
            <v>3-Leasing Safra ctr. 75.121.803.1</v>
          </cell>
        </row>
        <row r="1324">
          <cell r="A1324">
            <v>13205121</v>
          </cell>
          <cell r="B1324" t="str">
            <v>1.3.2.05.121</v>
          </cell>
          <cell r="C1324" t="str">
            <v>2-Leasing Bradesco ctr. 247.233</v>
          </cell>
        </row>
        <row r="1325">
          <cell r="A1325">
            <v>13205122</v>
          </cell>
          <cell r="B1325" t="str">
            <v>1.3.2.05.122</v>
          </cell>
          <cell r="C1325" t="str">
            <v>2-Leasing Bradesco ctr. 252.530</v>
          </cell>
        </row>
        <row r="1326">
          <cell r="A1326">
            <v>13205123</v>
          </cell>
          <cell r="B1326" t="str">
            <v>1.3.2.05.123</v>
          </cell>
          <cell r="C1326" t="str">
            <v>2-Leasing Bradesco ctr. 1.003.643-7</v>
          </cell>
        </row>
        <row r="1327">
          <cell r="A1327">
            <v>13205124</v>
          </cell>
          <cell r="B1327" t="str">
            <v>1.3.2.05.124</v>
          </cell>
          <cell r="C1327" t="str">
            <v>3-Leasing Bco Brasil Ctr. 61.471</v>
          </cell>
        </row>
        <row r="1328">
          <cell r="A1328">
            <v>13205125</v>
          </cell>
          <cell r="B1328" t="str">
            <v>1.3.2.05.125</v>
          </cell>
          <cell r="C1328" t="str">
            <v>1-Leasing Banco Brasil Ctr-58447/01</v>
          </cell>
        </row>
        <row r="1329">
          <cell r="A1329">
            <v>13205126</v>
          </cell>
          <cell r="B1329" t="str">
            <v>1.3.2.05.126</v>
          </cell>
          <cell r="C1329" t="str">
            <v>1-Leasing TGM Turbina ctr-8700603791</v>
          </cell>
        </row>
        <row r="1330">
          <cell r="A1330">
            <v>13205127</v>
          </cell>
          <cell r="B1330" t="str">
            <v>1.3.2.05.127</v>
          </cell>
          <cell r="C1330" t="str">
            <v>1-Leasing Bradesco Ctr. 01008541</v>
          </cell>
        </row>
        <row r="1331">
          <cell r="A1331">
            <v>13205128</v>
          </cell>
          <cell r="B1331" t="str">
            <v>1.3.2.05.128</v>
          </cell>
          <cell r="C1331" t="str">
            <v>3-Leasing Bradesco Ctr. 1009008</v>
          </cell>
        </row>
        <row r="1332">
          <cell r="A1332">
            <v>13205129</v>
          </cell>
          <cell r="B1332" t="str">
            <v>1.3.2.05.129</v>
          </cell>
          <cell r="C1332" t="str">
            <v>1-Leasing Safra ct 75.123.663-2</v>
          </cell>
        </row>
        <row r="1333">
          <cell r="A1333">
            <v>13205130</v>
          </cell>
          <cell r="B1333" t="str">
            <v>1.3.2.05.130</v>
          </cell>
          <cell r="C1333" t="str">
            <v>1-Leasing Bradesco Ctr.1018681</v>
          </cell>
        </row>
        <row r="1334">
          <cell r="A1334">
            <v>13205131</v>
          </cell>
          <cell r="B1334" t="str">
            <v>1.3.2.05.131</v>
          </cell>
          <cell r="C1334" t="str">
            <v>Leasing Bradesco 01060026</v>
          </cell>
        </row>
        <row r="1335">
          <cell r="A1335">
            <v>13205132</v>
          </cell>
          <cell r="B1335" t="str">
            <v>1.3.2.05.132</v>
          </cell>
          <cell r="C1335" t="str">
            <v>7-Leasing Bradesco CT01060031</v>
          </cell>
        </row>
        <row r="1336">
          <cell r="A1336">
            <v>13205133</v>
          </cell>
          <cell r="B1336" t="str">
            <v>1.3.2.05.133</v>
          </cell>
          <cell r="C1336" t="str">
            <v>3 -Leasing Bradesco - ctr 01060059</v>
          </cell>
        </row>
        <row r="1337">
          <cell r="A1337">
            <v>13205134</v>
          </cell>
          <cell r="B1337" t="str">
            <v>1.3.2.05.134</v>
          </cell>
          <cell r="C1337" t="str">
            <v>Leasing Cit -ctr.273401</v>
          </cell>
        </row>
        <row r="1338">
          <cell r="A1338">
            <v>13205135</v>
          </cell>
          <cell r="B1338" t="str">
            <v>1.3.2.05.135</v>
          </cell>
          <cell r="C1338" t="str">
            <v>Leasing Safra ctr-751319554</v>
          </cell>
        </row>
        <row r="1339">
          <cell r="A1339">
            <v>13205136</v>
          </cell>
          <cell r="B1339" t="str">
            <v>1.3.2.05.136</v>
          </cell>
          <cell r="C1339" t="str">
            <v>Leasing Bradesco ctr 01105592</v>
          </cell>
        </row>
        <row r="1340">
          <cell r="A1340">
            <v>13205137</v>
          </cell>
          <cell r="B1340" t="str">
            <v>1.3.2.05.137</v>
          </cell>
          <cell r="C1340" t="str">
            <v>Leasing Bradesco ctr 0110555</v>
          </cell>
        </row>
        <row r="1341">
          <cell r="A1341">
            <v>13205138</v>
          </cell>
          <cell r="B1341" t="str">
            <v>1.3.2.05.138</v>
          </cell>
          <cell r="C1341" t="str">
            <v>Leasing Bco Brasil ctr-115529-01</v>
          </cell>
        </row>
        <row r="1342">
          <cell r="A1342">
            <v>13205139</v>
          </cell>
          <cell r="B1342" t="str">
            <v>1.3.2.05.139</v>
          </cell>
          <cell r="C1342" t="str">
            <v>Leasing Bradesco ctr.1105592</v>
          </cell>
        </row>
        <row r="1343">
          <cell r="A1343">
            <v>13205140</v>
          </cell>
          <cell r="B1343" t="str">
            <v>1.3.2.05.140</v>
          </cell>
          <cell r="C1343" t="str">
            <v>Leasing Bradesco ctr*1105555</v>
          </cell>
        </row>
        <row r="1344">
          <cell r="A1344">
            <v>13205141</v>
          </cell>
          <cell r="B1344" t="str">
            <v>1.3.2.05.141</v>
          </cell>
          <cell r="C1344" t="str">
            <v>Leasing B.Brasil ctr-138.714-01</v>
          </cell>
        </row>
        <row r="1345">
          <cell r="A1345">
            <v>13205142</v>
          </cell>
          <cell r="B1345" t="str">
            <v>1.3.2.05.142</v>
          </cell>
          <cell r="C1345" t="str">
            <v>1-Leasing Residual Safra-ctr.756.024.617</v>
          </cell>
        </row>
        <row r="1346">
          <cell r="A1346">
            <v>13205143</v>
          </cell>
          <cell r="B1346" t="str">
            <v>1.3.2.05.143</v>
          </cell>
          <cell r="C1346" t="str">
            <v>Leasing Financeiro - Custo</v>
          </cell>
        </row>
        <row r="1347">
          <cell r="A1347">
            <v>13205144</v>
          </cell>
          <cell r="B1347" t="str">
            <v>1.3.2.05.144</v>
          </cell>
          <cell r="C1347" t="str">
            <v>( )Depreciação Acunulada Leasing</v>
          </cell>
        </row>
        <row r="1348">
          <cell r="A1348">
            <v>13205145</v>
          </cell>
          <cell r="B1348" t="str">
            <v>1.3.2.05.145</v>
          </cell>
          <cell r="C1348" t="str">
            <v>Antecipações Residual RTT</v>
          </cell>
        </row>
        <row r="1349">
          <cell r="A1349">
            <v>13205199</v>
          </cell>
          <cell r="B1349" t="str">
            <v>1.3.2.05.199</v>
          </cell>
          <cell r="C1349" t="str">
            <v>(-)Depreciação CPC 27</v>
          </cell>
        </row>
        <row r="1350">
          <cell r="A1350">
            <v>13206000</v>
          </cell>
          <cell r="B1350" t="str">
            <v>1.3.2.06.000</v>
          </cell>
          <cell r="C1350" t="str">
            <v>ENCARGOS CAPITALIZADOS</v>
          </cell>
        </row>
        <row r="1351">
          <cell r="A1351">
            <v>13206100</v>
          </cell>
          <cell r="B1351" t="str">
            <v>1.3.2.06.100</v>
          </cell>
          <cell r="C1351" t="str">
            <v>ENCARGOS CAPITALIZADOS</v>
          </cell>
        </row>
        <row r="1352">
          <cell r="A1352">
            <v>13206101</v>
          </cell>
          <cell r="B1352" t="str">
            <v>1.3.2.06.101</v>
          </cell>
          <cell r="C1352" t="str">
            <v>Variação Cambial IFC</v>
          </cell>
        </row>
        <row r="1353">
          <cell r="A1353">
            <v>13206102</v>
          </cell>
          <cell r="B1353" t="str">
            <v>1.3.2.06.102</v>
          </cell>
          <cell r="C1353" t="str">
            <v>Juros IFC</v>
          </cell>
        </row>
        <row r="1354">
          <cell r="A1354">
            <v>13300000</v>
          </cell>
          <cell r="B1354" t="str">
            <v>1.3.3.00.000</v>
          </cell>
          <cell r="C1354" t="str">
            <v>IMOBILIZADO LAVOURAS EM FORMAÇÃO</v>
          </cell>
        </row>
        <row r="1355">
          <cell r="A1355">
            <v>13301000</v>
          </cell>
          <cell r="B1355" t="str">
            <v>1.3.3.01.000</v>
          </cell>
          <cell r="C1355" t="str">
            <v>IMOBILIZADO LAVOURAS EM FORMAÇÃO</v>
          </cell>
        </row>
        <row r="1356">
          <cell r="A1356">
            <v>13301100</v>
          </cell>
          <cell r="B1356" t="str">
            <v>1.3.3.01.100</v>
          </cell>
          <cell r="C1356" t="str">
            <v>LAVOURAS EM FORMAÇÃO-IMOBILIZADO</v>
          </cell>
        </row>
        <row r="1357">
          <cell r="A1357">
            <v>13301101</v>
          </cell>
          <cell r="B1357" t="str">
            <v>1.3.3.01.101</v>
          </cell>
          <cell r="C1357" t="str">
            <v>Sitio N. S. de Fatima</v>
          </cell>
        </row>
        <row r="1358">
          <cell r="A1358">
            <v>13301102</v>
          </cell>
          <cell r="B1358" t="str">
            <v>1.3.3.01.102</v>
          </cell>
          <cell r="C1358" t="str">
            <v>9-Fazenda Colorado I e II</v>
          </cell>
        </row>
        <row r="1359">
          <cell r="A1359">
            <v>13301103</v>
          </cell>
          <cell r="B1359" t="str">
            <v>1.3.3.01.103</v>
          </cell>
          <cell r="C1359" t="str">
            <v>9-Sitio São Francisco</v>
          </cell>
        </row>
        <row r="1360">
          <cell r="A1360">
            <v>13301104</v>
          </cell>
          <cell r="B1360" t="str">
            <v>1.3.3.01.104</v>
          </cell>
          <cell r="C1360" t="str">
            <v>9-Sitio Estancia Soares</v>
          </cell>
        </row>
        <row r="1361">
          <cell r="A1361">
            <v>13301105</v>
          </cell>
          <cell r="B1361" t="str">
            <v>1.3.3.01.105</v>
          </cell>
          <cell r="C1361" t="str">
            <v>9-Sitio Santa Rita</v>
          </cell>
        </row>
        <row r="1362">
          <cell r="A1362">
            <v>13301106</v>
          </cell>
          <cell r="B1362" t="str">
            <v>1.3.3.01.106</v>
          </cell>
          <cell r="C1362" t="str">
            <v>9-Sitio Santa Luzia</v>
          </cell>
        </row>
        <row r="1363">
          <cell r="A1363">
            <v>13301107</v>
          </cell>
          <cell r="B1363" t="str">
            <v>1.3.3.01.107</v>
          </cell>
          <cell r="C1363" t="str">
            <v>Fazenda Mediana</v>
          </cell>
        </row>
        <row r="1364">
          <cell r="A1364">
            <v>13301108</v>
          </cell>
          <cell r="B1364" t="str">
            <v>1.3.3.01.108</v>
          </cell>
          <cell r="C1364" t="str">
            <v>Fazenda Montes das Videiras</v>
          </cell>
        </row>
        <row r="1365">
          <cell r="A1365">
            <v>13301109</v>
          </cell>
          <cell r="B1365" t="str">
            <v>1.3.3.01.109</v>
          </cell>
          <cell r="C1365" t="str">
            <v>9-Sitio N. S. de Fátima</v>
          </cell>
        </row>
        <row r="1366">
          <cell r="A1366">
            <v>13301110</v>
          </cell>
          <cell r="B1366" t="str">
            <v>1.3.3.01.110</v>
          </cell>
          <cell r="C1366" t="str">
            <v>9-Fazenda Santa Rita II</v>
          </cell>
        </row>
        <row r="1367">
          <cell r="A1367">
            <v>13301111</v>
          </cell>
          <cell r="B1367" t="str">
            <v>1.3.3.01.111</v>
          </cell>
          <cell r="C1367" t="str">
            <v>Fazenda São Gabriel II</v>
          </cell>
        </row>
        <row r="1368">
          <cell r="A1368">
            <v>13301112</v>
          </cell>
          <cell r="B1368" t="str">
            <v>1.3.3.01.112</v>
          </cell>
          <cell r="C1368" t="str">
            <v>Fazenda Cruzeiro I</v>
          </cell>
        </row>
        <row r="1369">
          <cell r="A1369">
            <v>13301113</v>
          </cell>
          <cell r="B1369" t="str">
            <v>1.3.3.01.113</v>
          </cell>
          <cell r="C1369" t="str">
            <v>Fazenda Agua Limpa</v>
          </cell>
        </row>
        <row r="1370">
          <cell r="A1370">
            <v>13301114</v>
          </cell>
          <cell r="B1370" t="str">
            <v>1.3.3.01.114</v>
          </cell>
          <cell r="C1370" t="str">
            <v>Fazenda El Shadai</v>
          </cell>
        </row>
        <row r="1371">
          <cell r="A1371">
            <v>13301115</v>
          </cell>
          <cell r="B1371" t="str">
            <v>1.3.3.01.115</v>
          </cell>
          <cell r="C1371" t="str">
            <v>9-Fazenda Jannuzzi</v>
          </cell>
        </row>
        <row r="1372">
          <cell r="A1372">
            <v>13301116</v>
          </cell>
          <cell r="B1372" t="str">
            <v>1.3.3.01.116</v>
          </cell>
          <cell r="C1372" t="str">
            <v>9-Faz. Nossa Senhora Aparecida</v>
          </cell>
        </row>
        <row r="1373">
          <cell r="A1373">
            <v>13301117</v>
          </cell>
          <cell r="B1373" t="str">
            <v>1.3.3.01.117</v>
          </cell>
          <cell r="C1373" t="str">
            <v>9-Fazenda Bacuri Ouro</v>
          </cell>
        </row>
        <row r="1374">
          <cell r="A1374">
            <v>13301118</v>
          </cell>
          <cell r="B1374" t="str">
            <v>1.3.3.01.118</v>
          </cell>
          <cell r="C1374" t="str">
            <v>Fazenda Dois Meninos</v>
          </cell>
        </row>
        <row r="1375">
          <cell r="A1375">
            <v>13301119</v>
          </cell>
          <cell r="B1375" t="str">
            <v>1.3.3.01.119</v>
          </cell>
          <cell r="C1375" t="str">
            <v>9-Fazenda Sta Clara - ant. corrego seco</v>
          </cell>
        </row>
        <row r="1376">
          <cell r="A1376">
            <v>13301120</v>
          </cell>
          <cell r="B1376" t="str">
            <v>1.3.3.01.120</v>
          </cell>
          <cell r="C1376" t="str">
            <v>9-Fazenda Brasil</v>
          </cell>
        </row>
        <row r="1377">
          <cell r="A1377">
            <v>13301121</v>
          </cell>
          <cell r="B1377" t="str">
            <v>1.3.3.01.121</v>
          </cell>
          <cell r="C1377" t="str">
            <v>Fazenda Triangulo</v>
          </cell>
        </row>
        <row r="1378">
          <cell r="A1378">
            <v>13301122</v>
          </cell>
          <cell r="B1378" t="str">
            <v>1.3.3.01.122</v>
          </cell>
          <cell r="C1378" t="str">
            <v>Fazenda São Francisco</v>
          </cell>
        </row>
        <row r="1379">
          <cell r="A1379">
            <v>13301123</v>
          </cell>
          <cell r="B1379" t="str">
            <v>1.3.3.01.123</v>
          </cell>
          <cell r="C1379" t="str">
            <v>1/5-Fazenda São João</v>
          </cell>
        </row>
        <row r="1380">
          <cell r="A1380">
            <v>13301124</v>
          </cell>
          <cell r="B1380" t="str">
            <v>1.3.3.01.124</v>
          </cell>
          <cell r="C1380" t="str">
            <v>Fazenda Estancia Tres Irmãos</v>
          </cell>
        </row>
        <row r="1381">
          <cell r="A1381">
            <v>13301125</v>
          </cell>
          <cell r="B1381" t="str">
            <v>1.3.3.01.125</v>
          </cell>
          <cell r="C1381" t="str">
            <v>9-Fazenda Estancia Rio Claro</v>
          </cell>
        </row>
        <row r="1382">
          <cell r="A1382">
            <v>13301126</v>
          </cell>
          <cell r="B1382" t="str">
            <v>1.3.3.01.126</v>
          </cell>
          <cell r="C1382" t="str">
            <v>Fazenda Santa Cruz</v>
          </cell>
        </row>
        <row r="1383">
          <cell r="A1383">
            <v>13301127</v>
          </cell>
          <cell r="B1383" t="str">
            <v>1.3.3.01.127</v>
          </cell>
          <cell r="C1383" t="str">
            <v>9-Fazenda Garrafão</v>
          </cell>
        </row>
        <row r="1384">
          <cell r="A1384">
            <v>13301128</v>
          </cell>
          <cell r="B1384" t="str">
            <v>1.3.3.01.128</v>
          </cell>
          <cell r="C1384" t="str">
            <v>9-Fazenda Santa Rosa</v>
          </cell>
        </row>
        <row r="1385">
          <cell r="A1385">
            <v>13301129</v>
          </cell>
          <cell r="B1385" t="str">
            <v>1.3.3.01.129</v>
          </cell>
          <cell r="C1385" t="str">
            <v>9-Fazenda N. S. de Fatima</v>
          </cell>
        </row>
        <row r="1386">
          <cell r="A1386">
            <v>13301130</v>
          </cell>
          <cell r="B1386" t="str">
            <v>1.3.3.01.130</v>
          </cell>
          <cell r="C1386" t="str">
            <v>9-Fazenda Ipe</v>
          </cell>
        </row>
        <row r="1387">
          <cell r="A1387">
            <v>13301131</v>
          </cell>
          <cell r="B1387" t="str">
            <v>1.3.3.01.131</v>
          </cell>
          <cell r="C1387" t="str">
            <v>9-Estancia Analex</v>
          </cell>
        </row>
        <row r="1388">
          <cell r="A1388">
            <v>13301132</v>
          </cell>
          <cell r="B1388" t="str">
            <v>1.3.3.01.132</v>
          </cell>
          <cell r="C1388" t="str">
            <v>9-Estancia Analex I</v>
          </cell>
        </row>
        <row r="1389">
          <cell r="A1389">
            <v>13301133</v>
          </cell>
          <cell r="B1389" t="str">
            <v>1.3.3.01.133</v>
          </cell>
          <cell r="C1389" t="str">
            <v>9-Sitio Analex</v>
          </cell>
        </row>
        <row r="1390">
          <cell r="A1390">
            <v>13301134</v>
          </cell>
          <cell r="B1390" t="str">
            <v>1.3.3.01.134</v>
          </cell>
          <cell r="C1390" t="str">
            <v>9-Sitio Guaruja</v>
          </cell>
        </row>
        <row r="1391">
          <cell r="A1391">
            <v>13301135</v>
          </cell>
          <cell r="B1391" t="str">
            <v>1.3.3.01.135</v>
          </cell>
          <cell r="C1391" t="str">
            <v>9-Fazenda Sao Manoel</v>
          </cell>
        </row>
        <row r="1392">
          <cell r="A1392">
            <v>13301136</v>
          </cell>
          <cell r="B1392" t="str">
            <v>1.3.3.01.136</v>
          </cell>
          <cell r="C1392" t="str">
            <v>9-Sitio Santo Antonio I</v>
          </cell>
        </row>
        <row r="1393">
          <cell r="A1393">
            <v>13301137</v>
          </cell>
          <cell r="B1393" t="str">
            <v>1.3.3.01.137</v>
          </cell>
          <cell r="C1393" t="str">
            <v>9-Sitio Santa Reis</v>
          </cell>
        </row>
        <row r="1394">
          <cell r="A1394">
            <v>13301138</v>
          </cell>
          <cell r="B1394" t="str">
            <v>1.3.3.01.138</v>
          </cell>
          <cell r="C1394" t="str">
            <v>9-Sitio N. S. Aparecida II</v>
          </cell>
        </row>
        <row r="1395">
          <cell r="A1395">
            <v>13301139</v>
          </cell>
          <cell r="B1395" t="str">
            <v>1.3.3.01.139</v>
          </cell>
          <cell r="C1395" t="str">
            <v>9-Sitio Sao Jose III</v>
          </cell>
        </row>
        <row r="1396">
          <cell r="A1396">
            <v>13301140</v>
          </cell>
          <cell r="B1396" t="str">
            <v>1.3.3.01.140</v>
          </cell>
          <cell r="C1396" t="str">
            <v>9-Sitio Sao Pedro III</v>
          </cell>
        </row>
        <row r="1397">
          <cell r="A1397">
            <v>13301141</v>
          </cell>
          <cell r="B1397" t="str">
            <v>1.3.3.01.141</v>
          </cell>
          <cell r="C1397" t="str">
            <v>9-Sitio Jacare</v>
          </cell>
        </row>
        <row r="1398">
          <cell r="A1398">
            <v>13301142</v>
          </cell>
          <cell r="B1398" t="str">
            <v>1.3.3.01.142</v>
          </cell>
          <cell r="C1398" t="str">
            <v>9-Fazenda São Pedro</v>
          </cell>
        </row>
        <row r="1399">
          <cell r="A1399">
            <v>13301143</v>
          </cell>
          <cell r="B1399" t="str">
            <v>1.3.3.01.143</v>
          </cell>
          <cell r="C1399" t="str">
            <v>Fazenda Cruzeiro</v>
          </cell>
        </row>
        <row r="1400">
          <cell r="A1400">
            <v>13301144</v>
          </cell>
          <cell r="B1400" t="str">
            <v>1.3.3.01.144</v>
          </cell>
          <cell r="C1400" t="str">
            <v>Fazenda São Francisco</v>
          </cell>
        </row>
        <row r="1401">
          <cell r="A1401">
            <v>13301145</v>
          </cell>
          <cell r="B1401" t="str">
            <v>1.3.3.01.145</v>
          </cell>
          <cell r="C1401" t="str">
            <v>9-Fazenda Colorado lll</v>
          </cell>
        </row>
        <row r="1402">
          <cell r="A1402">
            <v>13301146</v>
          </cell>
          <cell r="B1402" t="str">
            <v>1.3.3.01.146</v>
          </cell>
          <cell r="C1402" t="str">
            <v>9-Sitio Bacuri</v>
          </cell>
        </row>
        <row r="1403">
          <cell r="A1403">
            <v>13301147</v>
          </cell>
          <cell r="B1403" t="str">
            <v>1.3.3.01.147</v>
          </cell>
          <cell r="C1403" t="str">
            <v>9-Sitio Santa Luzia</v>
          </cell>
        </row>
        <row r="1404">
          <cell r="A1404">
            <v>13301148</v>
          </cell>
          <cell r="B1404" t="str">
            <v>1.3.3.01.148</v>
          </cell>
          <cell r="C1404" t="str">
            <v>9-Sitio N. S. Aparecida l</v>
          </cell>
        </row>
        <row r="1405">
          <cell r="A1405">
            <v>13301149</v>
          </cell>
          <cell r="B1405" t="str">
            <v>1.3.3.01.149</v>
          </cell>
          <cell r="C1405" t="str">
            <v>9-Sitio Pires</v>
          </cell>
        </row>
        <row r="1406">
          <cell r="A1406">
            <v>13301150</v>
          </cell>
          <cell r="B1406" t="str">
            <v>1.3.3.01.150</v>
          </cell>
          <cell r="C1406" t="str">
            <v>9-Estancia das Aguas</v>
          </cell>
        </row>
        <row r="1407">
          <cell r="A1407">
            <v>13301151</v>
          </cell>
          <cell r="B1407" t="str">
            <v>1.3.3.01.151</v>
          </cell>
          <cell r="C1407" t="str">
            <v>9-Sitio Boa Esperança I</v>
          </cell>
        </row>
        <row r="1408">
          <cell r="A1408">
            <v>13301152</v>
          </cell>
          <cell r="B1408" t="str">
            <v>1.3.3.01.152</v>
          </cell>
          <cell r="C1408" t="str">
            <v>9-Fazenda Santa Iria</v>
          </cell>
        </row>
        <row r="1409">
          <cell r="A1409">
            <v>13301153</v>
          </cell>
          <cell r="B1409" t="str">
            <v>1.3.3.01.153</v>
          </cell>
          <cell r="C1409" t="str">
            <v>9-Fazenda Sapé</v>
          </cell>
        </row>
        <row r="1410">
          <cell r="A1410">
            <v>13301154</v>
          </cell>
          <cell r="B1410" t="str">
            <v>1.3.3.01.154</v>
          </cell>
          <cell r="C1410" t="str">
            <v>9-Fazenda N. S. Aparecida IV</v>
          </cell>
        </row>
        <row r="1411">
          <cell r="A1411">
            <v>13301155</v>
          </cell>
          <cell r="B1411" t="str">
            <v>1.3.3.01.155</v>
          </cell>
          <cell r="C1411" t="str">
            <v>9-Fazenda Grauna I</v>
          </cell>
        </row>
        <row r="1412">
          <cell r="A1412">
            <v>13301156</v>
          </cell>
          <cell r="B1412" t="str">
            <v>1.3.3.01.156</v>
          </cell>
          <cell r="C1412" t="str">
            <v>9-Fazenda Mosquito II</v>
          </cell>
        </row>
        <row r="1413">
          <cell r="A1413">
            <v>13301157</v>
          </cell>
          <cell r="B1413" t="str">
            <v>1.3.3.01.157</v>
          </cell>
          <cell r="C1413" t="str">
            <v>9-Fazenda Dois Valles</v>
          </cell>
        </row>
        <row r="1414">
          <cell r="A1414">
            <v>13301158</v>
          </cell>
          <cell r="B1414" t="str">
            <v>1.3.3.01.158</v>
          </cell>
          <cell r="C1414" t="str">
            <v>9-N. Sra. Aparecida II</v>
          </cell>
        </row>
        <row r="1415">
          <cell r="A1415">
            <v>13301159</v>
          </cell>
          <cell r="B1415" t="str">
            <v>1.3.3.01.159</v>
          </cell>
          <cell r="C1415" t="str">
            <v>9-Sitio N. S. Aparecida</v>
          </cell>
        </row>
        <row r="1416">
          <cell r="A1416">
            <v>13301160</v>
          </cell>
          <cell r="B1416" t="str">
            <v>1.3.3.01.160</v>
          </cell>
          <cell r="C1416" t="str">
            <v>5-Fazenda Santa Joana</v>
          </cell>
        </row>
        <row r="1417">
          <cell r="A1417">
            <v>13301161</v>
          </cell>
          <cell r="B1417" t="str">
            <v>1.3.3.01.161</v>
          </cell>
          <cell r="C1417" t="str">
            <v>9-Sitio Santa Barbara</v>
          </cell>
        </row>
        <row r="1418">
          <cell r="A1418">
            <v>13301162</v>
          </cell>
          <cell r="B1418" t="str">
            <v>1.3.3.01.162</v>
          </cell>
          <cell r="C1418" t="str">
            <v>9-Estancia Santa Ines</v>
          </cell>
        </row>
        <row r="1419">
          <cell r="A1419">
            <v>13301163</v>
          </cell>
          <cell r="B1419" t="str">
            <v>1.3.3.01.163</v>
          </cell>
          <cell r="C1419" t="str">
            <v>9-Sitio São Marcos</v>
          </cell>
        </row>
        <row r="1420">
          <cell r="A1420">
            <v>13301164</v>
          </cell>
          <cell r="B1420" t="str">
            <v>1.3.3.01.164</v>
          </cell>
          <cell r="C1420" t="str">
            <v>9-Sitio Unidos</v>
          </cell>
        </row>
        <row r="1421">
          <cell r="A1421">
            <v>13301165</v>
          </cell>
          <cell r="B1421" t="str">
            <v>1.3.3.01.165</v>
          </cell>
          <cell r="C1421" t="str">
            <v>9-Sitio Boa Esperança</v>
          </cell>
        </row>
        <row r="1422">
          <cell r="A1422">
            <v>13301166</v>
          </cell>
          <cell r="B1422" t="str">
            <v>1.3.3.01.166</v>
          </cell>
          <cell r="C1422" t="str">
            <v>5-Fazenda Ponta Porã</v>
          </cell>
        </row>
        <row r="1423">
          <cell r="A1423">
            <v>13301167</v>
          </cell>
          <cell r="B1423" t="str">
            <v>1.3.3.01.167</v>
          </cell>
          <cell r="C1423" t="str">
            <v>9-Fazenda São José</v>
          </cell>
        </row>
        <row r="1424">
          <cell r="A1424">
            <v>13301168</v>
          </cell>
          <cell r="B1424" t="str">
            <v>1.3.3.01.168</v>
          </cell>
          <cell r="C1424" t="str">
            <v>9-Sitio Boa Esperanca III</v>
          </cell>
        </row>
        <row r="1425">
          <cell r="A1425">
            <v>13301169</v>
          </cell>
          <cell r="B1425" t="str">
            <v>1.3.3.01.169</v>
          </cell>
          <cell r="C1425" t="str">
            <v>9-Sitio Boa esperanca IV</v>
          </cell>
        </row>
        <row r="1426">
          <cell r="A1426">
            <v>13301170</v>
          </cell>
          <cell r="B1426" t="str">
            <v>1.3.3.01.170</v>
          </cell>
          <cell r="C1426" t="str">
            <v>9-Estancia Rancho Alegre</v>
          </cell>
        </row>
        <row r="1427">
          <cell r="A1427">
            <v>13301171</v>
          </cell>
          <cell r="B1427" t="str">
            <v>1.3.3.01.171</v>
          </cell>
          <cell r="C1427" t="str">
            <v>9-Sitio Sao Joao II</v>
          </cell>
        </row>
        <row r="1428">
          <cell r="A1428">
            <v>13301172</v>
          </cell>
          <cell r="B1428" t="str">
            <v>1.3.3.01.172</v>
          </cell>
          <cell r="C1428" t="str">
            <v>9-Sitio Sao Joao III</v>
          </cell>
        </row>
        <row r="1429">
          <cell r="A1429">
            <v>13301173</v>
          </cell>
          <cell r="B1429" t="str">
            <v>1.3.3.01.173</v>
          </cell>
          <cell r="C1429" t="str">
            <v>9-Sitio Sao Jose IV</v>
          </cell>
        </row>
        <row r="1430">
          <cell r="A1430">
            <v>13301174</v>
          </cell>
          <cell r="B1430" t="str">
            <v>1.3.3.01.174</v>
          </cell>
          <cell r="C1430" t="str">
            <v>9-Sitio Santo Ivo</v>
          </cell>
        </row>
        <row r="1431">
          <cell r="A1431">
            <v>13301175</v>
          </cell>
          <cell r="B1431" t="str">
            <v>1.3.3.01.175</v>
          </cell>
          <cell r="C1431" t="str">
            <v>9-Sitio Nova Alvorada</v>
          </cell>
        </row>
        <row r="1432">
          <cell r="A1432">
            <v>13301176</v>
          </cell>
          <cell r="B1432" t="str">
            <v>1.3.3.01.176</v>
          </cell>
          <cell r="C1432" t="str">
            <v>9-Sitio Analax I</v>
          </cell>
        </row>
        <row r="1433">
          <cell r="A1433">
            <v>13301177</v>
          </cell>
          <cell r="B1433" t="str">
            <v>1.3.3.01.177</v>
          </cell>
          <cell r="C1433" t="str">
            <v>9-Sitio Sao Jose V</v>
          </cell>
        </row>
        <row r="1434">
          <cell r="A1434">
            <v>13301178</v>
          </cell>
          <cell r="B1434" t="str">
            <v>1.3.3.01.178</v>
          </cell>
          <cell r="C1434" t="str">
            <v>9-Sitio Bom Jesus I</v>
          </cell>
        </row>
        <row r="1435">
          <cell r="A1435">
            <v>13301179</v>
          </cell>
          <cell r="B1435" t="str">
            <v>1.3.3.01.179</v>
          </cell>
          <cell r="C1435" t="str">
            <v>9-Sitio Sao Jose VI</v>
          </cell>
        </row>
        <row r="1436">
          <cell r="A1436">
            <v>13301180</v>
          </cell>
          <cell r="B1436" t="str">
            <v>1.3.3.01.180</v>
          </cell>
          <cell r="C1436" t="str">
            <v>9-Faz. Sao Jose do Rancho Alegre</v>
          </cell>
        </row>
        <row r="1437">
          <cell r="A1437">
            <v>13301181</v>
          </cell>
          <cell r="B1437" t="str">
            <v>1.3.3.01.181</v>
          </cell>
          <cell r="C1437" t="str">
            <v>9-Faz. Sao Jose</v>
          </cell>
        </row>
        <row r="1438">
          <cell r="A1438">
            <v>13301182</v>
          </cell>
          <cell r="B1438" t="str">
            <v>1.3.3.01.182</v>
          </cell>
          <cell r="C1438" t="str">
            <v>9-Fazenda Sao Martinho</v>
          </cell>
        </row>
        <row r="1439">
          <cell r="A1439">
            <v>13301183</v>
          </cell>
          <cell r="B1439" t="str">
            <v>1.3.3.01.183</v>
          </cell>
          <cell r="C1439" t="str">
            <v>9-Faz. Santa Rosa</v>
          </cell>
        </row>
        <row r="1440">
          <cell r="A1440">
            <v>13301184</v>
          </cell>
          <cell r="B1440" t="str">
            <v>1.3.3.01.184</v>
          </cell>
          <cell r="C1440" t="str">
            <v>9-Fazenda Graúna</v>
          </cell>
        </row>
        <row r="1441">
          <cell r="A1441">
            <v>13301185</v>
          </cell>
          <cell r="B1441" t="str">
            <v>1.3.3.01.185</v>
          </cell>
          <cell r="C1441" t="str">
            <v>9-Sitio Sao Jose</v>
          </cell>
        </row>
        <row r="1442">
          <cell r="A1442">
            <v>13301186</v>
          </cell>
          <cell r="B1442" t="str">
            <v>1.3.3.01.186</v>
          </cell>
          <cell r="C1442" t="str">
            <v>9-Estancia Rancho Alegre</v>
          </cell>
        </row>
        <row r="1443">
          <cell r="A1443">
            <v>13301187</v>
          </cell>
          <cell r="B1443" t="str">
            <v>1.3.3.01.187</v>
          </cell>
          <cell r="C1443" t="str">
            <v>9-Faz. Sao bento</v>
          </cell>
        </row>
        <row r="1444">
          <cell r="A1444">
            <v>13301188</v>
          </cell>
          <cell r="B1444" t="str">
            <v>1.3.3.01.188</v>
          </cell>
          <cell r="C1444" t="str">
            <v>7-Fazenda Carioca</v>
          </cell>
        </row>
        <row r="1445">
          <cell r="A1445">
            <v>13301189</v>
          </cell>
          <cell r="B1445" t="str">
            <v>1.3.3.01.189</v>
          </cell>
          <cell r="C1445" t="str">
            <v>7-Fazenda Dal Lago II</v>
          </cell>
        </row>
        <row r="1446">
          <cell r="A1446">
            <v>13301190</v>
          </cell>
          <cell r="B1446" t="str">
            <v>1.3.3.01.190</v>
          </cell>
          <cell r="C1446" t="str">
            <v>7-Fazenda Dal Lago III</v>
          </cell>
        </row>
        <row r="1447">
          <cell r="A1447">
            <v>13301191</v>
          </cell>
          <cell r="B1447" t="str">
            <v>1.3.3.01.191</v>
          </cell>
          <cell r="C1447" t="str">
            <v>7-Fazenda Santa Maria</v>
          </cell>
        </row>
        <row r="1448">
          <cell r="A1448">
            <v>13301192</v>
          </cell>
          <cell r="B1448" t="str">
            <v>1.3.3.01.192</v>
          </cell>
          <cell r="C1448" t="str">
            <v>7-Fazenda Santa Ines</v>
          </cell>
        </row>
        <row r="1449">
          <cell r="A1449">
            <v>13301193</v>
          </cell>
          <cell r="B1449" t="str">
            <v>1.3.3.01.193</v>
          </cell>
          <cell r="C1449" t="str">
            <v>9-Fazenda Santa Rosa</v>
          </cell>
        </row>
        <row r="1450">
          <cell r="A1450">
            <v>13301194</v>
          </cell>
          <cell r="B1450" t="str">
            <v>1.3.3.01.194</v>
          </cell>
          <cell r="C1450" t="str">
            <v>9-Fazenda Ary Gaia II</v>
          </cell>
        </row>
        <row r="1451">
          <cell r="A1451">
            <v>13301195</v>
          </cell>
          <cell r="B1451" t="str">
            <v>1.3.3.01.195</v>
          </cell>
          <cell r="C1451" t="str">
            <v>9-Fazenda Valença</v>
          </cell>
        </row>
        <row r="1452">
          <cell r="A1452">
            <v>13301196</v>
          </cell>
          <cell r="B1452" t="str">
            <v>1.3.3.01.196</v>
          </cell>
          <cell r="C1452" t="str">
            <v>9-Sitio São João</v>
          </cell>
        </row>
        <row r="1453">
          <cell r="A1453">
            <v>13301197</v>
          </cell>
          <cell r="B1453" t="str">
            <v>1.3.3.01.197</v>
          </cell>
          <cell r="C1453" t="str">
            <v>9-Faz. Nametalla rezek</v>
          </cell>
        </row>
        <row r="1454">
          <cell r="A1454">
            <v>13301198</v>
          </cell>
          <cell r="B1454" t="str">
            <v>1.3.3.01.198</v>
          </cell>
          <cell r="C1454" t="str">
            <v>7-Fazenda Serra Branca</v>
          </cell>
        </row>
        <row r="1455">
          <cell r="A1455">
            <v>13301199</v>
          </cell>
          <cell r="B1455" t="str">
            <v>1.3.3.01.199</v>
          </cell>
          <cell r="C1455" t="str">
            <v>7-Fazenda Nova Esperança</v>
          </cell>
        </row>
        <row r="1456">
          <cell r="A1456">
            <v>13301200</v>
          </cell>
          <cell r="B1456" t="str">
            <v>1.3.3.01.200</v>
          </cell>
          <cell r="C1456" t="str">
            <v>9-Fazenda Limoeiro</v>
          </cell>
        </row>
        <row r="1457">
          <cell r="A1457">
            <v>13301201</v>
          </cell>
          <cell r="B1457" t="str">
            <v>1.3.3.01.201</v>
          </cell>
          <cell r="C1457" t="str">
            <v>Fazenda Brejão</v>
          </cell>
        </row>
        <row r="1458">
          <cell r="A1458">
            <v>13301202</v>
          </cell>
          <cell r="B1458" t="str">
            <v>1.3.3.01.202</v>
          </cell>
          <cell r="C1458" t="str">
            <v>Fazenda Santa Izabel II</v>
          </cell>
        </row>
        <row r="1459">
          <cell r="A1459">
            <v>13301203</v>
          </cell>
          <cell r="B1459" t="str">
            <v>1.3.3.01.203</v>
          </cell>
          <cell r="C1459" t="str">
            <v>Fazenda Tres Nascentes</v>
          </cell>
        </row>
        <row r="1460">
          <cell r="A1460">
            <v>13301204</v>
          </cell>
          <cell r="B1460" t="str">
            <v>1.3.3.01.204</v>
          </cell>
          <cell r="C1460" t="str">
            <v>Sitio Sao Marcos</v>
          </cell>
        </row>
        <row r="1461">
          <cell r="A1461">
            <v>13301205</v>
          </cell>
          <cell r="B1461" t="str">
            <v>1.3.3.01.205</v>
          </cell>
          <cell r="C1461" t="str">
            <v>9-Sitio Sao Jose</v>
          </cell>
        </row>
        <row r="1462">
          <cell r="A1462">
            <v>13301206</v>
          </cell>
          <cell r="B1462" t="str">
            <v>1.3.3.01.206</v>
          </cell>
          <cell r="C1462" t="str">
            <v>Fazenda Santa Augusta</v>
          </cell>
        </row>
        <row r="1463">
          <cell r="A1463">
            <v>13301207</v>
          </cell>
          <cell r="B1463" t="str">
            <v>1.3.3.01.207</v>
          </cell>
          <cell r="C1463" t="str">
            <v>Fazenda Santa Angela</v>
          </cell>
        </row>
        <row r="1464">
          <cell r="A1464">
            <v>13301208</v>
          </cell>
          <cell r="B1464" t="str">
            <v>1.3.3.01.208</v>
          </cell>
          <cell r="C1464" t="str">
            <v>Fazenda Boa Esperança</v>
          </cell>
        </row>
        <row r="1465">
          <cell r="A1465">
            <v>13301209</v>
          </cell>
          <cell r="B1465" t="str">
            <v>1.3.3.01.209</v>
          </cell>
          <cell r="C1465" t="str">
            <v>4-Fazenda Santa Ines</v>
          </cell>
        </row>
        <row r="1466">
          <cell r="A1466">
            <v>13301210</v>
          </cell>
          <cell r="B1466" t="str">
            <v>1.3.3.01.210</v>
          </cell>
          <cell r="C1466" t="str">
            <v>4/5-Fazenda Jardim</v>
          </cell>
        </row>
        <row r="1467">
          <cell r="A1467">
            <v>13301211</v>
          </cell>
          <cell r="B1467" t="str">
            <v>1.3.3.01.211</v>
          </cell>
          <cell r="C1467" t="str">
            <v>4-Fazenda Loraine</v>
          </cell>
        </row>
        <row r="1468">
          <cell r="A1468">
            <v>13301212</v>
          </cell>
          <cell r="B1468" t="str">
            <v>1.3.3.01.212</v>
          </cell>
          <cell r="C1468" t="str">
            <v>4-Fazenda Aroeira V (boa sorte)</v>
          </cell>
        </row>
        <row r="1469">
          <cell r="A1469">
            <v>13301213</v>
          </cell>
          <cell r="B1469" t="str">
            <v>1.3.3.01.213</v>
          </cell>
          <cell r="C1469" t="str">
            <v>4-Fazenda Arrastao</v>
          </cell>
        </row>
        <row r="1470">
          <cell r="A1470">
            <v>13301214</v>
          </cell>
          <cell r="B1470" t="str">
            <v>1.3.3.01.214</v>
          </cell>
          <cell r="C1470" t="str">
            <v>Fazenda São Sebastiao</v>
          </cell>
        </row>
        <row r="1471">
          <cell r="A1471">
            <v>13301215</v>
          </cell>
          <cell r="B1471" t="str">
            <v>1.3.3.01.215</v>
          </cell>
          <cell r="C1471" t="str">
            <v>9-Fazenda Dois Vales II</v>
          </cell>
        </row>
        <row r="1472">
          <cell r="A1472">
            <v>13301216</v>
          </cell>
          <cell r="B1472" t="str">
            <v>1.3.3.01.216</v>
          </cell>
          <cell r="C1472" t="str">
            <v>9-Fazenda Caiçara</v>
          </cell>
        </row>
        <row r="1473">
          <cell r="A1473">
            <v>13301217</v>
          </cell>
          <cell r="B1473" t="str">
            <v>1.3.3.01.217</v>
          </cell>
          <cell r="C1473" t="str">
            <v>9-Fazenda Vitória</v>
          </cell>
        </row>
        <row r="1474">
          <cell r="A1474">
            <v>13301218</v>
          </cell>
          <cell r="B1474" t="str">
            <v>1.3.3.01.218</v>
          </cell>
          <cell r="C1474" t="str">
            <v>9-Faz. Nametala rezek</v>
          </cell>
        </row>
        <row r="1475">
          <cell r="A1475">
            <v>13301219</v>
          </cell>
          <cell r="B1475" t="str">
            <v>1.3.3.01.219</v>
          </cell>
          <cell r="C1475" t="str">
            <v>5-Fazenda Santa Helena</v>
          </cell>
        </row>
        <row r="1476">
          <cell r="A1476">
            <v>13301220</v>
          </cell>
          <cell r="B1476" t="str">
            <v>1.3.3.01.220</v>
          </cell>
          <cell r="C1476" t="str">
            <v>5-Fazenda Sul Matogrossense</v>
          </cell>
        </row>
        <row r="1477">
          <cell r="A1477">
            <v>13301221</v>
          </cell>
          <cell r="B1477" t="str">
            <v>1.3.3.01.221</v>
          </cell>
          <cell r="C1477" t="str">
            <v>Fazenda Barahona</v>
          </cell>
        </row>
        <row r="1478">
          <cell r="A1478">
            <v>13301222</v>
          </cell>
          <cell r="B1478" t="str">
            <v>1.3.3.01.222</v>
          </cell>
          <cell r="C1478" t="str">
            <v>Fazenda Palacios</v>
          </cell>
        </row>
        <row r="1479">
          <cell r="A1479">
            <v>13301225</v>
          </cell>
          <cell r="B1479" t="str">
            <v>1.3.3.01.225</v>
          </cell>
          <cell r="C1479" t="str">
            <v>Fazenda Cururmim</v>
          </cell>
        </row>
        <row r="1480">
          <cell r="A1480">
            <v>13301226</v>
          </cell>
          <cell r="B1480" t="str">
            <v>1.3.3.01.226</v>
          </cell>
          <cell r="C1480" t="str">
            <v>Sitio Balsamo</v>
          </cell>
        </row>
        <row r="1481">
          <cell r="A1481">
            <v>13301228</v>
          </cell>
          <cell r="B1481" t="str">
            <v>1.3.3.01.228</v>
          </cell>
          <cell r="C1481" t="str">
            <v>Fazenda São Marcos</v>
          </cell>
        </row>
        <row r="1482">
          <cell r="A1482">
            <v>13301229</v>
          </cell>
          <cell r="B1482" t="str">
            <v>1.3.3.01.229</v>
          </cell>
          <cell r="C1482" t="str">
            <v>Fazenda Esperança</v>
          </cell>
        </row>
        <row r="1483">
          <cell r="A1483">
            <v>13301230</v>
          </cell>
          <cell r="B1483" t="str">
            <v>1.3.3.01.230</v>
          </cell>
          <cell r="C1483" t="str">
            <v>Fazenda Jangadinha</v>
          </cell>
        </row>
        <row r="1484">
          <cell r="A1484">
            <v>13301231</v>
          </cell>
          <cell r="B1484" t="str">
            <v>1.3.3.01.231</v>
          </cell>
          <cell r="C1484" t="str">
            <v>Fazanda Santo Antonio I</v>
          </cell>
        </row>
        <row r="1485">
          <cell r="A1485">
            <v>13301232</v>
          </cell>
          <cell r="B1485" t="str">
            <v>1.3.3.01.232</v>
          </cell>
          <cell r="C1485" t="str">
            <v>Sitio Joaquim I</v>
          </cell>
        </row>
        <row r="1486">
          <cell r="A1486">
            <v>13301233</v>
          </cell>
          <cell r="B1486" t="str">
            <v>1.3.3.01.233</v>
          </cell>
          <cell r="C1486" t="str">
            <v>Fazenda Bela Alvorada</v>
          </cell>
        </row>
        <row r="1487">
          <cell r="A1487">
            <v>13301234</v>
          </cell>
          <cell r="B1487" t="str">
            <v>1.3.3.01.234</v>
          </cell>
          <cell r="C1487" t="str">
            <v>Fazenda Santa Luiza</v>
          </cell>
        </row>
        <row r="1488">
          <cell r="A1488">
            <v>13301235</v>
          </cell>
          <cell r="B1488" t="str">
            <v>1.3.3.01.235</v>
          </cell>
          <cell r="C1488" t="str">
            <v>Sitio Izabel II</v>
          </cell>
        </row>
        <row r="1489">
          <cell r="A1489">
            <v>13301236</v>
          </cell>
          <cell r="B1489" t="str">
            <v>1.3.3.01.236</v>
          </cell>
          <cell r="C1489" t="str">
            <v>5-Fazenda Alto Paraná</v>
          </cell>
        </row>
        <row r="1490">
          <cell r="A1490">
            <v>13301237</v>
          </cell>
          <cell r="B1490" t="str">
            <v>1.3.3.01.237</v>
          </cell>
          <cell r="C1490" t="str">
            <v>Fazenda São Manoel</v>
          </cell>
        </row>
        <row r="1491">
          <cell r="A1491">
            <v>13301238</v>
          </cell>
          <cell r="B1491" t="str">
            <v>1.3.3.01.238</v>
          </cell>
          <cell r="C1491" t="str">
            <v>5-Fazenda N S Aparecida</v>
          </cell>
        </row>
        <row r="1492">
          <cell r="A1492">
            <v>13301239</v>
          </cell>
          <cell r="B1492" t="str">
            <v>1.3.3.01.239</v>
          </cell>
          <cell r="C1492" t="str">
            <v>5-Fazenda São Rafael</v>
          </cell>
        </row>
        <row r="1493">
          <cell r="A1493">
            <v>13301240</v>
          </cell>
          <cell r="B1493" t="str">
            <v>1.3.3.01.240</v>
          </cell>
          <cell r="C1493" t="str">
            <v>5-Sitio Grande II</v>
          </cell>
        </row>
        <row r="1494">
          <cell r="A1494">
            <v>13301241</v>
          </cell>
          <cell r="B1494" t="str">
            <v>1.3.3.01.241</v>
          </cell>
          <cell r="C1494" t="str">
            <v>5-Fazenda São Domingos</v>
          </cell>
        </row>
        <row r="1495">
          <cell r="A1495">
            <v>13301242</v>
          </cell>
          <cell r="B1495" t="str">
            <v>1.3.3.01.242</v>
          </cell>
          <cell r="C1495" t="str">
            <v>5-Fazenda Irmaos Caval</v>
          </cell>
        </row>
        <row r="1496">
          <cell r="A1496">
            <v>13301243</v>
          </cell>
          <cell r="B1496" t="str">
            <v>1.3.3.01.243</v>
          </cell>
          <cell r="C1496" t="str">
            <v>9-Fazenda São Marco</v>
          </cell>
        </row>
        <row r="1497">
          <cell r="A1497">
            <v>13301244</v>
          </cell>
          <cell r="B1497" t="str">
            <v>1.3.3.01.244</v>
          </cell>
          <cell r="C1497" t="str">
            <v>5-Fazenda Vitoria</v>
          </cell>
        </row>
        <row r="1498">
          <cell r="A1498">
            <v>13301245</v>
          </cell>
          <cell r="B1498" t="str">
            <v>1.3.3.01.245</v>
          </cell>
          <cell r="C1498" t="str">
            <v>Fazenda Santo Antonio</v>
          </cell>
        </row>
        <row r="1499">
          <cell r="A1499">
            <v>13301246</v>
          </cell>
          <cell r="B1499" t="str">
            <v>1.3.3.01.246</v>
          </cell>
          <cell r="C1499" t="str">
            <v>9-Fazenda Sagarana</v>
          </cell>
        </row>
        <row r="1500">
          <cell r="A1500">
            <v>13301247</v>
          </cell>
          <cell r="B1500" t="str">
            <v>1.3.3.01.247</v>
          </cell>
          <cell r="C1500" t="str">
            <v>Fazenda Sao Lucas</v>
          </cell>
        </row>
        <row r="1501">
          <cell r="A1501">
            <v>13301248</v>
          </cell>
          <cell r="B1501" t="str">
            <v>1.3.3.01.248</v>
          </cell>
          <cell r="C1501" t="str">
            <v>Fazenda Vitoria</v>
          </cell>
        </row>
        <row r="1502">
          <cell r="A1502">
            <v>13301249</v>
          </cell>
          <cell r="B1502" t="str">
            <v>1.3.3.01.249</v>
          </cell>
          <cell r="C1502" t="str">
            <v>Sitio Santo Antonio III</v>
          </cell>
        </row>
        <row r="1503">
          <cell r="A1503">
            <v>13301250</v>
          </cell>
          <cell r="B1503" t="str">
            <v>1.3.3.01.250</v>
          </cell>
          <cell r="C1503" t="str">
            <v>9-Fazenda Santa Clara</v>
          </cell>
        </row>
        <row r="1504">
          <cell r="A1504">
            <v>13301251</v>
          </cell>
          <cell r="B1504" t="str">
            <v>1.3.3.01.251</v>
          </cell>
          <cell r="C1504" t="str">
            <v>9-Fazenda São José</v>
          </cell>
        </row>
        <row r="1505">
          <cell r="A1505">
            <v>13301252</v>
          </cell>
          <cell r="B1505" t="str">
            <v>1.3.3.01.252</v>
          </cell>
          <cell r="C1505" t="str">
            <v>7-Fazenda Magdalena</v>
          </cell>
        </row>
        <row r="1506">
          <cell r="A1506">
            <v>13301253</v>
          </cell>
          <cell r="B1506" t="str">
            <v>1.3.3.01.253</v>
          </cell>
          <cell r="C1506" t="str">
            <v>7-Fazenda Dal Lago IV</v>
          </cell>
        </row>
        <row r="1507">
          <cell r="A1507">
            <v>13301254</v>
          </cell>
          <cell r="B1507" t="str">
            <v>1.3.3.01.254</v>
          </cell>
          <cell r="C1507" t="str">
            <v>7-Fazenda Figueira II</v>
          </cell>
        </row>
        <row r="1508">
          <cell r="A1508">
            <v>13301255</v>
          </cell>
          <cell r="B1508" t="str">
            <v>1.3.3.01.255</v>
          </cell>
          <cell r="C1508" t="str">
            <v>Sítio Primor</v>
          </cell>
        </row>
        <row r="1509">
          <cell r="A1509">
            <v>13301256</v>
          </cell>
          <cell r="B1509" t="str">
            <v>1.3.3.01.256</v>
          </cell>
          <cell r="C1509" t="str">
            <v>Estancia Sao Francisco</v>
          </cell>
        </row>
        <row r="1510">
          <cell r="A1510">
            <v>13301257</v>
          </cell>
          <cell r="B1510" t="str">
            <v>1.3.3.01.257</v>
          </cell>
          <cell r="C1510" t="str">
            <v>Fazenda Unialco I</v>
          </cell>
        </row>
        <row r="1511">
          <cell r="A1511">
            <v>13301258</v>
          </cell>
          <cell r="B1511" t="str">
            <v>1.3.3.01.258</v>
          </cell>
          <cell r="C1511" t="str">
            <v>5-Fazenda Santa Quiteria (Nova)</v>
          </cell>
        </row>
        <row r="1512">
          <cell r="A1512">
            <v>13301259</v>
          </cell>
          <cell r="B1512" t="str">
            <v>1.3.3.01.259</v>
          </cell>
          <cell r="C1512" t="str">
            <v>5-Sitio Sao Jeronimo</v>
          </cell>
        </row>
        <row r="1513">
          <cell r="A1513">
            <v>13301260</v>
          </cell>
          <cell r="B1513" t="str">
            <v>1.3.3.01.260</v>
          </cell>
          <cell r="C1513" t="str">
            <v>5-Fzda Sao Jose da Terra Roxa</v>
          </cell>
        </row>
        <row r="1514">
          <cell r="A1514">
            <v>13301261</v>
          </cell>
          <cell r="B1514" t="str">
            <v>1.3.3.01.261</v>
          </cell>
          <cell r="C1514" t="str">
            <v>5-Fazenda Eldorado</v>
          </cell>
        </row>
        <row r="1515">
          <cell r="A1515">
            <v>13301262</v>
          </cell>
          <cell r="B1515" t="str">
            <v>1.3.3.01.262</v>
          </cell>
          <cell r="C1515" t="str">
            <v>Sitio Jose Morais</v>
          </cell>
        </row>
        <row r="1516">
          <cell r="A1516">
            <v>13301263</v>
          </cell>
          <cell r="B1516" t="str">
            <v>1.3.3.01.263</v>
          </cell>
          <cell r="C1516" t="str">
            <v>Fazenda Santa Aurelia</v>
          </cell>
        </row>
        <row r="1517">
          <cell r="A1517">
            <v>13301264</v>
          </cell>
          <cell r="B1517" t="str">
            <v>1.3.3.01.264</v>
          </cell>
          <cell r="C1517" t="str">
            <v>Fazenda Santo Antonio I</v>
          </cell>
        </row>
        <row r="1518">
          <cell r="A1518">
            <v>13301265</v>
          </cell>
          <cell r="B1518" t="str">
            <v>1.3.3.01.265</v>
          </cell>
          <cell r="C1518" t="str">
            <v>Fazenda Sao Paulo</v>
          </cell>
        </row>
        <row r="1519">
          <cell r="A1519">
            <v>13301266</v>
          </cell>
          <cell r="B1519" t="str">
            <v>1.3.3.01.266</v>
          </cell>
          <cell r="C1519" t="str">
            <v>6- Sitio Bela vista</v>
          </cell>
        </row>
        <row r="1520">
          <cell r="A1520">
            <v>13301267</v>
          </cell>
          <cell r="B1520" t="str">
            <v>1.3.3.01.267</v>
          </cell>
          <cell r="C1520" t="str">
            <v>6- Fazenda São bento</v>
          </cell>
        </row>
        <row r="1521">
          <cell r="A1521">
            <v>13301268</v>
          </cell>
          <cell r="B1521" t="str">
            <v>1.3.3.01.268</v>
          </cell>
          <cell r="C1521" t="str">
            <v>9-Sitio Sao Sebastiao-Santana Pont</v>
          </cell>
        </row>
        <row r="1522">
          <cell r="A1522">
            <v>13301269</v>
          </cell>
          <cell r="B1522" t="str">
            <v>1.3.3.01.269</v>
          </cell>
          <cell r="C1522" t="str">
            <v>9-Fazenda Sao Sebastiao-Tres Front</v>
          </cell>
        </row>
        <row r="1523">
          <cell r="A1523">
            <v>13301270</v>
          </cell>
          <cell r="B1523" t="str">
            <v>1.3.3.01.270</v>
          </cell>
          <cell r="C1523" t="str">
            <v>9-Fazenda Sao Felix</v>
          </cell>
        </row>
        <row r="1524">
          <cell r="A1524">
            <v>13301271</v>
          </cell>
          <cell r="B1524" t="str">
            <v>1.3.3.01.271</v>
          </cell>
          <cell r="C1524" t="str">
            <v>9-Fazenda do Sam</v>
          </cell>
        </row>
        <row r="1525">
          <cell r="A1525">
            <v>13301272</v>
          </cell>
          <cell r="B1525" t="str">
            <v>1.3.3.01.272</v>
          </cell>
          <cell r="C1525" t="str">
            <v>9-Fazenda Boa Sorte</v>
          </cell>
        </row>
        <row r="1526">
          <cell r="A1526">
            <v>13301273</v>
          </cell>
          <cell r="B1526" t="str">
            <v>1.3.3.01.273</v>
          </cell>
          <cell r="C1526" t="str">
            <v>9-Fazenda Bela Vista - Ilha Solteira</v>
          </cell>
        </row>
        <row r="1527">
          <cell r="A1527">
            <v>13301274</v>
          </cell>
          <cell r="B1527" t="str">
            <v>1.3.3.01.274</v>
          </cell>
          <cell r="C1527" t="str">
            <v>9-Fazenda Bela Vista - Aparecida</v>
          </cell>
        </row>
        <row r="1528">
          <cell r="A1528">
            <v>13301275</v>
          </cell>
          <cell r="B1528" t="str">
            <v>1.3.3.01.275</v>
          </cell>
          <cell r="C1528" t="str">
            <v>9-Sitio Tres Irmaos</v>
          </cell>
        </row>
        <row r="1529">
          <cell r="A1529">
            <v>13301276</v>
          </cell>
          <cell r="B1529" t="str">
            <v>1.3.3.01.276</v>
          </cell>
          <cell r="C1529" t="str">
            <v>9-Fazenda Santa Ana</v>
          </cell>
        </row>
        <row r="1530">
          <cell r="A1530">
            <v>13301277</v>
          </cell>
          <cell r="B1530" t="str">
            <v>1.3.3.01.277</v>
          </cell>
          <cell r="C1530" t="str">
            <v>9-Estancia Lavinia</v>
          </cell>
        </row>
        <row r="1531">
          <cell r="A1531">
            <v>13301278</v>
          </cell>
          <cell r="B1531" t="str">
            <v>1.3.3.01.278</v>
          </cell>
          <cell r="C1531" t="str">
            <v>9-Chacara SLC</v>
          </cell>
        </row>
        <row r="1532">
          <cell r="A1532">
            <v>13301279</v>
          </cell>
          <cell r="B1532" t="str">
            <v>1.3.3.01.279</v>
          </cell>
          <cell r="C1532" t="str">
            <v>9-Fazenda Sao Martinho</v>
          </cell>
        </row>
        <row r="1533">
          <cell r="A1533">
            <v>13301280</v>
          </cell>
          <cell r="B1533" t="str">
            <v>1.3.3.01.280</v>
          </cell>
          <cell r="C1533" t="str">
            <v>9-Sitio Sao PAulo</v>
          </cell>
        </row>
        <row r="1534">
          <cell r="A1534">
            <v>13301281</v>
          </cell>
          <cell r="B1534" t="str">
            <v>1.3.3.01.281</v>
          </cell>
          <cell r="C1534" t="str">
            <v>9-Sitio Santo Antonio</v>
          </cell>
        </row>
        <row r="1535">
          <cell r="A1535">
            <v>13301282</v>
          </cell>
          <cell r="B1535" t="str">
            <v>1.3.3.01.282</v>
          </cell>
          <cell r="C1535" t="str">
            <v>9-Sitio Morumbi</v>
          </cell>
        </row>
        <row r="1536">
          <cell r="A1536">
            <v>13301283</v>
          </cell>
          <cell r="B1536" t="str">
            <v>1.3.3.01.283</v>
          </cell>
          <cell r="C1536" t="str">
            <v>9-Sitio Tres Irmas</v>
          </cell>
        </row>
        <row r="1537">
          <cell r="A1537">
            <v>13301284</v>
          </cell>
          <cell r="B1537" t="str">
            <v>1.3.3.01.284</v>
          </cell>
          <cell r="C1537" t="str">
            <v>9-Sitio Cangaçu</v>
          </cell>
        </row>
        <row r="1538">
          <cell r="A1538">
            <v>13301285</v>
          </cell>
          <cell r="B1538" t="str">
            <v>1.3.3.01.285</v>
          </cell>
          <cell r="C1538" t="str">
            <v>Fazenda Monte Verde do Iporanga III</v>
          </cell>
        </row>
        <row r="1539">
          <cell r="A1539">
            <v>13301286</v>
          </cell>
          <cell r="B1539" t="str">
            <v>1.3.3.01.286</v>
          </cell>
          <cell r="C1539" t="str">
            <v>Fazenda Promissão</v>
          </cell>
        </row>
        <row r="1540">
          <cell r="A1540">
            <v>13301287</v>
          </cell>
          <cell r="B1540" t="str">
            <v>1.3.3.01.287</v>
          </cell>
          <cell r="C1540" t="str">
            <v>Estancia Regina</v>
          </cell>
        </row>
        <row r="1541">
          <cell r="A1541">
            <v>13301288</v>
          </cell>
          <cell r="B1541" t="str">
            <v>1.3.3.01.288</v>
          </cell>
          <cell r="C1541" t="str">
            <v>Sitio Sao Sebastião II</v>
          </cell>
        </row>
        <row r="1542">
          <cell r="A1542">
            <v>13301289</v>
          </cell>
          <cell r="B1542" t="str">
            <v>1.3.3.01.289</v>
          </cell>
          <cell r="C1542" t="str">
            <v>9-Fazenda Santo Antonio II</v>
          </cell>
        </row>
        <row r="1543">
          <cell r="A1543">
            <v>13301290</v>
          </cell>
          <cell r="B1543" t="str">
            <v>1.3.3.01.290</v>
          </cell>
          <cell r="C1543" t="str">
            <v>9-Sitio Vitoria</v>
          </cell>
        </row>
        <row r="1544">
          <cell r="A1544">
            <v>13301291</v>
          </cell>
          <cell r="B1544" t="str">
            <v>1.3.3.01.291</v>
          </cell>
          <cell r="C1544" t="str">
            <v>5- Estancia Esperanca</v>
          </cell>
        </row>
        <row r="1545">
          <cell r="A1545">
            <v>13301292</v>
          </cell>
          <cell r="B1545" t="str">
            <v>1.3.3.01.292</v>
          </cell>
          <cell r="C1545" t="str">
            <v>5- Fazenda Sao Jose I</v>
          </cell>
        </row>
        <row r="1546">
          <cell r="A1546">
            <v>13301293</v>
          </cell>
          <cell r="B1546" t="str">
            <v>1.3.3.01.293</v>
          </cell>
          <cell r="C1546" t="str">
            <v>7- Fazenda Crioula</v>
          </cell>
        </row>
        <row r="1547">
          <cell r="A1547">
            <v>13301294</v>
          </cell>
          <cell r="B1547" t="str">
            <v>1.3.3.01.294</v>
          </cell>
          <cell r="C1547" t="str">
            <v>9-Sitio Sao Pedro</v>
          </cell>
        </row>
        <row r="1548">
          <cell r="A1548">
            <v>13301295</v>
          </cell>
          <cell r="B1548" t="str">
            <v>1.3.3.01.295</v>
          </cell>
          <cell r="C1548" t="str">
            <v>7- Fazenda Rio PEroba</v>
          </cell>
        </row>
        <row r="1549">
          <cell r="A1549">
            <v>13301296</v>
          </cell>
          <cell r="B1549" t="str">
            <v>1.3.3.01.296</v>
          </cell>
          <cell r="C1549" t="str">
            <v>5- Fazenda Cabana</v>
          </cell>
        </row>
        <row r="1550">
          <cell r="A1550">
            <v>13301297</v>
          </cell>
          <cell r="B1550" t="str">
            <v>1.3.3.01.297</v>
          </cell>
          <cell r="C1550" t="str">
            <v>5- Fazenda Santa Elena</v>
          </cell>
        </row>
        <row r="1551">
          <cell r="A1551">
            <v>13301298</v>
          </cell>
          <cell r="B1551" t="str">
            <v>1.3.3.01.298</v>
          </cell>
          <cell r="C1551" t="str">
            <v>Fazenda Liberdade</v>
          </cell>
        </row>
        <row r="1552">
          <cell r="A1552">
            <v>13301299</v>
          </cell>
          <cell r="B1552" t="str">
            <v>1.3.3.01.299</v>
          </cell>
          <cell r="C1552" t="str">
            <v>Fazenda Boa Sorte da Laje</v>
          </cell>
        </row>
        <row r="1553">
          <cell r="A1553">
            <v>13301300</v>
          </cell>
          <cell r="B1553" t="str">
            <v>1.3.3.01.300</v>
          </cell>
          <cell r="C1553" t="str">
            <v>Fazenda conquista</v>
          </cell>
        </row>
        <row r="1554">
          <cell r="A1554">
            <v>13301301</v>
          </cell>
          <cell r="B1554" t="str">
            <v>1.3.3.01.301</v>
          </cell>
          <cell r="C1554" t="str">
            <v>9-Fazenda S. J. Dourados</v>
          </cell>
        </row>
        <row r="1555">
          <cell r="A1555">
            <v>13301302</v>
          </cell>
          <cell r="B1555" t="str">
            <v>1.3.3.01.302</v>
          </cell>
          <cell r="C1555" t="str">
            <v>9-Fazenda Santa Izabel I</v>
          </cell>
        </row>
        <row r="1556">
          <cell r="A1556">
            <v>13301303</v>
          </cell>
          <cell r="B1556" t="str">
            <v>1.3.3.01.303</v>
          </cell>
          <cell r="C1556" t="str">
            <v>9-Fazenda Mosquito I</v>
          </cell>
        </row>
        <row r="1557">
          <cell r="A1557">
            <v>13301304</v>
          </cell>
          <cell r="B1557" t="str">
            <v>1.3.3.01.304</v>
          </cell>
          <cell r="C1557" t="str">
            <v>9-Fazenda Santa Rita I</v>
          </cell>
        </row>
        <row r="1558">
          <cell r="A1558">
            <v>13301305</v>
          </cell>
          <cell r="B1558" t="str">
            <v>1.3.3.01.305</v>
          </cell>
          <cell r="C1558" t="str">
            <v>5- Fazenda Gavea</v>
          </cell>
        </row>
        <row r="1559">
          <cell r="A1559">
            <v>13301306</v>
          </cell>
          <cell r="B1559" t="str">
            <v>1.3.3.01.306</v>
          </cell>
          <cell r="C1559" t="str">
            <v>5- Fazenda Santa Terezinha</v>
          </cell>
        </row>
        <row r="1560">
          <cell r="A1560">
            <v>13301307</v>
          </cell>
          <cell r="B1560" t="str">
            <v>1.3.3.01.307</v>
          </cell>
          <cell r="C1560" t="str">
            <v>9-Sitio Planalto</v>
          </cell>
        </row>
        <row r="1561">
          <cell r="A1561">
            <v>13301308</v>
          </cell>
          <cell r="B1561" t="str">
            <v>1.3.3.01.308</v>
          </cell>
          <cell r="C1561" t="str">
            <v>9-Fazenda Santa Rita</v>
          </cell>
        </row>
        <row r="1562">
          <cell r="A1562">
            <v>13301309</v>
          </cell>
          <cell r="B1562" t="str">
            <v>1.3.3.01.309</v>
          </cell>
          <cell r="C1562" t="str">
            <v>9-Sitio Primavera</v>
          </cell>
        </row>
        <row r="1563">
          <cell r="A1563">
            <v>13301400</v>
          </cell>
          <cell r="B1563" t="str">
            <v>1.3.3.01.400</v>
          </cell>
          <cell r="C1563" t="str">
            <v>Fazenda Rio Preto</v>
          </cell>
        </row>
        <row r="1564">
          <cell r="A1564">
            <v>13301401</v>
          </cell>
          <cell r="B1564" t="str">
            <v>1.3.3.01.401</v>
          </cell>
          <cell r="C1564" t="str">
            <v>Fazenda 02 Corações</v>
          </cell>
        </row>
        <row r="1565">
          <cell r="A1565">
            <v>13301402</v>
          </cell>
          <cell r="B1565" t="str">
            <v>1.3.3.01.402</v>
          </cell>
          <cell r="C1565" t="str">
            <v>Fazenda Santa Barbara</v>
          </cell>
        </row>
        <row r="1566">
          <cell r="A1566">
            <v>13301403</v>
          </cell>
          <cell r="B1566" t="str">
            <v>1.3.3.01.403</v>
          </cell>
          <cell r="C1566" t="str">
            <v>5- Fazenda Por do Sol</v>
          </cell>
        </row>
        <row r="1567">
          <cell r="A1567">
            <v>13301404</v>
          </cell>
          <cell r="B1567" t="str">
            <v>1.3.3.01.404</v>
          </cell>
          <cell r="C1567" t="str">
            <v>9-Fazenda Nossa Senhora Aparecida I</v>
          </cell>
        </row>
        <row r="1568">
          <cell r="A1568">
            <v>13301405</v>
          </cell>
          <cell r="B1568" t="str">
            <v>1.3.3.01.405</v>
          </cell>
          <cell r="C1568" t="str">
            <v>9-Fazenda Brasil</v>
          </cell>
        </row>
        <row r="1569">
          <cell r="A1569">
            <v>13301406</v>
          </cell>
          <cell r="B1569" t="str">
            <v>1.3.3.01.406</v>
          </cell>
          <cell r="C1569" t="str">
            <v>6-9 Fazenda Santa Rosa II</v>
          </cell>
        </row>
        <row r="1570">
          <cell r="A1570">
            <v>13301407</v>
          </cell>
          <cell r="B1570" t="str">
            <v>1.3.3.01.407</v>
          </cell>
          <cell r="C1570" t="str">
            <v>6-9 Fazenda Nametala Rezek (N.Rezek)</v>
          </cell>
        </row>
        <row r="1571">
          <cell r="A1571">
            <v>13301408</v>
          </cell>
          <cell r="B1571" t="str">
            <v>1.3.3.01.408</v>
          </cell>
          <cell r="C1571" t="str">
            <v>6-9 Fazenda Sao Bento II</v>
          </cell>
        </row>
        <row r="1572">
          <cell r="A1572">
            <v>13301409</v>
          </cell>
          <cell r="B1572" t="str">
            <v>1.3.3.01.409</v>
          </cell>
          <cell r="C1572" t="str">
            <v>5-Fazenda Campos e Flores</v>
          </cell>
        </row>
        <row r="1573">
          <cell r="A1573">
            <v>13301410</v>
          </cell>
          <cell r="B1573" t="str">
            <v>1.3.3.01.410</v>
          </cell>
          <cell r="C1573" t="str">
            <v>7-Fazenda cristal</v>
          </cell>
        </row>
        <row r="1574">
          <cell r="A1574">
            <v>13301411</v>
          </cell>
          <cell r="B1574" t="str">
            <v>1.3.3.01.411</v>
          </cell>
          <cell r="C1574" t="str">
            <v>Sitio Carlú I</v>
          </cell>
        </row>
        <row r="1575">
          <cell r="A1575">
            <v>13301412</v>
          </cell>
          <cell r="B1575" t="str">
            <v>1.3.3.01.412</v>
          </cell>
          <cell r="C1575" t="str">
            <v>sitio Carlú III e IV</v>
          </cell>
        </row>
        <row r="1576">
          <cell r="A1576">
            <v>13301413</v>
          </cell>
          <cell r="B1576" t="str">
            <v>1.3.3.01.413</v>
          </cell>
          <cell r="C1576" t="str">
            <v>Fazenda Tangará</v>
          </cell>
        </row>
        <row r="1577">
          <cell r="A1577">
            <v>13301414</v>
          </cell>
          <cell r="B1577" t="str">
            <v>1.3.3.01.414</v>
          </cell>
          <cell r="C1577" t="str">
            <v>fazenda Brisa</v>
          </cell>
        </row>
        <row r="1578">
          <cell r="A1578">
            <v>13301415</v>
          </cell>
          <cell r="B1578" t="str">
            <v>1.3.3.01.415</v>
          </cell>
          <cell r="C1578" t="str">
            <v>Sitio São João (1320)</v>
          </cell>
        </row>
        <row r="1579">
          <cell r="A1579">
            <v>13301416</v>
          </cell>
          <cell r="B1579" t="str">
            <v>1.3.3.01.416</v>
          </cell>
          <cell r="C1579" t="str">
            <v>9-Fazenda Fco Neto I</v>
          </cell>
        </row>
        <row r="1580">
          <cell r="A1580">
            <v>13301417</v>
          </cell>
          <cell r="B1580" t="str">
            <v>1.3.3.01.417</v>
          </cell>
          <cell r="C1580" t="str">
            <v>9-Fazenda Bacury</v>
          </cell>
        </row>
        <row r="1581">
          <cell r="A1581">
            <v>13301418</v>
          </cell>
          <cell r="B1581" t="str">
            <v>1.3.3.01.418</v>
          </cell>
          <cell r="C1581" t="str">
            <v>9-Fazenda Brasil II</v>
          </cell>
        </row>
        <row r="1582">
          <cell r="A1582">
            <v>13301419</v>
          </cell>
          <cell r="B1582" t="str">
            <v>1.3.3.01.419</v>
          </cell>
          <cell r="C1582" t="str">
            <v>9-Fazenda Jóia</v>
          </cell>
        </row>
        <row r="1583">
          <cell r="A1583">
            <v>13301420</v>
          </cell>
          <cell r="B1583" t="str">
            <v>1.3.3.01.420</v>
          </cell>
          <cell r="C1583" t="str">
            <v>9-Fazenda Fco Neto II</v>
          </cell>
        </row>
        <row r="1584">
          <cell r="A1584">
            <v>13301421</v>
          </cell>
          <cell r="B1584" t="str">
            <v>1.3.3.01.421</v>
          </cell>
          <cell r="C1584" t="str">
            <v>7- Faz.S.Jose do Desterro</v>
          </cell>
        </row>
        <row r="1585">
          <cell r="A1585">
            <v>13301422</v>
          </cell>
          <cell r="B1585" t="str">
            <v>1.3.3.01.422</v>
          </cell>
          <cell r="C1585" t="str">
            <v>Fazenda Gurucaia</v>
          </cell>
        </row>
        <row r="1586">
          <cell r="A1586">
            <v>13301423</v>
          </cell>
          <cell r="B1586" t="str">
            <v>1.3.3.01.423</v>
          </cell>
          <cell r="C1586" t="str">
            <v>Fazenda Rio das Pedras</v>
          </cell>
        </row>
        <row r="1587">
          <cell r="A1587">
            <v>13301424</v>
          </cell>
          <cell r="B1587" t="str">
            <v>1.3.3.01.424</v>
          </cell>
          <cell r="C1587" t="str">
            <v>Fazenda Bem Te Vi</v>
          </cell>
        </row>
        <row r="1588">
          <cell r="A1588">
            <v>13301425</v>
          </cell>
          <cell r="B1588" t="str">
            <v>1.3.3.01.425</v>
          </cell>
          <cell r="C1588" t="str">
            <v>7- Sitio Aurora</v>
          </cell>
        </row>
        <row r="1589">
          <cell r="A1589">
            <v>13301426</v>
          </cell>
          <cell r="B1589" t="str">
            <v>1.3.3.01.426</v>
          </cell>
          <cell r="C1589" t="str">
            <v>7- Fazenda Quevedo II</v>
          </cell>
        </row>
        <row r="1590">
          <cell r="A1590">
            <v>13301427</v>
          </cell>
          <cell r="B1590" t="str">
            <v>1.3.3.01.427</v>
          </cell>
          <cell r="C1590" t="str">
            <v>7- Fazenda Santa Maria</v>
          </cell>
        </row>
        <row r="1591">
          <cell r="A1591">
            <v>13301428</v>
          </cell>
          <cell r="B1591" t="str">
            <v>1.3.3.01.428</v>
          </cell>
          <cell r="C1591" t="str">
            <v>5-Fazenda Aroeira III</v>
          </cell>
        </row>
        <row r="1592">
          <cell r="A1592">
            <v>13301429</v>
          </cell>
          <cell r="B1592" t="str">
            <v>1.3.3.01.429</v>
          </cell>
          <cell r="C1592" t="str">
            <v>10A- Fazenda São João - Carimbé.</v>
          </cell>
        </row>
        <row r="1593">
          <cell r="A1593">
            <v>13301430</v>
          </cell>
          <cell r="B1593" t="str">
            <v>1.3.3.01.430</v>
          </cell>
          <cell r="C1593" t="str">
            <v>5/10A- FAzenda Taperão I</v>
          </cell>
        </row>
        <row r="1594">
          <cell r="A1594">
            <v>13301431</v>
          </cell>
          <cell r="B1594" t="str">
            <v>1.3.3.01.431</v>
          </cell>
          <cell r="C1594" t="str">
            <v>5- Fazenda Jangadeiro III (Marta)</v>
          </cell>
        </row>
        <row r="1595">
          <cell r="A1595">
            <v>13301432</v>
          </cell>
          <cell r="B1595" t="str">
            <v>1.3.3.01.432</v>
          </cell>
          <cell r="C1595" t="str">
            <v>5- Fazenda Nunes</v>
          </cell>
        </row>
        <row r="1596">
          <cell r="A1596">
            <v>13301433</v>
          </cell>
          <cell r="B1596" t="str">
            <v>1.3.3.01.433</v>
          </cell>
          <cell r="C1596" t="str">
            <v>5- Estância Lucia</v>
          </cell>
        </row>
        <row r="1597">
          <cell r="A1597">
            <v>13301434</v>
          </cell>
          <cell r="B1597" t="str">
            <v>1.3.3.01.434</v>
          </cell>
          <cell r="C1597" t="str">
            <v>Fazenda Aroeira</v>
          </cell>
        </row>
        <row r="1598">
          <cell r="A1598">
            <v>13301435</v>
          </cell>
          <cell r="B1598" t="str">
            <v>1.3.3.01.435</v>
          </cell>
          <cell r="C1598" t="str">
            <v>9-Fazenda Boa Sorte II</v>
          </cell>
        </row>
        <row r="1599">
          <cell r="A1599">
            <v>13301436</v>
          </cell>
          <cell r="B1599" t="str">
            <v>1.3.3.01.436</v>
          </cell>
          <cell r="C1599" t="str">
            <v>7 - Fazenda Quevedo II</v>
          </cell>
        </row>
        <row r="1600">
          <cell r="A1600">
            <v>13301437</v>
          </cell>
          <cell r="B1600" t="str">
            <v>1.3.3.01.437</v>
          </cell>
          <cell r="C1600" t="str">
            <v>5- Fazenda Aroeira II</v>
          </cell>
        </row>
        <row r="1601">
          <cell r="A1601">
            <v>13301438</v>
          </cell>
          <cell r="B1601" t="str">
            <v>1.3.3.01.438</v>
          </cell>
          <cell r="C1601" t="str">
            <v>5- Fazenda Aroeira IV</v>
          </cell>
        </row>
        <row r="1602">
          <cell r="A1602">
            <v>13301439</v>
          </cell>
          <cell r="B1602" t="str">
            <v>1.3.3.01.439</v>
          </cell>
          <cell r="C1602" t="str">
            <v>5- Fazenda 02 Estrelas</v>
          </cell>
        </row>
        <row r="1603">
          <cell r="A1603">
            <v>13301440</v>
          </cell>
          <cell r="B1603" t="str">
            <v>1.3.3.01.440</v>
          </cell>
          <cell r="C1603" t="str">
            <v>Fazenda Vale Verde</v>
          </cell>
        </row>
        <row r="1604">
          <cell r="A1604">
            <v>13301441</v>
          </cell>
          <cell r="B1604" t="str">
            <v>1.3.3.01.441</v>
          </cell>
          <cell r="C1604" t="str">
            <v>5-Fazenda Somar</v>
          </cell>
        </row>
        <row r="1605">
          <cell r="A1605">
            <v>13301442</v>
          </cell>
          <cell r="B1605" t="str">
            <v>1.3.3.01.442</v>
          </cell>
          <cell r="C1605" t="str">
            <v>1/5-Fazenda Sao Sebastiao I</v>
          </cell>
        </row>
        <row r="1606">
          <cell r="A1606">
            <v>13301443</v>
          </cell>
          <cell r="B1606" t="str">
            <v>1.3.3.01.443</v>
          </cell>
          <cell r="C1606" t="str">
            <v>7-Fazenda Santa MAdalena</v>
          </cell>
        </row>
        <row r="1607">
          <cell r="A1607">
            <v>13301444</v>
          </cell>
          <cell r="B1607" t="str">
            <v>1.3.3.01.444</v>
          </cell>
          <cell r="C1607" t="str">
            <v>7-Fazenda Carioco III</v>
          </cell>
        </row>
        <row r="1608">
          <cell r="A1608">
            <v>13301445</v>
          </cell>
          <cell r="B1608" t="str">
            <v>1.3.3.01.445</v>
          </cell>
          <cell r="C1608" t="str">
            <v>7-Fazenda Santa Branca</v>
          </cell>
        </row>
        <row r="1609">
          <cell r="A1609">
            <v>13301446</v>
          </cell>
          <cell r="B1609" t="str">
            <v>1.3.3.01.446</v>
          </cell>
          <cell r="C1609" t="str">
            <v>5- Fazenda Taperao</v>
          </cell>
        </row>
        <row r="1610">
          <cell r="A1610">
            <v>13301447</v>
          </cell>
          <cell r="B1610" t="str">
            <v>1.3.3.01.447</v>
          </cell>
          <cell r="C1610" t="str">
            <v>5-Fazenda Pile</v>
          </cell>
        </row>
        <row r="1611">
          <cell r="A1611">
            <v>13301448</v>
          </cell>
          <cell r="B1611" t="str">
            <v>1.3.3.01.448</v>
          </cell>
          <cell r="C1611" t="str">
            <v>5-Fazenda Taperao III</v>
          </cell>
        </row>
        <row r="1612">
          <cell r="A1612">
            <v>13301449</v>
          </cell>
          <cell r="B1612" t="str">
            <v>1.3.3.01.449</v>
          </cell>
          <cell r="C1612" t="str">
            <v>7- Fazenda JAtoba I</v>
          </cell>
        </row>
        <row r="1613">
          <cell r="A1613">
            <v>13301450</v>
          </cell>
          <cell r="B1613" t="str">
            <v>1.3.3.01.450</v>
          </cell>
          <cell r="C1613" t="str">
            <v>7- Fazenda Jatoba II</v>
          </cell>
        </row>
        <row r="1614">
          <cell r="A1614">
            <v>13301451</v>
          </cell>
          <cell r="B1614" t="str">
            <v>1.3.3.01.451</v>
          </cell>
          <cell r="C1614" t="str">
            <v>7- Fazenda Tres Irmas</v>
          </cell>
        </row>
        <row r="1615">
          <cell r="A1615">
            <v>13301452</v>
          </cell>
          <cell r="B1615" t="str">
            <v>1.3.3.01.452</v>
          </cell>
          <cell r="C1615" t="str">
            <v>9-Sito Santa IZabel</v>
          </cell>
        </row>
        <row r="1616">
          <cell r="A1616">
            <v>13301453</v>
          </cell>
          <cell r="B1616" t="str">
            <v>1.3.3.01.453</v>
          </cell>
          <cell r="C1616" t="str">
            <v>9-Sitio Fugimoto</v>
          </cell>
        </row>
        <row r="1617">
          <cell r="A1617">
            <v>13301454</v>
          </cell>
          <cell r="B1617" t="str">
            <v>1.3.3.01.454</v>
          </cell>
          <cell r="C1617" t="str">
            <v>Fazenda Jangada</v>
          </cell>
        </row>
        <row r="1618">
          <cell r="A1618">
            <v>13301455</v>
          </cell>
          <cell r="B1618" t="str">
            <v>1.3.3.01.455</v>
          </cell>
          <cell r="C1618" t="str">
            <v>9-Fazenda Bom Retiro</v>
          </cell>
        </row>
        <row r="1619">
          <cell r="A1619">
            <v>13301456</v>
          </cell>
          <cell r="B1619" t="str">
            <v>1.3.3.01.456</v>
          </cell>
          <cell r="C1619" t="str">
            <v>Sitio Sao Paulo</v>
          </cell>
        </row>
        <row r="1620">
          <cell r="A1620">
            <v>13301457</v>
          </cell>
          <cell r="B1620" t="str">
            <v>1.3.3.01.457</v>
          </cell>
          <cell r="C1620" t="str">
            <v>7- Fazenda TRes MEnios</v>
          </cell>
        </row>
        <row r="1621">
          <cell r="A1621">
            <v>13301458</v>
          </cell>
          <cell r="B1621" t="str">
            <v>1.3.3.01.458</v>
          </cell>
          <cell r="C1621" t="str">
            <v>9-Fazenda Sucesso</v>
          </cell>
        </row>
        <row r="1622">
          <cell r="A1622">
            <v>13301459</v>
          </cell>
          <cell r="B1622" t="str">
            <v>1.3.3.01.459</v>
          </cell>
          <cell r="C1622" t="str">
            <v>9-Fazenda Guanabara</v>
          </cell>
        </row>
        <row r="1623">
          <cell r="A1623">
            <v>13301460</v>
          </cell>
          <cell r="B1623" t="str">
            <v>1.3.3.01.460</v>
          </cell>
          <cell r="C1623" t="str">
            <v>9-Fazenda Guanabara II</v>
          </cell>
        </row>
        <row r="1624">
          <cell r="A1624">
            <v>13301461</v>
          </cell>
          <cell r="B1624" t="str">
            <v>1.3.3.01.461</v>
          </cell>
          <cell r="C1624" t="str">
            <v>7-Fazenda Sao Jose do Desterro II</v>
          </cell>
        </row>
        <row r="1625">
          <cell r="A1625">
            <v>13301462</v>
          </cell>
          <cell r="B1625" t="str">
            <v>1.3.3.01.462</v>
          </cell>
          <cell r="C1625" t="str">
            <v>9-Sitio Paraiso</v>
          </cell>
        </row>
        <row r="1626">
          <cell r="A1626">
            <v>13301463</v>
          </cell>
          <cell r="B1626" t="str">
            <v>1.3.3.01.463</v>
          </cell>
          <cell r="C1626" t="str">
            <v>9- Nossa Senhora Aparecida III</v>
          </cell>
        </row>
        <row r="1627">
          <cell r="A1627">
            <v>13301464</v>
          </cell>
          <cell r="B1627" t="str">
            <v>1.3.3.01.464</v>
          </cell>
          <cell r="C1627" t="str">
            <v>9- Fazenda São Luiz</v>
          </cell>
        </row>
        <row r="1628">
          <cell r="A1628">
            <v>13301465</v>
          </cell>
          <cell r="B1628" t="str">
            <v>1.3.3.01.465</v>
          </cell>
          <cell r="C1628" t="str">
            <v>9- Fazenda Limoeira II</v>
          </cell>
        </row>
        <row r="1629">
          <cell r="A1629">
            <v>13301466</v>
          </cell>
          <cell r="B1629" t="str">
            <v>1.3.3.01.466</v>
          </cell>
          <cell r="C1629" t="str">
            <v>Estancia Santa Olga</v>
          </cell>
        </row>
        <row r="1630">
          <cell r="A1630">
            <v>13301467</v>
          </cell>
          <cell r="B1630" t="str">
            <v>1.3.3.01.467</v>
          </cell>
          <cell r="C1630" t="str">
            <v>Estancia Mendes</v>
          </cell>
        </row>
        <row r="1631">
          <cell r="A1631">
            <v>13301468</v>
          </cell>
          <cell r="B1631" t="str">
            <v>1.3.3.01.468</v>
          </cell>
          <cell r="C1631" t="str">
            <v>Fazenda Caramuru</v>
          </cell>
        </row>
        <row r="1632">
          <cell r="A1632">
            <v>13301469</v>
          </cell>
          <cell r="B1632" t="str">
            <v>1.3.3.01.469</v>
          </cell>
          <cell r="C1632" t="str">
            <v>Sítio São Sebastiao</v>
          </cell>
        </row>
        <row r="1633">
          <cell r="A1633">
            <v>13301470</v>
          </cell>
          <cell r="B1633" t="str">
            <v>1.3.3.01.470</v>
          </cell>
          <cell r="C1633" t="str">
            <v>Fazenda Bagassú</v>
          </cell>
        </row>
        <row r="1634">
          <cell r="A1634">
            <v>13301471</v>
          </cell>
          <cell r="B1634" t="str">
            <v>1.3.3.01.471</v>
          </cell>
          <cell r="C1634" t="str">
            <v>Fazenda Fortaleza</v>
          </cell>
        </row>
        <row r="1635">
          <cell r="A1635">
            <v>13301472</v>
          </cell>
          <cell r="B1635" t="str">
            <v>1.3.3.01.472</v>
          </cell>
          <cell r="C1635" t="str">
            <v>7 -Faz. São José do Desterro I</v>
          </cell>
        </row>
        <row r="1636">
          <cell r="A1636">
            <v>13301473</v>
          </cell>
          <cell r="B1636" t="str">
            <v>1.3.3.01.473</v>
          </cell>
          <cell r="C1636" t="str">
            <v>9- Chacara Maria Rosa</v>
          </cell>
        </row>
        <row r="1637">
          <cell r="A1637">
            <v>13301474</v>
          </cell>
          <cell r="B1637" t="str">
            <v>1.3.3.01.474</v>
          </cell>
          <cell r="C1637" t="str">
            <v>5-Fazenda Herança</v>
          </cell>
        </row>
        <row r="1638">
          <cell r="A1638">
            <v>13301475</v>
          </cell>
          <cell r="B1638" t="str">
            <v>1.3.3.01.475</v>
          </cell>
          <cell r="C1638" t="str">
            <v>5-Fazenda N.Senhora do Carmo</v>
          </cell>
        </row>
        <row r="1639">
          <cell r="A1639">
            <v>13301476</v>
          </cell>
          <cell r="B1639" t="str">
            <v>1.3.3.01.476</v>
          </cell>
          <cell r="C1639" t="str">
            <v>5-Fazenda Loraine</v>
          </cell>
        </row>
        <row r="1640">
          <cell r="A1640">
            <v>13301477</v>
          </cell>
          <cell r="B1640" t="str">
            <v>1.3.3.01.477</v>
          </cell>
          <cell r="C1640" t="str">
            <v>5- Fazenda Nunes 3</v>
          </cell>
        </row>
        <row r="1641">
          <cell r="A1641">
            <v>13301478</v>
          </cell>
          <cell r="B1641" t="str">
            <v>1.3.3.01.478</v>
          </cell>
          <cell r="C1641" t="str">
            <v>5- Fazenda Taperão II</v>
          </cell>
        </row>
        <row r="1642">
          <cell r="A1642">
            <v>13301479</v>
          </cell>
          <cell r="B1642" t="str">
            <v>1.3.3.01.479</v>
          </cell>
          <cell r="C1642" t="str">
            <v>9-Estancia Joao Lazinho</v>
          </cell>
        </row>
        <row r="1643">
          <cell r="A1643">
            <v>13301480</v>
          </cell>
          <cell r="B1643" t="str">
            <v>1.3.3.01.480</v>
          </cell>
          <cell r="C1643" t="str">
            <v>9-Fazenda Brasil III</v>
          </cell>
        </row>
        <row r="1644">
          <cell r="A1644">
            <v>13301481</v>
          </cell>
          <cell r="B1644" t="str">
            <v>1.3.3.01.481</v>
          </cell>
          <cell r="C1644" t="str">
            <v>9-Fazenda Santa Tereza-P.Barreto</v>
          </cell>
        </row>
        <row r="1645">
          <cell r="A1645">
            <v>13301482</v>
          </cell>
          <cell r="B1645" t="str">
            <v>1.3.3.01.482</v>
          </cell>
          <cell r="C1645" t="str">
            <v>5-Fazenda Jangadeiro</v>
          </cell>
        </row>
        <row r="1646">
          <cell r="A1646">
            <v>13301483</v>
          </cell>
          <cell r="B1646" t="str">
            <v>1.3.3.01.483</v>
          </cell>
          <cell r="C1646" t="str">
            <v>5- Fazenda Santo Anastacio</v>
          </cell>
        </row>
        <row r="1647">
          <cell r="A1647">
            <v>13301484</v>
          </cell>
          <cell r="B1647" t="str">
            <v>1.3.3.01.484</v>
          </cell>
          <cell r="C1647" t="str">
            <v>9-Fazenda Bonito</v>
          </cell>
        </row>
        <row r="1648">
          <cell r="A1648">
            <v>13301485</v>
          </cell>
          <cell r="B1648" t="str">
            <v>1.3.3.01.485</v>
          </cell>
          <cell r="C1648" t="str">
            <v>9-Fazenda São Paulo</v>
          </cell>
        </row>
        <row r="1649">
          <cell r="A1649">
            <v>13301486</v>
          </cell>
          <cell r="B1649" t="str">
            <v>1.3.3.01.486</v>
          </cell>
          <cell r="C1649" t="str">
            <v>9-Sítio Emilía</v>
          </cell>
        </row>
        <row r="1650">
          <cell r="A1650">
            <v>13301487</v>
          </cell>
          <cell r="B1650" t="str">
            <v>1.3.3.01.487</v>
          </cell>
          <cell r="C1650" t="str">
            <v>9-Sítio professor Mauro</v>
          </cell>
        </row>
        <row r="1651">
          <cell r="A1651">
            <v>13301488</v>
          </cell>
          <cell r="B1651" t="str">
            <v>1.3.3.01.488</v>
          </cell>
          <cell r="C1651" t="str">
            <v>9-Fazenda dois rios</v>
          </cell>
        </row>
        <row r="1652">
          <cell r="A1652">
            <v>13301489</v>
          </cell>
          <cell r="B1652" t="str">
            <v>1.3.3.01.489</v>
          </cell>
          <cell r="C1652" t="str">
            <v>9-Fazenda Bacuri II</v>
          </cell>
        </row>
        <row r="1653">
          <cell r="A1653">
            <v>13301490</v>
          </cell>
          <cell r="B1653" t="str">
            <v>1.3.3.01.490</v>
          </cell>
          <cell r="C1653" t="str">
            <v>9-Fazenda Cova da Onça</v>
          </cell>
        </row>
        <row r="1654">
          <cell r="A1654">
            <v>13301491</v>
          </cell>
          <cell r="B1654" t="str">
            <v>1.3.3.01.491</v>
          </cell>
          <cell r="C1654" t="str">
            <v>9-Fazenda Santa Rosa III</v>
          </cell>
        </row>
        <row r="1655">
          <cell r="A1655">
            <v>13301492</v>
          </cell>
          <cell r="B1655" t="str">
            <v>1.3.3.01.492</v>
          </cell>
          <cell r="C1655" t="str">
            <v>Fazenda Piratininga II</v>
          </cell>
        </row>
        <row r="1656">
          <cell r="A1656">
            <v>13301493</v>
          </cell>
          <cell r="B1656" t="str">
            <v>1.3.3.01.493</v>
          </cell>
          <cell r="C1656" t="str">
            <v>9-Fazenda Santa Tereza - Suzanapolis</v>
          </cell>
        </row>
        <row r="1657">
          <cell r="A1657">
            <v>13301494</v>
          </cell>
          <cell r="B1657" t="str">
            <v>1.3.3.01.494</v>
          </cell>
          <cell r="C1657" t="str">
            <v>Estância Boa Esperança</v>
          </cell>
        </row>
        <row r="1658">
          <cell r="A1658">
            <v>13301495</v>
          </cell>
          <cell r="B1658" t="str">
            <v>1.3.3.01.495</v>
          </cell>
          <cell r="C1658" t="str">
            <v>Fazenda Monte Verde Iporanga II</v>
          </cell>
        </row>
        <row r="1659">
          <cell r="A1659">
            <v>13301496</v>
          </cell>
          <cell r="B1659" t="str">
            <v>1.3.3.01.496</v>
          </cell>
          <cell r="C1659" t="str">
            <v>Fazenda Piratininga I</v>
          </cell>
        </row>
        <row r="1660">
          <cell r="A1660">
            <v>13301497</v>
          </cell>
          <cell r="B1660" t="str">
            <v>1.3.3.01.497</v>
          </cell>
          <cell r="C1660" t="str">
            <v>9-Sítio São Pedro II</v>
          </cell>
        </row>
        <row r="1661">
          <cell r="A1661">
            <v>13301498</v>
          </cell>
          <cell r="B1661" t="str">
            <v>1.3.3.01.498</v>
          </cell>
          <cell r="C1661" t="str">
            <v>9-Fazenda Bom Jesus</v>
          </cell>
        </row>
        <row r="1662">
          <cell r="A1662">
            <v>13301499</v>
          </cell>
          <cell r="B1662" t="str">
            <v>1.3.3.01.499</v>
          </cell>
          <cell r="C1662" t="str">
            <v>9 - Sítio Sônia Romero</v>
          </cell>
        </row>
        <row r="1663">
          <cell r="A1663">
            <v>13301501</v>
          </cell>
          <cell r="B1663" t="str">
            <v>1.3.3.01.501</v>
          </cell>
          <cell r="C1663" t="str">
            <v>5-Fazenda Estreito</v>
          </cell>
        </row>
        <row r="1664">
          <cell r="A1664">
            <v>13301502</v>
          </cell>
          <cell r="B1664" t="str">
            <v>1.3.3.01.502</v>
          </cell>
          <cell r="C1664" t="str">
            <v>9-Sitio Boiati</v>
          </cell>
        </row>
        <row r="1665">
          <cell r="A1665">
            <v>13301503</v>
          </cell>
          <cell r="B1665" t="str">
            <v>1.3.3.01.503</v>
          </cell>
          <cell r="C1665" t="str">
            <v>9-Sitio Estancia Vista Alegre</v>
          </cell>
        </row>
        <row r="1666">
          <cell r="A1666">
            <v>13301504</v>
          </cell>
          <cell r="B1666" t="str">
            <v>1.3.3.01.504</v>
          </cell>
          <cell r="C1666" t="str">
            <v>9-Sitio São Luiz</v>
          </cell>
        </row>
        <row r="1667">
          <cell r="A1667">
            <v>13301505</v>
          </cell>
          <cell r="B1667" t="str">
            <v>1.3.3.01.505</v>
          </cell>
          <cell r="C1667" t="str">
            <v>9-Sitio 1 de Novembro</v>
          </cell>
        </row>
        <row r="1668">
          <cell r="A1668">
            <v>13301999</v>
          </cell>
          <cell r="B1668" t="str">
            <v>1.3.3.01.999</v>
          </cell>
          <cell r="C1668" t="str">
            <v>Lavouras em formacao - CPC29 - RTT</v>
          </cell>
        </row>
        <row r="1669">
          <cell r="A1669">
            <v>13500000</v>
          </cell>
          <cell r="B1669" t="str">
            <v>1.3.5.00.000</v>
          </cell>
          <cell r="C1669" t="str">
            <v>PROVISÃO PERDAS IMOBILIZADO -RTT</v>
          </cell>
        </row>
        <row r="1670">
          <cell r="A1670">
            <v>13501000</v>
          </cell>
          <cell r="B1670" t="str">
            <v>1.3.5.01.000</v>
          </cell>
          <cell r="C1670" t="str">
            <v>PROVISÃO PARA PERDAS LEI 11.638</v>
          </cell>
        </row>
        <row r="1671">
          <cell r="A1671">
            <v>13501100</v>
          </cell>
          <cell r="B1671" t="str">
            <v>1.3.5.01.100</v>
          </cell>
          <cell r="C1671" t="str">
            <v>PERDAS IMOBILIZADO -RTT</v>
          </cell>
        </row>
        <row r="1672">
          <cell r="A1672">
            <v>13501101</v>
          </cell>
          <cell r="B1672" t="str">
            <v>1.3.5.01.101</v>
          </cell>
          <cell r="C1672" t="str">
            <v>Perdas de imobilizado</v>
          </cell>
        </row>
        <row r="1673">
          <cell r="A1673">
            <v>13900000</v>
          </cell>
          <cell r="B1673" t="str">
            <v>1.3.9.00.000</v>
          </cell>
          <cell r="C1673" t="str">
            <v>DEPRECIAÇÃO DE LAVOURAS</v>
          </cell>
        </row>
        <row r="1674">
          <cell r="A1674">
            <v>13909000</v>
          </cell>
          <cell r="B1674" t="str">
            <v>1.3.9.09.000</v>
          </cell>
          <cell r="C1674" t="str">
            <v>DEPRECIAÇÃO DE LAVOURAS</v>
          </cell>
        </row>
        <row r="1675">
          <cell r="A1675">
            <v>13909018</v>
          </cell>
          <cell r="B1675" t="str">
            <v>1.3.9.09.018</v>
          </cell>
          <cell r="C1675" t="str">
            <v>4-Fazenda Jangadeira</v>
          </cell>
        </row>
        <row r="1676">
          <cell r="A1676">
            <v>13909100</v>
          </cell>
          <cell r="B1676" t="str">
            <v>1.3.9.09.100</v>
          </cell>
          <cell r="C1676" t="str">
            <v>DEPRECIAÇÃO DE LAVOURAS</v>
          </cell>
        </row>
        <row r="1677">
          <cell r="A1677">
            <v>13909101</v>
          </cell>
          <cell r="B1677" t="str">
            <v>1.3.9.09.101</v>
          </cell>
          <cell r="C1677" t="str">
            <v>2-Fazenda São Martinho</v>
          </cell>
        </row>
        <row r="1678">
          <cell r="A1678">
            <v>13909102</v>
          </cell>
          <cell r="B1678" t="str">
            <v>1.3.9.09.102</v>
          </cell>
          <cell r="C1678" t="str">
            <v>9-Fazenda Colorado I e II</v>
          </cell>
        </row>
        <row r="1679">
          <cell r="A1679">
            <v>13909103</v>
          </cell>
          <cell r="B1679" t="str">
            <v>1.3.9.09.103</v>
          </cell>
          <cell r="C1679" t="str">
            <v>9-Sitio São francisco</v>
          </cell>
        </row>
        <row r="1680">
          <cell r="A1680">
            <v>13909104</v>
          </cell>
          <cell r="B1680" t="str">
            <v>1.3.9.09.104</v>
          </cell>
          <cell r="C1680" t="str">
            <v>9-Sitio Estancia Soares</v>
          </cell>
        </row>
        <row r="1681">
          <cell r="A1681">
            <v>13909105</v>
          </cell>
          <cell r="B1681" t="str">
            <v>1.3.9.09.105</v>
          </cell>
          <cell r="C1681" t="str">
            <v>9-Sitio N. S. de Fatima</v>
          </cell>
        </row>
        <row r="1682">
          <cell r="A1682">
            <v>13909106</v>
          </cell>
          <cell r="B1682" t="str">
            <v>1.3.9.09.106</v>
          </cell>
          <cell r="C1682" t="str">
            <v>9-Fazenda Sao Pedro</v>
          </cell>
        </row>
        <row r="1683">
          <cell r="A1683">
            <v>13909107</v>
          </cell>
          <cell r="B1683" t="str">
            <v>1.3.9.09.107</v>
          </cell>
          <cell r="C1683" t="str">
            <v>9-Sitio Sao Jose</v>
          </cell>
        </row>
        <row r="1684">
          <cell r="A1684">
            <v>13909108</v>
          </cell>
          <cell r="B1684" t="str">
            <v>1.3.9.09.108</v>
          </cell>
          <cell r="C1684" t="str">
            <v>9-Fazenda Bom Retiro</v>
          </cell>
        </row>
        <row r="1685">
          <cell r="A1685">
            <v>13909109</v>
          </cell>
          <cell r="B1685" t="str">
            <v>1.3.9.09.109</v>
          </cell>
          <cell r="C1685" t="str">
            <v>9-Fazenda Bonito</v>
          </cell>
        </row>
        <row r="1686">
          <cell r="A1686">
            <v>13909110</v>
          </cell>
          <cell r="B1686" t="str">
            <v>1.3.9.09.110</v>
          </cell>
          <cell r="C1686" t="str">
            <v>9-Fazenda Bacuri II</v>
          </cell>
        </row>
        <row r="1687">
          <cell r="A1687">
            <v>13909111</v>
          </cell>
          <cell r="B1687" t="str">
            <v>1.3.9.09.111</v>
          </cell>
          <cell r="C1687" t="str">
            <v>9-Fazenda Santa Rosa III</v>
          </cell>
        </row>
        <row r="1688">
          <cell r="A1688">
            <v>13909112</v>
          </cell>
          <cell r="B1688" t="str">
            <v>1.3.9.09.112</v>
          </cell>
          <cell r="C1688" t="str">
            <v>9-Sitio Sonia Romero</v>
          </cell>
        </row>
        <row r="1689">
          <cell r="A1689">
            <v>13909113</v>
          </cell>
          <cell r="B1689" t="str">
            <v>1.3.9.09.113</v>
          </cell>
          <cell r="C1689" t="str">
            <v>2-Fazenda Namatela Rezek</v>
          </cell>
        </row>
        <row r="1690">
          <cell r="A1690">
            <v>13909114</v>
          </cell>
          <cell r="B1690" t="str">
            <v>1.3.9.09.114</v>
          </cell>
          <cell r="C1690" t="str">
            <v>2-Estancia são Francisco</v>
          </cell>
        </row>
        <row r="1691">
          <cell r="A1691">
            <v>13909115</v>
          </cell>
          <cell r="B1691" t="str">
            <v>1.3.9.09.115</v>
          </cell>
          <cell r="C1691" t="str">
            <v>2-Fazenda Garrafão</v>
          </cell>
        </row>
        <row r="1692">
          <cell r="A1692">
            <v>13909116</v>
          </cell>
          <cell r="B1692" t="str">
            <v>1.3.9.09.116</v>
          </cell>
          <cell r="C1692" t="str">
            <v>9-Sitio Santa Rita</v>
          </cell>
        </row>
        <row r="1693">
          <cell r="A1693">
            <v>13909117</v>
          </cell>
          <cell r="B1693" t="str">
            <v>1.3.9.09.117</v>
          </cell>
          <cell r="C1693" t="str">
            <v>9-Faz. Sta. Rita II</v>
          </cell>
        </row>
        <row r="1694">
          <cell r="A1694">
            <v>13909118</v>
          </cell>
          <cell r="B1694" t="str">
            <v>1.3.9.09.118</v>
          </cell>
          <cell r="C1694" t="str">
            <v>9-Sitio N. Sra. Aparecida</v>
          </cell>
        </row>
        <row r="1695">
          <cell r="A1695">
            <v>13909119</v>
          </cell>
          <cell r="B1695" t="str">
            <v>1.3.9.09.119</v>
          </cell>
          <cell r="C1695" t="str">
            <v>Faz. Bacuri Ouro</v>
          </cell>
        </row>
        <row r="1696">
          <cell r="A1696">
            <v>13909120</v>
          </cell>
          <cell r="B1696" t="str">
            <v>1.3.9.09.120</v>
          </cell>
          <cell r="C1696" t="str">
            <v>9-Faz. Sta Clara - corrego seco</v>
          </cell>
        </row>
        <row r="1697">
          <cell r="A1697">
            <v>13909121</v>
          </cell>
          <cell r="B1697" t="str">
            <v>1.3.9.09.121</v>
          </cell>
          <cell r="C1697" t="str">
            <v>9-Sitio Brasil</v>
          </cell>
        </row>
        <row r="1698">
          <cell r="A1698">
            <v>13909122</v>
          </cell>
          <cell r="B1698" t="str">
            <v>1.3.9.09.122</v>
          </cell>
          <cell r="C1698" t="str">
            <v>9-estancia Rio Claro</v>
          </cell>
        </row>
        <row r="1699">
          <cell r="A1699">
            <v>13909123</v>
          </cell>
          <cell r="B1699" t="str">
            <v>1.3.9.09.123</v>
          </cell>
          <cell r="C1699" t="str">
            <v>9-Faz. N. S. de Fatima</v>
          </cell>
        </row>
        <row r="1700">
          <cell r="A1700">
            <v>13909124</v>
          </cell>
          <cell r="B1700" t="str">
            <v>1.3.9.09.124</v>
          </cell>
          <cell r="C1700" t="str">
            <v>9-Faz. Ipe</v>
          </cell>
        </row>
        <row r="1701">
          <cell r="A1701">
            <v>13909125</v>
          </cell>
          <cell r="B1701" t="str">
            <v>1.3.9.09.125</v>
          </cell>
          <cell r="C1701" t="str">
            <v>9-Estancia Analex</v>
          </cell>
        </row>
        <row r="1702">
          <cell r="A1702">
            <v>13909126</v>
          </cell>
          <cell r="B1702" t="str">
            <v>1.3.9.09.126</v>
          </cell>
          <cell r="C1702" t="str">
            <v>9-Estancia Analex II</v>
          </cell>
        </row>
        <row r="1703">
          <cell r="A1703">
            <v>13909127</v>
          </cell>
          <cell r="B1703" t="str">
            <v>1.3.9.09.127</v>
          </cell>
          <cell r="C1703" t="str">
            <v>9-Sitio Analex</v>
          </cell>
        </row>
        <row r="1704">
          <cell r="A1704">
            <v>13909128</v>
          </cell>
          <cell r="B1704" t="str">
            <v>1.3.9.09.128</v>
          </cell>
          <cell r="C1704" t="str">
            <v>9-Sitio Guaruja</v>
          </cell>
        </row>
        <row r="1705">
          <cell r="A1705">
            <v>13909129</v>
          </cell>
          <cell r="B1705" t="str">
            <v>1.3.9.09.129</v>
          </cell>
          <cell r="C1705" t="str">
            <v>9-Sitio Sto. Antonio I</v>
          </cell>
        </row>
        <row r="1706">
          <cell r="A1706">
            <v>13909130</v>
          </cell>
          <cell r="B1706" t="str">
            <v>1.3.9.09.130</v>
          </cell>
          <cell r="C1706" t="str">
            <v>9-Sitio Santo Reis</v>
          </cell>
        </row>
        <row r="1707">
          <cell r="A1707">
            <v>13909131</v>
          </cell>
          <cell r="B1707" t="str">
            <v>1.3.9.09.131</v>
          </cell>
          <cell r="C1707" t="str">
            <v>9- Sitio N. S. Aparecida II</v>
          </cell>
        </row>
        <row r="1708">
          <cell r="A1708">
            <v>13909132</v>
          </cell>
          <cell r="B1708" t="str">
            <v>1.3.9.09.132</v>
          </cell>
          <cell r="C1708" t="str">
            <v>9-Sitio Sao Jose III</v>
          </cell>
        </row>
        <row r="1709">
          <cell r="A1709">
            <v>13909133</v>
          </cell>
          <cell r="B1709" t="str">
            <v>1.3.9.09.133</v>
          </cell>
          <cell r="C1709" t="str">
            <v>9-Sitio Sao Pedro III</v>
          </cell>
        </row>
        <row r="1710">
          <cell r="A1710">
            <v>13909134</v>
          </cell>
          <cell r="B1710" t="str">
            <v>1.3.9.09.134</v>
          </cell>
          <cell r="C1710" t="str">
            <v>9-Sitio Jacare</v>
          </cell>
        </row>
        <row r="1711">
          <cell r="A1711">
            <v>13909135</v>
          </cell>
          <cell r="B1711" t="str">
            <v>1.3.9.09.135</v>
          </cell>
          <cell r="C1711" t="str">
            <v>9-Faz. Colorado III</v>
          </cell>
        </row>
        <row r="1712">
          <cell r="A1712">
            <v>13909136</v>
          </cell>
          <cell r="B1712" t="str">
            <v>1.3.9.09.136</v>
          </cell>
          <cell r="C1712" t="str">
            <v>9-Sitio Bacuri</v>
          </cell>
        </row>
        <row r="1713">
          <cell r="A1713">
            <v>13909137</v>
          </cell>
          <cell r="B1713" t="str">
            <v>1.3.9.09.137</v>
          </cell>
          <cell r="C1713" t="str">
            <v>9-Sitio Sta. Luzia</v>
          </cell>
        </row>
        <row r="1714">
          <cell r="A1714">
            <v>13909138</v>
          </cell>
          <cell r="B1714" t="str">
            <v>1.3.9.09.138</v>
          </cell>
          <cell r="C1714" t="str">
            <v>9-Sitio N. S. Aparecida I</v>
          </cell>
        </row>
        <row r="1715">
          <cell r="A1715">
            <v>13909139</v>
          </cell>
          <cell r="B1715" t="str">
            <v>1.3.9.09.139</v>
          </cell>
          <cell r="C1715" t="str">
            <v>9-Sitio Pires</v>
          </cell>
        </row>
        <row r="1716">
          <cell r="A1716">
            <v>13909140</v>
          </cell>
          <cell r="B1716" t="str">
            <v>1.3.9.09.140</v>
          </cell>
          <cell r="C1716" t="str">
            <v>9-Estancia das Aguas</v>
          </cell>
        </row>
        <row r="1717">
          <cell r="A1717">
            <v>13909141</v>
          </cell>
          <cell r="B1717" t="str">
            <v>1.3.9.09.141</v>
          </cell>
          <cell r="C1717" t="str">
            <v>Sitio Boa Esperança I</v>
          </cell>
        </row>
        <row r="1718">
          <cell r="A1718">
            <v>13909142</v>
          </cell>
          <cell r="B1718" t="str">
            <v>1.3.9.09.142</v>
          </cell>
          <cell r="C1718" t="str">
            <v>9-Faz. Sta. Iria</v>
          </cell>
        </row>
        <row r="1719">
          <cell r="A1719">
            <v>13909143</v>
          </cell>
          <cell r="B1719" t="str">
            <v>1.3.9.09.143</v>
          </cell>
          <cell r="C1719" t="str">
            <v>9-Faz. Sape</v>
          </cell>
        </row>
        <row r="1720">
          <cell r="A1720">
            <v>13909144</v>
          </cell>
          <cell r="B1720" t="str">
            <v>1.3.9.09.144</v>
          </cell>
          <cell r="C1720" t="str">
            <v>Faz. N. S. Aparecida IV</v>
          </cell>
        </row>
        <row r="1721">
          <cell r="A1721">
            <v>13909145</v>
          </cell>
          <cell r="B1721" t="str">
            <v>1.3.9.09.145</v>
          </cell>
          <cell r="C1721" t="str">
            <v>Faz. Grauna I</v>
          </cell>
        </row>
        <row r="1722">
          <cell r="A1722">
            <v>13909146</v>
          </cell>
          <cell r="B1722" t="str">
            <v>1.3.9.09.146</v>
          </cell>
          <cell r="C1722" t="str">
            <v>9- Sitio Sta. Barbara</v>
          </cell>
        </row>
        <row r="1723">
          <cell r="A1723">
            <v>13909147</v>
          </cell>
          <cell r="B1723" t="str">
            <v>1.3.9.09.147</v>
          </cell>
          <cell r="C1723" t="str">
            <v>9-Estancia Sta. Ines</v>
          </cell>
        </row>
        <row r="1724">
          <cell r="A1724">
            <v>13909148</v>
          </cell>
          <cell r="B1724" t="str">
            <v>1.3.9.09.148</v>
          </cell>
          <cell r="C1724" t="str">
            <v>9-Sitio Sao Marcos</v>
          </cell>
        </row>
        <row r="1725">
          <cell r="A1725">
            <v>13909149</v>
          </cell>
          <cell r="B1725" t="str">
            <v>1.3.9.09.149</v>
          </cell>
          <cell r="C1725" t="str">
            <v>9-Sitio Unidos</v>
          </cell>
        </row>
        <row r="1726">
          <cell r="A1726">
            <v>13909150</v>
          </cell>
          <cell r="B1726" t="str">
            <v>1.3.9.09.150</v>
          </cell>
          <cell r="C1726" t="str">
            <v>9-Sitio Boa Esperanca</v>
          </cell>
        </row>
        <row r="1727">
          <cell r="A1727">
            <v>13909151</v>
          </cell>
          <cell r="B1727" t="str">
            <v>1.3.9.09.151</v>
          </cell>
          <cell r="C1727" t="str">
            <v>9-Faz. Sao Jose</v>
          </cell>
        </row>
        <row r="1728">
          <cell r="A1728">
            <v>13909152</v>
          </cell>
          <cell r="B1728" t="str">
            <v>1.3.9.09.152</v>
          </cell>
          <cell r="C1728" t="str">
            <v>9- Sitio Boa Esperanca III</v>
          </cell>
        </row>
        <row r="1729">
          <cell r="A1729">
            <v>13909153</v>
          </cell>
          <cell r="B1729" t="str">
            <v>1.3.9.09.153</v>
          </cell>
          <cell r="C1729" t="str">
            <v>9-Sitio Boa Esperanca IV</v>
          </cell>
        </row>
        <row r="1730">
          <cell r="A1730">
            <v>13909154</v>
          </cell>
          <cell r="B1730" t="str">
            <v>1.3.9.09.154</v>
          </cell>
          <cell r="C1730" t="str">
            <v>9-Fazenda Sao Sebastiao</v>
          </cell>
        </row>
        <row r="1731">
          <cell r="A1731">
            <v>13909155</v>
          </cell>
          <cell r="B1731" t="str">
            <v>1.3.9.09.155</v>
          </cell>
          <cell r="C1731" t="str">
            <v>9-Estancia Rancho Alegre</v>
          </cell>
        </row>
        <row r="1732">
          <cell r="A1732">
            <v>13909156</v>
          </cell>
          <cell r="B1732" t="str">
            <v>1.3.9.09.156</v>
          </cell>
          <cell r="C1732" t="str">
            <v>9-Sitio Sao Joao II</v>
          </cell>
        </row>
        <row r="1733">
          <cell r="A1733">
            <v>13909157</v>
          </cell>
          <cell r="B1733" t="str">
            <v>1.3.9.09.157</v>
          </cell>
          <cell r="C1733" t="str">
            <v>9-Sitio Sao Joao III</v>
          </cell>
        </row>
        <row r="1734">
          <cell r="A1734">
            <v>13909158</v>
          </cell>
          <cell r="B1734" t="str">
            <v>1.3.9.09.158</v>
          </cell>
          <cell r="C1734" t="str">
            <v>9-Sitio Sao Jose IV</v>
          </cell>
        </row>
        <row r="1735">
          <cell r="A1735">
            <v>13909159</v>
          </cell>
          <cell r="B1735" t="str">
            <v>1.3.9.09.159</v>
          </cell>
          <cell r="C1735" t="str">
            <v>9-Sitio Santo Ivo</v>
          </cell>
        </row>
        <row r="1736">
          <cell r="A1736">
            <v>13909160</v>
          </cell>
          <cell r="B1736" t="str">
            <v>1.3.9.09.160</v>
          </cell>
          <cell r="C1736" t="str">
            <v>9-Sitio Nova Alvorada</v>
          </cell>
        </row>
        <row r="1737">
          <cell r="A1737">
            <v>13909161</v>
          </cell>
          <cell r="B1737" t="str">
            <v>1.3.9.09.161</v>
          </cell>
          <cell r="C1737" t="str">
            <v>9-Sitio Analax I</v>
          </cell>
        </row>
        <row r="1738">
          <cell r="A1738">
            <v>13909162</v>
          </cell>
          <cell r="B1738" t="str">
            <v>1.3.9.09.162</v>
          </cell>
          <cell r="C1738" t="str">
            <v>9-Sitio Sao Jose V</v>
          </cell>
        </row>
        <row r="1739">
          <cell r="A1739">
            <v>13909163</v>
          </cell>
          <cell r="B1739" t="str">
            <v>1.3.9.09.163</v>
          </cell>
          <cell r="C1739" t="str">
            <v>9-Sitio Bom Jesus I</v>
          </cell>
        </row>
        <row r="1740">
          <cell r="A1740">
            <v>13909164</v>
          </cell>
          <cell r="B1740" t="str">
            <v>1.3.9.09.164</v>
          </cell>
          <cell r="C1740" t="str">
            <v>9-Sitio bom Jesus</v>
          </cell>
        </row>
        <row r="1741">
          <cell r="A1741">
            <v>13909165</v>
          </cell>
          <cell r="B1741" t="str">
            <v>1.3.9.09.165</v>
          </cell>
          <cell r="C1741" t="str">
            <v>9-Sitio Sao Joao</v>
          </cell>
        </row>
        <row r="1742">
          <cell r="A1742">
            <v>13909166</v>
          </cell>
          <cell r="B1742" t="str">
            <v>1.3.9.09.166</v>
          </cell>
          <cell r="C1742" t="str">
            <v>9-Faz. Sao Marco</v>
          </cell>
        </row>
        <row r="1743">
          <cell r="A1743">
            <v>13909167</v>
          </cell>
          <cell r="B1743" t="str">
            <v>1.3.9.09.167</v>
          </cell>
          <cell r="C1743" t="str">
            <v>9-faz. Sagarana</v>
          </cell>
        </row>
        <row r="1744">
          <cell r="A1744">
            <v>13909168</v>
          </cell>
          <cell r="B1744" t="str">
            <v>1.3.9.09.168</v>
          </cell>
          <cell r="C1744" t="str">
            <v>9-Faz. Sao Jose</v>
          </cell>
        </row>
        <row r="1745">
          <cell r="A1745">
            <v>13909169</v>
          </cell>
          <cell r="B1745" t="str">
            <v>1.3.9.09.169</v>
          </cell>
          <cell r="C1745" t="str">
            <v>9- Sitio Sto Antonio II</v>
          </cell>
        </row>
        <row r="1746">
          <cell r="A1746">
            <v>13909170</v>
          </cell>
          <cell r="B1746" t="str">
            <v>1.3.9.09.170</v>
          </cell>
          <cell r="C1746" t="str">
            <v>9-Sitio Vitoria</v>
          </cell>
        </row>
        <row r="1747">
          <cell r="A1747">
            <v>13909171</v>
          </cell>
          <cell r="B1747" t="str">
            <v>1.3.9.09.171</v>
          </cell>
          <cell r="C1747" t="str">
            <v>9- Sitio Sao Pedro</v>
          </cell>
        </row>
        <row r="1748">
          <cell r="A1748">
            <v>13909172</v>
          </cell>
          <cell r="B1748" t="str">
            <v>1.3.9.09.172</v>
          </cell>
          <cell r="C1748" t="str">
            <v>9-Faz. S. J. Dourados</v>
          </cell>
        </row>
        <row r="1749">
          <cell r="A1749">
            <v>13909173</v>
          </cell>
          <cell r="B1749" t="str">
            <v>1.3.9.09.173</v>
          </cell>
          <cell r="C1749" t="str">
            <v>9-Faz. Sta Izabel I</v>
          </cell>
        </row>
        <row r="1750">
          <cell r="A1750">
            <v>13909174</v>
          </cell>
          <cell r="B1750" t="str">
            <v>1.3.9.09.174</v>
          </cell>
          <cell r="C1750" t="str">
            <v>9-Faz. Mosquito I</v>
          </cell>
        </row>
        <row r="1751">
          <cell r="A1751">
            <v>13909175</v>
          </cell>
          <cell r="B1751" t="str">
            <v>1.3.9.09.175</v>
          </cell>
          <cell r="C1751" t="str">
            <v>9-Faz. Sta. Rita I</v>
          </cell>
        </row>
        <row r="1752">
          <cell r="A1752">
            <v>13909176</v>
          </cell>
          <cell r="B1752" t="str">
            <v>1.3.9.09.176</v>
          </cell>
          <cell r="C1752" t="str">
            <v>9-faz. Fco. Neto I</v>
          </cell>
        </row>
        <row r="1753">
          <cell r="A1753">
            <v>13909177</v>
          </cell>
          <cell r="B1753" t="str">
            <v>1.3.9.09.177</v>
          </cell>
          <cell r="C1753" t="str">
            <v>9- Sitio Sao Pedro II</v>
          </cell>
        </row>
        <row r="1754">
          <cell r="A1754">
            <v>13909178</v>
          </cell>
          <cell r="B1754" t="str">
            <v>1.3.9.09.178</v>
          </cell>
          <cell r="C1754" t="str">
            <v>9-Sitio Boiati</v>
          </cell>
        </row>
        <row r="1755">
          <cell r="A1755">
            <v>13909179</v>
          </cell>
          <cell r="B1755" t="str">
            <v>1.3.9.09.179</v>
          </cell>
          <cell r="C1755" t="str">
            <v>9-Sitio Est. Vista Alegre</v>
          </cell>
        </row>
        <row r="1756">
          <cell r="A1756">
            <v>13909180</v>
          </cell>
          <cell r="B1756" t="str">
            <v>1.3.9.09.180</v>
          </cell>
          <cell r="C1756" t="str">
            <v>Sitio Sao Luiz</v>
          </cell>
        </row>
        <row r="1757">
          <cell r="A1757">
            <v>13909181</v>
          </cell>
          <cell r="B1757" t="str">
            <v>1.3.9.09.181</v>
          </cell>
          <cell r="C1757" t="str">
            <v>9-Fazenda Nossa Senhora Aparecida</v>
          </cell>
        </row>
        <row r="1758">
          <cell r="A1758">
            <v>13909182</v>
          </cell>
          <cell r="B1758" t="str">
            <v>1.3.9.09.182</v>
          </cell>
          <cell r="C1758" t="str">
            <v>Sitio 1 de Novembro</v>
          </cell>
        </row>
        <row r="1759">
          <cell r="A1759">
            <v>13909183</v>
          </cell>
          <cell r="B1759" t="str">
            <v>1.3.9.09.183</v>
          </cell>
          <cell r="C1759" t="str">
            <v>9-Fazenda Bom jesus</v>
          </cell>
        </row>
        <row r="1760">
          <cell r="A1760">
            <v>13909184</v>
          </cell>
          <cell r="B1760" t="str">
            <v>1.3.9.09.184</v>
          </cell>
          <cell r="C1760" t="str">
            <v>9-Faz. Nametala Rezek</v>
          </cell>
        </row>
        <row r="1761">
          <cell r="A1761">
            <v>13909185</v>
          </cell>
          <cell r="B1761" t="str">
            <v>1.3.9.09.185</v>
          </cell>
          <cell r="C1761" t="str">
            <v>9-Faz. Sao MArtinho</v>
          </cell>
        </row>
        <row r="1762">
          <cell r="A1762">
            <v>13909186</v>
          </cell>
          <cell r="B1762" t="str">
            <v>1.3.9.09.186</v>
          </cell>
          <cell r="C1762" t="str">
            <v>9- Faz. Sao Bento</v>
          </cell>
        </row>
        <row r="1763">
          <cell r="A1763">
            <v>13909187</v>
          </cell>
          <cell r="B1763" t="str">
            <v>1.3.9.09.187</v>
          </cell>
          <cell r="C1763" t="str">
            <v>9- Faz. Garrafao</v>
          </cell>
        </row>
        <row r="1764">
          <cell r="A1764">
            <v>13909188</v>
          </cell>
          <cell r="B1764" t="str">
            <v>1.3.9.09.188</v>
          </cell>
          <cell r="C1764" t="str">
            <v>9- Faz. Boa Sorte</v>
          </cell>
        </row>
        <row r="1765">
          <cell r="A1765">
            <v>13909189</v>
          </cell>
          <cell r="B1765" t="str">
            <v>1.3.9.09.189</v>
          </cell>
          <cell r="C1765" t="str">
            <v>9- Faz. Sao bento II</v>
          </cell>
        </row>
        <row r="1766">
          <cell r="A1766">
            <v>13909190</v>
          </cell>
          <cell r="B1766" t="str">
            <v>1.3.9.09.190</v>
          </cell>
          <cell r="C1766" t="str">
            <v>9- Faz. Sao Luiz</v>
          </cell>
        </row>
        <row r="1767">
          <cell r="A1767">
            <v>13909191</v>
          </cell>
          <cell r="B1767" t="str">
            <v>1.3.9.09.191</v>
          </cell>
          <cell r="C1767" t="str">
            <v>9- Faz. Santa Rosa 2</v>
          </cell>
        </row>
        <row r="1768">
          <cell r="A1768">
            <v>13909192</v>
          </cell>
          <cell r="B1768" t="str">
            <v>1.3.9.09.192</v>
          </cell>
          <cell r="C1768" t="str">
            <v>4-Fazenda Aroeira VI</v>
          </cell>
        </row>
        <row r="1769">
          <cell r="A1769">
            <v>13909193</v>
          </cell>
          <cell r="B1769" t="str">
            <v>1.3.9.09.193</v>
          </cell>
          <cell r="C1769" t="str">
            <v>4-Fazenda Taperao II</v>
          </cell>
        </row>
        <row r="1770">
          <cell r="A1770">
            <v>13909194</v>
          </cell>
          <cell r="B1770" t="str">
            <v>1.3.9.09.194</v>
          </cell>
          <cell r="C1770" t="str">
            <v>4-Fazenda Arrastao</v>
          </cell>
        </row>
        <row r="1771">
          <cell r="A1771">
            <v>13909195</v>
          </cell>
          <cell r="B1771" t="str">
            <v>1.3.9.09.195</v>
          </cell>
          <cell r="C1771" t="str">
            <v>4-Fazenda Vale da Pecuaria</v>
          </cell>
        </row>
        <row r="1772">
          <cell r="A1772">
            <v>13909196</v>
          </cell>
          <cell r="B1772" t="str">
            <v>1.3.9.09.196</v>
          </cell>
          <cell r="C1772" t="str">
            <v>4-Fazenda Boa Sorte</v>
          </cell>
        </row>
        <row r="1773">
          <cell r="A1773">
            <v>13909197</v>
          </cell>
          <cell r="B1773" t="str">
            <v>1.3.9.09.197</v>
          </cell>
          <cell r="C1773" t="str">
            <v>4-Fazenda Santa Angela</v>
          </cell>
        </row>
        <row r="1774">
          <cell r="A1774">
            <v>13909198</v>
          </cell>
          <cell r="B1774" t="str">
            <v>1.3.9.09.198</v>
          </cell>
          <cell r="C1774" t="str">
            <v>4-Fazenda Jangadeiro III</v>
          </cell>
        </row>
        <row r="1775">
          <cell r="A1775">
            <v>13909199</v>
          </cell>
          <cell r="B1775" t="str">
            <v>1.3.9.09.199</v>
          </cell>
          <cell r="C1775" t="str">
            <v>4-Fazenda Certeza</v>
          </cell>
        </row>
        <row r="1776">
          <cell r="A1776">
            <v>13909201</v>
          </cell>
          <cell r="B1776" t="str">
            <v>1.3.9.09.201</v>
          </cell>
          <cell r="C1776" t="str">
            <v>4-Fazenda Estreito III</v>
          </cell>
        </row>
        <row r="1777">
          <cell r="A1777">
            <v>13909202</v>
          </cell>
          <cell r="B1777" t="str">
            <v>1.3.9.09.202</v>
          </cell>
          <cell r="C1777" t="str">
            <v>4-Fazenda Jardim I</v>
          </cell>
        </row>
        <row r="1778">
          <cell r="A1778">
            <v>13909203</v>
          </cell>
          <cell r="B1778" t="str">
            <v>1.3.9.09.203</v>
          </cell>
          <cell r="C1778" t="str">
            <v>4-Fazenda Feceiro B (Waine)</v>
          </cell>
        </row>
        <row r="1779">
          <cell r="A1779">
            <v>13909204</v>
          </cell>
          <cell r="B1779" t="str">
            <v>1.3.9.09.204</v>
          </cell>
          <cell r="C1779" t="str">
            <v>Fazenda Monte das Videiras</v>
          </cell>
        </row>
        <row r="1780">
          <cell r="A1780">
            <v>13909205</v>
          </cell>
          <cell r="B1780" t="str">
            <v>1.3.9.09.205</v>
          </cell>
          <cell r="C1780" t="str">
            <v>Sitio N.S.Aparecida</v>
          </cell>
        </row>
        <row r="1781">
          <cell r="A1781">
            <v>13909206</v>
          </cell>
          <cell r="B1781" t="str">
            <v>1.3.9.09.206</v>
          </cell>
          <cell r="C1781" t="str">
            <v>Fazenda Brisa II</v>
          </cell>
        </row>
        <row r="1782">
          <cell r="A1782">
            <v>13909207</v>
          </cell>
          <cell r="B1782" t="str">
            <v>1.3.9.09.207</v>
          </cell>
          <cell r="C1782" t="str">
            <v>Fazenda Bela Alvorada II</v>
          </cell>
        </row>
        <row r="1783">
          <cell r="A1783">
            <v>13909208</v>
          </cell>
          <cell r="B1783" t="str">
            <v>1.3.9.09.208</v>
          </cell>
          <cell r="C1783" t="str">
            <v>Fazenda Monte Verde do Iporanga III</v>
          </cell>
        </row>
        <row r="1784">
          <cell r="A1784">
            <v>13909209</v>
          </cell>
          <cell r="B1784" t="str">
            <v>1.3.9.09.209</v>
          </cell>
          <cell r="C1784" t="str">
            <v>Fazenda 02 Meninos</v>
          </cell>
        </row>
        <row r="1785">
          <cell r="A1785">
            <v>13909210</v>
          </cell>
          <cell r="B1785" t="str">
            <v>1.3.9.09.210</v>
          </cell>
          <cell r="C1785" t="str">
            <v>Sitio Brasil</v>
          </cell>
        </row>
        <row r="1786">
          <cell r="A1786">
            <v>13909211</v>
          </cell>
          <cell r="B1786" t="str">
            <v>1.3.9.09.211</v>
          </cell>
          <cell r="C1786" t="str">
            <v>Sitio Salmourao III</v>
          </cell>
        </row>
        <row r="1787">
          <cell r="A1787">
            <v>13909212</v>
          </cell>
          <cell r="B1787" t="str">
            <v>1.3.9.09.212</v>
          </cell>
          <cell r="C1787" t="str">
            <v>Fazenda Vitoria</v>
          </cell>
        </row>
        <row r="1788">
          <cell r="A1788">
            <v>13909213</v>
          </cell>
          <cell r="B1788" t="str">
            <v>1.3.9.09.213</v>
          </cell>
          <cell r="C1788" t="str">
            <v>Fazenda Caru</v>
          </cell>
        </row>
        <row r="1789">
          <cell r="A1789">
            <v>13909214</v>
          </cell>
          <cell r="B1789" t="str">
            <v>1.3.9.09.214</v>
          </cell>
          <cell r="C1789" t="str">
            <v>Fazenda Tres Nascentes</v>
          </cell>
        </row>
        <row r="1790">
          <cell r="A1790">
            <v>13909215</v>
          </cell>
          <cell r="B1790" t="str">
            <v>1.3.9.09.215</v>
          </cell>
          <cell r="C1790" t="str">
            <v>Fazenda Salmourao II</v>
          </cell>
        </row>
        <row r="1791">
          <cell r="A1791">
            <v>13909216</v>
          </cell>
          <cell r="B1791" t="str">
            <v>1.3.9.09.216</v>
          </cell>
          <cell r="C1791" t="str">
            <v>Sitio Agua Branca</v>
          </cell>
        </row>
        <row r="1792">
          <cell r="A1792">
            <v>13909217</v>
          </cell>
          <cell r="B1792" t="str">
            <v>1.3.9.09.217</v>
          </cell>
          <cell r="C1792" t="str">
            <v>Fazenda Barahona</v>
          </cell>
        </row>
        <row r="1793">
          <cell r="A1793">
            <v>13909218</v>
          </cell>
          <cell r="B1793" t="str">
            <v>1.3.9.09.218</v>
          </cell>
          <cell r="C1793" t="str">
            <v>Sitio Santo Antonio II</v>
          </cell>
        </row>
        <row r="1794">
          <cell r="A1794">
            <v>13909219</v>
          </cell>
          <cell r="B1794" t="str">
            <v>1.3.9.09.219</v>
          </cell>
          <cell r="C1794" t="str">
            <v>Fazenda Santa Cruz</v>
          </cell>
        </row>
        <row r="1795">
          <cell r="A1795">
            <v>13909220</v>
          </cell>
          <cell r="B1795" t="str">
            <v>1.3.9.09.220</v>
          </cell>
          <cell r="C1795" t="str">
            <v>Sitio Santa Josefina</v>
          </cell>
        </row>
        <row r="1796">
          <cell r="A1796">
            <v>13909221</v>
          </cell>
          <cell r="B1796" t="str">
            <v>1.3.9.09.221</v>
          </cell>
          <cell r="C1796" t="str">
            <v>Fazenda Tres Irmaos</v>
          </cell>
        </row>
        <row r="1797">
          <cell r="A1797">
            <v>13909222</v>
          </cell>
          <cell r="B1797" t="str">
            <v>1.3.9.09.222</v>
          </cell>
          <cell r="C1797" t="str">
            <v>Fazenda Cintra I</v>
          </cell>
        </row>
        <row r="1798">
          <cell r="A1798">
            <v>13909223</v>
          </cell>
          <cell r="B1798" t="str">
            <v>1.3.9.09.223</v>
          </cell>
          <cell r="C1798" t="str">
            <v>Fazenda Sao Francisco</v>
          </cell>
        </row>
        <row r="1799">
          <cell r="A1799">
            <v>13909224</v>
          </cell>
          <cell r="B1799" t="str">
            <v>1.3.9.09.224</v>
          </cell>
          <cell r="C1799" t="str">
            <v>5-Sitio Formoso</v>
          </cell>
        </row>
        <row r="1800">
          <cell r="A1800">
            <v>13909225</v>
          </cell>
          <cell r="B1800" t="str">
            <v>1.3.9.09.225</v>
          </cell>
          <cell r="C1800" t="str">
            <v>5-Fazenda Pile I</v>
          </cell>
        </row>
        <row r="1801">
          <cell r="A1801">
            <v>13909226</v>
          </cell>
          <cell r="B1801" t="str">
            <v>1.3.9.09.226</v>
          </cell>
          <cell r="C1801" t="str">
            <v>5-Fazenda Arauna I</v>
          </cell>
        </row>
        <row r="1802">
          <cell r="A1802">
            <v>13909227</v>
          </cell>
          <cell r="B1802" t="str">
            <v>1.3.9.09.227</v>
          </cell>
          <cell r="C1802" t="str">
            <v>5-Fazenda Retiro I</v>
          </cell>
        </row>
        <row r="1803">
          <cell r="A1803">
            <v>13909228</v>
          </cell>
          <cell r="B1803" t="str">
            <v>1.3.9.09.228</v>
          </cell>
          <cell r="C1803" t="str">
            <v>5-Fazenda Retiro II</v>
          </cell>
        </row>
        <row r="1804">
          <cell r="A1804">
            <v>13909229</v>
          </cell>
          <cell r="B1804" t="str">
            <v>1.3.9.09.229</v>
          </cell>
          <cell r="C1804" t="str">
            <v>5-Estancia Vovo Amelia</v>
          </cell>
        </row>
        <row r="1805">
          <cell r="A1805">
            <v>13909230</v>
          </cell>
          <cell r="B1805" t="str">
            <v>1.3.9.09.230</v>
          </cell>
          <cell r="C1805" t="str">
            <v>5-Fazenda Sao Jorge</v>
          </cell>
        </row>
        <row r="1806">
          <cell r="A1806">
            <v>13909231</v>
          </cell>
          <cell r="B1806" t="str">
            <v>1.3.9.09.231</v>
          </cell>
          <cell r="C1806" t="str">
            <v>5-Fazenda Macuton</v>
          </cell>
        </row>
        <row r="1807">
          <cell r="A1807">
            <v>13909232</v>
          </cell>
          <cell r="B1807" t="str">
            <v>1.3.9.09.232</v>
          </cell>
          <cell r="C1807" t="str">
            <v>5-Fazenda Raimundo</v>
          </cell>
        </row>
        <row r="1808">
          <cell r="A1808">
            <v>13909233</v>
          </cell>
          <cell r="B1808" t="str">
            <v>1.3.9.09.233</v>
          </cell>
          <cell r="C1808" t="str">
            <v>5-Fazenda Cachoeirinha</v>
          </cell>
        </row>
        <row r="1809">
          <cell r="A1809">
            <v>13909234</v>
          </cell>
          <cell r="B1809" t="str">
            <v>1.3.9.09.234</v>
          </cell>
          <cell r="C1809" t="str">
            <v>5-Sitio Rio Grande</v>
          </cell>
        </row>
        <row r="1810">
          <cell r="A1810">
            <v>13909235</v>
          </cell>
          <cell r="B1810" t="str">
            <v>1.3.9.09.235</v>
          </cell>
          <cell r="C1810" t="str">
            <v>5-Sitio Jurema</v>
          </cell>
        </row>
        <row r="1811">
          <cell r="A1811">
            <v>13909236</v>
          </cell>
          <cell r="B1811" t="str">
            <v>1.3.9.09.236</v>
          </cell>
          <cell r="C1811" t="str">
            <v>5-Fazenda Santa Marta</v>
          </cell>
        </row>
        <row r="1812">
          <cell r="A1812">
            <v>13909237</v>
          </cell>
          <cell r="B1812" t="str">
            <v>1.3.9.09.237</v>
          </cell>
          <cell r="C1812" t="str">
            <v>5-Fazenda N.S.Aparecida</v>
          </cell>
        </row>
        <row r="1813">
          <cell r="A1813">
            <v>13909238</v>
          </cell>
          <cell r="B1813" t="str">
            <v>1.3.9.09.238</v>
          </cell>
          <cell r="C1813" t="str">
            <v>5-Fazenda Santa Rosa</v>
          </cell>
        </row>
        <row r="1814">
          <cell r="A1814">
            <v>13909239</v>
          </cell>
          <cell r="B1814" t="str">
            <v>1.3.9.09.239</v>
          </cell>
          <cell r="C1814" t="str">
            <v>5-Fazenda Santa Joana</v>
          </cell>
        </row>
        <row r="1815">
          <cell r="A1815">
            <v>13909240</v>
          </cell>
          <cell r="B1815" t="str">
            <v>1.3.9.09.240</v>
          </cell>
          <cell r="C1815" t="str">
            <v>5-Fazenda Santa Quiteria (Pedra Negra)</v>
          </cell>
        </row>
        <row r="1816">
          <cell r="A1816">
            <v>13909241</v>
          </cell>
          <cell r="B1816" t="str">
            <v>1.3.9.09.241</v>
          </cell>
          <cell r="C1816" t="str">
            <v>5-Fazenda Santa Ines</v>
          </cell>
        </row>
        <row r="1817">
          <cell r="A1817">
            <v>13909242</v>
          </cell>
          <cell r="B1817" t="str">
            <v>1.3.9.09.242</v>
          </cell>
          <cell r="C1817" t="str">
            <v>5-Fazenda Yamamota</v>
          </cell>
        </row>
        <row r="1818">
          <cell r="A1818">
            <v>13909243</v>
          </cell>
          <cell r="B1818" t="str">
            <v>1.3.9.09.243</v>
          </cell>
          <cell r="C1818" t="str">
            <v>5-Fazenda Sao Francisco</v>
          </cell>
        </row>
        <row r="1819">
          <cell r="A1819">
            <v>13909244</v>
          </cell>
          <cell r="B1819" t="str">
            <v>1.3.9.09.244</v>
          </cell>
          <cell r="C1819" t="str">
            <v>5-Fazenda San Romulo</v>
          </cell>
        </row>
        <row r="1820">
          <cell r="A1820">
            <v>13909245</v>
          </cell>
          <cell r="B1820" t="str">
            <v>1.3.9.09.245</v>
          </cell>
          <cell r="C1820" t="str">
            <v>5-Fazenda Ponta Porã</v>
          </cell>
        </row>
        <row r="1821">
          <cell r="A1821">
            <v>13909246</v>
          </cell>
          <cell r="B1821" t="str">
            <v>1.3.9.09.246</v>
          </cell>
          <cell r="C1821" t="str">
            <v>5-Fazenda Sao Jose</v>
          </cell>
        </row>
        <row r="1822">
          <cell r="A1822">
            <v>13909247</v>
          </cell>
          <cell r="B1822" t="str">
            <v>1.3.9.09.247</v>
          </cell>
          <cell r="C1822" t="str">
            <v>5-Fazenda Santa Terezinha</v>
          </cell>
        </row>
        <row r="1823">
          <cell r="A1823">
            <v>13909248</v>
          </cell>
          <cell r="B1823" t="str">
            <v>1.3.9.09.248</v>
          </cell>
          <cell r="C1823" t="str">
            <v>5-Fazenda Pedra Negra</v>
          </cell>
        </row>
        <row r="1824">
          <cell r="A1824">
            <v>13909249</v>
          </cell>
          <cell r="B1824" t="str">
            <v>1.3.9.09.249</v>
          </cell>
          <cell r="C1824" t="str">
            <v>5-Fazenda Faceiro B</v>
          </cell>
        </row>
        <row r="1825">
          <cell r="A1825">
            <v>13909250</v>
          </cell>
          <cell r="B1825" t="str">
            <v>1.3.9.09.250</v>
          </cell>
          <cell r="C1825" t="str">
            <v>5-Fazenda Sao Rafael</v>
          </cell>
        </row>
        <row r="1826">
          <cell r="A1826">
            <v>13909251</v>
          </cell>
          <cell r="B1826" t="str">
            <v>1.3.9.09.251</v>
          </cell>
          <cell r="C1826" t="str">
            <v>5-Fazenda Rio Grande II</v>
          </cell>
        </row>
        <row r="1827">
          <cell r="A1827">
            <v>13909252</v>
          </cell>
          <cell r="B1827" t="str">
            <v>1.3.9.09.252</v>
          </cell>
          <cell r="C1827" t="str">
            <v>5-Fazenda Dois Irmaos</v>
          </cell>
        </row>
        <row r="1828">
          <cell r="A1828">
            <v>13909253</v>
          </cell>
          <cell r="B1828" t="str">
            <v>1.3.9.09.253</v>
          </cell>
          <cell r="C1828" t="str">
            <v>5-Fazenda Barra L</v>
          </cell>
        </row>
        <row r="1829">
          <cell r="A1829">
            <v>13909254</v>
          </cell>
          <cell r="B1829" t="str">
            <v>1.3.9.09.254</v>
          </cell>
          <cell r="C1829" t="str">
            <v>5-Fazenda Santa Maria</v>
          </cell>
        </row>
        <row r="1830">
          <cell r="A1830">
            <v>13909255</v>
          </cell>
          <cell r="B1830" t="str">
            <v>1.3.9.09.255</v>
          </cell>
          <cell r="C1830" t="str">
            <v>5-Fazenda Bom Jesus I</v>
          </cell>
        </row>
        <row r="1831">
          <cell r="A1831">
            <v>13909256</v>
          </cell>
          <cell r="B1831" t="str">
            <v>1.3.9.09.256</v>
          </cell>
          <cell r="C1831" t="str">
            <v>5-Fazenda Quiteria</v>
          </cell>
        </row>
        <row r="1832">
          <cell r="A1832">
            <v>13909257</v>
          </cell>
          <cell r="B1832" t="str">
            <v>1.3.9.09.257</v>
          </cell>
          <cell r="C1832" t="str">
            <v>5-Fazenda Quiteria</v>
          </cell>
        </row>
        <row r="1833">
          <cell r="A1833">
            <v>13909258</v>
          </cell>
          <cell r="B1833" t="str">
            <v>1.3.9.09.258</v>
          </cell>
          <cell r="C1833" t="str">
            <v>7-Fazenda Dom Pierino</v>
          </cell>
        </row>
        <row r="1834">
          <cell r="A1834">
            <v>13909259</v>
          </cell>
          <cell r="B1834" t="str">
            <v>1.3.9.09.259</v>
          </cell>
          <cell r="C1834" t="str">
            <v>7-Fazenda Dal Lago</v>
          </cell>
        </row>
        <row r="1835">
          <cell r="A1835">
            <v>13909260</v>
          </cell>
          <cell r="B1835" t="str">
            <v>1.3.9.09.260</v>
          </cell>
          <cell r="C1835" t="str">
            <v>7-Fazenda Figueira</v>
          </cell>
        </row>
        <row r="1836">
          <cell r="A1836">
            <v>13909261</v>
          </cell>
          <cell r="B1836" t="str">
            <v>1.3.9.09.261</v>
          </cell>
          <cell r="C1836" t="str">
            <v>7-Fazenda Lucelia</v>
          </cell>
        </row>
        <row r="1837">
          <cell r="A1837">
            <v>13909262</v>
          </cell>
          <cell r="B1837" t="str">
            <v>1.3.9.09.262</v>
          </cell>
          <cell r="C1837" t="str">
            <v>7-Fazenda Santa Emilia</v>
          </cell>
        </row>
        <row r="1838">
          <cell r="A1838">
            <v>13909263</v>
          </cell>
          <cell r="B1838" t="str">
            <v>1.3.9.09.263</v>
          </cell>
          <cell r="C1838" t="str">
            <v>7-Fazenda Fortaleza</v>
          </cell>
        </row>
        <row r="1839">
          <cell r="A1839">
            <v>13909264</v>
          </cell>
          <cell r="B1839" t="str">
            <v>1.3.9.09.264</v>
          </cell>
          <cell r="C1839" t="str">
            <v>7-Fazenda Guarirobinha</v>
          </cell>
        </row>
        <row r="1840">
          <cell r="A1840">
            <v>13909265</v>
          </cell>
          <cell r="B1840" t="str">
            <v>1.3.9.09.265</v>
          </cell>
          <cell r="C1840" t="str">
            <v>9-Fazenda Tres Irmas</v>
          </cell>
        </row>
        <row r="1841">
          <cell r="A1841">
            <v>13909266</v>
          </cell>
          <cell r="B1841" t="str">
            <v>1.3.9.09.266</v>
          </cell>
          <cell r="C1841" t="str">
            <v>7-Fazenda Quevedo</v>
          </cell>
        </row>
        <row r="1842">
          <cell r="A1842">
            <v>13909267</v>
          </cell>
          <cell r="B1842" t="str">
            <v>1.3.9.09.267</v>
          </cell>
          <cell r="C1842" t="str">
            <v>7-Fazenda Jatoba</v>
          </cell>
        </row>
        <row r="1843">
          <cell r="A1843">
            <v>13909268</v>
          </cell>
          <cell r="B1843" t="str">
            <v>1.3.9.09.268</v>
          </cell>
          <cell r="C1843" t="str">
            <v>7-Fazenda Carioca</v>
          </cell>
        </row>
        <row r="1844">
          <cell r="A1844">
            <v>13909269</v>
          </cell>
          <cell r="B1844" t="str">
            <v>1.3.9.09.269</v>
          </cell>
          <cell r="C1844" t="str">
            <v>7-Fazenda Dal Lago II</v>
          </cell>
        </row>
        <row r="1845">
          <cell r="A1845">
            <v>13909270</v>
          </cell>
          <cell r="B1845" t="str">
            <v>1.3.9.09.270</v>
          </cell>
          <cell r="C1845" t="str">
            <v>7-Fazenda Dal Lago III</v>
          </cell>
        </row>
        <row r="1846">
          <cell r="A1846">
            <v>13909271</v>
          </cell>
          <cell r="B1846" t="str">
            <v>1.3.9.09.271</v>
          </cell>
          <cell r="C1846" t="str">
            <v>7-Fazenda Santa Maria</v>
          </cell>
        </row>
        <row r="1847">
          <cell r="A1847">
            <v>13909272</v>
          </cell>
          <cell r="B1847" t="str">
            <v>1.3.9.09.272</v>
          </cell>
          <cell r="C1847" t="str">
            <v>7-Fazenda Santa Ines</v>
          </cell>
        </row>
        <row r="1848">
          <cell r="A1848">
            <v>13909273</v>
          </cell>
          <cell r="B1848" t="str">
            <v>1.3.9.09.273</v>
          </cell>
          <cell r="C1848" t="str">
            <v>9-Fazenda Santa Rosa</v>
          </cell>
        </row>
        <row r="1849">
          <cell r="A1849">
            <v>13909274</v>
          </cell>
          <cell r="B1849" t="str">
            <v>1.3.9.09.274</v>
          </cell>
          <cell r="C1849" t="str">
            <v>9-Fazenda Ary Gaia II</v>
          </cell>
        </row>
        <row r="1850">
          <cell r="A1850">
            <v>13909275</v>
          </cell>
          <cell r="B1850" t="str">
            <v>1.3.9.09.275</v>
          </cell>
          <cell r="C1850" t="str">
            <v>9-Fazenda Valenca</v>
          </cell>
        </row>
        <row r="1851">
          <cell r="A1851">
            <v>13909276</v>
          </cell>
          <cell r="B1851" t="str">
            <v>1.3.9.09.276</v>
          </cell>
          <cell r="C1851" t="str">
            <v>9-Fazenda Castilho</v>
          </cell>
        </row>
        <row r="1852">
          <cell r="A1852">
            <v>13909277</v>
          </cell>
          <cell r="B1852" t="str">
            <v>1.3.9.09.277</v>
          </cell>
          <cell r="C1852" t="str">
            <v>7-Fazenda Fortaleza II</v>
          </cell>
        </row>
        <row r="1853">
          <cell r="A1853">
            <v>13909278</v>
          </cell>
          <cell r="B1853" t="str">
            <v>1.3.9.09.278</v>
          </cell>
          <cell r="C1853" t="str">
            <v>7-Fazenda Serra Branca</v>
          </cell>
        </row>
        <row r="1854">
          <cell r="A1854">
            <v>13909279</v>
          </cell>
          <cell r="B1854" t="str">
            <v>1.3.9.09.279</v>
          </cell>
          <cell r="C1854" t="str">
            <v>7-Fazenda Nova Esperanca</v>
          </cell>
        </row>
        <row r="1855">
          <cell r="A1855">
            <v>13909280</v>
          </cell>
          <cell r="B1855" t="str">
            <v>1.3.9.09.280</v>
          </cell>
          <cell r="C1855" t="str">
            <v>9-Fazenda Limoeiro</v>
          </cell>
        </row>
        <row r="1856">
          <cell r="A1856">
            <v>13909281</v>
          </cell>
          <cell r="B1856" t="str">
            <v>1.3.9.09.281</v>
          </cell>
          <cell r="C1856" t="str">
            <v>Estancia Tres Nascentes (1296)</v>
          </cell>
        </row>
        <row r="1857">
          <cell r="A1857">
            <v>13909282</v>
          </cell>
          <cell r="B1857" t="str">
            <v>1.3.9.09.282</v>
          </cell>
          <cell r="C1857" t="str">
            <v>4-Fazenda Taperao I</v>
          </cell>
        </row>
        <row r="1858">
          <cell r="A1858">
            <v>13909283</v>
          </cell>
          <cell r="B1858" t="str">
            <v>1.3.9.09.283</v>
          </cell>
          <cell r="C1858" t="str">
            <v>Sítio Sao Luiz (1208)</v>
          </cell>
        </row>
        <row r="1859">
          <cell r="A1859">
            <v>13909285</v>
          </cell>
          <cell r="B1859" t="str">
            <v>1.3.9.09.285</v>
          </cell>
          <cell r="C1859" t="str">
            <v>4 - Fazenda Pile</v>
          </cell>
        </row>
        <row r="1860">
          <cell r="A1860">
            <v>13909286</v>
          </cell>
          <cell r="B1860" t="str">
            <v>1.3.9.09.286</v>
          </cell>
          <cell r="C1860" t="str">
            <v>4 - Fazenda Faceiro(patricia)</v>
          </cell>
        </row>
        <row r="1861">
          <cell r="A1861">
            <v>13909287</v>
          </cell>
          <cell r="B1861" t="str">
            <v>1.3.9.09.287</v>
          </cell>
          <cell r="C1861" t="str">
            <v>4- Fazenda Faceiro (Glaucia)</v>
          </cell>
        </row>
        <row r="1862">
          <cell r="A1862">
            <v>13909288</v>
          </cell>
          <cell r="B1862" t="str">
            <v>1.3.9.09.288</v>
          </cell>
          <cell r="C1862" t="str">
            <v>4 - Fazenda Arauna</v>
          </cell>
        </row>
        <row r="1863">
          <cell r="A1863">
            <v>13909289</v>
          </cell>
          <cell r="B1863" t="str">
            <v>1.3.9.09.289</v>
          </cell>
          <cell r="C1863" t="str">
            <v>Fazenda N.S. Belem II</v>
          </cell>
        </row>
        <row r="1864">
          <cell r="A1864">
            <v>13909290</v>
          </cell>
          <cell r="B1864" t="str">
            <v>1.3.9.09.290</v>
          </cell>
          <cell r="C1864" t="str">
            <v>Fazenda São Francisco</v>
          </cell>
        </row>
        <row r="1865">
          <cell r="A1865">
            <v>13909291</v>
          </cell>
          <cell r="B1865" t="str">
            <v>1.3.9.09.291</v>
          </cell>
          <cell r="C1865" t="str">
            <v>Fazenda N.S.Aparecida III</v>
          </cell>
        </row>
        <row r="1866">
          <cell r="A1866">
            <v>13909292</v>
          </cell>
          <cell r="B1866" t="str">
            <v>1.3.9.09.292</v>
          </cell>
          <cell r="C1866" t="str">
            <v>Fazenda Santo Antonio III</v>
          </cell>
        </row>
        <row r="1867">
          <cell r="A1867">
            <v>13909293</v>
          </cell>
          <cell r="B1867" t="str">
            <v>1.3.9.09.293</v>
          </cell>
          <cell r="C1867" t="str">
            <v>9-Fazenda Santa Rosa II</v>
          </cell>
        </row>
        <row r="1868">
          <cell r="A1868">
            <v>13909294</v>
          </cell>
          <cell r="B1868" t="str">
            <v>1.3.9.09.294</v>
          </cell>
          <cell r="C1868" t="str">
            <v>Sitio Salmourao III (1302)</v>
          </cell>
        </row>
        <row r="1869">
          <cell r="A1869">
            <v>13909295</v>
          </cell>
          <cell r="B1869" t="str">
            <v>1.3.9.09.295</v>
          </cell>
          <cell r="C1869" t="str">
            <v>Fazenda Sao Joao</v>
          </cell>
        </row>
        <row r="1870">
          <cell r="A1870">
            <v>13909297</v>
          </cell>
          <cell r="B1870" t="str">
            <v>1.3.9.09.297</v>
          </cell>
          <cell r="C1870" t="str">
            <v>9-Fazenda Caicçara</v>
          </cell>
        </row>
        <row r="1871">
          <cell r="A1871">
            <v>13909298</v>
          </cell>
          <cell r="B1871" t="str">
            <v>1.3.9.09.298</v>
          </cell>
          <cell r="C1871" t="str">
            <v>9-Fazenda Vitoria</v>
          </cell>
        </row>
        <row r="1872">
          <cell r="A1872">
            <v>13909299</v>
          </cell>
          <cell r="B1872" t="str">
            <v>1.3.9.09.299</v>
          </cell>
          <cell r="C1872" t="str">
            <v>Fazenda Tres Irmaos (1295)</v>
          </cell>
        </row>
        <row r="1873">
          <cell r="A1873">
            <v>13909300</v>
          </cell>
          <cell r="B1873" t="str">
            <v>1.3.9.09.300</v>
          </cell>
          <cell r="C1873" t="str">
            <v>9-Fazenda Dois Vales</v>
          </cell>
        </row>
        <row r="1874">
          <cell r="A1874">
            <v>13909301</v>
          </cell>
          <cell r="B1874" t="str">
            <v>1.3.9.09.301</v>
          </cell>
          <cell r="C1874" t="str">
            <v>1- Sitio Sao Jose</v>
          </cell>
        </row>
        <row r="1875">
          <cell r="A1875">
            <v>13909302</v>
          </cell>
          <cell r="B1875" t="str">
            <v>1.3.9.09.302</v>
          </cell>
          <cell r="C1875" t="str">
            <v>1- Fzenda São JOaquim</v>
          </cell>
        </row>
        <row r="1876">
          <cell r="A1876">
            <v>13909303</v>
          </cell>
          <cell r="B1876" t="str">
            <v>1.3.9.09.303</v>
          </cell>
          <cell r="C1876" t="str">
            <v>1- Fazenda Palacios</v>
          </cell>
        </row>
        <row r="1877">
          <cell r="A1877">
            <v>13909304</v>
          </cell>
          <cell r="B1877" t="str">
            <v>1.3.9.09.304</v>
          </cell>
          <cell r="C1877" t="str">
            <v>Fazenda Vale Verde</v>
          </cell>
        </row>
        <row r="1878">
          <cell r="A1878">
            <v>13909305</v>
          </cell>
          <cell r="B1878" t="str">
            <v>1.3.9.09.305</v>
          </cell>
          <cell r="C1878" t="str">
            <v>7-Fazenda Tres Irmas I</v>
          </cell>
        </row>
        <row r="1879">
          <cell r="A1879">
            <v>13909306</v>
          </cell>
          <cell r="B1879" t="str">
            <v>1.3.9.09.306</v>
          </cell>
          <cell r="C1879" t="str">
            <v>5- Fazenda Santa Quiteria</v>
          </cell>
        </row>
        <row r="1880">
          <cell r="A1880">
            <v>13909307</v>
          </cell>
          <cell r="B1880" t="str">
            <v>1.3.9.09.307</v>
          </cell>
          <cell r="C1880" t="str">
            <v>5- Fazenda Cabana</v>
          </cell>
        </row>
        <row r="1881">
          <cell r="A1881">
            <v>13909308</v>
          </cell>
          <cell r="B1881" t="str">
            <v>1.3.9.09.308</v>
          </cell>
          <cell r="C1881" t="str">
            <v>5- Fazenda Nossa Senhora Aparecia</v>
          </cell>
        </row>
        <row r="1882">
          <cell r="A1882">
            <v>13909309</v>
          </cell>
          <cell r="B1882" t="str">
            <v>1.3.9.09.309</v>
          </cell>
          <cell r="C1882" t="str">
            <v>5- Fazenda Eldorado</v>
          </cell>
        </row>
        <row r="1883">
          <cell r="A1883">
            <v>13909310</v>
          </cell>
          <cell r="B1883" t="str">
            <v>1.3.9.09.310</v>
          </cell>
          <cell r="C1883" t="str">
            <v>5- Fazenda Sao Jose</v>
          </cell>
        </row>
        <row r="1884">
          <cell r="A1884">
            <v>13909311</v>
          </cell>
          <cell r="B1884" t="str">
            <v>1.3.9.09.311</v>
          </cell>
          <cell r="C1884" t="str">
            <v>9-Fazenda do Sam</v>
          </cell>
        </row>
        <row r="1885">
          <cell r="A1885">
            <v>13909312</v>
          </cell>
          <cell r="B1885" t="str">
            <v>1.3.9.09.312</v>
          </cell>
          <cell r="C1885" t="str">
            <v>9-Sitio Planalto</v>
          </cell>
        </row>
        <row r="1886">
          <cell r="A1886">
            <v>13909313</v>
          </cell>
          <cell r="B1886" t="str">
            <v>1.3.9.09.313</v>
          </cell>
          <cell r="C1886" t="str">
            <v>9-Sitio Tres Irmaos</v>
          </cell>
        </row>
        <row r="1887">
          <cell r="A1887">
            <v>13909314</v>
          </cell>
          <cell r="B1887" t="str">
            <v>1.3.9.09.314</v>
          </cell>
          <cell r="C1887" t="str">
            <v>5- Sítio São Jerônimo</v>
          </cell>
        </row>
        <row r="1888">
          <cell r="A1888">
            <v>13909315</v>
          </cell>
          <cell r="B1888" t="str">
            <v>1.3.9.09.315</v>
          </cell>
          <cell r="C1888" t="str">
            <v>Fazenda Jangadinha</v>
          </cell>
        </row>
        <row r="1889">
          <cell r="A1889">
            <v>13909316</v>
          </cell>
          <cell r="B1889" t="str">
            <v>1.3.9.09.316</v>
          </cell>
          <cell r="C1889" t="str">
            <v>Fazenda Santo Antonio I</v>
          </cell>
        </row>
        <row r="1890">
          <cell r="A1890">
            <v>13909317</v>
          </cell>
          <cell r="B1890" t="str">
            <v>1.3.9.09.317</v>
          </cell>
          <cell r="C1890" t="str">
            <v>Fazenda Boa Esperança</v>
          </cell>
        </row>
        <row r="1891">
          <cell r="A1891">
            <v>13909318</v>
          </cell>
          <cell r="B1891" t="str">
            <v>1.3.9.09.318</v>
          </cell>
          <cell r="C1891" t="str">
            <v>7- Fazenda Jacutinga</v>
          </cell>
        </row>
        <row r="1892">
          <cell r="A1892">
            <v>13909319</v>
          </cell>
          <cell r="B1892" t="str">
            <v>1.3.9.09.319</v>
          </cell>
          <cell r="C1892" t="str">
            <v>5- Fzda Irmaos Cavalcanti</v>
          </cell>
        </row>
        <row r="1893">
          <cell r="A1893">
            <v>13909320</v>
          </cell>
          <cell r="B1893" t="str">
            <v>1.3.9.09.320</v>
          </cell>
          <cell r="C1893" t="str">
            <v>5- Fzda Sul Matogrossense</v>
          </cell>
        </row>
        <row r="1894">
          <cell r="A1894">
            <v>13909321</v>
          </cell>
          <cell r="B1894" t="str">
            <v>1.3.9.09.321</v>
          </cell>
          <cell r="C1894" t="str">
            <v>5- Fzda Santo Terezinha</v>
          </cell>
        </row>
        <row r="1895">
          <cell r="A1895">
            <v>13909322</v>
          </cell>
          <cell r="B1895" t="str">
            <v>1.3.9.09.322</v>
          </cell>
          <cell r="C1895" t="str">
            <v>5- Fzda Campos e Flores</v>
          </cell>
        </row>
        <row r="1896">
          <cell r="A1896">
            <v>13909323</v>
          </cell>
          <cell r="B1896" t="str">
            <v>1.3.9.09.323</v>
          </cell>
          <cell r="C1896" t="str">
            <v>5- Fazenda Boa Sorte</v>
          </cell>
        </row>
        <row r="1897">
          <cell r="A1897">
            <v>13909324</v>
          </cell>
          <cell r="B1897" t="str">
            <v>1.3.9.09.324</v>
          </cell>
          <cell r="C1897" t="str">
            <v>Fazenda Santo Antonio II</v>
          </cell>
        </row>
        <row r="1898">
          <cell r="A1898">
            <v>13909325</v>
          </cell>
          <cell r="B1898" t="str">
            <v>1.3.9.09.325</v>
          </cell>
          <cell r="C1898" t="str">
            <v>Fazenda Promissão</v>
          </cell>
        </row>
        <row r="1899">
          <cell r="A1899">
            <v>13909326</v>
          </cell>
          <cell r="B1899" t="str">
            <v>1.3.9.09.326</v>
          </cell>
          <cell r="C1899" t="str">
            <v>Fazenda Terras JArdim</v>
          </cell>
        </row>
        <row r="1900">
          <cell r="A1900">
            <v>13909327</v>
          </cell>
          <cell r="B1900" t="str">
            <v>1.3.9.09.327</v>
          </cell>
          <cell r="C1900" t="str">
            <v>Estancia Esperanca</v>
          </cell>
        </row>
        <row r="1901">
          <cell r="A1901">
            <v>13909328</v>
          </cell>
          <cell r="B1901" t="str">
            <v>1.3.9.09.328</v>
          </cell>
          <cell r="C1901" t="str">
            <v>Fazenda Unialco I</v>
          </cell>
        </row>
        <row r="1902">
          <cell r="A1902">
            <v>13909329</v>
          </cell>
          <cell r="B1902" t="str">
            <v>1.3.9.09.329</v>
          </cell>
          <cell r="C1902" t="str">
            <v>Fazenda Santa Aurelia</v>
          </cell>
        </row>
        <row r="1903">
          <cell r="A1903">
            <v>13909330</v>
          </cell>
          <cell r="B1903" t="str">
            <v>1.3.9.09.330</v>
          </cell>
          <cell r="C1903" t="str">
            <v>7- Fazenda Dal Lago IV</v>
          </cell>
        </row>
        <row r="1904">
          <cell r="A1904">
            <v>13909331</v>
          </cell>
          <cell r="B1904" t="str">
            <v>1.3.9.09.331</v>
          </cell>
          <cell r="C1904" t="str">
            <v>7- Fazenda Rio Peroba</v>
          </cell>
        </row>
        <row r="1905">
          <cell r="A1905">
            <v>13909332</v>
          </cell>
          <cell r="B1905" t="str">
            <v>1.3.9.09.332</v>
          </cell>
          <cell r="C1905" t="str">
            <v>Fazenda Santa Helena</v>
          </cell>
        </row>
        <row r="1906">
          <cell r="A1906">
            <v>13909333</v>
          </cell>
          <cell r="B1906" t="str">
            <v>1.3.9.09.333</v>
          </cell>
          <cell r="C1906" t="str">
            <v>Fazenda Santa Barbara</v>
          </cell>
        </row>
        <row r="1907">
          <cell r="A1907">
            <v>13909334</v>
          </cell>
          <cell r="B1907" t="str">
            <v>1.3.9.09.334</v>
          </cell>
          <cell r="C1907" t="str">
            <v>Fazenda Volta Rica</v>
          </cell>
        </row>
        <row r="1908">
          <cell r="A1908">
            <v>13909335</v>
          </cell>
          <cell r="B1908" t="str">
            <v>1.3.9.09.335</v>
          </cell>
          <cell r="C1908" t="str">
            <v>9-Fazenda São Sebastião II</v>
          </cell>
        </row>
        <row r="1909">
          <cell r="A1909">
            <v>13909336</v>
          </cell>
          <cell r="B1909" t="str">
            <v>1.3.9.09.336</v>
          </cell>
          <cell r="C1909" t="str">
            <v>9-Chacara SLC</v>
          </cell>
        </row>
        <row r="1910">
          <cell r="A1910">
            <v>13909337</v>
          </cell>
          <cell r="B1910" t="str">
            <v>1.3.9.09.337</v>
          </cell>
          <cell r="C1910" t="str">
            <v>9-Fazenda Santa Ana</v>
          </cell>
        </row>
        <row r="1911">
          <cell r="A1911">
            <v>13909338</v>
          </cell>
          <cell r="B1911" t="str">
            <v>1.3.9.09.338</v>
          </cell>
          <cell r="C1911" t="str">
            <v>9-Fazenda Brasil</v>
          </cell>
        </row>
        <row r="1912">
          <cell r="A1912">
            <v>13909339</v>
          </cell>
          <cell r="B1912" t="str">
            <v>1.3.9.09.339</v>
          </cell>
          <cell r="C1912" t="str">
            <v>9-Fazenda Cangaçu</v>
          </cell>
        </row>
        <row r="1913">
          <cell r="A1913">
            <v>13909340</v>
          </cell>
          <cell r="B1913" t="str">
            <v>1.3.9.09.340</v>
          </cell>
          <cell r="C1913" t="str">
            <v>9-Fazenda Brasil II</v>
          </cell>
        </row>
        <row r="1914">
          <cell r="A1914">
            <v>13909341</v>
          </cell>
          <cell r="B1914" t="str">
            <v>1.3.9.09.341</v>
          </cell>
          <cell r="C1914" t="str">
            <v>9-Fazenda Sao Paulo</v>
          </cell>
        </row>
        <row r="1915">
          <cell r="A1915">
            <v>13909342</v>
          </cell>
          <cell r="B1915" t="str">
            <v>1.3.9.09.342</v>
          </cell>
          <cell r="C1915" t="str">
            <v>7-Fazenda Cristal</v>
          </cell>
        </row>
        <row r="1916">
          <cell r="A1916">
            <v>13909343</v>
          </cell>
          <cell r="B1916" t="str">
            <v>1.3.9.09.343</v>
          </cell>
          <cell r="C1916" t="str">
            <v>9-Sitio Bela Vista</v>
          </cell>
        </row>
        <row r="1917">
          <cell r="A1917">
            <v>13909344</v>
          </cell>
          <cell r="B1917" t="str">
            <v>1.3.9.09.344</v>
          </cell>
          <cell r="C1917" t="str">
            <v>9-Fazenda Sao Felix</v>
          </cell>
        </row>
        <row r="1918">
          <cell r="A1918">
            <v>13909345</v>
          </cell>
          <cell r="B1918" t="str">
            <v>1.3.9.09.345</v>
          </cell>
          <cell r="C1918" t="str">
            <v>9-Sitio Bela Vista III - Ilha Solt.</v>
          </cell>
        </row>
        <row r="1919">
          <cell r="A1919">
            <v>13909346</v>
          </cell>
          <cell r="B1919" t="str">
            <v>1.3.9.09.346</v>
          </cell>
          <cell r="C1919" t="str">
            <v>Sitio Primor</v>
          </cell>
        </row>
        <row r="1920">
          <cell r="A1920">
            <v>13909347</v>
          </cell>
          <cell r="B1920" t="str">
            <v>1.3.9.09.347</v>
          </cell>
          <cell r="C1920" t="str">
            <v>Estancia Santa Olga</v>
          </cell>
        </row>
        <row r="1921">
          <cell r="A1921">
            <v>13909348</v>
          </cell>
          <cell r="B1921" t="str">
            <v>1.3.9.09.348</v>
          </cell>
          <cell r="C1921" t="str">
            <v>Estancia Sao Francisco</v>
          </cell>
        </row>
        <row r="1922">
          <cell r="A1922">
            <v>13909349</v>
          </cell>
          <cell r="B1922" t="str">
            <v>1.3.9.09.349</v>
          </cell>
          <cell r="C1922" t="str">
            <v>Sitio Rio das Pedras</v>
          </cell>
        </row>
        <row r="1923">
          <cell r="A1923">
            <v>13909350</v>
          </cell>
          <cell r="B1923" t="str">
            <v>1.3.9.09.350</v>
          </cell>
          <cell r="C1923" t="str">
            <v>9-Frco Neto II</v>
          </cell>
        </row>
        <row r="1924">
          <cell r="A1924">
            <v>13909351</v>
          </cell>
          <cell r="B1924" t="str">
            <v>1.3.9.09.351</v>
          </cell>
          <cell r="C1924" t="str">
            <v>Fazenda Figueira II</v>
          </cell>
        </row>
        <row r="1925">
          <cell r="A1925">
            <v>13909352</v>
          </cell>
          <cell r="B1925" t="str">
            <v>1.3.9.09.352</v>
          </cell>
          <cell r="C1925" t="str">
            <v>Sitio São Pedro</v>
          </cell>
        </row>
        <row r="1926">
          <cell r="A1926">
            <v>13909353</v>
          </cell>
          <cell r="B1926" t="str">
            <v>1.3.9.09.353</v>
          </cell>
          <cell r="C1926" t="str">
            <v>9-Fazenda Bela Vista II - Aparecida</v>
          </cell>
        </row>
        <row r="1927">
          <cell r="A1927">
            <v>13909354</v>
          </cell>
          <cell r="B1927" t="str">
            <v>1.3.9.09.354</v>
          </cell>
          <cell r="C1927" t="str">
            <v>9-Estancia Lavinia</v>
          </cell>
        </row>
        <row r="1928">
          <cell r="A1928">
            <v>13909355</v>
          </cell>
          <cell r="B1928" t="str">
            <v>1.3.9.09.355</v>
          </cell>
          <cell r="C1928" t="str">
            <v>9-Sitio Santo Antonio</v>
          </cell>
        </row>
        <row r="1929">
          <cell r="A1929">
            <v>13909356</v>
          </cell>
          <cell r="B1929" t="str">
            <v>1.3.9.09.356</v>
          </cell>
          <cell r="C1929" t="str">
            <v>9-Sitio Morumbi</v>
          </cell>
        </row>
        <row r="1930">
          <cell r="A1930">
            <v>13909357</v>
          </cell>
          <cell r="B1930" t="str">
            <v>1.3.9.09.357</v>
          </cell>
          <cell r="C1930" t="str">
            <v>Sitio Izabel II</v>
          </cell>
        </row>
        <row r="1931">
          <cell r="A1931">
            <v>13909358</v>
          </cell>
          <cell r="B1931" t="str">
            <v>1.3.9.09.358</v>
          </cell>
          <cell r="C1931" t="str">
            <v>Fazenda Santa Luiza</v>
          </cell>
        </row>
        <row r="1932">
          <cell r="A1932">
            <v>13909359</v>
          </cell>
          <cell r="B1932" t="str">
            <v>1.3.9.09.359</v>
          </cell>
          <cell r="C1932" t="str">
            <v>Sitio Sao Joao</v>
          </cell>
        </row>
        <row r="1933">
          <cell r="A1933">
            <v>13909360</v>
          </cell>
          <cell r="B1933" t="str">
            <v>1.3.9.09.360</v>
          </cell>
          <cell r="C1933" t="str">
            <v>Fazenda Rio Preto</v>
          </cell>
        </row>
        <row r="1934">
          <cell r="A1934">
            <v>13909361</v>
          </cell>
          <cell r="B1934" t="str">
            <v>1.3.9.09.361</v>
          </cell>
          <cell r="C1934" t="str">
            <v>Estancia Regina</v>
          </cell>
        </row>
        <row r="1935">
          <cell r="A1935">
            <v>13909362</v>
          </cell>
          <cell r="B1935" t="str">
            <v>1.3.9.09.362</v>
          </cell>
          <cell r="C1935" t="str">
            <v>Fazenda Esperança</v>
          </cell>
        </row>
        <row r="1936">
          <cell r="A1936">
            <v>13909363</v>
          </cell>
          <cell r="B1936" t="str">
            <v>1.3.9.09.363</v>
          </cell>
          <cell r="C1936" t="str">
            <v>10A- Fazenda São João - Carimbé.</v>
          </cell>
        </row>
        <row r="1937">
          <cell r="A1937">
            <v>13909364</v>
          </cell>
          <cell r="B1937" t="str">
            <v>1.3.9.09.364</v>
          </cell>
          <cell r="C1937" t="str">
            <v>10A- Fazenda Vale Verde</v>
          </cell>
        </row>
        <row r="1938">
          <cell r="A1938">
            <v>13909365</v>
          </cell>
          <cell r="B1938" t="str">
            <v>1.3.9.09.365</v>
          </cell>
          <cell r="C1938" t="str">
            <v>Fazenda Nunes</v>
          </cell>
        </row>
        <row r="1939">
          <cell r="A1939">
            <v>13909366</v>
          </cell>
          <cell r="B1939" t="str">
            <v>1.3.9.09.366</v>
          </cell>
          <cell r="C1939" t="str">
            <v>Estancia Lucia</v>
          </cell>
        </row>
        <row r="1940">
          <cell r="A1940">
            <v>13909367</v>
          </cell>
          <cell r="B1940" t="str">
            <v>1.3.9.09.367</v>
          </cell>
          <cell r="C1940" t="str">
            <v>Fazenda Tangará</v>
          </cell>
        </row>
        <row r="1941">
          <cell r="A1941">
            <v>13909368</v>
          </cell>
          <cell r="B1941" t="str">
            <v>1.3.9.09.368</v>
          </cell>
          <cell r="C1941" t="str">
            <v>Fazenda Conquista</v>
          </cell>
        </row>
        <row r="1942">
          <cell r="A1942">
            <v>13909369</v>
          </cell>
          <cell r="B1942" t="str">
            <v>1.3.9.09.369</v>
          </cell>
          <cell r="C1942" t="str">
            <v>5- Faazenda Jardim</v>
          </cell>
        </row>
        <row r="1943">
          <cell r="A1943">
            <v>13909370</v>
          </cell>
          <cell r="B1943" t="str">
            <v>1.3.9.09.370</v>
          </cell>
          <cell r="C1943" t="str">
            <v>9-Sitio Santa Izabel</v>
          </cell>
        </row>
        <row r="1944">
          <cell r="A1944">
            <v>13909371</v>
          </cell>
          <cell r="B1944" t="str">
            <v>1.3.9.09.371</v>
          </cell>
          <cell r="C1944" t="str">
            <v>9-Sitio Bom Retiro</v>
          </cell>
        </row>
        <row r="1945">
          <cell r="A1945">
            <v>13909372</v>
          </cell>
          <cell r="B1945" t="str">
            <v>1.3.9.09.372</v>
          </cell>
          <cell r="C1945" t="str">
            <v>Fazenda Crioula</v>
          </cell>
        </row>
        <row r="1946">
          <cell r="A1946">
            <v>13909373</v>
          </cell>
          <cell r="B1946" t="str">
            <v>1.3.9.09.373</v>
          </cell>
          <cell r="C1946" t="str">
            <v>Fazenda Taperão</v>
          </cell>
        </row>
        <row r="1947">
          <cell r="A1947">
            <v>13909374</v>
          </cell>
          <cell r="B1947" t="str">
            <v>1.3.9.09.374</v>
          </cell>
          <cell r="C1947" t="str">
            <v>9-Fazenda Jatobá</v>
          </cell>
        </row>
        <row r="1948">
          <cell r="A1948">
            <v>13909375</v>
          </cell>
          <cell r="B1948" t="str">
            <v>1.3.9.09.375</v>
          </cell>
          <cell r="C1948" t="str">
            <v>9-Fazenda Jóia</v>
          </cell>
        </row>
        <row r="1949">
          <cell r="A1949">
            <v>13909376</v>
          </cell>
          <cell r="B1949" t="str">
            <v>1.3.9.09.376</v>
          </cell>
          <cell r="C1949" t="str">
            <v>9-Sitio PAraiso</v>
          </cell>
        </row>
        <row r="1950">
          <cell r="A1950">
            <v>13909377</v>
          </cell>
          <cell r="B1950" t="str">
            <v>1.3.9.09.377</v>
          </cell>
          <cell r="C1950" t="str">
            <v>9-Fz.N.Sra Aparecida III</v>
          </cell>
        </row>
        <row r="1951">
          <cell r="A1951">
            <v>13909378</v>
          </cell>
          <cell r="B1951" t="str">
            <v>1.3.9.09.378</v>
          </cell>
          <cell r="C1951" t="str">
            <v>9-Sitio Fugimoto</v>
          </cell>
        </row>
        <row r="1952">
          <cell r="A1952">
            <v>13909379</v>
          </cell>
          <cell r="B1952" t="str">
            <v>1.3.9.09.379</v>
          </cell>
          <cell r="C1952" t="str">
            <v>Fazenda Dois Corações</v>
          </cell>
        </row>
        <row r="1953">
          <cell r="A1953">
            <v>13909380</v>
          </cell>
          <cell r="B1953" t="str">
            <v>1.3.9.09.380</v>
          </cell>
          <cell r="C1953" t="str">
            <v>Fazenda Santa Barbara</v>
          </cell>
        </row>
        <row r="1954">
          <cell r="A1954">
            <v>13909381</v>
          </cell>
          <cell r="B1954" t="str">
            <v>1.3.9.09.381</v>
          </cell>
          <cell r="C1954" t="str">
            <v>Fazenda Sao Sebastiao I</v>
          </cell>
        </row>
        <row r="1955">
          <cell r="A1955">
            <v>13909382</v>
          </cell>
          <cell r="B1955" t="str">
            <v>1.3.9.09.382</v>
          </cell>
          <cell r="C1955" t="str">
            <v>7- Fazenda Jatoba I</v>
          </cell>
        </row>
        <row r="1956">
          <cell r="A1956">
            <v>13909383</v>
          </cell>
          <cell r="B1956" t="str">
            <v>1.3.9.09.383</v>
          </cell>
          <cell r="C1956" t="str">
            <v>9-Fazenda Bacury</v>
          </cell>
        </row>
        <row r="1957">
          <cell r="A1957">
            <v>13909384</v>
          </cell>
          <cell r="B1957" t="str">
            <v>1.3.9.09.384</v>
          </cell>
          <cell r="C1957" t="str">
            <v>Fazenda Liberdade</v>
          </cell>
        </row>
        <row r="1958">
          <cell r="A1958">
            <v>13909385</v>
          </cell>
          <cell r="B1958" t="str">
            <v>1.3.9.09.385</v>
          </cell>
          <cell r="C1958" t="str">
            <v>9-Sitio Sao Paulo</v>
          </cell>
        </row>
        <row r="1959">
          <cell r="A1959">
            <v>13909386</v>
          </cell>
          <cell r="B1959" t="str">
            <v>1.3.9.09.386</v>
          </cell>
          <cell r="C1959" t="str">
            <v>Fazenda Camaru</v>
          </cell>
        </row>
        <row r="1960">
          <cell r="A1960">
            <v>13909387</v>
          </cell>
          <cell r="B1960" t="str">
            <v>1.3.9.09.387</v>
          </cell>
          <cell r="C1960" t="str">
            <v>Fazenda Bem-Te-Vi</v>
          </cell>
        </row>
        <row r="1961">
          <cell r="A1961">
            <v>13909388</v>
          </cell>
          <cell r="B1961" t="str">
            <v>1.3.9.09.388</v>
          </cell>
          <cell r="C1961" t="str">
            <v>7- Fazenda Nossa Senhora Aparecida</v>
          </cell>
        </row>
        <row r="1962">
          <cell r="A1962">
            <v>13909389</v>
          </cell>
          <cell r="B1962" t="str">
            <v>1.3.9.09.389</v>
          </cell>
          <cell r="C1962" t="str">
            <v>7- Fazenda Sao Jose do Desterro</v>
          </cell>
        </row>
        <row r="1963">
          <cell r="A1963">
            <v>13909390</v>
          </cell>
          <cell r="B1963" t="str">
            <v>1.3.9.09.390</v>
          </cell>
          <cell r="C1963" t="str">
            <v>7- Fazenda Tres Meninos</v>
          </cell>
        </row>
        <row r="1964">
          <cell r="A1964">
            <v>13909391</v>
          </cell>
          <cell r="B1964" t="str">
            <v>1.3.9.09.391</v>
          </cell>
          <cell r="C1964" t="str">
            <v>Fazenda Fortaleza</v>
          </cell>
        </row>
        <row r="1965">
          <cell r="A1965">
            <v>13909392</v>
          </cell>
          <cell r="B1965" t="str">
            <v>1.3.9.09.392</v>
          </cell>
          <cell r="C1965" t="str">
            <v>7- Fazenda São José do Desterro I</v>
          </cell>
        </row>
        <row r="1966">
          <cell r="A1966">
            <v>13909393</v>
          </cell>
          <cell r="B1966" t="str">
            <v>1.3.9.09.393</v>
          </cell>
          <cell r="C1966" t="str">
            <v>7- Fazenda Santa Madalena</v>
          </cell>
        </row>
        <row r="1967">
          <cell r="A1967">
            <v>13909394</v>
          </cell>
          <cell r="B1967" t="str">
            <v>1.3.9.09.394</v>
          </cell>
          <cell r="C1967" t="str">
            <v>5- Fazenda Por do Sol (3127)</v>
          </cell>
        </row>
        <row r="1968">
          <cell r="A1968">
            <v>13909395</v>
          </cell>
          <cell r="B1968" t="str">
            <v>1.3.9.09.395</v>
          </cell>
          <cell r="C1968" t="str">
            <v>5- Fazenda Santa Helena (3116_</v>
          </cell>
        </row>
        <row r="1969">
          <cell r="A1969">
            <v>13909396</v>
          </cell>
          <cell r="B1969" t="str">
            <v>1.3.9.09.396</v>
          </cell>
          <cell r="C1969" t="str">
            <v>5- Fazenda N.Senhora Aparecida (3142)</v>
          </cell>
        </row>
        <row r="1970">
          <cell r="A1970">
            <v>13909397</v>
          </cell>
          <cell r="B1970" t="str">
            <v>1.3.9.09.397</v>
          </cell>
          <cell r="C1970" t="str">
            <v>5- Fazenda Gavea (3120)</v>
          </cell>
        </row>
        <row r="1971">
          <cell r="A1971">
            <v>13909398</v>
          </cell>
          <cell r="B1971" t="str">
            <v>1.3.9.09.398</v>
          </cell>
          <cell r="C1971" t="str">
            <v>7- Fazenda Santa MAria</v>
          </cell>
        </row>
        <row r="1972">
          <cell r="A1972">
            <v>13909399</v>
          </cell>
          <cell r="B1972" t="str">
            <v>1.3.9.09.399</v>
          </cell>
          <cell r="C1972" t="str">
            <v>7- Fazenda Quevedo II</v>
          </cell>
        </row>
        <row r="1973">
          <cell r="A1973">
            <v>13909400</v>
          </cell>
          <cell r="B1973" t="str">
            <v>1.3.9.09.400</v>
          </cell>
          <cell r="C1973" t="str">
            <v>9-Fazenda Nossa Senhora Aparecida I</v>
          </cell>
        </row>
        <row r="1974">
          <cell r="A1974">
            <v>13909401</v>
          </cell>
          <cell r="B1974" t="str">
            <v>1.3.9.09.401</v>
          </cell>
          <cell r="C1974" t="str">
            <v>7- Fazenda Carioca III</v>
          </cell>
        </row>
        <row r="1975">
          <cell r="A1975">
            <v>13909402</v>
          </cell>
          <cell r="B1975" t="str">
            <v>1.3.9.09.402</v>
          </cell>
          <cell r="C1975" t="str">
            <v>7- Fazenda Jatobá II</v>
          </cell>
        </row>
        <row r="1976">
          <cell r="A1976">
            <v>13909403</v>
          </cell>
          <cell r="B1976" t="str">
            <v>1.3.9.09.403</v>
          </cell>
          <cell r="C1976" t="str">
            <v>7- Fazenda Tres Irmas II</v>
          </cell>
        </row>
        <row r="1977">
          <cell r="A1977">
            <v>13909404</v>
          </cell>
          <cell r="B1977" t="str">
            <v>1.3.9.09.404</v>
          </cell>
          <cell r="C1977" t="str">
            <v>7- Fazenda Sao Jose do Desterro II</v>
          </cell>
        </row>
        <row r="1978">
          <cell r="A1978">
            <v>13909405</v>
          </cell>
          <cell r="B1978" t="str">
            <v>1.3.9.09.405</v>
          </cell>
          <cell r="C1978" t="str">
            <v>9-Fazenda Guanabara I</v>
          </cell>
        </row>
        <row r="1979">
          <cell r="A1979">
            <v>13909406</v>
          </cell>
          <cell r="B1979" t="str">
            <v>1.3.9.09.406</v>
          </cell>
          <cell r="C1979" t="str">
            <v>Fazenda Duas Estrelas</v>
          </cell>
        </row>
        <row r="1980">
          <cell r="A1980">
            <v>13909407</v>
          </cell>
          <cell r="B1980" t="str">
            <v>1.3.9.09.407</v>
          </cell>
          <cell r="C1980" t="str">
            <v>Estancia Mendes</v>
          </cell>
        </row>
        <row r="1981">
          <cell r="A1981">
            <v>13909408</v>
          </cell>
          <cell r="B1981" t="str">
            <v>1.3.9.09.408</v>
          </cell>
          <cell r="C1981" t="str">
            <v>9-Fazenda Guanabara II</v>
          </cell>
        </row>
        <row r="1982">
          <cell r="A1982">
            <v>13909409</v>
          </cell>
          <cell r="B1982" t="str">
            <v>1.3.9.09.409</v>
          </cell>
          <cell r="C1982" t="str">
            <v>9-Chacara Maria Rosa</v>
          </cell>
        </row>
        <row r="1983">
          <cell r="A1983">
            <v>13909410</v>
          </cell>
          <cell r="B1983" t="str">
            <v>1.3.9.09.410</v>
          </cell>
          <cell r="C1983" t="str">
            <v>9-Estancia Joao Lazinho</v>
          </cell>
        </row>
        <row r="1984">
          <cell r="A1984">
            <v>13909411</v>
          </cell>
          <cell r="B1984" t="str">
            <v>1.3.9.09.411</v>
          </cell>
          <cell r="C1984" t="str">
            <v>Fazenda Nossa Senhora do Carmo</v>
          </cell>
        </row>
        <row r="1985">
          <cell r="A1985">
            <v>13909412</v>
          </cell>
          <cell r="B1985" t="str">
            <v>1.3.9.09.412</v>
          </cell>
          <cell r="C1985" t="str">
            <v>9-Fazenda Nossa Senhora Aparecida II</v>
          </cell>
        </row>
        <row r="1986">
          <cell r="A1986">
            <v>13909413</v>
          </cell>
          <cell r="B1986" t="str">
            <v>1.3.9.09.413</v>
          </cell>
          <cell r="C1986" t="str">
            <v>Fazenda Esperanca (CIntia)</v>
          </cell>
        </row>
        <row r="1987">
          <cell r="A1987">
            <v>13909414</v>
          </cell>
          <cell r="B1987" t="str">
            <v>1.3.9.09.414</v>
          </cell>
          <cell r="C1987" t="str">
            <v>5-Fazenda Heranca</v>
          </cell>
        </row>
        <row r="1988">
          <cell r="A1988">
            <v>13909415</v>
          </cell>
          <cell r="B1988" t="str">
            <v>1.3.9.09.415</v>
          </cell>
          <cell r="C1988" t="str">
            <v>Sitio Sao Sebastiao II</v>
          </cell>
        </row>
        <row r="1989">
          <cell r="A1989">
            <v>13909416</v>
          </cell>
          <cell r="B1989" t="str">
            <v>1.3.9.09.416</v>
          </cell>
          <cell r="C1989" t="str">
            <v>Fazenda Caru I</v>
          </cell>
        </row>
        <row r="1990">
          <cell r="A1990">
            <v>13909417</v>
          </cell>
          <cell r="B1990" t="str">
            <v>1.3.9.09.417</v>
          </cell>
          <cell r="C1990" t="str">
            <v>Fazenda Caru III e IV</v>
          </cell>
        </row>
        <row r="1991">
          <cell r="A1991">
            <v>13909418</v>
          </cell>
          <cell r="B1991" t="str">
            <v>1.3.9.09.418</v>
          </cell>
          <cell r="C1991" t="str">
            <v>9-Fazenda Brasil III</v>
          </cell>
        </row>
        <row r="1992">
          <cell r="A1992">
            <v>13909419</v>
          </cell>
          <cell r="B1992" t="str">
            <v>1.3.9.09.419</v>
          </cell>
          <cell r="C1992" t="str">
            <v>9-Fazenda Santa tereza</v>
          </cell>
        </row>
        <row r="1993">
          <cell r="A1993">
            <v>13909420</v>
          </cell>
          <cell r="B1993" t="str">
            <v>1.3.9.09.420</v>
          </cell>
          <cell r="C1993" t="str">
            <v>9-Sitio Emilia</v>
          </cell>
        </row>
        <row r="1994">
          <cell r="A1994">
            <v>13909421</v>
          </cell>
          <cell r="B1994" t="str">
            <v>1.3.9.09.421</v>
          </cell>
          <cell r="C1994" t="str">
            <v>9-Sitio Professor Mauro</v>
          </cell>
        </row>
        <row r="1995">
          <cell r="A1995">
            <v>13909422</v>
          </cell>
          <cell r="B1995" t="str">
            <v>1.3.9.09.422</v>
          </cell>
          <cell r="C1995" t="str">
            <v>9-Fazenda Cova da Onca</v>
          </cell>
        </row>
        <row r="1996">
          <cell r="A1996">
            <v>13909423</v>
          </cell>
          <cell r="B1996" t="str">
            <v>1.3.9.09.423</v>
          </cell>
          <cell r="C1996" t="str">
            <v>9-Fazenda Dois Rios</v>
          </cell>
        </row>
        <row r="1997">
          <cell r="A1997">
            <v>13909424</v>
          </cell>
          <cell r="B1997" t="str">
            <v>1.3.9.09.424</v>
          </cell>
          <cell r="C1997" t="str">
            <v>Fazenda Jangadeiro</v>
          </cell>
        </row>
        <row r="1998">
          <cell r="A1998">
            <v>13909425</v>
          </cell>
          <cell r="B1998" t="str">
            <v>1.3.9.09.425</v>
          </cell>
          <cell r="C1998" t="str">
            <v>Fazenda Nunes 3</v>
          </cell>
        </row>
        <row r="1999">
          <cell r="A1999">
            <v>13909499</v>
          </cell>
          <cell r="B1999" t="str">
            <v>1.3.9.09.499</v>
          </cell>
          <cell r="C1999" t="str">
            <v>Depreciação Acumulada - CPC29- RTT</v>
          </cell>
        </row>
        <row r="2000">
          <cell r="A2000">
            <v>14000000</v>
          </cell>
          <cell r="B2000" t="str">
            <v>1.4.0.00.000</v>
          </cell>
          <cell r="C2000" t="str">
            <v>DIFERIDO</v>
          </cell>
        </row>
        <row r="2001">
          <cell r="A2001">
            <v>14100000</v>
          </cell>
          <cell r="B2001" t="str">
            <v>1.4.1.00.000</v>
          </cell>
          <cell r="C2001" t="str">
            <v>DIFERIDO</v>
          </cell>
        </row>
        <row r="2002">
          <cell r="A2002">
            <v>14101000</v>
          </cell>
          <cell r="B2002" t="str">
            <v>1.4.1.01.000</v>
          </cell>
          <cell r="C2002" t="str">
            <v>DESPESAS PRE-OPERACIONAIS</v>
          </cell>
        </row>
        <row r="2003">
          <cell r="A2003">
            <v>14101100</v>
          </cell>
          <cell r="B2003" t="str">
            <v>1.4.1.01.100</v>
          </cell>
          <cell r="C2003" t="str">
            <v>DESPESAS PRE-OPERACIONAIS</v>
          </cell>
        </row>
        <row r="2004">
          <cell r="A2004">
            <v>14101101</v>
          </cell>
          <cell r="B2004" t="str">
            <v>1.4.1.01.101</v>
          </cell>
          <cell r="C2004" t="str">
            <v>Fabrica de acucar</v>
          </cell>
        </row>
        <row r="2005">
          <cell r="A2005">
            <v>14101102</v>
          </cell>
          <cell r="B2005" t="str">
            <v>1.4.1.01.102</v>
          </cell>
          <cell r="C2005" t="str">
            <v>Fabrica de acucar apos 95</v>
          </cell>
        </row>
        <row r="2006">
          <cell r="A2006">
            <v>14101103</v>
          </cell>
          <cell r="B2006" t="str">
            <v>1.4.1.01.103</v>
          </cell>
          <cell r="C2006" t="str">
            <v>Despesas Administrativas</v>
          </cell>
        </row>
        <row r="2007">
          <cell r="A2007">
            <v>14101104</v>
          </cell>
          <cell r="B2007" t="str">
            <v>1.4.1.01.104</v>
          </cell>
          <cell r="C2007" t="str">
            <v>Despesas Reforma Escritorio</v>
          </cell>
        </row>
        <row r="2008">
          <cell r="A2008">
            <v>14101105</v>
          </cell>
          <cell r="B2008" t="str">
            <v>1.4.1.01.105</v>
          </cell>
          <cell r="C2008" t="str">
            <v>Despesas Reforma Prediso Industriais</v>
          </cell>
        </row>
        <row r="2009">
          <cell r="A2009">
            <v>14101106</v>
          </cell>
          <cell r="B2009" t="str">
            <v>1.4.1.01.106</v>
          </cell>
          <cell r="C2009" t="str">
            <v>Despesas Industriais</v>
          </cell>
        </row>
        <row r="2010">
          <cell r="A2010">
            <v>14101200</v>
          </cell>
          <cell r="B2010" t="str">
            <v>1.4.1.01.200</v>
          </cell>
          <cell r="C2010" t="str">
            <v>AMORTIZACAO DO DIFERIDO</v>
          </cell>
        </row>
        <row r="2011">
          <cell r="A2011">
            <v>14101201</v>
          </cell>
          <cell r="B2011" t="str">
            <v>1.4.1.01.201</v>
          </cell>
          <cell r="C2011" t="str">
            <v>Despesas Pre-Operacionais Dedutiveis</v>
          </cell>
        </row>
        <row r="2012">
          <cell r="A2012">
            <v>14101202</v>
          </cell>
          <cell r="B2012" t="str">
            <v>1.4.1.01.202</v>
          </cell>
          <cell r="C2012" t="str">
            <v>Despesas Administrativas</v>
          </cell>
        </row>
        <row r="2013">
          <cell r="A2013">
            <v>14101203</v>
          </cell>
          <cell r="B2013" t="str">
            <v>1.4.1.01.203</v>
          </cell>
          <cell r="C2013" t="str">
            <v>Despesas Industrias</v>
          </cell>
        </row>
        <row r="2014">
          <cell r="A2014">
            <v>15100000</v>
          </cell>
          <cell r="B2014" t="str">
            <v>1.5.1.00.000</v>
          </cell>
          <cell r="C2014" t="str">
            <v>ATIVO BIOLOGICO</v>
          </cell>
        </row>
        <row r="2015">
          <cell r="A2015">
            <v>15101000</v>
          </cell>
          <cell r="B2015" t="str">
            <v>1.5.1.01.000</v>
          </cell>
          <cell r="C2015" t="str">
            <v>ATIVO BIOLOGICO</v>
          </cell>
        </row>
        <row r="2016">
          <cell r="A2016">
            <v>15101100</v>
          </cell>
          <cell r="B2016" t="str">
            <v>1.5.1.01.100</v>
          </cell>
          <cell r="C2016" t="str">
            <v>ATIVO BIOLOGICO</v>
          </cell>
        </row>
        <row r="2017">
          <cell r="A2017">
            <v>15101101</v>
          </cell>
          <cell r="B2017" t="str">
            <v>1.5.1.01.101</v>
          </cell>
          <cell r="C2017" t="str">
            <v>ATIVO BIOLOGICO</v>
          </cell>
        </row>
        <row r="2018">
          <cell r="A2018">
            <v>15101200</v>
          </cell>
          <cell r="B2018" t="str">
            <v>1.5.1.01.200</v>
          </cell>
          <cell r="C2018" t="str">
            <v>DEPRECIAÇÃO ATIVO BIOLOGICO</v>
          </cell>
        </row>
        <row r="2019">
          <cell r="A2019">
            <v>15101201</v>
          </cell>
          <cell r="B2019" t="str">
            <v>1.5.1.01.201</v>
          </cell>
          <cell r="C2019" t="str">
            <v>DEPRECIAÇÃO ATIVO BIOLOGICO</v>
          </cell>
        </row>
        <row r="2020">
          <cell r="A2020">
            <v>19000000</v>
          </cell>
          <cell r="B2020" t="str">
            <v>1.9.0.00.000</v>
          </cell>
          <cell r="C2020" t="str">
            <v>TRANSITORIA DE AJUSTE DO ATIVO</v>
          </cell>
        </row>
        <row r="2021">
          <cell r="A2021">
            <v>19100000</v>
          </cell>
          <cell r="B2021" t="str">
            <v>1.9.1.00.000</v>
          </cell>
          <cell r="C2021" t="str">
            <v>TRANSITORIA DE AJUSTE DO ATIVO</v>
          </cell>
        </row>
        <row r="2022">
          <cell r="A2022">
            <v>19101000</v>
          </cell>
          <cell r="B2022" t="str">
            <v>1.9.1.01.000</v>
          </cell>
          <cell r="C2022" t="str">
            <v>TRANSITORIA DE AJUSTE DO ATIVO</v>
          </cell>
        </row>
        <row r="2023">
          <cell r="A2023">
            <v>19101001</v>
          </cell>
          <cell r="B2023" t="str">
            <v>1.9.1.01.001</v>
          </cell>
          <cell r="C2023" t="str">
            <v>Transitoria de Ajuste do Ativo</v>
          </cell>
        </row>
        <row r="2024">
          <cell r="A2024">
            <v>20000000</v>
          </cell>
          <cell r="B2024" t="str">
            <v>2.0.0.00.000</v>
          </cell>
          <cell r="C2024" t="str">
            <v>PASSIVO</v>
          </cell>
        </row>
        <row r="2025">
          <cell r="A2025">
            <v>21000000</v>
          </cell>
          <cell r="B2025" t="str">
            <v>2.1.0.00.000</v>
          </cell>
          <cell r="C2025" t="str">
            <v>PASSIVO CIRCULANTE</v>
          </cell>
        </row>
        <row r="2026">
          <cell r="A2026">
            <v>21100000</v>
          </cell>
          <cell r="B2026" t="str">
            <v>2.1.1.00.000</v>
          </cell>
          <cell r="C2026" t="str">
            <v>CIRCULANTE</v>
          </cell>
        </row>
        <row r="2027">
          <cell r="A2027">
            <v>21101000</v>
          </cell>
          <cell r="B2027" t="str">
            <v>2.1.1.01.000</v>
          </cell>
          <cell r="C2027" t="str">
            <v>FORNECEDORES DE CANA-DE ACUCAR</v>
          </cell>
        </row>
        <row r="2028">
          <cell r="A2028">
            <v>21101100</v>
          </cell>
          <cell r="B2028" t="str">
            <v>2.1.1.01.100</v>
          </cell>
          <cell r="C2028" t="str">
            <v>FORNECED. CANA-DE-ACUCAR  ACIONISTAS</v>
          </cell>
        </row>
        <row r="2029">
          <cell r="A2029">
            <v>21101101</v>
          </cell>
          <cell r="B2029" t="str">
            <v>2.1.1.01.101</v>
          </cell>
          <cell r="C2029" t="str">
            <v>Forneced.Cana-De-Açucar-Acionistas</v>
          </cell>
        </row>
        <row r="2030">
          <cell r="A2030">
            <v>21101135</v>
          </cell>
          <cell r="B2030" t="str">
            <v>2.1.1.01.135</v>
          </cell>
          <cell r="C2030" t="str">
            <v>RTT -Financiamento (renegociação)</v>
          </cell>
        </row>
        <row r="2031">
          <cell r="A2031">
            <v>21101200</v>
          </cell>
          <cell r="B2031" t="str">
            <v>2.1.1.01.200</v>
          </cell>
          <cell r="C2031" t="str">
            <v>FORNECED. CANA-DE-ACUCAR  PARCERIA</v>
          </cell>
        </row>
        <row r="2032">
          <cell r="A2032">
            <v>21101201</v>
          </cell>
          <cell r="B2032" t="str">
            <v>2.1.1.01.201</v>
          </cell>
          <cell r="C2032" t="str">
            <v>Forneced.Cana-De-Açucar-Parceria</v>
          </cell>
        </row>
        <row r="2033">
          <cell r="A2033">
            <v>21101300</v>
          </cell>
          <cell r="B2033" t="str">
            <v>2.1.1.01.300</v>
          </cell>
          <cell r="C2033" t="str">
            <v>FORNECED. E ACIONISTAS DE CANA-DE-ACUCAR</v>
          </cell>
        </row>
        <row r="2034">
          <cell r="A2034">
            <v>21101301</v>
          </cell>
          <cell r="B2034" t="str">
            <v>2.1.1.01.301</v>
          </cell>
          <cell r="C2034" t="str">
            <v>Forneced. e acionistas Cana-De-Açucar</v>
          </cell>
        </row>
        <row r="2035">
          <cell r="A2035">
            <v>21101400</v>
          </cell>
          <cell r="B2035" t="str">
            <v>2.1.1.01.400</v>
          </cell>
          <cell r="C2035" t="str">
            <v>PROVISÃO ATR ACIONISTAS</v>
          </cell>
        </row>
        <row r="2036">
          <cell r="A2036">
            <v>21101401</v>
          </cell>
          <cell r="B2036" t="str">
            <v>2.1.1.01.401</v>
          </cell>
          <cell r="C2036" t="str">
            <v>Provisão Atr Acionistas</v>
          </cell>
        </row>
        <row r="2037">
          <cell r="A2037">
            <v>21101500</v>
          </cell>
          <cell r="B2037" t="str">
            <v>2.1.1.01.500</v>
          </cell>
          <cell r="C2037" t="str">
            <v>FORNEC DE CANA ACIONISTAS SAFRA 05/06</v>
          </cell>
        </row>
        <row r="2038">
          <cell r="A2038">
            <v>21101501</v>
          </cell>
          <cell r="B2038" t="str">
            <v>2.1.1.01.501</v>
          </cell>
          <cell r="C2038" t="str">
            <v>Fornec de Cana Acionistas Safra 05/06</v>
          </cell>
        </row>
        <row r="2039">
          <cell r="A2039">
            <v>21102000</v>
          </cell>
          <cell r="B2039" t="str">
            <v>2.1.1.02.000</v>
          </cell>
          <cell r="C2039" t="str">
            <v>FORNECEDORES DE MAT. E SERVICOS</v>
          </cell>
        </row>
        <row r="2040">
          <cell r="A2040">
            <v>21102100</v>
          </cell>
          <cell r="B2040" t="str">
            <v>2.1.1.02.100</v>
          </cell>
          <cell r="C2040" t="str">
            <v>FORNECEDORES DE MATERIAIS</v>
          </cell>
        </row>
        <row r="2041">
          <cell r="A2041">
            <v>21102101</v>
          </cell>
          <cell r="B2041" t="str">
            <v>2.1.1.02.101</v>
          </cell>
          <cell r="C2041" t="str">
            <v>Fornecedores</v>
          </cell>
        </row>
        <row r="2042">
          <cell r="A2042">
            <v>21102102</v>
          </cell>
          <cell r="B2042" t="str">
            <v>2.1.1.02.102</v>
          </cell>
          <cell r="C2042" t="str">
            <v>Passivo Descoberto Unimodal</v>
          </cell>
        </row>
        <row r="2043">
          <cell r="A2043">
            <v>21102103</v>
          </cell>
          <cell r="B2043" t="str">
            <v>2.1.1.02.103</v>
          </cell>
          <cell r="C2043" t="str">
            <v>Fornecedores Diversos</v>
          </cell>
        </row>
        <row r="2044">
          <cell r="A2044">
            <v>21102104</v>
          </cell>
          <cell r="B2044" t="str">
            <v>2.1.1.02.104</v>
          </cell>
          <cell r="C2044" t="str">
            <v>Contas a Pagar Cana Acionistas</v>
          </cell>
        </row>
        <row r="2045">
          <cell r="A2045">
            <v>21102105</v>
          </cell>
          <cell r="B2045" t="str">
            <v>2.1.1.02.105</v>
          </cell>
          <cell r="C2045" t="str">
            <v>Provisão Cana</v>
          </cell>
        </row>
        <row r="2046">
          <cell r="A2046">
            <v>21102107</v>
          </cell>
          <cell r="B2046" t="str">
            <v>2.1.1.02.107</v>
          </cell>
          <cell r="C2046" t="str">
            <v>Fornecedores - AVP lei 11.638</v>
          </cell>
        </row>
        <row r="2047">
          <cell r="A2047">
            <v>21102200</v>
          </cell>
          <cell r="B2047" t="str">
            <v>2.1.1.02.200</v>
          </cell>
          <cell r="C2047" t="str">
            <v>FORNECEDORES DE SERVICOS</v>
          </cell>
        </row>
        <row r="2048">
          <cell r="A2048">
            <v>21102201</v>
          </cell>
          <cell r="B2048" t="str">
            <v>2.1.1.02.201</v>
          </cell>
          <cell r="C2048" t="str">
            <v>Fornecedores De Serviços</v>
          </cell>
        </row>
        <row r="2049">
          <cell r="A2049">
            <v>21102300</v>
          </cell>
          <cell r="B2049" t="str">
            <v>2.1.1.02.300</v>
          </cell>
          <cell r="C2049" t="str">
            <v>FORNECEDORES DE FRETES</v>
          </cell>
        </row>
        <row r="2050">
          <cell r="A2050">
            <v>21102301</v>
          </cell>
          <cell r="B2050" t="str">
            <v>2.1.1.02.301</v>
          </cell>
          <cell r="C2050" t="str">
            <v>Fornecedores De Fretes</v>
          </cell>
        </row>
        <row r="2051">
          <cell r="A2051">
            <v>21102400</v>
          </cell>
          <cell r="B2051" t="str">
            <v>2.1.1.02.400</v>
          </cell>
          <cell r="C2051" t="str">
            <v>CREDORES DIVERSOS</v>
          </cell>
        </row>
        <row r="2052">
          <cell r="A2052">
            <v>21102401</v>
          </cell>
          <cell r="B2052" t="str">
            <v>2.1.1.02.401</v>
          </cell>
          <cell r="C2052" t="str">
            <v>Dividendos Propostos</v>
          </cell>
        </row>
        <row r="2053">
          <cell r="A2053">
            <v>21102402</v>
          </cell>
          <cell r="B2053" t="str">
            <v>2.1.1.02.402</v>
          </cell>
          <cell r="C2053" t="str">
            <v>Outras Obrigações a Pagar</v>
          </cell>
        </row>
        <row r="2054">
          <cell r="A2054">
            <v>21102403</v>
          </cell>
          <cell r="B2054" t="str">
            <v>2.1.1.02.403</v>
          </cell>
          <cell r="C2054" t="str">
            <v>Credores Diversos</v>
          </cell>
        </row>
        <row r="2055">
          <cell r="A2055">
            <v>21102404</v>
          </cell>
          <cell r="B2055" t="str">
            <v>2.1.1.02.404</v>
          </cell>
          <cell r="C2055" t="str">
            <v>Dividendos a pagar</v>
          </cell>
        </row>
        <row r="2056">
          <cell r="A2056">
            <v>21102405</v>
          </cell>
          <cell r="B2056" t="str">
            <v>2.1.1.02.405</v>
          </cell>
          <cell r="C2056" t="str">
            <v>Outras Contas a Pagar Refis</v>
          </cell>
        </row>
        <row r="2057">
          <cell r="A2057">
            <v>21102406</v>
          </cell>
          <cell r="B2057" t="str">
            <v>2.1.1.02.406</v>
          </cell>
          <cell r="C2057" t="str">
            <v>Dividendos a Pagar Saldo Anterior</v>
          </cell>
        </row>
        <row r="2058">
          <cell r="A2058">
            <v>21102407</v>
          </cell>
          <cell r="B2058" t="str">
            <v>2.1.1.02.407</v>
          </cell>
          <cell r="C2058" t="str">
            <v>Trading -Bolsa de Valores</v>
          </cell>
        </row>
        <row r="2059">
          <cell r="A2059">
            <v>21102408</v>
          </cell>
          <cell r="B2059" t="str">
            <v>2.1.1.02.408</v>
          </cell>
          <cell r="C2059" t="str">
            <v>Trading - Bolsa de valores -RTT</v>
          </cell>
        </row>
        <row r="2060">
          <cell r="A2060">
            <v>21102409</v>
          </cell>
          <cell r="B2060" t="str">
            <v>2.1.1.02.409</v>
          </cell>
          <cell r="C2060" t="str">
            <v>Contingência fiscal</v>
          </cell>
        </row>
        <row r="2061">
          <cell r="A2061">
            <v>21102410</v>
          </cell>
          <cell r="B2061" t="str">
            <v>2.1.1.02.410</v>
          </cell>
          <cell r="C2061" t="str">
            <v>Reclamações Trabalhistas</v>
          </cell>
        </row>
        <row r="2062">
          <cell r="A2062">
            <v>21103000</v>
          </cell>
          <cell r="B2062" t="str">
            <v>2.1.1.03.000</v>
          </cell>
          <cell r="C2062" t="str">
            <v>EMPRESTIMOS E FINANCIAMENTOS</v>
          </cell>
        </row>
        <row r="2063">
          <cell r="A2063">
            <v>21103100</v>
          </cell>
          <cell r="B2063" t="str">
            <v>2.1.1.03.100</v>
          </cell>
          <cell r="C2063" t="str">
            <v>FINANCIAMENTOS</v>
          </cell>
        </row>
        <row r="2064">
          <cell r="A2064">
            <v>21103101</v>
          </cell>
          <cell r="B2064" t="str">
            <v>2.1.1.03.101</v>
          </cell>
          <cell r="C2064" t="str">
            <v>Bco Do Brasil S/A - FCO</v>
          </cell>
        </row>
        <row r="2065">
          <cell r="A2065">
            <v>21103102</v>
          </cell>
          <cell r="B2065" t="str">
            <v>2.1.1.03.102</v>
          </cell>
          <cell r="C2065" t="str">
            <v>ACC - União De Bancos Brasileiros S/A</v>
          </cell>
        </row>
        <row r="2066">
          <cell r="A2066">
            <v>21103103</v>
          </cell>
          <cell r="B2066" t="str">
            <v>2.1.1.03.103</v>
          </cell>
          <cell r="C2066" t="str">
            <v>Banco Bradesco S/A Pesa</v>
          </cell>
        </row>
        <row r="2067">
          <cell r="A2067">
            <v>21103104</v>
          </cell>
          <cell r="B2067" t="str">
            <v>2.1.1.03.104</v>
          </cell>
          <cell r="C2067" t="str">
            <v>ACC - HSBC Bamerindus S/A</v>
          </cell>
        </row>
        <row r="2068">
          <cell r="A2068">
            <v>21103105</v>
          </cell>
          <cell r="B2068" t="str">
            <v>2.1.1.03.105</v>
          </cell>
          <cell r="C2068" t="str">
            <v>Banco Citibank S.A</v>
          </cell>
        </row>
        <row r="2069">
          <cell r="A2069">
            <v>21103106</v>
          </cell>
          <cell r="B2069" t="str">
            <v>2.1.1.03.106</v>
          </cell>
          <cell r="C2069" t="str">
            <v>Natixis Pré pgto</v>
          </cell>
        </row>
        <row r="2070">
          <cell r="A2070">
            <v>21103107</v>
          </cell>
          <cell r="B2070" t="str">
            <v>2.1.1.03.107</v>
          </cell>
          <cell r="C2070" t="str">
            <v>Banco De Credito Nacional-BCN</v>
          </cell>
        </row>
        <row r="2071">
          <cell r="A2071">
            <v>21103108</v>
          </cell>
          <cell r="B2071" t="str">
            <v>2.1.1.03.108</v>
          </cell>
          <cell r="C2071" t="str">
            <v>ACC - Banco ABC Brasil S/A</v>
          </cell>
        </row>
        <row r="2072">
          <cell r="A2072">
            <v>21103109</v>
          </cell>
          <cell r="B2072" t="str">
            <v>2.1.1.03.109</v>
          </cell>
          <cell r="C2072" t="str">
            <v>PPE Banqueiro - BBA Creditanstalt S</v>
          </cell>
        </row>
        <row r="2073">
          <cell r="A2073">
            <v>21103110</v>
          </cell>
          <cell r="B2073" t="str">
            <v>2.1.1.03.110</v>
          </cell>
          <cell r="C2073" t="str">
            <v>ACC - Banco BBM S/A</v>
          </cell>
        </row>
        <row r="2074">
          <cell r="A2074">
            <v>21103111</v>
          </cell>
          <cell r="B2074" t="str">
            <v>2.1.1.03.111</v>
          </cell>
          <cell r="C2074" t="str">
            <v>PPE ABN anro Real</v>
          </cell>
        </row>
        <row r="2075">
          <cell r="A2075">
            <v>21103112</v>
          </cell>
          <cell r="B2075" t="str">
            <v>2.1.1.03.112</v>
          </cell>
          <cell r="C2075" t="str">
            <v>Banco Rural S/A</v>
          </cell>
        </row>
        <row r="2076">
          <cell r="A2076">
            <v>21103113</v>
          </cell>
          <cell r="B2076" t="str">
            <v>2.1.1.03.113</v>
          </cell>
          <cell r="C2076" t="str">
            <v>Procop - Banco Banespa S/A</v>
          </cell>
        </row>
        <row r="2077">
          <cell r="A2077">
            <v>21103114</v>
          </cell>
          <cell r="B2077" t="str">
            <v>2.1.1.03.114</v>
          </cell>
          <cell r="C2077" t="str">
            <v>Banco Pine S/A -NCE</v>
          </cell>
        </row>
        <row r="2078">
          <cell r="A2078">
            <v>21103115</v>
          </cell>
          <cell r="B2078" t="str">
            <v>2.1.1.03.115</v>
          </cell>
          <cell r="C2078" t="str">
            <v>Banco Bmc S/A</v>
          </cell>
        </row>
        <row r="2079">
          <cell r="A2079">
            <v>21103116</v>
          </cell>
          <cell r="B2079" t="str">
            <v>2.1.1.03.116</v>
          </cell>
          <cell r="C2079" t="str">
            <v>Banco Ind.Com.Bic Bank</v>
          </cell>
        </row>
        <row r="2080">
          <cell r="A2080">
            <v>21103117</v>
          </cell>
          <cell r="B2080" t="str">
            <v>2.1.1.03.117</v>
          </cell>
          <cell r="C2080" t="str">
            <v>Banco Fibra S/A</v>
          </cell>
        </row>
        <row r="2081">
          <cell r="A2081">
            <v>21103118</v>
          </cell>
          <cell r="B2081" t="str">
            <v>2.1.1.03.118</v>
          </cell>
          <cell r="C2081" t="str">
            <v>Finame- Banco Itau BBA S/A</v>
          </cell>
        </row>
        <row r="2082">
          <cell r="A2082">
            <v>21103119</v>
          </cell>
          <cell r="B2082" t="str">
            <v>2.1.1.03.119</v>
          </cell>
          <cell r="C2082" t="str">
            <v>Du Pont Brasil S/A</v>
          </cell>
        </row>
        <row r="2083">
          <cell r="A2083">
            <v>21103120</v>
          </cell>
          <cell r="B2083" t="str">
            <v>2.1.1.03.120</v>
          </cell>
          <cell r="C2083" t="str">
            <v>ACC - Banco Bradesco S/A</v>
          </cell>
        </row>
        <row r="2084">
          <cell r="A2084">
            <v>21103121</v>
          </cell>
          <cell r="B2084" t="str">
            <v>2.1.1.03.121</v>
          </cell>
          <cell r="C2084" t="str">
            <v>Securitização Banco do Brasil -CP</v>
          </cell>
        </row>
        <row r="2085">
          <cell r="A2085">
            <v>21103122</v>
          </cell>
          <cell r="B2085" t="str">
            <v>2.1.1.03.122</v>
          </cell>
          <cell r="C2085" t="str">
            <v>ACC - Banco do Brasil S/A</v>
          </cell>
        </row>
        <row r="2086">
          <cell r="A2086">
            <v>21103123</v>
          </cell>
          <cell r="B2086" t="str">
            <v>2.1.1.03.123</v>
          </cell>
          <cell r="C2086" t="str">
            <v>Banco do Brasil S/A - Finame</v>
          </cell>
        </row>
        <row r="2087">
          <cell r="A2087">
            <v>21103124</v>
          </cell>
          <cell r="B2087" t="str">
            <v>2.1.1.03.124</v>
          </cell>
          <cell r="C2087" t="str">
            <v>Banco Itau - Cap.giro/CCB</v>
          </cell>
        </row>
        <row r="2088">
          <cell r="A2088">
            <v>21103125</v>
          </cell>
          <cell r="B2088" t="str">
            <v>2.1.1.03.125</v>
          </cell>
          <cell r="C2088" t="str">
            <v>Banco Bradesco - NPR</v>
          </cell>
        </row>
        <row r="2089">
          <cell r="A2089">
            <v>21103126</v>
          </cell>
          <cell r="B2089" t="str">
            <v>2.1.1.03.126</v>
          </cell>
          <cell r="C2089" t="str">
            <v>Banco Santander Brasil SA - ACC</v>
          </cell>
        </row>
        <row r="2090">
          <cell r="A2090">
            <v>21103127</v>
          </cell>
          <cell r="B2090" t="str">
            <v>2.1.1.03.127</v>
          </cell>
          <cell r="C2090" t="str">
            <v>Banco HSBC - Finame 67.500,00</v>
          </cell>
        </row>
        <row r="2091">
          <cell r="A2091">
            <v>21103128</v>
          </cell>
          <cell r="B2091" t="str">
            <v>2.1.1.03.128</v>
          </cell>
          <cell r="C2091" t="str">
            <v>Bradesco ctr 0680709-7 R$ 97.238,73</v>
          </cell>
        </row>
        <row r="2092">
          <cell r="A2092">
            <v>21103129</v>
          </cell>
          <cell r="B2092" t="str">
            <v>2.1.1.03.129</v>
          </cell>
          <cell r="C2092" t="str">
            <v>Banco Santander -PPE</v>
          </cell>
        </row>
        <row r="2093">
          <cell r="A2093">
            <v>21103130</v>
          </cell>
          <cell r="B2093" t="str">
            <v>2.1.1.03.130</v>
          </cell>
          <cell r="C2093" t="str">
            <v>Du Pont - Banco ABN Anro Real S/A</v>
          </cell>
        </row>
        <row r="2094">
          <cell r="A2094">
            <v>21103131</v>
          </cell>
          <cell r="B2094" t="str">
            <v>2.1.1.03.131</v>
          </cell>
          <cell r="C2094" t="str">
            <v>Du Pont - Banco Itaú BBA S/A</v>
          </cell>
        </row>
        <row r="2095">
          <cell r="A2095">
            <v>21103132</v>
          </cell>
          <cell r="B2095" t="str">
            <v>2.1.1.03.132</v>
          </cell>
          <cell r="C2095" t="str">
            <v>Banco Cargill- NCE</v>
          </cell>
        </row>
        <row r="2096">
          <cell r="A2096">
            <v>21103133</v>
          </cell>
          <cell r="B2096" t="str">
            <v>2.1.1.03.133</v>
          </cell>
          <cell r="C2096" t="str">
            <v>Bradesco ctr 680680-5 finame</v>
          </cell>
        </row>
        <row r="2097">
          <cell r="A2097">
            <v>21103134</v>
          </cell>
          <cell r="B2097" t="str">
            <v>2.1.1.03.134</v>
          </cell>
          <cell r="C2097" t="str">
            <v>Bradesco ctr. 680707-0 Finame</v>
          </cell>
        </row>
        <row r="2098">
          <cell r="A2098">
            <v>21103135</v>
          </cell>
          <cell r="B2098" t="str">
            <v>2.1.1.03.135</v>
          </cell>
          <cell r="C2098" t="str">
            <v>Banco Itau BBA ACC</v>
          </cell>
        </row>
        <row r="2099">
          <cell r="A2099">
            <v>21103136</v>
          </cell>
          <cell r="B2099" t="str">
            <v>2.1.1.03.136</v>
          </cell>
          <cell r="C2099" t="str">
            <v>HSBC Finame Ctr 3800636 - R$ 85.500,00</v>
          </cell>
        </row>
        <row r="2100">
          <cell r="A2100">
            <v>21103137</v>
          </cell>
          <cell r="B2100" t="str">
            <v>2.1.1.03.137</v>
          </cell>
          <cell r="C2100" t="str">
            <v>HSBC Finames</v>
          </cell>
        </row>
        <row r="2101">
          <cell r="A2101">
            <v>21103138</v>
          </cell>
          <cell r="B2101" t="str">
            <v>2.1.1.03.138</v>
          </cell>
          <cell r="C2101" t="str">
            <v>Credito Agroindust.- Banco do Brasil S/A</v>
          </cell>
        </row>
        <row r="2102">
          <cell r="A2102">
            <v>21103139</v>
          </cell>
          <cell r="B2102" t="str">
            <v>2.1.1.03.139</v>
          </cell>
          <cell r="C2102" t="str">
            <v>3-Lease Back Banco Bradesco</v>
          </cell>
        </row>
        <row r="2103">
          <cell r="A2103">
            <v>21103140</v>
          </cell>
          <cell r="B2103" t="str">
            <v>2.1.1.03.140</v>
          </cell>
          <cell r="C2103" t="str">
            <v>Bradesco Finames</v>
          </cell>
        </row>
        <row r="2104">
          <cell r="A2104">
            <v>21103141</v>
          </cell>
          <cell r="B2104" t="str">
            <v>2.1.1.03.141</v>
          </cell>
          <cell r="C2104" t="str">
            <v>Pré Pagto Cargiil Financial Services</v>
          </cell>
        </row>
        <row r="2105">
          <cell r="A2105">
            <v>21103142</v>
          </cell>
          <cell r="B2105" t="str">
            <v>2.1.1.03.142</v>
          </cell>
          <cell r="C2105" t="str">
            <v>Pré Pagto Czarnikow Sugar Limited</v>
          </cell>
        </row>
        <row r="2106">
          <cell r="A2106">
            <v>21103143</v>
          </cell>
          <cell r="B2106" t="str">
            <v>2.1.1.03.143</v>
          </cell>
          <cell r="C2106" t="str">
            <v>Credito Agroindustrial Bco Brasil</v>
          </cell>
        </row>
        <row r="2107">
          <cell r="A2107">
            <v>21103144</v>
          </cell>
          <cell r="B2107" t="str">
            <v>2.1.1.03.144</v>
          </cell>
          <cell r="C2107" t="str">
            <v>2-HSBC Cap. Giro/CCB</v>
          </cell>
        </row>
        <row r="2108">
          <cell r="A2108">
            <v>21103145</v>
          </cell>
          <cell r="B2108" t="str">
            <v>2.1.1.03.145</v>
          </cell>
          <cell r="C2108" t="str">
            <v>1-Citibank ACC</v>
          </cell>
        </row>
        <row r="2109">
          <cell r="A2109">
            <v>21103146</v>
          </cell>
          <cell r="B2109" t="str">
            <v>2.1.1.03.146</v>
          </cell>
          <cell r="C2109" t="str">
            <v>Duplo Index Citibank</v>
          </cell>
        </row>
        <row r="2110">
          <cell r="A2110">
            <v>21103147</v>
          </cell>
          <cell r="B2110" t="str">
            <v>2.1.1.03.147</v>
          </cell>
          <cell r="C2110" t="str">
            <v>Finame - Santander</v>
          </cell>
        </row>
        <row r="2111">
          <cell r="A2111">
            <v>21103148</v>
          </cell>
          <cell r="B2111" t="str">
            <v>2.1.1.03.148</v>
          </cell>
          <cell r="C2111" t="str">
            <v>ACC Banco REAL</v>
          </cell>
        </row>
        <row r="2112">
          <cell r="A2112">
            <v>21103149</v>
          </cell>
          <cell r="B2112" t="str">
            <v>2.1.1.03.149</v>
          </cell>
          <cell r="C2112" t="str">
            <v>Banco Real ABN ANRO S/A NCE</v>
          </cell>
        </row>
        <row r="2113">
          <cell r="A2113">
            <v>21103150</v>
          </cell>
          <cell r="B2113" t="str">
            <v>2.1.1.03.150</v>
          </cell>
          <cell r="C2113" t="str">
            <v>Banco Votorantin S/A - ACC</v>
          </cell>
        </row>
        <row r="2114">
          <cell r="A2114">
            <v>21103151</v>
          </cell>
          <cell r="B2114" t="str">
            <v>2.1.1.03.151</v>
          </cell>
          <cell r="C2114" t="str">
            <v>Banco Itau BBA - 2770</v>
          </cell>
        </row>
        <row r="2115">
          <cell r="A2115">
            <v>21103152</v>
          </cell>
          <cell r="B2115" t="str">
            <v>2.1.1.03.152</v>
          </cell>
          <cell r="C2115" t="str">
            <v>Banco do Brasil - NPR</v>
          </cell>
        </row>
        <row r="2116">
          <cell r="A2116">
            <v>21103153</v>
          </cell>
          <cell r="B2116" t="str">
            <v>2.1.1.03.153</v>
          </cell>
          <cell r="C2116" t="str">
            <v>Bco Real ABN ANRO - NPR</v>
          </cell>
        </row>
        <row r="2117">
          <cell r="A2117">
            <v>21103154</v>
          </cell>
          <cell r="B2117" t="str">
            <v>2.1.1.03.154</v>
          </cell>
          <cell r="C2117" t="str">
            <v>Bco do Brasil - Custeio Agrícola</v>
          </cell>
        </row>
        <row r="2118">
          <cell r="A2118">
            <v>21103155</v>
          </cell>
          <cell r="B2118" t="str">
            <v>2.1.1.03.155</v>
          </cell>
          <cell r="C2118" t="str">
            <v>BPN Brasil BCO multiplo</v>
          </cell>
        </row>
        <row r="2119">
          <cell r="A2119">
            <v>21103156</v>
          </cell>
          <cell r="B2119" t="str">
            <v>2.1.1.03.156</v>
          </cell>
          <cell r="C2119" t="str">
            <v>ABN Anro Real- custeio Agricola</v>
          </cell>
        </row>
        <row r="2120">
          <cell r="A2120">
            <v>21103157</v>
          </cell>
          <cell r="B2120" t="str">
            <v>2.1.1.03.157</v>
          </cell>
          <cell r="C2120" t="str">
            <v>IFC- Interational Finance corporation</v>
          </cell>
        </row>
        <row r="2121">
          <cell r="A2121">
            <v>21103158</v>
          </cell>
          <cell r="B2121" t="str">
            <v>2.1.1.03.158</v>
          </cell>
          <cell r="C2121" t="str">
            <v>3-FCO -Banco do Brasil</v>
          </cell>
        </row>
        <row r="2122">
          <cell r="A2122">
            <v>21103159</v>
          </cell>
          <cell r="B2122" t="str">
            <v>2.1.1.03.159</v>
          </cell>
          <cell r="C2122" t="str">
            <v>Banco HSBC Res. 2770</v>
          </cell>
        </row>
        <row r="2123">
          <cell r="A2123">
            <v>21103160</v>
          </cell>
          <cell r="B2123" t="str">
            <v>2.1.1.03.160</v>
          </cell>
          <cell r="C2123" t="str">
            <v>Banco do Brasil FCO - Repactuação</v>
          </cell>
        </row>
        <row r="2124">
          <cell r="A2124">
            <v>21103161</v>
          </cell>
          <cell r="B2124" t="str">
            <v>2.1.1.03.161</v>
          </cell>
          <cell r="C2124" t="str">
            <v>Banco BBM S/A- NCE</v>
          </cell>
        </row>
        <row r="2125">
          <cell r="A2125">
            <v>21103162</v>
          </cell>
          <cell r="B2125" t="str">
            <v>2.1.1.03.162</v>
          </cell>
          <cell r="C2125" t="str">
            <v>HSBC S/A Compror</v>
          </cell>
        </row>
        <row r="2126">
          <cell r="A2126">
            <v>21103163</v>
          </cell>
          <cell r="B2126" t="str">
            <v>2.1.1.03.163</v>
          </cell>
          <cell r="C2126" t="str">
            <v>Banco do Brasil - Colhedoras</v>
          </cell>
        </row>
        <row r="2127">
          <cell r="A2127">
            <v>21103164</v>
          </cell>
          <cell r="B2127" t="str">
            <v>2.1.1.03.164</v>
          </cell>
          <cell r="C2127" t="str">
            <v>Banco BBM -NCE</v>
          </cell>
        </row>
        <row r="2128">
          <cell r="A2128">
            <v>21103165</v>
          </cell>
          <cell r="B2128" t="str">
            <v>2.1.1.03.165</v>
          </cell>
          <cell r="C2128" t="str">
            <v>Banco B.B.M-Res.2770</v>
          </cell>
        </row>
        <row r="2129">
          <cell r="A2129">
            <v>21103166</v>
          </cell>
          <cell r="B2129" t="str">
            <v>2.1.1.03.166</v>
          </cell>
          <cell r="C2129" t="str">
            <v>Banco Santander - Gar. Fiança</v>
          </cell>
        </row>
        <row r="2130">
          <cell r="A2130">
            <v>21103167</v>
          </cell>
          <cell r="B2130" t="str">
            <v>2.1.1.03.167</v>
          </cell>
          <cell r="C2130" t="str">
            <v>Banco UBS Pactual -NCE</v>
          </cell>
        </row>
        <row r="2131">
          <cell r="A2131">
            <v>21103168</v>
          </cell>
          <cell r="B2131" t="str">
            <v>2.1.1.03.168</v>
          </cell>
          <cell r="C2131" t="str">
            <v>Banco Bradesco C.Giro/CCB</v>
          </cell>
        </row>
        <row r="2132">
          <cell r="A2132">
            <v>21103169</v>
          </cell>
          <cell r="B2132" t="str">
            <v>2.1.1.03.169</v>
          </cell>
          <cell r="C2132" t="str">
            <v>PPE  HSH Nordbank Internacional S/A</v>
          </cell>
        </row>
        <row r="2133">
          <cell r="A2133">
            <v>21103170</v>
          </cell>
          <cell r="B2133" t="str">
            <v>2.1.1.03.170</v>
          </cell>
          <cell r="C2133" t="str">
            <v>Bradesco PPE</v>
          </cell>
        </row>
        <row r="2134">
          <cell r="A2134">
            <v>21103171</v>
          </cell>
          <cell r="B2134" t="str">
            <v>2.1.1.03.171</v>
          </cell>
          <cell r="C2134" t="str">
            <v>Santander Banespa Contr.2770</v>
          </cell>
        </row>
        <row r="2135">
          <cell r="A2135">
            <v>21103172</v>
          </cell>
          <cell r="B2135" t="str">
            <v>2.1.1.03.172</v>
          </cell>
          <cell r="C2135" t="str">
            <v>Banco Westrust</v>
          </cell>
        </row>
        <row r="2136">
          <cell r="A2136">
            <v>21103173</v>
          </cell>
          <cell r="B2136" t="str">
            <v>2.1.1.03.173</v>
          </cell>
          <cell r="C2136" t="str">
            <v>Banco Itau S/A - Aplicação de Swap</v>
          </cell>
        </row>
        <row r="2137">
          <cell r="A2137">
            <v>21103174</v>
          </cell>
          <cell r="B2137" t="str">
            <v>2.1.1.03.174</v>
          </cell>
          <cell r="C2137" t="str">
            <v>Banco Colombia</v>
          </cell>
        </row>
        <row r="2138">
          <cell r="A2138">
            <v>21103175</v>
          </cell>
          <cell r="B2138" t="str">
            <v>2.1.1.03.175</v>
          </cell>
          <cell r="C2138" t="str">
            <v>Banco do Brasil -CCB</v>
          </cell>
        </row>
        <row r="2139">
          <cell r="A2139">
            <v>21103176</v>
          </cell>
          <cell r="B2139" t="str">
            <v>2.1.1.03.176</v>
          </cell>
          <cell r="C2139" t="str">
            <v>Banco Pine - Cap.Giro</v>
          </cell>
        </row>
        <row r="2140">
          <cell r="A2140">
            <v>21103177</v>
          </cell>
          <cell r="B2140" t="str">
            <v>2.1.1.03.177</v>
          </cell>
          <cell r="C2140" t="str">
            <v>Banco Votorantim - Cap.Giro/CCB</v>
          </cell>
        </row>
        <row r="2141">
          <cell r="A2141">
            <v>21103178</v>
          </cell>
          <cell r="B2141" t="str">
            <v>2.1.1.03.178</v>
          </cell>
          <cell r="C2141" t="str">
            <v>Banco Santander - Cap.Giro/CCB</v>
          </cell>
        </row>
        <row r="2142">
          <cell r="A2142">
            <v>21103179</v>
          </cell>
          <cell r="B2142" t="str">
            <v>2.1.1.03.179</v>
          </cell>
          <cell r="C2142" t="str">
            <v>Banco do Brasil -NDF</v>
          </cell>
        </row>
        <row r="2143">
          <cell r="A2143">
            <v>21103180</v>
          </cell>
          <cell r="B2143" t="str">
            <v>2.1.1.03.180</v>
          </cell>
          <cell r="C2143" t="str">
            <v>Banco BBM - Cap. Giro</v>
          </cell>
        </row>
        <row r="2144">
          <cell r="A2144">
            <v>21103181</v>
          </cell>
          <cell r="B2144" t="str">
            <v>2.1.1.03.181</v>
          </cell>
          <cell r="C2144" t="str">
            <v>Banco Pine - SWAP</v>
          </cell>
        </row>
        <row r="2145">
          <cell r="A2145">
            <v>21103182</v>
          </cell>
          <cell r="B2145" t="str">
            <v>2.1.1.03.182</v>
          </cell>
          <cell r="C2145" t="str">
            <v>Aceites Manuelita S.A</v>
          </cell>
        </row>
        <row r="2146">
          <cell r="A2146">
            <v>21103183</v>
          </cell>
          <cell r="B2146" t="str">
            <v>2.1.1.03.183</v>
          </cell>
          <cell r="C2146" t="str">
            <v>Banco Brasil -PPE</v>
          </cell>
        </row>
        <row r="2147">
          <cell r="A2147">
            <v>21103184</v>
          </cell>
          <cell r="B2147" t="str">
            <v>2.1.1.03.184</v>
          </cell>
          <cell r="C2147" t="str">
            <v>Banco ABN Real - Cap.Giro</v>
          </cell>
        </row>
        <row r="2148">
          <cell r="A2148">
            <v>21103186</v>
          </cell>
          <cell r="B2148" t="str">
            <v>2.1.1.03.186</v>
          </cell>
          <cell r="C2148" t="str">
            <v>Banco Cargill - ACC</v>
          </cell>
        </row>
        <row r="2149">
          <cell r="A2149">
            <v>21103187</v>
          </cell>
          <cell r="B2149" t="str">
            <v>2.1.1.03.187</v>
          </cell>
          <cell r="C2149" t="str">
            <v>PPE Banco Ing</v>
          </cell>
        </row>
        <row r="2150">
          <cell r="A2150">
            <v>21103188</v>
          </cell>
          <cell r="B2150" t="str">
            <v>2.1.1.03.188</v>
          </cell>
          <cell r="C2150" t="str">
            <v>Leasing Financeiro</v>
          </cell>
        </row>
        <row r="2151">
          <cell r="A2151">
            <v>21103189</v>
          </cell>
          <cell r="B2151" t="str">
            <v>2.1.1.03.189</v>
          </cell>
          <cell r="C2151" t="str">
            <v>Pesa - RTT</v>
          </cell>
        </row>
        <row r="2152">
          <cell r="A2152">
            <v>21103190</v>
          </cell>
          <cell r="B2152" t="str">
            <v>2.1.1.03.190</v>
          </cell>
          <cell r="C2152" t="str">
            <v>Pesa - RTT</v>
          </cell>
        </row>
        <row r="2153">
          <cell r="A2153">
            <v>21103191</v>
          </cell>
          <cell r="B2153" t="str">
            <v>2.1.1.03.191</v>
          </cell>
          <cell r="C2153" t="str">
            <v>Bradesco -Cap.Giro</v>
          </cell>
        </row>
        <row r="2154">
          <cell r="A2154">
            <v>21103192</v>
          </cell>
          <cell r="B2154" t="str">
            <v>2.1.1.03.192</v>
          </cell>
          <cell r="C2154" t="str">
            <v>Bco Santander S/A -. NCE</v>
          </cell>
        </row>
        <row r="2155">
          <cell r="A2155">
            <v>21103193</v>
          </cell>
          <cell r="B2155" t="str">
            <v>2.1.1.03.193</v>
          </cell>
          <cell r="C2155" t="str">
            <v>Banco Bradesco -PPE</v>
          </cell>
        </row>
        <row r="2156">
          <cell r="A2156">
            <v>21103194</v>
          </cell>
          <cell r="B2156" t="str">
            <v>2.1.1.03.194</v>
          </cell>
          <cell r="C2156" t="str">
            <v>Securitzção Bradesco CP</v>
          </cell>
        </row>
        <row r="2157">
          <cell r="A2157">
            <v>21103195</v>
          </cell>
          <cell r="B2157" t="str">
            <v>2.1.1.03.195</v>
          </cell>
          <cell r="C2157" t="str">
            <v>Leasing financeiro - BIC</v>
          </cell>
        </row>
        <row r="2158">
          <cell r="A2158">
            <v>21103200</v>
          </cell>
          <cell r="B2158" t="str">
            <v>2.1.1.03.200</v>
          </cell>
          <cell r="C2158" t="str">
            <v>CONTA GARANTIDA</v>
          </cell>
        </row>
        <row r="2159">
          <cell r="A2159">
            <v>21103201</v>
          </cell>
          <cell r="B2159" t="str">
            <v>2.1.1.03.201</v>
          </cell>
          <cell r="C2159" t="str">
            <v>Banco do Brasil S/A</v>
          </cell>
        </row>
        <row r="2160">
          <cell r="A2160">
            <v>21103202</v>
          </cell>
          <cell r="B2160" t="str">
            <v>2.1.1.03.202</v>
          </cell>
          <cell r="C2160" t="str">
            <v>Banco Brasileiro de Descontos S/A</v>
          </cell>
        </row>
        <row r="2161">
          <cell r="A2161">
            <v>21103203</v>
          </cell>
          <cell r="B2161" t="str">
            <v>2.1.1.03.203</v>
          </cell>
          <cell r="C2161" t="str">
            <v>União de Bancos Brasileiros S/A</v>
          </cell>
        </row>
        <row r="2162">
          <cell r="A2162">
            <v>21103204</v>
          </cell>
          <cell r="B2162" t="str">
            <v>2.1.1.03.204</v>
          </cell>
          <cell r="C2162" t="str">
            <v>Banco Rural S/A</v>
          </cell>
        </row>
        <row r="2163">
          <cell r="A2163">
            <v>21103205</v>
          </cell>
          <cell r="B2163" t="str">
            <v>2.1.1.03.205</v>
          </cell>
          <cell r="C2163" t="str">
            <v>Banco do Estado de S.Paulo S/A</v>
          </cell>
        </row>
        <row r="2164">
          <cell r="A2164">
            <v>21103206</v>
          </cell>
          <cell r="B2164" t="str">
            <v>2.1.1.03.206</v>
          </cell>
          <cell r="C2164" t="str">
            <v>Banco BBM S/A</v>
          </cell>
        </row>
        <row r="2165">
          <cell r="A2165">
            <v>21103207</v>
          </cell>
          <cell r="B2165" t="str">
            <v>2.1.1.03.207</v>
          </cell>
          <cell r="C2165" t="str">
            <v>Banco Pine S/A</v>
          </cell>
        </row>
        <row r="2166">
          <cell r="A2166">
            <v>21103208</v>
          </cell>
          <cell r="B2166" t="str">
            <v>2.1.1.03.208</v>
          </cell>
          <cell r="C2166" t="str">
            <v>Banco HSBC Bamerindus</v>
          </cell>
        </row>
        <row r="2167">
          <cell r="A2167">
            <v>21103209</v>
          </cell>
          <cell r="B2167" t="str">
            <v>2.1.1.03.209</v>
          </cell>
          <cell r="C2167" t="str">
            <v>Banco Santander Banespa S/A</v>
          </cell>
        </row>
        <row r="2168">
          <cell r="A2168">
            <v>21103210</v>
          </cell>
          <cell r="B2168" t="str">
            <v>2.1.1.03.210</v>
          </cell>
          <cell r="C2168" t="str">
            <v>Banco Sudameris S/A</v>
          </cell>
        </row>
        <row r="2169">
          <cell r="A2169">
            <v>21103211</v>
          </cell>
          <cell r="B2169" t="str">
            <v>2.1.1.03.211</v>
          </cell>
          <cell r="C2169" t="str">
            <v>Banco Intercap S/A</v>
          </cell>
        </row>
        <row r="2170">
          <cell r="A2170">
            <v>21103212</v>
          </cell>
          <cell r="B2170" t="str">
            <v>2.1.1.03.212</v>
          </cell>
          <cell r="C2170" t="str">
            <v>Banco Ind.Com.Bic Bank</v>
          </cell>
        </row>
        <row r="2171">
          <cell r="A2171">
            <v>21103213</v>
          </cell>
          <cell r="B2171" t="str">
            <v>2.1.1.03.213</v>
          </cell>
          <cell r="C2171" t="str">
            <v>Banco ABN Amro Bank</v>
          </cell>
        </row>
        <row r="2172">
          <cell r="A2172">
            <v>21103214</v>
          </cell>
          <cell r="B2172" t="str">
            <v>2.1.1.03.214</v>
          </cell>
          <cell r="C2172" t="str">
            <v>Banco Itaú S/A</v>
          </cell>
        </row>
        <row r="2173">
          <cell r="A2173">
            <v>21103215</v>
          </cell>
          <cell r="B2173" t="str">
            <v>2.1.1.03.215</v>
          </cell>
          <cell r="C2173" t="str">
            <v>Banco bradesco -agricola</v>
          </cell>
        </row>
        <row r="2174">
          <cell r="A2174">
            <v>21103216</v>
          </cell>
          <cell r="B2174" t="str">
            <v>2.1.1.03.216</v>
          </cell>
          <cell r="C2174" t="str">
            <v>Banco Citibank S/A</v>
          </cell>
        </row>
        <row r="2175">
          <cell r="A2175">
            <v>21103217</v>
          </cell>
          <cell r="B2175" t="str">
            <v>2.1.1.03.217</v>
          </cell>
          <cell r="C2175" t="str">
            <v>Banco Cargill</v>
          </cell>
        </row>
        <row r="2176">
          <cell r="A2176">
            <v>21103300</v>
          </cell>
          <cell r="B2176" t="str">
            <v>2.1.1.03.300</v>
          </cell>
          <cell r="C2176" t="str">
            <v>SOCIEDADES RELACIONADAS</v>
          </cell>
        </row>
        <row r="2177">
          <cell r="A2177">
            <v>21103301</v>
          </cell>
          <cell r="B2177" t="str">
            <v>2.1.1.03.301</v>
          </cell>
          <cell r="C2177" t="str">
            <v>Unialco S/A Alcool e Acucar</v>
          </cell>
        </row>
        <row r="2178">
          <cell r="A2178">
            <v>21103302</v>
          </cell>
          <cell r="B2178" t="str">
            <v>2.1.1.03.302</v>
          </cell>
          <cell r="C2178" t="str">
            <v>Alcoolvale S/A Alcool e Acucar</v>
          </cell>
        </row>
        <row r="2179">
          <cell r="A2179">
            <v>21103303</v>
          </cell>
          <cell r="B2179" t="str">
            <v>2.1.1.03.303</v>
          </cell>
          <cell r="C2179" t="str">
            <v>Inversiones Manuelita SA</v>
          </cell>
        </row>
        <row r="2180">
          <cell r="A2180">
            <v>21103304</v>
          </cell>
          <cell r="B2180" t="str">
            <v>2.1.1.03.304</v>
          </cell>
          <cell r="C2180" t="str">
            <v>Canavale Agricola Ltda</v>
          </cell>
        </row>
        <row r="2181">
          <cell r="A2181">
            <v>21103305</v>
          </cell>
          <cell r="B2181" t="str">
            <v>2.1.1.03.305</v>
          </cell>
          <cell r="C2181" t="str">
            <v>Alcoolvale Agricola e Comercial ltda</v>
          </cell>
        </row>
        <row r="2182">
          <cell r="A2182">
            <v>21103306</v>
          </cell>
          <cell r="B2182" t="str">
            <v>2.1.1.03.306</v>
          </cell>
          <cell r="C2182" t="str">
            <v>Vale do Parana S/A alcool e Acucar</v>
          </cell>
        </row>
        <row r="2183">
          <cell r="A2183">
            <v>21103307</v>
          </cell>
          <cell r="B2183" t="str">
            <v>2.1.1.03.307</v>
          </cell>
          <cell r="C2183" t="str">
            <v>Manuelita SA</v>
          </cell>
        </row>
        <row r="2184">
          <cell r="A2184">
            <v>21103308</v>
          </cell>
          <cell r="B2184" t="str">
            <v>2.1.1.03.308</v>
          </cell>
          <cell r="C2184" t="str">
            <v>Trans.Cristal Transp.Rodov.Ltda</v>
          </cell>
        </row>
        <row r="2185">
          <cell r="A2185">
            <v>21103309</v>
          </cell>
          <cell r="B2185" t="str">
            <v>2.1.1.03.309</v>
          </cell>
          <cell r="C2185" t="str">
            <v>Pantaleon Sugar Holdings</v>
          </cell>
        </row>
        <row r="2186">
          <cell r="A2186">
            <v>21103310</v>
          </cell>
          <cell r="B2186" t="str">
            <v>2.1.1.03.310</v>
          </cell>
          <cell r="C2186" t="str">
            <v>Aceites Manuelita SA</v>
          </cell>
        </row>
        <row r="2187">
          <cell r="A2187">
            <v>21103311</v>
          </cell>
          <cell r="B2187" t="str">
            <v>2.1.1.03.311</v>
          </cell>
          <cell r="C2187" t="str">
            <v>Colgua Investimentos S/A</v>
          </cell>
        </row>
        <row r="2188">
          <cell r="A2188">
            <v>21103312</v>
          </cell>
          <cell r="B2188" t="str">
            <v>2.1.1.03.312</v>
          </cell>
          <cell r="C2188" t="str">
            <v>Pantaleon Agric.Brasil Ltda</v>
          </cell>
        </row>
        <row r="2189">
          <cell r="A2189">
            <v>21103313</v>
          </cell>
          <cell r="B2189" t="str">
            <v>2.1.1.03.313</v>
          </cell>
          <cell r="C2189" t="str">
            <v>Mansa AgroInd. Brasil Ltda</v>
          </cell>
        </row>
        <row r="2190">
          <cell r="A2190">
            <v>21103314</v>
          </cell>
          <cell r="B2190" t="str">
            <v>2.1.1.03.314</v>
          </cell>
          <cell r="C2190" t="str">
            <v>Dourados S/A Alcool e Açucar</v>
          </cell>
        </row>
        <row r="2191">
          <cell r="A2191">
            <v>21103315</v>
          </cell>
          <cell r="B2191" t="str">
            <v>2.1.1.03.315</v>
          </cell>
          <cell r="C2191" t="str">
            <v>Mansa Agroind. Brasil Ltda - Mutuo</v>
          </cell>
        </row>
        <row r="2192">
          <cell r="A2192">
            <v>21103316</v>
          </cell>
          <cell r="B2192" t="str">
            <v>2.1.1.03.316</v>
          </cell>
          <cell r="C2192" t="str">
            <v>Pantaleon S/A</v>
          </cell>
        </row>
        <row r="2193">
          <cell r="A2193">
            <v>21103400</v>
          </cell>
          <cell r="B2193" t="str">
            <v>2.1.1.03.400</v>
          </cell>
          <cell r="C2193" t="str">
            <v>ADIANTAMENTOS DE CLIENTES</v>
          </cell>
        </row>
        <row r="2194">
          <cell r="A2194">
            <v>21103401</v>
          </cell>
          <cell r="B2194" t="str">
            <v>2.1.1.03.401</v>
          </cell>
          <cell r="C2194" t="str">
            <v>Adiantamentos de Clientes-Curto Prazo</v>
          </cell>
        </row>
        <row r="2195">
          <cell r="A2195">
            <v>21103402</v>
          </cell>
          <cell r="B2195" t="str">
            <v>2.1.1.03.402</v>
          </cell>
          <cell r="C2195" t="str">
            <v>Adiant.Cli.Vendas Para Entregas Futuras</v>
          </cell>
        </row>
        <row r="2196">
          <cell r="A2196">
            <v>21103403</v>
          </cell>
          <cell r="B2196" t="str">
            <v>2.1.1.03.403</v>
          </cell>
          <cell r="C2196" t="str">
            <v>Adiantamento Para Inversões Fixas</v>
          </cell>
        </row>
        <row r="2197">
          <cell r="A2197">
            <v>21103404</v>
          </cell>
          <cell r="B2197" t="str">
            <v>2.1.1.03.404</v>
          </cell>
          <cell r="C2197" t="str">
            <v>Adiant.Clientes Czarnikow</v>
          </cell>
        </row>
        <row r="2198">
          <cell r="A2198">
            <v>21103405</v>
          </cell>
          <cell r="B2198" t="str">
            <v>2.1.1.03.405</v>
          </cell>
          <cell r="C2198" t="str">
            <v>Adiant.Clientes Cargill</v>
          </cell>
        </row>
        <row r="2199">
          <cell r="A2199">
            <v>21103406</v>
          </cell>
          <cell r="B2199" t="str">
            <v>2.1.1.03.406</v>
          </cell>
          <cell r="C2199" t="str">
            <v>Adiant.Clientes Tate &amp; Lyle</v>
          </cell>
        </row>
        <row r="2200">
          <cell r="A2200">
            <v>21103407</v>
          </cell>
          <cell r="B2200" t="str">
            <v>2.1.1.03.407</v>
          </cell>
          <cell r="C2200" t="str">
            <v>Adiant.Clientes Alcotra</v>
          </cell>
        </row>
        <row r="2201">
          <cell r="A2201">
            <v>21104000</v>
          </cell>
          <cell r="B2201" t="str">
            <v>2.1.1.04.000</v>
          </cell>
          <cell r="C2201" t="str">
            <v>OBRIGACOES DIVERSAS</v>
          </cell>
        </row>
        <row r="2202">
          <cell r="A2202">
            <v>21104100</v>
          </cell>
          <cell r="B2202" t="str">
            <v>2.1.1.04.100</v>
          </cell>
          <cell r="C2202" t="str">
            <v>OBRIGACOES COM PESSOAL</v>
          </cell>
        </row>
        <row r="2203">
          <cell r="A2203">
            <v>21104101</v>
          </cell>
          <cell r="B2203" t="str">
            <v>2.1.1.04.101</v>
          </cell>
          <cell r="C2203" t="str">
            <v>Salarios e Ordenados</v>
          </cell>
        </row>
        <row r="2204">
          <cell r="A2204">
            <v>21104102</v>
          </cell>
          <cell r="B2204" t="str">
            <v>2.1.1.04.102</v>
          </cell>
          <cell r="C2204" t="str">
            <v>Honorarios da Diretoria</v>
          </cell>
        </row>
        <row r="2205">
          <cell r="A2205">
            <v>21104103</v>
          </cell>
          <cell r="B2205" t="str">
            <v>2.1.1.04.103</v>
          </cell>
          <cell r="C2205" t="str">
            <v>P.P.R a Pagar</v>
          </cell>
        </row>
        <row r="2206">
          <cell r="A2206">
            <v>21104104</v>
          </cell>
          <cell r="B2206" t="str">
            <v>2.1.1.04.104</v>
          </cell>
          <cell r="C2206" t="str">
            <v>Salarios e ordenados não reclamados</v>
          </cell>
        </row>
        <row r="2207">
          <cell r="A2207">
            <v>21104105</v>
          </cell>
          <cell r="B2207" t="str">
            <v>2.1.1.04.105</v>
          </cell>
          <cell r="C2207" t="str">
            <v>Pro-Labore</v>
          </cell>
        </row>
        <row r="2208">
          <cell r="A2208">
            <v>21104106</v>
          </cell>
          <cell r="B2208" t="str">
            <v>2.1.1.04.106</v>
          </cell>
          <cell r="C2208" t="str">
            <v>Salarios e Ordenados (Pgto pelo APB)</v>
          </cell>
        </row>
        <row r="2209">
          <cell r="A2209">
            <v>21105000</v>
          </cell>
          <cell r="B2209" t="str">
            <v>2.1.1.05.000</v>
          </cell>
          <cell r="C2209" t="str">
            <v>PROVISOES</v>
          </cell>
        </row>
        <row r="2210">
          <cell r="A2210">
            <v>21105100</v>
          </cell>
          <cell r="B2210" t="str">
            <v>2.1.1.05.100</v>
          </cell>
          <cell r="C2210" t="str">
            <v>PROVISOES TRABALHISTAS</v>
          </cell>
        </row>
        <row r="2211">
          <cell r="A2211">
            <v>21105101</v>
          </cell>
          <cell r="B2211" t="str">
            <v>2.1.1.05.101</v>
          </cell>
          <cell r="C2211" t="str">
            <v>Provisão para 13. Salario</v>
          </cell>
        </row>
        <row r="2212">
          <cell r="A2212">
            <v>21105102</v>
          </cell>
          <cell r="B2212" t="str">
            <v>2.1.1.05.102</v>
          </cell>
          <cell r="C2212" t="str">
            <v>Provisão para Férias</v>
          </cell>
        </row>
        <row r="2213">
          <cell r="A2213">
            <v>21105103</v>
          </cell>
          <cell r="B2213" t="str">
            <v>2.1.1.05.103</v>
          </cell>
          <cell r="C2213" t="str">
            <v>PPR - Plano de Participacao</v>
          </cell>
        </row>
        <row r="2214">
          <cell r="A2214">
            <v>21105200</v>
          </cell>
          <cell r="B2214" t="str">
            <v>2.1.1.05.200</v>
          </cell>
          <cell r="C2214" t="str">
            <v>PROVISAO MANUTENCAO DE ENTRE-SAFRA</v>
          </cell>
        </row>
        <row r="2215">
          <cell r="A2215">
            <v>21105201</v>
          </cell>
          <cell r="B2215" t="str">
            <v>2.1.1.05.201</v>
          </cell>
          <cell r="C2215" t="str">
            <v>Manutenção De Entre-Safra</v>
          </cell>
        </row>
        <row r="2216">
          <cell r="A2216">
            <v>21105300</v>
          </cell>
          <cell r="B2216" t="str">
            <v>2.1.1.05.300</v>
          </cell>
          <cell r="C2216" t="str">
            <v>OUTRAS PROVISOES</v>
          </cell>
        </row>
        <row r="2217">
          <cell r="A2217">
            <v>21105301</v>
          </cell>
          <cell r="B2217" t="str">
            <v>2.1.1.05.301</v>
          </cell>
          <cell r="C2217" t="str">
            <v>Outras Provisões</v>
          </cell>
        </row>
        <row r="2218">
          <cell r="A2218">
            <v>21106000</v>
          </cell>
          <cell r="B2218" t="str">
            <v>2.1.1.06.000</v>
          </cell>
          <cell r="C2218" t="str">
            <v>OBRIGACOES TRIBUTARIAS E SOCIAIS</v>
          </cell>
        </row>
        <row r="2219">
          <cell r="A2219">
            <v>21106100</v>
          </cell>
          <cell r="B2219" t="str">
            <v>2.1.1.06.100</v>
          </cell>
          <cell r="C2219" t="str">
            <v>OBRIGACOES TRITUTARIAS</v>
          </cell>
        </row>
        <row r="2220">
          <cell r="A2220">
            <v>21106101</v>
          </cell>
          <cell r="B2220" t="str">
            <v>2.1.1.06.101</v>
          </cell>
          <cell r="C2220" t="str">
            <v>Icms a Recolher</v>
          </cell>
        </row>
        <row r="2221">
          <cell r="A2221">
            <v>21106102</v>
          </cell>
          <cell r="B2221" t="str">
            <v>2.1.1.06.102</v>
          </cell>
          <cell r="C2221" t="str">
            <v>Ipi a Recolher</v>
          </cell>
        </row>
        <row r="2222">
          <cell r="A2222">
            <v>21106103</v>
          </cell>
          <cell r="B2222" t="str">
            <v>2.1.1.06.103</v>
          </cell>
          <cell r="C2222" t="str">
            <v>Icms Parc.Proc.002-18062/2000</v>
          </cell>
        </row>
        <row r="2223">
          <cell r="A2223">
            <v>21106104</v>
          </cell>
          <cell r="B2223" t="str">
            <v>2.1.1.06.104</v>
          </cell>
          <cell r="C2223" t="str">
            <v>Pis a Recolher</v>
          </cell>
        </row>
        <row r="2224">
          <cell r="A2224">
            <v>21106105</v>
          </cell>
          <cell r="B2224" t="str">
            <v>2.1.1.06.105</v>
          </cell>
          <cell r="C2224" t="str">
            <v>Cofins a Recolher</v>
          </cell>
        </row>
        <row r="2225">
          <cell r="A2225">
            <v>21106106</v>
          </cell>
          <cell r="B2225" t="str">
            <v>2.1.1.06.106</v>
          </cell>
          <cell r="C2225" t="str">
            <v>IRRF a Recolher</v>
          </cell>
        </row>
        <row r="2226">
          <cell r="A2226">
            <v>21106107</v>
          </cell>
          <cell r="B2226" t="str">
            <v>2.1.1.06.107</v>
          </cell>
          <cell r="C2226" t="str">
            <v>Iss a Recolher</v>
          </cell>
        </row>
        <row r="2227">
          <cell r="A2227">
            <v>21106108</v>
          </cell>
          <cell r="B2227" t="str">
            <v>2.1.1.06.108</v>
          </cell>
          <cell r="C2227" t="str">
            <v>Cofins Parc.Proc.10820.0022201/98-17</v>
          </cell>
        </row>
        <row r="2228">
          <cell r="A2228">
            <v>21106109</v>
          </cell>
          <cell r="B2228" t="str">
            <v>2.1.1.06.109</v>
          </cell>
          <cell r="C2228" t="str">
            <v>Pis Parc.Proc.10820.000.277/99-19</v>
          </cell>
        </row>
        <row r="2229">
          <cell r="A2229">
            <v>21106110</v>
          </cell>
          <cell r="B2229" t="str">
            <v>2.1.1.06.110</v>
          </cell>
          <cell r="C2229" t="str">
            <v>Finsocial Parc.Proc.10820.000123/9350</v>
          </cell>
        </row>
        <row r="2230">
          <cell r="A2230">
            <v>21106111</v>
          </cell>
          <cell r="B2230" t="str">
            <v>2.1.1.06.111</v>
          </cell>
          <cell r="C2230" t="str">
            <v>Irpj/Cssl a Recolher</v>
          </cell>
        </row>
        <row r="2231">
          <cell r="A2231">
            <v>21106112</v>
          </cell>
          <cell r="B2231" t="str">
            <v>2.1.1.06.112</v>
          </cell>
          <cell r="C2231" t="str">
            <v>Irpj a Recolher</v>
          </cell>
        </row>
        <row r="2232">
          <cell r="A2232">
            <v>21106113</v>
          </cell>
          <cell r="B2232" t="str">
            <v>2.1.1.06.113</v>
          </cell>
          <cell r="C2232" t="str">
            <v>Contrib.Social s/Lucro a Recolher</v>
          </cell>
        </row>
        <row r="2233">
          <cell r="A2233">
            <v>21106114</v>
          </cell>
          <cell r="B2233" t="str">
            <v>2.1.1.06.114</v>
          </cell>
          <cell r="C2233" t="str">
            <v>Icms Parc.Proc.090.114.081</v>
          </cell>
        </row>
        <row r="2234">
          <cell r="A2234">
            <v>21106115</v>
          </cell>
          <cell r="B2234" t="str">
            <v>2.1.1.06.115</v>
          </cell>
          <cell r="C2234" t="str">
            <v>Refis Parc.Processo 3342/2000</v>
          </cell>
        </row>
        <row r="2235">
          <cell r="A2235">
            <v>21106116</v>
          </cell>
          <cell r="B2235" t="str">
            <v>2.1.1.06.116</v>
          </cell>
          <cell r="C2235" t="str">
            <v>C.I.D.E. s/importação</v>
          </cell>
        </row>
        <row r="2236">
          <cell r="A2236">
            <v>21106117</v>
          </cell>
          <cell r="B2236" t="str">
            <v>2.1.1.06.117</v>
          </cell>
          <cell r="C2236" t="str">
            <v>Icms Parc.Pedido 3.242.877</v>
          </cell>
        </row>
        <row r="2237">
          <cell r="A2237">
            <v>21106118</v>
          </cell>
          <cell r="B2237" t="str">
            <v>2.1.1.06.118</v>
          </cell>
          <cell r="C2237" t="str">
            <v>Icms Parc.Pedido 5350024/1/2/3</v>
          </cell>
        </row>
        <row r="2238">
          <cell r="A2238">
            <v>21106119</v>
          </cell>
          <cell r="B2238" t="str">
            <v>2.1.1.06.119</v>
          </cell>
          <cell r="C2238" t="str">
            <v>FAI a recolher - Fundo Apoio Industriali</v>
          </cell>
        </row>
        <row r="2239">
          <cell r="A2239">
            <v>21106120</v>
          </cell>
          <cell r="B2239" t="str">
            <v>2.1.1.06.120</v>
          </cell>
          <cell r="C2239" t="str">
            <v>PAEX - Parcelamento MP 303</v>
          </cell>
        </row>
        <row r="2240">
          <cell r="A2240">
            <v>21106121</v>
          </cell>
          <cell r="B2240" t="str">
            <v>2.1.1.06.121</v>
          </cell>
          <cell r="C2240" t="str">
            <v>Impostos diversos</v>
          </cell>
        </row>
        <row r="2241">
          <cell r="A2241">
            <v>21106122</v>
          </cell>
          <cell r="B2241" t="str">
            <v>2.1.1.06.122</v>
          </cell>
          <cell r="C2241" t="str">
            <v>PAEX INSS - PARCELAMENTO MP 303</v>
          </cell>
        </row>
        <row r="2242">
          <cell r="A2242">
            <v>21106123</v>
          </cell>
          <cell r="B2242" t="str">
            <v>2.1.1.06.123</v>
          </cell>
          <cell r="C2242" t="str">
            <v>PAEX - PROCESSO 10820450166</v>
          </cell>
        </row>
        <row r="2243">
          <cell r="A2243">
            <v>21106124</v>
          </cell>
          <cell r="B2243" t="str">
            <v>2.1.1.06.124</v>
          </cell>
          <cell r="C2243" t="str">
            <v>IRPJ/CSLL Compensado a maior em 96</v>
          </cell>
        </row>
        <row r="2244">
          <cell r="A2244">
            <v>21106125</v>
          </cell>
          <cell r="B2244" t="str">
            <v>2.1.1.06.125</v>
          </cell>
          <cell r="C2244" t="str">
            <v>IR/CS Diferidos</v>
          </cell>
        </row>
        <row r="2245">
          <cell r="A2245">
            <v>21106126</v>
          </cell>
          <cell r="B2245" t="str">
            <v>2.1.1.06.126</v>
          </cell>
          <cell r="C2245" t="str">
            <v>Icms a iim 3046/3054</v>
          </cell>
        </row>
        <row r="2246">
          <cell r="A2246">
            <v>21106127</v>
          </cell>
          <cell r="B2246" t="str">
            <v>2.1.1.06.127</v>
          </cell>
          <cell r="C2246" t="str">
            <v>ITR-Imposto Territorial Rural</v>
          </cell>
        </row>
        <row r="2247">
          <cell r="A2247">
            <v>21106128</v>
          </cell>
          <cell r="B2247" t="str">
            <v>2.1.1.06.128</v>
          </cell>
          <cell r="C2247" t="str">
            <v>IOF - Imposto s/ operaçoes financeiras</v>
          </cell>
        </row>
        <row r="2248">
          <cell r="A2248">
            <v>21106129</v>
          </cell>
          <cell r="B2248" t="str">
            <v>2.1.1.06.129</v>
          </cell>
          <cell r="C2248" t="str">
            <v>Icms Parc. 3.242.659</v>
          </cell>
        </row>
        <row r="2249">
          <cell r="A2249">
            <v>21106130</v>
          </cell>
          <cell r="B2249" t="str">
            <v>2.1.1.06.130</v>
          </cell>
          <cell r="C2249" t="str">
            <v>INSS Empresa parcelamento</v>
          </cell>
        </row>
        <row r="2250">
          <cell r="A2250">
            <v>21106131</v>
          </cell>
          <cell r="B2250" t="str">
            <v>2.1.1.06.131</v>
          </cell>
          <cell r="C2250" t="str">
            <v>ICMS Parc.4.193.526</v>
          </cell>
        </row>
        <row r="2251">
          <cell r="A2251">
            <v>21106132</v>
          </cell>
          <cell r="B2251" t="str">
            <v>2.1.1.06.132</v>
          </cell>
          <cell r="C2251" t="str">
            <v>Icms Parc.608793-6</v>
          </cell>
        </row>
        <row r="2252">
          <cell r="A2252">
            <v>21106133</v>
          </cell>
          <cell r="B2252" t="str">
            <v>2.1.1.06.133</v>
          </cell>
          <cell r="C2252" t="str">
            <v>INSS PARCEL.36.662.659-0</v>
          </cell>
        </row>
        <row r="2253">
          <cell r="A2253">
            <v>21106134</v>
          </cell>
          <cell r="B2253" t="str">
            <v>2.1.1.06.134</v>
          </cell>
          <cell r="C2253" t="str">
            <v>Parcelamento AIM 3.102.516-0</v>
          </cell>
        </row>
        <row r="2254">
          <cell r="A2254">
            <v>21106135</v>
          </cell>
          <cell r="B2254" t="str">
            <v>2.1.1.06.135</v>
          </cell>
          <cell r="C2254" t="str">
            <v>ICMS Parc 1.006.370.440</v>
          </cell>
        </row>
        <row r="2255">
          <cell r="A2255">
            <v>21106136</v>
          </cell>
          <cell r="B2255" t="str">
            <v>2.1.1.06.136</v>
          </cell>
          <cell r="C2255" t="str">
            <v>ICMS Parc.013/0008/10</v>
          </cell>
        </row>
        <row r="2256">
          <cell r="A2256">
            <v>21106137</v>
          </cell>
          <cell r="B2256" t="str">
            <v>2.1.1.06.137</v>
          </cell>
          <cell r="C2256" t="str">
            <v>AVP - ICMS parcelamentos</v>
          </cell>
        </row>
        <row r="2257">
          <cell r="A2257">
            <v>21106138</v>
          </cell>
          <cell r="B2257" t="str">
            <v>2.1.1.06.138</v>
          </cell>
          <cell r="C2257" t="str">
            <v>Parc. simplificado IRPJ</v>
          </cell>
        </row>
        <row r="2258">
          <cell r="A2258">
            <v>21106139</v>
          </cell>
          <cell r="B2258" t="str">
            <v>2.1.1.06.139</v>
          </cell>
          <cell r="C2258" t="str">
            <v>Parc. Simplificado CSLL</v>
          </cell>
        </row>
        <row r="2259">
          <cell r="A2259">
            <v>21106140</v>
          </cell>
          <cell r="B2259" t="str">
            <v>2.1.1.06.140</v>
          </cell>
          <cell r="C2259" t="str">
            <v>Parcel. Simplificado IR Folha</v>
          </cell>
        </row>
        <row r="2260">
          <cell r="A2260">
            <v>21106141</v>
          </cell>
          <cell r="B2260" t="str">
            <v>2.1.1.06.141</v>
          </cell>
          <cell r="C2260" t="str">
            <v>Parcel ICMS AIM 1.006.388.507</v>
          </cell>
        </row>
        <row r="2261">
          <cell r="A2261">
            <v>21106142</v>
          </cell>
          <cell r="B2261" t="str">
            <v>2.1.1.06.142</v>
          </cell>
          <cell r="C2261" t="str">
            <v>INSS PARC. 36662583-7</v>
          </cell>
        </row>
        <row r="2262">
          <cell r="A2262">
            <v>21106143</v>
          </cell>
          <cell r="B2262" t="str">
            <v>2.1.1.06.143</v>
          </cell>
          <cell r="C2262" t="str">
            <v>INSS PARCEL FATUR E EMPR</v>
          </cell>
        </row>
        <row r="2263">
          <cell r="A2263">
            <v>21106144</v>
          </cell>
          <cell r="B2263" t="str">
            <v>2.1.1.06.144</v>
          </cell>
          <cell r="C2263" t="str">
            <v>INSS PARC 36947856-8</v>
          </cell>
        </row>
        <row r="2264">
          <cell r="A2264">
            <v>21106145</v>
          </cell>
          <cell r="B2264" t="str">
            <v>2.1.1.06.145</v>
          </cell>
          <cell r="C2264" t="str">
            <v>INSS PARC 36947856-8</v>
          </cell>
        </row>
        <row r="2265">
          <cell r="A2265">
            <v>21106146</v>
          </cell>
          <cell r="B2265" t="str">
            <v>2.1.1.06.146</v>
          </cell>
          <cell r="C2265" t="str">
            <v>INSS REC FEDERAL</v>
          </cell>
        </row>
        <row r="2266">
          <cell r="A2266">
            <v>21106147</v>
          </cell>
          <cell r="B2266" t="str">
            <v>2.1.1.06.147</v>
          </cell>
          <cell r="C2266" t="str">
            <v>ICMS PARCELAMENRO</v>
          </cell>
        </row>
        <row r="2267">
          <cell r="A2267">
            <v>21106148</v>
          </cell>
          <cell r="B2267" t="str">
            <v>2.1.1.06.148</v>
          </cell>
          <cell r="C2267" t="str">
            <v>ICms Parcela AIMM</v>
          </cell>
        </row>
        <row r="2268">
          <cell r="A2268">
            <v>21106200</v>
          </cell>
          <cell r="B2268" t="str">
            <v>2.1.1.06.200</v>
          </cell>
          <cell r="C2268" t="str">
            <v>OBRIGACOES SOCIAIS</v>
          </cell>
        </row>
        <row r="2269">
          <cell r="A2269">
            <v>21106201</v>
          </cell>
          <cell r="B2269" t="str">
            <v>2.1.1.06.201</v>
          </cell>
          <cell r="C2269" t="str">
            <v>Inss a Recolher</v>
          </cell>
        </row>
        <row r="2270">
          <cell r="A2270">
            <v>21106202</v>
          </cell>
          <cell r="B2270" t="str">
            <v>2.1.1.06.202</v>
          </cell>
          <cell r="C2270" t="str">
            <v>Fgts a Recolher</v>
          </cell>
        </row>
        <row r="2271">
          <cell r="A2271">
            <v>21106203</v>
          </cell>
          <cell r="B2271" t="str">
            <v>2.1.1.06.203</v>
          </cell>
          <cell r="C2271" t="str">
            <v>Funrural a Recolher</v>
          </cell>
        </row>
        <row r="2272">
          <cell r="A2272">
            <v>21106204</v>
          </cell>
          <cell r="B2272" t="str">
            <v>2.1.1.06.204</v>
          </cell>
          <cell r="C2272" t="str">
            <v>Contrib. Sindical e Assist. a Recolher</v>
          </cell>
        </row>
        <row r="2273">
          <cell r="A2273">
            <v>21106205</v>
          </cell>
          <cell r="B2273" t="str">
            <v>2.1.1.06.205</v>
          </cell>
          <cell r="C2273" t="str">
            <v>Contrib.Assistencial a Recolher</v>
          </cell>
        </row>
        <row r="2274">
          <cell r="A2274">
            <v>21106206</v>
          </cell>
          <cell r="B2274" t="str">
            <v>2.1.1.06.206</v>
          </cell>
          <cell r="C2274" t="str">
            <v>Iss Retenção De Terceiros (nao usar)</v>
          </cell>
        </row>
        <row r="2275">
          <cell r="A2275">
            <v>21106207</v>
          </cell>
          <cell r="B2275" t="str">
            <v>2.1.1.06.207</v>
          </cell>
          <cell r="C2275" t="str">
            <v>Inss a Recolher Terceiros</v>
          </cell>
        </row>
        <row r="2276">
          <cell r="A2276">
            <v>21106208</v>
          </cell>
          <cell r="B2276" t="str">
            <v>2.1.1.06.208</v>
          </cell>
          <cell r="C2276" t="str">
            <v>Salario Ed.Parc.35839645</v>
          </cell>
        </row>
        <row r="2277">
          <cell r="A2277">
            <v>21106209</v>
          </cell>
          <cell r="B2277" t="str">
            <v>2.1.1.06.209</v>
          </cell>
          <cell r="C2277" t="str">
            <v>Salario Ed.Parc.65919418</v>
          </cell>
        </row>
        <row r="2278">
          <cell r="A2278">
            <v>21106210</v>
          </cell>
          <cell r="B2278" t="str">
            <v>2.1.1.06.210</v>
          </cell>
          <cell r="C2278" t="str">
            <v>Salario Ed.Proc.23034.001387/97-17</v>
          </cell>
        </row>
        <row r="2279">
          <cell r="A2279">
            <v>21106211</v>
          </cell>
          <cell r="B2279" t="str">
            <v>2.1.1.06.211</v>
          </cell>
          <cell r="C2279" t="str">
            <v>Retenção Trib. Federais Lei 10833/03</v>
          </cell>
        </row>
        <row r="2280">
          <cell r="A2280">
            <v>21106212</v>
          </cell>
          <cell r="B2280" t="str">
            <v>2.1.1.06.212</v>
          </cell>
          <cell r="C2280" t="str">
            <v>Salario Ed.Proc.23034.001175/09-20</v>
          </cell>
        </row>
        <row r="2281">
          <cell r="A2281">
            <v>21106213</v>
          </cell>
          <cell r="B2281" t="str">
            <v>2.1.1.06.213</v>
          </cell>
          <cell r="C2281" t="str">
            <v>Refis III -lei 11.941/08</v>
          </cell>
        </row>
        <row r="2282">
          <cell r="A2282">
            <v>21107000</v>
          </cell>
          <cell r="B2282" t="str">
            <v>2.1.1.07.000</v>
          </cell>
          <cell r="C2282" t="str">
            <v>TITULOS SISTEMA ANTERIOR</v>
          </cell>
        </row>
        <row r="2283">
          <cell r="A2283">
            <v>21107100</v>
          </cell>
          <cell r="B2283" t="str">
            <v>2.1.1.07.100</v>
          </cell>
          <cell r="C2283" t="str">
            <v>TITULOS SISTEMA ANTERIOR</v>
          </cell>
        </row>
        <row r="2284">
          <cell r="A2284">
            <v>21107101</v>
          </cell>
          <cell r="B2284" t="str">
            <v>2.1.1.07.101</v>
          </cell>
          <cell r="C2284" t="str">
            <v>Titulos a pagar sistema anterior</v>
          </cell>
        </row>
        <row r="2285">
          <cell r="A2285">
            <v>21108000</v>
          </cell>
          <cell r="B2285" t="str">
            <v>2.1.1.08.000</v>
          </cell>
          <cell r="C2285" t="str">
            <v>OBRIGAÇÕES COM TERCEIROS</v>
          </cell>
        </row>
        <row r="2286">
          <cell r="A2286">
            <v>21108100</v>
          </cell>
          <cell r="B2286" t="str">
            <v>2.1.1.08.100</v>
          </cell>
          <cell r="C2286" t="str">
            <v>OBRIGAÇÕES COM TERCEIROS</v>
          </cell>
        </row>
        <row r="2287">
          <cell r="A2287">
            <v>21108101</v>
          </cell>
          <cell r="B2287" t="str">
            <v>2.1.1.08.101</v>
          </cell>
          <cell r="C2287" t="str">
            <v>Pensão Alimentícia</v>
          </cell>
        </row>
        <row r="2288">
          <cell r="A2288">
            <v>21108102</v>
          </cell>
          <cell r="B2288" t="str">
            <v>2.1.1.08.102</v>
          </cell>
          <cell r="C2288" t="str">
            <v>Mensalidade de Clube a PAgar</v>
          </cell>
        </row>
        <row r="2289">
          <cell r="A2289">
            <v>21108103</v>
          </cell>
          <cell r="B2289" t="str">
            <v>2.1.1.08.103</v>
          </cell>
          <cell r="C2289" t="str">
            <v>Estoque de Terceiros em Nosso Poder</v>
          </cell>
        </row>
        <row r="2290">
          <cell r="A2290">
            <v>21108104</v>
          </cell>
          <cell r="B2290" t="str">
            <v>2.1.1.08.104</v>
          </cell>
          <cell r="C2290" t="str">
            <v>Bradesco - Emprestimo de Funcionarios</v>
          </cell>
        </row>
        <row r="2291">
          <cell r="A2291">
            <v>21108105</v>
          </cell>
          <cell r="B2291" t="str">
            <v>2.1.1.08.105</v>
          </cell>
          <cell r="C2291" t="str">
            <v>Brasil - Emprestimo de Funcionarios</v>
          </cell>
        </row>
        <row r="2292">
          <cell r="A2292">
            <v>21108106</v>
          </cell>
          <cell r="B2292" t="str">
            <v>2.1.1.08.106</v>
          </cell>
          <cell r="C2292" t="str">
            <v>Luiz Roberto Barrancos-Sopesa</v>
          </cell>
        </row>
        <row r="2293">
          <cell r="A2293">
            <v>21108107</v>
          </cell>
          <cell r="B2293" t="str">
            <v>2.1.1.08.107</v>
          </cell>
          <cell r="C2293" t="str">
            <v>Pis Empresa -  Colaboradores</v>
          </cell>
        </row>
        <row r="2294">
          <cell r="A2294">
            <v>21108108</v>
          </cell>
          <cell r="B2294" t="str">
            <v>2.1.1.08.108</v>
          </cell>
          <cell r="C2294" t="str">
            <v>Seguros Diversos a Pagar</v>
          </cell>
        </row>
        <row r="2295">
          <cell r="A2295">
            <v>21108109</v>
          </cell>
          <cell r="B2295" t="str">
            <v>2.1.1.08.109</v>
          </cell>
          <cell r="C2295" t="str">
            <v>Provisão de honorarios advocaticios</v>
          </cell>
        </row>
        <row r="2296">
          <cell r="A2296">
            <v>21108110</v>
          </cell>
          <cell r="B2296" t="str">
            <v>2.1.1.08.110</v>
          </cell>
          <cell r="C2296" t="str">
            <v>Beneficiamento Entrada/Saida</v>
          </cell>
        </row>
        <row r="2297">
          <cell r="A2297">
            <v>21108114</v>
          </cell>
          <cell r="B2297" t="str">
            <v>2.1.1.08.114</v>
          </cell>
          <cell r="C2297" t="str">
            <v>Beneficiamento de Açúcar</v>
          </cell>
        </row>
        <row r="2298">
          <cell r="A2298">
            <v>21108115</v>
          </cell>
          <cell r="B2298" t="str">
            <v>2.1.1.08.115</v>
          </cell>
          <cell r="C2298" t="str">
            <v>Beneficiamento de Álcool</v>
          </cell>
        </row>
        <row r="2299">
          <cell r="A2299">
            <v>21108116</v>
          </cell>
          <cell r="B2299" t="str">
            <v>2.1.1.08.116</v>
          </cell>
          <cell r="C2299" t="str">
            <v>Adiantamento a futuro aumento de capital</v>
          </cell>
        </row>
        <row r="2300">
          <cell r="A2300">
            <v>22000000</v>
          </cell>
          <cell r="B2300" t="str">
            <v>2.2.0.00.000</v>
          </cell>
          <cell r="C2300" t="str">
            <v>EXIGIVEL A LONGO PRAZO</v>
          </cell>
        </row>
        <row r="2301">
          <cell r="A2301">
            <v>22100000</v>
          </cell>
          <cell r="B2301" t="str">
            <v>2.2.1.00.000</v>
          </cell>
          <cell r="C2301" t="str">
            <v>EXIGIVEL A LONGO PRAZO</v>
          </cell>
        </row>
        <row r="2302">
          <cell r="A2302">
            <v>22101000</v>
          </cell>
          <cell r="B2302" t="str">
            <v>2.2.1.01.000</v>
          </cell>
          <cell r="C2302" t="str">
            <v>EMPRESTIMOS</v>
          </cell>
        </row>
        <row r="2303">
          <cell r="A2303">
            <v>22101100</v>
          </cell>
          <cell r="B2303" t="str">
            <v>2.2.1.01.100</v>
          </cell>
          <cell r="C2303" t="str">
            <v>FINANCIAMENTOS BANCARIOS</v>
          </cell>
        </row>
        <row r="2304">
          <cell r="A2304">
            <v>22101101</v>
          </cell>
          <cell r="B2304" t="str">
            <v>2.2.1.01.101</v>
          </cell>
          <cell r="C2304" t="str">
            <v>Securitização - Banco do Brasil S/A LP</v>
          </cell>
        </row>
        <row r="2305">
          <cell r="A2305">
            <v>22101102</v>
          </cell>
          <cell r="B2305" t="str">
            <v>2.2.1.01.102</v>
          </cell>
          <cell r="C2305" t="str">
            <v>PPE Banqueiro - Banco Itau BBA S/A - LP</v>
          </cell>
        </row>
        <row r="2306">
          <cell r="A2306">
            <v>22101103</v>
          </cell>
          <cell r="B2306" t="str">
            <v>2.2.1.01.103</v>
          </cell>
          <cell r="C2306" t="str">
            <v>Banco Bradesco S/A Pesa - LP</v>
          </cell>
        </row>
        <row r="2307">
          <cell r="A2307">
            <v>22101104</v>
          </cell>
          <cell r="B2307" t="str">
            <v>2.2.1.01.104</v>
          </cell>
          <cell r="C2307" t="str">
            <v>Banco Itau BBA - 2770</v>
          </cell>
        </row>
        <row r="2308">
          <cell r="A2308">
            <v>22101105</v>
          </cell>
          <cell r="B2308" t="str">
            <v>2.2.1.01.105</v>
          </cell>
          <cell r="C2308" t="str">
            <v>PPE HSH Nordbank International S/A</v>
          </cell>
        </row>
        <row r="2309">
          <cell r="A2309">
            <v>22101106</v>
          </cell>
          <cell r="B2309" t="str">
            <v>2.2.1.01.106</v>
          </cell>
          <cell r="C2309" t="str">
            <v>PPE Banco Real ABN Anro</v>
          </cell>
        </row>
        <row r="2310">
          <cell r="A2310">
            <v>22101107</v>
          </cell>
          <cell r="B2310" t="str">
            <v>2.2.1.01.107</v>
          </cell>
          <cell r="C2310" t="str">
            <v>Procop - Banco Banespa S/A - LP</v>
          </cell>
        </row>
        <row r="2311">
          <cell r="A2311">
            <v>22101108</v>
          </cell>
          <cell r="B2311" t="str">
            <v>2.2.1.01.108</v>
          </cell>
          <cell r="C2311" t="str">
            <v>Finame- Banco Itau BBA S/A LP</v>
          </cell>
        </row>
        <row r="2312">
          <cell r="A2312">
            <v>22101109</v>
          </cell>
          <cell r="B2312" t="str">
            <v>2.2.1.01.109</v>
          </cell>
          <cell r="C2312" t="str">
            <v>Finame Bradesco S/A - LP</v>
          </cell>
        </row>
        <row r="2313">
          <cell r="A2313">
            <v>22101110</v>
          </cell>
          <cell r="B2313" t="str">
            <v>2.2.1.01.110</v>
          </cell>
          <cell r="C2313" t="str">
            <v>Finame Banco do Brasil S/A - LP</v>
          </cell>
        </row>
        <row r="2314">
          <cell r="A2314">
            <v>22101111</v>
          </cell>
          <cell r="B2314" t="str">
            <v>2.2.1.01.111</v>
          </cell>
          <cell r="C2314" t="str">
            <v>Pré Pgto - Natexis Banques Popularies</v>
          </cell>
        </row>
        <row r="2315">
          <cell r="A2315">
            <v>22101112</v>
          </cell>
          <cell r="B2315" t="str">
            <v>2.2.1.01.112</v>
          </cell>
          <cell r="C2315" t="str">
            <v>3-FCO Rural Bco Brasil (contrato antig</v>
          </cell>
        </row>
        <row r="2316">
          <cell r="A2316">
            <v>22101113</v>
          </cell>
          <cell r="B2316" t="str">
            <v>2.2.1.01.113</v>
          </cell>
          <cell r="C2316" t="str">
            <v>3-FCO Novo Banco do Brasil</v>
          </cell>
        </row>
        <row r="2317">
          <cell r="A2317">
            <v>22101114</v>
          </cell>
          <cell r="B2317" t="str">
            <v>2.2.1.01.114</v>
          </cell>
          <cell r="C2317" t="str">
            <v>Pré Pagto Cargill Financial Services</v>
          </cell>
        </row>
        <row r="2318">
          <cell r="A2318">
            <v>22101115</v>
          </cell>
          <cell r="B2318" t="str">
            <v>2.2.1.01.115</v>
          </cell>
          <cell r="C2318" t="str">
            <v>Pré Pagto Czarnikow Sugar Limited</v>
          </cell>
        </row>
        <row r="2319">
          <cell r="A2319">
            <v>22101116</v>
          </cell>
          <cell r="B2319" t="str">
            <v>2.2.1.01.116</v>
          </cell>
          <cell r="C2319" t="str">
            <v>HSBC Finames LP</v>
          </cell>
        </row>
        <row r="2320">
          <cell r="A2320">
            <v>22101117</v>
          </cell>
          <cell r="B2320" t="str">
            <v>2.2.1.01.117</v>
          </cell>
          <cell r="C2320" t="str">
            <v>Finame Santander LP</v>
          </cell>
        </row>
        <row r="2321">
          <cell r="A2321">
            <v>22101118</v>
          </cell>
          <cell r="B2321" t="str">
            <v>2.2.1.01.118</v>
          </cell>
          <cell r="C2321" t="str">
            <v>Pré Pagto Export. Bco Brasil</v>
          </cell>
        </row>
        <row r="2322">
          <cell r="A2322">
            <v>22101119</v>
          </cell>
          <cell r="B2322" t="str">
            <v>2.2.1.01.119</v>
          </cell>
          <cell r="C2322" t="str">
            <v>Bpn Brasil Bco Multiplo</v>
          </cell>
        </row>
        <row r="2323">
          <cell r="A2323">
            <v>22101120</v>
          </cell>
          <cell r="B2323" t="str">
            <v>2.2.1.01.120</v>
          </cell>
          <cell r="C2323" t="str">
            <v>Banco Bradesco - Pré pgto export</v>
          </cell>
        </row>
        <row r="2324">
          <cell r="A2324">
            <v>22101121</v>
          </cell>
          <cell r="B2324" t="str">
            <v>2.2.1.01.121</v>
          </cell>
          <cell r="C2324" t="str">
            <v>PPE - Banco Cargill</v>
          </cell>
        </row>
        <row r="2325">
          <cell r="A2325">
            <v>22101122</v>
          </cell>
          <cell r="B2325" t="str">
            <v>2.2.1.01.122</v>
          </cell>
          <cell r="C2325" t="str">
            <v>IFC- Interational Finance Corporation</v>
          </cell>
        </row>
        <row r="2326">
          <cell r="A2326">
            <v>22101123</v>
          </cell>
          <cell r="B2326" t="str">
            <v>2.2.1.01.123</v>
          </cell>
          <cell r="C2326" t="str">
            <v>Banco do Brasil -Colhedoras</v>
          </cell>
        </row>
        <row r="2327">
          <cell r="A2327">
            <v>22101124</v>
          </cell>
          <cell r="B2327" t="str">
            <v>2.2.1.01.124</v>
          </cell>
          <cell r="C2327" t="str">
            <v>PPE Banco Ing</v>
          </cell>
        </row>
        <row r="2328">
          <cell r="A2328">
            <v>22101125</v>
          </cell>
          <cell r="B2328" t="str">
            <v>2.2.1.01.125</v>
          </cell>
          <cell r="C2328" t="str">
            <v>Leasing - Financeiro</v>
          </cell>
        </row>
        <row r="2329">
          <cell r="A2329">
            <v>22101126</v>
          </cell>
          <cell r="B2329" t="str">
            <v>2.2.1.01.126</v>
          </cell>
          <cell r="C2329" t="str">
            <v>Pesa - RTT</v>
          </cell>
        </row>
        <row r="2330">
          <cell r="A2330">
            <v>22101127</v>
          </cell>
          <cell r="B2330" t="str">
            <v>2.2.1.01.127</v>
          </cell>
          <cell r="C2330" t="str">
            <v>Banco Pine - Cap.giro/CCB</v>
          </cell>
        </row>
        <row r="2331">
          <cell r="A2331">
            <v>22101128</v>
          </cell>
          <cell r="B2331" t="str">
            <v>2.2.1.01.128</v>
          </cell>
          <cell r="C2331" t="str">
            <v>Banco Ind.Bic - NCE</v>
          </cell>
        </row>
        <row r="2332">
          <cell r="A2332">
            <v>22101129</v>
          </cell>
          <cell r="B2332" t="str">
            <v>2.2.1.01.129</v>
          </cell>
          <cell r="C2332" t="str">
            <v>Banco Itau - CCB</v>
          </cell>
        </row>
        <row r="2333">
          <cell r="A2333">
            <v>22101130</v>
          </cell>
          <cell r="B2333" t="str">
            <v>2.2.1.01.130</v>
          </cell>
          <cell r="C2333" t="str">
            <v>Bradesco - Capital de Giro/CCB</v>
          </cell>
        </row>
        <row r="2334">
          <cell r="A2334">
            <v>22101131</v>
          </cell>
          <cell r="B2334" t="str">
            <v>2.2.1.01.131</v>
          </cell>
          <cell r="C2334" t="str">
            <v>Banco BBM - Cap. Giro</v>
          </cell>
        </row>
        <row r="2335">
          <cell r="A2335">
            <v>22101132</v>
          </cell>
          <cell r="B2335" t="str">
            <v>2.2.1.01.132</v>
          </cell>
          <cell r="C2335" t="str">
            <v>Banco Cargill -ACC</v>
          </cell>
        </row>
        <row r="2336">
          <cell r="A2336">
            <v>22101133</v>
          </cell>
          <cell r="B2336" t="str">
            <v>2.2.1.01.133</v>
          </cell>
          <cell r="C2336" t="str">
            <v>ACC- HSBC Bamerindus</v>
          </cell>
        </row>
        <row r="2337">
          <cell r="A2337">
            <v>22101134</v>
          </cell>
          <cell r="B2337" t="str">
            <v>2.2.1.01.134</v>
          </cell>
          <cell r="C2337" t="str">
            <v>PPE Banqueiro - BBA Creditanstalt-LP</v>
          </cell>
        </row>
        <row r="2338">
          <cell r="A2338">
            <v>22101135</v>
          </cell>
          <cell r="B2338" t="str">
            <v>2.2.1.01.135</v>
          </cell>
          <cell r="C2338" t="str">
            <v>PPE Santander</v>
          </cell>
        </row>
        <row r="2339">
          <cell r="A2339">
            <v>22101136</v>
          </cell>
          <cell r="B2339" t="str">
            <v>2.2.1.01.136</v>
          </cell>
          <cell r="C2339" t="str">
            <v>ACC - Banco Bradesco</v>
          </cell>
        </row>
        <row r="2340">
          <cell r="A2340">
            <v>22101137</v>
          </cell>
          <cell r="B2340" t="str">
            <v>2.2.1.01.137</v>
          </cell>
          <cell r="C2340" t="str">
            <v>Banco Colombia</v>
          </cell>
        </row>
        <row r="2341">
          <cell r="A2341">
            <v>22101138</v>
          </cell>
          <cell r="B2341" t="str">
            <v>2.2.1.01.138</v>
          </cell>
          <cell r="C2341" t="str">
            <v>Banco Westrust</v>
          </cell>
        </row>
        <row r="2342">
          <cell r="A2342">
            <v>22101145</v>
          </cell>
          <cell r="B2342" t="str">
            <v>2.2.1.01.145</v>
          </cell>
          <cell r="C2342" t="str">
            <v>ACC Banco Santander</v>
          </cell>
        </row>
        <row r="2343">
          <cell r="A2343">
            <v>22101146</v>
          </cell>
          <cell r="B2343" t="str">
            <v>2.2.1.01.146</v>
          </cell>
          <cell r="C2343" t="str">
            <v>ACC Banco Itau BBA</v>
          </cell>
        </row>
        <row r="2344">
          <cell r="A2344">
            <v>22101147</v>
          </cell>
          <cell r="B2344" t="str">
            <v>2.2.1.01.147</v>
          </cell>
          <cell r="C2344" t="str">
            <v>NCE Santander S/A</v>
          </cell>
        </row>
        <row r="2345">
          <cell r="A2345">
            <v>22101148</v>
          </cell>
          <cell r="B2345" t="str">
            <v>2.2.1.01.148</v>
          </cell>
          <cell r="C2345" t="str">
            <v>HSBC -Cap.Giro/CCB</v>
          </cell>
        </row>
        <row r="2346">
          <cell r="A2346">
            <v>22101149</v>
          </cell>
          <cell r="B2346" t="str">
            <v>2.2.1.01.149</v>
          </cell>
          <cell r="C2346" t="str">
            <v>ACC -Banco Votorantin</v>
          </cell>
        </row>
        <row r="2347">
          <cell r="A2347">
            <v>22101150</v>
          </cell>
          <cell r="B2347" t="str">
            <v>2.2.1.01.150</v>
          </cell>
          <cell r="C2347" t="str">
            <v>Financiamentos -RTT</v>
          </cell>
        </row>
        <row r="2348">
          <cell r="A2348">
            <v>22101152</v>
          </cell>
          <cell r="B2348" t="str">
            <v>2.2.1.01.152</v>
          </cell>
          <cell r="C2348" t="str">
            <v>Emprestimos renegociaçoes -RTT</v>
          </cell>
        </row>
        <row r="2349">
          <cell r="A2349">
            <v>22101153</v>
          </cell>
          <cell r="B2349" t="str">
            <v>2.2.1.01.153</v>
          </cell>
          <cell r="C2349" t="str">
            <v>Banco Votorantim -CCB</v>
          </cell>
        </row>
        <row r="2350">
          <cell r="A2350">
            <v>22101154</v>
          </cell>
          <cell r="B2350" t="str">
            <v>2.2.1.01.154</v>
          </cell>
          <cell r="C2350" t="str">
            <v>Banco Santander - Cap. giro/CCB</v>
          </cell>
        </row>
        <row r="2351">
          <cell r="A2351">
            <v>22101155</v>
          </cell>
          <cell r="B2351" t="str">
            <v>2.2.1.01.155</v>
          </cell>
          <cell r="C2351" t="str">
            <v>Banco do Brasil -custeio Agricola</v>
          </cell>
        </row>
        <row r="2352">
          <cell r="A2352">
            <v>22101156</v>
          </cell>
          <cell r="B2352" t="str">
            <v>2.2.1.01.156</v>
          </cell>
          <cell r="C2352" t="str">
            <v>ACC- Banco BBM S/A</v>
          </cell>
        </row>
        <row r="2353">
          <cell r="A2353">
            <v>22101157</v>
          </cell>
          <cell r="B2353" t="str">
            <v>2.2.1.01.157</v>
          </cell>
          <cell r="C2353" t="str">
            <v>ACC - Banco do Brasil</v>
          </cell>
        </row>
        <row r="2354">
          <cell r="A2354">
            <v>22101158</v>
          </cell>
          <cell r="B2354" t="str">
            <v>2.2.1.01.158</v>
          </cell>
          <cell r="C2354" t="str">
            <v>ACC- Citibank</v>
          </cell>
        </row>
        <row r="2355">
          <cell r="A2355">
            <v>22101159</v>
          </cell>
          <cell r="B2355" t="str">
            <v>2.2.1.01.159</v>
          </cell>
          <cell r="C2355" t="str">
            <v>Leasing Financeiro -BIC</v>
          </cell>
        </row>
        <row r="2356">
          <cell r="A2356">
            <v>22101160</v>
          </cell>
          <cell r="B2356" t="str">
            <v>2.2.1.01.160</v>
          </cell>
          <cell r="C2356" t="str">
            <v>Banco Brasil - CCB</v>
          </cell>
        </row>
        <row r="2357">
          <cell r="A2357">
            <v>22101200</v>
          </cell>
          <cell r="B2357" t="str">
            <v>2.2.1.01.200</v>
          </cell>
          <cell r="C2357" t="str">
            <v>ADIANTAMENTOS DE CLIENTES</v>
          </cell>
        </row>
        <row r="2358">
          <cell r="A2358">
            <v>22101201</v>
          </cell>
          <cell r="B2358" t="str">
            <v>2.2.1.01.201</v>
          </cell>
          <cell r="C2358" t="str">
            <v>Adiantamentos de Clientes-Longo Prazo</v>
          </cell>
        </row>
        <row r="2359">
          <cell r="A2359">
            <v>22102000</v>
          </cell>
          <cell r="B2359" t="str">
            <v>2.2.1.02.000</v>
          </cell>
          <cell r="C2359" t="str">
            <v>OBRIGACOES TRIBUTARIAS E SOCIAIS</v>
          </cell>
        </row>
        <row r="2360">
          <cell r="A2360">
            <v>22102100</v>
          </cell>
          <cell r="B2360" t="str">
            <v>2.2.1.02.100</v>
          </cell>
          <cell r="C2360" t="str">
            <v>OBRIGACOES SOCIAIS</v>
          </cell>
        </row>
        <row r="2361">
          <cell r="A2361">
            <v>22102101</v>
          </cell>
          <cell r="B2361" t="str">
            <v>2.2.1.02.101</v>
          </cell>
          <cell r="C2361" t="str">
            <v>Reclamações Trabalhistas</v>
          </cell>
        </row>
        <row r="2362">
          <cell r="A2362">
            <v>22102102</v>
          </cell>
          <cell r="B2362" t="str">
            <v>2.2.1.02.102</v>
          </cell>
          <cell r="C2362" t="str">
            <v>Inss Parc.PROC.55.683.413-5</v>
          </cell>
        </row>
        <row r="2363">
          <cell r="A2363">
            <v>22102103</v>
          </cell>
          <cell r="B2363" t="str">
            <v>2.2.1.02.103</v>
          </cell>
          <cell r="C2363" t="str">
            <v>Inss Parc.Proc.31.904.942-6-PE/PR</v>
          </cell>
        </row>
        <row r="2364">
          <cell r="A2364">
            <v>22102104</v>
          </cell>
          <cell r="B2364" t="str">
            <v>2.2.1.02.104</v>
          </cell>
          <cell r="C2364" t="str">
            <v>Inss Parc.Proc.55.783.609-3-001-3</v>
          </cell>
        </row>
        <row r="2365">
          <cell r="A2365">
            <v>22102105</v>
          </cell>
          <cell r="B2365" t="str">
            <v>2.2.1.02.105</v>
          </cell>
          <cell r="C2365" t="str">
            <v>Salario Ed.Parc.65919418</v>
          </cell>
        </row>
        <row r="2366">
          <cell r="A2366">
            <v>22102106</v>
          </cell>
          <cell r="B2366" t="str">
            <v>2.2.1.02.106</v>
          </cell>
          <cell r="C2366" t="str">
            <v>Salario Ed.Parc.35839645</v>
          </cell>
        </row>
        <row r="2367">
          <cell r="A2367">
            <v>22102107</v>
          </cell>
          <cell r="B2367" t="str">
            <v>2.2.1.02.107</v>
          </cell>
          <cell r="C2367" t="str">
            <v>Ações Indenizatorias</v>
          </cell>
        </row>
        <row r="2368">
          <cell r="A2368">
            <v>22102108</v>
          </cell>
          <cell r="B2368" t="str">
            <v>2.2.1.02.108</v>
          </cell>
          <cell r="C2368" t="str">
            <v>Salario Ed.Proc.23034.001387/97-17</v>
          </cell>
        </row>
        <row r="2369">
          <cell r="A2369">
            <v>22102109</v>
          </cell>
          <cell r="B2369" t="str">
            <v>2.2.1.02.109</v>
          </cell>
          <cell r="C2369" t="str">
            <v>Salario Ed.Proc.23034.001175/98-20</v>
          </cell>
        </row>
        <row r="2370">
          <cell r="A2370">
            <v>22102110</v>
          </cell>
          <cell r="B2370" t="str">
            <v>2.2.1.02.110</v>
          </cell>
          <cell r="C2370" t="str">
            <v>Honorarios Advogaticios S/Refis</v>
          </cell>
        </row>
        <row r="2371">
          <cell r="A2371">
            <v>22102130</v>
          </cell>
          <cell r="B2371" t="str">
            <v>2.2.1.02.130</v>
          </cell>
          <cell r="C2371" t="str">
            <v>INSS Empresa Parcelamento</v>
          </cell>
        </row>
        <row r="2372">
          <cell r="A2372">
            <v>22102131</v>
          </cell>
          <cell r="B2372" t="str">
            <v>2.2.1.02.131</v>
          </cell>
          <cell r="C2372" t="str">
            <v>INSS PARC36.662.659-0 LP</v>
          </cell>
        </row>
        <row r="2373">
          <cell r="A2373">
            <v>22102132</v>
          </cell>
          <cell r="B2373" t="str">
            <v>2.2.1.02.132</v>
          </cell>
          <cell r="C2373" t="str">
            <v>PARCELAM. IRPJ (SIMPLIFICADO)</v>
          </cell>
        </row>
        <row r="2374">
          <cell r="A2374">
            <v>22102133</v>
          </cell>
          <cell r="B2374" t="str">
            <v>2.2.1.02.133</v>
          </cell>
          <cell r="C2374" t="str">
            <v>PARCELAM CSLL(SIMPLIFICADO)</v>
          </cell>
        </row>
        <row r="2375">
          <cell r="A2375">
            <v>22102134</v>
          </cell>
          <cell r="B2375" t="str">
            <v>2.2.1.02.134</v>
          </cell>
          <cell r="C2375" t="str">
            <v>PARCELAM. IRRF FOLHA(SIMPLIFICADO)</v>
          </cell>
        </row>
        <row r="2376">
          <cell r="A2376">
            <v>22102135</v>
          </cell>
          <cell r="B2376" t="str">
            <v>2.2.1.02.135</v>
          </cell>
          <cell r="C2376" t="str">
            <v>INSS PARC 36947856-8 LP</v>
          </cell>
        </row>
        <row r="2377">
          <cell r="A2377">
            <v>22102136</v>
          </cell>
          <cell r="B2377" t="str">
            <v>2.2.1.02.136</v>
          </cell>
          <cell r="C2377" t="str">
            <v>Fgts parcelamento</v>
          </cell>
        </row>
        <row r="2378">
          <cell r="A2378">
            <v>22102200</v>
          </cell>
          <cell r="B2378" t="str">
            <v>2.2.1.02.200</v>
          </cell>
          <cell r="C2378" t="str">
            <v>OBRIGAÇÕES TRIBUTÁRIAS</v>
          </cell>
        </row>
        <row r="2379">
          <cell r="A2379">
            <v>22102201</v>
          </cell>
          <cell r="B2379" t="str">
            <v>2.2.1.02.201</v>
          </cell>
          <cell r="C2379" t="str">
            <v>Icms Parc.Proc.002-18062/2000</v>
          </cell>
        </row>
        <row r="2380">
          <cell r="A2380">
            <v>22102202</v>
          </cell>
          <cell r="B2380" t="str">
            <v>2.2.1.02.202</v>
          </cell>
          <cell r="C2380" t="str">
            <v>Icms Parc.Proc.090.114.081</v>
          </cell>
        </row>
        <row r="2381">
          <cell r="A2381">
            <v>22102203</v>
          </cell>
          <cell r="B2381" t="str">
            <v>2.2.1.02.203</v>
          </cell>
          <cell r="C2381" t="str">
            <v>Prov.IRPJ/CSSL s/Reserva Reaval.</v>
          </cell>
        </row>
        <row r="2382">
          <cell r="A2382">
            <v>22102204</v>
          </cell>
          <cell r="B2382" t="str">
            <v>2.2.1.02.204</v>
          </cell>
          <cell r="C2382" t="str">
            <v>Pis Parc.Proc.10820.000.277/99-19</v>
          </cell>
        </row>
        <row r="2383">
          <cell r="A2383">
            <v>22102205</v>
          </cell>
          <cell r="B2383" t="str">
            <v>2.2.1.02.205</v>
          </cell>
          <cell r="C2383" t="str">
            <v>Cofins Parc.Proc.10820.0022201/98-47</v>
          </cell>
        </row>
        <row r="2384">
          <cell r="A2384">
            <v>22102206</v>
          </cell>
          <cell r="B2384" t="str">
            <v>2.2.1.02.206</v>
          </cell>
          <cell r="C2384" t="str">
            <v>Finsocial Parc.Proc.10820.000123/9350</v>
          </cell>
        </row>
        <row r="2385">
          <cell r="A2385">
            <v>22102207</v>
          </cell>
          <cell r="B2385" t="str">
            <v>2.2.1.02.207</v>
          </cell>
          <cell r="C2385" t="str">
            <v>Paex parcelamento MP 303</v>
          </cell>
        </row>
        <row r="2386">
          <cell r="A2386">
            <v>22102208</v>
          </cell>
          <cell r="B2386" t="str">
            <v>2.2.1.02.208</v>
          </cell>
          <cell r="C2386" t="str">
            <v>Icms Parc.Pedido 3.142.663</v>
          </cell>
        </row>
        <row r="2387">
          <cell r="A2387">
            <v>22102209</v>
          </cell>
          <cell r="B2387" t="str">
            <v>2.2.1.02.209</v>
          </cell>
          <cell r="C2387" t="str">
            <v>Icms AIIM 2108712 E 000527</v>
          </cell>
        </row>
        <row r="2388">
          <cell r="A2388">
            <v>22102210</v>
          </cell>
          <cell r="B2388" t="str">
            <v>2.2.1.02.210</v>
          </cell>
          <cell r="C2388" t="str">
            <v>Icms Parc.535024/1/2/3</v>
          </cell>
        </row>
        <row r="2389">
          <cell r="A2389">
            <v>22102211</v>
          </cell>
          <cell r="B2389" t="str">
            <v>2.2.1.02.211</v>
          </cell>
          <cell r="C2389" t="str">
            <v>IRPJ/CSSL Compensado a Maior em 96</v>
          </cell>
        </row>
        <row r="2390">
          <cell r="A2390">
            <v>22102212</v>
          </cell>
          <cell r="B2390" t="str">
            <v>2.2.1.02.212</v>
          </cell>
          <cell r="C2390" t="str">
            <v>IRPJ Diferidos</v>
          </cell>
        </row>
        <row r="2391">
          <cell r="A2391">
            <v>22102213</v>
          </cell>
          <cell r="B2391" t="str">
            <v>2.2.1.02.213</v>
          </cell>
          <cell r="C2391" t="str">
            <v>Paes Inss</v>
          </cell>
        </row>
        <row r="2392">
          <cell r="A2392">
            <v>22102214</v>
          </cell>
          <cell r="B2392" t="str">
            <v>2.2.1.02.214</v>
          </cell>
          <cell r="C2392" t="str">
            <v>Provisão Contingencias Trabalhistas</v>
          </cell>
        </row>
        <row r="2393">
          <cell r="A2393">
            <v>22102215</v>
          </cell>
          <cell r="B2393" t="str">
            <v>2.2.1.02.215</v>
          </cell>
          <cell r="C2393" t="str">
            <v>Paes Federal</v>
          </cell>
        </row>
        <row r="2394">
          <cell r="A2394">
            <v>22102216</v>
          </cell>
          <cell r="B2394" t="str">
            <v>2.2.1.02.216</v>
          </cell>
          <cell r="C2394" t="str">
            <v>Paex Parcelamento MP 303</v>
          </cell>
        </row>
        <row r="2395">
          <cell r="A2395">
            <v>22102217</v>
          </cell>
          <cell r="B2395" t="str">
            <v>2.2.1.02.217</v>
          </cell>
          <cell r="C2395" t="str">
            <v>Credito IPI</v>
          </cell>
        </row>
        <row r="2396">
          <cell r="A2396">
            <v>22102218</v>
          </cell>
          <cell r="B2396" t="str">
            <v>2.2.1.02.218</v>
          </cell>
          <cell r="C2396" t="str">
            <v>Provisão Credito de IPI-insumos</v>
          </cell>
        </row>
        <row r="2397">
          <cell r="A2397">
            <v>22102219</v>
          </cell>
          <cell r="B2397" t="str">
            <v>2.2.1.02.219</v>
          </cell>
          <cell r="C2397" t="str">
            <v>Provisão contingencias INSS agricola</v>
          </cell>
        </row>
        <row r="2398">
          <cell r="A2398">
            <v>22102220</v>
          </cell>
          <cell r="B2398" t="str">
            <v>2.2.1.02.220</v>
          </cell>
          <cell r="C2398" t="str">
            <v>Icms parc.3046/3054</v>
          </cell>
        </row>
        <row r="2399">
          <cell r="A2399">
            <v>22102221</v>
          </cell>
          <cell r="B2399" t="str">
            <v>2.2.1.02.221</v>
          </cell>
          <cell r="C2399" t="str">
            <v>Icms Parc. 3.242.659</v>
          </cell>
        </row>
        <row r="2400">
          <cell r="A2400">
            <v>22102222</v>
          </cell>
          <cell r="B2400" t="str">
            <v>2.2.1.02.222</v>
          </cell>
          <cell r="C2400" t="str">
            <v>ICMS PARC. 4.193.526</v>
          </cell>
        </row>
        <row r="2401">
          <cell r="A2401">
            <v>22102223</v>
          </cell>
          <cell r="B2401" t="str">
            <v>2.2.1.02.223</v>
          </cell>
          <cell r="C2401" t="str">
            <v>Parc. lei 11.941/09 refis III</v>
          </cell>
        </row>
        <row r="2402">
          <cell r="A2402">
            <v>22102224</v>
          </cell>
          <cell r="B2402" t="str">
            <v>2.2.1.02.224</v>
          </cell>
          <cell r="C2402" t="str">
            <v>CSLL - Diferidos</v>
          </cell>
        </row>
        <row r="2403">
          <cell r="A2403">
            <v>22102225</v>
          </cell>
          <cell r="B2403" t="str">
            <v>2.2.1.02.225</v>
          </cell>
          <cell r="C2403" t="str">
            <v>INSS Parcel DCG 36.663.659-0</v>
          </cell>
        </row>
        <row r="2404">
          <cell r="A2404">
            <v>22102226</v>
          </cell>
          <cell r="B2404" t="str">
            <v>2.2.1.02.226</v>
          </cell>
          <cell r="C2404" t="str">
            <v>Icms parcel.3.102.516-0</v>
          </cell>
        </row>
        <row r="2405">
          <cell r="A2405">
            <v>22102227</v>
          </cell>
          <cell r="B2405" t="str">
            <v>2.2.1.02.227</v>
          </cell>
          <cell r="C2405" t="str">
            <v>AVP- Tributos Parcelamentos</v>
          </cell>
        </row>
        <row r="2406">
          <cell r="A2406">
            <v>22102228</v>
          </cell>
          <cell r="B2406" t="str">
            <v>2.2.1.02.228</v>
          </cell>
          <cell r="C2406" t="str">
            <v>Parc. ICMS 1.006.370.440</v>
          </cell>
        </row>
        <row r="2407">
          <cell r="A2407">
            <v>22102229</v>
          </cell>
          <cell r="B2407" t="str">
            <v>2.2.1.02.229</v>
          </cell>
          <cell r="C2407" t="str">
            <v>INSS PARCELAMENTO  LP 36662583-7</v>
          </cell>
        </row>
        <row r="2408">
          <cell r="A2408">
            <v>22102230</v>
          </cell>
          <cell r="B2408" t="str">
            <v>2.2.1.02.230</v>
          </cell>
          <cell r="C2408" t="str">
            <v>INSS PARC FAT E EMPR -  LP</v>
          </cell>
        </row>
        <row r="2409">
          <cell r="A2409">
            <v>22102300</v>
          </cell>
          <cell r="B2409" t="str">
            <v>2.2.1.02.300</v>
          </cell>
          <cell r="C2409" t="str">
            <v>OUTRAS CONTAS A PAGAR</v>
          </cell>
        </row>
        <row r="2410">
          <cell r="A2410">
            <v>22102301</v>
          </cell>
          <cell r="B2410" t="str">
            <v>2.2.1.02.301</v>
          </cell>
          <cell r="C2410" t="str">
            <v>Passivo a Descoberto Unimodal</v>
          </cell>
        </row>
        <row r="2411">
          <cell r="A2411">
            <v>22102302</v>
          </cell>
          <cell r="B2411" t="str">
            <v>2.2.1.02.302</v>
          </cell>
          <cell r="C2411" t="str">
            <v>Fornecedores</v>
          </cell>
        </row>
        <row r="2412">
          <cell r="A2412">
            <v>22102303</v>
          </cell>
          <cell r="B2412" t="str">
            <v>2.2.1.02.303</v>
          </cell>
          <cell r="C2412" t="str">
            <v>Fornecedores AVP -RTT</v>
          </cell>
        </row>
        <row r="2413">
          <cell r="A2413">
            <v>22102304</v>
          </cell>
          <cell r="B2413" t="str">
            <v>2.2.1.02.304</v>
          </cell>
          <cell r="C2413" t="str">
            <v>Trading- Bolsa de valores</v>
          </cell>
        </row>
        <row r="2414">
          <cell r="A2414">
            <v>22102305</v>
          </cell>
          <cell r="B2414" t="str">
            <v>2.2.1.02.305</v>
          </cell>
          <cell r="C2414" t="str">
            <v>Trading- Bolsa de valores- RTT</v>
          </cell>
        </row>
        <row r="2415">
          <cell r="A2415">
            <v>22102306</v>
          </cell>
          <cell r="B2415" t="str">
            <v>2.2.1.02.306</v>
          </cell>
          <cell r="C2415" t="str">
            <v>Passivo descoberto - Vale S/A</v>
          </cell>
        </row>
        <row r="2416">
          <cell r="A2416">
            <v>22102307</v>
          </cell>
          <cell r="B2416" t="str">
            <v>2.2.1.02.307</v>
          </cell>
          <cell r="C2416" t="str">
            <v>Passivo Descoberto - Transcristal</v>
          </cell>
        </row>
        <row r="2417">
          <cell r="A2417">
            <v>22102308</v>
          </cell>
          <cell r="B2417" t="str">
            <v>2.2.1.02.308</v>
          </cell>
          <cell r="C2417" t="str">
            <v>Passivo Descoberto - Itaporã</v>
          </cell>
        </row>
        <row r="2418">
          <cell r="A2418">
            <v>22102309</v>
          </cell>
          <cell r="B2418" t="str">
            <v>2.2.1.02.309</v>
          </cell>
          <cell r="C2418" t="str">
            <v>Passivo Descoberto - Vale Agricola</v>
          </cell>
        </row>
        <row r="2419">
          <cell r="A2419">
            <v>22102310</v>
          </cell>
          <cell r="B2419" t="str">
            <v>2.2.1.02.310</v>
          </cell>
          <cell r="C2419" t="str">
            <v>Passivo Descoberto - Dourados</v>
          </cell>
        </row>
        <row r="2420">
          <cell r="A2420">
            <v>22102311</v>
          </cell>
          <cell r="B2420" t="str">
            <v>2.2.1.02.311</v>
          </cell>
          <cell r="C2420" t="str">
            <v>Adto futuro Aumento Cap. Pantaleon S.A</v>
          </cell>
        </row>
        <row r="2421">
          <cell r="A2421">
            <v>22102400</v>
          </cell>
          <cell r="B2421" t="str">
            <v>2.2.1.02.400</v>
          </cell>
          <cell r="C2421" t="str">
            <v>PROVISÃO PARA CONTINGÊNCIA</v>
          </cell>
        </row>
        <row r="2422">
          <cell r="A2422">
            <v>22102401</v>
          </cell>
          <cell r="B2422" t="str">
            <v>2.2.1.02.401</v>
          </cell>
          <cell r="C2422" t="str">
            <v>Reclamações Trabalhistas</v>
          </cell>
        </row>
        <row r="2423">
          <cell r="A2423">
            <v>22102402</v>
          </cell>
          <cell r="B2423" t="str">
            <v>2.2.1.02.402</v>
          </cell>
          <cell r="C2423" t="str">
            <v>Ações Indenizatorias</v>
          </cell>
        </row>
        <row r="2424">
          <cell r="A2424">
            <v>22102403</v>
          </cell>
          <cell r="B2424" t="str">
            <v>2.2.1.02.403</v>
          </cell>
          <cell r="C2424" t="str">
            <v>Crédito IPI</v>
          </cell>
        </row>
        <row r="2425">
          <cell r="A2425">
            <v>22102404</v>
          </cell>
          <cell r="B2425" t="str">
            <v>2.2.1.02.404</v>
          </cell>
          <cell r="C2425" t="str">
            <v>Provisão Contingência INSS Agricola</v>
          </cell>
        </row>
        <row r="2426">
          <cell r="A2426">
            <v>22102405</v>
          </cell>
          <cell r="B2426" t="str">
            <v>2.2.1.02.405</v>
          </cell>
          <cell r="C2426" t="str">
            <v>Irpj/Csll Compensado a maior em 96</v>
          </cell>
        </row>
        <row r="2427">
          <cell r="A2427">
            <v>22102406</v>
          </cell>
          <cell r="B2427" t="str">
            <v>2.2.1.02.406</v>
          </cell>
          <cell r="C2427" t="str">
            <v>Provisão Credito de IPI insumos</v>
          </cell>
        </row>
        <row r="2428">
          <cell r="A2428">
            <v>22102407</v>
          </cell>
          <cell r="B2428" t="str">
            <v>2.2.1.02.407</v>
          </cell>
          <cell r="C2428" t="str">
            <v>Parcelamento MP 470/09</v>
          </cell>
        </row>
        <row r="2429">
          <cell r="A2429">
            <v>22103000</v>
          </cell>
          <cell r="B2429" t="str">
            <v>2.2.1.03.000</v>
          </cell>
          <cell r="C2429" t="str">
            <v>MUTUO ENTRE EMPRESAS</v>
          </cell>
        </row>
        <row r="2430">
          <cell r="A2430">
            <v>22103100</v>
          </cell>
          <cell r="B2430" t="str">
            <v>2.2.1.03.100</v>
          </cell>
          <cell r="C2430" t="str">
            <v>SOCIEDADES RELACIONADAS</v>
          </cell>
        </row>
        <row r="2431">
          <cell r="A2431">
            <v>22103101</v>
          </cell>
          <cell r="B2431" t="str">
            <v>2.2.1.03.101</v>
          </cell>
          <cell r="C2431" t="str">
            <v>Unialco S/A Alcool e Acucar</v>
          </cell>
        </row>
        <row r="2432">
          <cell r="A2432">
            <v>22103102</v>
          </cell>
          <cell r="B2432" t="str">
            <v>2.2.1.03.102</v>
          </cell>
          <cell r="C2432" t="str">
            <v>Alcoolvale S/A Alcool e Acucar</v>
          </cell>
        </row>
        <row r="2433">
          <cell r="A2433">
            <v>22103103</v>
          </cell>
          <cell r="B2433" t="str">
            <v>2.2.1.03.103</v>
          </cell>
          <cell r="C2433" t="str">
            <v>Unialco Agricola Ltda</v>
          </cell>
        </row>
        <row r="2434">
          <cell r="A2434">
            <v>22103104</v>
          </cell>
          <cell r="B2434" t="str">
            <v>2.2.1.03.104</v>
          </cell>
          <cell r="C2434" t="str">
            <v>Canavale Agricola Ltda</v>
          </cell>
        </row>
        <row r="2435">
          <cell r="A2435">
            <v>22103105</v>
          </cell>
          <cell r="B2435" t="str">
            <v>2.2.1.03.105</v>
          </cell>
          <cell r="C2435" t="str">
            <v>Alcoolvale Agricola e Comercial ltda</v>
          </cell>
        </row>
        <row r="2436">
          <cell r="A2436">
            <v>22103106</v>
          </cell>
          <cell r="B2436" t="str">
            <v>2.2.1.03.106</v>
          </cell>
          <cell r="C2436" t="str">
            <v>Vale do Parana S/A Alcool e Acucar</v>
          </cell>
        </row>
        <row r="2437">
          <cell r="A2437">
            <v>22103107</v>
          </cell>
          <cell r="B2437" t="str">
            <v>2.2.1.03.107</v>
          </cell>
          <cell r="C2437" t="str">
            <v>Dourados Alcool e Acucar ltda</v>
          </cell>
        </row>
        <row r="2438">
          <cell r="A2438">
            <v>22103108</v>
          </cell>
          <cell r="B2438" t="str">
            <v>2.2.1.03.108</v>
          </cell>
          <cell r="C2438" t="str">
            <v>Trans.Cristal Transp.Rodov. Ltda</v>
          </cell>
        </row>
        <row r="2439">
          <cell r="A2439">
            <v>22103109</v>
          </cell>
          <cell r="B2439" t="str">
            <v>2.2.1.03.109</v>
          </cell>
          <cell r="C2439" t="str">
            <v>Vale do Paraná Agricola Ltda</v>
          </cell>
        </row>
        <row r="2440">
          <cell r="A2440">
            <v>22103110</v>
          </cell>
          <cell r="B2440" t="str">
            <v>2.2.1.03.110</v>
          </cell>
          <cell r="C2440" t="str">
            <v>Itaporã Agroenergética ltda</v>
          </cell>
        </row>
        <row r="2441">
          <cell r="A2441">
            <v>22103111</v>
          </cell>
          <cell r="B2441" t="str">
            <v>2.2.1.03.111</v>
          </cell>
          <cell r="C2441" t="str">
            <v>Unialco Ms participações</v>
          </cell>
        </row>
        <row r="2442">
          <cell r="A2442">
            <v>22103112</v>
          </cell>
          <cell r="B2442" t="str">
            <v>2.2.1.03.112</v>
          </cell>
          <cell r="C2442" t="str">
            <v>Colgua Investimentos S/A</v>
          </cell>
        </row>
        <row r="2443">
          <cell r="A2443">
            <v>22103113</v>
          </cell>
          <cell r="B2443" t="str">
            <v>2.2.1.03.113</v>
          </cell>
          <cell r="C2443" t="str">
            <v>Pantaleon Sugar Holdings</v>
          </cell>
        </row>
        <row r="2444">
          <cell r="A2444">
            <v>22103114</v>
          </cell>
          <cell r="B2444" t="str">
            <v>2.2.1.03.114</v>
          </cell>
          <cell r="C2444" t="str">
            <v>Aceites Manuelita S/A</v>
          </cell>
        </row>
        <row r="2445">
          <cell r="A2445">
            <v>22104000</v>
          </cell>
          <cell r="B2445" t="str">
            <v>2.2.1.04.000</v>
          </cell>
          <cell r="C2445" t="str">
            <v>DIFERIDO</v>
          </cell>
        </row>
        <row r="2446">
          <cell r="A2446">
            <v>22104100</v>
          </cell>
          <cell r="B2446" t="str">
            <v>2.2.1.04.100</v>
          </cell>
          <cell r="C2446" t="str">
            <v>RESULTADO DE EXERCICIOS FUTUROS</v>
          </cell>
        </row>
        <row r="2447">
          <cell r="A2447">
            <v>22104101</v>
          </cell>
          <cell r="B2447" t="str">
            <v>2.2.1.04.101</v>
          </cell>
          <cell r="C2447" t="str">
            <v>Ipi Presumido Proc.11610.008519/203-25</v>
          </cell>
        </row>
        <row r="2448">
          <cell r="A2448">
            <v>23000000</v>
          </cell>
          <cell r="B2448" t="str">
            <v>2.3.0.00.000</v>
          </cell>
          <cell r="C2448" t="str">
            <v>PATRIMONIO LIQUIDO</v>
          </cell>
        </row>
        <row r="2449">
          <cell r="A2449">
            <v>23100000</v>
          </cell>
          <cell r="B2449" t="str">
            <v>2.3.1.00.000</v>
          </cell>
          <cell r="C2449" t="str">
            <v>CAPITAL</v>
          </cell>
        </row>
        <row r="2450">
          <cell r="A2450">
            <v>23101000</v>
          </cell>
          <cell r="B2450" t="str">
            <v>2.3.1.01.000</v>
          </cell>
          <cell r="C2450" t="str">
            <v>CAPITAL SOCIAL SUBSCRITO E INTEGRALIZADO</v>
          </cell>
        </row>
        <row r="2451">
          <cell r="A2451">
            <v>23101100</v>
          </cell>
          <cell r="B2451" t="str">
            <v>2.3.1.01.100</v>
          </cell>
          <cell r="C2451" t="str">
            <v>CAPITAL SUBSCRITO</v>
          </cell>
        </row>
        <row r="2452">
          <cell r="A2452">
            <v>23101101</v>
          </cell>
          <cell r="B2452" t="str">
            <v>2.3.1.01.101</v>
          </cell>
          <cell r="C2452" t="str">
            <v>Pantaleon Sociedad Anonima</v>
          </cell>
        </row>
        <row r="2453">
          <cell r="A2453">
            <v>23101102</v>
          </cell>
          <cell r="B2453" t="str">
            <v>2.3.1.01.102</v>
          </cell>
          <cell r="C2453" t="str">
            <v>Roger Anthony Dubiel Balachoff</v>
          </cell>
        </row>
        <row r="2454">
          <cell r="A2454">
            <v>23101103</v>
          </cell>
          <cell r="B2454" t="str">
            <v>2.3.1.01.103</v>
          </cell>
          <cell r="C2454" t="str">
            <v>Pedro Laerte Menchon Felcar</v>
          </cell>
        </row>
        <row r="2455">
          <cell r="A2455">
            <v>23101104</v>
          </cell>
          <cell r="B2455" t="str">
            <v>2.3.1.01.104</v>
          </cell>
          <cell r="C2455" t="str">
            <v>Amaury Martins Ferreira</v>
          </cell>
        </row>
        <row r="2456">
          <cell r="A2456">
            <v>23101105</v>
          </cell>
          <cell r="B2456" t="str">
            <v>2.3.1.01.105</v>
          </cell>
          <cell r="C2456" t="str">
            <v>Antonio Pereira Lima</v>
          </cell>
        </row>
        <row r="2457">
          <cell r="A2457">
            <v>23101106</v>
          </cell>
          <cell r="B2457" t="str">
            <v>2.3.1.01.106</v>
          </cell>
          <cell r="C2457" t="str">
            <v>Judith Niemeyer Dos Santos</v>
          </cell>
        </row>
        <row r="2458">
          <cell r="A2458">
            <v>23101107</v>
          </cell>
          <cell r="B2458" t="str">
            <v>2.3.1.01.107</v>
          </cell>
          <cell r="C2458" t="str">
            <v>Celso Martins Ferreira</v>
          </cell>
        </row>
        <row r="2459">
          <cell r="A2459">
            <v>23101108</v>
          </cell>
          <cell r="B2459" t="str">
            <v>2.3.1.01.108</v>
          </cell>
          <cell r="C2459" t="str">
            <v>Dinah De Mattos Pimenta</v>
          </cell>
        </row>
        <row r="2460">
          <cell r="A2460">
            <v>23101109</v>
          </cell>
          <cell r="B2460" t="str">
            <v>2.3.1.01.109</v>
          </cell>
          <cell r="C2460" t="str">
            <v>Helio Prudente Correa</v>
          </cell>
        </row>
        <row r="2461">
          <cell r="A2461">
            <v>23101110</v>
          </cell>
          <cell r="B2461" t="str">
            <v>2.3.1.01.110</v>
          </cell>
          <cell r="C2461" t="str">
            <v>Francisco Lourenço Cintra</v>
          </cell>
        </row>
        <row r="2462">
          <cell r="A2462">
            <v>23101111</v>
          </cell>
          <cell r="B2462" t="str">
            <v>2.3.1.01.111</v>
          </cell>
          <cell r="C2462" t="str">
            <v>Helio Henrique Hernandes</v>
          </cell>
        </row>
        <row r="2463">
          <cell r="A2463">
            <v>23101112</v>
          </cell>
          <cell r="B2463" t="str">
            <v>2.3.1.01.112</v>
          </cell>
          <cell r="C2463" t="str">
            <v>Haroldo De Sa Quartin Barbosa</v>
          </cell>
        </row>
        <row r="2464">
          <cell r="A2464">
            <v>23101113</v>
          </cell>
          <cell r="B2464" t="str">
            <v>2.3.1.01.113</v>
          </cell>
          <cell r="C2464" t="str">
            <v>Jorge Schweizer</v>
          </cell>
        </row>
        <row r="2465">
          <cell r="A2465">
            <v>23101114</v>
          </cell>
          <cell r="B2465" t="str">
            <v>2.3.1.01.114</v>
          </cell>
          <cell r="C2465" t="str">
            <v>José Antonio Rocha</v>
          </cell>
        </row>
        <row r="2466">
          <cell r="A2466">
            <v>23101115</v>
          </cell>
          <cell r="B2466" t="str">
            <v>2.3.1.01.115</v>
          </cell>
          <cell r="C2466" t="str">
            <v>José Calixto Castanheira</v>
          </cell>
        </row>
        <row r="2467">
          <cell r="A2467">
            <v>23101116</v>
          </cell>
          <cell r="B2467" t="str">
            <v>2.3.1.01.116</v>
          </cell>
          <cell r="C2467" t="str">
            <v>José Martinez Cividanez</v>
          </cell>
        </row>
        <row r="2468">
          <cell r="A2468">
            <v>23101117</v>
          </cell>
          <cell r="B2468" t="str">
            <v>2.3.1.01.117</v>
          </cell>
          <cell r="C2468" t="str">
            <v>Luiz Biagigo</v>
          </cell>
        </row>
        <row r="2469">
          <cell r="A2469">
            <v>23101118</v>
          </cell>
          <cell r="B2469" t="str">
            <v>2.3.1.01.118</v>
          </cell>
          <cell r="C2469" t="str">
            <v>Luiz Guilherme Zancaner</v>
          </cell>
        </row>
        <row r="2470">
          <cell r="A2470">
            <v>23101119</v>
          </cell>
          <cell r="B2470" t="str">
            <v>2.3.1.01.119</v>
          </cell>
          <cell r="C2470" t="str">
            <v>Maria Eleonora S.F.Zancaner</v>
          </cell>
        </row>
        <row r="2471">
          <cell r="A2471">
            <v>23101120</v>
          </cell>
          <cell r="B2471" t="str">
            <v>2.3.1.01.120</v>
          </cell>
          <cell r="C2471" t="str">
            <v>Michel Marie Pierre Caro</v>
          </cell>
        </row>
        <row r="2472">
          <cell r="A2472">
            <v>23101121</v>
          </cell>
          <cell r="B2472" t="str">
            <v>2.3.1.01.121</v>
          </cell>
          <cell r="C2472" t="str">
            <v>Mohamad Darghan</v>
          </cell>
        </row>
        <row r="2473">
          <cell r="A2473">
            <v>23101122</v>
          </cell>
          <cell r="B2473" t="str">
            <v>2.3.1.01.122</v>
          </cell>
          <cell r="C2473" t="str">
            <v>Oswaldo Diacopolus</v>
          </cell>
        </row>
        <row r="2474">
          <cell r="A2474">
            <v>23101123</v>
          </cell>
          <cell r="B2474" t="str">
            <v>2.3.1.01.123</v>
          </cell>
          <cell r="C2474" t="str">
            <v>Paulo Achermann</v>
          </cell>
        </row>
        <row r="2475">
          <cell r="A2475">
            <v>23101124</v>
          </cell>
          <cell r="B2475" t="str">
            <v>2.3.1.01.124</v>
          </cell>
          <cell r="C2475" t="str">
            <v>Paulo Francisco Martins Ferreira</v>
          </cell>
        </row>
        <row r="2476">
          <cell r="A2476">
            <v>23101125</v>
          </cell>
          <cell r="B2476" t="str">
            <v>2.3.1.01.125</v>
          </cell>
          <cell r="C2476" t="str">
            <v>Petronio Pereira Lima</v>
          </cell>
        </row>
        <row r="2477">
          <cell r="A2477">
            <v>23101126</v>
          </cell>
          <cell r="B2477" t="str">
            <v>2.3.1.01.126</v>
          </cell>
          <cell r="C2477" t="str">
            <v>Ranolfo Negro</v>
          </cell>
        </row>
        <row r="2478">
          <cell r="A2478">
            <v>23101127</v>
          </cell>
          <cell r="B2478" t="str">
            <v>2.3.1.01.127</v>
          </cell>
          <cell r="C2478" t="str">
            <v>Roberto Salles Zancaner</v>
          </cell>
        </row>
        <row r="2479">
          <cell r="A2479">
            <v>23101128</v>
          </cell>
          <cell r="B2479" t="str">
            <v>2.3.1.01.128</v>
          </cell>
          <cell r="C2479" t="str">
            <v>Patricia Salles Zancaner</v>
          </cell>
        </row>
        <row r="2480">
          <cell r="A2480">
            <v>23101129</v>
          </cell>
          <cell r="B2480" t="str">
            <v>2.3.1.01.129</v>
          </cell>
          <cell r="C2480" t="str">
            <v>Walter Henrique Zancaner</v>
          </cell>
        </row>
        <row r="2481">
          <cell r="A2481">
            <v>23101130</v>
          </cell>
          <cell r="B2481" t="str">
            <v>2.3.1.01.130</v>
          </cell>
          <cell r="C2481" t="str">
            <v>Walter Henrique Zancaner Filho</v>
          </cell>
        </row>
        <row r="2482">
          <cell r="A2482">
            <v>23101131</v>
          </cell>
          <cell r="B2482" t="str">
            <v>2.3.1.01.131</v>
          </cell>
          <cell r="C2482" t="str">
            <v>Flavio José Aranha Pereira</v>
          </cell>
        </row>
        <row r="2483">
          <cell r="A2483">
            <v>23101132</v>
          </cell>
          <cell r="B2483" t="str">
            <v>2.3.1.01.132</v>
          </cell>
          <cell r="C2483" t="str">
            <v>Roberto Zancaner De Ulchoa Cintra</v>
          </cell>
        </row>
        <row r="2484">
          <cell r="A2484">
            <v>23101133</v>
          </cell>
          <cell r="B2484" t="str">
            <v>2.3.1.01.133</v>
          </cell>
          <cell r="C2484" t="str">
            <v>José L.Niemeyer Dos Santos</v>
          </cell>
        </row>
        <row r="2485">
          <cell r="A2485">
            <v>23101134</v>
          </cell>
          <cell r="B2485" t="str">
            <v>2.3.1.01.134</v>
          </cell>
          <cell r="C2485" t="str">
            <v>Olivia A.Niemeyer Dos Santos</v>
          </cell>
        </row>
        <row r="2486">
          <cell r="A2486">
            <v>23101135</v>
          </cell>
          <cell r="B2486" t="str">
            <v>2.3.1.01.135</v>
          </cell>
          <cell r="C2486" t="str">
            <v>Unialco S/A Alcool e Açucar</v>
          </cell>
        </row>
        <row r="2487">
          <cell r="A2487">
            <v>23101136</v>
          </cell>
          <cell r="B2487" t="str">
            <v>2.3.1.01.136</v>
          </cell>
          <cell r="C2487" t="str">
            <v>Alcoolvale S/A Alcool e Açucar</v>
          </cell>
        </row>
        <row r="2488">
          <cell r="A2488">
            <v>23101137</v>
          </cell>
          <cell r="B2488" t="str">
            <v>2.3.1.01.137</v>
          </cell>
          <cell r="C2488" t="str">
            <v>Capital Social</v>
          </cell>
        </row>
        <row r="2489">
          <cell r="A2489">
            <v>23101138</v>
          </cell>
          <cell r="B2489" t="str">
            <v>2.3.1.01.138</v>
          </cell>
          <cell r="C2489" t="str">
            <v>Colgua Investments S/A</v>
          </cell>
        </row>
        <row r="2490">
          <cell r="A2490">
            <v>23101139</v>
          </cell>
          <cell r="B2490" t="str">
            <v>2.3.1.01.139</v>
          </cell>
          <cell r="C2490" t="str">
            <v>Fernando Carlos Barata Lima</v>
          </cell>
        </row>
        <row r="2491">
          <cell r="A2491">
            <v>23101140</v>
          </cell>
          <cell r="B2491" t="str">
            <v>2.3.1.01.140</v>
          </cell>
          <cell r="C2491" t="str">
            <v>Francisco Mesquita Neto</v>
          </cell>
        </row>
        <row r="2492">
          <cell r="A2492">
            <v>23101141</v>
          </cell>
          <cell r="B2492" t="str">
            <v>2.3.1.01.141</v>
          </cell>
          <cell r="C2492" t="str">
            <v>Celso Dal Lago Rodrigues</v>
          </cell>
        </row>
        <row r="2493">
          <cell r="A2493">
            <v>23101142</v>
          </cell>
          <cell r="B2493" t="str">
            <v>2.3.1.01.142</v>
          </cell>
          <cell r="C2493" t="str">
            <v>Eunice de M. M. Dal Lago Rodrigues</v>
          </cell>
        </row>
        <row r="2494">
          <cell r="A2494">
            <v>23101143</v>
          </cell>
          <cell r="B2494" t="str">
            <v>2.3.1.01.143</v>
          </cell>
          <cell r="C2494" t="str">
            <v>Phillip Guilherme Dal Lago Rodrigues</v>
          </cell>
        </row>
        <row r="2495">
          <cell r="A2495">
            <v>23101144</v>
          </cell>
          <cell r="B2495" t="str">
            <v>2.3.1.01.144</v>
          </cell>
          <cell r="C2495" t="str">
            <v>Fabrizio Pierino Dal lago Rodrigues</v>
          </cell>
        </row>
        <row r="2496">
          <cell r="A2496">
            <v>23101145</v>
          </cell>
          <cell r="B2496" t="str">
            <v>2.3.1.01.145</v>
          </cell>
          <cell r="C2496" t="str">
            <v>Zancaner Negócios e Participações S/A</v>
          </cell>
        </row>
        <row r="2497">
          <cell r="A2497">
            <v>23101146</v>
          </cell>
          <cell r="B2497" t="str">
            <v>2.3.1.01.146</v>
          </cell>
          <cell r="C2497" t="str">
            <v>Paulo Milliet Roque</v>
          </cell>
        </row>
        <row r="2498">
          <cell r="A2498">
            <v>23101147</v>
          </cell>
          <cell r="B2498" t="str">
            <v>2.3.1.01.147</v>
          </cell>
          <cell r="C2498" t="str">
            <v>Vale do Paraná S/A - Alcool e Açucar</v>
          </cell>
        </row>
        <row r="2499">
          <cell r="A2499">
            <v>23101148</v>
          </cell>
          <cell r="B2499" t="str">
            <v>2.3.1.01.148</v>
          </cell>
          <cell r="C2499" t="str">
            <v>Alfredo Benito Maculet Hart</v>
          </cell>
        </row>
        <row r="2500">
          <cell r="A2500">
            <v>23101149</v>
          </cell>
          <cell r="B2500" t="str">
            <v>2.3.1.01.149</v>
          </cell>
          <cell r="C2500" t="str">
            <v>Cisão Unialco S/A</v>
          </cell>
        </row>
        <row r="2501">
          <cell r="A2501">
            <v>23101150</v>
          </cell>
          <cell r="B2501" t="str">
            <v>2.3.1.01.150</v>
          </cell>
          <cell r="C2501" t="str">
            <v>Dourados S/A Alcool e Açúcar</v>
          </cell>
        </row>
        <row r="2502">
          <cell r="A2502">
            <v>23101151</v>
          </cell>
          <cell r="B2502" t="str">
            <v>2.3.1.01.151</v>
          </cell>
          <cell r="C2502" t="str">
            <v>LW Sugar Participações S/A</v>
          </cell>
        </row>
        <row r="2503">
          <cell r="A2503">
            <v>23101152</v>
          </cell>
          <cell r="B2503" t="str">
            <v>2.3.1.01.152</v>
          </cell>
          <cell r="C2503" t="str">
            <v>Maria Inês Pereira Carreto</v>
          </cell>
        </row>
        <row r="2504">
          <cell r="A2504">
            <v>23101153</v>
          </cell>
          <cell r="B2504" t="str">
            <v>2.3.1.01.153</v>
          </cell>
          <cell r="C2504" t="str">
            <v>CEB Sigma Participações Ltda</v>
          </cell>
        </row>
        <row r="2505">
          <cell r="A2505">
            <v>23101154</v>
          </cell>
          <cell r="B2505" t="str">
            <v>2.3.1.01.154</v>
          </cell>
          <cell r="C2505" t="str">
            <v>Marcelo Schunn D. Jungueira</v>
          </cell>
        </row>
        <row r="2506">
          <cell r="A2506">
            <v>23101155</v>
          </cell>
          <cell r="B2506" t="str">
            <v>2.3.1.01.155</v>
          </cell>
          <cell r="C2506" t="str">
            <v>Tiago Medeiros Marques</v>
          </cell>
        </row>
        <row r="2507">
          <cell r="A2507">
            <v>23101156</v>
          </cell>
          <cell r="B2507" t="str">
            <v>2.3.1.01.156</v>
          </cell>
          <cell r="C2507" t="str">
            <v>Unialco MS Participações S/A</v>
          </cell>
        </row>
        <row r="2508">
          <cell r="A2508">
            <v>23101157</v>
          </cell>
          <cell r="B2508" t="str">
            <v>2.3.1.01.157</v>
          </cell>
          <cell r="C2508" t="str">
            <v>John Sam Koutras</v>
          </cell>
        </row>
        <row r="2509">
          <cell r="A2509">
            <v>23101158</v>
          </cell>
          <cell r="B2509" t="str">
            <v>2.3.1.01.158</v>
          </cell>
          <cell r="C2509" t="str">
            <v>Irineu Sesti Filho</v>
          </cell>
        </row>
        <row r="2510">
          <cell r="A2510">
            <v>23101159</v>
          </cell>
          <cell r="B2510" t="str">
            <v>2.3.1.01.159</v>
          </cell>
          <cell r="C2510" t="str">
            <v>Luiz Eduardo A.Costa</v>
          </cell>
        </row>
        <row r="2511">
          <cell r="A2511">
            <v>23101200</v>
          </cell>
          <cell r="B2511" t="str">
            <v>2.3.1.01.200</v>
          </cell>
          <cell r="C2511" t="str">
            <v>CAPITAL A INTEGRALIZAR</v>
          </cell>
        </row>
        <row r="2512">
          <cell r="A2512">
            <v>23101201</v>
          </cell>
          <cell r="B2512" t="str">
            <v>2.3.1.01.201</v>
          </cell>
          <cell r="C2512" t="str">
            <v>Alcoolvale S/A Alcool e Açucar</v>
          </cell>
        </row>
        <row r="2513">
          <cell r="A2513">
            <v>23101202</v>
          </cell>
          <cell r="B2513" t="str">
            <v>2.3.1.01.202</v>
          </cell>
          <cell r="C2513" t="str">
            <v>Acões Ordinárias</v>
          </cell>
        </row>
        <row r="2514">
          <cell r="A2514">
            <v>23101203</v>
          </cell>
          <cell r="B2514" t="str">
            <v>2.3.1.01.203</v>
          </cell>
          <cell r="C2514" t="str">
            <v>Celso Dal Lago Rodrigues</v>
          </cell>
        </row>
        <row r="2515">
          <cell r="A2515">
            <v>23101204</v>
          </cell>
          <cell r="B2515" t="str">
            <v>2.3.1.01.204</v>
          </cell>
          <cell r="C2515" t="str">
            <v>Phillip Guilherme Dal Lago Rodrigues</v>
          </cell>
        </row>
        <row r="2516">
          <cell r="A2516">
            <v>23101205</v>
          </cell>
          <cell r="B2516" t="str">
            <v>2.3.1.01.205</v>
          </cell>
          <cell r="C2516" t="str">
            <v>Fabrizio Pierino Dal Lago Rodrigues</v>
          </cell>
        </row>
        <row r="2517">
          <cell r="A2517">
            <v>23101206</v>
          </cell>
          <cell r="B2517" t="str">
            <v>2.3.1.01.206</v>
          </cell>
          <cell r="C2517" t="str">
            <v>Unialco S/A - Alcool e Açucar</v>
          </cell>
        </row>
        <row r="2518">
          <cell r="A2518">
            <v>23101207</v>
          </cell>
          <cell r="B2518" t="str">
            <v>2.3.1.01.207</v>
          </cell>
          <cell r="C2518" t="str">
            <v>Luiz Guilherme Zancaner</v>
          </cell>
        </row>
        <row r="2519">
          <cell r="A2519">
            <v>23101208</v>
          </cell>
          <cell r="B2519" t="str">
            <v>2.3.1.01.208</v>
          </cell>
          <cell r="C2519" t="str">
            <v>Walter Henrique Zancaner Filho</v>
          </cell>
        </row>
        <row r="2520">
          <cell r="A2520">
            <v>23101209</v>
          </cell>
          <cell r="B2520" t="str">
            <v>2.3.1.01.209</v>
          </cell>
          <cell r="C2520" t="str">
            <v>Fernando Carlos Barata Lima</v>
          </cell>
        </row>
        <row r="2521">
          <cell r="A2521">
            <v>23101210</v>
          </cell>
          <cell r="B2521" t="str">
            <v>2.3.1.01.210</v>
          </cell>
          <cell r="C2521" t="str">
            <v>Zancaner Negócios e Participações S/A</v>
          </cell>
        </row>
        <row r="2522">
          <cell r="A2522">
            <v>23101211</v>
          </cell>
          <cell r="B2522" t="str">
            <v>2.3.1.01.211</v>
          </cell>
          <cell r="C2522" t="str">
            <v>Paulo Milliet Roque</v>
          </cell>
        </row>
        <row r="2523">
          <cell r="A2523">
            <v>23101212</v>
          </cell>
          <cell r="B2523" t="str">
            <v>2.3.1.01.212</v>
          </cell>
          <cell r="C2523" t="str">
            <v>Pedro Laerte Menchon Felcar</v>
          </cell>
        </row>
        <row r="2524">
          <cell r="A2524">
            <v>23101213</v>
          </cell>
          <cell r="B2524" t="str">
            <v>2.3.1.01.213</v>
          </cell>
          <cell r="C2524" t="str">
            <v>Unialco Agricola Ltda</v>
          </cell>
        </row>
        <row r="2525">
          <cell r="A2525">
            <v>23101214</v>
          </cell>
          <cell r="B2525" t="str">
            <v>2.3.1.01.214</v>
          </cell>
          <cell r="C2525" t="str">
            <v>Vale do Paraná S/A - Alcool e Açucar</v>
          </cell>
        </row>
        <row r="2526">
          <cell r="A2526">
            <v>23101215</v>
          </cell>
          <cell r="B2526" t="str">
            <v>2.3.1.01.215</v>
          </cell>
          <cell r="C2526" t="str">
            <v>Alfredo Benito Maculet Hart</v>
          </cell>
        </row>
        <row r="2527">
          <cell r="A2527">
            <v>23101216</v>
          </cell>
          <cell r="B2527" t="str">
            <v>2.3.1.01.216</v>
          </cell>
          <cell r="C2527" t="str">
            <v>Itaporã Agroenergética Ltda</v>
          </cell>
        </row>
        <row r="2528">
          <cell r="A2528">
            <v>23101217</v>
          </cell>
          <cell r="B2528" t="str">
            <v>2.3.1.01.217</v>
          </cell>
          <cell r="C2528" t="str">
            <v>CEB Sigma Participações Ltda</v>
          </cell>
        </row>
        <row r="2529">
          <cell r="A2529">
            <v>23101218</v>
          </cell>
          <cell r="B2529" t="str">
            <v>2.3.1.01.218</v>
          </cell>
          <cell r="C2529" t="str">
            <v>Unialco MS Participações S/A</v>
          </cell>
        </row>
        <row r="2530">
          <cell r="A2530">
            <v>23101219</v>
          </cell>
          <cell r="B2530" t="str">
            <v>2.3.1.01.219</v>
          </cell>
          <cell r="C2530" t="str">
            <v>Colgua  Investments S/A</v>
          </cell>
        </row>
        <row r="2531">
          <cell r="A2531">
            <v>23101300</v>
          </cell>
          <cell r="B2531" t="str">
            <v>2.3.1.01.300</v>
          </cell>
          <cell r="C2531" t="str">
            <v>ACOES PARA FUTURA SUBSCRICAO</v>
          </cell>
        </row>
        <row r="2532">
          <cell r="A2532">
            <v>23101301</v>
          </cell>
          <cell r="B2532" t="str">
            <v>2.3.1.01.301</v>
          </cell>
          <cell r="C2532" t="str">
            <v>Alcoolvale S/A Alcool e Açucar</v>
          </cell>
        </row>
        <row r="2533">
          <cell r="A2533">
            <v>23101302</v>
          </cell>
          <cell r="B2533" t="str">
            <v>2.3.1.01.302</v>
          </cell>
          <cell r="C2533" t="str">
            <v>Ações Ordinárias</v>
          </cell>
        </row>
        <row r="2534">
          <cell r="A2534">
            <v>23200000</v>
          </cell>
          <cell r="B2534" t="str">
            <v>2.3.2.00.000</v>
          </cell>
          <cell r="C2534" t="str">
            <v>RESERVAS</v>
          </cell>
        </row>
        <row r="2535">
          <cell r="A2535">
            <v>23201000</v>
          </cell>
          <cell r="B2535" t="str">
            <v>2.3.2.01.000</v>
          </cell>
          <cell r="C2535" t="str">
            <v>RESERVAS</v>
          </cell>
        </row>
        <row r="2536">
          <cell r="A2536">
            <v>23201100</v>
          </cell>
          <cell r="B2536" t="str">
            <v>2.3.2.01.100</v>
          </cell>
          <cell r="C2536" t="str">
            <v>RESERVAS</v>
          </cell>
        </row>
        <row r="2537">
          <cell r="A2537">
            <v>23201101</v>
          </cell>
          <cell r="B2537" t="str">
            <v>2.3.2.01.101</v>
          </cell>
          <cell r="C2537" t="str">
            <v>Reserva Legal</v>
          </cell>
        </row>
        <row r="2538">
          <cell r="A2538">
            <v>23201102</v>
          </cell>
          <cell r="B2538" t="str">
            <v>2.3.2.01.102</v>
          </cell>
          <cell r="C2538" t="str">
            <v>Reserva Estatutária</v>
          </cell>
        </row>
        <row r="2539">
          <cell r="A2539">
            <v>23201103</v>
          </cell>
          <cell r="B2539" t="str">
            <v>2.3.2.01.103</v>
          </cell>
          <cell r="C2539" t="str">
            <v>Reserva Incentivo Fiscal - CDI</v>
          </cell>
        </row>
        <row r="2540">
          <cell r="A2540">
            <v>23201104</v>
          </cell>
          <cell r="B2540" t="str">
            <v>2.3.2.01.104</v>
          </cell>
          <cell r="C2540" t="str">
            <v>Afac - Unialco S/A Alcool e Açucar</v>
          </cell>
        </row>
        <row r="2541">
          <cell r="A2541">
            <v>23201105</v>
          </cell>
          <cell r="B2541" t="str">
            <v>2.3.2.01.105</v>
          </cell>
          <cell r="C2541" t="str">
            <v>Reserva para Investimentos</v>
          </cell>
        </row>
        <row r="2542">
          <cell r="A2542">
            <v>23201106</v>
          </cell>
          <cell r="B2542" t="str">
            <v>2.3.2.01.106</v>
          </cell>
          <cell r="C2542" t="str">
            <v>Adiantamento p/ futuro aumento capital</v>
          </cell>
        </row>
        <row r="2543">
          <cell r="A2543">
            <v>23201107</v>
          </cell>
          <cell r="B2543" t="str">
            <v>2.3.2.01.107</v>
          </cell>
          <cell r="C2543" t="str">
            <v>Afac Colga Investimentos S/A</v>
          </cell>
        </row>
        <row r="2544">
          <cell r="A2544">
            <v>23201108</v>
          </cell>
          <cell r="B2544" t="str">
            <v>2.3.2.01.108</v>
          </cell>
          <cell r="C2544" t="str">
            <v>AFAC - Unialco MS Participações</v>
          </cell>
        </row>
        <row r="2545">
          <cell r="A2545">
            <v>23201109</v>
          </cell>
          <cell r="B2545" t="str">
            <v>2.3.2.01.109</v>
          </cell>
          <cell r="C2545" t="str">
            <v>(-) Participações Recíproca</v>
          </cell>
        </row>
        <row r="2546">
          <cell r="A2546">
            <v>23201200</v>
          </cell>
          <cell r="B2546" t="str">
            <v>2.3.2.01.200</v>
          </cell>
          <cell r="C2546" t="str">
            <v>RESERVA DE REAVALIACAO</v>
          </cell>
        </row>
        <row r="2547">
          <cell r="A2547">
            <v>23201201</v>
          </cell>
          <cell r="B2547" t="str">
            <v>2.3.2.01.201</v>
          </cell>
          <cell r="C2547" t="str">
            <v>Reserva de Reavaliação</v>
          </cell>
        </row>
        <row r="2548">
          <cell r="A2548">
            <v>23201202</v>
          </cell>
          <cell r="B2548" t="str">
            <v>2.3.2.01.202</v>
          </cell>
          <cell r="C2548" t="str">
            <v>Provisão IR/CLSS s/Reserva Reaval.</v>
          </cell>
        </row>
        <row r="2549">
          <cell r="A2549">
            <v>23201203</v>
          </cell>
          <cell r="B2549" t="str">
            <v>2.3.2.01.203</v>
          </cell>
          <cell r="C2549" t="str">
            <v>Reserva Reaval.S/Imobiliz.Coligadas</v>
          </cell>
        </row>
        <row r="2550">
          <cell r="A2550">
            <v>23201300</v>
          </cell>
          <cell r="B2550" t="str">
            <v>2.3.2.01.300</v>
          </cell>
          <cell r="C2550" t="str">
            <v>AFAC Adiant p/ Futuro Aumento Capital</v>
          </cell>
        </row>
        <row r="2551">
          <cell r="A2551">
            <v>23201301</v>
          </cell>
          <cell r="B2551" t="str">
            <v>2.3.2.01.301</v>
          </cell>
          <cell r="C2551" t="str">
            <v>Unialco S/A - Alcool e Acucar</v>
          </cell>
        </row>
        <row r="2552">
          <cell r="A2552">
            <v>23201302</v>
          </cell>
          <cell r="B2552" t="str">
            <v>2.3.2.01.302</v>
          </cell>
          <cell r="C2552" t="str">
            <v>Colgua Investimentos S/A</v>
          </cell>
        </row>
        <row r="2553">
          <cell r="A2553">
            <v>23201303</v>
          </cell>
          <cell r="B2553" t="str">
            <v>2.3.2.01.303</v>
          </cell>
          <cell r="C2553" t="str">
            <v>Afac Phillip G. Dal Lago Rodrigues</v>
          </cell>
        </row>
        <row r="2554">
          <cell r="A2554">
            <v>23201304</v>
          </cell>
          <cell r="B2554" t="str">
            <v>2.3.2.01.304</v>
          </cell>
          <cell r="C2554" t="str">
            <v>Unialco Ms Participações S/A</v>
          </cell>
        </row>
        <row r="2555">
          <cell r="A2555">
            <v>23201305</v>
          </cell>
          <cell r="B2555" t="str">
            <v>2.3.2.01.305</v>
          </cell>
          <cell r="C2555" t="str">
            <v>Alcoolvale S/A Alcool e Açucar</v>
          </cell>
        </row>
        <row r="2556">
          <cell r="A2556">
            <v>23201306</v>
          </cell>
          <cell r="B2556" t="str">
            <v>2.3.2.01.306</v>
          </cell>
          <cell r="C2556" t="str">
            <v>Dourados S/A Alcool e Açucar</v>
          </cell>
        </row>
        <row r="2557">
          <cell r="A2557">
            <v>23201400</v>
          </cell>
          <cell r="B2557" t="str">
            <v>2.3.2.01.400</v>
          </cell>
          <cell r="C2557" t="str">
            <v>RESERVAS DE CAPITAL</v>
          </cell>
        </row>
        <row r="2558">
          <cell r="A2558">
            <v>23201401</v>
          </cell>
          <cell r="B2558" t="str">
            <v>2.3.2.01.401</v>
          </cell>
          <cell r="C2558" t="str">
            <v>Colgua Investimentos S/A</v>
          </cell>
        </row>
        <row r="2559">
          <cell r="A2559">
            <v>23201402</v>
          </cell>
          <cell r="B2559" t="str">
            <v>2.3.2.01.402</v>
          </cell>
          <cell r="C2559" t="str">
            <v>Unialco S/A Alcool e Açucar</v>
          </cell>
        </row>
        <row r="2560">
          <cell r="A2560">
            <v>23201403</v>
          </cell>
          <cell r="B2560" t="str">
            <v>2.3.2.01.403</v>
          </cell>
          <cell r="C2560" t="str">
            <v>Correção Monetária Cap.Realizado</v>
          </cell>
        </row>
        <row r="2561">
          <cell r="A2561">
            <v>23201404</v>
          </cell>
          <cell r="B2561" t="str">
            <v>2.3.2.01.404</v>
          </cell>
          <cell r="C2561" t="str">
            <v>Reservas de reavaliação</v>
          </cell>
        </row>
        <row r="2562">
          <cell r="A2562">
            <v>23201405</v>
          </cell>
          <cell r="B2562" t="str">
            <v>2.3.2.01.405</v>
          </cell>
          <cell r="C2562" t="str">
            <v>Unialco MS Participações S/A</v>
          </cell>
        </row>
        <row r="2563">
          <cell r="A2563">
            <v>23201500</v>
          </cell>
          <cell r="B2563" t="str">
            <v>2.3.2.01.500</v>
          </cell>
          <cell r="C2563" t="str">
            <v>RESERVA DE ÁGIO</v>
          </cell>
        </row>
        <row r="2564">
          <cell r="A2564">
            <v>23201501</v>
          </cell>
          <cell r="B2564" t="str">
            <v>2.3.2.01.501</v>
          </cell>
          <cell r="C2564" t="str">
            <v>CEB Sigma Participações Ltda</v>
          </cell>
        </row>
        <row r="2565">
          <cell r="A2565">
            <v>23300000</v>
          </cell>
          <cell r="B2565" t="str">
            <v>2.3.3.00.000</v>
          </cell>
          <cell r="C2565" t="str">
            <v>RESULTADOS</v>
          </cell>
        </row>
        <row r="2566">
          <cell r="A2566">
            <v>23301000</v>
          </cell>
          <cell r="B2566" t="str">
            <v>2.3.3.01.000</v>
          </cell>
          <cell r="C2566" t="str">
            <v>CONTA DE RESULTADO</v>
          </cell>
        </row>
        <row r="2567">
          <cell r="A2567">
            <v>23301100</v>
          </cell>
          <cell r="B2567" t="str">
            <v>2.3.3.01.100</v>
          </cell>
          <cell r="C2567" t="str">
            <v>LUCROS OU PREJUIZOS ACUMULADOS</v>
          </cell>
        </row>
        <row r="2568">
          <cell r="A2568">
            <v>23301101</v>
          </cell>
          <cell r="B2568" t="str">
            <v>2.3.3.01.101</v>
          </cell>
          <cell r="C2568" t="str">
            <v>Lucros/Prejuizos Exercic.Anteriores</v>
          </cell>
        </row>
        <row r="2569">
          <cell r="A2569">
            <v>23301102</v>
          </cell>
          <cell r="B2569" t="str">
            <v>2.3.3.01.102</v>
          </cell>
          <cell r="C2569" t="str">
            <v>Lucros/Prejuizos Exercic.Corrente</v>
          </cell>
        </row>
        <row r="2570">
          <cell r="A2570">
            <v>23301103</v>
          </cell>
          <cell r="B2570" t="str">
            <v>2.3.3.01.103</v>
          </cell>
          <cell r="C2570" t="str">
            <v>Resultados acumulados lei 11.638- RTT</v>
          </cell>
        </row>
        <row r="2571">
          <cell r="A2571">
            <v>24000000</v>
          </cell>
          <cell r="B2571" t="str">
            <v>2.4.0.00.000</v>
          </cell>
          <cell r="C2571" t="str">
            <v>CONTAS TRANSITORIAS</v>
          </cell>
        </row>
        <row r="2572">
          <cell r="A2572">
            <v>24100000</v>
          </cell>
          <cell r="B2572" t="str">
            <v>2.4.1.00.000</v>
          </cell>
          <cell r="C2572" t="str">
            <v>CONTAS DE ENCERRAMENTO</v>
          </cell>
        </row>
        <row r="2573">
          <cell r="A2573">
            <v>24101000</v>
          </cell>
          <cell r="B2573" t="str">
            <v>2.4.1.01.000</v>
          </cell>
          <cell r="C2573" t="str">
            <v>ENCERRAMENTOS</v>
          </cell>
        </row>
        <row r="2574">
          <cell r="A2574">
            <v>24101100</v>
          </cell>
          <cell r="B2574" t="str">
            <v>2.4.1.01.100</v>
          </cell>
          <cell r="C2574" t="str">
            <v>ENCERRAMENTOS DE EXERCICIOS</v>
          </cell>
        </row>
        <row r="2575">
          <cell r="A2575">
            <v>24101101</v>
          </cell>
          <cell r="B2575" t="str">
            <v>2.4.1.01.101</v>
          </cell>
          <cell r="C2575" t="str">
            <v>Encerramento Do Exercicio Fiscal</v>
          </cell>
        </row>
        <row r="2576">
          <cell r="A2576">
            <v>24101102</v>
          </cell>
          <cell r="B2576" t="str">
            <v>2.4.1.01.102</v>
          </cell>
          <cell r="C2576" t="str">
            <v>Encerramento Do Exerc. Societario</v>
          </cell>
        </row>
        <row r="2577">
          <cell r="A2577">
            <v>29000000</v>
          </cell>
          <cell r="B2577" t="str">
            <v>2.9.0.00.000</v>
          </cell>
          <cell r="C2577" t="str">
            <v>TRANSITORIA DE AJUSTE DO PASSIVO</v>
          </cell>
        </row>
        <row r="2578">
          <cell r="A2578">
            <v>29100000</v>
          </cell>
          <cell r="B2578" t="str">
            <v>2.9.1.00.000</v>
          </cell>
          <cell r="C2578" t="str">
            <v>TRANSITORIA DE AJUSTE DO PASSIVO</v>
          </cell>
        </row>
        <row r="2579">
          <cell r="A2579">
            <v>29101000</v>
          </cell>
          <cell r="B2579" t="str">
            <v>2.9.1.01.000</v>
          </cell>
          <cell r="C2579" t="str">
            <v>TRANSITORIA DE AJUSTE DO PASSIVO</v>
          </cell>
        </row>
        <row r="2580">
          <cell r="A2580">
            <v>29101001</v>
          </cell>
          <cell r="B2580" t="str">
            <v>2.9.1.01.001</v>
          </cell>
          <cell r="C2580" t="str">
            <v>Transitoria de Ajuste do Passivo</v>
          </cell>
        </row>
        <row r="2581">
          <cell r="A2581">
            <v>30000000</v>
          </cell>
          <cell r="B2581" t="str">
            <v>3.0.0.00.000</v>
          </cell>
          <cell r="C2581" t="str">
            <v>CUSTOS</v>
          </cell>
        </row>
        <row r="2582">
          <cell r="A2582">
            <v>31000000</v>
          </cell>
          <cell r="B2582" t="str">
            <v>3.1.0.00.000</v>
          </cell>
          <cell r="C2582" t="str">
            <v>CUSTOS E DESPESAS</v>
          </cell>
        </row>
        <row r="2583">
          <cell r="A2583">
            <v>31100000</v>
          </cell>
          <cell r="B2583" t="str">
            <v>3.1.1.00.000</v>
          </cell>
          <cell r="C2583" t="str">
            <v>CUSTOS E DESPESAS</v>
          </cell>
        </row>
        <row r="2584">
          <cell r="A2584">
            <v>31101000</v>
          </cell>
          <cell r="B2584" t="str">
            <v>3.1.1.01.000</v>
          </cell>
          <cell r="C2584" t="str">
            <v>SALARIOS E ENCARGOS</v>
          </cell>
        </row>
        <row r="2585">
          <cell r="A2585">
            <v>31101010</v>
          </cell>
          <cell r="B2585" t="str">
            <v>3.1.1.01.010</v>
          </cell>
          <cell r="C2585" t="str">
            <v>SALARIOS</v>
          </cell>
        </row>
        <row r="2586">
          <cell r="A2586">
            <v>31101011</v>
          </cell>
          <cell r="B2586" t="str">
            <v>3.1.1.01.011</v>
          </cell>
          <cell r="C2586" t="str">
            <v>Salarios</v>
          </cell>
        </row>
        <row r="2587">
          <cell r="A2587">
            <v>31101012</v>
          </cell>
          <cell r="B2587" t="str">
            <v>3.1.1.01.012</v>
          </cell>
          <cell r="C2587" t="str">
            <v>Salários - Entressafra</v>
          </cell>
        </row>
        <row r="2588">
          <cell r="A2588">
            <v>31101020</v>
          </cell>
          <cell r="B2588" t="str">
            <v>3.1.1.01.020</v>
          </cell>
          <cell r="C2588" t="str">
            <v>HORA EXTRA</v>
          </cell>
        </row>
        <row r="2589">
          <cell r="A2589">
            <v>31101021</v>
          </cell>
          <cell r="B2589" t="str">
            <v>3.1.1.01.021</v>
          </cell>
          <cell r="C2589" t="str">
            <v>Hora Extra</v>
          </cell>
        </row>
        <row r="2590">
          <cell r="A2590">
            <v>31101030</v>
          </cell>
          <cell r="B2590" t="str">
            <v>3.1.1.01.030</v>
          </cell>
          <cell r="C2590" t="str">
            <v>PROVISAO DE FERIAS</v>
          </cell>
        </row>
        <row r="2591">
          <cell r="A2591">
            <v>31101031</v>
          </cell>
          <cell r="B2591" t="str">
            <v>3.1.1.01.031</v>
          </cell>
          <cell r="C2591" t="str">
            <v>Provisao de Ferias</v>
          </cell>
        </row>
        <row r="2592">
          <cell r="A2592">
            <v>31101040</v>
          </cell>
          <cell r="B2592" t="str">
            <v>3.1.1.01.040</v>
          </cell>
          <cell r="C2592" t="str">
            <v>PROVISAO 13. SALARIO</v>
          </cell>
        </row>
        <row r="2593">
          <cell r="A2593">
            <v>31101041</v>
          </cell>
          <cell r="B2593" t="str">
            <v>3.1.1.01.041</v>
          </cell>
          <cell r="C2593" t="str">
            <v>Provisao 13. Salario</v>
          </cell>
        </row>
        <row r="2594">
          <cell r="A2594">
            <v>31101042</v>
          </cell>
          <cell r="B2594" t="str">
            <v>3.1.1.01.042</v>
          </cell>
          <cell r="C2594" t="str">
            <v>13 Salário - Entressafra</v>
          </cell>
        </row>
        <row r="2595">
          <cell r="A2595">
            <v>31101050</v>
          </cell>
          <cell r="B2595" t="str">
            <v>3.1.1.01.050</v>
          </cell>
          <cell r="C2595" t="str">
            <v>FERIAS</v>
          </cell>
        </row>
        <row r="2596">
          <cell r="A2596">
            <v>31101051</v>
          </cell>
          <cell r="B2596" t="str">
            <v>3.1.1.01.051</v>
          </cell>
          <cell r="C2596" t="str">
            <v>Ferias</v>
          </cell>
        </row>
        <row r="2597">
          <cell r="A2597">
            <v>31101052</v>
          </cell>
          <cell r="B2597" t="str">
            <v>3.1.1.01.052</v>
          </cell>
          <cell r="C2597" t="str">
            <v>Férias - Entressafra</v>
          </cell>
        </row>
        <row r="2598">
          <cell r="A2598">
            <v>31101060</v>
          </cell>
          <cell r="B2598" t="str">
            <v>3.1.1.01.060</v>
          </cell>
          <cell r="C2598" t="str">
            <v>13. SALARIO</v>
          </cell>
        </row>
        <row r="2599">
          <cell r="A2599">
            <v>31101061</v>
          </cell>
          <cell r="B2599" t="str">
            <v>3.1.1.01.061</v>
          </cell>
          <cell r="C2599" t="str">
            <v>13. Salario</v>
          </cell>
        </row>
        <row r="2600">
          <cell r="A2600">
            <v>31101062</v>
          </cell>
          <cell r="B2600" t="str">
            <v>3.1.1.01.062</v>
          </cell>
          <cell r="C2600" t="str">
            <v>13º Salario Entressafra</v>
          </cell>
        </row>
        <row r="2601">
          <cell r="A2601">
            <v>31101070</v>
          </cell>
          <cell r="B2601" t="str">
            <v>3.1.1.01.070</v>
          </cell>
          <cell r="C2601" t="str">
            <v>AVISO PREVIO</v>
          </cell>
        </row>
        <row r="2602">
          <cell r="A2602">
            <v>31101071</v>
          </cell>
          <cell r="B2602" t="str">
            <v>3.1.1.01.071</v>
          </cell>
          <cell r="C2602" t="str">
            <v>Aviso Previo</v>
          </cell>
        </row>
        <row r="2603">
          <cell r="A2603">
            <v>31101072</v>
          </cell>
          <cell r="B2603" t="str">
            <v>3.1.1.01.072</v>
          </cell>
          <cell r="C2603" t="str">
            <v>Aviso Prévio - Entressafra</v>
          </cell>
        </row>
        <row r="2604">
          <cell r="A2604">
            <v>31101080</v>
          </cell>
          <cell r="B2604" t="str">
            <v>3.1.1.01.080</v>
          </cell>
          <cell r="C2604" t="str">
            <v>GRATIFICACAO</v>
          </cell>
        </row>
        <row r="2605">
          <cell r="A2605">
            <v>31101081</v>
          </cell>
          <cell r="B2605" t="str">
            <v>3.1.1.01.081</v>
          </cell>
          <cell r="C2605" t="str">
            <v>Gratificações</v>
          </cell>
        </row>
        <row r="2606">
          <cell r="A2606">
            <v>31101082</v>
          </cell>
          <cell r="B2606" t="str">
            <v>3.1.1.01.082</v>
          </cell>
          <cell r="C2606" t="str">
            <v>Gratificações - Entressafra</v>
          </cell>
        </row>
        <row r="2607">
          <cell r="A2607">
            <v>31101090</v>
          </cell>
          <cell r="B2607" t="str">
            <v>3.1.1.01.090</v>
          </cell>
          <cell r="C2607" t="str">
            <v>PLANO PARTICIPACAO RESULTADOS</v>
          </cell>
        </row>
        <row r="2608">
          <cell r="A2608">
            <v>31101091</v>
          </cell>
          <cell r="B2608" t="str">
            <v>3.1.1.01.091</v>
          </cell>
          <cell r="C2608" t="str">
            <v>Plano Participacao Resultados</v>
          </cell>
        </row>
        <row r="2609">
          <cell r="A2609">
            <v>31101092</v>
          </cell>
          <cell r="B2609" t="str">
            <v>3.1.1.01.092</v>
          </cell>
          <cell r="C2609" t="str">
            <v>Plano de Partic.Resultados - Entressafra</v>
          </cell>
        </row>
        <row r="2610">
          <cell r="A2610">
            <v>31101100</v>
          </cell>
          <cell r="B2610" t="str">
            <v>3.1.1.01.100</v>
          </cell>
          <cell r="C2610" t="str">
            <v>AJUDA DE CUSTO</v>
          </cell>
        </row>
        <row r="2611">
          <cell r="A2611">
            <v>31101101</v>
          </cell>
          <cell r="B2611" t="str">
            <v>3.1.1.01.101</v>
          </cell>
          <cell r="C2611" t="str">
            <v>Ajuda de Custo</v>
          </cell>
        </row>
        <row r="2612">
          <cell r="A2612">
            <v>31101102</v>
          </cell>
          <cell r="B2612" t="str">
            <v>3.1.1.01.102</v>
          </cell>
          <cell r="C2612" t="str">
            <v>Ajuda de Custo - Entressafra</v>
          </cell>
        </row>
        <row r="2613">
          <cell r="A2613">
            <v>31101110</v>
          </cell>
          <cell r="B2613" t="str">
            <v>3.1.1.01.110</v>
          </cell>
          <cell r="C2613" t="str">
            <v>PRO-LABORE</v>
          </cell>
        </row>
        <row r="2614">
          <cell r="A2614">
            <v>31101111</v>
          </cell>
          <cell r="B2614" t="str">
            <v>3.1.1.01.111</v>
          </cell>
          <cell r="C2614" t="str">
            <v>Pro-Labore</v>
          </cell>
        </row>
        <row r="2615">
          <cell r="A2615">
            <v>31101120</v>
          </cell>
          <cell r="B2615" t="str">
            <v>3.1.1.01.120</v>
          </cell>
          <cell r="C2615" t="str">
            <v>HONORARIOS</v>
          </cell>
        </row>
        <row r="2616">
          <cell r="A2616">
            <v>31101121</v>
          </cell>
          <cell r="B2616" t="str">
            <v>3.1.1.01.121</v>
          </cell>
          <cell r="C2616" t="str">
            <v>Honorarios</v>
          </cell>
        </row>
        <row r="2617">
          <cell r="A2617">
            <v>31101130</v>
          </cell>
          <cell r="B2617" t="str">
            <v>3.1.1.01.130</v>
          </cell>
          <cell r="C2617" t="str">
            <v>AUXILIO ENFERMIDADE</v>
          </cell>
        </row>
        <row r="2618">
          <cell r="A2618">
            <v>31101131</v>
          </cell>
          <cell r="B2618" t="str">
            <v>3.1.1.01.131</v>
          </cell>
          <cell r="C2618" t="str">
            <v>Auxilio Enfermidade</v>
          </cell>
        </row>
        <row r="2619">
          <cell r="A2619">
            <v>31101132</v>
          </cell>
          <cell r="B2619" t="str">
            <v>3.1.1.01.132</v>
          </cell>
          <cell r="C2619" t="str">
            <v>Auxilio Enfermidade - Entressafra</v>
          </cell>
        </row>
        <row r="2620">
          <cell r="A2620">
            <v>31101133</v>
          </cell>
          <cell r="B2620" t="str">
            <v>3.1.1.01.133</v>
          </cell>
          <cell r="C2620" t="str">
            <v>Auxílio Acidente Trabalho</v>
          </cell>
        </row>
        <row r="2621">
          <cell r="A2621">
            <v>31101134</v>
          </cell>
          <cell r="B2621" t="str">
            <v>3.1.1.01.134</v>
          </cell>
          <cell r="C2621" t="str">
            <v>Auxilio Funerário</v>
          </cell>
        </row>
        <row r="2622">
          <cell r="A2622">
            <v>31101140</v>
          </cell>
          <cell r="B2622" t="str">
            <v>3.1.1.01.140</v>
          </cell>
          <cell r="C2622" t="str">
            <v>AUXILIO MATERNIDADE</v>
          </cell>
        </row>
        <row r="2623">
          <cell r="A2623">
            <v>31101141</v>
          </cell>
          <cell r="B2623" t="str">
            <v>3.1.1.01.141</v>
          </cell>
          <cell r="C2623" t="str">
            <v>Auxilio Maternidade</v>
          </cell>
        </row>
        <row r="2624">
          <cell r="A2624">
            <v>31101150</v>
          </cell>
          <cell r="B2624" t="str">
            <v>3.1.1.01.150</v>
          </cell>
          <cell r="C2624" t="str">
            <v>INDENIZACOES TRABALHISTAS</v>
          </cell>
        </row>
        <row r="2625">
          <cell r="A2625">
            <v>31101151</v>
          </cell>
          <cell r="B2625" t="str">
            <v>3.1.1.01.151</v>
          </cell>
          <cell r="C2625" t="str">
            <v>Indenizações Trabalhistas</v>
          </cell>
        </row>
        <row r="2626">
          <cell r="A2626">
            <v>31101152</v>
          </cell>
          <cell r="B2626" t="str">
            <v>3.1.1.01.152</v>
          </cell>
          <cell r="C2626" t="str">
            <v>Indenizações Trabalhistas - Entressafra</v>
          </cell>
        </row>
        <row r="2627">
          <cell r="A2627">
            <v>31101160</v>
          </cell>
          <cell r="B2627" t="str">
            <v>3.1.1.01.160</v>
          </cell>
          <cell r="C2627" t="str">
            <v>FGTS</v>
          </cell>
        </row>
        <row r="2628">
          <cell r="A2628">
            <v>31101161</v>
          </cell>
          <cell r="B2628" t="str">
            <v>3.1.1.01.161</v>
          </cell>
          <cell r="C2628" t="str">
            <v>Fgts</v>
          </cell>
        </row>
        <row r="2629">
          <cell r="A2629">
            <v>31101162</v>
          </cell>
          <cell r="B2629" t="str">
            <v>3.1.1.01.162</v>
          </cell>
          <cell r="C2629" t="str">
            <v>Fgts - Entressafra</v>
          </cell>
        </row>
        <row r="2630">
          <cell r="A2630">
            <v>31101170</v>
          </cell>
          <cell r="B2630" t="str">
            <v>3.1.1.01.170</v>
          </cell>
          <cell r="C2630" t="str">
            <v>INSS PROVISAO FERIAS</v>
          </cell>
        </row>
        <row r="2631">
          <cell r="A2631">
            <v>31101171</v>
          </cell>
          <cell r="B2631" t="str">
            <v>3.1.1.01.171</v>
          </cell>
          <cell r="C2631" t="str">
            <v>Inss Provisao Ferias</v>
          </cell>
        </row>
        <row r="2632">
          <cell r="A2632">
            <v>31101180</v>
          </cell>
          <cell r="B2632" t="str">
            <v>3.1.1.01.180</v>
          </cell>
          <cell r="C2632" t="str">
            <v>INSS PROVISAO 13. SALARIO</v>
          </cell>
        </row>
        <row r="2633">
          <cell r="A2633">
            <v>31101181</v>
          </cell>
          <cell r="B2633" t="str">
            <v>3.1.1.01.181</v>
          </cell>
          <cell r="C2633" t="str">
            <v>Inss Provisao 13. Salario</v>
          </cell>
        </row>
        <row r="2634">
          <cell r="A2634">
            <v>31101190</v>
          </cell>
          <cell r="B2634" t="str">
            <v>3.1.1.01.190</v>
          </cell>
          <cell r="C2634" t="str">
            <v>FGTS PROVISAO FERIAS</v>
          </cell>
        </row>
        <row r="2635">
          <cell r="A2635">
            <v>31101191</v>
          </cell>
          <cell r="B2635" t="str">
            <v>3.1.1.01.191</v>
          </cell>
          <cell r="C2635" t="str">
            <v>Fgts Provisao Ferias</v>
          </cell>
        </row>
        <row r="2636">
          <cell r="A2636">
            <v>31101200</v>
          </cell>
          <cell r="B2636" t="str">
            <v>3.1.1.01.200</v>
          </cell>
          <cell r="C2636" t="str">
            <v>SEGURO ACIDENTE TRABALHO-SAT</v>
          </cell>
        </row>
        <row r="2637">
          <cell r="A2637">
            <v>31101201</v>
          </cell>
          <cell r="B2637" t="str">
            <v>3.1.1.01.201</v>
          </cell>
          <cell r="C2637" t="str">
            <v>Seguro Acidente Trabalho-Sat</v>
          </cell>
        </row>
        <row r="2638">
          <cell r="A2638">
            <v>31101202</v>
          </cell>
          <cell r="B2638" t="str">
            <v>3.1.1.01.202</v>
          </cell>
          <cell r="C2638" t="str">
            <v>Seguro Acidente Trabalho - Entressafra</v>
          </cell>
        </row>
        <row r="2639">
          <cell r="A2639">
            <v>31101210</v>
          </cell>
          <cell r="B2639" t="str">
            <v>3.1.1.01.210</v>
          </cell>
          <cell r="C2639" t="str">
            <v>PLANO SAUDE DIRETORIA E GERENTES</v>
          </cell>
        </row>
        <row r="2640">
          <cell r="A2640">
            <v>31101211</v>
          </cell>
          <cell r="B2640" t="str">
            <v>3.1.1.01.211</v>
          </cell>
          <cell r="C2640" t="str">
            <v>Plano Saude Diretoria e Gerentes</v>
          </cell>
        </row>
        <row r="2641">
          <cell r="A2641">
            <v>31101220</v>
          </cell>
          <cell r="B2641" t="str">
            <v>3.1.1.01.220</v>
          </cell>
          <cell r="C2641" t="str">
            <v>PLANO SAUDE FUNCIONARIOS</v>
          </cell>
        </row>
        <row r="2642">
          <cell r="A2642">
            <v>31101221</v>
          </cell>
          <cell r="B2642" t="str">
            <v>3.1.1.01.221</v>
          </cell>
          <cell r="C2642" t="str">
            <v>Plano Saude Funcionarios</v>
          </cell>
        </row>
        <row r="2643">
          <cell r="A2643">
            <v>31101230</v>
          </cell>
          <cell r="B2643" t="str">
            <v>3.1.1.01.230</v>
          </cell>
          <cell r="C2643" t="str">
            <v>BÔNUS</v>
          </cell>
        </row>
        <row r="2644">
          <cell r="A2644">
            <v>31101231</v>
          </cell>
          <cell r="B2644" t="str">
            <v>3.1.1.01.231</v>
          </cell>
          <cell r="C2644" t="str">
            <v>Bônus</v>
          </cell>
        </row>
        <row r="2645">
          <cell r="A2645">
            <v>31101232</v>
          </cell>
          <cell r="B2645" t="str">
            <v>3.1.1.01.232</v>
          </cell>
          <cell r="C2645" t="str">
            <v>Bônus  -  Entressafra</v>
          </cell>
        </row>
        <row r="2646">
          <cell r="A2646">
            <v>31101240</v>
          </cell>
          <cell r="B2646" t="str">
            <v>3.1.1.01.240</v>
          </cell>
          <cell r="C2646" t="str">
            <v>CONTRIBUIÇÃO SINDICAL</v>
          </cell>
        </row>
        <row r="2647">
          <cell r="A2647">
            <v>31101241</v>
          </cell>
          <cell r="B2647" t="str">
            <v>3.1.1.01.241</v>
          </cell>
          <cell r="C2647" t="str">
            <v>Contribuição Sindical</v>
          </cell>
        </row>
        <row r="2648">
          <cell r="A2648">
            <v>31101300</v>
          </cell>
          <cell r="B2648" t="str">
            <v>3.1.1.01.300</v>
          </cell>
          <cell r="C2648" t="str">
            <v>EXAMES</v>
          </cell>
        </row>
        <row r="2649">
          <cell r="A2649">
            <v>31101301</v>
          </cell>
          <cell r="B2649" t="str">
            <v>3.1.1.01.301</v>
          </cell>
          <cell r="C2649" t="str">
            <v>Exames Médicos em geral</v>
          </cell>
        </row>
        <row r="2650">
          <cell r="A2650">
            <v>31101302</v>
          </cell>
          <cell r="B2650" t="str">
            <v>3.1.1.01.302</v>
          </cell>
          <cell r="C2650" t="str">
            <v>Exames Demissionais</v>
          </cell>
        </row>
        <row r="2651">
          <cell r="A2651">
            <v>31101500</v>
          </cell>
          <cell r="B2651" t="str">
            <v>3.1.1.01.500</v>
          </cell>
          <cell r="C2651" t="str">
            <v>ENCARGOS</v>
          </cell>
        </row>
        <row r="2652">
          <cell r="A2652">
            <v>31101510</v>
          </cell>
          <cell r="B2652" t="str">
            <v>3.1.1.01.510</v>
          </cell>
          <cell r="C2652" t="str">
            <v>INSS</v>
          </cell>
        </row>
        <row r="2653">
          <cell r="A2653">
            <v>31101511</v>
          </cell>
          <cell r="B2653" t="str">
            <v>3.1.1.01.511</v>
          </cell>
          <cell r="C2653" t="str">
            <v>Inss</v>
          </cell>
        </row>
        <row r="2654">
          <cell r="A2654">
            <v>31101512</v>
          </cell>
          <cell r="B2654" t="str">
            <v>3.1.1.01.512</v>
          </cell>
          <cell r="C2654" t="str">
            <v>Inss - Entressafra</v>
          </cell>
        </row>
        <row r="2655">
          <cell r="A2655">
            <v>31102000</v>
          </cell>
          <cell r="B2655" t="str">
            <v>3.1.1.02.000</v>
          </cell>
          <cell r="C2655" t="str">
            <v>SERVICOS DE TERCEIROS</v>
          </cell>
        </row>
        <row r="2656">
          <cell r="A2656">
            <v>31102100</v>
          </cell>
          <cell r="B2656" t="str">
            <v>3.1.1.02.100</v>
          </cell>
          <cell r="C2656" t="str">
            <v>SERVICOS DE TERCEIROS</v>
          </cell>
        </row>
        <row r="2657">
          <cell r="A2657">
            <v>31102101</v>
          </cell>
          <cell r="B2657" t="str">
            <v>3.1.1.02.101</v>
          </cell>
          <cell r="C2657" t="str">
            <v>Auditoria</v>
          </cell>
        </row>
        <row r="2658">
          <cell r="A2658">
            <v>31102102</v>
          </cell>
          <cell r="B2658" t="str">
            <v>3.1.1.02.102</v>
          </cell>
          <cell r="C2658" t="str">
            <v>Consultoria Fiscal - Conselho Fiscal</v>
          </cell>
        </row>
        <row r="2659">
          <cell r="A2659">
            <v>31102103</v>
          </cell>
          <cell r="B2659" t="str">
            <v>3.1.1.02.103</v>
          </cell>
          <cell r="C2659" t="str">
            <v>Outros Servicos</v>
          </cell>
        </row>
        <row r="2660">
          <cell r="A2660">
            <v>31102104</v>
          </cell>
          <cell r="B2660" t="str">
            <v>3.1.1.02.104</v>
          </cell>
          <cell r="C2660" t="str">
            <v>Servicos Advogaticios</v>
          </cell>
        </row>
        <row r="2661">
          <cell r="A2661">
            <v>31102105</v>
          </cell>
          <cell r="B2661" t="str">
            <v>3.1.1.02.105</v>
          </cell>
          <cell r="C2661" t="str">
            <v>Servicos de Manutencao e Reparos</v>
          </cell>
        </row>
        <row r="2662">
          <cell r="A2662">
            <v>31102106</v>
          </cell>
          <cell r="B2662" t="str">
            <v>3.1.1.02.106</v>
          </cell>
          <cell r="C2662" t="str">
            <v>Servicos de Maquinas e Tratores</v>
          </cell>
        </row>
        <row r="2663">
          <cell r="A2663">
            <v>31102107</v>
          </cell>
          <cell r="B2663" t="str">
            <v>3.1.1.02.107</v>
          </cell>
          <cell r="C2663" t="str">
            <v>Transporte/Carregamento Cana de Acucar</v>
          </cell>
        </row>
        <row r="2664">
          <cell r="A2664">
            <v>31102108</v>
          </cell>
          <cell r="B2664" t="str">
            <v>3.1.1.02.108</v>
          </cell>
          <cell r="C2664" t="str">
            <v>Serviços de Transportes</v>
          </cell>
        </row>
        <row r="2665">
          <cell r="A2665">
            <v>31102109</v>
          </cell>
          <cell r="B2665" t="str">
            <v>3.1.1.02.109</v>
          </cell>
          <cell r="C2665" t="str">
            <v>Serviços de Armazenagem</v>
          </cell>
        </row>
        <row r="2666">
          <cell r="A2666">
            <v>31102110</v>
          </cell>
          <cell r="B2666" t="str">
            <v>3.1.1.02.110</v>
          </cell>
          <cell r="C2666" t="str">
            <v>Serviços de Veiculos</v>
          </cell>
        </row>
        <row r="2667">
          <cell r="A2667">
            <v>31102111</v>
          </cell>
          <cell r="B2667" t="str">
            <v>3.1.1.02.111</v>
          </cell>
          <cell r="C2667" t="str">
            <v>Serviços de Veiculos-PJ</v>
          </cell>
        </row>
        <row r="2668">
          <cell r="A2668">
            <v>31102112</v>
          </cell>
          <cell r="B2668" t="str">
            <v>3.1.1.02.112</v>
          </cell>
          <cell r="C2668" t="str">
            <v>Assistencia Tecnica-Terceiros</v>
          </cell>
        </row>
        <row r="2669">
          <cell r="A2669">
            <v>31102113</v>
          </cell>
          <cell r="B2669" t="str">
            <v>3.1.1.02.113</v>
          </cell>
          <cell r="C2669" t="str">
            <v>Honorários Profissionais</v>
          </cell>
        </row>
        <row r="2670">
          <cell r="A2670">
            <v>31102114</v>
          </cell>
          <cell r="B2670" t="str">
            <v>3.1.1.02.114</v>
          </cell>
          <cell r="C2670" t="str">
            <v>Comissões e Corretagens</v>
          </cell>
        </row>
        <row r="2671">
          <cell r="A2671">
            <v>31102115</v>
          </cell>
          <cell r="B2671" t="str">
            <v>3.1.1.02.115</v>
          </cell>
          <cell r="C2671" t="str">
            <v>Servicos de Manutencao e Reparos-PF</v>
          </cell>
        </row>
        <row r="2672">
          <cell r="A2672">
            <v>31102116</v>
          </cell>
          <cell r="B2672" t="str">
            <v>3.1.1.02.116</v>
          </cell>
          <cell r="C2672" t="str">
            <v>Assistencia Tecnica</v>
          </cell>
        </row>
        <row r="2673">
          <cell r="A2673">
            <v>31102117</v>
          </cell>
          <cell r="B2673" t="str">
            <v>3.1.1.02.117</v>
          </cell>
          <cell r="C2673" t="str">
            <v>Assessoria e Consultoria</v>
          </cell>
        </row>
        <row r="2674">
          <cell r="A2674">
            <v>31102118</v>
          </cell>
          <cell r="B2674" t="str">
            <v>3.1.1.02.118</v>
          </cell>
          <cell r="C2674" t="str">
            <v>Serviço de Beneficiamento</v>
          </cell>
        </row>
        <row r="2675">
          <cell r="A2675">
            <v>31102119</v>
          </cell>
          <cell r="B2675" t="str">
            <v>3.1.1.02.119</v>
          </cell>
          <cell r="C2675" t="str">
            <v>Serviços Administrativos</v>
          </cell>
        </row>
        <row r="2676">
          <cell r="A2676">
            <v>31102120</v>
          </cell>
          <cell r="B2676" t="str">
            <v>3.1.1.02.120</v>
          </cell>
          <cell r="C2676" t="str">
            <v>Assessoria e consultoria - RTT</v>
          </cell>
        </row>
        <row r="2677">
          <cell r="A2677">
            <v>31102121</v>
          </cell>
          <cell r="B2677" t="str">
            <v>3.1.1.02.121</v>
          </cell>
          <cell r="C2677" t="str">
            <v>Serviços de segurança e vigilancia</v>
          </cell>
        </row>
        <row r="2678">
          <cell r="A2678">
            <v>31102300</v>
          </cell>
          <cell r="B2678" t="str">
            <v>3.1.1.02.300</v>
          </cell>
          <cell r="C2678" t="str">
            <v>SERVIÇOS DE TERCEIROS ENTRESAFRA</v>
          </cell>
        </row>
        <row r="2679">
          <cell r="A2679">
            <v>31102301</v>
          </cell>
          <cell r="B2679" t="str">
            <v>3.1.1.02.301</v>
          </cell>
          <cell r="C2679" t="str">
            <v>Serviços de Recuperação/Revisao-Entressa</v>
          </cell>
        </row>
        <row r="2680">
          <cell r="A2680">
            <v>31102302</v>
          </cell>
          <cell r="B2680" t="str">
            <v>3.1.1.02.302</v>
          </cell>
          <cell r="C2680" t="str">
            <v>Outros Serviços - PF - Entressafra</v>
          </cell>
        </row>
        <row r="2681">
          <cell r="A2681">
            <v>31102303</v>
          </cell>
          <cell r="B2681" t="str">
            <v>3.1.1.02.303</v>
          </cell>
          <cell r="C2681" t="str">
            <v>Serviços de Maquinas e Tratores-PJ-Entre</v>
          </cell>
        </row>
        <row r="2682">
          <cell r="A2682">
            <v>31102304</v>
          </cell>
          <cell r="B2682" t="str">
            <v>3.1.1.02.304</v>
          </cell>
          <cell r="C2682" t="str">
            <v>Auditoria-Entressafra</v>
          </cell>
        </row>
        <row r="2683">
          <cell r="A2683">
            <v>31102305</v>
          </cell>
          <cell r="B2683" t="str">
            <v>3.1.1.02.305</v>
          </cell>
          <cell r="C2683" t="str">
            <v>Serviços Manut.Reparos-PJ-Entressafra</v>
          </cell>
        </row>
        <row r="2684">
          <cell r="A2684">
            <v>31102306</v>
          </cell>
          <cell r="B2684" t="str">
            <v>3.1.1.02.306</v>
          </cell>
          <cell r="C2684" t="str">
            <v>Outros Serviços PJ-Entressafra</v>
          </cell>
        </row>
        <row r="2685">
          <cell r="A2685">
            <v>31102307</v>
          </cell>
          <cell r="B2685" t="str">
            <v>3.1.1.02.307</v>
          </cell>
          <cell r="C2685" t="str">
            <v>Agenciadores Consolidados-Entressafra</v>
          </cell>
        </row>
        <row r="2686">
          <cell r="A2686">
            <v>31102400</v>
          </cell>
          <cell r="B2686" t="str">
            <v>3.1.1.02.400</v>
          </cell>
          <cell r="C2686" t="str">
            <v>SERVIÇOS TERCEIROS AP. PIMS</v>
          </cell>
        </row>
        <row r="2687">
          <cell r="A2687">
            <v>31102401</v>
          </cell>
          <cell r="B2687" t="str">
            <v>3.1.1.02.401</v>
          </cell>
          <cell r="C2687" t="str">
            <v>Alugueis Máq. Tratores e Equip. - Pims</v>
          </cell>
        </row>
        <row r="2688">
          <cell r="A2688">
            <v>31102402</v>
          </cell>
          <cell r="B2688" t="str">
            <v>3.1.1.02.402</v>
          </cell>
          <cell r="C2688" t="str">
            <v>Serviços Máq. Tratores e Equip. - Pims</v>
          </cell>
        </row>
        <row r="2689">
          <cell r="A2689">
            <v>31102403</v>
          </cell>
          <cell r="B2689" t="str">
            <v>3.1.1.02.403</v>
          </cell>
          <cell r="C2689" t="str">
            <v>Transp/Carregamentos Cana-de-açucar-Pims</v>
          </cell>
        </row>
        <row r="2690">
          <cell r="A2690">
            <v>31102404</v>
          </cell>
          <cell r="B2690" t="str">
            <v>3.1.1.02.404</v>
          </cell>
          <cell r="C2690" t="str">
            <v>Transporte de Pessoal - Pims</v>
          </cell>
        </row>
        <row r="2691">
          <cell r="A2691">
            <v>31102405</v>
          </cell>
          <cell r="B2691" t="str">
            <v>3.1.1.02.405</v>
          </cell>
          <cell r="C2691" t="str">
            <v>Serviços Gerais - Pims</v>
          </cell>
        </row>
        <row r="2692">
          <cell r="A2692">
            <v>31102406</v>
          </cell>
          <cell r="B2692" t="str">
            <v>3.1.1.02.406</v>
          </cell>
          <cell r="C2692" t="str">
            <v>Transportes Diversos</v>
          </cell>
        </row>
        <row r="2693">
          <cell r="A2693">
            <v>31102407</v>
          </cell>
          <cell r="B2693" t="str">
            <v>3.1.1.02.407</v>
          </cell>
          <cell r="C2693" t="str">
            <v>Carregamento Cana-de-açucar</v>
          </cell>
        </row>
        <row r="2694">
          <cell r="A2694">
            <v>31102408</v>
          </cell>
          <cell r="B2694" t="str">
            <v>3.1.1.02.408</v>
          </cell>
          <cell r="C2694" t="str">
            <v>Transporte Cana Muda</v>
          </cell>
        </row>
        <row r="2695">
          <cell r="A2695">
            <v>31102409</v>
          </cell>
          <cell r="B2695" t="str">
            <v>3.1.1.02.409</v>
          </cell>
          <cell r="C2695" t="str">
            <v>Carregamento Cana Muda</v>
          </cell>
        </row>
        <row r="2696">
          <cell r="A2696">
            <v>31102410</v>
          </cell>
          <cell r="B2696" t="str">
            <v>3.1.1.02.410</v>
          </cell>
          <cell r="C2696" t="str">
            <v>Serviços Colheita Mecanizada</v>
          </cell>
        </row>
        <row r="2697">
          <cell r="A2697">
            <v>31103000</v>
          </cell>
          <cell r="B2697" t="str">
            <v>3.1.1.03.000</v>
          </cell>
          <cell r="C2697" t="str">
            <v>GASTOS GERAIS</v>
          </cell>
        </row>
        <row r="2698">
          <cell r="A2698">
            <v>31103100</v>
          </cell>
          <cell r="B2698" t="str">
            <v>3.1.1.03.100</v>
          </cell>
          <cell r="C2698" t="str">
            <v>GASTOS GERAIS</v>
          </cell>
        </row>
        <row r="2699">
          <cell r="A2699">
            <v>31103101</v>
          </cell>
          <cell r="B2699" t="str">
            <v>3.1.1.03.101</v>
          </cell>
          <cell r="C2699" t="str">
            <v>Afericao</v>
          </cell>
        </row>
        <row r="2700">
          <cell r="A2700">
            <v>31103102</v>
          </cell>
          <cell r="B2700" t="str">
            <v>3.1.1.03.102</v>
          </cell>
          <cell r="C2700" t="str">
            <v>Alugueis de Maquinas e Equipamentos</v>
          </cell>
        </row>
        <row r="2701">
          <cell r="A2701">
            <v>31103103</v>
          </cell>
          <cell r="B2701" t="str">
            <v>3.1.1.03.103</v>
          </cell>
          <cell r="C2701" t="str">
            <v>Alugueis aparelhos/utensilios</v>
          </cell>
        </row>
        <row r="2702">
          <cell r="A2702">
            <v>31103104</v>
          </cell>
          <cell r="B2702" t="str">
            <v>3.1.1.03.104</v>
          </cell>
          <cell r="C2702" t="str">
            <v>Analises</v>
          </cell>
        </row>
        <row r="2703">
          <cell r="A2703">
            <v>31103105</v>
          </cell>
          <cell r="B2703" t="str">
            <v>3.1.1.03.105</v>
          </cell>
          <cell r="C2703" t="str">
            <v>Anuncios e Publicacoes</v>
          </cell>
        </row>
        <row r="2704">
          <cell r="A2704">
            <v>31103106</v>
          </cell>
          <cell r="B2704" t="str">
            <v>3.1.1.03.106</v>
          </cell>
          <cell r="C2704" t="str">
            <v>Apropriacao</v>
          </cell>
        </row>
        <row r="2705">
          <cell r="A2705">
            <v>31103107</v>
          </cell>
          <cell r="B2705" t="str">
            <v>3.1.1.03.107</v>
          </cell>
          <cell r="C2705" t="str">
            <v>Assistencia Social</v>
          </cell>
        </row>
        <row r="2706">
          <cell r="A2706">
            <v>31103108</v>
          </cell>
          <cell r="B2706" t="str">
            <v>3.1.1.03.108</v>
          </cell>
          <cell r="C2706" t="str">
            <v>Ass. de Classes / Contrib. e Anuidades</v>
          </cell>
        </row>
        <row r="2707">
          <cell r="A2707">
            <v>31103109</v>
          </cell>
          <cell r="B2707" t="str">
            <v>3.1.1.03.109</v>
          </cell>
          <cell r="C2707" t="str">
            <v>Bens de Natureza Permanente</v>
          </cell>
        </row>
        <row r="2708">
          <cell r="A2708">
            <v>31103110</v>
          </cell>
          <cell r="B2708" t="str">
            <v>3.1.1.03.110</v>
          </cell>
          <cell r="C2708" t="str">
            <v>Brindes</v>
          </cell>
        </row>
        <row r="2709">
          <cell r="A2709">
            <v>31103111</v>
          </cell>
          <cell r="B2709" t="str">
            <v>3.1.1.03.111</v>
          </cell>
          <cell r="C2709" t="str">
            <v>Combustiveis e Lubrificantes-Gerais</v>
          </cell>
        </row>
        <row r="2710">
          <cell r="A2710">
            <v>31103112</v>
          </cell>
          <cell r="B2710" t="str">
            <v>3.1.1.03.112</v>
          </cell>
          <cell r="C2710" t="str">
            <v>Comunicacoes</v>
          </cell>
        </row>
        <row r="2711">
          <cell r="A2711">
            <v>31103113</v>
          </cell>
          <cell r="B2711" t="str">
            <v>3.1.1.03.113</v>
          </cell>
          <cell r="C2711" t="str">
            <v>Consumo de Agua</v>
          </cell>
        </row>
        <row r="2712">
          <cell r="A2712">
            <v>31103114</v>
          </cell>
          <cell r="B2712" t="str">
            <v>3.1.1.03.114</v>
          </cell>
          <cell r="C2712" t="str">
            <v>Anuidades</v>
          </cell>
        </row>
        <row r="2713">
          <cell r="A2713">
            <v>31103115</v>
          </cell>
          <cell r="B2713" t="str">
            <v>3.1.1.03.115</v>
          </cell>
          <cell r="C2713" t="str">
            <v>Correios e Malotes</v>
          </cell>
        </row>
        <row r="2714">
          <cell r="A2714">
            <v>31103116</v>
          </cell>
          <cell r="B2714" t="str">
            <v>3.1.1.03.116</v>
          </cell>
          <cell r="C2714" t="str">
            <v>Cursos e Treinamentos</v>
          </cell>
        </row>
        <row r="2715">
          <cell r="A2715">
            <v>31103117</v>
          </cell>
          <cell r="B2715" t="str">
            <v>3.1.1.03.117</v>
          </cell>
          <cell r="C2715" t="str">
            <v>Despesas Diversas</v>
          </cell>
        </row>
        <row r="2716">
          <cell r="A2716">
            <v>31103118</v>
          </cell>
          <cell r="B2716" t="str">
            <v>3.1.1.03.118</v>
          </cell>
          <cell r="C2716" t="str">
            <v>Despesas Indedutiveis</v>
          </cell>
        </row>
        <row r="2717">
          <cell r="A2717">
            <v>31103119</v>
          </cell>
          <cell r="B2717" t="str">
            <v>3.1.1.03.119</v>
          </cell>
          <cell r="C2717" t="str">
            <v>Despesas Legais</v>
          </cell>
        </row>
        <row r="2718">
          <cell r="A2718">
            <v>31103120</v>
          </cell>
          <cell r="B2718" t="str">
            <v>3.1.1.03.120</v>
          </cell>
          <cell r="C2718" t="str">
            <v>Doacoes</v>
          </cell>
        </row>
        <row r="2719">
          <cell r="A2719">
            <v>31103121</v>
          </cell>
          <cell r="B2719" t="str">
            <v>3.1.1.03.121</v>
          </cell>
          <cell r="C2719" t="str">
            <v>Donativos e Contribuicoes</v>
          </cell>
        </row>
        <row r="2720">
          <cell r="A2720">
            <v>31103122</v>
          </cell>
          <cell r="B2720" t="str">
            <v>3.1.1.03.122</v>
          </cell>
          <cell r="C2720" t="str">
            <v>Embalagens</v>
          </cell>
        </row>
        <row r="2721">
          <cell r="A2721">
            <v>31103123</v>
          </cell>
          <cell r="B2721" t="str">
            <v>3.1.1.03.123</v>
          </cell>
          <cell r="C2721" t="str">
            <v>Energia Eletrica</v>
          </cell>
        </row>
        <row r="2722">
          <cell r="A2722">
            <v>31103124</v>
          </cell>
          <cell r="B2722" t="str">
            <v>3.1.1.03.124</v>
          </cell>
          <cell r="C2722" t="str">
            <v>Estagios</v>
          </cell>
        </row>
        <row r="2723">
          <cell r="A2723">
            <v>31103125</v>
          </cell>
          <cell r="B2723" t="str">
            <v>3.1.1.03.125</v>
          </cell>
          <cell r="C2723" t="str">
            <v>Finame</v>
          </cell>
        </row>
        <row r="2724">
          <cell r="A2724">
            <v>31103126</v>
          </cell>
          <cell r="B2724" t="str">
            <v>3.1.1.03.126</v>
          </cell>
          <cell r="C2724" t="str">
            <v>Fotos e Molduras</v>
          </cell>
        </row>
        <row r="2725">
          <cell r="A2725">
            <v>31103127</v>
          </cell>
          <cell r="B2725" t="str">
            <v>3.1.1.03.127</v>
          </cell>
          <cell r="C2725" t="str">
            <v>Fretes e Carretos</v>
          </cell>
        </row>
        <row r="2726">
          <cell r="A2726">
            <v>31103128</v>
          </cell>
          <cell r="B2726" t="str">
            <v>3.1.1.03.128</v>
          </cell>
          <cell r="C2726" t="str">
            <v>Funrural</v>
          </cell>
        </row>
        <row r="2727">
          <cell r="A2727">
            <v>31103129</v>
          </cell>
          <cell r="B2727" t="str">
            <v>3.1.1.03.129</v>
          </cell>
          <cell r="C2727" t="str">
            <v>Lanches e Refeições</v>
          </cell>
        </row>
        <row r="2728">
          <cell r="A2728">
            <v>31103130</v>
          </cell>
          <cell r="B2728" t="str">
            <v>3.1.1.03.130</v>
          </cell>
          <cell r="C2728" t="str">
            <v>Gremio Esportivo Geru</v>
          </cell>
        </row>
        <row r="2729">
          <cell r="A2729">
            <v>31103131</v>
          </cell>
          <cell r="B2729" t="str">
            <v>3.1.1.03.131</v>
          </cell>
          <cell r="C2729" t="str">
            <v>Impostos, Taxas e Licencas</v>
          </cell>
        </row>
        <row r="2730">
          <cell r="A2730">
            <v>31103132</v>
          </cell>
          <cell r="B2730" t="str">
            <v>3.1.1.03.132</v>
          </cell>
          <cell r="C2730" t="str">
            <v>Indenizações Trabalhistas</v>
          </cell>
        </row>
        <row r="2731">
          <cell r="A2731">
            <v>31103133</v>
          </cell>
          <cell r="B2731" t="str">
            <v>3.1.1.03.133</v>
          </cell>
          <cell r="C2731" t="str">
            <v>Jornais, Livros e Revistas</v>
          </cell>
        </row>
        <row r="2732">
          <cell r="A2732">
            <v>31103134</v>
          </cell>
          <cell r="B2732" t="str">
            <v>3.1.1.03.134</v>
          </cell>
          <cell r="C2732" t="str">
            <v>Refeitorio</v>
          </cell>
        </row>
        <row r="2733">
          <cell r="A2733">
            <v>31103135</v>
          </cell>
          <cell r="B2733" t="str">
            <v>3.1.1.03.135</v>
          </cell>
          <cell r="C2733" t="str">
            <v>Leasing</v>
          </cell>
        </row>
        <row r="2734">
          <cell r="A2734">
            <v>31103136</v>
          </cell>
          <cell r="B2734" t="str">
            <v>3.1.1.03.136</v>
          </cell>
          <cell r="C2734" t="str">
            <v>Licenciamentos de Veiculos e DPVAT</v>
          </cell>
        </row>
        <row r="2735">
          <cell r="A2735">
            <v>31103137</v>
          </cell>
          <cell r="B2735" t="str">
            <v>3.1.1.03.137</v>
          </cell>
          <cell r="C2735" t="str">
            <v>Mat de Expediente,Uso e Consumo-Gerais</v>
          </cell>
        </row>
        <row r="2736">
          <cell r="A2736">
            <v>31103138</v>
          </cell>
          <cell r="B2736" t="str">
            <v>3.1.1.03.138</v>
          </cell>
          <cell r="C2736" t="str">
            <v>Materiais de Seguranca</v>
          </cell>
        </row>
        <row r="2737">
          <cell r="A2737">
            <v>31103139</v>
          </cell>
          <cell r="B2737" t="str">
            <v>3.1.1.03.139</v>
          </cell>
          <cell r="C2737" t="str">
            <v>Mudas de Cana</v>
          </cell>
        </row>
        <row r="2738">
          <cell r="A2738">
            <v>31103140</v>
          </cell>
          <cell r="B2738" t="str">
            <v>3.1.1.03.140</v>
          </cell>
          <cell r="C2738" t="str">
            <v>Multas de Transito</v>
          </cell>
        </row>
        <row r="2739">
          <cell r="A2739">
            <v>31103141</v>
          </cell>
          <cell r="B2739" t="str">
            <v>3.1.1.03.141</v>
          </cell>
          <cell r="C2739" t="str">
            <v>Propaganda e Publicidade</v>
          </cell>
        </row>
        <row r="2740">
          <cell r="A2740">
            <v>31103142</v>
          </cell>
          <cell r="B2740" t="str">
            <v>3.1.1.03.142</v>
          </cell>
          <cell r="C2740" t="str">
            <v>Despesas c/ Cartório/Xerox/Autenticações</v>
          </cell>
        </row>
        <row r="2741">
          <cell r="A2741">
            <v>31103143</v>
          </cell>
          <cell r="B2741" t="str">
            <v>3.1.1.03.143</v>
          </cell>
          <cell r="C2741" t="str">
            <v>Seguranca e Vigilancia</v>
          </cell>
        </row>
        <row r="2742">
          <cell r="A2742">
            <v>31103144</v>
          </cell>
          <cell r="B2742" t="str">
            <v>3.1.1.03.144</v>
          </cell>
          <cell r="C2742" t="str">
            <v>Seguros Gerais</v>
          </cell>
        </row>
        <row r="2743">
          <cell r="A2743">
            <v>31103145</v>
          </cell>
          <cell r="B2743" t="str">
            <v>3.1.1.03.145</v>
          </cell>
          <cell r="C2743" t="str">
            <v>Comunicações / Telefones / Fax</v>
          </cell>
        </row>
        <row r="2744">
          <cell r="A2744">
            <v>31103146</v>
          </cell>
          <cell r="B2744" t="str">
            <v>3.1.1.03.146</v>
          </cell>
          <cell r="C2744" t="str">
            <v>Transporte de Pessoal</v>
          </cell>
        </row>
        <row r="2745">
          <cell r="A2745">
            <v>31103147</v>
          </cell>
          <cell r="B2745" t="str">
            <v>3.1.1.03.147</v>
          </cell>
          <cell r="C2745" t="str">
            <v>Utensilios e Ferramentas</v>
          </cell>
        </row>
        <row r="2746">
          <cell r="A2746">
            <v>31103148</v>
          </cell>
          <cell r="B2746" t="str">
            <v>3.1.1.03.148</v>
          </cell>
          <cell r="C2746" t="str">
            <v>Viagens e Estadias</v>
          </cell>
        </row>
        <row r="2747">
          <cell r="A2747">
            <v>31103149</v>
          </cell>
          <cell r="B2747" t="str">
            <v>3.1.1.03.149</v>
          </cell>
          <cell r="C2747" t="str">
            <v>Alugueis de imoveis</v>
          </cell>
        </row>
        <row r="2748">
          <cell r="A2748">
            <v>31103150</v>
          </cell>
          <cell r="B2748" t="str">
            <v>3.1.1.03.150</v>
          </cell>
          <cell r="C2748" t="str">
            <v>Inss S/Reclamacoes Trabalhistas</v>
          </cell>
        </row>
        <row r="2749">
          <cell r="A2749">
            <v>31103151</v>
          </cell>
          <cell r="B2749" t="str">
            <v>3.1.1.03.151</v>
          </cell>
          <cell r="C2749" t="str">
            <v>Arrendamento</v>
          </cell>
        </row>
        <row r="2750">
          <cell r="A2750">
            <v>31103152</v>
          </cell>
          <cell r="B2750" t="str">
            <v>3.1.1.03.152</v>
          </cell>
          <cell r="C2750" t="str">
            <v>Rateios de Plantio</v>
          </cell>
        </row>
        <row r="2751">
          <cell r="A2751">
            <v>31103153</v>
          </cell>
          <cell r="B2751" t="str">
            <v>3.1.1.03.153</v>
          </cell>
          <cell r="C2751" t="str">
            <v>Despesas Fornecedores (Gastos Gerais)</v>
          </cell>
        </row>
        <row r="2752">
          <cell r="A2752">
            <v>31103154</v>
          </cell>
          <cell r="B2752" t="str">
            <v>3.1.1.03.154</v>
          </cell>
          <cell r="C2752" t="str">
            <v>Despesas de Exercicios</v>
          </cell>
        </row>
        <row r="2753">
          <cell r="A2753">
            <v>31103155</v>
          </cell>
          <cell r="B2753" t="str">
            <v>3.1.1.03.155</v>
          </cell>
          <cell r="C2753" t="str">
            <v>Multas e Infracoes Fiscais</v>
          </cell>
        </row>
        <row r="2754">
          <cell r="A2754">
            <v>31103156</v>
          </cell>
          <cell r="B2754" t="str">
            <v>3.1.1.03.156</v>
          </cell>
          <cell r="C2754" t="str">
            <v>Depreciações-Gerais</v>
          </cell>
        </row>
        <row r="2755">
          <cell r="A2755">
            <v>31103157</v>
          </cell>
          <cell r="B2755" t="str">
            <v>3.1.1.03.157</v>
          </cell>
          <cell r="C2755" t="str">
            <v>Formação Profissional</v>
          </cell>
        </row>
        <row r="2756">
          <cell r="A2756">
            <v>31103158</v>
          </cell>
          <cell r="B2756" t="str">
            <v>3.1.1.03.158</v>
          </cell>
          <cell r="C2756" t="str">
            <v>Alugueis de Veículos</v>
          </cell>
        </row>
        <row r="2757">
          <cell r="A2757">
            <v>31103159</v>
          </cell>
          <cell r="B2757" t="str">
            <v>3.1.1.03.159</v>
          </cell>
          <cell r="C2757" t="str">
            <v>Mudas/Sementes/bagaços</v>
          </cell>
        </row>
        <row r="2758">
          <cell r="A2758">
            <v>31103160</v>
          </cell>
          <cell r="B2758" t="str">
            <v>3.1.1.03.160</v>
          </cell>
          <cell r="C2758" t="str">
            <v>Medicamentos e Drogas</v>
          </cell>
        </row>
        <row r="2759">
          <cell r="A2759">
            <v>31103161</v>
          </cell>
          <cell r="B2759" t="str">
            <v>3.1.1.03.161</v>
          </cell>
          <cell r="C2759" t="str">
            <v>Quebra</v>
          </cell>
        </row>
        <row r="2760">
          <cell r="A2760">
            <v>31103162</v>
          </cell>
          <cell r="B2760" t="str">
            <v>3.1.1.03.162</v>
          </cell>
          <cell r="C2760" t="str">
            <v>Pneus e Camaras</v>
          </cell>
        </row>
        <row r="2761">
          <cell r="A2761">
            <v>31103163</v>
          </cell>
          <cell r="B2761" t="str">
            <v>3.1.1.03.163</v>
          </cell>
          <cell r="C2761" t="str">
            <v>Serviços de Condominio</v>
          </cell>
        </row>
        <row r="2762">
          <cell r="A2762">
            <v>31103164</v>
          </cell>
          <cell r="B2762" t="str">
            <v>3.1.1.03.164</v>
          </cell>
          <cell r="C2762" t="str">
            <v>( ) Despesas de Leasing</v>
          </cell>
        </row>
        <row r="2763">
          <cell r="A2763">
            <v>31103165</v>
          </cell>
          <cell r="B2763" t="str">
            <v>3.1.1.03.165</v>
          </cell>
          <cell r="C2763" t="str">
            <v>Previdencia Privada Diretores</v>
          </cell>
        </row>
        <row r="2764">
          <cell r="A2764">
            <v>31103166</v>
          </cell>
          <cell r="B2764" t="str">
            <v>3.1.1.03.166</v>
          </cell>
          <cell r="C2764" t="str">
            <v>Cesta Básica</v>
          </cell>
        </row>
        <row r="2765">
          <cell r="A2765">
            <v>31103167</v>
          </cell>
          <cell r="B2765" t="str">
            <v>3.1.1.03.167</v>
          </cell>
          <cell r="C2765" t="str">
            <v>IPVA</v>
          </cell>
        </row>
        <row r="2766">
          <cell r="A2766">
            <v>31103168</v>
          </cell>
          <cell r="B2766" t="str">
            <v>3.1.1.03.168</v>
          </cell>
          <cell r="C2766" t="str">
            <v>IRRF s/Reclamações Trabalhistas</v>
          </cell>
        </row>
        <row r="2767">
          <cell r="A2767">
            <v>31103169</v>
          </cell>
          <cell r="B2767" t="str">
            <v>3.1.1.03.169</v>
          </cell>
          <cell r="C2767" t="str">
            <v>Auxilio Funerário</v>
          </cell>
        </row>
        <row r="2768">
          <cell r="A2768">
            <v>31103300</v>
          </cell>
          <cell r="B2768" t="str">
            <v>3.1.1.03.300</v>
          </cell>
          <cell r="C2768" t="str">
            <v>GASTOS GERAIS - ENTRESSAFRA</v>
          </cell>
        </row>
        <row r="2769">
          <cell r="A2769">
            <v>31103301</v>
          </cell>
          <cell r="B2769" t="str">
            <v>3.1.1.03.301</v>
          </cell>
          <cell r="C2769" t="str">
            <v>Combustiveis e Lubrificantes-Entressafra</v>
          </cell>
        </row>
        <row r="2770">
          <cell r="A2770">
            <v>31103302</v>
          </cell>
          <cell r="B2770" t="str">
            <v>3.1.1.03.302</v>
          </cell>
          <cell r="C2770" t="str">
            <v>Lanches e Refeições - Entressafra</v>
          </cell>
        </row>
        <row r="2771">
          <cell r="A2771">
            <v>31103303</v>
          </cell>
          <cell r="B2771" t="str">
            <v>3.1.1.03.303</v>
          </cell>
          <cell r="C2771" t="str">
            <v>Materiais de Segurança-Entressafra</v>
          </cell>
        </row>
        <row r="2772">
          <cell r="A2772">
            <v>31103304</v>
          </cell>
          <cell r="B2772" t="str">
            <v>3.1.1.03.304</v>
          </cell>
          <cell r="C2772" t="str">
            <v>Utensilios e Ferramentas - Entressafra</v>
          </cell>
        </row>
        <row r="2773">
          <cell r="A2773">
            <v>31103305</v>
          </cell>
          <cell r="B2773" t="str">
            <v>3.1.1.03.305</v>
          </cell>
          <cell r="C2773" t="str">
            <v>Fretes e Carretos - Entressafra</v>
          </cell>
        </row>
        <row r="2774">
          <cell r="A2774">
            <v>31103306</v>
          </cell>
          <cell r="B2774" t="str">
            <v>3.1.1.03.306</v>
          </cell>
          <cell r="C2774" t="str">
            <v>Transportes de Pessoal - Entressafra</v>
          </cell>
        </row>
        <row r="2775">
          <cell r="A2775">
            <v>31103307</v>
          </cell>
          <cell r="B2775" t="str">
            <v>3.1.1.03.307</v>
          </cell>
          <cell r="C2775" t="str">
            <v>Alugueis-Entressafara</v>
          </cell>
        </row>
        <row r="2776">
          <cell r="A2776">
            <v>31103308</v>
          </cell>
          <cell r="B2776" t="str">
            <v>3.1.1.03.308</v>
          </cell>
          <cell r="C2776" t="str">
            <v>Bens de Natureza Permanente-Entressafra</v>
          </cell>
        </row>
        <row r="2777">
          <cell r="A2777">
            <v>31103309</v>
          </cell>
          <cell r="B2777" t="str">
            <v>3.1.1.03.309</v>
          </cell>
          <cell r="C2777" t="str">
            <v>Despesas Diversas-Entressafra</v>
          </cell>
        </row>
        <row r="2778">
          <cell r="A2778">
            <v>31103310</v>
          </cell>
          <cell r="B2778" t="str">
            <v>3.1.1.03.310</v>
          </cell>
          <cell r="C2778" t="str">
            <v>Generos Alimenticios-Entressafra</v>
          </cell>
        </row>
        <row r="2779">
          <cell r="A2779">
            <v>31103312</v>
          </cell>
          <cell r="B2779" t="str">
            <v>3.1.1.03.312</v>
          </cell>
          <cell r="C2779" t="str">
            <v>Segurança e Vigilancia-Entressafra</v>
          </cell>
        </row>
        <row r="2780">
          <cell r="A2780">
            <v>31103313</v>
          </cell>
          <cell r="B2780" t="str">
            <v>3.1.1.03.313</v>
          </cell>
          <cell r="C2780" t="str">
            <v>Seguros Gerais-Entressafra</v>
          </cell>
        </row>
        <row r="2781">
          <cell r="A2781">
            <v>31103314</v>
          </cell>
          <cell r="B2781" t="str">
            <v>3.1.1.03.314</v>
          </cell>
          <cell r="C2781" t="str">
            <v>Viagens e Estadias-Entressafra</v>
          </cell>
        </row>
        <row r="2782">
          <cell r="A2782">
            <v>31103315</v>
          </cell>
          <cell r="B2782" t="str">
            <v>3.1.1.03.315</v>
          </cell>
          <cell r="C2782" t="str">
            <v>Indenizações-Entressafra</v>
          </cell>
        </row>
        <row r="2783">
          <cell r="A2783">
            <v>31103316</v>
          </cell>
          <cell r="B2783" t="str">
            <v>3.1.1.03.316</v>
          </cell>
          <cell r="C2783" t="str">
            <v>Assistencia Social-Entressafra</v>
          </cell>
        </row>
        <row r="2784">
          <cell r="A2784">
            <v>31103317</v>
          </cell>
          <cell r="B2784" t="str">
            <v>3.1.1.03.317</v>
          </cell>
          <cell r="C2784" t="str">
            <v>Leasing-Entressafra</v>
          </cell>
        </row>
        <row r="2785">
          <cell r="A2785">
            <v>31103318</v>
          </cell>
          <cell r="B2785" t="str">
            <v>3.1.1.03.318</v>
          </cell>
          <cell r="C2785" t="str">
            <v>Associaçao de Classe - Entressafra</v>
          </cell>
        </row>
        <row r="2786">
          <cell r="A2786">
            <v>31103319</v>
          </cell>
          <cell r="B2786" t="str">
            <v>3.1.1.03.319</v>
          </cell>
          <cell r="C2786" t="str">
            <v>Energia Eletrica - Entressafra</v>
          </cell>
        </row>
        <row r="2787">
          <cell r="A2787">
            <v>31104000</v>
          </cell>
          <cell r="B2787" t="str">
            <v>3.1.1.04.000</v>
          </cell>
          <cell r="C2787" t="str">
            <v>MATERIAIS DE ALMOXARIFADO</v>
          </cell>
        </row>
        <row r="2788">
          <cell r="A2788">
            <v>31104100</v>
          </cell>
          <cell r="B2788" t="str">
            <v>3.1.1.04.100</v>
          </cell>
          <cell r="C2788" t="str">
            <v>MATERIAIS DE ALMOXARIFADO</v>
          </cell>
        </row>
        <row r="2789">
          <cell r="A2789">
            <v>31104101</v>
          </cell>
          <cell r="B2789" t="str">
            <v>3.1.1.04.101</v>
          </cell>
          <cell r="C2789" t="str">
            <v>Ajuste de Estoques-Almoxarifado</v>
          </cell>
        </row>
        <row r="2790">
          <cell r="A2790">
            <v>31104102</v>
          </cell>
          <cell r="B2790" t="str">
            <v>3.1.1.04.102</v>
          </cell>
          <cell r="C2790" t="str">
            <v>Combustiveis-Almoxarifado</v>
          </cell>
        </row>
        <row r="2791">
          <cell r="A2791">
            <v>31104103</v>
          </cell>
          <cell r="B2791" t="str">
            <v>3.1.1.04.103</v>
          </cell>
          <cell r="C2791" t="str">
            <v>Copa, Cozinha e Limpeza-Almoxarifado</v>
          </cell>
        </row>
        <row r="2792">
          <cell r="A2792">
            <v>31104104</v>
          </cell>
          <cell r="B2792" t="str">
            <v>3.1.1.04.104</v>
          </cell>
          <cell r="C2792" t="str">
            <v>Insumos Agricolas-Almoxarifado</v>
          </cell>
        </row>
        <row r="2793">
          <cell r="A2793">
            <v>31104105</v>
          </cell>
          <cell r="B2793" t="str">
            <v>3.1.1.04.105</v>
          </cell>
          <cell r="C2793" t="str">
            <v>Lenhas/Eucalipto Tratado</v>
          </cell>
        </row>
        <row r="2794">
          <cell r="A2794">
            <v>31104106</v>
          </cell>
          <cell r="B2794" t="str">
            <v>3.1.1.04.106</v>
          </cell>
          <cell r="C2794" t="str">
            <v>Lubrificantes Industriais-Almoxarifado</v>
          </cell>
        </row>
        <row r="2795">
          <cell r="A2795">
            <v>31104107</v>
          </cell>
          <cell r="B2795" t="str">
            <v>3.1.1.04.107</v>
          </cell>
          <cell r="C2795" t="str">
            <v>Lubrificantes Veiculos-Almoxarifado</v>
          </cell>
        </row>
        <row r="2796">
          <cell r="A2796">
            <v>31104108</v>
          </cell>
          <cell r="B2796" t="str">
            <v>3.1.1.04.108</v>
          </cell>
          <cell r="C2796" t="str">
            <v>Materiais Eletricos-Almoxarifado</v>
          </cell>
        </row>
        <row r="2797">
          <cell r="A2797">
            <v>31104109</v>
          </cell>
          <cell r="B2797" t="str">
            <v>3.1.1.04.109</v>
          </cell>
          <cell r="C2797" t="str">
            <v>Materiais Manutenção Mecânica-Almoxarif</v>
          </cell>
        </row>
        <row r="2798">
          <cell r="A2798">
            <v>31104110</v>
          </cell>
          <cell r="B2798" t="str">
            <v>3.1.1.04.110</v>
          </cell>
          <cell r="C2798" t="str">
            <v>Peças e Acessorios de Veiculos-Almoxarif</v>
          </cell>
        </row>
        <row r="2799">
          <cell r="A2799">
            <v>31104111</v>
          </cell>
          <cell r="B2799" t="str">
            <v>3.1.1.04.111</v>
          </cell>
          <cell r="C2799" t="str">
            <v>Pneus e Camaras-Almoxarifado</v>
          </cell>
        </row>
        <row r="2800">
          <cell r="A2800">
            <v>31104112</v>
          </cell>
          <cell r="B2800" t="str">
            <v>3.1.1.04.112</v>
          </cell>
          <cell r="C2800" t="str">
            <v>Produtos Quimicos-Almoxarifado</v>
          </cell>
        </row>
        <row r="2801">
          <cell r="A2801">
            <v>31104113</v>
          </cell>
          <cell r="B2801" t="str">
            <v>3.1.1.04.113</v>
          </cell>
          <cell r="C2801" t="str">
            <v>Materiais de Expediente-Almoxarifado</v>
          </cell>
        </row>
        <row r="2802">
          <cell r="A2802">
            <v>31104114</v>
          </cell>
          <cell r="B2802" t="str">
            <v>3.1.1.04.114</v>
          </cell>
          <cell r="C2802" t="str">
            <v>Peças Industriais-Almoxarifado</v>
          </cell>
        </row>
        <row r="2803">
          <cell r="A2803">
            <v>31104115</v>
          </cell>
          <cell r="B2803" t="str">
            <v>3.1.1.04.115</v>
          </cell>
          <cell r="C2803" t="str">
            <v>Materiais Hidraulicos-Almoxarifado</v>
          </cell>
        </row>
        <row r="2804">
          <cell r="A2804">
            <v>31104116</v>
          </cell>
          <cell r="B2804" t="str">
            <v>3.1.1.04.116</v>
          </cell>
          <cell r="C2804" t="str">
            <v>Perdas de Estoque</v>
          </cell>
        </row>
        <row r="2805">
          <cell r="A2805">
            <v>31104117</v>
          </cell>
          <cell r="B2805" t="str">
            <v>3.1.1.04.117</v>
          </cell>
          <cell r="C2805" t="str">
            <v>Perdas com creditos liquidação</v>
          </cell>
        </row>
        <row r="2806">
          <cell r="A2806">
            <v>31104118</v>
          </cell>
          <cell r="B2806" t="str">
            <v>3.1.1.04.118</v>
          </cell>
          <cell r="C2806" t="str">
            <v>Provisão Desvalorização</v>
          </cell>
        </row>
        <row r="2807">
          <cell r="A2807">
            <v>31104119</v>
          </cell>
          <cell r="B2807" t="str">
            <v>3.1.1.04.119</v>
          </cell>
          <cell r="C2807" t="str">
            <v>Materiais de Manutenção Pneumática</v>
          </cell>
        </row>
        <row r="2808">
          <cell r="A2808">
            <v>31104120</v>
          </cell>
          <cell r="B2808" t="str">
            <v>3.1.1.04.120</v>
          </cell>
          <cell r="C2808" t="str">
            <v>Materiais de construção civil</v>
          </cell>
        </row>
        <row r="2809">
          <cell r="A2809">
            <v>31104121</v>
          </cell>
          <cell r="B2809" t="str">
            <v>3.1.1.04.121</v>
          </cell>
          <cell r="C2809" t="str">
            <v>Materiais e Utensilios de Pinturas</v>
          </cell>
        </row>
        <row r="2810">
          <cell r="A2810">
            <v>31104122</v>
          </cell>
          <cell r="B2810" t="str">
            <v>3.1.1.04.122</v>
          </cell>
          <cell r="C2810" t="str">
            <v>Materiais de Soldas</v>
          </cell>
        </row>
        <row r="2811">
          <cell r="A2811">
            <v>31104123</v>
          </cell>
          <cell r="B2811" t="str">
            <v>3.1.1.04.123</v>
          </cell>
          <cell r="C2811" t="str">
            <v>Materiais de Ambulatòrio</v>
          </cell>
        </row>
        <row r="2812">
          <cell r="A2812">
            <v>31104124</v>
          </cell>
          <cell r="B2812" t="str">
            <v>3.1.1.04.124</v>
          </cell>
          <cell r="C2812" t="str">
            <v>Materiais e Vidrarias p/laboratorio</v>
          </cell>
        </row>
        <row r="2813">
          <cell r="A2813">
            <v>31104125</v>
          </cell>
          <cell r="B2813" t="str">
            <v>3.1.1.04.125</v>
          </cell>
          <cell r="C2813" t="str">
            <v>Reagentes p/Laboratorio</v>
          </cell>
        </row>
        <row r="2814">
          <cell r="A2814">
            <v>31104126</v>
          </cell>
          <cell r="B2814" t="str">
            <v>3.1.1.04.126</v>
          </cell>
          <cell r="C2814" t="str">
            <v>Materiais de Higiene e Limpeza</v>
          </cell>
        </row>
        <row r="2815">
          <cell r="A2815">
            <v>31104127</v>
          </cell>
          <cell r="B2815" t="str">
            <v>3.1.1.04.127</v>
          </cell>
          <cell r="C2815" t="str">
            <v>Materiais de Escritorio</v>
          </cell>
        </row>
        <row r="2816">
          <cell r="A2816">
            <v>31104128</v>
          </cell>
          <cell r="B2816" t="str">
            <v>3.1.1.04.128</v>
          </cell>
          <cell r="C2816" t="str">
            <v>Suprimentos de Informática</v>
          </cell>
        </row>
        <row r="2817">
          <cell r="A2817">
            <v>31104129</v>
          </cell>
          <cell r="B2817" t="str">
            <v>3.1.1.04.129</v>
          </cell>
          <cell r="C2817" t="str">
            <v>Materiais Ferrosos e Chaparias</v>
          </cell>
        </row>
        <row r="2818">
          <cell r="A2818">
            <v>31104130</v>
          </cell>
          <cell r="B2818" t="str">
            <v>3.1.1.04.130</v>
          </cell>
          <cell r="C2818" t="str">
            <v>Materiais de Automação</v>
          </cell>
        </row>
        <row r="2819">
          <cell r="A2819">
            <v>31104131</v>
          </cell>
          <cell r="B2819" t="str">
            <v>3.1.1.04.131</v>
          </cell>
          <cell r="C2819" t="str">
            <v>Materiais de Segurança</v>
          </cell>
        </row>
        <row r="2820">
          <cell r="A2820">
            <v>31104132</v>
          </cell>
          <cell r="B2820" t="str">
            <v>3.1.1.04.132</v>
          </cell>
          <cell r="C2820" t="str">
            <v>Mudas/Sementes e outros</v>
          </cell>
        </row>
        <row r="2821">
          <cell r="A2821">
            <v>31104300</v>
          </cell>
          <cell r="B2821" t="str">
            <v>3.1.1.04.300</v>
          </cell>
          <cell r="C2821" t="str">
            <v>MATERIAL DE ALMOXARIFADO - ENTRESSAFRA</v>
          </cell>
        </row>
        <row r="2822">
          <cell r="A2822">
            <v>31104301</v>
          </cell>
          <cell r="B2822" t="str">
            <v>3.1.1.04.301</v>
          </cell>
          <cell r="C2822" t="str">
            <v>Lubrificantes Industriais-Entressafra</v>
          </cell>
        </row>
        <row r="2823">
          <cell r="A2823">
            <v>31104302</v>
          </cell>
          <cell r="B2823" t="str">
            <v>3.1.1.04.302</v>
          </cell>
          <cell r="C2823" t="str">
            <v>Lubrificantes Veículos-Entressafra</v>
          </cell>
        </row>
        <row r="2824">
          <cell r="A2824">
            <v>31104303</v>
          </cell>
          <cell r="B2824" t="str">
            <v>3.1.1.04.303</v>
          </cell>
          <cell r="C2824" t="str">
            <v>Materiais de Manutenção-Entressafra</v>
          </cell>
        </row>
        <row r="2825">
          <cell r="A2825">
            <v>31104304</v>
          </cell>
          <cell r="B2825" t="str">
            <v>3.1.1.04.304</v>
          </cell>
          <cell r="C2825" t="str">
            <v>Peças e Acessórios de Veículos-Entressaf</v>
          </cell>
        </row>
        <row r="2826">
          <cell r="A2826">
            <v>31104305</v>
          </cell>
          <cell r="B2826" t="str">
            <v>3.1.1.04.305</v>
          </cell>
          <cell r="C2826" t="str">
            <v>Pneus e Camaras-Entressafra</v>
          </cell>
        </row>
        <row r="2827">
          <cell r="A2827">
            <v>31104306</v>
          </cell>
          <cell r="B2827" t="str">
            <v>3.1.1.04.306</v>
          </cell>
          <cell r="C2827" t="str">
            <v>Materiais de Expediente-Entressafra</v>
          </cell>
        </row>
        <row r="2828">
          <cell r="A2828">
            <v>31104307</v>
          </cell>
          <cell r="B2828" t="str">
            <v>3.1.1.04.307</v>
          </cell>
          <cell r="C2828" t="str">
            <v>Materiais Elétricos-Entressafra</v>
          </cell>
        </row>
        <row r="2829">
          <cell r="A2829">
            <v>31104308</v>
          </cell>
          <cell r="B2829" t="str">
            <v>3.1.1.04.308</v>
          </cell>
          <cell r="C2829" t="str">
            <v>Copa, Cozinha e Limpeza-Entressafra</v>
          </cell>
        </row>
        <row r="2830">
          <cell r="A2830">
            <v>31104309</v>
          </cell>
          <cell r="B2830" t="str">
            <v>3.1.1.04.309</v>
          </cell>
          <cell r="C2830" t="str">
            <v>Produtos Quimicos-Entressafra</v>
          </cell>
        </row>
        <row r="2831">
          <cell r="A2831">
            <v>31104310</v>
          </cell>
          <cell r="B2831" t="str">
            <v>3.1.1.04.310</v>
          </cell>
          <cell r="C2831" t="str">
            <v>Rateios Recebido Agricola - Entressafra</v>
          </cell>
        </row>
        <row r="2832">
          <cell r="A2832">
            <v>31104311</v>
          </cell>
          <cell r="B2832" t="str">
            <v>3.1.1.04.311</v>
          </cell>
          <cell r="C2832" t="str">
            <v>Lenhas-Entressafra</v>
          </cell>
        </row>
        <row r="2833">
          <cell r="A2833">
            <v>31105000</v>
          </cell>
          <cell r="B2833" t="str">
            <v>3.1.1.05.000</v>
          </cell>
          <cell r="C2833" t="str">
            <v>CUSTOS COM FROTA</v>
          </cell>
        </row>
        <row r="2834">
          <cell r="A2834">
            <v>31105100</v>
          </cell>
          <cell r="B2834" t="str">
            <v>3.1.1.05.100</v>
          </cell>
          <cell r="C2834" t="str">
            <v>CUSTOS COM FROTA</v>
          </cell>
        </row>
        <row r="2835">
          <cell r="A2835">
            <v>31105101</v>
          </cell>
          <cell r="B2835" t="str">
            <v>3.1.1.05.101</v>
          </cell>
          <cell r="C2835" t="str">
            <v>Combustiveis e Lubrificantes-Frota</v>
          </cell>
        </row>
        <row r="2836">
          <cell r="A2836">
            <v>31105102</v>
          </cell>
          <cell r="B2836" t="str">
            <v>3.1.1.05.102</v>
          </cell>
          <cell r="C2836" t="str">
            <v>Ipva/Licenciamento</v>
          </cell>
        </row>
        <row r="2837">
          <cell r="A2837">
            <v>31105103</v>
          </cell>
          <cell r="B2837" t="str">
            <v>3.1.1.05.103</v>
          </cell>
          <cell r="C2837" t="str">
            <v>Seguros de Veiculos</v>
          </cell>
        </row>
        <row r="2838">
          <cell r="A2838">
            <v>31105104</v>
          </cell>
          <cell r="B2838" t="str">
            <v>3.1.1.05.104</v>
          </cell>
          <cell r="C2838" t="str">
            <v>Finame</v>
          </cell>
        </row>
        <row r="2839">
          <cell r="A2839">
            <v>31105105</v>
          </cell>
          <cell r="B2839" t="str">
            <v>3.1.1.05.105</v>
          </cell>
          <cell r="C2839" t="str">
            <v>Depreciação-Custos com Frota</v>
          </cell>
        </row>
        <row r="2840">
          <cell r="A2840">
            <v>31106000</v>
          </cell>
          <cell r="B2840" t="str">
            <v>3.1.1.06.000</v>
          </cell>
          <cell r="C2840" t="str">
            <v>MATERIA PRIMA</v>
          </cell>
        </row>
        <row r="2841">
          <cell r="A2841">
            <v>31106100</v>
          </cell>
          <cell r="B2841" t="str">
            <v>3.1.1.06.100</v>
          </cell>
          <cell r="C2841" t="str">
            <v>MATERIA PRIMA</v>
          </cell>
        </row>
        <row r="2842">
          <cell r="A2842">
            <v>31106101</v>
          </cell>
          <cell r="B2842" t="str">
            <v>3.1.1.06.101</v>
          </cell>
          <cell r="C2842" t="str">
            <v>Cana de Açucar-Materia Prima</v>
          </cell>
        </row>
        <row r="2843">
          <cell r="A2843">
            <v>31106102</v>
          </cell>
          <cell r="B2843" t="str">
            <v>3.1.1.06.102</v>
          </cell>
          <cell r="C2843" t="str">
            <v>Teor de Sacarose</v>
          </cell>
        </row>
        <row r="2844">
          <cell r="A2844">
            <v>31106103</v>
          </cell>
          <cell r="B2844" t="str">
            <v>3.1.1.06.103</v>
          </cell>
          <cell r="C2844" t="str">
            <v>Complemento</v>
          </cell>
        </row>
        <row r="2845">
          <cell r="A2845">
            <v>31106104</v>
          </cell>
          <cell r="B2845" t="str">
            <v>3.1.1.06.104</v>
          </cell>
          <cell r="C2845" t="str">
            <v>Custo de Colheita</v>
          </cell>
        </row>
        <row r="2846">
          <cell r="A2846">
            <v>31106105</v>
          </cell>
          <cell r="B2846" t="str">
            <v>3.1.1.06.105</v>
          </cell>
          <cell r="C2846" t="str">
            <v>Amortização tratos culturais</v>
          </cell>
        </row>
        <row r="2847">
          <cell r="A2847">
            <v>31106106</v>
          </cell>
          <cell r="B2847" t="str">
            <v>3.1.1.06.106</v>
          </cell>
          <cell r="C2847" t="str">
            <v>Depreciação cana de açucar</v>
          </cell>
        </row>
        <row r="2848">
          <cell r="A2848">
            <v>31107000</v>
          </cell>
          <cell r="B2848" t="str">
            <v>3.1.1.07.000</v>
          </cell>
          <cell r="C2848" t="str">
            <v>CONTAS DE RECEITAS</v>
          </cell>
        </row>
        <row r="2849">
          <cell r="A2849">
            <v>31107100</v>
          </cell>
          <cell r="B2849" t="str">
            <v>3.1.1.07.100</v>
          </cell>
          <cell r="C2849" t="str">
            <v>CONTAS DE RECEITAS</v>
          </cell>
        </row>
        <row r="2850">
          <cell r="A2850">
            <v>31107101</v>
          </cell>
          <cell r="B2850" t="str">
            <v>3.1.1.07.101</v>
          </cell>
          <cell r="C2850" t="str">
            <v>Recuperação Diversas</v>
          </cell>
        </row>
        <row r="2851">
          <cell r="A2851">
            <v>31107102</v>
          </cell>
          <cell r="B2851" t="str">
            <v>3.1.1.07.102</v>
          </cell>
          <cell r="C2851" t="str">
            <v>Recuperação de Impostos</v>
          </cell>
        </row>
        <row r="2852">
          <cell r="A2852">
            <v>31107103</v>
          </cell>
          <cell r="B2852" t="str">
            <v>3.1.1.07.103</v>
          </cell>
          <cell r="C2852" t="str">
            <v>Receitas Eventuais</v>
          </cell>
        </row>
        <row r="2853">
          <cell r="A2853">
            <v>31107104</v>
          </cell>
          <cell r="B2853" t="str">
            <v>3.1.1.07.104</v>
          </cell>
          <cell r="C2853" t="str">
            <v>Recuperação de Despesas</v>
          </cell>
        </row>
        <row r="2854">
          <cell r="A2854">
            <v>31107105</v>
          </cell>
          <cell r="B2854" t="str">
            <v>3.1.1.07.105</v>
          </cell>
          <cell r="C2854" t="str">
            <v>Indenizações de Seguros</v>
          </cell>
        </row>
        <row r="2855">
          <cell r="A2855">
            <v>31107106</v>
          </cell>
          <cell r="B2855" t="str">
            <v>3.1.1.07.106</v>
          </cell>
          <cell r="C2855" t="str">
            <v>Descontos Obtidos</v>
          </cell>
        </row>
        <row r="2856">
          <cell r="A2856">
            <v>31107107</v>
          </cell>
          <cell r="B2856" t="str">
            <v>3.1.1.07.107</v>
          </cell>
          <cell r="C2856" t="str">
            <v>Juros Recebidos</v>
          </cell>
        </row>
        <row r="2857">
          <cell r="A2857">
            <v>31107108</v>
          </cell>
          <cell r="B2857" t="str">
            <v>3.1.1.07.108</v>
          </cell>
          <cell r="C2857" t="str">
            <v>Receitas de Investimentos Temporarios</v>
          </cell>
        </row>
        <row r="2858">
          <cell r="A2858">
            <v>31107110</v>
          </cell>
          <cell r="B2858" t="str">
            <v>3.1.1.07.110</v>
          </cell>
          <cell r="C2858" t="str">
            <v>Ganhos Operação Fixação Bolsa</v>
          </cell>
        </row>
        <row r="2859">
          <cell r="A2859">
            <v>31107111</v>
          </cell>
          <cell r="B2859" t="str">
            <v>3.1.1.07.111</v>
          </cell>
          <cell r="C2859" t="str">
            <v>Recuperação Pis Lei 10.637</v>
          </cell>
        </row>
        <row r="2860">
          <cell r="A2860">
            <v>31107112</v>
          </cell>
          <cell r="B2860" t="str">
            <v>3.1.1.07.112</v>
          </cell>
          <cell r="C2860" t="str">
            <v>Recuperação Cofins Lei 10.637</v>
          </cell>
        </row>
        <row r="2861">
          <cell r="A2861">
            <v>31107113</v>
          </cell>
          <cell r="B2861" t="str">
            <v>3.1.1.07.113</v>
          </cell>
          <cell r="C2861" t="str">
            <v>Plano de Partic.Resultados-Entressafra</v>
          </cell>
        </row>
        <row r="2862">
          <cell r="A2862">
            <v>31107114</v>
          </cell>
          <cell r="B2862" t="str">
            <v>3.1.1.07.114</v>
          </cell>
          <cell r="C2862" t="str">
            <v>Doação / Bonificação</v>
          </cell>
        </row>
        <row r="2863">
          <cell r="A2863">
            <v>31108000</v>
          </cell>
          <cell r="B2863" t="str">
            <v>3.1.1.08.000</v>
          </cell>
          <cell r="C2863" t="str">
            <v>APROPRIACOES</v>
          </cell>
        </row>
        <row r="2864">
          <cell r="A2864">
            <v>31108100</v>
          </cell>
          <cell r="B2864" t="str">
            <v>3.1.1.08.100</v>
          </cell>
          <cell r="C2864" t="str">
            <v>APROPRIACOES</v>
          </cell>
        </row>
        <row r="2865">
          <cell r="A2865">
            <v>31108101</v>
          </cell>
          <cell r="B2865" t="str">
            <v>3.1.1.08.101</v>
          </cell>
          <cell r="C2865" t="str">
            <v>Depreciação Apropriações</v>
          </cell>
        </row>
        <row r="2866">
          <cell r="A2866">
            <v>31108102</v>
          </cell>
          <cell r="B2866" t="str">
            <v>3.1.1.08.102</v>
          </cell>
          <cell r="C2866" t="str">
            <v>Provisão de Entressafra</v>
          </cell>
        </row>
        <row r="2867">
          <cell r="A2867">
            <v>31108103</v>
          </cell>
          <cell r="B2867" t="str">
            <v>3.1.1.08.103</v>
          </cell>
          <cell r="C2867" t="str">
            <v>Amortização Lavoura Formada</v>
          </cell>
        </row>
        <row r="2868">
          <cell r="A2868">
            <v>31108104</v>
          </cell>
          <cell r="B2868" t="str">
            <v>3.1.1.08.104</v>
          </cell>
          <cell r="C2868" t="str">
            <v>Anmortização Tratos Culturais</v>
          </cell>
        </row>
        <row r="2869">
          <cell r="A2869">
            <v>31108105</v>
          </cell>
          <cell r="B2869" t="str">
            <v>3.1.1.08.105</v>
          </cell>
          <cell r="C2869" t="str">
            <v>Rateios Agricolas-Apropriações</v>
          </cell>
        </row>
        <row r="2870">
          <cell r="A2870">
            <v>31108106</v>
          </cell>
          <cell r="B2870" t="str">
            <v>3.1.1.08.106</v>
          </cell>
          <cell r="C2870" t="str">
            <v>Rateios Utilidades-Apropriações</v>
          </cell>
        </row>
        <row r="2871">
          <cell r="A2871">
            <v>31108107</v>
          </cell>
          <cell r="B2871" t="str">
            <v>3.1.1.08.107</v>
          </cell>
          <cell r="C2871" t="str">
            <v>Rateios Manutenção-Apropriações</v>
          </cell>
        </row>
        <row r="2872">
          <cell r="A2872">
            <v>31108108</v>
          </cell>
          <cell r="B2872" t="str">
            <v>3.1.1.08.108</v>
          </cell>
          <cell r="C2872" t="str">
            <v>Perdas De Eestoques</v>
          </cell>
        </row>
        <row r="2873">
          <cell r="A2873">
            <v>31108109</v>
          </cell>
          <cell r="B2873" t="str">
            <v>3.1.1.08.109</v>
          </cell>
          <cell r="C2873" t="str">
            <v>Ppr-Plano Partic.Resultados</v>
          </cell>
        </row>
        <row r="2874">
          <cell r="A2874">
            <v>31108110</v>
          </cell>
          <cell r="B2874" t="str">
            <v>3.1.1.08.110</v>
          </cell>
          <cell r="C2874" t="str">
            <v>(-) Recuperações De Despesas</v>
          </cell>
        </row>
        <row r="2875">
          <cell r="A2875">
            <v>31108111</v>
          </cell>
          <cell r="B2875" t="str">
            <v>3.1.1.08.111</v>
          </cell>
          <cell r="C2875" t="str">
            <v>Rateios Pre Operacional</v>
          </cell>
        </row>
        <row r="2876">
          <cell r="A2876">
            <v>31108112</v>
          </cell>
          <cell r="B2876" t="str">
            <v>3.1.1.08.112</v>
          </cell>
          <cell r="C2876" t="str">
            <v>(-) Despesa Pré-Operacional Indústria</v>
          </cell>
        </row>
        <row r="2877">
          <cell r="A2877">
            <v>31108113</v>
          </cell>
          <cell r="B2877" t="str">
            <v>3.1.1.08.113</v>
          </cell>
          <cell r="C2877" t="str">
            <v>(-) Despesas Pre-Operacionais Administ</v>
          </cell>
        </row>
        <row r="2878">
          <cell r="A2878">
            <v>31108114</v>
          </cell>
          <cell r="B2878" t="str">
            <v>3.1.1.08.114</v>
          </cell>
          <cell r="C2878" t="str">
            <v>(-) Provisao Contingencias (Apropriações</v>
          </cell>
        </row>
        <row r="2879">
          <cell r="A2879">
            <v>31108115</v>
          </cell>
          <cell r="B2879" t="str">
            <v>3.1.1.08.115</v>
          </cell>
          <cell r="C2879" t="str">
            <v>Despesas Manutenção Entressafra</v>
          </cell>
        </row>
        <row r="2880">
          <cell r="A2880">
            <v>31108116</v>
          </cell>
          <cell r="B2880" t="str">
            <v>3.1.1.08.116</v>
          </cell>
          <cell r="C2880" t="str">
            <v>Depreciação Leasing - RTT</v>
          </cell>
        </row>
        <row r="2881">
          <cell r="A2881">
            <v>31108117</v>
          </cell>
          <cell r="B2881" t="str">
            <v>3.1.1.08.117</v>
          </cell>
          <cell r="C2881" t="str">
            <v>Depreciação - IFRS</v>
          </cell>
        </row>
        <row r="2882">
          <cell r="A2882">
            <v>31108118</v>
          </cell>
          <cell r="B2882" t="str">
            <v>3.1.1.08.118</v>
          </cell>
          <cell r="C2882" t="str">
            <v>(-) Credito de Pis/Cofins sob. deprec.</v>
          </cell>
        </row>
        <row r="2883">
          <cell r="A2883">
            <v>31108199</v>
          </cell>
          <cell r="B2883" t="str">
            <v>3.1.1.08.199</v>
          </cell>
          <cell r="C2883" t="str">
            <v>(-) Estorno Depreciação Fiscal - CPC 27</v>
          </cell>
        </row>
        <row r="2884">
          <cell r="A2884">
            <v>31108300</v>
          </cell>
          <cell r="B2884" t="str">
            <v>3.1.1.08.300</v>
          </cell>
          <cell r="C2884" t="str">
            <v>APROPRIAÇÕES ENTRESSAFRA</v>
          </cell>
        </row>
        <row r="2885">
          <cell r="A2885">
            <v>31108301</v>
          </cell>
          <cell r="B2885" t="str">
            <v>3.1.1.08.301</v>
          </cell>
          <cell r="C2885" t="str">
            <v>Depreciação Apropriações-Entressafra</v>
          </cell>
        </row>
        <row r="2886">
          <cell r="A2886">
            <v>31108302</v>
          </cell>
          <cell r="B2886" t="str">
            <v>3.1.1.08.302</v>
          </cell>
          <cell r="C2886" t="str">
            <v>Rateios Agricolas-Entressafra</v>
          </cell>
        </row>
        <row r="2887">
          <cell r="A2887">
            <v>31108303</v>
          </cell>
          <cell r="B2887" t="str">
            <v>3.1.1.08.303</v>
          </cell>
          <cell r="C2887" t="str">
            <v>Rateios Manutenção-Entressafra</v>
          </cell>
        </row>
        <row r="2888">
          <cell r="A2888">
            <v>31108304</v>
          </cell>
          <cell r="B2888" t="str">
            <v>3.1.1.08.304</v>
          </cell>
          <cell r="C2888" t="str">
            <v>Plano de Particip.Resultados-Entressafra</v>
          </cell>
        </row>
        <row r="2889">
          <cell r="A2889">
            <v>31108305</v>
          </cell>
          <cell r="B2889" t="str">
            <v>3.1.1.08.305</v>
          </cell>
          <cell r="C2889" t="str">
            <v>Amortização Tratos Culturais - Entressaf</v>
          </cell>
        </row>
        <row r="2890">
          <cell r="A2890">
            <v>31108306</v>
          </cell>
          <cell r="B2890" t="str">
            <v>3.1.1.08.306</v>
          </cell>
          <cell r="C2890" t="str">
            <v>Rateios Alcool Processado - Entressafra</v>
          </cell>
        </row>
        <row r="2891">
          <cell r="A2891">
            <v>31109000</v>
          </cell>
          <cell r="B2891" t="str">
            <v>3.1.1.09.000</v>
          </cell>
          <cell r="C2891" t="str">
            <v>CONTAS DE RATEIOS (-)</v>
          </cell>
        </row>
        <row r="2892">
          <cell r="A2892">
            <v>31109100</v>
          </cell>
          <cell r="B2892" t="str">
            <v>3.1.1.09.100</v>
          </cell>
          <cell r="C2892" t="str">
            <v>CONTAS DE RATEIOS (-)</v>
          </cell>
        </row>
        <row r="2893">
          <cell r="A2893">
            <v>31109101</v>
          </cell>
          <cell r="B2893" t="str">
            <v>3.1.1.09.101</v>
          </cell>
          <cell r="C2893" t="str">
            <v>Rateios P/Plantio (-)</v>
          </cell>
        </row>
        <row r="2894">
          <cell r="A2894">
            <v>31109102</v>
          </cell>
          <cell r="B2894" t="str">
            <v>3.1.1.09.102</v>
          </cell>
          <cell r="C2894" t="str">
            <v>Rateios P/Tratos Culturais (-)</v>
          </cell>
        </row>
        <row r="2895">
          <cell r="A2895">
            <v>31109103</v>
          </cell>
          <cell r="B2895" t="str">
            <v>3.1.1.09.103</v>
          </cell>
          <cell r="C2895" t="str">
            <v>Rateios p/Colheita (-)</v>
          </cell>
        </row>
        <row r="2896">
          <cell r="A2896">
            <v>31109104</v>
          </cell>
          <cell r="B2896" t="str">
            <v>3.1.1.09.104</v>
          </cell>
          <cell r="C2896" t="str">
            <v>Rateios Administração (-)</v>
          </cell>
        </row>
        <row r="2897">
          <cell r="A2897">
            <v>31109105</v>
          </cell>
          <cell r="B2897" t="str">
            <v>3.1.1.09.105</v>
          </cell>
          <cell r="C2897" t="str">
            <v>Rateios P/Ind.Custo Açucar (-)</v>
          </cell>
        </row>
        <row r="2898">
          <cell r="A2898">
            <v>31109106</v>
          </cell>
          <cell r="B2898" t="str">
            <v>3.1.1.09.106</v>
          </cell>
          <cell r="C2898" t="str">
            <v>Rateios P/Ind.Custo Alcool (-)</v>
          </cell>
        </row>
        <row r="2899">
          <cell r="A2899">
            <v>31109107</v>
          </cell>
          <cell r="B2899" t="str">
            <v>3.1.1.09.107</v>
          </cell>
          <cell r="C2899" t="str">
            <v>Rateios Manut.Entressafra (-)</v>
          </cell>
        </row>
        <row r="2900">
          <cell r="A2900">
            <v>31109108</v>
          </cell>
          <cell r="B2900" t="str">
            <v>3.1.1.09.108</v>
          </cell>
          <cell r="C2900" t="str">
            <v>Desps.Manut.De Entressafra (-)</v>
          </cell>
        </row>
        <row r="2901">
          <cell r="A2901">
            <v>31109109</v>
          </cell>
          <cell r="B2901" t="str">
            <v>3.1.1.09.109</v>
          </cell>
          <cell r="C2901" t="str">
            <v>Mao de Obra-Contas de Rateio(-)</v>
          </cell>
        </row>
        <row r="2902">
          <cell r="A2902">
            <v>31109110</v>
          </cell>
          <cell r="B2902" t="str">
            <v>3.1.1.09.110</v>
          </cell>
          <cell r="C2902" t="str">
            <v>Manutenção Industrial (-)</v>
          </cell>
        </row>
        <row r="2903">
          <cell r="A2903">
            <v>31109111</v>
          </cell>
          <cell r="B2903" t="str">
            <v>3.1.1.09.111</v>
          </cell>
          <cell r="C2903" t="str">
            <v>Depreciação-Contas de Rateio (-)</v>
          </cell>
        </row>
        <row r="2904">
          <cell r="A2904">
            <v>31109112</v>
          </cell>
          <cell r="B2904" t="str">
            <v>3.1.1.09.112</v>
          </cell>
          <cell r="C2904" t="str">
            <v>Produtos Quimicos-Contas de Rateio(-)</v>
          </cell>
        </row>
        <row r="2905">
          <cell r="A2905">
            <v>31109113</v>
          </cell>
          <cell r="B2905" t="str">
            <v>3.1.1.09.113</v>
          </cell>
          <cell r="C2905" t="str">
            <v>Energia Eeletrica (-)</v>
          </cell>
        </row>
        <row r="2906">
          <cell r="A2906">
            <v>31109114</v>
          </cell>
          <cell r="B2906" t="str">
            <v>3.1.1.09.114</v>
          </cell>
          <cell r="C2906" t="str">
            <v>rateio alcool posto</v>
          </cell>
        </row>
        <row r="2907">
          <cell r="A2907">
            <v>31109115</v>
          </cell>
          <cell r="B2907" t="str">
            <v>3.1.1.09.115</v>
          </cell>
          <cell r="C2907" t="str">
            <v>Despesas Adm. Agricola</v>
          </cell>
        </row>
        <row r="2908">
          <cell r="A2908">
            <v>31109116</v>
          </cell>
          <cell r="B2908" t="str">
            <v>3.1.1.09.116</v>
          </cell>
          <cell r="C2908" t="str">
            <v>Despesas de Comercialização (-)</v>
          </cell>
        </row>
        <row r="2909">
          <cell r="A2909">
            <v>31109117</v>
          </cell>
          <cell r="B2909" t="str">
            <v>3.1.1.09.117</v>
          </cell>
          <cell r="C2909" t="str">
            <v>Rateios para Industria (-)</v>
          </cell>
        </row>
        <row r="2910">
          <cell r="A2910">
            <v>31109118</v>
          </cell>
          <cell r="B2910" t="str">
            <v>3.1.1.09.118</v>
          </cell>
          <cell r="C2910" t="str">
            <v>Rateios Custo de Cana (-)</v>
          </cell>
        </row>
        <row r="2911">
          <cell r="A2911">
            <v>31109119</v>
          </cell>
          <cell r="B2911" t="str">
            <v>3.1.1.09.119</v>
          </cell>
          <cell r="C2911" t="str">
            <v>Rateios Canavale (-)</v>
          </cell>
        </row>
        <row r="2912">
          <cell r="A2912">
            <v>31109120</v>
          </cell>
          <cell r="B2912" t="str">
            <v>3.1.1.09.120</v>
          </cell>
          <cell r="C2912" t="str">
            <v>Rateios Alcoolvale Agricola (-)</v>
          </cell>
        </row>
        <row r="2913">
          <cell r="A2913">
            <v>31109121</v>
          </cell>
          <cell r="B2913" t="str">
            <v>3.1.1.09.121</v>
          </cell>
          <cell r="C2913" t="str">
            <v>Rateios Recebido Agrícola (-)</v>
          </cell>
        </row>
        <row r="2914">
          <cell r="A2914">
            <v>31109122</v>
          </cell>
          <cell r="B2914" t="str">
            <v>3.1.1.09.122</v>
          </cell>
          <cell r="C2914" t="str">
            <v>Rateios de Açucar-Processo (-)</v>
          </cell>
        </row>
        <row r="2915">
          <cell r="A2915">
            <v>31109123</v>
          </cell>
          <cell r="B2915" t="str">
            <v>3.1.1.09.123</v>
          </cell>
          <cell r="C2915" t="str">
            <v>Rateios de Xarope-Processo (-)</v>
          </cell>
        </row>
        <row r="2916">
          <cell r="A2916">
            <v>31109124</v>
          </cell>
          <cell r="B2916" t="str">
            <v>3.1.1.09.124</v>
          </cell>
          <cell r="C2916" t="str">
            <v>Rateios de Alcool-Processo (-)</v>
          </cell>
        </row>
        <row r="2917">
          <cell r="A2917">
            <v>31109125</v>
          </cell>
          <cell r="B2917" t="str">
            <v>3.1.1.09.125</v>
          </cell>
          <cell r="C2917" t="str">
            <v>Rateios Alcool Hidratado (-)</v>
          </cell>
        </row>
        <row r="2918">
          <cell r="A2918">
            <v>31109126</v>
          </cell>
          <cell r="B2918" t="str">
            <v>3.1.1.09.126</v>
          </cell>
          <cell r="C2918" t="str">
            <v>Rateios Alcool Anidro (-)</v>
          </cell>
        </row>
        <row r="2919">
          <cell r="A2919">
            <v>31109127</v>
          </cell>
          <cell r="B2919" t="str">
            <v>3.1.1.09.127</v>
          </cell>
          <cell r="C2919" t="str">
            <v>Rateios P/ Diferido</v>
          </cell>
        </row>
        <row r="2920">
          <cell r="A2920">
            <v>31109128</v>
          </cell>
          <cell r="B2920" t="str">
            <v>3.1.1.09.128</v>
          </cell>
          <cell r="C2920" t="str">
            <v>Rateio custo agricola</v>
          </cell>
        </row>
        <row r="2921">
          <cell r="A2921">
            <v>31109300</v>
          </cell>
          <cell r="B2921" t="str">
            <v>3.1.1.09.300</v>
          </cell>
          <cell r="C2921" t="str">
            <v>CONTAS DE RATEIOS (-) ENTRESSAFRA</v>
          </cell>
        </row>
        <row r="2922">
          <cell r="A2922">
            <v>31109301</v>
          </cell>
          <cell r="B2922" t="str">
            <v>3.1.1.09.301</v>
          </cell>
          <cell r="C2922" t="str">
            <v>Rateios P/Tratos Culturais - Entressafra</v>
          </cell>
        </row>
        <row r="2923">
          <cell r="A2923">
            <v>31109302</v>
          </cell>
          <cell r="B2923" t="str">
            <v>3.1.1.09.302</v>
          </cell>
          <cell r="C2923" t="str">
            <v>Rateios P/Plantios - Entressafra</v>
          </cell>
        </row>
        <row r="2924">
          <cell r="A2924">
            <v>31109303</v>
          </cell>
          <cell r="B2924" t="str">
            <v>3.1.1.09.303</v>
          </cell>
          <cell r="C2924" t="str">
            <v>Rateios Custo Cana - Entressafra</v>
          </cell>
        </row>
        <row r="2925">
          <cell r="A2925">
            <v>31109304</v>
          </cell>
          <cell r="B2925" t="str">
            <v>3.1.1.09.304</v>
          </cell>
          <cell r="C2925" t="str">
            <v>Rateios P/Industria - Entressafra</v>
          </cell>
        </row>
        <row r="2926">
          <cell r="A2926">
            <v>31109305</v>
          </cell>
          <cell r="B2926" t="str">
            <v>3.1.1.09.305</v>
          </cell>
          <cell r="C2926" t="str">
            <v>Rateios Canavale - Entressafra</v>
          </cell>
        </row>
        <row r="2927">
          <cell r="A2927">
            <v>31109306</v>
          </cell>
          <cell r="B2927" t="str">
            <v>3.1.1.09.306</v>
          </cell>
          <cell r="C2927" t="str">
            <v>Rateios Alcoolvale Agricola - Entressafr</v>
          </cell>
        </row>
        <row r="2928">
          <cell r="A2928">
            <v>31109307</v>
          </cell>
          <cell r="B2928" t="str">
            <v>3.1.1.09.307</v>
          </cell>
          <cell r="C2928" t="str">
            <v>Rateios Administração - Entressafra</v>
          </cell>
        </row>
        <row r="2929">
          <cell r="A2929">
            <v>31109308</v>
          </cell>
          <cell r="B2929" t="str">
            <v>3.1.1.09.308</v>
          </cell>
          <cell r="C2929" t="str">
            <v>Rateios de Manutenção - Entressafra</v>
          </cell>
        </row>
        <row r="2930">
          <cell r="A2930">
            <v>31109309</v>
          </cell>
          <cell r="B2930" t="str">
            <v>3.1.1.09.309</v>
          </cell>
          <cell r="C2930" t="str">
            <v>Rateios Alcool Hidratado-Entressafra</v>
          </cell>
        </row>
        <row r="2931">
          <cell r="A2931">
            <v>31109310</v>
          </cell>
          <cell r="B2931" t="str">
            <v>3.1.1.09.310</v>
          </cell>
          <cell r="C2931" t="str">
            <v>Rateios Açucar Processo-Entressafra</v>
          </cell>
        </row>
        <row r="2932">
          <cell r="A2932">
            <v>31109311</v>
          </cell>
          <cell r="B2932" t="str">
            <v>3.1.1.09.311</v>
          </cell>
          <cell r="C2932" t="str">
            <v>Reversão Despesas de Entressafara-Xarope</v>
          </cell>
        </row>
        <row r="2933">
          <cell r="A2933">
            <v>31109312</v>
          </cell>
          <cell r="B2933" t="str">
            <v>3.1.1.09.312</v>
          </cell>
          <cell r="C2933" t="str">
            <v>Rateios Alcool Anidro - Entressafra</v>
          </cell>
        </row>
        <row r="2934">
          <cell r="A2934">
            <v>31109313</v>
          </cell>
          <cell r="B2934" t="str">
            <v>3.1.1.09.313</v>
          </cell>
          <cell r="C2934" t="str">
            <v>Rateios Alcool Hidratado-Processo-Entres</v>
          </cell>
        </row>
        <row r="2935">
          <cell r="A2935">
            <v>31109314</v>
          </cell>
          <cell r="B2935" t="str">
            <v>3.1.1.09.314</v>
          </cell>
          <cell r="C2935" t="str">
            <v>Despesas Manutenção Indl - Entressafra</v>
          </cell>
        </row>
        <row r="2936">
          <cell r="A2936">
            <v>31109315</v>
          </cell>
          <cell r="B2936" t="str">
            <v>3.1.1.09.315</v>
          </cell>
          <cell r="C2936" t="str">
            <v>Depreciações-Entressafra</v>
          </cell>
        </row>
        <row r="2937">
          <cell r="A2937">
            <v>31110000</v>
          </cell>
          <cell r="B2937" t="str">
            <v>3.1.1.10.000</v>
          </cell>
          <cell r="C2937" t="str">
            <v>ABSORÇÃO</v>
          </cell>
        </row>
        <row r="2938">
          <cell r="A2938">
            <v>31110001</v>
          </cell>
          <cell r="B2938" t="str">
            <v>3.1.1.10.001</v>
          </cell>
          <cell r="C2938" t="str">
            <v>Absorção - Mão De Obra</v>
          </cell>
        </row>
        <row r="2939">
          <cell r="A2939">
            <v>31110002</v>
          </cell>
          <cell r="B2939" t="str">
            <v>3.1.1.10.002</v>
          </cell>
          <cell r="C2939" t="str">
            <v>Absorção - Manutenção</v>
          </cell>
        </row>
        <row r="2940">
          <cell r="A2940">
            <v>31110003</v>
          </cell>
          <cell r="B2940" t="str">
            <v>3.1.1.10.003</v>
          </cell>
          <cell r="C2940" t="str">
            <v>Absorção de Serviço de Terceiros</v>
          </cell>
        </row>
        <row r="2941">
          <cell r="A2941">
            <v>31110004</v>
          </cell>
          <cell r="B2941" t="str">
            <v>3.1.1.10.004</v>
          </cell>
          <cell r="C2941" t="str">
            <v>Absorção - Produtos Químicos</v>
          </cell>
        </row>
        <row r="2942">
          <cell r="A2942">
            <v>31110005</v>
          </cell>
          <cell r="B2942" t="str">
            <v>3.1.1.10.005</v>
          </cell>
          <cell r="C2942" t="str">
            <v>Absorção - Depreciação</v>
          </cell>
        </row>
        <row r="2943">
          <cell r="A2943">
            <v>31110006</v>
          </cell>
          <cell r="B2943" t="str">
            <v>3.1.1.10.006</v>
          </cell>
          <cell r="C2943" t="str">
            <v>Absorção - Outros</v>
          </cell>
        </row>
        <row r="2944">
          <cell r="A2944">
            <v>31110007</v>
          </cell>
          <cell r="B2944" t="str">
            <v>3.1.1.10.007</v>
          </cell>
          <cell r="C2944" t="str">
            <v>Rateio de Colheita</v>
          </cell>
        </row>
        <row r="2945">
          <cell r="A2945">
            <v>31199000</v>
          </cell>
          <cell r="B2945" t="str">
            <v>3.1.1.99.000</v>
          </cell>
          <cell r="C2945" t="str">
            <v>Transferencia p/ Apuraçao Resultado</v>
          </cell>
        </row>
        <row r="2946">
          <cell r="A2946">
            <v>31199100</v>
          </cell>
          <cell r="B2946" t="str">
            <v>3.1.1.99.100</v>
          </cell>
          <cell r="C2946" t="str">
            <v>Transferencia p/ Apuração Resultado</v>
          </cell>
        </row>
        <row r="2947">
          <cell r="A2947">
            <v>31199197</v>
          </cell>
          <cell r="B2947" t="str">
            <v>3.1.1.99.197</v>
          </cell>
          <cell r="C2947" t="str">
            <v>transf. para o custo</v>
          </cell>
        </row>
        <row r="2948">
          <cell r="A2948">
            <v>31199198</v>
          </cell>
          <cell r="B2948" t="str">
            <v>3.1.1.99.198</v>
          </cell>
          <cell r="C2948" t="str">
            <v>Transferencia para Diferido</v>
          </cell>
        </row>
        <row r="2949">
          <cell r="A2949">
            <v>31199199</v>
          </cell>
          <cell r="B2949" t="str">
            <v>3.1.1.99.199</v>
          </cell>
          <cell r="C2949" t="str">
            <v>Transf. para Resultado</v>
          </cell>
        </row>
        <row r="2950">
          <cell r="A2950">
            <v>31200000</v>
          </cell>
          <cell r="B2950" t="str">
            <v>3.1.2.00.000</v>
          </cell>
          <cell r="C2950" t="str">
            <v>DESPESAS TRIBUTARIAS</v>
          </cell>
        </row>
        <row r="2951">
          <cell r="A2951">
            <v>31201000</v>
          </cell>
          <cell r="B2951" t="str">
            <v>3.1.2.01.000</v>
          </cell>
          <cell r="C2951" t="str">
            <v>DESPESAS TRIBUTARIAS</v>
          </cell>
        </row>
        <row r="2952">
          <cell r="A2952">
            <v>31201100</v>
          </cell>
          <cell r="B2952" t="str">
            <v>3.1.2.01.100</v>
          </cell>
          <cell r="C2952" t="str">
            <v>DESPESAS TRIBUTARIAS</v>
          </cell>
        </row>
        <row r="2953">
          <cell r="A2953">
            <v>31201101</v>
          </cell>
          <cell r="B2953" t="str">
            <v>3.1.2.01.101</v>
          </cell>
          <cell r="C2953" t="str">
            <v>Taxas Federais</v>
          </cell>
        </row>
        <row r="2954">
          <cell r="A2954">
            <v>31201102</v>
          </cell>
          <cell r="B2954" t="str">
            <v>3.1.2.01.102</v>
          </cell>
          <cell r="C2954" t="str">
            <v>Taxas Estaduais</v>
          </cell>
        </row>
        <row r="2955">
          <cell r="A2955">
            <v>31201103</v>
          </cell>
          <cell r="B2955" t="str">
            <v>3.1.2.01.103</v>
          </cell>
          <cell r="C2955" t="str">
            <v>Taxas Municipais</v>
          </cell>
        </row>
        <row r="2956">
          <cell r="A2956">
            <v>31201104</v>
          </cell>
          <cell r="B2956" t="str">
            <v>3.1.2.01.104</v>
          </cell>
          <cell r="C2956" t="str">
            <v>Contribuição Sindical</v>
          </cell>
        </row>
        <row r="2957">
          <cell r="A2957">
            <v>31201105</v>
          </cell>
          <cell r="B2957" t="str">
            <v>3.1.2.01.105</v>
          </cell>
          <cell r="C2957" t="str">
            <v>Irrf s/Aplicações Financeiras</v>
          </cell>
        </row>
        <row r="2958">
          <cell r="A2958">
            <v>31201106</v>
          </cell>
          <cell r="B2958" t="str">
            <v>3.1.2.01.106</v>
          </cell>
          <cell r="C2958" t="str">
            <v>Imposto Territorial Rural</v>
          </cell>
        </row>
        <row r="2959">
          <cell r="A2959">
            <v>31201107</v>
          </cell>
          <cell r="B2959" t="str">
            <v>3.1.2.01.107</v>
          </cell>
          <cell r="C2959" t="str">
            <v>Pis s/ Outras Receitas</v>
          </cell>
        </row>
        <row r="2960">
          <cell r="A2960">
            <v>31201108</v>
          </cell>
          <cell r="B2960" t="str">
            <v>3.1.2.01.108</v>
          </cell>
          <cell r="C2960" t="str">
            <v>Cofins s/ Outras Receitas</v>
          </cell>
        </row>
        <row r="2961">
          <cell r="A2961">
            <v>31201109</v>
          </cell>
          <cell r="B2961" t="str">
            <v>3.1.2.01.109</v>
          </cell>
          <cell r="C2961" t="str">
            <v>Inss s/Terceiros</v>
          </cell>
        </row>
        <row r="2962">
          <cell r="A2962">
            <v>31201110</v>
          </cell>
          <cell r="B2962" t="str">
            <v>3.1.2.01.110</v>
          </cell>
          <cell r="C2962" t="str">
            <v>Icms AIIM 2108712/000527/3102516/4006790</v>
          </cell>
        </row>
        <row r="2963">
          <cell r="A2963">
            <v>31201111</v>
          </cell>
          <cell r="B2963" t="str">
            <v>3.1.2.01.111</v>
          </cell>
          <cell r="C2963" t="str">
            <v>Icms Parc.Pedido Em Andamento</v>
          </cell>
        </row>
        <row r="2964">
          <cell r="A2964">
            <v>31201112</v>
          </cell>
          <cell r="B2964" t="str">
            <v>3.1.2.01.112</v>
          </cell>
          <cell r="C2964" t="str">
            <v>Salario Educacao-FNDE</v>
          </cell>
        </row>
        <row r="2965">
          <cell r="A2965">
            <v>31201113</v>
          </cell>
          <cell r="B2965" t="str">
            <v>3.1.2.01.113</v>
          </cell>
          <cell r="C2965" t="str">
            <v>Pis sobre importação</v>
          </cell>
        </row>
        <row r="2966">
          <cell r="A2966">
            <v>31201114</v>
          </cell>
          <cell r="B2966" t="str">
            <v>3.1.2.01.114</v>
          </cell>
          <cell r="C2966" t="str">
            <v>Cofins sobre importação</v>
          </cell>
        </row>
        <row r="2967">
          <cell r="A2967">
            <v>31201115</v>
          </cell>
          <cell r="B2967" t="str">
            <v>3.1.2.01.115</v>
          </cell>
          <cell r="C2967" t="str">
            <v>Icms - conta gráfica</v>
          </cell>
        </row>
        <row r="2968">
          <cell r="A2968">
            <v>31201116</v>
          </cell>
          <cell r="B2968" t="str">
            <v>3.1.2.01.116</v>
          </cell>
          <cell r="C2968" t="str">
            <v>Despesa Bancaria</v>
          </cell>
        </row>
        <row r="2969">
          <cell r="A2969">
            <v>31201117</v>
          </cell>
          <cell r="B2969" t="str">
            <v>3.1.2.01.117</v>
          </cell>
          <cell r="C2969" t="str">
            <v>I.O.F Imposto s Oper. Financeira</v>
          </cell>
        </row>
        <row r="2970">
          <cell r="A2970">
            <v>31201118</v>
          </cell>
          <cell r="B2970" t="str">
            <v>3.1.2.01.118</v>
          </cell>
          <cell r="C2970" t="str">
            <v>Cpmf</v>
          </cell>
        </row>
        <row r="2971">
          <cell r="A2971">
            <v>31201119</v>
          </cell>
          <cell r="B2971" t="str">
            <v>3.1.2.01.119</v>
          </cell>
          <cell r="C2971" t="str">
            <v>Provisao Juros Contingencias</v>
          </cell>
        </row>
        <row r="2972">
          <cell r="A2972">
            <v>31201120</v>
          </cell>
          <cell r="B2972" t="str">
            <v>3.1.2.01.120</v>
          </cell>
          <cell r="C2972" t="str">
            <v>Multas s/ Tributos - Imposto e Contr.</v>
          </cell>
        </row>
        <row r="2973">
          <cell r="A2973">
            <v>31201121</v>
          </cell>
          <cell r="B2973" t="str">
            <v>3.1.2.01.121</v>
          </cell>
          <cell r="C2973" t="str">
            <v>Despesa Tributaria</v>
          </cell>
        </row>
        <row r="2974">
          <cell r="A2974">
            <v>31201122</v>
          </cell>
          <cell r="B2974" t="str">
            <v>3.1.2.01.122</v>
          </cell>
          <cell r="C2974" t="str">
            <v>IRRF -Mutuo</v>
          </cell>
        </row>
        <row r="2975">
          <cell r="A2975">
            <v>31201123</v>
          </cell>
          <cell r="B2975" t="str">
            <v>3.1.2.01.123</v>
          </cell>
          <cell r="C2975" t="str">
            <v>IRRF s/ Brindes</v>
          </cell>
        </row>
        <row r="2976">
          <cell r="A2976">
            <v>31201124</v>
          </cell>
          <cell r="B2976" t="str">
            <v>3.1.2.01.124</v>
          </cell>
          <cell r="C2976" t="str">
            <v>Provisão contingencias Lei 11.941</v>
          </cell>
        </row>
        <row r="2977">
          <cell r="A2977">
            <v>31201125</v>
          </cell>
          <cell r="B2977" t="str">
            <v>3.1.2.01.125</v>
          </cell>
          <cell r="C2977" t="str">
            <v>ISS sobre importação</v>
          </cell>
        </row>
        <row r="2978">
          <cell r="A2978">
            <v>31201126</v>
          </cell>
          <cell r="B2978" t="str">
            <v>3.1.2.01.126</v>
          </cell>
          <cell r="C2978" t="str">
            <v>CIDE s/importação</v>
          </cell>
        </row>
        <row r="2979">
          <cell r="A2979">
            <v>31201127</v>
          </cell>
          <cell r="B2979" t="str">
            <v>3.1.2.01.127</v>
          </cell>
          <cell r="C2979" t="str">
            <v>IRRF - S/ Operacoes Financeiras</v>
          </cell>
        </row>
        <row r="2980">
          <cell r="A2980">
            <v>31201198</v>
          </cell>
          <cell r="B2980" t="str">
            <v>3.1.2.01.198</v>
          </cell>
          <cell r="C2980" t="str">
            <v>Transferencia para Diferido</v>
          </cell>
        </row>
        <row r="2981">
          <cell r="A2981">
            <v>31201199</v>
          </cell>
          <cell r="B2981" t="str">
            <v>3.1.2.01.199</v>
          </cell>
          <cell r="C2981" t="str">
            <v>Transferencia para Resultado</v>
          </cell>
        </row>
        <row r="2982">
          <cell r="A2982">
            <v>31300000</v>
          </cell>
          <cell r="B2982" t="str">
            <v>3.1.3.00.000</v>
          </cell>
          <cell r="C2982" t="str">
            <v>FINANCEIRAS LIQUIDAS</v>
          </cell>
        </row>
        <row r="2983">
          <cell r="A2983">
            <v>31301000</v>
          </cell>
          <cell r="B2983" t="str">
            <v>3.1.3.01.000</v>
          </cell>
          <cell r="C2983" t="str">
            <v>DESPESAS FINANCEIRAS</v>
          </cell>
        </row>
        <row r="2984">
          <cell r="A2984">
            <v>31301100</v>
          </cell>
          <cell r="B2984" t="str">
            <v>3.1.3.01.100</v>
          </cell>
          <cell r="C2984" t="str">
            <v>DESPESAS FINANCEIRAS</v>
          </cell>
        </row>
        <row r="2985">
          <cell r="A2985">
            <v>31301101</v>
          </cell>
          <cell r="B2985" t="str">
            <v>3.1.3.01.101</v>
          </cell>
          <cell r="C2985" t="str">
            <v>Juros Pagos ou Incorridos</v>
          </cell>
        </row>
        <row r="2986">
          <cell r="A2986">
            <v>31301102</v>
          </cell>
          <cell r="B2986" t="str">
            <v>3.1.3.01.102</v>
          </cell>
          <cell r="C2986" t="str">
            <v>Despesas Bancarias</v>
          </cell>
        </row>
        <row r="2987">
          <cell r="A2987">
            <v>31301103</v>
          </cell>
          <cell r="B2987" t="str">
            <v>3.1.3.01.103</v>
          </cell>
          <cell r="C2987" t="str">
            <v>Despesas de Financiamentos</v>
          </cell>
        </row>
        <row r="2988">
          <cell r="A2988">
            <v>31301104</v>
          </cell>
          <cell r="B2988" t="str">
            <v>3.1.3.01.104</v>
          </cell>
          <cell r="C2988" t="str">
            <v>Juros de Financiamentos</v>
          </cell>
        </row>
        <row r="2989">
          <cell r="A2989">
            <v>31301105</v>
          </cell>
          <cell r="B2989" t="str">
            <v>3.1.3.01.105</v>
          </cell>
          <cell r="C2989" t="str">
            <v>Descontos Concedidos</v>
          </cell>
        </row>
        <row r="2990">
          <cell r="A2990">
            <v>31301106</v>
          </cell>
          <cell r="B2990" t="str">
            <v>3.1.3.01.106</v>
          </cell>
          <cell r="C2990" t="str">
            <v>Juros s/Tributos - Imposto e Contrib.</v>
          </cell>
        </row>
        <row r="2991">
          <cell r="A2991">
            <v>31301107</v>
          </cell>
          <cell r="B2991" t="str">
            <v>3.1.3.01.107</v>
          </cell>
          <cell r="C2991" t="str">
            <v>I.o.f. Impostos s/Op.Financeiras</v>
          </cell>
        </row>
        <row r="2992">
          <cell r="A2992">
            <v>31301108</v>
          </cell>
          <cell r="B2992" t="str">
            <v>3.1.3.01.108</v>
          </cell>
          <cell r="C2992" t="str">
            <v>Cpmf</v>
          </cell>
        </row>
        <row r="2993">
          <cell r="A2993">
            <v>31301109</v>
          </cell>
          <cell r="B2993" t="str">
            <v>3.1.3.01.109</v>
          </cell>
          <cell r="C2993" t="str">
            <v>Perdas De Investimentos</v>
          </cell>
        </row>
        <row r="2994">
          <cell r="A2994">
            <v>31301110</v>
          </cell>
          <cell r="B2994" t="str">
            <v>3.1.3.01.110</v>
          </cell>
          <cell r="C2994" t="str">
            <v>Operações Em Bolsa De Valores</v>
          </cell>
        </row>
        <row r="2995">
          <cell r="A2995">
            <v>31301111</v>
          </cell>
          <cell r="B2995" t="str">
            <v>3.1.3.01.111</v>
          </cell>
          <cell r="C2995" t="str">
            <v>Juros s/ AIIM</v>
          </cell>
        </row>
        <row r="2996">
          <cell r="A2996">
            <v>31301112</v>
          </cell>
          <cell r="B2996" t="str">
            <v>3.1.3.01.112</v>
          </cell>
          <cell r="C2996" t="str">
            <v>Provisão juros contingencias</v>
          </cell>
        </row>
        <row r="2997">
          <cell r="A2997">
            <v>31301113</v>
          </cell>
          <cell r="B2997" t="str">
            <v>3.1.3.01.113</v>
          </cell>
          <cell r="C2997" t="str">
            <v>provisão contingencias INSS</v>
          </cell>
        </row>
        <row r="2998">
          <cell r="A2998">
            <v>31301114</v>
          </cell>
          <cell r="B2998" t="str">
            <v>3.1.3.01.114</v>
          </cell>
          <cell r="C2998" t="str">
            <v>Perdas de Aplicações</v>
          </cell>
        </row>
        <row r="2999">
          <cell r="A2999">
            <v>31301115</v>
          </cell>
          <cell r="B2999" t="str">
            <v>3.1.3.01.115</v>
          </cell>
          <cell r="C2999" t="str">
            <v>Multas Contratuais</v>
          </cell>
        </row>
        <row r="3000">
          <cell r="A3000">
            <v>31301116</v>
          </cell>
          <cell r="B3000" t="str">
            <v>3.1.3.01.116</v>
          </cell>
          <cell r="C3000" t="str">
            <v>Despesas de cartorio e protestos</v>
          </cell>
        </row>
        <row r="3001">
          <cell r="A3001">
            <v>31301117</v>
          </cell>
          <cell r="B3001" t="str">
            <v>3.1.3.01.117</v>
          </cell>
          <cell r="C3001" t="str">
            <v>Ajustes AVP lei 11.638</v>
          </cell>
        </row>
        <row r="3002">
          <cell r="A3002">
            <v>31301118</v>
          </cell>
          <cell r="B3002" t="str">
            <v>3.1.3.01.118</v>
          </cell>
          <cell r="C3002" t="str">
            <v>Despesas Financeiras  -leasing</v>
          </cell>
        </row>
        <row r="3003">
          <cell r="A3003">
            <v>31301119</v>
          </cell>
          <cell r="B3003" t="str">
            <v>3.1.3.01.119</v>
          </cell>
          <cell r="C3003" t="str">
            <v>( )- Despesas Leasing Financeiro</v>
          </cell>
        </row>
        <row r="3004">
          <cell r="A3004">
            <v>31301120</v>
          </cell>
          <cell r="B3004" t="str">
            <v>3.1.3.01.120</v>
          </cell>
          <cell r="C3004" t="str">
            <v>Perdas em bolsa de valores - RTT</v>
          </cell>
        </row>
        <row r="3005">
          <cell r="A3005">
            <v>31301121</v>
          </cell>
          <cell r="B3005" t="str">
            <v>3.1.3.01.121</v>
          </cell>
          <cell r="C3005" t="str">
            <v>Despesas Financeiras</v>
          </cell>
        </row>
        <row r="3006">
          <cell r="A3006">
            <v>31301122</v>
          </cell>
          <cell r="B3006" t="str">
            <v>3.1.3.01.122</v>
          </cell>
          <cell r="C3006" t="str">
            <v>Investimentos  AVM -RTT</v>
          </cell>
        </row>
        <row r="3007">
          <cell r="A3007">
            <v>31301123</v>
          </cell>
          <cell r="B3007" t="str">
            <v>3.1.3.01.123</v>
          </cell>
          <cell r="C3007" t="str">
            <v>Desp. comissões</v>
          </cell>
        </row>
        <row r="3008">
          <cell r="A3008">
            <v>31301124</v>
          </cell>
          <cell r="B3008" t="str">
            <v>3.1.3.01.124</v>
          </cell>
          <cell r="C3008" t="str">
            <v>AVP -Impostos parcelamentos</v>
          </cell>
        </row>
        <row r="3009">
          <cell r="A3009">
            <v>31301125</v>
          </cell>
          <cell r="B3009" t="str">
            <v>3.1.3.01.125</v>
          </cell>
          <cell r="C3009" t="str">
            <v>Juros inteligadas</v>
          </cell>
        </row>
        <row r="3010">
          <cell r="A3010">
            <v>31301197</v>
          </cell>
          <cell r="B3010" t="str">
            <v>3.1.3.01.197</v>
          </cell>
          <cell r="C3010" t="str">
            <v>Transferência para o IFC</v>
          </cell>
        </row>
        <row r="3011">
          <cell r="A3011">
            <v>31301198</v>
          </cell>
          <cell r="B3011" t="str">
            <v>3.1.3.01.198</v>
          </cell>
          <cell r="C3011" t="str">
            <v>Transferencia pra Diferido</v>
          </cell>
        </row>
        <row r="3012">
          <cell r="A3012">
            <v>31301199</v>
          </cell>
          <cell r="B3012" t="str">
            <v>3.1.3.01.199</v>
          </cell>
          <cell r="C3012" t="str">
            <v>Transferencia para Resultado</v>
          </cell>
        </row>
        <row r="3013">
          <cell r="A3013">
            <v>31301200</v>
          </cell>
          <cell r="B3013" t="str">
            <v>3.1.3.01.200</v>
          </cell>
          <cell r="C3013" t="str">
            <v>RECEITAS FINANCEIRAS</v>
          </cell>
        </row>
        <row r="3014">
          <cell r="A3014">
            <v>31301201</v>
          </cell>
          <cell r="B3014" t="str">
            <v>3.1.3.01.201</v>
          </cell>
          <cell r="C3014" t="str">
            <v>Receitas Financeiras</v>
          </cell>
        </row>
        <row r="3015">
          <cell r="A3015">
            <v>31301202</v>
          </cell>
          <cell r="B3015" t="str">
            <v>3.1.3.01.202</v>
          </cell>
          <cell r="C3015" t="str">
            <v>Desconto Obtidos</v>
          </cell>
        </row>
        <row r="3016">
          <cell r="A3016">
            <v>31301203</v>
          </cell>
          <cell r="B3016" t="str">
            <v>3.1.3.01.203</v>
          </cell>
          <cell r="C3016" t="str">
            <v>Juros Recebidos</v>
          </cell>
        </row>
        <row r="3017">
          <cell r="A3017">
            <v>31301204</v>
          </cell>
          <cell r="B3017" t="str">
            <v>3.1.3.01.204</v>
          </cell>
          <cell r="C3017" t="str">
            <v>Rendimento Aplicações</v>
          </cell>
        </row>
        <row r="3018">
          <cell r="A3018">
            <v>31301205</v>
          </cell>
          <cell r="B3018" t="str">
            <v>3.1.3.01.205</v>
          </cell>
          <cell r="C3018" t="str">
            <v>Rendimento Aplicação SWAP</v>
          </cell>
        </row>
        <row r="3019">
          <cell r="A3019">
            <v>31301206</v>
          </cell>
          <cell r="B3019" t="str">
            <v>3.1.3.01.206</v>
          </cell>
          <cell r="C3019" t="str">
            <v>Redimento Aplicação Derivativo</v>
          </cell>
        </row>
        <row r="3020">
          <cell r="A3020">
            <v>31301207</v>
          </cell>
          <cell r="B3020" t="str">
            <v>3.1.3.01.207</v>
          </cell>
          <cell r="C3020" t="str">
            <v>ganhos em operações de bolsa de valores</v>
          </cell>
        </row>
        <row r="3021">
          <cell r="A3021">
            <v>31301208</v>
          </cell>
          <cell r="B3021" t="str">
            <v>3.1.3.01.208</v>
          </cell>
          <cell r="C3021" t="str">
            <v>Receita contingencias</v>
          </cell>
        </row>
        <row r="3022">
          <cell r="A3022">
            <v>31301209</v>
          </cell>
          <cell r="B3022" t="str">
            <v>3.1.3.01.209</v>
          </cell>
          <cell r="C3022" t="str">
            <v>Juros Recebidos interligadas</v>
          </cell>
        </row>
        <row r="3023">
          <cell r="A3023">
            <v>31301298</v>
          </cell>
          <cell r="B3023" t="str">
            <v>3.1.3.01.298</v>
          </cell>
          <cell r="C3023" t="str">
            <v>Transferencia para Diferido</v>
          </cell>
        </row>
        <row r="3024">
          <cell r="A3024">
            <v>31301299</v>
          </cell>
          <cell r="B3024" t="str">
            <v>3.1.3.01.299</v>
          </cell>
          <cell r="C3024" t="str">
            <v>Transferencia para Resultado</v>
          </cell>
        </row>
        <row r="3025">
          <cell r="A3025">
            <v>31400000</v>
          </cell>
          <cell r="B3025" t="str">
            <v>3.1.4.00.000</v>
          </cell>
          <cell r="C3025" t="str">
            <v>VARIACOES CREDITOS E OBRIGACOES</v>
          </cell>
        </row>
        <row r="3026">
          <cell r="A3026">
            <v>31401000</v>
          </cell>
          <cell r="B3026" t="str">
            <v>3.1.4.01.000</v>
          </cell>
          <cell r="C3026" t="str">
            <v>VARIACOES CREDITOS E OBRIGACOES</v>
          </cell>
        </row>
        <row r="3027">
          <cell r="A3027">
            <v>31401100</v>
          </cell>
          <cell r="B3027" t="str">
            <v>3.1.4.01.100</v>
          </cell>
          <cell r="C3027" t="str">
            <v>VARIACOES CAMBIAIS ATIVA/PASSIVA</v>
          </cell>
        </row>
        <row r="3028">
          <cell r="A3028">
            <v>31401101</v>
          </cell>
          <cell r="B3028" t="str">
            <v>3.1.4.01.101</v>
          </cell>
          <cell r="C3028" t="str">
            <v>Variação cambial ativa</v>
          </cell>
        </row>
        <row r="3029">
          <cell r="A3029">
            <v>31401102</v>
          </cell>
          <cell r="B3029" t="str">
            <v>3.1.4.01.102</v>
          </cell>
          <cell r="C3029" t="str">
            <v>Variação cambial passiva</v>
          </cell>
        </row>
        <row r="3030">
          <cell r="A3030">
            <v>31401103</v>
          </cell>
          <cell r="B3030" t="str">
            <v>3.1.4.01.103</v>
          </cell>
          <cell r="C3030" t="str">
            <v>Variações Monetárias Ativas</v>
          </cell>
        </row>
        <row r="3031">
          <cell r="A3031">
            <v>31401104</v>
          </cell>
          <cell r="B3031" t="str">
            <v>3.1.4.01.104</v>
          </cell>
          <cell r="C3031" t="str">
            <v>Variações Monetárias Passivas</v>
          </cell>
        </row>
        <row r="3032">
          <cell r="A3032">
            <v>31401105</v>
          </cell>
          <cell r="B3032" t="str">
            <v>3.1.4.01.105</v>
          </cell>
          <cell r="C3032" t="str">
            <v>Variação cambial ativa - inteligadas</v>
          </cell>
        </row>
        <row r="3033">
          <cell r="A3033">
            <v>31401106</v>
          </cell>
          <cell r="B3033" t="str">
            <v>3.1.4.01.106</v>
          </cell>
          <cell r="C3033" t="str">
            <v>Variação cambial passiva - interligadas</v>
          </cell>
        </row>
        <row r="3034">
          <cell r="A3034">
            <v>31401197</v>
          </cell>
          <cell r="B3034" t="str">
            <v>3.1.4.01.197</v>
          </cell>
          <cell r="C3034" t="str">
            <v>Transferência para o IFC</v>
          </cell>
        </row>
        <row r="3035">
          <cell r="A3035">
            <v>31401198</v>
          </cell>
          <cell r="B3035" t="str">
            <v>3.1.4.01.198</v>
          </cell>
          <cell r="C3035" t="str">
            <v>Transferencia para Diferido</v>
          </cell>
        </row>
        <row r="3036">
          <cell r="A3036">
            <v>31401199</v>
          </cell>
          <cell r="B3036" t="str">
            <v>3.1.4.01.199</v>
          </cell>
          <cell r="C3036" t="str">
            <v>Transferencia para Resultado</v>
          </cell>
        </row>
        <row r="3037">
          <cell r="A3037">
            <v>31500000</v>
          </cell>
          <cell r="B3037" t="str">
            <v>3.1.5.00.000</v>
          </cell>
          <cell r="C3037" t="str">
            <v>OUTRAS RECEITAS (DESPESAS) OPERACIONAIS</v>
          </cell>
        </row>
        <row r="3038">
          <cell r="A3038">
            <v>31501000</v>
          </cell>
          <cell r="B3038" t="str">
            <v>3.1.5.01.000</v>
          </cell>
          <cell r="C3038" t="str">
            <v>OUTRAS RECEITAS (DESPESAS) OPERACIONAIS</v>
          </cell>
        </row>
        <row r="3039">
          <cell r="A3039">
            <v>31501100</v>
          </cell>
          <cell r="B3039" t="str">
            <v>3.1.5.01.100</v>
          </cell>
          <cell r="C3039" t="str">
            <v>OUTRAS RECEITAS (DESPESAS) OPERACIONAIS</v>
          </cell>
        </row>
        <row r="3040">
          <cell r="A3040">
            <v>31501101</v>
          </cell>
          <cell r="B3040" t="str">
            <v>3.1.5.01.101</v>
          </cell>
          <cell r="C3040" t="str">
            <v>Perdas Por Sinistro</v>
          </cell>
        </row>
        <row r="3041">
          <cell r="A3041">
            <v>31501102</v>
          </cell>
          <cell r="B3041" t="str">
            <v>3.1.5.01.102</v>
          </cell>
          <cell r="C3041" t="str">
            <v>Sinistros Recebidos</v>
          </cell>
        </row>
        <row r="3042">
          <cell r="A3042">
            <v>31501103</v>
          </cell>
          <cell r="B3042" t="str">
            <v>3.1.5.01.103</v>
          </cell>
          <cell r="C3042" t="str">
            <v>Indenizações Recebidas</v>
          </cell>
        </row>
        <row r="3043">
          <cell r="A3043">
            <v>31501104</v>
          </cell>
          <cell r="B3043" t="str">
            <v>3.1.5.01.104</v>
          </cell>
          <cell r="C3043" t="str">
            <v>Honorários Adv.Credito Ipi</v>
          </cell>
        </row>
        <row r="3044">
          <cell r="A3044">
            <v>31501105</v>
          </cell>
          <cell r="B3044" t="str">
            <v>3.1.5.01.105</v>
          </cell>
          <cell r="C3044" t="str">
            <v>Receitas com Contingencia</v>
          </cell>
        </row>
        <row r="3045">
          <cell r="A3045">
            <v>31501106</v>
          </cell>
          <cell r="B3045" t="str">
            <v>3.1.5.01.106</v>
          </cell>
          <cell r="C3045" t="str">
            <v>Leasing</v>
          </cell>
        </row>
        <row r="3046">
          <cell r="A3046">
            <v>31501107</v>
          </cell>
          <cell r="B3046" t="str">
            <v>3.1.5.01.107</v>
          </cell>
          <cell r="C3046" t="str">
            <v>Recuperação de Impostos</v>
          </cell>
        </row>
        <row r="3047">
          <cell r="A3047">
            <v>31501108</v>
          </cell>
          <cell r="B3047" t="str">
            <v>3.1.5.01.108</v>
          </cell>
          <cell r="C3047" t="str">
            <v>Receitas Diversas</v>
          </cell>
        </row>
        <row r="3048">
          <cell r="A3048">
            <v>31501109</v>
          </cell>
          <cell r="B3048" t="str">
            <v>3.1.5.01.109</v>
          </cell>
          <cell r="C3048" t="str">
            <v>Bonificações ou Brindes</v>
          </cell>
        </row>
        <row r="3049">
          <cell r="A3049">
            <v>31501110</v>
          </cell>
          <cell r="B3049" t="str">
            <v>3.1.5.01.110</v>
          </cell>
          <cell r="C3049" t="str">
            <v>Indenizações pagas</v>
          </cell>
        </row>
        <row r="3050">
          <cell r="A3050">
            <v>31501111</v>
          </cell>
          <cell r="B3050" t="str">
            <v>3.1.5.01.111</v>
          </cell>
          <cell r="C3050" t="str">
            <v>Multas contratuais</v>
          </cell>
        </row>
        <row r="3051">
          <cell r="A3051">
            <v>31501198</v>
          </cell>
          <cell r="B3051" t="str">
            <v>3.1.5.01.198</v>
          </cell>
          <cell r="C3051" t="str">
            <v>Transferencia para Diferido</v>
          </cell>
        </row>
        <row r="3052">
          <cell r="A3052">
            <v>31501199</v>
          </cell>
          <cell r="B3052" t="str">
            <v>3.1.5.01.199</v>
          </cell>
          <cell r="C3052" t="str">
            <v>Transferencia para Resultado</v>
          </cell>
        </row>
        <row r="3053">
          <cell r="A3053">
            <v>31600000</v>
          </cell>
          <cell r="B3053" t="str">
            <v>3.1.6.00.000</v>
          </cell>
          <cell r="C3053" t="str">
            <v>CONTAS DE RATEIO</v>
          </cell>
        </row>
        <row r="3054">
          <cell r="A3054">
            <v>31601000</v>
          </cell>
          <cell r="B3054" t="str">
            <v>3.1.6.01.000</v>
          </cell>
          <cell r="C3054" t="str">
            <v>CONTAS DE RATEIO</v>
          </cell>
        </row>
        <row r="3055">
          <cell r="A3055">
            <v>31601100</v>
          </cell>
          <cell r="B3055" t="str">
            <v>3.1.6.01.100</v>
          </cell>
          <cell r="C3055" t="str">
            <v>CONTAS DE RATEIO</v>
          </cell>
        </row>
        <row r="3056">
          <cell r="A3056">
            <v>31601101</v>
          </cell>
          <cell r="B3056" t="str">
            <v>3.1.6.01.101</v>
          </cell>
          <cell r="C3056" t="str">
            <v>Depreciação-Contas de Rateio</v>
          </cell>
        </row>
        <row r="3057">
          <cell r="A3057">
            <v>31601102</v>
          </cell>
          <cell r="B3057" t="str">
            <v>3.1.6.01.102</v>
          </cell>
          <cell r="C3057" t="str">
            <v>Provisão De Entressafra</v>
          </cell>
        </row>
        <row r="3058">
          <cell r="A3058">
            <v>31601103</v>
          </cell>
          <cell r="B3058" t="str">
            <v>3.1.6.01.103</v>
          </cell>
          <cell r="C3058" t="str">
            <v>Amortização Lavoura Cana Formada</v>
          </cell>
        </row>
        <row r="3059">
          <cell r="A3059">
            <v>31601104</v>
          </cell>
          <cell r="B3059" t="str">
            <v>3.1.6.01.104</v>
          </cell>
          <cell r="C3059" t="str">
            <v>Amortização Tratos Culturais</v>
          </cell>
        </row>
        <row r="3060">
          <cell r="A3060">
            <v>31601105</v>
          </cell>
          <cell r="B3060" t="str">
            <v>3.1.6.01.105</v>
          </cell>
          <cell r="C3060" t="str">
            <v>Rateios Agricolas-Contas de Rateio</v>
          </cell>
        </row>
        <row r="3061">
          <cell r="A3061">
            <v>31601106</v>
          </cell>
          <cell r="B3061" t="str">
            <v>3.1.6.01.106</v>
          </cell>
          <cell r="C3061" t="str">
            <v>Rateios Utilidades-Contas de Rateio</v>
          </cell>
        </row>
        <row r="3062">
          <cell r="A3062">
            <v>31601107</v>
          </cell>
          <cell r="B3062" t="str">
            <v>3.1.6.01.107</v>
          </cell>
          <cell r="C3062" t="str">
            <v>Rateios Manutenção-Contas de Rateio</v>
          </cell>
        </row>
        <row r="3063">
          <cell r="A3063">
            <v>31601108</v>
          </cell>
          <cell r="B3063" t="str">
            <v>3.1.6.01.108</v>
          </cell>
          <cell r="C3063" t="str">
            <v>Ppr-Plano Partic.Resultados</v>
          </cell>
        </row>
        <row r="3064">
          <cell r="A3064">
            <v>31601109</v>
          </cell>
          <cell r="B3064" t="str">
            <v>3.1.6.01.109</v>
          </cell>
          <cell r="C3064" t="str">
            <v>Mao de Obra-Contas de Rateio</v>
          </cell>
        </row>
        <row r="3065">
          <cell r="A3065">
            <v>31601110</v>
          </cell>
          <cell r="B3065" t="str">
            <v>3.1.6.01.110</v>
          </cell>
          <cell r="C3065" t="str">
            <v>Produtos Quimicos-Contas de Rateio</v>
          </cell>
        </row>
        <row r="3066">
          <cell r="A3066">
            <v>31601111</v>
          </cell>
          <cell r="B3066" t="str">
            <v>3.1.6.01.111</v>
          </cell>
          <cell r="C3066" t="str">
            <v>Energia Eletrica-Contas de Rateio</v>
          </cell>
        </row>
        <row r="3067">
          <cell r="A3067">
            <v>31601112</v>
          </cell>
          <cell r="B3067" t="str">
            <v>3.1.6.01.112</v>
          </cell>
          <cell r="C3067" t="str">
            <v>Outros</v>
          </cell>
        </row>
        <row r="3068">
          <cell r="A3068">
            <v>31601113</v>
          </cell>
          <cell r="B3068" t="str">
            <v>3.1.6.01.113</v>
          </cell>
          <cell r="C3068" t="str">
            <v>Despesas Administr.-Contas de Rateio</v>
          </cell>
        </row>
        <row r="3069">
          <cell r="A3069">
            <v>31601114</v>
          </cell>
          <cell r="B3069" t="str">
            <v>3.1.6.01.114</v>
          </cell>
          <cell r="C3069" t="str">
            <v>Despesas de Comercialização-Ctas Rateio</v>
          </cell>
        </row>
        <row r="3070">
          <cell r="A3070">
            <v>31601115</v>
          </cell>
          <cell r="B3070" t="str">
            <v>3.1.6.01.115</v>
          </cell>
          <cell r="C3070" t="str">
            <v>Despesas Admin- Diferido</v>
          </cell>
        </row>
        <row r="3071">
          <cell r="A3071">
            <v>31601116</v>
          </cell>
          <cell r="B3071" t="str">
            <v>3.1.6.01.116</v>
          </cell>
          <cell r="C3071" t="str">
            <v>Despesas Comercial -diferido</v>
          </cell>
        </row>
        <row r="3072">
          <cell r="A3072">
            <v>31601117</v>
          </cell>
          <cell r="B3072" t="str">
            <v>3.1.6.01.117</v>
          </cell>
          <cell r="C3072" t="str">
            <v>Rateio- Industrial</v>
          </cell>
        </row>
        <row r="3073">
          <cell r="A3073">
            <v>31601118</v>
          </cell>
          <cell r="B3073" t="str">
            <v>3.1.6.01.118</v>
          </cell>
          <cell r="C3073" t="str">
            <v>Transf. Diferido p/ Resultado</v>
          </cell>
        </row>
        <row r="3074">
          <cell r="A3074">
            <v>31601119</v>
          </cell>
          <cell r="B3074" t="str">
            <v>3.1.6.01.119</v>
          </cell>
          <cell r="C3074" t="str">
            <v>Desp. Admin. Agricola</v>
          </cell>
        </row>
        <row r="3075">
          <cell r="A3075">
            <v>31601198</v>
          </cell>
          <cell r="B3075" t="str">
            <v>3.1.6.01.198</v>
          </cell>
          <cell r="C3075" t="str">
            <v>Transferencia para Diferido</v>
          </cell>
        </row>
        <row r="3076">
          <cell r="A3076">
            <v>31601199</v>
          </cell>
          <cell r="B3076" t="str">
            <v>3.1.6.01.199</v>
          </cell>
          <cell r="C3076" t="str">
            <v>Transferencia para o resultado</v>
          </cell>
        </row>
        <row r="3077">
          <cell r="A3077">
            <v>31700000</v>
          </cell>
          <cell r="B3077" t="str">
            <v>3.1.7.00.000</v>
          </cell>
          <cell r="C3077" t="str">
            <v>DESPESAS OPERACIONAIS</v>
          </cell>
        </row>
        <row r="3078">
          <cell r="A3078">
            <v>31701000</v>
          </cell>
          <cell r="B3078" t="str">
            <v>3.1.7.01.000</v>
          </cell>
          <cell r="C3078" t="str">
            <v>DESPESAS OPERACIONAIS</v>
          </cell>
        </row>
        <row r="3079">
          <cell r="A3079">
            <v>31701100</v>
          </cell>
          <cell r="B3079" t="str">
            <v>3.1.7.01.100</v>
          </cell>
          <cell r="C3079" t="str">
            <v>DESPESAS OPERACIONAIS</v>
          </cell>
        </row>
        <row r="3080">
          <cell r="A3080">
            <v>31701101</v>
          </cell>
          <cell r="B3080" t="str">
            <v>3.1.7.01.101</v>
          </cell>
          <cell r="C3080" t="str">
            <v>Doações - Indedutível</v>
          </cell>
        </row>
        <row r="3081">
          <cell r="A3081">
            <v>31701102</v>
          </cell>
          <cell r="B3081" t="str">
            <v>3.1.7.01.102</v>
          </cell>
          <cell r="C3081" t="str">
            <v>Multas de Transito</v>
          </cell>
        </row>
        <row r="3082">
          <cell r="A3082">
            <v>31701103</v>
          </cell>
          <cell r="B3082" t="str">
            <v>3.1.7.01.103</v>
          </cell>
          <cell r="C3082" t="str">
            <v>Multas p/Infracoes Fiscais - Indedutível</v>
          </cell>
        </row>
        <row r="3083">
          <cell r="A3083">
            <v>31701104</v>
          </cell>
          <cell r="B3083" t="str">
            <v>3.1.7.01.104</v>
          </cell>
          <cell r="C3083" t="str">
            <v>Despesas Diversas</v>
          </cell>
        </row>
        <row r="3084">
          <cell r="A3084">
            <v>31701105</v>
          </cell>
          <cell r="B3084" t="str">
            <v>3.1.7.01.105</v>
          </cell>
          <cell r="C3084" t="str">
            <v>Provisões p/Contingencias</v>
          </cell>
        </row>
        <row r="3085">
          <cell r="A3085">
            <v>31701106</v>
          </cell>
          <cell r="B3085" t="str">
            <v>3.1.7.01.106</v>
          </cell>
          <cell r="C3085" t="str">
            <v>Seguros-Despesas Dedutiveis</v>
          </cell>
        </row>
        <row r="3086">
          <cell r="A3086">
            <v>31701107</v>
          </cell>
          <cell r="B3086" t="str">
            <v>3.1.7.01.107</v>
          </cell>
          <cell r="C3086" t="str">
            <v>Inss</v>
          </cell>
        </row>
        <row r="3087">
          <cell r="A3087">
            <v>31701108</v>
          </cell>
          <cell r="B3087" t="str">
            <v>3.1.7.01.108</v>
          </cell>
          <cell r="C3087" t="str">
            <v>Multas s/Tributos - Imposto e Contrib.</v>
          </cell>
        </row>
        <row r="3088">
          <cell r="A3088">
            <v>31701109</v>
          </cell>
          <cell r="B3088" t="str">
            <v>3.1.7.01.109</v>
          </cell>
          <cell r="C3088" t="str">
            <v>Indenizações Trabalhistas</v>
          </cell>
        </row>
        <row r="3089">
          <cell r="A3089">
            <v>31701110</v>
          </cell>
          <cell r="B3089" t="str">
            <v>3.1.7.01.110</v>
          </cell>
          <cell r="C3089" t="str">
            <v>Brindes</v>
          </cell>
        </row>
        <row r="3090">
          <cell r="A3090">
            <v>31701111</v>
          </cell>
          <cell r="B3090" t="str">
            <v>3.1.7.01.111</v>
          </cell>
          <cell r="C3090" t="str">
            <v>Refugo</v>
          </cell>
        </row>
        <row r="3091">
          <cell r="A3091">
            <v>31701112</v>
          </cell>
          <cell r="B3091" t="str">
            <v>3.1.7.01.112</v>
          </cell>
          <cell r="C3091" t="str">
            <v>Provisoes para Perdas</v>
          </cell>
        </row>
        <row r="3092">
          <cell r="A3092">
            <v>31701113</v>
          </cell>
          <cell r="B3092" t="str">
            <v>3.1.7.01.113</v>
          </cell>
          <cell r="C3092" t="str">
            <v>Despesas Tributárias</v>
          </cell>
        </row>
        <row r="3093">
          <cell r="A3093">
            <v>31701114</v>
          </cell>
          <cell r="B3093" t="str">
            <v>3.1.7.01.114</v>
          </cell>
          <cell r="C3093" t="str">
            <v>Provisão Multa de IPI Premio</v>
          </cell>
        </row>
        <row r="3094">
          <cell r="A3094">
            <v>31701115</v>
          </cell>
          <cell r="B3094" t="str">
            <v>3.1.7.01.115</v>
          </cell>
          <cell r="C3094" t="str">
            <v>Amortização do Agio Controlada</v>
          </cell>
        </row>
        <row r="3095">
          <cell r="A3095">
            <v>31701116</v>
          </cell>
          <cell r="B3095" t="str">
            <v>3.1.7.01.116</v>
          </cell>
          <cell r="C3095" t="str">
            <v>Credito de IPI</v>
          </cell>
        </row>
        <row r="3096">
          <cell r="A3096">
            <v>31701117</v>
          </cell>
          <cell r="B3096" t="str">
            <v>3.1.7.01.117</v>
          </cell>
          <cell r="C3096" t="str">
            <v>Provisão passiva de IPI</v>
          </cell>
        </row>
        <row r="3097">
          <cell r="A3097">
            <v>31701118</v>
          </cell>
          <cell r="B3097" t="str">
            <v>3.1.7.01.118</v>
          </cell>
          <cell r="C3097" t="str">
            <v>Perdas cana Bisada</v>
          </cell>
        </row>
        <row r="3098">
          <cell r="A3098">
            <v>31701119</v>
          </cell>
          <cell r="B3098" t="str">
            <v>3.1.7.01.119</v>
          </cell>
          <cell r="C3098" t="str">
            <v>Custas Processuais</v>
          </cell>
        </row>
        <row r="3099">
          <cell r="A3099">
            <v>31701120</v>
          </cell>
          <cell r="B3099" t="str">
            <v>3.1.7.01.120</v>
          </cell>
          <cell r="C3099" t="str">
            <v>Indenizações Civeis/Ambientais</v>
          </cell>
        </row>
        <row r="3100">
          <cell r="A3100">
            <v>31701121</v>
          </cell>
          <cell r="B3100" t="str">
            <v>3.1.7.01.121</v>
          </cell>
          <cell r="C3100" t="str">
            <v>Despesas Impairment -RTT</v>
          </cell>
        </row>
        <row r="3101">
          <cell r="A3101">
            <v>31701122</v>
          </cell>
          <cell r="B3101" t="str">
            <v>3.1.7.01.122</v>
          </cell>
          <cell r="C3101" t="str">
            <v>Festas e Confraternizações</v>
          </cell>
        </row>
        <row r="3102">
          <cell r="A3102">
            <v>31701198</v>
          </cell>
          <cell r="B3102" t="str">
            <v>3.1.7.01.198</v>
          </cell>
          <cell r="C3102" t="str">
            <v>Transferencia para Diferido</v>
          </cell>
        </row>
        <row r="3103">
          <cell r="A3103">
            <v>31701199</v>
          </cell>
          <cell r="B3103" t="str">
            <v>3.1.7.01.199</v>
          </cell>
          <cell r="C3103" t="str">
            <v>Transferencia para Resultado</v>
          </cell>
        </row>
        <row r="3104">
          <cell r="A3104">
            <v>31800000</v>
          </cell>
          <cell r="B3104" t="str">
            <v>3.1.8.00.000</v>
          </cell>
          <cell r="C3104" t="str">
            <v>RECEITAS OPERACIONAIS</v>
          </cell>
        </row>
        <row r="3105">
          <cell r="A3105">
            <v>31801000</v>
          </cell>
          <cell r="B3105" t="str">
            <v>3.1.8.01.000</v>
          </cell>
          <cell r="C3105" t="str">
            <v>RECEITAS OPERACIONAIS</v>
          </cell>
        </row>
        <row r="3106">
          <cell r="A3106">
            <v>31801100</v>
          </cell>
          <cell r="B3106" t="str">
            <v>3.1.8.01.100</v>
          </cell>
          <cell r="C3106" t="str">
            <v>RECEITAS OPERACIONAIS</v>
          </cell>
        </row>
        <row r="3107">
          <cell r="A3107">
            <v>31801101</v>
          </cell>
          <cell r="B3107" t="str">
            <v>3.1.8.01.101</v>
          </cell>
          <cell r="C3107" t="str">
            <v>Receita de Investimento</v>
          </cell>
        </row>
        <row r="3108">
          <cell r="A3108">
            <v>31801102</v>
          </cell>
          <cell r="B3108" t="str">
            <v>3.1.8.01.102</v>
          </cell>
          <cell r="C3108" t="str">
            <v>Dividendos recebidos</v>
          </cell>
        </row>
        <row r="3109">
          <cell r="A3109">
            <v>31801103</v>
          </cell>
          <cell r="B3109" t="str">
            <v>3.1.8.01.103</v>
          </cell>
          <cell r="C3109" t="str">
            <v>Alugueis e Arrendamentos</v>
          </cell>
        </row>
        <row r="3110">
          <cell r="A3110">
            <v>31801104</v>
          </cell>
          <cell r="B3110" t="str">
            <v>3.1.8.01.104</v>
          </cell>
          <cell r="C3110" t="str">
            <v>Venda de Sucatas/Residuos</v>
          </cell>
        </row>
        <row r="3111">
          <cell r="A3111">
            <v>31801105</v>
          </cell>
          <cell r="B3111" t="str">
            <v>3.1.8.01.105</v>
          </cell>
          <cell r="C3111" t="str">
            <v>Receitas Diversas</v>
          </cell>
        </row>
        <row r="3112">
          <cell r="A3112">
            <v>31801106</v>
          </cell>
          <cell r="B3112" t="str">
            <v>3.1.8.01.106</v>
          </cell>
          <cell r="C3112" t="str">
            <v>Receitas Tributárias</v>
          </cell>
        </row>
        <row r="3113">
          <cell r="A3113">
            <v>31801107</v>
          </cell>
          <cell r="B3113" t="str">
            <v>3.1.8.01.107</v>
          </cell>
          <cell r="C3113" t="str">
            <v>Receitas Incentivos - RTT</v>
          </cell>
        </row>
        <row r="3114">
          <cell r="A3114">
            <v>31801108</v>
          </cell>
          <cell r="B3114" t="str">
            <v>3.1.8.01.108</v>
          </cell>
          <cell r="C3114" t="str">
            <v>Constituição Tributos MP 470/09</v>
          </cell>
        </row>
        <row r="3115">
          <cell r="A3115">
            <v>31801109</v>
          </cell>
          <cell r="B3115" t="str">
            <v>3.1.8.01.109</v>
          </cell>
          <cell r="C3115" t="str">
            <v>Receitas de Ganhos de Polarização</v>
          </cell>
        </row>
        <row r="3116">
          <cell r="A3116">
            <v>31801198</v>
          </cell>
          <cell r="B3116" t="str">
            <v>3.1.8.01.198</v>
          </cell>
          <cell r="C3116" t="str">
            <v>Transferencia para Diferido</v>
          </cell>
        </row>
        <row r="3117">
          <cell r="A3117">
            <v>31801199</v>
          </cell>
          <cell r="B3117" t="str">
            <v>3.1.8.01.199</v>
          </cell>
          <cell r="C3117" t="str">
            <v>Transferencia para Resultado</v>
          </cell>
        </row>
        <row r="3118">
          <cell r="A3118">
            <v>32000000</v>
          </cell>
          <cell r="B3118" t="str">
            <v>3.2.0.00.000</v>
          </cell>
          <cell r="C3118" t="str">
            <v>RESULTADOS NAO OPERACIONAIS</v>
          </cell>
        </row>
        <row r="3119">
          <cell r="A3119">
            <v>32100000</v>
          </cell>
          <cell r="B3119" t="str">
            <v>3.2.1.00.000</v>
          </cell>
          <cell r="C3119" t="str">
            <v>GANHOS E PERDAS DE CAPITAL</v>
          </cell>
        </row>
        <row r="3120">
          <cell r="A3120">
            <v>32101000</v>
          </cell>
          <cell r="B3120" t="str">
            <v>3.2.1.01.000</v>
          </cell>
          <cell r="C3120" t="str">
            <v>VALORES ATIVO IMOBILIZADO</v>
          </cell>
        </row>
        <row r="3121">
          <cell r="A3121">
            <v>32101100</v>
          </cell>
          <cell r="B3121" t="str">
            <v>3.2.1.01.100</v>
          </cell>
          <cell r="C3121" t="str">
            <v>VALORES ATIVO IMOBILIZADO</v>
          </cell>
        </row>
        <row r="3122">
          <cell r="A3122">
            <v>32101101</v>
          </cell>
          <cell r="B3122" t="str">
            <v>3.2.1.01.101</v>
          </cell>
          <cell r="C3122" t="str">
            <v>(-) Baixas De Bens</v>
          </cell>
        </row>
        <row r="3123">
          <cell r="A3123">
            <v>32101102</v>
          </cell>
          <cell r="B3123" t="str">
            <v>3.2.1.01.102</v>
          </cell>
          <cell r="C3123" t="str">
            <v>(-) Custos Bens Vendidos</v>
          </cell>
        </row>
        <row r="3124">
          <cell r="A3124">
            <v>32101103</v>
          </cell>
          <cell r="B3124" t="str">
            <v>3.2.1.01.103</v>
          </cell>
          <cell r="C3124" t="str">
            <v>Valor Bruto Das Vendas</v>
          </cell>
        </row>
        <row r="3125">
          <cell r="A3125">
            <v>32101104</v>
          </cell>
          <cell r="B3125" t="str">
            <v>3.2.1.01.104</v>
          </cell>
          <cell r="C3125" t="str">
            <v>Perdas De Investimentos</v>
          </cell>
        </row>
        <row r="3126">
          <cell r="A3126">
            <v>32101105</v>
          </cell>
          <cell r="B3126" t="str">
            <v>3.2.1.01.105</v>
          </cell>
          <cell r="C3126" t="str">
            <v>Equivalencia Patrimonial</v>
          </cell>
        </row>
        <row r="3127">
          <cell r="A3127">
            <v>32101106</v>
          </cell>
          <cell r="B3127" t="str">
            <v>3.2.1.01.106</v>
          </cell>
          <cell r="C3127" t="str">
            <v>Credito de IPI</v>
          </cell>
        </row>
        <row r="3128">
          <cell r="A3128">
            <v>32101107</v>
          </cell>
          <cell r="B3128" t="str">
            <v>3.2.1.01.107</v>
          </cell>
          <cell r="C3128" t="str">
            <v>Provisão passiva de IPI</v>
          </cell>
        </row>
        <row r="3129">
          <cell r="A3129">
            <v>32101108</v>
          </cell>
          <cell r="B3129" t="str">
            <v>3.2.1.01.108</v>
          </cell>
          <cell r="C3129" t="str">
            <v>(-) Baixa de ágio</v>
          </cell>
        </row>
        <row r="3130">
          <cell r="A3130">
            <v>32101109</v>
          </cell>
          <cell r="B3130" t="str">
            <v>3.2.1.01.109</v>
          </cell>
          <cell r="C3130" t="str">
            <v>Venda/Indeniz. Ativo Biologico</v>
          </cell>
        </row>
        <row r="3131">
          <cell r="A3131">
            <v>32101110</v>
          </cell>
          <cell r="B3131" t="str">
            <v>3.2.1.01.110</v>
          </cell>
          <cell r="C3131" t="str">
            <v>(-) Bxa Ativo biologico</v>
          </cell>
        </row>
        <row r="3132">
          <cell r="A3132">
            <v>32101198</v>
          </cell>
          <cell r="B3132" t="str">
            <v>3.2.1.01.198</v>
          </cell>
          <cell r="C3132" t="str">
            <v>Transferencia para Diferido</v>
          </cell>
        </row>
        <row r="3133">
          <cell r="A3133">
            <v>32101199</v>
          </cell>
          <cell r="B3133" t="str">
            <v>3.2.1.01.199</v>
          </cell>
          <cell r="C3133" t="str">
            <v>Transferencia para Resultado</v>
          </cell>
        </row>
        <row r="3134">
          <cell r="A3134">
            <v>32200000</v>
          </cell>
          <cell r="B3134" t="str">
            <v>3.2.2.00.000</v>
          </cell>
          <cell r="C3134" t="str">
            <v>RECEITAS NAO TRIBUTAVEIS</v>
          </cell>
        </row>
        <row r="3135">
          <cell r="A3135">
            <v>32201000</v>
          </cell>
          <cell r="B3135" t="str">
            <v>3.2.2.01.000</v>
          </cell>
          <cell r="C3135" t="str">
            <v>RECEITAS DE INVESTIMENTOS</v>
          </cell>
        </row>
        <row r="3136">
          <cell r="A3136">
            <v>32201100</v>
          </cell>
          <cell r="B3136" t="str">
            <v>3.2.2.01.100</v>
          </cell>
          <cell r="C3136" t="str">
            <v>RECEITAS DE INVESTIMENTOS</v>
          </cell>
        </row>
        <row r="3137">
          <cell r="A3137">
            <v>32201101</v>
          </cell>
          <cell r="B3137" t="str">
            <v>3.2.2.01.101</v>
          </cell>
          <cell r="C3137" t="str">
            <v>Açoes Bonificadas</v>
          </cell>
        </row>
        <row r="3138">
          <cell r="A3138">
            <v>32201102</v>
          </cell>
          <cell r="B3138" t="str">
            <v>3.2.2.01.102</v>
          </cell>
          <cell r="C3138" t="str">
            <v>Dividendos Recebidos</v>
          </cell>
        </row>
        <row r="3139">
          <cell r="A3139">
            <v>32201199</v>
          </cell>
          <cell r="B3139" t="str">
            <v>3.2.2.01.199</v>
          </cell>
          <cell r="C3139" t="str">
            <v>Transf para o Resultado</v>
          </cell>
        </row>
        <row r="3140">
          <cell r="A3140">
            <v>32201200</v>
          </cell>
          <cell r="B3140" t="str">
            <v>3.2.2.01.200</v>
          </cell>
          <cell r="C3140" t="str">
            <v>REVERSAO DE PROVISOES</v>
          </cell>
        </row>
        <row r="3141">
          <cell r="A3141">
            <v>32201201</v>
          </cell>
          <cell r="B3141" t="str">
            <v>3.2.2.01.201</v>
          </cell>
          <cell r="C3141" t="str">
            <v>Provisão p/Depreciações</v>
          </cell>
        </row>
        <row r="3142">
          <cell r="A3142">
            <v>32201202</v>
          </cell>
          <cell r="B3142" t="str">
            <v>3.2.2.01.202</v>
          </cell>
          <cell r="C3142" t="str">
            <v>Provisão p/Perdas Estoques</v>
          </cell>
        </row>
        <row r="3143">
          <cell r="A3143">
            <v>32201203</v>
          </cell>
          <cell r="B3143" t="str">
            <v>3.2.2.01.203</v>
          </cell>
          <cell r="C3143" t="str">
            <v>Amortização do Agio Controlada</v>
          </cell>
        </row>
        <row r="3144">
          <cell r="A3144">
            <v>32201299</v>
          </cell>
          <cell r="B3144" t="str">
            <v>3.2.2.01.299</v>
          </cell>
          <cell r="C3144" t="str">
            <v>Transf. para o Resultado</v>
          </cell>
        </row>
        <row r="3145">
          <cell r="A3145">
            <v>32201300</v>
          </cell>
          <cell r="B3145" t="str">
            <v>3.2.2.01.300</v>
          </cell>
          <cell r="C3145" t="str">
            <v>PROVISOES</v>
          </cell>
        </row>
        <row r="3146">
          <cell r="A3146">
            <v>32201301</v>
          </cell>
          <cell r="B3146" t="str">
            <v>3.2.2.01.301</v>
          </cell>
          <cell r="C3146" t="str">
            <v>Provisão Irpj/Cssl Res.Reavaliação</v>
          </cell>
        </row>
        <row r="3147">
          <cell r="A3147">
            <v>32201302</v>
          </cell>
          <cell r="B3147" t="str">
            <v>3.2.2.01.302</v>
          </cell>
          <cell r="C3147" t="str">
            <v>Provisão Irpj/Cssl</v>
          </cell>
        </row>
        <row r="3148">
          <cell r="A3148">
            <v>32201303</v>
          </cell>
          <cell r="B3148" t="str">
            <v>3.2.2.01.303</v>
          </cell>
          <cell r="C3148" t="str">
            <v>Provisão Irpj/Cssl s/Prej.Acum.</v>
          </cell>
        </row>
        <row r="3149">
          <cell r="A3149">
            <v>32201304</v>
          </cell>
          <cell r="B3149" t="str">
            <v>3.2.2.01.304</v>
          </cell>
          <cell r="C3149" t="str">
            <v>Provisão Irpj</v>
          </cell>
        </row>
        <row r="3150">
          <cell r="A3150">
            <v>32201305</v>
          </cell>
          <cell r="B3150" t="str">
            <v>3.2.2.01.305</v>
          </cell>
          <cell r="C3150" t="str">
            <v>Provisão Cssl</v>
          </cell>
        </row>
        <row r="3151">
          <cell r="A3151">
            <v>32201399</v>
          </cell>
          <cell r="B3151" t="str">
            <v>3.2.2.01.399</v>
          </cell>
          <cell r="C3151" t="str">
            <v>Transf. para o Resultado</v>
          </cell>
        </row>
        <row r="3152">
          <cell r="A3152">
            <v>33000000</v>
          </cell>
          <cell r="B3152" t="str">
            <v>3.3.0.00.000</v>
          </cell>
          <cell r="C3152" t="str">
            <v>RESULTADO CORRECAO MONET.BALANCO</v>
          </cell>
        </row>
        <row r="3153">
          <cell r="A3153">
            <v>33100000</v>
          </cell>
          <cell r="B3153" t="str">
            <v>3.3.1.00.000</v>
          </cell>
          <cell r="C3153" t="str">
            <v>CORRECAO MONETARIA DE BALANCO</v>
          </cell>
        </row>
        <row r="3154">
          <cell r="A3154">
            <v>33101000</v>
          </cell>
          <cell r="B3154" t="str">
            <v>3.3.1.01.000</v>
          </cell>
          <cell r="C3154" t="str">
            <v>CORRECAO DE VALORES</v>
          </cell>
        </row>
        <row r="3155">
          <cell r="A3155">
            <v>33101100</v>
          </cell>
          <cell r="B3155" t="str">
            <v>3.3.1.01.100</v>
          </cell>
          <cell r="C3155" t="str">
            <v>CORRECAO DE VALORES</v>
          </cell>
        </row>
        <row r="3156">
          <cell r="A3156">
            <v>33101101</v>
          </cell>
          <cell r="B3156" t="str">
            <v>3.3.1.01.101</v>
          </cell>
          <cell r="C3156" t="str">
            <v>Correção Monet.De Investimentos</v>
          </cell>
        </row>
        <row r="3157">
          <cell r="A3157">
            <v>33101102</v>
          </cell>
          <cell r="B3157" t="str">
            <v>3.3.1.01.102</v>
          </cell>
          <cell r="C3157" t="str">
            <v>Correção Monet.Do Imobilizado</v>
          </cell>
        </row>
        <row r="3158">
          <cell r="A3158">
            <v>33101103</v>
          </cell>
          <cell r="B3158" t="str">
            <v>3.3.1.01.103</v>
          </cell>
          <cell r="C3158" t="str">
            <v>Correção Monet.Do Diferido</v>
          </cell>
        </row>
        <row r="3159">
          <cell r="A3159">
            <v>33101104</v>
          </cell>
          <cell r="B3159" t="str">
            <v>3.3.1.01.104</v>
          </cell>
          <cell r="C3159" t="str">
            <v>Correção Monet.De Mutuos</v>
          </cell>
        </row>
        <row r="3160">
          <cell r="A3160">
            <v>33101105</v>
          </cell>
          <cell r="B3160" t="str">
            <v>3.3.1.01.105</v>
          </cell>
          <cell r="C3160" t="str">
            <v>Correção Monet.Do Patrimonio Liq.</v>
          </cell>
        </row>
        <row r="3161">
          <cell r="A3161">
            <v>33101106</v>
          </cell>
          <cell r="B3161" t="str">
            <v>3.3.1.01.106</v>
          </cell>
          <cell r="C3161" t="str">
            <v>Correção Monet. do Imobilizado - IFRS</v>
          </cell>
        </row>
        <row r="3162">
          <cell r="A3162">
            <v>34000000</v>
          </cell>
          <cell r="B3162" t="str">
            <v>3.4.0.00.000</v>
          </cell>
          <cell r="C3162" t="str">
            <v>ENCERRAMENTO DO EXERCICIO</v>
          </cell>
        </row>
        <row r="3163">
          <cell r="A3163">
            <v>34100000</v>
          </cell>
          <cell r="B3163" t="str">
            <v>3.4.1.00.000</v>
          </cell>
          <cell r="C3163" t="str">
            <v>CONTAS DE RESULTADO</v>
          </cell>
        </row>
        <row r="3164">
          <cell r="A3164">
            <v>34101000</v>
          </cell>
          <cell r="B3164" t="str">
            <v>3.4.1.01.000</v>
          </cell>
          <cell r="C3164" t="str">
            <v>RESULTADO DO EXERCICIO</v>
          </cell>
        </row>
        <row r="3165">
          <cell r="A3165">
            <v>34101100</v>
          </cell>
          <cell r="B3165" t="str">
            <v>3.4.1.01.100</v>
          </cell>
          <cell r="C3165" t="str">
            <v>RESULTADO DO EXERCICIO</v>
          </cell>
        </row>
        <row r="3166">
          <cell r="A3166">
            <v>34101101</v>
          </cell>
          <cell r="B3166" t="str">
            <v>3.4.1.01.101</v>
          </cell>
          <cell r="C3166" t="str">
            <v>Lucro/Prejuizo Liquido</v>
          </cell>
        </row>
        <row r="3167">
          <cell r="A3167">
            <v>34101102</v>
          </cell>
          <cell r="B3167" t="str">
            <v>3.4.1.01.102</v>
          </cell>
          <cell r="C3167" t="str">
            <v>Prejuizo/Lucro Do Exercício</v>
          </cell>
        </row>
        <row r="3168">
          <cell r="A3168">
            <v>34101200</v>
          </cell>
          <cell r="B3168" t="str">
            <v>3.4.1.01.200</v>
          </cell>
          <cell r="C3168" t="str">
            <v>DISTRIBUICAO DO RESULTADO EXERCICIO</v>
          </cell>
        </row>
        <row r="3169">
          <cell r="A3169">
            <v>34101201</v>
          </cell>
          <cell r="B3169" t="str">
            <v>3.4.1.01.201</v>
          </cell>
          <cell r="C3169" t="str">
            <v>Participações Administradores</v>
          </cell>
        </row>
        <row r="3170">
          <cell r="A3170">
            <v>34101202</v>
          </cell>
          <cell r="B3170" t="str">
            <v>3.4.1.01.202</v>
          </cell>
          <cell r="C3170" t="str">
            <v>Participações Empregados</v>
          </cell>
        </row>
        <row r="3171">
          <cell r="A3171">
            <v>39000000</v>
          </cell>
          <cell r="B3171" t="str">
            <v>3.9.0.00.000</v>
          </cell>
          <cell r="C3171" t="str">
            <v>TRANSFERENCIA P/ APURAÇÃO DO RESULTADO</v>
          </cell>
        </row>
        <row r="3172">
          <cell r="A3172">
            <v>39100000</v>
          </cell>
          <cell r="B3172" t="str">
            <v>3.9.1.00.000</v>
          </cell>
          <cell r="C3172" t="str">
            <v>TRANSFERENCIA P/ APURAÇÃO DO RESULTADO</v>
          </cell>
        </row>
        <row r="3173">
          <cell r="A3173">
            <v>39101000</v>
          </cell>
          <cell r="B3173" t="str">
            <v>3.9.1.01.000</v>
          </cell>
          <cell r="C3173" t="str">
            <v>TRANSFERENCIA P/ APURAÇÃO DO RESULTADO</v>
          </cell>
        </row>
        <row r="3174">
          <cell r="A3174">
            <v>39101100</v>
          </cell>
          <cell r="B3174" t="str">
            <v>3.9.1.01.100</v>
          </cell>
          <cell r="C3174" t="str">
            <v>TRANSFERENCIA P/ APURAÇÃO DO RESULTADO</v>
          </cell>
        </row>
        <row r="3175">
          <cell r="A3175">
            <v>39101199</v>
          </cell>
          <cell r="B3175" t="str">
            <v>3.9.1.01.199</v>
          </cell>
          <cell r="C3175" t="str">
            <v>Transferencia p/ Apuração do Resultado</v>
          </cell>
        </row>
        <row r="3176">
          <cell r="A3176">
            <v>40000000</v>
          </cell>
          <cell r="B3176" t="str">
            <v>4.0.0.00.000</v>
          </cell>
          <cell r="C3176" t="str">
            <v>COMERCIALIZACAO DE PROD.E MERCAD.</v>
          </cell>
        </row>
        <row r="3177">
          <cell r="A3177">
            <v>41000000</v>
          </cell>
          <cell r="B3177" t="str">
            <v>4.1.0.00.000</v>
          </cell>
          <cell r="C3177" t="str">
            <v>COMERCIALIZACAO DE ACUCAR</v>
          </cell>
        </row>
        <row r="3178">
          <cell r="A3178">
            <v>41100000</v>
          </cell>
          <cell r="B3178" t="str">
            <v>4.1.1.00.000</v>
          </cell>
          <cell r="C3178" t="str">
            <v>MERCADO INTERNO/EXTERNO</v>
          </cell>
        </row>
        <row r="3179">
          <cell r="A3179">
            <v>41101000</v>
          </cell>
          <cell r="B3179" t="str">
            <v>4.1.1.01.000</v>
          </cell>
          <cell r="C3179" t="str">
            <v>VENDAS DE PRODUTOS MERC.INT./EXT.</v>
          </cell>
        </row>
        <row r="3180">
          <cell r="A3180">
            <v>41101100</v>
          </cell>
          <cell r="B3180" t="str">
            <v>4.1.1.01.100</v>
          </cell>
          <cell r="C3180" t="str">
            <v>VENDAS DE PRODUTOS MERC.INT./EXT.</v>
          </cell>
        </row>
        <row r="3181">
          <cell r="A3181">
            <v>41101101</v>
          </cell>
          <cell r="B3181" t="str">
            <v>4.1.1.01.101</v>
          </cell>
          <cell r="C3181" t="str">
            <v>Acucar Mercado Interno</v>
          </cell>
        </row>
        <row r="3182">
          <cell r="A3182">
            <v>41101102</v>
          </cell>
          <cell r="B3182" t="str">
            <v>4.1.1.01.102</v>
          </cell>
          <cell r="C3182" t="str">
            <v>Acucar Mercado Externo</v>
          </cell>
        </row>
        <row r="3183">
          <cell r="A3183">
            <v>41101104</v>
          </cell>
          <cell r="B3183" t="str">
            <v>4.1.1.01.104</v>
          </cell>
          <cell r="C3183" t="str">
            <v>Bonificacao de Acucar</v>
          </cell>
        </row>
        <row r="3184">
          <cell r="A3184">
            <v>41101105</v>
          </cell>
          <cell r="B3184" t="str">
            <v>4.1.1.01.105</v>
          </cell>
          <cell r="C3184" t="str">
            <v>Farelo de Soja</v>
          </cell>
        </row>
        <row r="3185">
          <cell r="A3185">
            <v>41101106</v>
          </cell>
          <cell r="B3185" t="str">
            <v>4.1.1.01.106</v>
          </cell>
          <cell r="C3185" t="str">
            <v>Milho a Granel</v>
          </cell>
        </row>
        <row r="3186">
          <cell r="A3186">
            <v>41101200</v>
          </cell>
          <cell r="B3186" t="str">
            <v>4.1.1.01.200</v>
          </cell>
          <cell r="C3186" t="str">
            <v>IMPOSTOS INCIDENTES S/VENDAS</v>
          </cell>
        </row>
        <row r="3187">
          <cell r="A3187">
            <v>41101201</v>
          </cell>
          <cell r="B3187" t="str">
            <v>4.1.1.01.201</v>
          </cell>
          <cell r="C3187" t="str">
            <v>Cofins</v>
          </cell>
        </row>
        <row r="3188">
          <cell r="A3188">
            <v>41101202</v>
          </cell>
          <cell r="B3188" t="str">
            <v>4.1.1.01.202</v>
          </cell>
          <cell r="C3188" t="str">
            <v>Pis</v>
          </cell>
        </row>
        <row r="3189">
          <cell r="A3189">
            <v>41101203</v>
          </cell>
          <cell r="B3189" t="str">
            <v>4.1.1.01.203</v>
          </cell>
          <cell r="C3189" t="str">
            <v>Inss s/ Faturamento</v>
          </cell>
        </row>
        <row r="3190">
          <cell r="A3190">
            <v>41101204</v>
          </cell>
          <cell r="B3190" t="str">
            <v>4.1.1.01.204</v>
          </cell>
          <cell r="C3190" t="str">
            <v>Icms</v>
          </cell>
        </row>
        <row r="3191">
          <cell r="A3191">
            <v>41101205</v>
          </cell>
          <cell r="B3191" t="str">
            <v>4.1.1.01.205</v>
          </cell>
          <cell r="C3191" t="str">
            <v>Ipi</v>
          </cell>
        </row>
        <row r="3192">
          <cell r="A3192">
            <v>41101206</v>
          </cell>
          <cell r="B3192" t="str">
            <v>4.1.1.01.206</v>
          </cell>
          <cell r="C3192" t="str">
            <v>Issqn sobre serviços</v>
          </cell>
        </row>
        <row r="3193">
          <cell r="A3193">
            <v>41101207</v>
          </cell>
          <cell r="B3193" t="str">
            <v>4.1.1.01.207</v>
          </cell>
          <cell r="C3193" t="str">
            <v>Funrural</v>
          </cell>
        </row>
        <row r="3194">
          <cell r="A3194">
            <v>41101208</v>
          </cell>
          <cell r="B3194" t="str">
            <v>4.1.1.01.208</v>
          </cell>
          <cell r="C3194" t="str">
            <v>(-) IPI s/ faturamento antecipado</v>
          </cell>
        </row>
        <row r="3195">
          <cell r="A3195">
            <v>41101209</v>
          </cell>
          <cell r="B3195" t="str">
            <v>4.1.1.01.209</v>
          </cell>
          <cell r="C3195" t="str">
            <v>FAI - Fundo Estad Apoio Industrialização</v>
          </cell>
        </row>
        <row r="3196">
          <cell r="A3196">
            <v>41101300</v>
          </cell>
          <cell r="B3196" t="str">
            <v>4.1.1.01.300</v>
          </cell>
          <cell r="C3196" t="str">
            <v>DESPESAS C/VENDAS</v>
          </cell>
        </row>
        <row r="3197">
          <cell r="A3197">
            <v>41101301</v>
          </cell>
          <cell r="B3197" t="str">
            <v>4.1.1.01.301</v>
          </cell>
          <cell r="C3197" t="str">
            <v>Comissoes / Corretagens e Servicos</v>
          </cell>
        </row>
        <row r="3198">
          <cell r="A3198">
            <v>41101302</v>
          </cell>
          <cell r="B3198" t="str">
            <v>4.1.1.01.302</v>
          </cell>
          <cell r="C3198" t="str">
            <v>Fretes e Carretos - Acucar</v>
          </cell>
        </row>
        <row r="3199">
          <cell r="A3199">
            <v>41101303</v>
          </cell>
          <cell r="B3199" t="str">
            <v>4.1.1.01.303</v>
          </cell>
          <cell r="C3199" t="str">
            <v>Custo Elevacao Acucar</v>
          </cell>
        </row>
        <row r="3200">
          <cell r="A3200">
            <v>41101304</v>
          </cell>
          <cell r="B3200" t="str">
            <v>4.1.1.01.304</v>
          </cell>
          <cell r="C3200" t="str">
            <v>Armazenagem</v>
          </cell>
        </row>
        <row r="3201">
          <cell r="A3201">
            <v>41101305</v>
          </cell>
          <cell r="B3201" t="str">
            <v>4.1.1.01.305</v>
          </cell>
          <cell r="C3201" t="str">
            <v>Alugueis e Locacoes</v>
          </cell>
        </row>
        <row r="3202">
          <cell r="A3202">
            <v>41101306</v>
          </cell>
          <cell r="B3202" t="str">
            <v>4.1.1.01.306</v>
          </cell>
          <cell r="C3202" t="str">
            <v>Seguros de Cambio</v>
          </cell>
        </row>
        <row r="3203">
          <cell r="A3203">
            <v>41101307</v>
          </cell>
          <cell r="B3203" t="str">
            <v>4.1.1.01.307</v>
          </cell>
          <cell r="C3203" t="str">
            <v>Quebra de Açucar</v>
          </cell>
        </row>
        <row r="3204">
          <cell r="A3204">
            <v>41101308</v>
          </cell>
          <cell r="B3204" t="str">
            <v>4.1.1.01.308</v>
          </cell>
          <cell r="C3204" t="str">
            <v>Serviços Profissionais - Juridica</v>
          </cell>
        </row>
        <row r="3205">
          <cell r="A3205">
            <v>41101309</v>
          </cell>
          <cell r="B3205" t="str">
            <v>4.1.1.01.309</v>
          </cell>
          <cell r="C3205" t="str">
            <v>Serviços Profissionais - Fisica</v>
          </cell>
        </row>
        <row r="3206">
          <cell r="A3206">
            <v>41101400</v>
          </cell>
          <cell r="B3206" t="str">
            <v>4.1.1.01.400</v>
          </cell>
          <cell r="C3206" t="str">
            <v>CUSTOS DOS PRODUTOS VENDIDOS</v>
          </cell>
        </row>
        <row r="3207">
          <cell r="A3207">
            <v>41101401</v>
          </cell>
          <cell r="B3207" t="str">
            <v>4.1.1.01.401</v>
          </cell>
          <cell r="C3207" t="str">
            <v>Acucar VHP</v>
          </cell>
        </row>
        <row r="3208">
          <cell r="A3208">
            <v>41101403</v>
          </cell>
          <cell r="B3208" t="str">
            <v>4.1.1.01.403</v>
          </cell>
          <cell r="C3208" t="str">
            <v>Acucar VHP - Entressafra</v>
          </cell>
        </row>
        <row r="3209">
          <cell r="A3209">
            <v>41101405</v>
          </cell>
          <cell r="B3209" t="str">
            <v>4.1.1.01.405</v>
          </cell>
          <cell r="C3209" t="str">
            <v>Farelo de Soja</v>
          </cell>
        </row>
        <row r="3210">
          <cell r="A3210">
            <v>41101406</v>
          </cell>
          <cell r="B3210" t="str">
            <v>4.1.1.01.406</v>
          </cell>
          <cell r="C3210" t="str">
            <v>Recuperacao Pis Lei 10833</v>
          </cell>
        </row>
        <row r="3211">
          <cell r="A3211">
            <v>41101407</v>
          </cell>
          <cell r="B3211" t="str">
            <v>4.1.1.01.407</v>
          </cell>
          <cell r="C3211" t="str">
            <v>Recuperacao Cofins Lei 10833</v>
          </cell>
        </row>
        <row r="3212">
          <cell r="A3212">
            <v>41101408</v>
          </cell>
          <cell r="B3212" t="str">
            <v>4.1.1.01.408</v>
          </cell>
          <cell r="C3212" t="str">
            <v>Cana de Açucar</v>
          </cell>
        </row>
        <row r="3213">
          <cell r="A3213">
            <v>41101409</v>
          </cell>
          <cell r="B3213" t="str">
            <v>4.1.1.01.409</v>
          </cell>
          <cell r="C3213" t="str">
            <v>Milho em Grão</v>
          </cell>
        </row>
        <row r="3214">
          <cell r="A3214">
            <v>41101500</v>
          </cell>
          <cell r="B3214" t="str">
            <v>4.1.1.01.500</v>
          </cell>
          <cell r="C3214" t="str">
            <v>DEDUCOES DAS RECEITAS C/VENDAS</v>
          </cell>
        </row>
        <row r="3215">
          <cell r="A3215">
            <v>41101501</v>
          </cell>
          <cell r="B3215" t="str">
            <v>4.1.1.01.501</v>
          </cell>
          <cell r="C3215" t="str">
            <v>(-) Devolucoes</v>
          </cell>
        </row>
        <row r="3216">
          <cell r="A3216">
            <v>42000000</v>
          </cell>
          <cell r="B3216" t="str">
            <v>4.2.0.00.000</v>
          </cell>
          <cell r="C3216" t="str">
            <v>COMERCIALIZACAO DE ALCOOL</v>
          </cell>
        </row>
        <row r="3217">
          <cell r="A3217">
            <v>42100000</v>
          </cell>
          <cell r="B3217" t="str">
            <v>4.2.1.00.000</v>
          </cell>
          <cell r="C3217" t="str">
            <v>MERCADO INTERNO/EXTERNO</v>
          </cell>
        </row>
        <row r="3218">
          <cell r="A3218">
            <v>42101000</v>
          </cell>
          <cell r="B3218" t="str">
            <v>4.2.1.01.000</v>
          </cell>
          <cell r="C3218" t="str">
            <v>RECEITA BRUTA DE VENDA</v>
          </cell>
        </row>
        <row r="3219">
          <cell r="A3219">
            <v>42101100</v>
          </cell>
          <cell r="B3219" t="str">
            <v>4.2.1.01.100</v>
          </cell>
          <cell r="C3219" t="str">
            <v>RECEITA BRUTA DE VENDA</v>
          </cell>
        </row>
        <row r="3220">
          <cell r="A3220">
            <v>42101101</v>
          </cell>
          <cell r="B3220" t="str">
            <v>4.2.1.01.101</v>
          </cell>
          <cell r="C3220" t="str">
            <v>Alcool Hidr.Carburante Merc.Int.</v>
          </cell>
        </row>
        <row r="3221">
          <cell r="A3221">
            <v>42101102</v>
          </cell>
          <cell r="B3221" t="str">
            <v>4.2.1.01.102</v>
          </cell>
          <cell r="C3221" t="str">
            <v>Alcool Hidrat.Carbur.Merc.Ext.</v>
          </cell>
        </row>
        <row r="3222">
          <cell r="A3222">
            <v>42101104</v>
          </cell>
          <cell r="B3222" t="str">
            <v>4.2.1.01.104</v>
          </cell>
          <cell r="C3222" t="str">
            <v>Alcool Hidratado Outros Fins</v>
          </cell>
        </row>
        <row r="3223">
          <cell r="A3223">
            <v>42101106</v>
          </cell>
          <cell r="B3223" t="str">
            <v>4.2.1.01.106</v>
          </cell>
          <cell r="C3223" t="str">
            <v>Alcool Anidro Carburante Merc.Int.</v>
          </cell>
        </row>
        <row r="3224">
          <cell r="A3224">
            <v>42101107</v>
          </cell>
          <cell r="B3224" t="str">
            <v>4.2.1.01.107</v>
          </cell>
          <cell r="C3224" t="str">
            <v>Alcool Anidro Merc. Externo</v>
          </cell>
        </row>
        <row r="3225">
          <cell r="A3225">
            <v>42101108</v>
          </cell>
          <cell r="B3225" t="str">
            <v>4.2.1.01.108</v>
          </cell>
          <cell r="C3225" t="str">
            <v>Alcool Anidro outros fins</v>
          </cell>
        </row>
        <row r="3226">
          <cell r="A3226">
            <v>42101200</v>
          </cell>
          <cell r="B3226" t="str">
            <v>4.2.1.01.200</v>
          </cell>
          <cell r="C3226" t="str">
            <v>IMPOSTOS INCIDENTES S/VENDAS</v>
          </cell>
        </row>
        <row r="3227">
          <cell r="A3227">
            <v>42101201</v>
          </cell>
          <cell r="B3227" t="str">
            <v>4.2.1.01.201</v>
          </cell>
          <cell r="C3227" t="str">
            <v>Cofins</v>
          </cell>
        </row>
        <row r="3228">
          <cell r="A3228">
            <v>42101202</v>
          </cell>
          <cell r="B3228" t="str">
            <v>4.2.1.01.202</v>
          </cell>
          <cell r="C3228" t="str">
            <v>Pis</v>
          </cell>
        </row>
        <row r="3229">
          <cell r="A3229">
            <v>42101203</v>
          </cell>
          <cell r="B3229" t="str">
            <v>4.2.1.01.203</v>
          </cell>
          <cell r="C3229" t="str">
            <v>Icms</v>
          </cell>
        </row>
        <row r="3230">
          <cell r="A3230">
            <v>42101204</v>
          </cell>
          <cell r="B3230" t="str">
            <v>4.2.1.01.204</v>
          </cell>
          <cell r="C3230" t="str">
            <v>Ipi</v>
          </cell>
        </row>
        <row r="3231">
          <cell r="A3231">
            <v>42101205</v>
          </cell>
          <cell r="B3231" t="str">
            <v>4.2.1.01.205</v>
          </cell>
          <cell r="C3231" t="str">
            <v>Issq sobre Serviços</v>
          </cell>
        </row>
        <row r="3232">
          <cell r="A3232">
            <v>42101206</v>
          </cell>
          <cell r="B3232" t="str">
            <v>4.2.1.01.206</v>
          </cell>
          <cell r="C3232" t="str">
            <v>Abatimentos Concedidos</v>
          </cell>
        </row>
        <row r="3233">
          <cell r="A3233">
            <v>42101207</v>
          </cell>
          <cell r="B3233" t="str">
            <v>4.2.1.01.207</v>
          </cell>
          <cell r="C3233" t="str">
            <v>Funrural</v>
          </cell>
        </row>
        <row r="3234">
          <cell r="A3234">
            <v>42101208</v>
          </cell>
          <cell r="B3234" t="str">
            <v>4.2.1.01.208</v>
          </cell>
          <cell r="C3234" t="str">
            <v>C.I.D.E Lei 10.336/01</v>
          </cell>
        </row>
        <row r="3235">
          <cell r="A3235">
            <v>42101209</v>
          </cell>
          <cell r="B3235" t="str">
            <v>4.2.1.01.209</v>
          </cell>
          <cell r="C3235" t="str">
            <v>(-) Pis/Cofins Dedução Cide</v>
          </cell>
        </row>
        <row r="3236">
          <cell r="A3236">
            <v>42101210</v>
          </cell>
          <cell r="B3236" t="str">
            <v>4.2.1.01.210</v>
          </cell>
          <cell r="C3236" t="str">
            <v>(-) Credito Presumido ICMS</v>
          </cell>
        </row>
        <row r="3237">
          <cell r="A3237">
            <v>42101211</v>
          </cell>
          <cell r="B3237" t="str">
            <v>4.2.1.01.211</v>
          </cell>
          <cell r="C3237" t="str">
            <v>Inss s/faturamento</v>
          </cell>
        </row>
        <row r="3238">
          <cell r="A3238">
            <v>42101300</v>
          </cell>
          <cell r="B3238" t="str">
            <v>4.2.1.01.300</v>
          </cell>
          <cell r="C3238" t="str">
            <v>DESPESAS C/VENDAS</v>
          </cell>
        </row>
        <row r="3239">
          <cell r="A3239">
            <v>42101301</v>
          </cell>
          <cell r="B3239" t="str">
            <v>4.2.1.01.301</v>
          </cell>
          <cell r="C3239" t="str">
            <v>Comissoes / Corretagens</v>
          </cell>
        </row>
        <row r="3240">
          <cell r="A3240">
            <v>42101302</v>
          </cell>
          <cell r="B3240" t="str">
            <v>4.2.1.01.302</v>
          </cell>
          <cell r="C3240" t="str">
            <v>Fretes e Carretos - Alcool</v>
          </cell>
        </row>
        <row r="3241">
          <cell r="A3241">
            <v>42101303</v>
          </cell>
          <cell r="B3241" t="str">
            <v>4.2.1.01.303</v>
          </cell>
          <cell r="C3241" t="str">
            <v>ICMS s/Fretes e Carretos</v>
          </cell>
        </row>
        <row r="3242">
          <cell r="A3242">
            <v>42101304</v>
          </cell>
          <cell r="B3242" t="str">
            <v>4.2.1.01.304</v>
          </cell>
          <cell r="C3242" t="str">
            <v>Custo de elevação</v>
          </cell>
        </row>
        <row r="3243">
          <cell r="A3243">
            <v>42101305</v>
          </cell>
          <cell r="B3243" t="str">
            <v>4.2.1.01.305</v>
          </cell>
          <cell r="C3243" t="str">
            <v>Quebra de Alcool</v>
          </cell>
        </row>
        <row r="3244">
          <cell r="A3244">
            <v>42101400</v>
          </cell>
          <cell r="B3244" t="str">
            <v>4.2.1.01.400</v>
          </cell>
          <cell r="C3244" t="str">
            <v>CUSTO DOS PRODUTOS VENDIDOS</v>
          </cell>
        </row>
        <row r="3245">
          <cell r="A3245">
            <v>42101401</v>
          </cell>
          <cell r="B3245" t="str">
            <v>4.2.1.01.401</v>
          </cell>
          <cell r="C3245" t="str">
            <v>Alcool Hidratado</v>
          </cell>
        </row>
        <row r="3246">
          <cell r="A3246">
            <v>42101402</v>
          </cell>
          <cell r="B3246" t="str">
            <v>4.2.1.01.402</v>
          </cell>
          <cell r="C3246" t="str">
            <v>Alcool Anidro</v>
          </cell>
        </row>
        <row r="3247">
          <cell r="A3247">
            <v>42101404</v>
          </cell>
          <cell r="B3247" t="str">
            <v>4.2.1.01.404</v>
          </cell>
          <cell r="C3247" t="str">
            <v>Alcool Hidr./Anidro-Entressaf.</v>
          </cell>
        </row>
        <row r="3248">
          <cell r="A3248">
            <v>42101405</v>
          </cell>
          <cell r="B3248" t="str">
            <v>4.2.1.01.405</v>
          </cell>
          <cell r="C3248" t="str">
            <v>Alcool Hidratado safra 01/02</v>
          </cell>
        </row>
        <row r="3249">
          <cell r="A3249">
            <v>42101406</v>
          </cell>
          <cell r="B3249" t="str">
            <v>4.2.1.01.406</v>
          </cell>
          <cell r="C3249" t="str">
            <v>Alcool Anidro  Safra</v>
          </cell>
        </row>
        <row r="3250">
          <cell r="A3250">
            <v>42101407</v>
          </cell>
          <cell r="B3250" t="str">
            <v>4.2.1.01.407</v>
          </cell>
          <cell r="C3250" t="str">
            <v>Recuperação Pis lei 10833</v>
          </cell>
        </row>
        <row r="3251">
          <cell r="A3251">
            <v>42101408</v>
          </cell>
          <cell r="B3251" t="str">
            <v>4.2.1.01.408</v>
          </cell>
          <cell r="C3251" t="str">
            <v>Recuperação Cofins lei 10833</v>
          </cell>
        </row>
        <row r="3252">
          <cell r="A3252">
            <v>42101498</v>
          </cell>
          <cell r="B3252" t="str">
            <v>4.2.1.01.498</v>
          </cell>
          <cell r="C3252" t="str">
            <v>Provisão ajuste de ATR na entressafra</v>
          </cell>
        </row>
        <row r="3253">
          <cell r="A3253">
            <v>42101499</v>
          </cell>
          <cell r="B3253" t="str">
            <v>4.2.1.01.499</v>
          </cell>
          <cell r="C3253" t="str">
            <v>Provisão ajuste estoque ao valor mercado</v>
          </cell>
        </row>
        <row r="3254">
          <cell r="A3254">
            <v>42101500</v>
          </cell>
          <cell r="B3254" t="str">
            <v>4.2.1.01.500</v>
          </cell>
          <cell r="C3254" t="str">
            <v>DEDUCOES DAS RECEITAS C/VENDAS</v>
          </cell>
        </row>
        <row r="3255">
          <cell r="A3255">
            <v>42101501</v>
          </cell>
          <cell r="B3255" t="str">
            <v>4.2.1.01.501</v>
          </cell>
          <cell r="C3255" t="str">
            <v>(-) Devolucoes</v>
          </cell>
        </row>
        <row r="3256">
          <cell r="A3256">
            <v>42101502</v>
          </cell>
          <cell r="B3256" t="str">
            <v>4.2.1.01.502</v>
          </cell>
          <cell r="C3256" t="str">
            <v>Bonificacoes</v>
          </cell>
        </row>
        <row r="3257">
          <cell r="A3257">
            <v>42101503</v>
          </cell>
          <cell r="B3257" t="str">
            <v>4.2.1.01.503</v>
          </cell>
          <cell r="C3257" t="str">
            <v>(-) Abatimentos Concedidos</v>
          </cell>
        </row>
        <row r="3258">
          <cell r="A3258">
            <v>43000000</v>
          </cell>
          <cell r="B3258" t="str">
            <v>4.3.0.00.000</v>
          </cell>
          <cell r="C3258" t="str">
            <v>COMERCIALIZACAO DE SUB-PRODUTOS</v>
          </cell>
        </row>
        <row r="3259">
          <cell r="A3259">
            <v>43100000</v>
          </cell>
          <cell r="B3259" t="str">
            <v>4.3.1.00.000</v>
          </cell>
          <cell r="C3259" t="str">
            <v>VENDAS DE SUB-PRODUTOS</v>
          </cell>
        </row>
        <row r="3260">
          <cell r="A3260">
            <v>43101000</v>
          </cell>
          <cell r="B3260" t="str">
            <v>4.3.1.01.000</v>
          </cell>
          <cell r="C3260" t="str">
            <v>RECEITA BRUTA DE VENDA</v>
          </cell>
        </row>
        <row r="3261">
          <cell r="A3261">
            <v>43101100</v>
          </cell>
          <cell r="B3261" t="str">
            <v>4.3.1.01.100</v>
          </cell>
          <cell r="C3261" t="str">
            <v>RECEITA BRUTA DE VENDA</v>
          </cell>
        </row>
        <row r="3262">
          <cell r="A3262">
            <v>43101101</v>
          </cell>
          <cell r="B3262" t="str">
            <v>4.3.1.01.101</v>
          </cell>
          <cell r="C3262" t="str">
            <v>Bagaco de Cana</v>
          </cell>
        </row>
        <row r="3263">
          <cell r="A3263">
            <v>43101102</v>
          </cell>
          <cell r="B3263" t="str">
            <v>4.3.1.01.102</v>
          </cell>
          <cell r="C3263" t="str">
            <v>Melaço</v>
          </cell>
        </row>
        <row r="3264">
          <cell r="A3264">
            <v>43101103</v>
          </cell>
          <cell r="B3264" t="str">
            <v>4.3.1.01.103</v>
          </cell>
          <cell r="C3264" t="str">
            <v>Oleo Fusel</v>
          </cell>
        </row>
        <row r="3265">
          <cell r="A3265">
            <v>43101104</v>
          </cell>
          <cell r="B3265" t="str">
            <v>4.3.1.01.104</v>
          </cell>
          <cell r="C3265" t="str">
            <v>Levedura</v>
          </cell>
        </row>
        <row r="3266">
          <cell r="A3266">
            <v>43101105</v>
          </cell>
          <cell r="B3266" t="str">
            <v>4.3.1.01.105</v>
          </cell>
          <cell r="C3266" t="str">
            <v>Oleo Queimado</v>
          </cell>
        </row>
        <row r="3267">
          <cell r="A3267">
            <v>43101106</v>
          </cell>
          <cell r="B3267" t="str">
            <v>4.3.1.01.106</v>
          </cell>
          <cell r="C3267" t="str">
            <v>Torta</v>
          </cell>
        </row>
        <row r="3268">
          <cell r="A3268">
            <v>43101200</v>
          </cell>
          <cell r="B3268" t="str">
            <v>4.3.1.01.200</v>
          </cell>
          <cell r="C3268" t="str">
            <v>IMPOSTOS INCIDENTES S/VENDAS</v>
          </cell>
        </row>
        <row r="3269">
          <cell r="A3269">
            <v>43101201</v>
          </cell>
          <cell r="B3269" t="str">
            <v>4.3.1.01.201</v>
          </cell>
          <cell r="C3269" t="str">
            <v>Cofins</v>
          </cell>
        </row>
        <row r="3270">
          <cell r="A3270">
            <v>43101202</v>
          </cell>
          <cell r="B3270" t="str">
            <v>4.3.1.01.202</v>
          </cell>
          <cell r="C3270" t="str">
            <v>Pis</v>
          </cell>
        </row>
        <row r="3271">
          <cell r="A3271">
            <v>43101203</v>
          </cell>
          <cell r="B3271" t="str">
            <v>4.3.1.01.203</v>
          </cell>
          <cell r="C3271" t="str">
            <v>Icms</v>
          </cell>
        </row>
        <row r="3272">
          <cell r="A3272">
            <v>43101204</v>
          </cell>
          <cell r="B3272" t="str">
            <v>4.3.1.01.204</v>
          </cell>
          <cell r="C3272" t="str">
            <v>Ipi</v>
          </cell>
        </row>
        <row r="3273">
          <cell r="A3273">
            <v>43101205</v>
          </cell>
          <cell r="B3273" t="str">
            <v>4.3.1.01.205</v>
          </cell>
          <cell r="C3273" t="str">
            <v>Funrural</v>
          </cell>
        </row>
        <row r="3274">
          <cell r="A3274">
            <v>43101206</v>
          </cell>
          <cell r="B3274" t="str">
            <v>4.3.1.01.206</v>
          </cell>
          <cell r="C3274" t="str">
            <v>Issqn sobre serviços</v>
          </cell>
        </row>
        <row r="3275">
          <cell r="A3275">
            <v>43101207</v>
          </cell>
          <cell r="B3275" t="str">
            <v>4.3.1.01.207</v>
          </cell>
          <cell r="C3275" t="str">
            <v>Inss s/ faturamento</v>
          </cell>
        </row>
        <row r="3276">
          <cell r="A3276">
            <v>43101300</v>
          </cell>
          <cell r="B3276" t="str">
            <v>4.3.1.01.300</v>
          </cell>
          <cell r="C3276" t="str">
            <v>DESPESAS C/VENDAS</v>
          </cell>
        </row>
        <row r="3277">
          <cell r="A3277">
            <v>43101301</v>
          </cell>
          <cell r="B3277" t="str">
            <v>4.3.1.01.301</v>
          </cell>
          <cell r="C3277" t="str">
            <v>Comissoes e Corretagens</v>
          </cell>
        </row>
        <row r="3278">
          <cell r="A3278">
            <v>43101302</v>
          </cell>
          <cell r="B3278" t="str">
            <v>4.3.1.01.302</v>
          </cell>
          <cell r="C3278" t="str">
            <v>Fretes e Carretos</v>
          </cell>
        </row>
        <row r="3279">
          <cell r="A3279">
            <v>43101400</v>
          </cell>
          <cell r="B3279" t="str">
            <v>4.3.1.01.400</v>
          </cell>
          <cell r="C3279" t="str">
            <v>CUSTO DAS VENDAS SUB PRODUTOS</v>
          </cell>
        </row>
        <row r="3280">
          <cell r="A3280">
            <v>43101401</v>
          </cell>
          <cell r="B3280" t="str">
            <v>4.3.1.01.401</v>
          </cell>
          <cell r="C3280" t="str">
            <v>Bagaco de Cana</v>
          </cell>
        </row>
        <row r="3281">
          <cell r="A3281">
            <v>43101402</v>
          </cell>
          <cell r="B3281" t="str">
            <v>4.3.1.01.402</v>
          </cell>
          <cell r="C3281" t="str">
            <v>Melaço</v>
          </cell>
        </row>
        <row r="3282">
          <cell r="A3282">
            <v>43101403</v>
          </cell>
          <cell r="B3282" t="str">
            <v>4.3.1.01.403</v>
          </cell>
          <cell r="C3282" t="str">
            <v>Oleo Fusel</v>
          </cell>
        </row>
        <row r="3283">
          <cell r="A3283">
            <v>43101404</v>
          </cell>
          <cell r="B3283" t="str">
            <v>4.3.1.01.404</v>
          </cell>
          <cell r="C3283" t="str">
            <v>Levedura</v>
          </cell>
        </row>
        <row r="3284">
          <cell r="A3284">
            <v>43101500</v>
          </cell>
          <cell r="B3284" t="str">
            <v>4.3.1.01.500</v>
          </cell>
          <cell r="C3284" t="str">
            <v>DEDUCOES DAS RECEITAS C/VENDAS</v>
          </cell>
        </row>
        <row r="3285">
          <cell r="A3285">
            <v>43101501</v>
          </cell>
          <cell r="B3285" t="str">
            <v>4.3.1.01.501</v>
          </cell>
          <cell r="C3285" t="str">
            <v>(-) Devolucoes</v>
          </cell>
        </row>
        <row r="3286">
          <cell r="A3286">
            <v>43101503</v>
          </cell>
          <cell r="B3286" t="str">
            <v>4.3.1.01.503</v>
          </cell>
          <cell r="C3286" t="str">
            <v>(-) Descontos concedidos</v>
          </cell>
        </row>
        <row r="3287">
          <cell r="A3287">
            <v>44000000</v>
          </cell>
          <cell r="B3287" t="str">
            <v>4.4.0.00.000</v>
          </cell>
          <cell r="C3287" t="str">
            <v>COMERCIALIZACAO DE PROD.AGRICOLAS</v>
          </cell>
        </row>
        <row r="3288">
          <cell r="A3288">
            <v>44100000</v>
          </cell>
          <cell r="B3288" t="str">
            <v>4.4.1.00.000</v>
          </cell>
          <cell r="C3288" t="str">
            <v>VENDAS DE PRODUTOS AGRICOLAS</v>
          </cell>
        </row>
        <row r="3289">
          <cell r="A3289">
            <v>44101000</v>
          </cell>
          <cell r="B3289" t="str">
            <v>4.4.1.01.000</v>
          </cell>
          <cell r="C3289" t="str">
            <v>RECEITA BRUTA DE VENDA</v>
          </cell>
        </row>
        <row r="3290">
          <cell r="A3290">
            <v>44101100</v>
          </cell>
          <cell r="B3290" t="str">
            <v>4.4.1.01.100</v>
          </cell>
          <cell r="C3290" t="str">
            <v>RECEITA BRUTA DE VENDA</v>
          </cell>
        </row>
        <row r="3291">
          <cell r="A3291">
            <v>44101101</v>
          </cell>
          <cell r="B3291" t="str">
            <v>4.4.1.01.101</v>
          </cell>
          <cell r="C3291" t="str">
            <v>Cana de Acucar</v>
          </cell>
        </row>
        <row r="3292">
          <cell r="A3292">
            <v>44101102</v>
          </cell>
          <cell r="B3292" t="str">
            <v>4.4.1.01.102</v>
          </cell>
          <cell r="C3292" t="str">
            <v>Mudas de Cana</v>
          </cell>
        </row>
        <row r="3293">
          <cell r="A3293">
            <v>44101103</v>
          </cell>
          <cell r="B3293" t="str">
            <v>4.4.1.01.103</v>
          </cell>
          <cell r="C3293" t="str">
            <v>Provisão ATR Cana(Complemento)</v>
          </cell>
        </row>
        <row r="3294">
          <cell r="A3294">
            <v>44101200</v>
          </cell>
          <cell r="B3294" t="str">
            <v>4.4.1.01.200</v>
          </cell>
          <cell r="C3294" t="str">
            <v>IMPOSTOS INCIDENTES S/VENDAS</v>
          </cell>
        </row>
        <row r="3295">
          <cell r="A3295">
            <v>44101201</v>
          </cell>
          <cell r="B3295" t="str">
            <v>4.4.1.01.201</v>
          </cell>
          <cell r="C3295" t="str">
            <v>Cofins</v>
          </cell>
        </row>
        <row r="3296">
          <cell r="A3296">
            <v>44101202</v>
          </cell>
          <cell r="B3296" t="str">
            <v>4.4.1.01.202</v>
          </cell>
          <cell r="C3296" t="str">
            <v>Pis</v>
          </cell>
        </row>
        <row r="3297">
          <cell r="A3297">
            <v>44101203</v>
          </cell>
          <cell r="B3297" t="str">
            <v>4.4.1.01.203</v>
          </cell>
          <cell r="C3297" t="str">
            <v>Icms</v>
          </cell>
        </row>
        <row r="3298">
          <cell r="A3298">
            <v>44101204</v>
          </cell>
          <cell r="B3298" t="str">
            <v>4.4.1.01.204</v>
          </cell>
          <cell r="C3298" t="str">
            <v>Ipi</v>
          </cell>
        </row>
        <row r="3299">
          <cell r="A3299">
            <v>44101205</v>
          </cell>
          <cell r="B3299" t="str">
            <v>4.4.1.01.205</v>
          </cell>
          <cell r="C3299" t="str">
            <v>Funrural</v>
          </cell>
        </row>
        <row r="3300">
          <cell r="A3300">
            <v>44101206</v>
          </cell>
          <cell r="B3300" t="str">
            <v>4.4.1.01.206</v>
          </cell>
          <cell r="C3300" t="str">
            <v>Inss s/ Faturamento</v>
          </cell>
        </row>
        <row r="3301">
          <cell r="A3301">
            <v>44101300</v>
          </cell>
          <cell r="B3301" t="str">
            <v>4.4.1.01.300</v>
          </cell>
          <cell r="C3301" t="str">
            <v>DESPESAS C/VENDAS</v>
          </cell>
        </row>
        <row r="3302">
          <cell r="A3302">
            <v>44101301</v>
          </cell>
          <cell r="B3302" t="str">
            <v>4.4.1.01.301</v>
          </cell>
          <cell r="C3302" t="str">
            <v>Comissoes e Corretagens</v>
          </cell>
        </row>
        <row r="3303">
          <cell r="A3303">
            <v>44101302</v>
          </cell>
          <cell r="B3303" t="str">
            <v>4.4.1.01.302</v>
          </cell>
          <cell r="C3303" t="str">
            <v>Fretes e Carretos</v>
          </cell>
        </row>
        <row r="3304">
          <cell r="A3304">
            <v>44101400</v>
          </cell>
          <cell r="B3304" t="str">
            <v>4.4.1.01.400</v>
          </cell>
          <cell r="C3304" t="str">
            <v>CUSTOS VENDAS PROD.AGRICOLAS</v>
          </cell>
        </row>
        <row r="3305">
          <cell r="A3305">
            <v>44101401</v>
          </cell>
          <cell r="B3305" t="str">
            <v>4.4.1.01.401</v>
          </cell>
          <cell r="C3305" t="str">
            <v>Cana de Acucar</v>
          </cell>
        </row>
        <row r="3306">
          <cell r="A3306">
            <v>44101402</v>
          </cell>
          <cell r="B3306" t="str">
            <v>4.4.1.01.402</v>
          </cell>
          <cell r="C3306" t="str">
            <v>Mudas de Cana</v>
          </cell>
        </row>
        <row r="3307">
          <cell r="A3307">
            <v>44101403</v>
          </cell>
          <cell r="B3307" t="str">
            <v>4.4.1.01.403</v>
          </cell>
          <cell r="C3307" t="str">
            <v>Amortizacao Tratos Culturais</v>
          </cell>
        </row>
        <row r="3308">
          <cell r="A3308">
            <v>44101404</v>
          </cell>
          <cell r="B3308" t="str">
            <v>4.4.1.01.404</v>
          </cell>
          <cell r="C3308" t="str">
            <v>Amortizacao das Lavouras</v>
          </cell>
        </row>
        <row r="3309">
          <cell r="A3309">
            <v>44101405</v>
          </cell>
          <cell r="B3309" t="str">
            <v>4.4.1.01.405</v>
          </cell>
          <cell r="C3309" t="str">
            <v>Devolução de Lavouras</v>
          </cell>
        </row>
        <row r="3310">
          <cell r="A3310">
            <v>44101406</v>
          </cell>
          <cell r="B3310" t="str">
            <v>4.4.1.01.406</v>
          </cell>
          <cell r="C3310" t="str">
            <v>Desp. Adm. Agricola</v>
          </cell>
        </row>
        <row r="3311">
          <cell r="A3311">
            <v>44101409</v>
          </cell>
          <cell r="B3311" t="str">
            <v>4.4.1.01.409</v>
          </cell>
          <cell r="C3311" t="str">
            <v>Alcool Hidratado safra 01/02</v>
          </cell>
        </row>
        <row r="3312">
          <cell r="A3312">
            <v>44101410</v>
          </cell>
          <cell r="B3312" t="str">
            <v>4.4.1.01.410</v>
          </cell>
          <cell r="C3312" t="str">
            <v>Alcool Anidro Safra</v>
          </cell>
        </row>
        <row r="3313">
          <cell r="A3313">
            <v>44101499</v>
          </cell>
          <cell r="B3313" t="str">
            <v>4.4.1.01.499</v>
          </cell>
          <cell r="C3313" t="str">
            <v>Ativo Biologico - CPC29 - RTT</v>
          </cell>
        </row>
        <row r="3314">
          <cell r="A3314">
            <v>44101500</v>
          </cell>
          <cell r="B3314" t="str">
            <v>4.4.1.01.500</v>
          </cell>
          <cell r="C3314" t="str">
            <v>DEDUÇÕES DA RECEITA C/ VENDAS</v>
          </cell>
        </row>
        <row r="3315">
          <cell r="A3315">
            <v>44101501</v>
          </cell>
          <cell r="B3315" t="str">
            <v>4.4.1.01.501</v>
          </cell>
          <cell r="C3315" t="str">
            <v>(-) Devoluções</v>
          </cell>
        </row>
        <row r="3316">
          <cell r="A3316">
            <v>44101502</v>
          </cell>
          <cell r="B3316" t="str">
            <v>4.4.1.01.502</v>
          </cell>
          <cell r="C3316" t="str">
            <v>(-)abatimentos concedidos</v>
          </cell>
        </row>
        <row r="3317">
          <cell r="A3317">
            <v>45000000</v>
          </cell>
          <cell r="B3317" t="str">
            <v>4.5.0.00.000</v>
          </cell>
          <cell r="C3317" t="str">
            <v>RECEITA DE ALMOXARIFADO</v>
          </cell>
        </row>
        <row r="3318">
          <cell r="A3318">
            <v>45100000</v>
          </cell>
          <cell r="B3318" t="str">
            <v>4.5.1.00.000</v>
          </cell>
          <cell r="C3318" t="str">
            <v>VENDA DE ESTOQUES DE ALMOXARIFADO</v>
          </cell>
        </row>
        <row r="3319">
          <cell r="A3319">
            <v>45101000</v>
          </cell>
          <cell r="B3319" t="str">
            <v>4.5.1.01.000</v>
          </cell>
          <cell r="C3319" t="str">
            <v>RECEITA BRUTA DE VENDA</v>
          </cell>
        </row>
        <row r="3320">
          <cell r="A3320">
            <v>45101100</v>
          </cell>
          <cell r="B3320" t="str">
            <v>4.5.1.01.100</v>
          </cell>
          <cell r="C3320" t="str">
            <v>RECEITA BRUTA DE VENDA</v>
          </cell>
        </row>
        <row r="3321">
          <cell r="A3321">
            <v>45101101</v>
          </cell>
          <cell r="B3321" t="str">
            <v>4.5.1.01.101</v>
          </cell>
          <cell r="C3321" t="str">
            <v>Sucatas</v>
          </cell>
        </row>
        <row r="3322">
          <cell r="A3322">
            <v>45101104</v>
          </cell>
          <cell r="B3322" t="str">
            <v>4.5.1.01.104</v>
          </cell>
          <cell r="C3322" t="str">
            <v>Insumos Agricolas</v>
          </cell>
        </row>
        <row r="3323">
          <cell r="A3323">
            <v>45101105</v>
          </cell>
          <cell r="B3323" t="str">
            <v>4.5.1.01.105</v>
          </cell>
          <cell r="C3323" t="str">
            <v>Materiais de Almoxarifado</v>
          </cell>
        </row>
        <row r="3324">
          <cell r="A3324">
            <v>45101106</v>
          </cell>
          <cell r="B3324" t="str">
            <v>4.5.1.01.106</v>
          </cell>
          <cell r="C3324" t="str">
            <v>Doacao</v>
          </cell>
        </row>
        <row r="3325">
          <cell r="A3325">
            <v>45101107</v>
          </cell>
          <cell r="B3325" t="str">
            <v>4.5.1.01.107</v>
          </cell>
          <cell r="C3325" t="str">
            <v>Alcool Posto</v>
          </cell>
        </row>
        <row r="3326">
          <cell r="A3326">
            <v>45101108</v>
          </cell>
          <cell r="B3326" t="str">
            <v>4.5.1.01.108</v>
          </cell>
          <cell r="C3326" t="str">
            <v>Residuos Industriais</v>
          </cell>
        </row>
        <row r="3327">
          <cell r="A3327">
            <v>45101200</v>
          </cell>
          <cell r="B3327" t="str">
            <v>4.5.1.01.200</v>
          </cell>
          <cell r="C3327" t="str">
            <v>IMPOSTOS INCIDENTES S/VENDAS</v>
          </cell>
        </row>
        <row r="3328">
          <cell r="A3328">
            <v>45101201</v>
          </cell>
          <cell r="B3328" t="str">
            <v>4.5.1.01.201</v>
          </cell>
          <cell r="C3328" t="str">
            <v>Cofins</v>
          </cell>
        </row>
        <row r="3329">
          <cell r="A3329">
            <v>45101202</v>
          </cell>
          <cell r="B3329" t="str">
            <v>4.5.1.01.202</v>
          </cell>
          <cell r="C3329" t="str">
            <v>Pis</v>
          </cell>
        </row>
        <row r="3330">
          <cell r="A3330">
            <v>45101203</v>
          </cell>
          <cell r="B3330" t="str">
            <v>4.5.1.01.203</v>
          </cell>
          <cell r="C3330" t="str">
            <v>Icms</v>
          </cell>
        </row>
        <row r="3331">
          <cell r="A3331">
            <v>45101204</v>
          </cell>
          <cell r="B3331" t="str">
            <v>4.5.1.01.204</v>
          </cell>
          <cell r="C3331" t="str">
            <v>Ipi</v>
          </cell>
        </row>
        <row r="3332">
          <cell r="A3332">
            <v>45101205</v>
          </cell>
          <cell r="B3332" t="str">
            <v>4.5.1.01.205</v>
          </cell>
          <cell r="C3332" t="str">
            <v>Funrural</v>
          </cell>
        </row>
        <row r="3333">
          <cell r="A3333">
            <v>45101206</v>
          </cell>
          <cell r="B3333" t="str">
            <v>4.5.1.01.206</v>
          </cell>
          <cell r="C3333" t="str">
            <v>Issqn sobre Serviços</v>
          </cell>
        </row>
        <row r="3334">
          <cell r="A3334">
            <v>45101207</v>
          </cell>
          <cell r="B3334" t="str">
            <v>4.5.1.01.207</v>
          </cell>
          <cell r="C3334" t="str">
            <v>Inss s/faturamento</v>
          </cell>
        </row>
        <row r="3335">
          <cell r="A3335">
            <v>45101300</v>
          </cell>
          <cell r="B3335" t="str">
            <v>4.5.1.01.300</v>
          </cell>
          <cell r="C3335" t="str">
            <v>DESPESAS C/VENDAS</v>
          </cell>
        </row>
        <row r="3336">
          <cell r="A3336">
            <v>45101301</v>
          </cell>
          <cell r="B3336" t="str">
            <v>4.5.1.01.301</v>
          </cell>
          <cell r="C3336" t="str">
            <v>Comissoes e Corretagens</v>
          </cell>
        </row>
        <row r="3337">
          <cell r="A3337">
            <v>45101302</v>
          </cell>
          <cell r="B3337" t="str">
            <v>4.5.1.01.302</v>
          </cell>
          <cell r="C3337" t="str">
            <v>Fretes e Carretos</v>
          </cell>
        </row>
        <row r="3338">
          <cell r="A3338">
            <v>45101303</v>
          </cell>
          <cell r="B3338" t="str">
            <v>4.5.1.01.303</v>
          </cell>
          <cell r="C3338" t="str">
            <v>Despesas c/ seguros</v>
          </cell>
        </row>
        <row r="3339">
          <cell r="A3339">
            <v>45101304</v>
          </cell>
          <cell r="B3339" t="str">
            <v>4.5.1.01.304</v>
          </cell>
          <cell r="C3339" t="str">
            <v>Outras Apropriações</v>
          </cell>
        </row>
        <row r="3340">
          <cell r="A3340">
            <v>45101305</v>
          </cell>
          <cell r="B3340" t="str">
            <v>4.5.1.01.305</v>
          </cell>
          <cell r="C3340" t="str">
            <v>Leasing</v>
          </cell>
        </row>
        <row r="3341">
          <cell r="A3341">
            <v>45101306</v>
          </cell>
          <cell r="B3341" t="str">
            <v>4.5.1.01.306</v>
          </cell>
          <cell r="C3341" t="str">
            <v>Outras Despesas</v>
          </cell>
        </row>
        <row r="3342">
          <cell r="A3342">
            <v>45101400</v>
          </cell>
          <cell r="B3342" t="str">
            <v>4.5.1.01.400</v>
          </cell>
          <cell r="C3342" t="str">
            <v>CUSTOS DAS VENDAS ALMOXARIFADO</v>
          </cell>
        </row>
        <row r="3343">
          <cell r="A3343">
            <v>45101401</v>
          </cell>
          <cell r="B3343" t="str">
            <v>4.5.1.01.401</v>
          </cell>
          <cell r="C3343" t="str">
            <v>Alcool Posto</v>
          </cell>
        </row>
        <row r="3344">
          <cell r="A3344">
            <v>45101402</v>
          </cell>
          <cell r="B3344" t="str">
            <v>4.5.1.01.402</v>
          </cell>
          <cell r="C3344" t="str">
            <v>Oleo Diesel</v>
          </cell>
        </row>
        <row r="3345">
          <cell r="A3345">
            <v>45101403</v>
          </cell>
          <cell r="B3345" t="str">
            <v>4.5.1.01.403</v>
          </cell>
          <cell r="C3345" t="str">
            <v>Lubrificantes</v>
          </cell>
        </row>
        <row r="3346">
          <cell r="A3346">
            <v>45101404</v>
          </cell>
          <cell r="B3346" t="str">
            <v>4.5.1.01.404</v>
          </cell>
          <cell r="C3346" t="str">
            <v>Residuos Industriais</v>
          </cell>
        </row>
        <row r="3347">
          <cell r="A3347">
            <v>45101405</v>
          </cell>
          <cell r="B3347" t="str">
            <v>4.5.1.01.405</v>
          </cell>
          <cell r="C3347" t="str">
            <v>Materiais Diversos</v>
          </cell>
        </row>
        <row r="3348">
          <cell r="A3348">
            <v>45101406</v>
          </cell>
          <cell r="B3348" t="str">
            <v>4.5.1.01.406</v>
          </cell>
          <cell r="C3348" t="str">
            <v>Sucatas</v>
          </cell>
        </row>
        <row r="3349">
          <cell r="A3349">
            <v>45101407</v>
          </cell>
          <cell r="B3349" t="str">
            <v>4.5.1.01.407</v>
          </cell>
          <cell r="C3349" t="str">
            <v>Insumos Agricolas</v>
          </cell>
        </row>
        <row r="3350">
          <cell r="A3350">
            <v>45101408</v>
          </cell>
          <cell r="B3350" t="str">
            <v>4.5.1.01.408</v>
          </cell>
          <cell r="C3350" t="str">
            <v>Materiais de Almoxarifado</v>
          </cell>
        </row>
        <row r="3351">
          <cell r="A3351">
            <v>45101409</v>
          </cell>
          <cell r="B3351" t="str">
            <v>4.5.1.01.409</v>
          </cell>
          <cell r="C3351" t="str">
            <v>Peças e Acessorios de Veiculos</v>
          </cell>
        </row>
        <row r="3352">
          <cell r="A3352">
            <v>45101500</v>
          </cell>
          <cell r="B3352" t="str">
            <v>4.5.1.01.500</v>
          </cell>
          <cell r="C3352" t="str">
            <v>DEDUÇÕES DAS RECEITAS C/ VENDAS</v>
          </cell>
        </row>
        <row r="3353">
          <cell r="A3353">
            <v>45101501</v>
          </cell>
          <cell r="B3353" t="str">
            <v>4.5.1.01.501</v>
          </cell>
          <cell r="C3353" t="str">
            <v>(-) Devoluções</v>
          </cell>
        </row>
        <row r="3354">
          <cell r="A3354">
            <v>46000000</v>
          </cell>
          <cell r="B3354" t="str">
            <v>4.6.0.00.000</v>
          </cell>
          <cell r="C3354" t="str">
            <v>SERVICOS</v>
          </cell>
        </row>
        <row r="3355">
          <cell r="A3355">
            <v>46100000</v>
          </cell>
          <cell r="B3355" t="str">
            <v>4.6.1.00.000</v>
          </cell>
          <cell r="C3355" t="str">
            <v>RECEITA BRUTA DE SERVICOS</v>
          </cell>
        </row>
        <row r="3356">
          <cell r="A3356">
            <v>46101000</v>
          </cell>
          <cell r="B3356" t="str">
            <v>4.6.1.01.000</v>
          </cell>
          <cell r="C3356" t="str">
            <v>RECEITA BRUTA DE SERVICOS</v>
          </cell>
        </row>
        <row r="3357">
          <cell r="A3357">
            <v>46101100</v>
          </cell>
          <cell r="B3357" t="str">
            <v>4.6.1.01.100</v>
          </cell>
          <cell r="C3357" t="str">
            <v>RECEITA DE SERVIÇOS</v>
          </cell>
        </row>
        <row r="3358">
          <cell r="A3358">
            <v>46101101</v>
          </cell>
          <cell r="B3358" t="str">
            <v>4.6.1.01.101</v>
          </cell>
          <cell r="C3358" t="str">
            <v>Servicos de Transporte</v>
          </cell>
        </row>
        <row r="3359">
          <cell r="A3359">
            <v>46101102</v>
          </cell>
          <cell r="B3359" t="str">
            <v>4.6.1.01.102</v>
          </cell>
          <cell r="C3359" t="str">
            <v>Serviços de Maquinas</v>
          </cell>
        </row>
        <row r="3360">
          <cell r="A3360">
            <v>46101103</v>
          </cell>
          <cell r="B3360" t="str">
            <v>4.6.1.01.103</v>
          </cell>
          <cell r="C3360" t="str">
            <v>Serviços de Oficina Mecanica</v>
          </cell>
        </row>
        <row r="3361">
          <cell r="A3361">
            <v>46101104</v>
          </cell>
          <cell r="B3361" t="str">
            <v>4.6.1.01.104</v>
          </cell>
          <cell r="C3361" t="str">
            <v>Serviços Industrialização</v>
          </cell>
        </row>
        <row r="3362">
          <cell r="A3362">
            <v>46101105</v>
          </cell>
          <cell r="B3362" t="str">
            <v>4.6.1.01.105</v>
          </cell>
          <cell r="C3362" t="str">
            <v>Serviços Administrativos</v>
          </cell>
        </row>
        <row r="3363">
          <cell r="A3363">
            <v>46101106</v>
          </cell>
          <cell r="B3363" t="str">
            <v>4.6.1.01.106</v>
          </cell>
          <cell r="C3363" t="str">
            <v>Serviços de armazenamento</v>
          </cell>
        </row>
        <row r="3364">
          <cell r="A3364">
            <v>46101200</v>
          </cell>
          <cell r="B3364" t="str">
            <v>4.6.1.01.200</v>
          </cell>
          <cell r="C3364" t="str">
            <v>IMPOSTOS S/SERVICOS</v>
          </cell>
        </row>
        <row r="3365">
          <cell r="A3365">
            <v>46101201</v>
          </cell>
          <cell r="B3365" t="str">
            <v>4.6.1.01.201</v>
          </cell>
          <cell r="C3365" t="str">
            <v>Cofins</v>
          </cell>
        </row>
        <row r="3366">
          <cell r="A3366">
            <v>46101202</v>
          </cell>
          <cell r="B3366" t="str">
            <v>4.6.1.01.202</v>
          </cell>
          <cell r="C3366" t="str">
            <v>Pis</v>
          </cell>
        </row>
        <row r="3367">
          <cell r="A3367">
            <v>46101203</v>
          </cell>
          <cell r="B3367" t="str">
            <v>4.6.1.01.203</v>
          </cell>
          <cell r="C3367" t="str">
            <v>Icms</v>
          </cell>
        </row>
        <row r="3368">
          <cell r="A3368">
            <v>46101204</v>
          </cell>
          <cell r="B3368" t="str">
            <v>4.6.1.01.204</v>
          </cell>
          <cell r="C3368" t="str">
            <v>Ipi</v>
          </cell>
        </row>
        <row r="3369">
          <cell r="A3369">
            <v>46101205</v>
          </cell>
          <cell r="B3369" t="str">
            <v>4.6.1.01.205</v>
          </cell>
          <cell r="C3369" t="str">
            <v>Iss</v>
          </cell>
        </row>
        <row r="3370">
          <cell r="A3370">
            <v>46101206</v>
          </cell>
          <cell r="B3370" t="str">
            <v>4.6.1.01.206</v>
          </cell>
          <cell r="C3370" t="str">
            <v>Devoluções</v>
          </cell>
        </row>
        <row r="3371">
          <cell r="A3371">
            <v>46101207</v>
          </cell>
          <cell r="B3371" t="str">
            <v>4.6.1.01.207</v>
          </cell>
          <cell r="C3371" t="str">
            <v>Pis/Cofins/Csll Retenção 4,65%</v>
          </cell>
        </row>
        <row r="3372">
          <cell r="A3372">
            <v>46101208</v>
          </cell>
          <cell r="B3372" t="str">
            <v>4.6.1.01.208</v>
          </cell>
          <cell r="C3372" t="str">
            <v>IR s/ Serviço 1,5%</v>
          </cell>
        </row>
        <row r="3373">
          <cell r="A3373">
            <v>46101300</v>
          </cell>
          <cell r="B3373" t="str">
            <v>4.6.1.01.300</v>
          </cell>
          <cell r="C3373" t="str">
            <v>DESPESAS C/VENDAS</v>
          </cell>
        </row>
        <row r="3374">
          <cell r="A3374">
            <v>46101301</v>
          </cell>
          <cell r="B3374" t="str">
            <v>4.6.1.01.301</v>
          </cell>
          <cell r="C3374" t="str">
            <v>Comissoes e Corretagens</v>
          </cell>
        </row>
        <row r="3375">
          <cell r="A3375">
            <v>46101302</v>
          </cell>
          <cell r="B3375" t="str">
            <v>4.6.1.01.302</v>
          </cell>
          <cell r="C3375" t="str">
            <v>Fretes e Carretos</v>
          </cell>
        </row>
        <row r="3376">
          <cell r="A3376">
            <v>46101400</v>
          </cell>
          <cell r="B3376" t="str">
            <v>4.6.1.01.400</v>
          </cell>
          <cell r="C3376" t="str">
            <v>CUSTO DOS SERVICOS</v>
          </cell>
        </row>
        <row r="3377">
          <cell r="A3377">
            <v>46101401</v>
          </cell>
          <cell r="B3377" t="str">
            <v>4.6.1.01.401</v>
          </cell>
          <cell r="C3377" t="str">
            <v>Insumos Industriais</v>
          </cell>
        </row>
        <row r="3378">
          <cell r="A3378">
            <v>46101402</v>
          </cell>
          <cell r="B3378" t="str">
            <v>4.6.1.01.402</v>
          </cell>
          <cell r="C3378" t="str">
            <v>Mao de Obra</v>
          </cell>
        </row>
        <row r="3379">
          <cell r="A3379">
            <v>46101403</v>
          </cell>
          <cell r="B3379" t="str">
            <v>4.6.1.01.403</v>
          </cell>
          <cell r="C3379" t="str">
            <v>Custo Generico</v>
          </cell>
        </row>
        <row r="3380">
          <cell r="A3380">
            <v>46101404</v>
          </cell>
          <cell r="B3380" t="str">
            <v>4.6.1.01.404</v>
          </cell>
          <cell r="C3380" t="str">
            <v>Serviço Administrativo</v>
          </cell>
        </row>
        <row r="3381">
          <cell r="A3381">
            <v>46101405</v>
          </cell>
          <cell r="B3381" t="str">
            <v>4.6.1.01.405</v>
          </cell>
          <cell r="C3381" t="str">
            <v>Serviços</v>
          </cell>
        </row>
        <row r="3382">
          <cell r="A3382">
            <v>46101406</v>
          </cell>
          <cell r="B3382" t="str">
            <v>4.6.1.01.406</v>
          </cell>
          <cell r="C3382" t="str">
            <v>Serviços de Transportes</v>
          </cell>
        </row>
        <row r="3383">
          <cell r="A3383">
            <v>46101407</v>
          </cell>
          <cell r="B3383" t="str">
            <v>4.6.1.01.407</v>
          </cell>
          <cell r="C3383" t="str">
            <v>Perdas</v>
          </cell>
        </row>
        <row r="3384">
          <cell r="A3384">
            <v>49000000</v>
          </cell>
          <cell r="B3384" t="str">
            <v>4.9.0.00.000</v>
          </cell>
          <cell r="C3384" t="str">
            <v>TRANSFERENCIA P/ APURAÇÃO DO RESULTADO</v>
          </cell>
        </row>
        <row r="3385">
          <cell r="A3385">
            <v>49100000</v>
          </cell>
          <cell r="B3385" t="str">
            <v>4.9.1.00.000</v>
          </cell>
          <cell r="C3385" t="str">
            <v>TRANSFERENCIA P/ APURAÇÃO DO RESULTADO</v>
          </cell>
        </row>
        <row r="3386">
          <cell r="A3386">
            <v>49101000</v>
          </cell>
          <cell r="B3386" t="str">
            <v>4.9.1.01.000</v>
          </cell>
          <cell r="C3386" t="str">
            <v>TRANSFERENCIA P/ APURAÇÃO DO RESULTADO</v>
          </cell>
        </row>
        <row r="3387">
          <cell r="A3387">
            <v>49101100</v>
          </cell>
          <cell r="B3387" t="str">
            <v>4.9.1.01.100</v>
          </cell>
          <cell r="C3387" t="str">
            <v>TRANSFERENCIA P/ APURAÇÃO DO RESULTADO</v>
          </cell>
        </row>
        <row r="3388">
          <cell r="A3388">
            <v>49101198</v>
          </cell>
          <cell r="B3388" t="str">
            <v>4.9.1.01.198</v>
          </cell>
          <cell r="C3388" t="str">
            <v>Transferencia para Diferido</v>
          </cell>
        </row>
        <row r="3389">
          <cell r="A3389">
            <v>49101199</v>
          </cell>
          <cell r="B3389" t="str">
            <v>4.9.1.01.199</v>
          </cell>
          <cell r="C3389" t="str">
            <v>Transferencia p/ Apuração do Resultado</v>
          </cell>
        </row>
        <row r="3390">
          <cell r="A3390">
            <v>50000000</v>
          </cell>
          <cell r="B3390" t="str">
            <v>5.0.0.00.000</v>
          </cell>
          <cell r="C3390" t="str">
            <v>COMPENSACOES ATIVAS</v>
          </cell>
        </row>
        <row r="3391">
          <cell r="A3391">
            <v>51000000</v>
          </cell>
          <cell r="B3391" t="str">
            <v>5.1.0.00.000</v>
          </cell>
          <cell r="C3391" t="str">
            <v>CONTAS DE COMPENSACAO</v>
          </cell>
        </row>
        <row r="3392">
          <cell r="A3392">
            <v>51100000</v>
          </cell>
          <cell r="B3392" t="str">
            <v>5.1.1.00.000</v>
          </cell>
          <cell r="C3392" t="str">
            <v>CONTRATOS E EMPENHOS</v>
          </cell>
        </row>
        <row r="3393">
          <cell r="A3393">
            <v>51101000</v>
          </cell>
          <cell r="B3393" t="str">
            <v>5.1.1.01.000</v>
          </cell>
          <cell r="C3393" t="str">
            <v>COMPRAS</v>
          </cell>
        </row>
        <row r="3394">
          <cell r="A3394">
            <v>51101100</v>
          </cell>
          <cell r="B3394" t="str">
            <v>5.1.1.01.100</v>
          </cell>
          <cell r="C3394" t="str">
            <v>ESTOQUES TERCEIROS P/ENTR.FUTURA</v>
          </cell>
        </row>
        <row r="3395">
          <cell r="A3395">
            <v>51101101</v>
          </cell>
          <cell r="B3395" t="str">
            <v>5.1.1.01.101</v>
          </cell>
          <cell r="C3395" t="str">
            <v>Estoques Terceiros P/Entr.Futura</v>
          </cell>
        </row>
        <row r="3396">
          <cell r="A3396">
            <v>51101200</v>
          </cell>
          <cell r="B3396" t="str">
            <v>5.1.1.01.200</v>
          </cell>
          <cell r="C3396" t="str">
            <v>EMPRESTIMOS</v>
          </cell>
        </row>
        <row r="3397">
          <cell r="A3397">
            <v>51101201</v>
          </cell>
          <cell r="B3397" t="str">
            <v>5.1.1.01.201</v>
          </cell>
          <cell r="C3397" t="str">
            <v>Emprestimos de Equipamentos</v>
          </cell>
        </row>
        <row r="3398">
          <cell r="A3398">
            <v>51101202</v>
          </cell>
          <cell r="B3398" t="str">
            <v>5.1.1.01.202</v>
          </cell>
          <cell r="C3398" t="str">
            <v>Emprestimos de Vasilhames</v>
          </cell>
        </row>
        <row r="3399">
          <cell r="A3399">
            <v>51101203</v>
          </cell>
          <cell r="B3399" t="str">
            <v>5.1.1.01.203</v>
          </cell>
          <cell r="C3399" t="str">
            <v>Retorno de Emprestimos</v>
          </cell>
        </row>
        <row r="3400">
          <cell r="A3400">
            <v>51101204</v>
          </cell>
          <cell r="B3400" t="str">
            <v>5.1.1.01.204</v>
          </cell>
          <cell r="C3400" t="str">
            <v>Retorno Merc Utiliz na Industria</v>
          </cell>
        </row>
        <row r="3401">
          <cell r="A3401">
            <v>51101300</v>
          </cell>
          <cell r="B3401" t="str">
            <v>5.1.1.01.300</v>
          </cell>
          <cell r="C3401" t="str">
            <v>ALCOOL EM PROPRIEDADES DE TERCEIROS</v>
          </cell>
        </row>
        <row r="3402">
          <cell r="A3402">
            <v>51101301</v>
          </cell>
          <cell r="B3402" t="str">
            <v>5.1.1.01.301</v>
          </cell>
          <cell r="C3402" t="str">
            <v>Alcool Em Poder De Terceiros</v>
          </cell>
        </row>
        <row r="3403">
          <cell r="A3403">
            <v>51101302</v>
          </cell>
          <cell r="B3403" t="str">
            <v>5.1.1.01.302</v>
          </cell>
          <cell r="C3403" t="str">
            <v>Guanabara Agroindustrial Ltda</v>
          </cell>
        </row>
        <row r="3404">
          <cell r="A3404">
            <v>51101303</v>
          </cell>
          <cell r="B3404" t="str">
            <v>5.1.1.01.303</v>
          </cell>
          <cell r="C3404" t="str">
            <v>Unimodal S/A</v>
          </cell>
        </row>
        <row r="3405">
          <cell r="A3405">
            <v>51101400</v>
          </cell>
          <cell r="B3405" t="str">
            <v>5.1.1.01.400</v>
          </cell>
          <cell r="C3405" t="str">
            <v>REMESSAS DE MERCADORIAS</v>
          </cell>
        </row>
        <row r="3406">
          <cell r="A3406">
            <v>51101401</v>
          </cell>
          <cell r="B3406" t="str">
            <v>5.1.1.01.401</v>
          </cell>
          <cell r="C3406" t="str">
            <v>Remessas P/Conserto Diversos</v>
          </cell>
        </row>
        <row r="3407">
          <cell r="A3407">
            <v>51101402</v>
          </cell>
          <cell r="B3407" t="str">
            <v>5.1.1.01.402</v>
          </cell>
          <cell r="C3407" t="str">
            <v>Remessa De Bem Contr Comodato</v>
          </cell>
        </row>
        <row r="3408">
          <cell r="A3408">
            <v>51101403</v>
          </cell>
          <cell r="B3408" t="str">
            <v>5.1.1.01.403</v>
          </cell>
          <cell r="C3408" t="str">
            <v>Remessa De Amostra Gratis</v>
          </cell>
        </row>
        <row r="3409">
          <cell r="A3409">
            <v>51101404</v>
          </cell>
          <cell r="B3409" t="str">
            <v>5.1.1.01.404</v>
          </cell>
          <cell r="C3409" t="str">
            <v>Remessa De Bonificação/Doação</v>
          </cell>
        </row>
        <row r="3410">
          <cell r="A3410">
            <v>51101405</v>
          </cell>
          <cell r="B3410" t="str">
            <v>5.1.1.01.405</v>
          </cell>
          <cell r="C3410" t="str">
            <v>Simples Remessa</v>
          </cell>
        </row>
        <row r="3411">
          <cell r="A3411">
            <v>51101406</v>
          </cell>
          <cell r="B3411" t="str">
            <v>5.1.1.01.406</v>
          </cell>
          <cell r="C3411" t="str">
            <v>Remessa P/Conta e Ordem</v>
          </cell>
        </row>
        <row r="3412">
          <cell r="A3412">
            <v>51101407</v>
          </cell>
          <cell r="B3412" t="str">
            <v>5.1.1.01.407</v>
          </cell>
          <cell r="C3412" t="str">
            <v>Remessa Em Consignação</v>
          </cell>
        </row>
        <row r="3413">
          <cell r="A3413">
            <v>51101500</v>
          </cell>
          <cell r="B3413" t="str">
            <v>5.1.1.01.500</v>
          </cell>
          <cell r="C3413" t="str">
            <v>EQUIPAMENTOS EM DEMONSTRACAO</v>
          </cell>
        </row>
        <row r="3414">
          <cell r="A3414">
            <v>51101501</v>
          </cell>
          <cell r="B3414" t="str">
            <v>5.1.1.01.501</v>
          </cell>
          <cell r="C3414" t="str">
            <v>Equipamentos Em Demonstração</v>
          </cell>
        </row>
        <row r="3415">
          <cell r="A3415">
            <v>51101600</v>
          </cell>
          <cell r="B3415" t="str">
            <v>5.1.1.01.600</v>
          </cell>
          <cell r="C3415" t="str">
            <v>ACUCAR EM PODER DE TERCEIROS</v>
          </cell>
        </row>
        <row r="3416">
          <cell r="A3416">
            <v>51101601</v>
          </cell>
          <cell r="B3416" t="str">
            <v>5.1.1.01.601</v>
          </cell>
          <cell r="C3416" t="str">
            <v>Refinadora Catarinense S/A</v>
          </cell>
        </row>
        <row r="3417">
          <cell r="A3417">
            <v>51101700</v>
          </cell>
          <cell r="B3417" t="str">
            <v>5.1.1.01.700</v>
          </cell>
          <cell r="C3417" t="str">
            <v>LOCACAO DE EQUIPAMENTOS</v>
          </cell>
        </row>
        <row r="3418">
          <cell r="A3418">
            <v>51101701</v>
          </cell>
          <cell r="B3418" t="str">
            <v>5.1.1.01.701</v>
          </cell>
          <cell r="C3418" t="str">
            <v>Remessa P/Locação</v>
          </cell>
        </row>
        <row r="3419">
          <cell r="A3419">
            <v>51101800</v>
          </cell>
          <cell r="B3419" t="str">
            <v>5.1.1.01.800</v>
          </cell>
          <cell r="C3419" t="str">
            <v>REMESSA P/ARMAZENAGEM</v>
          </cell>
        </row>
        <row r="3420">
          <cell r="A3420">
            <v>51101801</v>
          </cell>
          <cell r="B3420" t="str">
            <v>5.1.1.01.801</v>
          </cell>
          <cell r="C3420" t="str">
            <v>Remessa P/Armazenagem</v>
          </cell>
        </row>
        <row r="3421">
          <cell r="A3421">
            <v>51101900</v>
          </cell>
          <cell r="B3421" t="str">
            <v>5.1.1.01.900</v>
          </cell>
          <cell r="C3421" t="str">
            <v>REMESSA P/ INDUSTRIALIZAÇÃO</v>
          </cell>
        </row>
        <row r="3422">
          <cell r="A3422">
            <v>51101901</v>
          </cell>
          <cell r="B3422" t="str">
            <v>5.1.1.01.901</v>
          </cell>
          <cell r="C3422" t="str">
            <v>Remessa P/Industrialização</v>
          </cell>
        </row>
        <row r="3423">
          <cell r="A3423">
            <v>51101902</v>
          </cell>
          <cell r="B3423" t="str">
            <v>5.1.1.01.902</v>
          </cell>
          <cell r="C3423" t="str">
            <v>Remessa P/Indtrl No Campo</v>
          </cell>
        </row>
        <row r="3424">
          <cell r="A3424">
            <v>60000000</v>
          </cell>
          <cell r="B3424" t="str">
            <v>6.0.0.00.000</v>
          </cell>
          <cell r="C3424" t="str">
            <v>COMPENSACOES PASSIVAS</v>
          </cell>
        </row>
        <row r="3425">
          <cell r="A3425">
            <v>61000000</v>
          </cell>
          <cell r="B3425" t="str">
            <v>6.1.0.00.000</v>
          </cell>
          <cell r="C3425" t="str">
            <v>CONTAS DE COMPENSACAO</v>
          </cell>
        </row>
        <row r="3426">
          <cell r="A3426">
            <v>61100000</v>
          </cell>
          <cell r="B3426" t="str">
            <v>6.1.1.00.000</v>
          </cell>
          <cell r="C3426" t="str">
            <v>CONTRATOS E EMPENHOS</v>
          </cell>
        </row>
        <row r="3427">
          <cell r="A3427">
            <v>61101000</v>
          </cell>
          <cell r="B3427" t="str">
            <v>6.1.1.01.000</v>
          </cell>
          <cell r="C3427" t="str">
            <v>COMPRAS</v>
          </cell>
        </row>
        <row r="3428">
          <cell r="A3428">
            <v>61101100</v>
          </cell>
          <cell r="B3428" t="str">
            <v>6.1.1.01.100</v>
          </cell>
          <cell r="C3428" t="str">
            <v>ESTOQUES TERCEIROS P/ENTR.FUTURA</v>
          </cell>
        </row>
        <row r="3429">
          <cell r="A3429">
            <v>61101101</v>
          </cell>
          <cell r="B3429" t="str">
            <v>6.1.1.01.101</v>
          </cell>
          <cell r="C3429" t="str">
            <v>Estoques Terceiros P/Entr.Futura</v>
          </cell>
        </row>
        <row r="3430">
          <cell r="A3430">
            <v>61101200</v>
          </cell>
          <cell r="B3430" t="str">
            <v>6.1.1.01.200</v>
          </cell>
          <cell r="C3430" t="str">
            <v>EMPRESTIMOS</v>
          </cell>
        </row>
        <row r="3431">
          <cell r="A3431">
            <v>61101201</v>
          </cell>
          <cell r="B3431" t="str">
            <v>6.1.1.01.201</v>
          </cell>
          <cell r="C3431" t="str">
            <v>Emprestimos de Equipamentos</v>
          </cell>
        </row>
        <row r="3432">
          <cell r="A3432">
            <v>61101202</v>
          </cell>
          <cell r="B3432" t="str">
            <v>6.1.1.01.202</v>
          </cell>
          <cell r="C3432" t="str">
            <v>Emprestimos de Vasilhames</v>
          </cell>
        </row>
        <row r="3433">
          <cell r="A3433">
            <v>61101203</v>
          </cell>
          <cell r="B3433" t="str">
            <v>6.1.1.01.203</v>
          </cell>
          <cell r="C3433" t="str">
            <v>Retorno de Emprestimos</v>
          </cell>
        </row>
        <row r="3434">
          <cell r="A3434">
            <v>61101204</v>
          </cell>
          <cell r="B3434" t="str">
            <v>6.1.1.01.204</v>
          </cell>
          <cell r="C3434" t="str">
            <v>Retorno Merc Utiliz Na Industria</v>
          </cell>
        </row>
        <row r="3435">
          <cell r="A3435">
            <v>61101300</v>
          </cell>
          <cell r="B3435" t="str">
            <v>6.1.1.01.300</v>
          </cell>
          <cell r="C3435" t="str">
            <v>ALCOOL EM PROPRIEDADES DE TERCEIROS</v>
          </cell>
        </row>
        <row r="3436">
          <cell r="A3436">
            <v>61101301</v>
          </cell>
          <cell r="B3436" t="str">
            <v>6.1.1.01.301</v>
          </cell>
          <cell r="C3436" t="str">
            <v>Alcool Em Poder De Terceiros</v>
          </cell>
        </row>
        <row r="3437">
          <cell r="A3437">
            <v>61101302</v>
          </cell>
          <cell r="B3437" t="str">
            <v>6.1.1.01.302</v>
          </cell>
          <cell r="C3437" t="str">
            <v>Guanabara Agroindustrial Ltda</v>
          </cell>
        </row>
        <row r="3438">
          <cell r="A3438">
            <v>61101303</v>
          </cell>
          <cell r="B3438" t="str">
            <v>6.1.1.01.303</v>
          </cell>
          <cell r="C3438" t="str">
            <v>Unimodal S/A</v>
          </cell>
        </row>
        <row r="3439">
          <cell r="A3439">
            <v>61101400</v>
          </cell>
          <cell r="B3439" t="str">
            <v>6.1.1.01.400</v>
          </cell>
          <cell r="C3439" t="str">
            <v>REMESSAS DE MERCADORIAS</v>
          </cell>
        </row>
        <row r="3440">
          <cell r="A3440">
            <v>61101401</v>
          </cell>
          <cell r="B3440" t="str">
            <v>6.1.1.01.401</v>
          </cell>
          <cell r="C3440" t="str">
            <v>Remessas P/Consertos Diversos</v>
          </cell>
        </row>
        <row r="3441">
          <cell r="A3441">
            <v>61101402</v>
          </cell>
          <cell r="B3441" t="str">
            <v>6.1.1.01.402</v>
          </cell>
          <cell r="C3441" t="str">
            <v>Remessa De Bem Contr Comodato</v>
          </cell>
        </row>
        <row r="3442">
          <cell r="A3442">
            <v>61101403</v>
          </cell>
          <cell r="B3442" t="str">
            <v>6.1.1.01.403</v>
          </cell>
          <cell r="C3442" t="str">
            <v>Remessa De Amostra Gratis</v>
          </cell>
        </row>
        <row r="3443">
          <cell r="A3443">
            <v>61101404</v>
          </cell>
          <cell r="B3443" t="str">
            <v>6.1.1.01.404</v>
          </cell>
          <cell r="C3443" t="str">
            <v>Remessa De Bonificação/Doação</v>
          </cell>
        </row>
        <row r="3444">
          <cell r="A3444">
            <v>61101405</v>
          </cell>
          <cell r="B3444" t="str">
            <v>6.1.1.01.405</v>
          </cell>
          <cell r="C3444" t="str">
            <v>Simples Remessa</v>
          </cell>
        </row>
        <row r="3445">
          <cell r="A3445">
            <v>61101406</v>
          </cell>
          <cell r="B3445" t="str">
            <v>6.1.1.01.406</v>
          </cell>
          <cell r="C3445" t="str">
            <v>Remessa P/Conta e Ordem</v>
          </cell>
        </row>
        <row r="3446">
          <cell r="A3446">
            <v>61101407</v>
          </cell>
          <cell r="B3446" t="str">
            <v>6.1.1.01.407</v>
          </cell>
          <cell r="C3446" t="str">
            <v>Remessa Em Consignação</v>
          </cell>
        </row>
        <row r="3447">
          <cell r="A3447">
            <v>61101500</v>
          </cell>
          <cell r="B3447" t="str">
            <v>6.1.1.01.500</v>
          </cell>
          <cell r="C3447" t="str">
            <v>EQUIPAMENTOS EM DEMONSTRACAO</v>
          </cell>
        </row>
        <row r="3448">
          <cell r="A3448">
            <v>61101501</v>
          </cell>
          <cell r="B3448" t="str">
            <v>6.1.1.01.501</v>
          </cell>
          <cell r="C3448" t="str">
            <v>Equipamentos Em Demonstração</v>
          </cell>
        </row>
        <row r="3449">
          <cell r="A3449">
            <v>61101600</v>
          </cell>
          <cell r="B3449" t="str">
            <v>6.1.1.01.600</v>
          </cell>
          <cell r="C3449" t="str">
            <v>ACUCAR EM PODER DE TERCEIROS</v>
          </cell>
        </row>
        <row r="3450">
          <cell r="A3450">
            <v>61101601</v>
          </cell>
          <cell r="B3450" t="str">
            <v>6.1.1.01.601</v>
          </cell>
          <cell r="C3450" t="str">
            <v>Equipamentos em demonstração</v>
          </cell>
        </row>
        <row r="3451">
          <cell r="A3451">
            <v>61101700</v>
          </cell>
          <cell r="B3451" t="str">
            <v>6.1.1.01.700</v>
          </cell>
          <cell r="C3451" t="str">
            <v>LOCACAO DE EQUIPAMENTOS</v>
          </cell>
        </row>
        <row r="3452">
          <cell r="A3452">
            <v>61101701</v>
          </cell>
          <cell r="B3452" t="str">
            <v>6.1.1.01.701</v>
          </cell>
          <cell r="C3452" t="str">
            <v>Remessa P/Locação</v>
          </cell>
        </row>
        <row r="3453">
          <cell r="A3453">
            <v>61101800</v>
          </cell>
          <cell r="B3453" t="str">
            <v>6.1.1.01.800</v>
          </cell>
          <cell r="C3453" t="str">
            <v>REMESSA P/ARMAZENAGEM</v>
          </cell>
        </row>
        <row r="3454">
          <cell r="A3454">
            <v>61101801</v>
          </cell>
          <cell r="B3454" t="str">
            <v>6.1.1.01.801</v>
          </cell>
          <cell r="C3454" t="str">
            <v>Remessa P/Armazenagem</v>
          </cell>
        </row>
        <row r="3455">
          <cell r="A3455">
            <v>61101900</v>
          </cell>
          <cell r="B3455" t="str">
            <v>6.1.1.01.900</v>
          </cell>
          <cell r="C3455" t="str">
            <v>REMESSA P/ INDUSTRIALIZAÇÃO</v>
          </cell>
        </row>
        <row r="3456">
          <cell r="A3456">
            <v>61101901</v>
          </cell>
          <cell r="B3456" t="str">
            <v>6.1.1.01.901</v>
          </cell>
          <cell r="C3456" t="str">
            <v>Remessa P/Industrialização</v>
          </cell>
        </row>
        <row r="3457">
          <cell r="A3457">
            <v>61101902</v>
          </cell>
          <cell r="B3457" t="str">
            <v>6.1.1.01.902</v>
          </cell>
          <cell r="C3457" t="str">
            <v>Remessa P/Indtrl No Campo</v>
          </cell>
        </row>
        <row r="3458">
          <cell r="A3458">
            <v>80000000</v>
          </cell>
          <cell r="B3458" t="str">
            <v>8.0.0.00.000</v>
          </cell>
          <cell r="C3458" t="str">
            <v>RESULTADO BRUTO DO PERIODO</v>
          </cell>
        </row>
        <row r="3459">
          <cell r="A3459">
            <v>81000000</v>
          </cell>
          <cell r="B3459" t="str">
            <v>8.1.0.00.000</v>
          </cell>
          <cell r="C3459" t="str">
            <v>PROVISÃO PARA IRPJ E CSLL</v>
          </cell>
        </row>
        <row r="3460">
          <cell r="A3460">
            <v>81100000</v>
          </cell>
          <cell r="B3460" t="str">
            <v>8.1.1.00.000</v>
          </cell>
          <cell r="C3460" t="str">
            <v>PROVISÃO PARA IRPJ/CSLL</v>
          </cell>
        </row>
        <row r="3461">
          <cell r="A3461">
            <v>81101000</v>
          </cell>
          <cell r="B3461" t="str">
            <v>8.1.1.01.000</v>
          </cell>
          <cell r="C3461" t="str">
            <v>PROVISÃO PARA IRPJ/CSLL</v>
          </cell>
        </row>
        <row r="3462">
          <cell r="A3462">
            <v>81101100</v>
          </cell>
          <cell r="B3462" t="str">
            <v>8.1.1.01.100</v>
          </cell>
          <cell r="C3462" t="str">
            <v>PROVISÃO PARA IRPJ/CSLL</v>
          </cell>
        </row>
        <row r="3463">
          <cell r="A3463">
            <v>81101101</v>
          </cell>
          <cell r="B3463" t="str">
            <v>8.1.1.01.101</v>
          </cell>
          <cell r="C3463" t="str">
            <v>Provisão para IRPJ corrente</v>
          </cell>
        </row>
        <row r="3464">
          <cell r="A3464">
            <v>81101102</v>
          </cell>
          <cell r="B3464" t="str">
            <v>8.1.1.01.102</v>
          </cell>
          <cell r="C3464" t="str">
            <v>Provisão para CSLL corrente</v>
          </cell>
        </row>
        <row r="3465">
          <cell r="A3465">
            <v>81101103</v>
          </cell>
          <cell r="B3465" t="str">
            <v>8.1.1.01.103</v>
          </cell>
          <cell r="C3465" t="str">
            <v>Prov IRPJ/CSLL Reserv. Reavaliação</v>
          </cell>
        </row>
        <row r="3466">
          <cell r="A3466">
            <v>81101104</v>
          </cell>
          <cell r="B3466" t="str">
            <v>8.1.1.01.104</v>
          </cell>
          <cell r="C3466" t="str">
            <v>Provisão IRPJ Diferidos</v>
          </cell>
        </row>
        <row r="3467">
          <cell r="A3467">
            <v>81101105</v>
          </cell>
          <cell r="B3467" t="str">
            <v>8.1.1.01.105</v>
          </cell>
          <cell r="C3467" t="str">
            <v>Provisão CSLL Diferidos</v>
          </cell>
        </row>
        <row r="3468">
          <cell r="A3468">
            <v>81101106</v>
          </cell>
          <cell r="B3468" t="str">
            <v>8.1.1.01.106</v>
          </cell>
          <cell r="C3468" t="str">
            <v>Prov. IR/CS Diferido Bal. Anterior</v>
          </cell>
        </row>
        <row r="3469">
          <cell r="A3469">
            <v>81101107</v>
          </cell>
          <cell r="B3469" t="str">
            <v>8.1.1.01.107</v>
          </cell>
          <cell r="C3469" t="str">
            <v>Provisão para IRPJ 2007</v>
          </cell>
        </row>
        <row r="3470">
          <cell r="A3470">
            <v>81101108</v>
          </cell>
          <cell r="B3470" t="str">
            <v>8.1.1.01.108</v>
          </cell>
          <cell r="C3470" t="str">
            <v>Provisão para CSLL 2007</v>
          </cell>
        </row>
        <row r="3471">
          <cell r="A3471">
            <v>81101198</v>
          </cell>
          <cell r="B3471" t="str">
            <v>8.1.1.01.198</v>
          </cell>
          <cell r="C3471" t="str">
            <v>Transferência para o Diferido</v>
          </cell>
        </row>
        <row r="3472">
          <cell r="A3472">
            <v>82000000</v>
          </cell>
          <cell r="B3472" t="str">
            <v>8.2.0.00.000</v>
          </cell>
          <cell r="C3472" t="str">
            <v>APURAÇÃO DO RESULTADO</v>
          </cell>
        </row>
        <row r="3473">
          <cell r="A3473">
            <v>82100000</v>
          </cell>
          <cell r="B3473" t="str">
            <v>8.2.1.00.000</v>
          </cell>
          <cell r="C3473" t="str">
            <v>APURAÇÃO DO RESULTADO</v>
          </cell>
        </row>
        <row r="3474">
          <cell r="A3474">
            <v>82101000</v>
          </cell>
          <cell r="B3474" t="str">
            <v>8.2.1.01.000</v>
          </cell>
          <cell r="C3474" t="str">
            <v>APURAÇÃO DO RESULTADO</v>
          </cell>
        </row>
        <row r="3475">
          <cell r="A3475">
            <v>82101100</v>
          </cell>
          <cell r="B3475" t="str">
            <v>8.2.1.01.100</v>
          </cell>
          <cell r="C3475" t="str">
            <v>APURAÇÃO DO RESULTADO</v>
          </cell>
        </row>
        <row r="3476">
          <cell r="A3476">
            <v>82101101</v>
          </cell>
          <cell r="B3476" t="str">
            <v>8.2.1.01.101</v>
          </cell>
          <cell r="C3476" t="str">
            <v>Apuração do Resultado Bruto</v>
          </cell>
        </row>
        <row r="3477">
          <cell r="A3477">
            <v>82101102</v>
          </cell>
          <cell r="B3477" t="str">
            <v>8.2.1.01.102</v>
          </cell>
          <cell r="C3477" t="str">
            <v>Apuração do Resultado Liquido exercicio</v>
          </cell>
        </row>
        <row r="3478">
          <cell r="A3478">
            <v>83000000</v>
          </cell>
          <cell r="B3478" t="str">
            <v>8.3.0.00.000</v>
          </cell>
          <cell r="C3478" t="str">
            <v>CONTA ENCERRAMENTO DO BALANÇO</v>
          </cell>
        </row>
        <row r="3479">
          <cell r="A3479">
            <v>83100000</v>
          </cell>
          <cell r="B3479" t="str">
            <v>8.3.1.00.000</v>
          </cell>
          <cell r="C3479" t="str">
            <v>CONTA ENCERRAMENTO DO BALANÇO</v>
          </cell>
        </row>
        <row r="3480">
          <cell r="A3480">
            <v>83101000</v>
          </cell>
          <cell r="B3480" t="str">
            <v>8.3.1.01.000</v>
          </cell>
          <cell r="C3480" t="str">
            <v>CONTA ENCERRAMENTO DO BALANÇO</v>
          </cell>
        </row>
        <row r="3481">
          <cell r="A3481">
            <v>83101100</v>
          </cell>
          <cell r="B3481" t="str">
            <v>8.3.1.01.100</v>
          </cell>
          <cell r="C3481" t="str">
            <v>CONTA ENCERRAMENTO DO BALANÇO</v>
          </cell>
        </row>
        <row r="3482">
          <cell r="A3482">
            <v>83101199</v>
          </cell>
          <cell r="B3482" t="str">
            <v>8.3.1.01.199</v>
          </cell>
          <cell r="C3482" t="str">
            <v>Conta de Encerramento do Balanço</v>
          </cell>
        </row>
        <row r="3483">
          <cell r="A3483">
            <v>90000000</v>
          </cell>
          <cell r="B3483" t="str">
            <v>9.0.0.00.000</v>
          </cell>
          <cell r="C3483" t="str">
            <v>TRANSITORIAS</v>
          </cell>
        </row>
        <row r="3484">
          <cell r="A3484">
            <v>91000000</v>
          </cell>
          <cell r="B3484" t="str">
            <v>9.1.0.00.000</v>
          </cell>
          <cell r="C3484" t="str">
            <v>TRANSITORIAS</v>
          </cell>
        </row>
        <row r="3485">
          <cell r="A3485">
            <v>91100000</v>
          </cell>
          <cell r="B3485" t="str">
            <v>9.1.1.00.000</v>
          </cell>
          <cell r="C3485" t="str">
            <v>TRANSITORIAS</v>
          </cell>
        </row>
        <row r="3486">
          <cell r="A3486">
            <v>91101000</v>
          </cell>
          <cell r="B3486" t="str">
            <v>9.1.1.01.000</v>
          </cell>
          <cell r="C3486" t="str">
            <v>TRANSITORIAS</v>
          </cell>
        </row>
        <row r="3487">
          <cell r="A3487">
            <v>91101100</v>
          </cell>
          <cell r="B3487" t="str">
            <v>9.1.1.01.100</v>
          </cell>
          <cell r="C3487" t="str">
            <v>TRANSITORIAS</v>
          </cell>
        </row>
        <row r="3488">
          <cell r="A3488">
            <v>91101101</v>
          </cell>
          <cell r="B3488" t="str">
            <v>9.1.1.01.101</v>
          </cell>
          <cell r="C3488" t="str">
            <v>Transitoria  de Fornecedores</v>
          </cell>
        </row>
        <row r="3489">
          <cell r="A3489">
            <v>91101102</v>
          </cell>
          <cell r="B3489" t="str">
            <v>9.1.1.01.102</v>
          </cell>
          <cell r="C3489" t="str">
            <v>Transitoria de Substituição</v>
          </cell>
        </row>
        <row r="3490">
          <cell r="A3490">
            <v>91101103</v>
          </cell>
          <cell r="B3490" t="str">
            <v>9.1.1.01.103</v>
          </cell>
          <cell r="C3490" t="str">
            <v>Transitoria de Impostos</v>
          </cell>
        </row>
        <row r="3491">
          <cell r="A3491">
            <v>91101104</v>
          </cell>
          <cell r="B3491" t="str">
            <v>9.1.1.01.104</v>
          </cell>
          <cell r="C3491" t="str">
            <v>Transitoria de Folha de Pagamento</v>
          </cell>
        </row>
        <row r="3492">
          <cell r="A3492">
            <v>91101105</v>
          </cell>
          <cell r="B3492" t="str">
            <v>9.1.1.01.105</v>
          </cell>
          <cell r="C3492" t="str">
            <v>Transitoria do Contas a Pagar</v>
          </cell>
        </row>
        <row r="3493">
          <cell r="A3493">
            <v>91101106</v>
          </cell>
          <cell r="B3493" t="str">
            <v>9.1.1.01.106</v>
          </cell>
          <cell r="C3493" t="str">
            <v>Transitoria de Inss-Folha Pgto</v>
          </cell>
        </row>
        <row r="3494">
          <cell r="A3494">
            <v>91101107</v>
          </cell>
          <cell r="B3494" t="str">
            <v>9.1.1.01.107</v>
          </cell>
          <cell r="C3494" t="str">
            <v>Transitoria de Irrf-Folha Pgto</v>
          </cell>
        </row>
        <row r="3495">
          <cell r="A3495">
            <v>91101108</v>
          </cell>
          <cell r="B3495" t="str">
            <v>9.1.1.01.108</v>
          </cell>
          <cell r="C3495" t="str">
            <v>Transitoria de Fgts-Folha Pagto</v>
          </cell>
        </row>
        <row r="3496">
          <cell r="A3496">
            <v>91101109</v>
          </cell>
          <cell r="B3496" t="str">
            <v>9.1.1.01.109</v>
          </cell>
          <cell r="C3496" t="str">
            <v>Transitoria de Fretes</v>
          </cell>
        </row>
        <row r="3497">
          <cell r="A3497">
            <v>91101110</v>
          </cell>
          <cell r="B3497" t="str">
            <v>9.1.1.01.110</v>
          </cell>
          <cell r="C3497" t="str">
            <v>Transitoria de Clientes (Rec.Vendas)</v>
          </cell>
        </row>
        <row r="3498">
          <cell r="A3498">
            <v>91101111</v>
          </cell>
          <cell r="B3498" t="str">
            <v>9.1.1.01.111</v>
          </cell>
          <cell r="C3498" t="str">
            <v>Transitoria de IPI</v>
          </cell>
        </row>
        <row r="3499">
          <cell r="A3499">
            <v>91101112</v>
          </cell>
          <cell r="B3499" t="str">
            <v>9.1.1.01.112</v>
          </cell>
          <cell r="C3499" t="str">
            <v>Transitoria de ICMS</v>
          </cell>
        </row>
        <row r="3500">
          <cell r="A3500">
            <v>91101113</v>
          </cell>
          <cell r="B3500" t="str">
            <v>9.1.1.01.113</v>
          </cell>
          <cell r="C3500" t="str">
            <v>Transitoria de Pis</v>
          </cell>
        </row>
        <row r="3501">
          <cell r="A3501">
            <v>91101114</v>
          </cell>
          <cell r="B3501" t="str">
            <v>9.1.1.01.114</v>
          </cell>
          <cell r="C3501" t="str">
            <v>Transitoria de Iss</v>
          </cell>
        </row>
        <row r="3502">
          <cell r="A3502">
            <v>91101115</v>
          </cell>
          <cell r="B3502" t="str">
            <v>9.1.1.01.115</v>
          </cell>
          <cell r="C3502" t="str">
            <v>Transitoria de Cofins</v>
          </cell>
        </row>
        <row r="3503">
          <cell r="A3503">
            <v>91101116</v>
          </cell>
          <cell r="B3503" t="str">
            <v>9.1.1.01.116</v>
          </cell>
          <cell r="C3503" t="str">
            <v>Transitoria Devolução Clientes</v>
          </cell>
        </row>
        <row r="3504">
          <cell r="A3504">
            <v>91101117</v>
          </cell>
          <cell r="B3504" t="str">
            <v>9.1.1.01.117</v>
          </cell>
          <cell r="C3504" t="str">
            <v>Transitoria de Transferencia</v>
          </cell>
        </row>
        <row r="3505">
          <cell r="A3505">
            <v>91101118</v>
          </cell>
          <cell r="B3505" t="str">
            <v>9.1.1.01.118</v>
          </cell>
          <cell r="C3505" t="str">
            <v>Transitoria de Mao de Obra</v>
          </cell>
        </row>
        <row r="3506">
          <cell r="A3506">
            <v>91101119</v>
          </cell>
          <cell r="B3506" t="str">
            <v>9.1.1.01.119</v>
          </cell>
          <cell r="C3506" t="str">
            <v>Transitoria de Devolução Fornecedores</v>
          </cell>
        </row>
        <row r="3507">
          <cell r="A3507">
            <v>91101120</v>
          </cell>
          <cell r="B3507" t="str">
            <v>9.1.1.01.120</v>
          </cell>
          <cell r="C3507" t="str">
            <v>Transitoria Saldo Estoque</v>
          </cell>
        </row>
        <row r="3508">
          <cell r="A3508">
            <v>91101121</v>
          </cell>
          <cell r="B3508" t="str">
            <v>9.1.1.01.121</v>
          </cell>
          <cell r="C3508" t="str">
            <v>Transitoria de Ordem Item Debito Direto</v>
          </cell>
        </row>
        <row r="3509">
          <cell r="A3509">
            <v>91101122</v>
          </cell>
          <cell r="B3509" t="str">
            <v>9.1.1.01.122</v>
          </cell>
          <cell r="C3509" t="str">
            <v>Transitoria de Imobilizado</v>
          </cell>
        </row>
        <row r="3510">
          <cell r="A3510">
            <v>91101123</v>
          </cell>
          <cell r="B3510" t="str">
            <v>9.1.1.01.123</v>
          </cell>
          <cell r="C3510" t="str">
            <v>Transitoria de Mutuo</v>
          </cell>
        </row>
        <row r="3511">
          <cell r="A3511">
            <v>91101124</v>
          </cell>
          <cell r="B3511" t="str">
            <v>9.1.1.01.124</v>
          </cell>
          <cell r="C3511" t="str">
            <v>Transitoria de Fornecedores de Cana</v>
          </cell>
        </row>
        <row r="3512">
          <cell r="A3512">
            <v>91101125</v>
          </cell>
          <cell r="B3512" t="str">
            <v>9.1.1.01.125</v>
          </cell>
          <cell r="C3512" t="str">
            <v>Transitoria de Sindicato Fopaaz</v>
          </cell>
        </row>
        <row r="3513">
          <cell r="A3513">
            <v>91101126</v>
          </cell>
          <cell r="B3513" t="str">
            <v>9.1.1.01.126</v>
          </cell>
          <cell r="C3513" t="str">
            <v>Transitoria Gremio - Geru</v>
          </cell>
        </row>
        <row r="3514">
          <cell r="A3514">
            <v>91101127</v>
          </cell>
          <cell r="B3514" t="str">
            <v>9.1.1.01.127</v>
          </cell>
          <cell r="C3514" t="str">
            <v>Transitoria de Rescisao</v>
          </cell>
        </row>
        <row r="3515">
          <cell r="A3515">
            <v>91101128</v>
          </cell>
          <cell r="B3515" t="str">
            <v>9.1.1.01.128</v>
          </cell>
          <cell r="C3515" t="str">
            <v>Transitoria Vale Transporte</v>
          </cell>
        </row>
        <row r="3516">
          <cell r="A3516">
            <v>91101129</v>
          </cell>
          <cell r="B3516" t="str">
            <v>9.1.1.01.129</v>
          </cell>
          <cell r="C3516" t="str">
            <v>Transitoria de Icms Subst. Tribut.</v>
          </cell>
        </row>
        <row r="3517">
          <cell r="A3517">
            <v>91101130</v>
          </cell>
          <cell r="B3517" t="str">
            <v>9.1.1.01.130</v>
          </cell>
          <cell r="C3517" t="str">
            <v>Transitoria de Acerto ACR</v>
          </cell>
        </row>
        <row r="3518">
          <cell r="A3518">
            <v>91101131</v>
          </cell>
          <cell r="B3518" t="str">
            <v>9.1.1.01.131</v>
          </cell>
          <cell r="C3518" t="str">
            <v>Transitoria de Implant.Saldos Contabeis</v>
          </cell>
        </row>
        <row r="3519">
          <cell r="A3519">
            <v>91101132</v>
          </cell>
          <cell r="B3519" t="str">
            <v>9.1.1.01.132</v>
          </cell>
          <cell r="C3519" t="str">
            <v>Transitoria APL</v>
          </cell>
        </row>
        <row r="3520">
          <cell r="A3520">
            <v>91101133</v>
          </cell>
          <cell r="B3520" t="str">
            <v>9.1.1.01.133</v>
          </cell>
          <cell r="C3520" t="str">
            <v>Transitoria Pensão Alim.-Folha Pgto</v>
          </cell>
        </row>
        <row r="3521">
          <cell r="A3521">
            <v>91101134</v>
          </cell>
          <cell r="B3521" t="str">
            <v>9.1.1.01.134</v>
          </cell>
          <cell r="C3521" t="str">
            <v>Transitoria Acertos Dupon</v>
          </cell>
        </row>
        <row r="3522">
          <cell r="A3522">
            <v>91101135</v>
          </cell>
          <cell r="B3522" t="str">
            <v>9.1.1.01.135</v>
          </cell>
          <cell r="C3522" t="str">
            <v>Transitória de Banco</v>
          </cell>
        </row>
        <row r="3523">
          <cell r="A3523">
            <v>91101136</v>
          </cell>
          <cell r="B3523" t="str">
            <v>9.1.1.01.136</v>
          </cell>
          <cell r="C3523" t="str">
            <v>Transitoria de emprestimo funcionarios</v>
          </cell>
        </row>
        <row r="3524">
          <cell r="A3524">
            <v>91101137</v>
          </cell>
          <cell r="B3524" t="str">
            <v>9.1.1.01.137</v>
          </cell>
          <cell r="C3524" t="str">
            <v>Transitória de Medição</v>
          </cell>
        </row>
        <row r="3525">
          <cell r="A3525">
            <v>91101138</v>
          </cell>
          <cell r="B3525" t="str">
            <v>9.1.1.01.138</v>
          </cell>
          <cell r="C3525" t="str">
            <v>Transitória Entressafra</v>
          </cell>
        </row>
        <row r="3526">
          <cell r="A3526">
            <v>91101139</v>
          </cell>
          <cell r="B3526" t="str">
            <v>9.1.1.01.139</v>
          </cell>
          <cell r="C3526" t="str">
            <v>Transitoria de Serviços</v>
          </cell>
        </row>
        <row r="3527">
          <cell r="A3527">
            <v>91101140</v>
          </cell>
          <cell r="B3527" t="str">
            <v>9.1.1.01.140</v>
          </cell>
          <cell r="C3527" t="str">
            <v>Transitoria de IR s/ Serviços</v>
          </cell>
        </row>
        <row r="3528">
          <cell r="A3528">
            <v>91101141</v>
          </cell>
          <cell r="B3528" t="str">
            <v>9.1.1.01.141</v>
          </cell>
          <cell r="C3528" t="str">
            <v>Transitoria de Retenção 4,65% Pis/Cofins</v>
          </cell>
        </row>
        <row r="3529">
          <cell r="A3529">
            <v>91101142</v>
          </cell>
          <cell r="B3529" t="str">
            <v>9.1.1.01.142</v>
          </cell>
          <cell r="C3529" t="str">
            <v>Transitoria de Plantio</v>
          </cell>
        </row>
        <row r="3530">
          <cell r="A3530">
            <v>91101143</v>
          </cell>
          <cell r="B3530" t="str">
            <v>9.1.1.01.143</v>
          </cell>
          <cell r="C3530" t="str">
            <v>Transitoria de entressafra</v>
          </cell>
        </row>
        <row r="3531">
          <cell r="A3531">
            <v>91101144</v>
          </cell>
          <cell r="B3531" t="str">
            <v>9.1.1.01.144</v>
          </cell>
          <cell r="C3531" t="str">
            <v>Transitoria transferencia-Posto</v>
          </cell>
        </row>
        <row r="3532">
          <cell r="A3532">
            <v>91101145</v>
          </cell>
          <cell r="B3532" t="str">
            <v>9.1.1.01.145</v>
          </cell>
          <cell r="C3532" t="str">
            <v>Transitoria Depreciacao Entressafra</v>
          </cell>
        </row>
        <row r="3533">
          <cell r="A3533">
            <v>91101146</v>
          </cell>
          <cell r="B3533" t="str">
            <v>9.1.1.01.146</v>
          </cell>
          <cell r="C3533" t="str">
            <v>Transitoria de ACC</v>
          </cell>
        </row>
        <row r="3534">
          <cell r="A3534">
            <v>91101147</v>
          </cell>
          <cell r="B3534" t="str">
            <v>9.1.1.01.147</v>
          </cell>
          <cell r="C3534" t="str">
            <v>Transitoria de transferencia de Combust.</v>
          </cell>
        </row>
        <row r="3535">
          <cell r="A3535">
            <v>91101148</v>
          </cell>
          <cell r="B3535" t="str">
            <v>9.1.1.01.148</v>
          </cell>
          <cell r="C3535" t="str">
            <v>Transitoria transferencia rem. export.</v>
          </cell>
        </row>
        <row r="3536">
          <cell r="A3536">
            <v>99000000</v>
          </cell>
          <cell r="B3536" t="str">
            <v>9.9.0.00.000</v>
          </cell>
          <cell r="C3536" t="str">
            <v>AJUSTES GERENCIAIS</v>
          </cell>
        </row>
        <row r="3537">
          <cell r="A3537">
            <v>99900000</v>
          </cell>
          <cell r="B3537" t="str">
            <v>9.9.9.00.000</v>
          </cell>
          <cell r="C3537" t="str">
            <v>AJUSTES GERENCIAIS</v>
          </cell>
        </row>
        <row r="3538">
          <cell r="A3538">
            <v>99909000</v>
          </cell>
          <cell r="B3538" t="str">
            <v>9.9.9.09.000</v>
          </cell>
          <cell r="C3538" t="str">
            <v>AJUSTES GERENCIAIS</v>
          </cell>
        </row>
        <row r="3539">
          <cell r="A3539">
            <v>99909001</v>
          </cell>
          <cell r="B3539" t="str">
            <v>9.9.9.09.001</v>
          </cell>
          <cell r="C3539" t="str">
            <v>Ajustes Gerenciais Salarios e Encargos</v>
          </cell>
        </row>
        <row r="3540">
          <cell r="A3540">
            <v>99909010</v>
          </cell>
          <cell r="B3540" t="str">
            <v>9.9.9.09.010</v>
          </cell>
          <cell r="C3540" t="str">
            <v>Ajustes Gerenciais Insumos Industriais</v>
          </cell>
        </row>
        <row r="3541">
          <cell r="A3541">
            <v>99909020</v>
          </cell>
          <cell r="B3541" t="str">
            <v>9.9.9.09.020</v>
          </cell>
          <cell r="C3541" t="str">
            <v>Ajustes Gerenciais Manutenção e Reparo</v>
          </cell>
        </row>
        <row r="3542">
          <cell r="A3542">
            <v>99909030</v>
          </cell>
          <cell r="B3542" t="str">
            <v>9.9.9.09.030</v>
          </cell>
          <cell r="C3542" t="str">
            <v>Ajustes Gerenciais Serviços Terceiros</v>
          </cell>
        </row>
        <row r="3543">
          <cell r="A3543">
            <v>99909040</v>
          </cell>
          <cell r="B3543" t="str">
            <v>9.9.9.09.040</v>
          </cell>
          <cell r="C3543" t="str">
            <v>Ajustes Gerenciais Gastos Gerais</v>
          </cell>
        </row>
        <row r="3544">
          <cell r="A3544">
            <v>99909050</v>
          </cell>
          <cell r="B3544" t="str">
            <v>9.9.9.09.050</v>
          </cell>
          <cell r="C3544" t="str">
            <v>Ajustes Gerenciais Depreciações</v>
          </cell>
        </row>
        <row r="3545">
          <cell r="A3545">
            <v>99909060</v>
          </cell>
          <cell r="B3545" t="str">
            <v>9.9.9.09.060</v>
          </cell>
          <cell r="C3545" t="str">
            <v>Ajustes Gerenciais Combustiveis</v>
          </cell>
        </row>
        <row r="3546">
          <cell r="A3546">
            <v>99909070</v>
          </cell>
          <cell r="B3546" t="str">
            <v>9.9.9.09.070</v>
          </cell>
          <cell r="C3546" t="str">
            <v>Ajustes Gerenciais Formação de Lavoura</v>
          </cell>
        </row>
        <row r="3547">
          <cell r="A3547">
            <v>99909080</v>
          </cell>
          <cell r="B3547" t="str">
            <v>9.9.9.09.080</v>
          </cell>
          <cell r="C3547" t="str">
            <v>Ajustes Gerenciais Tratos Cana Soca</v>
          </cell>
        </row>
        <row r="3548">
          <cell r="A3548">
            <v>99909090</v>
          </cell>
          <cell r="B3548" t="str">
            <v>9.9.9.09.090</v>
          </cell>
          <cell r="C3548" t="str">
            <v>Ajustes Gerenciais Colheita</v>
          </cell>
        </row>
        <row r="3549">
          <cell r="A3549">
            <v>99909998</v>
          </cell>
          <cell r="B3549" t="str">
            <v>9.9.9.09.998</v>
          </cell>
          <cell r="C3549" t="str">
            <v>Absorção Custos não utilizados Orçamento</v>
          </cell>
        </row>
        <row r="3550">
          <cell r="A3550">
            <v>99909999</v>
          </cell>
          <cell r="B3550" t="str">
            <v>9.9.9.09.999</v>
          </cell>
          <cell r="C3550" t="str">
            <v>Ajustes Gerenciais 102 p/ 101</v>
          </cell>
        </row>
        <row r="3551">
          <cell r="B3551" t="str">
            <v>1.0.00.00</v>
          </cell>
          <cell r="C3551" t="str">
            <v>ATIVO</v>
          </cell>
        </row>
        <row r="3552">
          <cell r="B3552" t="str">
            <v>1.1.00.00</v>
          </cell>
          <cell r="C3552" t="str">
            <v>ATIVO CIRCULANTE</v>
          </cell>
        </row>
        <row r="3553">
          <cell r="B3553" t="str">
            <v>1.1.01.00</v>
          </cell>
          <cell r="C3553" t="str">
            <v>NUMERARIOS</v>
          </cell>
        </row>
        <row r="3554">
          <cell r="B3554" t="str">
            <v>1.1.01.01</v>
          </cell>
          <cell r="C3554" t="str">
            <v>Caixas</v>
          </cell>
        </row>
        <row r="3555">
          <cell r="B3555" t="str">
            <v>1.1.02.00</v>
          </cell>
          <cell r="C3555" t="str">
            <v>BANCOS CONTA MOVIMENTO</v>
          </cell>
        </row>
        <row r="3556">
          <cell r="B3556" t="str">
            <v>1.1.02.01</v>
          </cell>
          <cell r="C3556" t="str">
            <v>Bancos</v>
          </cell>
        </row>
        <row r="3557">
          <cell r="B3557" t="str">
            <v>1.1.03.00</v>
          </cell>
          <cell r="C3557" t="str">
            <v>APLICACOES FINANCEIRAS</v>
          </cell>
        </row>
        <row r="3558">
          <cell r="B3558" t="str">
            <v>1.1.03.01</v>
          </cell>
          <cell r="C3558" t="str">
            <v>Aplicacoes Financeiras</v>
          </cell>
        </row>
        <row r="3559">
          <cell r="B3559" t="str">
            <v>1.2.00.00</v>
          </cell>
          <cell r="C3559" t="str">
            <v>REALIZAVEL</v>
          </cell>
        </row>
        <row r="3560">
          <cell r="B3560" t="str">
            <v>1.2.01.00</v>
          </cell>
          <cell r="C3560" t="str">
            <v>DUPLICATAS A RECEBER</v>
          </cell>
        </row>
        <row r="3561">
          <cell r="B3561" t="str">
            <v>1.2.01.01</v>
          </cell>
          <cell r="C3561" t="str">
            <v>Clientes</v>
          </cell>
        </row>
        <row r="3562">
          <cell r="B3562" t="str">
            <v>1.2.02.00</v>
          </cell>
          <cell r="C3562" t="str">
            <v>(-) DUPLICATAS DESCONTADAS</v>
          </cell>
        </row>
        <row r="3563">
          <cell r="B3563" t="str">
            <v>1.2.02.01</v>
          </cell>
          <cell r="C3563" t="str">
            <v>(-) Duplicatas Descontadas</v>
          </cell>
        </row>
        <row r="3564">
          <cell r="B3564" t="str">
            <v>1.2.03.00</v>
          </cell>
          <cell r="C3564" t="str">
            <v>OUTROS CREDITOS</v>
          </cell>
        </row>
        <row r="3565">
          <cell r="B3565" t="str">
            <v>1.2.03.01</v>
          </cell>
          <cell r="C3565" t="str">
            <v>Adiantamentos Sal.Fer.Viagens</v>
          </cell>
        </row>
        <row r="3566">
          <cell r="B3566" t="str">
            <v>1.2.04.00</v>
          </cell>
          <cell r="C3566" t="str">
            <v>ADIANTAMENTOS A FORNECEDORES</v>
          </cell>
        </row>
        <row r="3567">
          <cell r="B3567" t="str">
            <v>1.2.04.01</v>
          </cell>
          <cell r="C3567" t="str">
            <v>Adiantamentos a Fornecedores</v>
          </cell>
        </row>
        <row r="3568">
          <cell r="B3568" t="str">
            <v>1.2.05.00</v>
          </cell>
          <cell r="C3568" t="str">
            <v>ADIANTAMENTOS A COLIGADAS</v>
          </cell>
        </row>
        <row r="3569">
          <cell r="B3569" t="str">
            <v>1.2.05.01</v>
          </cell>
          <cell r="C3569" t="str">
            <v>Adiantamentos a Coligadas</v>
          </cell>
        </row>
        <row r="3570">
          <cell r="B3570" t="str">
            <v>1.2.06.00</v>
          </cell>
          <cell r="C3570" t="str">
            <v>IMPOSTOS A RECUPERAR</v>
          </cell>
        </row>
        <row r="3571">
          <cell r="B3571" t="str">
            <v>1.2.06.01</v>
          </cell>
          <cell r="C3571" t="str">
            <v>Impostos a Recuperar</v>
          </cell>
        </row>
        <row r="3572">
          <cell r="B3572" t="str">
            <v>1.2.07.00</v>
          </cell>
          <cell r="C3572" t="str">
            <v>SOCIEDADES RELACIONADAS</v>
          </cell>
        </row>
        <row r="3573">
          <cell r="B3573" t="str">
            <v>1.2.07.01</v>
          </cell>
          <cell r="C3573" t="str">
            <v>Sociedades Relacionadas</v>
          </cell>
        </row>
        <row r="3574">
          <cell r="B3574" t="str">
            <v>1.2.08.00</v>
          </cell>
          <cell r="C3574" t="str">
            <v>(-)PROVISOES P/DEVEDORES DUVIDOSOS</v>
          </cell>
        </row>
        <row r="3575">
          <cell r="B3575" t="str">
            <v>1.2.08.01</v>
          </cell>
          <cell r="C3575" t="str">
            <v>(-)Provisoes p/Devedores Duvidosos</v>
          </cell>
        </row>
        <row r="3576">
          <cell r="B3576" t="str">
            <v>1.2.09.00</v>
          </cell>
          <cell r="C3576" t="str">
            <v>PROVISAO P/PERDAS DE IMPOSTOS</v>
          </cell>
        </row>
        <row r="3577">
          <cell r="B3577" t="str">
            <v>1.2.09.01</v>
          </cell>
          <cell r="C3577" t="str">
            <v>Provisao p/Perdas de Impostos</v>
          </cell>
        </row>
        <row r="3578">
          <cell r="B3578" t="str">
            <v>1.2.10.00</v>
          </cell>
          <cell r="C3578" t="str">
            <v>IRRPJ/CSLL DIFERIDOS</v>
          </cell>
        </row>
        <row r="3579">
          <cell r="B3579" t="str">
            <v>1.2.10.01</v>
          </cell>
          <cell r="C3579" t="str">
            <v>Irrpj/Csll Diferidos</v>
          </cell>
        </row>
        <row r="3580">
          <cell r="B3580" t="str">
            <v>1.3.00.00</v>
          </cell>
          <cell r="C3580" t="str">
            <v>ESTOQUES</v>
          </cell>
        </row>
        <row r="3581">
          <cell r="B3581" t="str">
            <v>1.3.01.00</v>
          </cell>
          <cell r="C3581" t="str">
            <v>ESTOQUES</v>
          </cell>
        </row>
        <row r="3582">
          <cell r="B3582" t="str">
            <v>1.3.01.01</v>
          </cell>
          <cell r="C3582" t="str">
            <v>Produtos Acabados</v>
          </cell>
        </row>
        <row r="3583">
          <cell r="B3583" t="str">
            <v>1.3.01.02</v>
          </cell>
          <cell r="C3583" t="str">
            <v>Produtos em Elaboracao</v>
          </cell>
        </row>
        <row r="3584">
          <cell r="B3584" t="str">
            <v>1.3.01.03</v>
          </cell>
          <cell r="C3584" t="str">
            <v>Provisao p/Manut.de Entressafra</v>
          </cell>
        </row>
        <row r="3585">
          <cell r="B3585" t="str">
            <v>1.3.01.04</v>
          </cell>
          <cell r="C3585" t="str">
            <v>Posto de Abastecimento</v>
          </cell>
        </row>
        <row r="3586">
          <cell r="B3586" t="str">
            <v>1.3.01.05</v>
          </cell>
          <cell r="C3586" t="str">
            <v>Almoxarifado</v>
          </cell>
        </row>
        <row r="3587">
          <cell r="B3587" t="str">
            <v>1.3.01.06</v>
          </cell>
          <cell r="C3587" t="str">
            <v>Materia Prima</v>
          </cell>
        </row>
        <row r="3588">
          <cell r="B3588" t="str">
            <v>1.3.06.00</v>
          </cell>
          <cell r="C3588" t="str">
            <v>TRATOS CULTURAIS - CANA FORMADA</v>
          </cell>
        </row>
        <row r="3589">
          <cell r="B3589" t="str">
            <v>1.3.06.01</v>
          </cell>
          <cell r="C3589" t="str">
            <v>Fazendas</v>
          </cell>
        </row>
        <row r="3590">
          <cell r="B3590" t="str">
            <v>1.3.08.00</v>
          </cell>
          <cell r="C3590" t="str">
            <v>ORDENS EM PROCESSO</v>
          </cell>
        </row>
        <row r="3591">
          <cell r="B3591" t="str">
            <v>1.3.08.01</v>
          </cell>
          <cell r="C3591" t="str">
            <v>Ordens em Processo</v>
          </cell>
        </row>
        <row r="3592">
          <cell r="B3592" t="str">
            <v>1.4.00.00</v>
          </cell>
          <cell r="C3592" t="str">
            <v>DEPOSITO CAUCAO</v>
          </cell>
        </row>
        <row r="3593">
          <cell r="B3593" t="str">
            <v>1.4.01.00</v>
          </cell>
          <cell r="C3593" t="str">
            <v>DEPOSITO CAUCAO</v>
          </cell>
        </row>
        <row r="3594">
          <cell r="B3594" t="str">
            <v>1.4.01.01</v>
          </cell>
          <cell r="C3594" t="str">
            <v>Deposito Caucao</v>
          </cell>
        </row>
        <row r="3595">
          <cell r="B3595" t="str">
            <v>1.6.00.00</v>
          </cell>
          <cell r="C3595" t="str">
            <v>DESPESAS FUTURAS</v>
          </cell>
        </row>
        <row r="3596">
          <cell r="B3596" t="str">
            <v>1.6.01.00</v>
          </cell>
          <cell r="C3596" t="str">
            <v>DESPESAS A APROPRIAR</v>
          </cell>
        </row>
        <row r="3597">
          <cell r="B3597" t="str">
            <v>1.6.01.01</v>
          </cell>
          <cell r="C3597" t="str">
            <v>Despesas a Apropriar</v>
          </cell>
        </row>
        <row r="3598">
          <cell r="B3598" t="str">
            <v>1.7.00.00</v>
          </cell>
          <cell r="C3598" t="str">
            <v>REALIZAVEL A LONGO PRAZO</v>
          </cell>
        </row>
        <row r="3599">
          <cell r="B3599" t="str">
            <v>1.7.01.00</v>
          </cell>
          <cell r="C3599" t="str">
            <v>CREDITOS E VALORES</v>
          </cell>
        </row>
        <row r="3600">
          <cell r="B3600" t="str">
            <v>1.7.01.01</v>
          </cell>
          <cell r="C3600" t="str">
            <v>Depositos Judiciais</v>
          </cell>
        </row>
        <row r="3601">
          <cell r="B3601" t="str">
            <v>1.7.02.00</v>
          </cell>
          <cell r="C3601" t="str">
            <v>TITULOS DE CAPITALIZACAO</v>
          </cell>
        </row>
        <row r="3602">
          <cell r="B3602" t="str">
            <v>1.7.02.01</v>
          </cell>
          <cell r="C3602" t="str">
            <v>Titulos de Capitalizacao</v>
          </cell>
        </row>
        <row r="3603">
          <cell r="B3603" t="str">
            <v>1.7.03.00</v>
          </cell>
          <cell r="C3603" t="str">
            <v>DEPOSITO CAUCAO</v>
          </cell>
        </row>
        <row r="3604">
          <cell r="B3604" t="str">
            <v>1.7.03.01</v>
          </cell>
          <cell r="C3604" t="str">
            <v>Deposito Caucao</v>
          </cell>
        </row>
        <row r="3605">
          <cell r="B3605" t="str">
            <v>1.7.04.00</v>
          </cell>
          <cell r="C3605" t="str">
            <v>PROVISOES P/PERDAS</v>
          </cell>
        </row>
        <row r="3606">
          <cell r="B3606" t="str">
            <v>1.7.04.01</v>
          </cell>
          <cell r="C3606" t="str">
            <v>Emprestimos Compulsorios</v>
          </cell>
        </row>
        <row r="3607">
          <cell r="B3607" t="str">
            <v>1.7.05.00</v>
          </cell>
          <cell r="C3607" t="str">
            <v>SOCIEDADES RELACIONADAS</v>
          </cell>
        </row>
        <row r="3608">
          <cell r="B3608" t="str">
            <v>1.7.05.01</v>
          </cell>
          <cell r="C3608" t="str">
            <v>Sociedades Relacionadas</v>
          </cell>
        </row>
        <row r="3609">
          <cell r="B3609" t="str">
            <v>1.7.06.00</v>
          </cell>
          <cell r="C3609" t="str">
            <v>IRPJ/CSLL DIFERIDOS - L.P.</v>
          </cell>
        </row>
        <row r="3610">
          <cell r="B3610" t="str">
            <v>1.7.06.01</v>
          </cell>
          <cell r="C3610" t="str">
            <v>Ir/Cs Diferidos</v>
          </cell>
        </row>
        <row r="3611">
          <cell r="B3611" t="str">
            <v>1.8.00.00</v>
          </cell>
          <cell r="C3611" t="str">
            <v>ATIVO PERMANENTE</v>
          </cell>
        </row>
        <row r="3612">
          <cell r="B3612" t="str">
            <v>1.8.01.00</v>
          </cell>
          <cell r="C3612" t="str">
            <v>INVESTIMENTOS</v>
          </cell>
        </row>
        <row r="3613">
          <cell r="B3613" t="str">
            <v>1.8.01.01</v>
          </cell>
          <cell r="C3613" t="str">
            <v>Participacoes</v>
          </cell>
        </row>
        <row r="3614">
          <cell r="B3614" t="str">
            <v>1.8.02.00</v>
          </cell>
          <cell r="C3614" t="str">
            <v>(-) EQUIV.PATRIMONIAL/AMORTIZ.AGIO</v>
          </cell>
        </row>
        <row r="3615">
          <cell r="B3615" t="str">
            <v>1.8.02.01</v>
          </cell>
          <cell r="C3615" t="str">
            <v>(-) Equivalencias</v>
          </cell>
        </row>
        <row r="3616">
          <cell r="B3616" t="str">
            <v>1.8.03.00</v>
          </cell>
          <cell r="C3616" t="str">
            <v>AFAC ADIANT.P/FUTURO AUM.CAPITAL</v>
          </cell>
        </row>
        <row r="3617">
          <cell r="B3617" t="str">
            <v>1.8.03.01</v>
          </cell>
          <cell r="C3617" t="str">
            <v>Afacs</v>
          </cell>
        </row>
        <row r="3618">
          <cell r="B3618" t="str">
            <v>1.8.04.00</v>
          </cell>
          <cell r="C3618" t="str">
            <v>TITULOS DO GOVERNO</v>
          </cell>
        </row>
        <row r="3619">
          <cell r="B3619" t="str">
            <v>1.8.04.01</v>
          </cell>
          <cell r="C3619" t="str">
            <v>Titulos e Apolices</v>
          </cell>
        </row>
        <row r="3620">
          <cell r="B3620" t="str">
            <v>1.8.05.00</v>
          </cell>
          <cell r="C3620" t="str">
            <v>(-) PROVISOES P/PERDAS</v>
          </cell>
        </row>
        <row r="3621">
          <cell r="B3621" t="str">
            <v>1.8.05.01</v>
          </cell>
          <cell r="C3621" t="str">
            <v>(-) Provisoes p/Perdas</v>
          </cell>
        </row>
        <row r="3622">
          <cell r="B3622" t="str">
            <v>1.8.06.00</v>
          </cell>
          <cell r="C3622" t="str">
            <v>IMOBILIZADO</v>
          </cell>
        </row>
        <row r="3623">
          <cell r="B3623" t="str">
            <v>1.8.06.01</v>
          </cell>
          <cell r="C3623" t="str">
            <v>Imoveis</v>
          </cell>
        </row>
        <row r="3624">
          <cell r="B3624" t="str">
            <v>1.8.06.02</v>
          </cell>
          <cell r="C3624" t="str">
            <v>Edificacoes</v>
          </cell>
        </row>
        <row r="3625">
          <cell r="B3625" t="str">
            <v>1.8.06.03</v>
          </cell>
          <cell r="C3625" t="str">
            <v>Obras de Infra Estrutura</v>
          </cell>
        </row>
        <row r="3626">
          <cell r="B3626" t="str">
            <v>1.8.06.04</v>
          </cell>
          <cell r="C3626" t="str">
            <v>Maquinas e Equipamentos</v>
          </cell>
        </row>
        <row r="3627">
          <cell r="B3627" t="str">
            <v>1.8.06.05</v>
          </cell>
          <cell r="C3627" t="str">
            <v>Veiculos</v>
          </cell>
        </row>
        <row r="3628">
          <cell r="B3628" t="str">
            <v>1.8.06.06</v>
          </cell>
          <cell r="C3628" t="str">
            <v>Implementos Agricolas</v>
          </cell>
        </row>
        <row r="3629">
          <cell r="B3629" t="str">
            <v>1.8.06.07</v>
          </cell>
          <cell r="C3629" t="str">
            <v>Moveis e Utensilios</v>
          </cell>
        </row>
        <row r="3630">
          <cell r="B3630" t="str">
            <v>1.8.06.08</v>
          </cell>
          <cell r="C3630" t="str">
            <v>Aparelhos e Equipamentos</v>
          </cell>
        </row>
        <row r="3631">
          <cell r="B3631" t="str">
            <v>1.8.06.09</v>
          </cell>
          <cell r="C3631" t="str">
            <v>Computadores e Perifericos</v>
          </cell>
        </row>
        <row r="3632">
          <cell r="B3632" t="str">
            <v>1.8.06.10</v>
          </cell>
          <cell r="C3632" t="str">
            <v>Ferramentas e Utensilios</v>
          </cell>
        </row>
        <row r="3633">
          <cell r="B3633" t="str">
            <v>1.8.06.11</v>
          </cell>
          <cell r="C3633" t="str">
            <v>Equipamentos de Seguranca</v>
          </cell>
        </row>
        <row r="3634">
          <cell r="B3634" t="str">
            <v>1.8.06.12</v>
          </cell>
          <cell r="C3634" t="str">
            <v>Instalacoes</v>
          </cell>
        </row>
        <row r="3635">
          <cell r="B3635" t="str">
            <v>1.8.06.13</v>
          </cell>
          <cell r="C3635" t="str">
            <v>Outras Imobilizacoes</v>
          </cell>
        </row>
        <row r="3636">
          <cell r="B3636" t="str">
            <v>1.8.06.14</v>
          </cell>
          <cell r="C3636" t="str">
            <v>Imobilizado em Andamento</v>
          </cell>
        </row>
        <row r="3637">
          <cell r="B3637" t="str">
            <v>1.8.07.00</v>
          </cell>
          <cell r="C3637" t="str">
            <v>ADIANTAMENTO AQUISICAO IMOBILIZADO</v>
          </cell>
        </row>
        <row r="3638">
          <cell r="B3638" t="str">
            <v>1.8.07.01</v>
          </cell>
          <cell r="C3638" t="str">
            <v>Adiantamentos Aq.Imobilizados</v>
          </cell>
        </row>
        <row r="3639">
          <cell r="B3639" t="str">
            <v>1.8.08.00</v>
          </cell>
          <cell r="C3639" t="str">
            <v>DEPRECIACOES</v>
          </cell>
        </row>
        <row r="3640">
          <cell r="B3640" t="str">
            <v>1.8.08.01</v>
          </cell>
          <cell r="C3640" t="str">
            <v>Depreciacoes</v>
          </cell>
        </row>
        <row r="3641">
          <cell r="B3641" t="str">
            <v>1.8.09.00</v>
          </cell>
          <cell r="C3641" t="str">
            <v>IMOBILIZADO LAVOURAS</v>
          </cell>
        </row>
        <row r="3642">
          <cell r="B3642" t="str">
            <v>1.8.09.01</v>
          </cell>
          <cell r="C3642" t="str">
            <v>Fazendas</v>
          </cell>
        </row>
        <row r="3643">
          <cell r="B3643" t="str">
            <v>1.8.09.02</v>
          </cell>
          <cell r="C3643" t="str">
            <v>Depreciacao Lavouras Formadas</v>
          </cell>
        </row>
        <row r="3644">
          <cell r="B3644" t="str">
            <v>1.8.10.00</v>
          </cell>
          <cell r="C3644" t="str">
            <v>IMOBILIZADO EM ANDAMENTO</v>
          </cell>
        </row>
        <row r="3645">
          <cell r="B3645" t="str">
            <v>1.8.10.01</v>
          </cell>
          <cell r="C3645" t="str">
            <v>Imobilizados em Andamento</v>
          </cell>
        </row>
        <row r="3646">
          <cell r="B3646" t="str">
            <v>1.8.11.00</v>
          </cell>
          <cell r="C3646" t="str">
            <v>ARRENDAMENTO MERCANTIL-LEASING</v>
          </cell>
        </row>
        <row r="3647">
          <cell r="B3647" t="str">
            <v>1.8.11.01</v>
          </cell>
          <cell r="C3647" t="str">
            <v>Leasings</v>
          </cell>
        </row>
        <row r="3648">
          <cell r="B3648" t="str">
            <v>1.8.12.00</v>
          </cell>
          <cell r="C3648" t="str">
            <v>IMOBILIZADO LAVOURAS EM FORMACAO</v>
          </cell>
        </row>
        <row r="3649">
          <cell r="B3649" t="str">
            <v>1.8.12.01</v>
          </cell>
          <cell r="C3649" t="str">
            <v>Lavouras em Formacao</v>
          </cell>
        </row>
        <row r="3650">
          <cell r="B3650" t="str">
            <v>1.8.12.50</v>
          </cell>
          <cell r="C3650" t="str">
            <v>Arrendamento Mercantil - Leasing</v>
          </cell>
        </row>
        <row r="3651">
          <cell r="B3651" t="str">
            <v>1.8.13.00</v>
          </cell>
          <cell r="C3651" t="str">
            <v>DEPRECIACAO DE LAVOURAS</v>
          </cell>
        </row>
        <row r="3652">
          <cell r="B3652" t="str">
            <v>1.8.13.01</v>
          </cell>
          <cell r="C3652" t="str">
            <v>Depreciacao de Lavouras</v>
          </cell>
        </row>
        <row r="3653">
          <cell r="B3653" t="str">
            <v>1.9.00.00</v>
          </cell>
          <cell r="C3653" t="str">
            <v>DIFERIDO</v>
          </cell>
        </row>
        <row r="3654">
          <cell r="B3654" t="str">
            <v>1.9.01.00</v>
          </cell>
          <cell r="C3654" t="str">
            <v>DESPESAS PRE-OPERACIONAIS</v>
          </cell>
        </row>
        <row r="3655">
          <cell r="B3655" t="str">
            <v>1.9.01.01</v>
          </cell>
          <cell r="C3655" t="str">
            <v>Despesas Pre-Operacionais</v>
          </cell>
        </row>
        <row r="3656">
          <cell r="B3656" t="str">
            <v>1.9.01.02</v>
          </cell>
          <cell r="C3656" t="str">
            <v>Amortizacao do Diferido</v>
          </cell>
        </row>
        <row r="3657">
          <cell r="B3657" t="str">
            <v>2.0.00.00</v>
          </cell>
          <cell r="C3657" t="str">
            <v>PASSIVO</v>
          </cell>
        </row>
        <row r="3658">
          <cell r="B3658" t="str">
            <v>2.1.00.00</v>
          </cell>
          <cell r="C3658" t="str">
            <v>PASSIVO CIRCULANTE</v>
          </cell>
        </row>
        <row r="3659">
          <cell r="B3659" t="str">
            <v>2.1.01.00</v>
          </cell>
          <cell r="C3659" t="str">
            <v>FORNECEDORES</v>
          </cell>
        </row>
        <row r="3660">
          <cell r="B3660" t="str">
            <v>2.1.01.01</v>
          </cell>
          <cell r="C3660" t="str">
            <v>Fornecedores</v>
          </cell>
        </row>
        <row r="3661">
          <cell r="B3661" t="str">
            <v>2.1.02.00</v>
          </cell>
          <cell r="C3661" t="str">
            <v>CREDORES DIVERSOS</v>
          </cell>
        </row>
        <row r="3662">
          <cell r="B3662" t="str">
            <v>2.1.02.01</v>
          </cell>
          <cell r="C3662" t="str">
            <v>Outras Contas a Pagar</v>
          </cell>
        </row>
        <row r="3663">
          <cell r="B3663" t="str">
            <v>2.1.03.00</v>
          </cell>
          <cell r="C3663" t="str">
            <v>EMPRESTIMOS E FINANCIAMENTOS</v>
          </cell>
        </row>
        <row r="3664">
          <cell r="B3664" t="str">
            <v>2.1.03.01</v>
          </cell>
          <cell r="C3664" t="str">
            <v>Financiamentos</v>
          </cell>
        </row>
        <row r="3665">
          <cell r="B3665" t="str">
            <v>2.1.04.00</v>
          </cell>
          <cell r="C3665" t="str">
            <v>CONTA GARANTIDA</v>
          </cell>
        </row>
        <row r="3666">
          <cell r="B3666" t="str">
            <v>2.1.04.01</v>
          </cell>
          <cell r="C3666" t="str">
            <v>Conta Garantida Bancos</v>
          </cell>
        </row>
        <row r="3667">
          <cell r="B3667" t="str">
            <v>2.1.05.00</v>
          </cell>
          <cell r="C3667" t="str">
            <v>SOCIEDADES RELACIONADAS</v>
          </cell>
        </row>
        <row r="3668">
          <cell r="B3668" t="str">
            <v>2.1.05.01</v>
          </cell>
          <cell r="C3668" t="str">
            <v>Sociedades Relacionadas</v>
          </cell>
        </row>
        <row r="3669">
          <cell r="B3669" t="str">
            <v>2.1.06.00</v>
          </cell>
          <cell r="C3669" t="str">
            <v>ADIANTAMENTOS DE CLIENTES</v>
          </cell>
        </row>
        <row r="3670">
          <cell r="B3670" t="str">
            <v>2.1.06.01</v>
          </cell>
          <cell r="C3670" t="str">
            <v>Adiantamentos de Clientes</v>
          </cell>
        </row>
        <row r="3671">
          <cell r="B3671" t="str">
            <v>2.1.07.00</v>
          </cell>
          <cell r="C3671" t="str">
            <v>OBRIGACOES COM PESSOAL</v>
          </cell>
        </row>
        <row r="3672">
          <cell r="B3672" t="str">
            <v>2.1.07.01</v>
          </cell>
          <cell r="C3672" t="str">
            <v>Obrigacoes com Pessoal</v>
          </cell>
        </row>
        <row r="3673">
          <cell r="B3673" t="str">
            <v>2.1.08.00</v>
          </cell>
          <cell r="C3673" t="str">
            <v>PROVISOES</v>
          </cell>
        </row>
        <row r="3674">
          <cell r="B3674" t="str">
            <v>2.1.08.01</v>
          </cell>
          <cell r="C3674" t="str">
            <v>Provisoes Trabalhistas</v>
          </cell>
        </row>
        <row r="3675">
          <cell r="B3675" t="str">
            <v>2.1.09.00</v>
          </cell>
          <cell r="C3675" t="str">
            <v>PROVISAO MANUT DE ENTRESSAFRA</v>
          </cell>
        </row>
        <row r="3676">
          <cell r="B3676" t="str">
            <v>2.1.09.01</v>
          </cell>
          <cell r="C3676" t="str">
            <v>Manutencao de Entressafra</v>
          </cell>
        </row>
        <row r="3677">
          <cell r="B3677" t="str">
            <v>2.1.10.00</v>
          </cell>
          <cell r="C3677" t="str">
            <v>OUTRAS PROVISOES</v>
          </cell>
        </row>
        <row r="3678">
          <cell r="B3678" t="str">
            <v>2.1.10.01</v>
          </cell>
          <cell r="C3678" t="str">
            <v>Outras Provisoes</v>
          </cell>
        </row>
        <row r="3679">
          <cell r="B3679" t="str">
            <v>2.1.11.00</v>
          </cell>
          <cell r="C3679" t="str">
            <v>OBRIGACOES TRIBUTARIAS E SOCIAIS</v>
          </cell>
        </row>
        <row r="3680">
          <cell r="B3680" t="str">
            <v>2.1.11.01</v>
          </cell>
          <cell r="C3680" t="str">
            <v>Obrigacoes Tributarias</v>
          </cell>
        </row>
        <row r="3681">
          <cell r="B3681" t="str">
            <v>2.1.11.02</v>
          </cell>
          <cell r="C3681" t="str">
            <v>Obrigacoes Sociais</v>
          </cell>
        </row>
        <row r="3682">
          <cell r="B3682" t="str">
            <v>2.1.12.00</v>
          </cell>
          <cell r="C3682" t="str">
            <v>OBRIGACOES COM TERCEIROS</v>
          </cell>
        </row>
        <row r="3683">
          <cell r="B3683" t="str">
            <v>2.1.12.01</v>
          </cell>
          <cell r="C3683" t="str">
            <v>Obrigacoes com Terceiros</v>
          </cell>
        </row>
        <row r="3684">
          <cell r="B3684" t="str">
            <v>2.2.00.00</v>
          </cell>
          <cell r="C3684" t="str">
            <v>EXIGIVEL A LONGO PRAZO</v>
          </cell>
        </row>
        <row r="3685">
          <cell r="B3685" t="str">
            <v>2.2.01.00</v>
          </cell>
          <cell r="C3685" t="str">
            <v>EMPRESTIMOS E FINANCIAMENTOS</v>
          </cell>
        </row>
        <row r="3686">
          <cell r="B3686" t="str">
            <v>2.2.01.01</v>
          </cell>
          <cell r="C3686" t="str">
            <v>Financiamentos Bancarios</v>
          </cell>
        </row>
        <row r="3687">
          <cell r="B3687" t="str">
            <v>2.2.02.00</v>
          </cell>
          <cell r="C3687" t="str">
            <v>ADIANTAMENTOS DE CLIENTES</v>
          </cell>
        </row>
        <row r="3688">
          <cell r="B3688" t="str">
            <v>2.2.02.01</v>
          </cell>
          <cell r="C3688" t="str">
            <v>Adiantamentos de Clientes - L.P.</v>
          </cell>
        </row>
        <row r="3689">
          <cell r="B3689" t="str">
            <v>2.2.03.00</v>
          </cell>
          <cell r="C3689" t="str">
            <v>OBRIGACOES TRIBUTARIAS E SOCIAIS</v>
          </cell>
        </row>
        <row r="3690">
          <cell r="B3690" t="str">
            <v>2.2.03.01</v>
          </cell>
          <cell r="C3690" t="str">
            <v>Obrigacoes Sociais</v>
          </cell>
        </row>
        <row r="3691">
          <cell r="B3691" t="str">
            <v>2.2.03.02</v>
          </cell>
          <cell r="C3691" t="str">
            <v>Obrigacoes Tributarias</v>
          </cell>
        </row>
        <row r="3692">
          <cell r="B3692" t="str">
            <v>2.2.04.00</v>
          </cell>
          <cell r="C3692" t="str">
            <v>OUTRAS CONTAS A PAGAR</v>
          </cell>
        </row>
        <row r="3693">
          <cell r="B3693" t="str">
            <v>2.2.04.01</v>
          </cell>
          <cell r="C3693" t="str">
            <v>Outras Contas a Pagar</v>
          </cell>
        </row>
        <row r="3694">
          <cell r="B3694" t="str">
            <v>2.2.05.00</v>
          </cell>
          <cell r="C3694" t="str">
            <v>PROVISAO PARA CONTINGENCIA</v>
          </cell>
        </row>
        <row r="3695">
          <cell r="B3695" t="str">
            <v>2.2.05.01</v>
          </cell>
          <cell r="C3695" t="str">
            <v>Provisoes para Contingencia</v>
          </cell>
        </row>
        <row r="3696">
          <cell r="B3696" t="str">
            <v>2.2.06.00</v>
          </cell>
          <cell r="C3696" t="str">
            <v>MUTUO ENTRE EMPRESAS</v>
          </cell>
        </row>
        <row r="3697">
          <cell r="B3697" t="str">
            <v>2.2.06.01</v>
          </cell>
          <cell r="C3697" t="str">
            <v>Sociedades Relacionadas</v>
          </cell>
        </row>
        <row r="3698">
          <cell r="B3698" t="str">
            <v>2.2.07.00</v>
          </cell>
          <cell r="C3698" t="str">
            <v>DIFERIDO</v>
          </cell>
        </row>
        <row r="3699">
          <cell r="B3699" t="str">
            <v>2.2.07.01</v>
          </cell>
          <cell r="C3699" t="str">
            <v>Ipi Presumido Proc.11610.008519/203-25</v>
          </cell>
        </row>
        <row r="3700">
          <cell r="B3700" t="str">
            <v>2.3.00.00</v>
          </cell>
          <cell r="C3700" t="str">
            <v>PATRIMONIO LIQUIDO</v>
          </cell>
        </row>
        <row r="3701">
          <cell r="B3701" t="str">
            <v>2.3.01.00</v>
          </cell>
          <cell r="C3701" t="str">
            <v>CAPITAL SUBSCRITO</v>
          </cell>
        </row>
        <row r="3702">
          <cell r="B3702" t="str">
            <v>2.3.01.01</v>
          </cell>
          <cell r="C3702" t="str">
            <v>Capital Subscrito</v>
          </cell>
        </row>
        <row r="3703">
          <cell r="B3703" t="str">
            <v>2.3.02.00</v>
          </cell>
          <cell r="C3703" t="str">
            <v>CAPITAL A INTEGRALIZAR</v>
          </cell>
        </row>
        <row r="3704">
          <cell r="B3704" t="str">
            <v>2.3.02.01</v>
          </cell>
          <cell r="C3704" t="str">
            <v>Acoes Ordinarias</v>
          </cell>
        </row>
        <row r="3705">
          <cell r="B3705" t="str">
            <v>2.3.03.00</v>
          </cell>
          <cell r="C3705" t="str">
            <v>ACOES PARA FUTURA SUBSCRICAO</v>
          </cell>
        </row>
        <row r="3706">
          <cell r="B3706" t="str">
            <v>2.3.03.01</v>
          </cell>
          <cell r="C3706" t="str">
            <v>Acoes Ordinarias</v>
          </cell>
        </row>
        <row r="3707">
          <cell r="B3707" t="str">
            <v>2.3.04.00</v>
          </cell>
          <cell r="C3707" t="str">
            <v>RESERVAS SOCIAIS</v>
          </cell>
        </row>
        <row r="3708">
          <cell r="B3708" t="str">
            <v>2.3.04.01</v>
          </cell>
          <cell r="C3708" t="str">
            <v>Reservas Sociais</v>
          </cell>
        </row>
        <row r="3709">
          <cell r="B3709" t="str">
            <v>2.3.05.00</v>
          </cell>
          <cell r="C3709" t="str">
            <v>RESERVA DE REAVALIACAO</v>
          </cell>
        </row>
        <row r="3710">
          <cell r="B3710" t="str">
            <v>2.3.05.01</v>
          </cell>
          <cell r="C3710" t="str">
            <v>Reservas de Reavaliacao</v>
          </cell>
        </row>
        <row r="3711">
          <cell r="B3711" t="str">
            <v>2.3.06.00</v>
          </cell>
          <cell r="C3711" t="str">
            <v>AFAC ADIANT.P/FUTURO AUM.CAPITAL</v>
          </cell>
        </row>
        <row r="3712">
          <cell r="B3712" t="str">
            <v>2.3.06.01</v>
          </cell>
          <cell r="C3712" t="str">
            <v>Afac Adiant.p/Futuro Aum.Capital</v>
          </cell>
        </row>
        <row r="3713">
          <cell r="B3713" t="str">
            <v>2.3.07.00</v>
          </cell>
          <cell r="C3713" t="str">
            <v>RESERVAS DE CAPITAL</v>
          </cell>
        </row>
        <row r="3714">
          <cell r="B3714" t="str">
            <v>2.3.07.01</v>
          </cell>
          <cell r="C3714" t="str">
            <v>Reservas de Capital</v>
          </cell>
        </row>
        <row r="3715">
          <cell r="B3715" t="str">
            <v>2.3.08.00</v>
          </cell>
          <cell r="C3715" t="str">
            <v>RESULTADOS</v>
          </cell>
        </row>
        <row r="3716">
          <cell r="B3716" t="str">
            <v>2.3.08.01</v>
          </cell>
          <cell r="C3716" t="str">
            <v>Lucros/Prejuizos Exercic.Anteriores</v>
          </cell>
        </row>
        <row r="3717">
          <cell r="B3717" t="str">
            <v>2.3.08.02</v>
          </cell>
          <cell r="C3717" t="str">
            <v>Lucros/Prejuizos Exercic.Corrente</v>
          </cell>
        </row>
        <row r="3718">
          <cell r="B3718" t="str">
            <v>2.4.00.00</v>
          </cell>
          <cell r="C3718" t="str">
            <v>CONTAS DE ENCERRAMENTO</v>
          </cell>
        </row>
        <row r="3719">
          <cell r="B3719" t="str">
            <v>2.4.01.00</v>
          </cell>
          <cell r="C3719" t="str">
            <v>ENCERRAMENTO DE EXERCICIO</v>
          </cell>
        </row>
        <row r="3720">
          <cell r="B3720" t="str">
            <v>2.4.01.01</v>
          </cell>
          <cell r="C3720" t="str">
            <v>Encerramento de Exercicio</v>
          </cell>
        </row>
        <row r="3721">
          <cell r="B3721" t="str">
            <v>3.0.00.00</v>
          </cell>
          <cell r="C3721" t="str">
            <v>CUSTOS</v>
          </cell>
        </row>
        <row r="3722">
          <cell r="B3722" t="str">
            <v>3.1.00.00</v>
          </cell>
          <cell r="C3722" t="str">
            <v>CUSTOS E DESPESAS</v>
          </cell>
        </row>
        <row r="3723">
          <cell r="B3723" t="str">
            <v>3.1.01.00</v>
          </cell>
          <cell r="C3723" t="str">
            <v>SALARIOS E ENCARGOS</v>
          </cell>
        </row>
        <row r="3724">
          <cell r="B3724" t="str">
            <v>3.1.01.01</v>
          </cell>
          <cell r="C3724" t="str">
            <v>Salarios e Encargos</v>
          </cell>
        </row>
        <row r="3725">
          <cell r="B3725" t="str">
            <v>3.1.01.02</v>
          </cell>
          <cell r="C3725" t="str">
            <v>Honorarios</v>
          </cell>
        </row>
        <row r="3726">
          <cell r="B3726" t="str">
            <v>3.1.01.03</v>
          </cell>
          <cell r="C3726" t="str">
            <v>Encargos</v>
          </cell>
        </row>
        <row r="3727">
          <cell r="B3727" t="str">
            <v>3.1.01.04</v>
          </cell>
          <cell r="C3727" t="str">
            <v>Provisoes</v>
          </cell>
        </row>
        <row r="3728">
          <cell r="B3728" t="str">
            <v>3.1.02.00</v>
          </cell>
          <cell r="C3728" t="str">
            <v>SERVICOS DE TERCEIROS</v>
          </cell>
        </row>
        <row r="3729">
          <cell r="B3729" t="str">
            <v>3.1.02.01</v>
          </cell>
          <cell r="C3729" t="str">
            <v>Servicos de Terceiros</v>
          </cell>
        </row>
        <row r="3730">
          <cell r="B3730" t="str">
            <v>3.1.02.02</v>
          </cell>
          <cell r="C3730" t="str">
            <v>Servicos de Terceiros Entressafra</v>
          </cell>
        </row>
        <row r="3731">
          <cell r="B3731" t="str">
            <v>3.1.02.03</v>
          </cell>
          <cell r="C3731" t="str">
            <v>Servicos de Terceiros Ap. Pims</v>
          </cell>
        </row>
        <row r="3732">
          <cell r="B3732" t="str">
            <v>3.1.03.00</v>
          </cell>
          <cell r="C3732" t="str">
            <v>GASTOS GERAIS</v>
          </cell>
        </row>
        <row r="3733">
          <cell r="B3733" t="str">
            <v>3.1.03.01</v>
          </cell>
          <cell r="C3733" t="str">
            <v>Gastos Gerais</v>
          </cell>
        </row>
        <row r="3734">
          <cell r="B3734" t="str">
            <v>3.1.03.02</v>
          </cell>
          <cell r="C3734" t="str">
            <v>Gastos Gerais-Entressafra</v>
          </cell>
        </row>
        <row r="3735">
          <cell r="B3735" t="str">
            <v>3.1.04.00</v>
          </cell>
          <cell r="C3735" t="str">
            <v>MATERIAIS DE ALMOXARIFADO</v>
          </cell>
        </row>
        <row r="3736">
          <cell r="B3736" t="str">
            <v>3.1.04.01</v>
          </cell>
          <cell r="C3736" t="str">
            <v>Materiais de Almoxarifado</v>
          </cell>
        </row>
        <row r="3737">
          <cell r="B3737" t="str">
            <v>3.1.04.02</v>
          </cell>
          <cell r="C3737" t="str">
            <v>Materiais de Almoxarifado-Entressafra</v>
          </cell>
        </row>
        <row r="3738">
          <cell r="B3738" t="str">
            <v>3.1.04.03</v>
          </cell>
          <cell r="C3738" t="str">
            <v>Custos com Frotas</v>
          </cell>
        </row>
        <row r="3739">
          <cell r="B3739" t="str">
            <v>3.1.06.00</v>
          </cell>
          <cell r="C3739" t="str">
            <v>MATERIA PRIMA</v>
          </cell>
        </row>
        <row r="3740">
          <cell r="B3740" t="str">
            <v>3.1.06.01</v>
          </cell>
          <cell r="C3740" t="str">
            <v>Materia Prima</v>
          </cell>
        </row>
        <row r="3741">
          <cell r="B3741" t="str">
            <v>3.1.07.00</v>
          </cell>
          <cell r="C3741" t="str">
            <v>CONTAS DE RECEITAS</v>
          </cell>
        </row>
        <row r="3742">
          <cell r="B3742" t="str">
            <v>3.1.07.01</v>
          </cell>
          <cell r="C3742" t="str">
            <v>Descontos e Juros Obtidos</v>
          </cell>
        </row>
        <row r="3743">
          <cell r="B3743" t="str">
            <v>3.1.08.00</v>
          </cell>
          <cell r="C3743" t="str">
            <v>APROPRIACOES</v>
          </cell>
        </row>
        <row r="3744">
          <cell r="B3744" t="str">
            <v>3.1.08.01</v>
          </cell>
          <cell r="C3744" t="str">
            <v>Depreciacao Apropriacoes</v>
          </cell>
        </row>
        <row r="3745">
          <cell r="B3745" t="str">
            <v>3.1.08.02</v>
          </cell>
          <cell r="C3745" t="str">
            <v>Apropriacoes - Entressafra</v>
          </cell>
        </row>
        <row r="3746">
          <cell r="B3746" t="str">
            <v>3.1.09.00</v>
          </cell>
          <cell r="C3746" t="str">
            <v>CONTAS DE RATEIOS ( - )</v>
          </cell>
        </row>
        <row r="3747">
          <cell r="B3747" t="str">
            <v>3.1.09.01</v>
          </cell>
          <cell r="C3747" t="str">
            <v>Contas de Rateios ( - )</v>
          </cell>
        </row>
        <row r="3748">
          <cell r="B3748" t="str">
            <v>3.1.09.02</v>
          </cell>
          <cell r="C3748" t="str">
            <v>Contas de Rateios ( - ) Entressafra</v>
          </cell>
        </row>
        <row r="3749">
          <cell r="B3749" t="str">
            <v>3.1.10.00</v>
          </cell>
          <cell r="C3749" t="str">
            <v>ABSORCAO</v>
          </cell>
        </row>
        <row r="3750">
          <cell r="B3750" t="str">
            <v>3.1.10.01</v>
          </cell>
          <cell r="C3750" t="str">
            <v>Absorcoes</v>
          </cell>
        </row>
        <row r="3751">
          <cell r="B3751" t="str">
            <v>3.1.10.50</v>
          </cell>
          <cell r="C3751" t="str">
            <v>Transferencias p/Apuração do Resultado</v>
          </cell>
        </row>
        <row r="3752">
          <cell r="B3752" t="str">
            <v>3.1.11.00</v>
          </cell>
          <cell r="C3752" t="str">
            <v>DESPESAS TRIBUTARIAS</v>
          </cell>
        </row>
        <row r="3753">
          <cell r="B3753" t="str">
            <v>3.1.11.01</v>
          </cell>
          <cell r="C3753" t="str">
            <v>Despesas Tributarias</v>
          </cell>
        </row>
        <row r="3754">
          <cell r="B3754" t="str">
            <v>3.1.12.00</v>
          </cell>
          <cell r="C3754" t="str">
            <v>DESPESAS FINANCEIRAS</v>
          </cell>
        </row>
        <row r="3755">
          <cell r="B3755" t="str">
            <v>3.1.12.01</v>
          </cell>
          <cell r="C3755" t="str">
            <v>Despesas Financeiras</v>
          </cell>
        </row>
        <row r="3756">
          <cell r="B3756" t="str">
            <v>3.1.12.02</v>
          </cell>
          <cell r="C3756" t="str">
            <v>Receitas Financeiras</v>
          </cell>
        </row>
        <row r="3757">
          <cell r="B3757" t="str">
            <v>3.1.13.00</v>
          </cell>
          <cell r="C3757" t="str">
            <v>VARIACOES CAMBIAIS ATIVA/PASSIVA</v>
          </cell>
        </row>
        <row r="3758">
          <cell r="B3758" t="str">
            <v>3.1.13.01</v>
          </cell>
          <cell r="C3758" t="str">
            <v>Variacoes Cambiais</v>
          </cell>
        </row>
        <row r="3759">
          <cell r="B3759" t="str">
            <v>3.1.15.00</v>
          </cell>
          <cell r="C3759" t="str">
            <v>RECEITAS (DESPESAS) NAO OPERACIONAIS</v>
          </cell>
        </row>
        <row r="3760">
          <cell r="B3760" t="str">
            <v>3.1.15.01</v>
          </cell>
          <cell r="C3760" t="str">
            <v>Receitas (Despesas) Nao Operacionais</v>
          </cell>
        </row>
        <row r="3761">
          <cell r="B3761" t="str">
            <v>3.1.16.00</v>
          </cell>
          <cell r="C3761" t="str">
            <v>CONTAS DE RATEIO</v>
          </cell>
        </row>
        <row r="3762">
          <cell r="B3762" t="str">
            <v>3.1.16.01</v>
          </cell>
          <cell r="C3762" t="str">
            <v>Contas de Rateio-Administracao</v>
          </cell>
        </row>
        <row r="3763">
          <cell r="B3763" t="str">
            <v>3.1.16.02</v>
          </cell>
          <cell r="C3763" t="str">
            <v>Contas de Rateio-Comercial</v>
          </cell>
        </row>
        <row r="3764">
          <cell r="B3764" t="str">
            <v>3.1.16.03</v>
          </cell>
          <cell r="C3764" t="str">
            <v>Transferencia para o Diferido</v>
          </cell>
        </row>
        <row r="3765">
          <cell r="B3765" t="str">
            <v>3.1.16.04</v>
          </cell>
          <cell r="C3765" t="str">
            <v>Transferencia para o Resultado</v>
          </cell>
        </row>
        <row r="3766">
          <cell r="B3766" t="str">
            <v>3.1.16.05</v>
          </cell>
          <cell r="C3766" t="str">
            <v>Contas de Rateio</v>
          </cell>
        </row>
        <row r="3767">
          <cell r="B3767" t="str">
            <v>3.1.17.00</v>
          </cell>
          <cell r="C3767" t="str">
            <v>DESPESAS OPERACIONAIS</v>
          </cell>
        </row>
        <row r="3768">
          <cell r="B3768" t="str">
            <v>3.1.17.01</v>
          </cell>
          <cell r="C3768" t="str">
            <v>Despesas Operacionais</v>
          </cell>
        </row>
        <row r="3769">
          <cell r="B3769" t="str">
            <v>3.1.18.00</v>
          </cell>
          <cell r="C3769" t="str">
            <v>RECEITAS OPERACIONAIS</v>
          </cell>
        </row>
        <row r="3770">
          <cell r="B3770" t="str">
            <v>3.1.18.01</v>
          </cell>
          <cell r="C3770" t="str">
            <v>Receitas Operacionais</v>
          </cell>
        </row>
        <row r="3771">
          <cell r="B3771" t="str">
            <v>3.2.00.00</v>
          </cell>
          <cell r="C3771" t="str">
            <v>RESULTADOS NAO OPERACIONAIS</v>
          </cell>
        </row>
        <row r="3772">
          <cell r="B3772" t="str">
            <v>3.2.01.00</v>
          </cell>
          <cell r="C3772" t="str">
            <v>GANHOS E PERDAS DE CAPITAL</v>
          </cell>
        </row>
        <row r="3773">
          <cell r="B3773" t="str">
            <v>3.2.01.01</v>
          </cell>
          <cell r="C3773" t="str">
            <v>Valores Ativo Imobilizado</v>
          </cell>
        </row>
        <row r="3774">
          <cell r="B3774" t="str">
            <v>3.3.01.01</v>
          </cell>
          <cell r="C3774" t="str">
            <v>Correcao Monetaria de Valores</v>
          </cell>
        </row>
        <row r="3775">
          <cell r="B3775" t="str">
            <v>3.2.02.00</v>
          </cell>
          <cell r="C3775" t="str">
            <v>RECEITAS DE INVESTIMENTOS</v>
          </cell>
        </row>
        <row r="3776">
          <cell r="B3776" t="str">
            <v>3.2.02.01</v>
          </cell>
          <cell r="C3776" t="str">
            <v>Receitas de Investimentos</v>
          </cell>
        </row>
        <row r="3777">
          <cell r="B3777" t="str">
            <v>3.2.02.02</v>
          </cell>
          <cell r="C3777" t="str">
            <v>Reversao de Provisoes</v>
          </cell>
        </row>
        <row r="3778">
          <cell r="B3778" t="str">
            <v>3.2.02.03</v>
          </cell>
          <cell r="C3778" t="str">
            <v>Provisoes</v>
          </cell>
        </row>
        <row r="3779">
          <cell r="B3779" t="str">
            <v>3.3.00.00</v>
          </cell>
          <cell r="C3779" t="str">
            <v>RESULTADO CORRECAO MONET.BALANCO</v>
          </cell>
        </row>
        <row r="3780">
          <cell r="B3780" t="str">
            <v>3.3.01.00</v>
          </cell>
          <cell r="C3780" t="str">
            <v>CORRECAO DE VALORES</v>
          </cell>
        </row>
        <row r="3781">
          <cell r="B3781" t="str">
            <v>3.4.00.00</v>
          </cell>
          <cell r="C3781" t="str">
            <v>ENCERRAMENTO DE EXERCICIO</v>
          </cell>
        </row>
        <row r="3782">
          <cell r="B3782" t="str">
            <v>3.4.01.00</v>
          </cell>
          <cell r="C3782" t="str">
            <v>CONTAS DE RESULTADO</v>
          </cell>
        </row>
        <row r="3783">
          <cell r="B3783" t="str">
            <v>3.4.01.01</v>
          </cell>
          <cell r="C3783" t="str">
            <v>Resultados do Exercicio</v>
          </cell>
        </row>
        <row r="3784">
          <cell r="B3784" t="str">
            <v>3.4.01.02</v>
          </cell>
          <cell r="C3784" t="str">
            <v>Distribuicao do Result.do Exercicio</v>
          </cell>
        </row>
        <row r="3785">
          <cell r="B3785" t="str">
            <v>4.0.00.00</v>
          </cell>
          <cell r="C3785" t="str">
            <v>COMERCIALIZACAO DE PROD.E MERCAD.</v>
          </cell>
        </row>
        <row r="3786">
          <cell r="B3786" t="str">
            <v>4.1.00.00</v>
          </cell>
          <cell r="C3786" t="str">
            <v>COMERCIALIZACAO DE ACUCAR</v>
          </cell>
        </row>
        <row r="3787">
          <cell r="B3787" t="str">
            <v>4.1.01.00</v>
          </cell>
          <cell r="C3787" t="str">
            <v>VENDAS DE ACUCAR</v>
          </cell>
        </row>
        <row r="3788">
          <cell r="B3788" t="str">
            <v>4.1.01.01</v>
          </cell>
          <cell r="C3788" t="str">
            <v>Vendas de Acucar</v>
          </cell>
        </row>
        <row r="3789">
          <cell r="B3789" t="str">
            <v>4.1.01.02</v>
          </cell>
          <cell r="C3789" t="str">
            <v>Impostos Incidentes s/Vendas Acucar</v>
          </cell>
        </row>
        <row r="3790">
          <cell r="B3790" t="str">
            <v>4.1.01.03</v>
          </cell>
          <cell r="C3790" t="str">
            <v>Despesas c/Vendas de Acucar</v>
          </cell>
        </row>
        <row r="3791">
          <cell r="B3791" t="str">
            <v>4.1.01.04</v>
          </cell>
          <cell r="C3791" t="str">
            <v>Custos dos Produtos Vendidos Acucar</v>
          </cell>
        </row>
        <row r="3792">
          <cell r="B3792" t="str">
            <v>4.1.01.05</v>
          </cell>
          <cell r="C3792" t="str">
            <v>(-) Devolucoes</v>
          </cell>
        </row>
        <row r="3793">
          <cell r="B3793" t="str">
            <v>4.2.00.00</v>
          </cell>
          <cell r="C3793" t="str">
            <v>COMERCIALIZACAO DE ALCOOL</v>
          </cell>
        </row>
        <row r="3794">
          <cell r="B3794" t="str">
            <v>4.2.01.00</v>
          </cell>
          <cell r="C3794" t="str">
            <v>VENDAS DE ALCOOL</v>
          </cell>
        </row>
        <row r="3795">
          <cell r="B3795" t="str">
            <v>4.2.01.01</v>
          </cell>
          <cell r="C3795" t="str">
            <v>Vendas de Alcool</v>
          </cell>
        </row>
        <row r="3796">
          <cell r="B3796" t="str">
            <v>4.2.01.02</v>
          </cell>
          <cell r="C3796" t="str">
            <v>Impostos Incidentes s/Vendas Alcool</v>
          </cell>
        </row>
        <row r="3797">
          <cell r="B3797" t="str">
            <v>4.2.01.03</v>
          </cell>
          <cell r="C3797" t="str">
            <v>Despesas c/Vendas de Alcool</v>
          </cell>
        </row>
        <row r="3798">
          <cell r="B3798" t="str">
            <v>4.2.01.04</v>
          </cell>
          <cell r="C3798" t="str">
            <v>Custos dos Produtos Vendidos</v>
          </cell>
        </row>
        <row r="3799">
          <cell r="B3799" t="str">
            <v>4.2.01.05</v>
          </cell>
          <cell r="C3799" t="str">
            <v>Deducoes das Receitas de Vendas</v>
          </cell>
        </row>
        <row r="3800">
          <cell r="B3800" t="str">
            <v>4.3.00.00</v>
          </cell>
          <cell r="C3800" t="str">
            <v>COMERCIALIZACAO DE SUB-PRODUTOS</v>
          </cell>
        </row>
        <row r="3801">
          <cell r="B3801" t="str">
            <v>4.3.01.00</v>
          </cell>
          <cell r="C3801" t="str">
            <v>VENDAS DE SUB-PRODUTOS</v>
          </cell>
        </row>
        <row r="3802">
          <cell r="B3802" t="str">
            <v>4.3.01.01</v>
          </cell>
          <cell r="C3802" t="str">
            <v>Vendas de Sub-Produtos</v>
          </cell>
        </row>
        <row r="3803">
          <cell r="B3803" t="str">
            <v>4.3.01.02</v>
          </cell>
          <cell r="C3803" t="str">
            <v>Impostos Incidentes s/Vendas Sub-Produto</v>
          </cell>
        </row>
        <row r="3804">
          <cell r="B3804" t="str">
            <v>4.3.01.03</v>
          </cell>
          <cell r="C3804" t="str">
            <v>Despesas c/Vendas de Sub-Produtos</v>
          </cell>
        </row>
        <row r="3805">
          <cell r="B3805" t="str">
            <v>4.3.01.04</v>
          </cell>
          <cell r="C3805" t="str">
            <v>Custos das Vendas de Sub-Produtos</v>
          </cell>
        </row>
        <row r="3806">
          <cell r="B3806" t="str">
            <v>4.3.01.05</v>
          </cell>
          <cell r="C3806" t="str">
            <v>Deducoes das Receitas de Vendas</v>
          </cell>
        </row>
        <row r="3807">
          <cell r="B3807" t="str">
            <v>4.4.00.00</v>
          </cell>
          <cell r="C3807" t="str">
            <v>COMERCIALIZACAO DE PROD.AGRICOLAS</v>
          </cell>
        </row>
        <row r="3808">
          <cell r="B3808" t="str">
            <v>4.4.01.00</v>
          </cell>
          <cell r="C3808" t="str">
            <v>VENDAS DE PRODUTOS AGRICOLAS</v>
          </cell>
        </row>
        <row r="3809">
          <cell r="B3809" t="str">
            <v>4.4.01.01</v>
          </cell>
          <cell r="C3809" t="str">
            <v>Vendas de Produtos Agricolas</v>
          </cell>
        </row>
        <row r="3810">
          <cell r="B3810" t="str">
            <v>4.4.01.02</v>
          </cell>
          <cell r="C3810" t="str">
            <v>Impostos Incidentes s/Vendas Prod.Agrico</v>
          </cell>
        </row>
        <row r="3811">
          <cell r="B3811" t="str">
            <v>4.4.01.03</v>
          </cell>
          <cell r="C3811" t="str">
            <v>Despesas com Vendas</v>
          </cell>
        </row>
        <row r="3812">
          <cell r="B3812" t="str">
            <v>4.4.01.04</v>
          </cell>
          <cell r="C3812" t="str">
            <v>Custos das Vendas de Prod.Agricolas</v>
          </cell>
        </row>
        <row r="3813">
          <cell r="B3813" t="str">
            <v>4.4.01.05</v>
          </cell>
          <cell r="C3813" t="str">
            <v>Deducoes das Receitas de Vendas</v>
          </cell>
        </row>
        <row r="3814">
          <cell r="B3814" t="str">
            <v>4.5.00.00</v>
          </cell>
          <cell r="C3814" t="str">
            <v>COMERCIALIZACAO DE ALMOXARIFADO</v>
          </cell>
        </row>
        <row r="3815">
          <cell r="B3815" t="str">
            <v>4.5.01.00</v>
          </cell>
          <cell r="C3815" t="str">
            <v>VENDAS DE ESTOQUES DE ALMOXARIFADO</v>
          </cell>
        </row>
        <row r="3816">
          <cell r="B3816" t="str">
            <v>4.5.01.01</v>
          </cell>
          <cell r="C3816" t="str">
            <v>Vendas de Estoques de Almoxarifado</v>
          </cell>
        </row>
        <row r="3817">
          <cell r="B3817" t="str">
            <v>4.5.01.02</v>
          </cell>
          <cell r="C3817" t="str">
            <v>Impostos Incidentes s/Vendas de Almoxar.</v>
          </cell>
        </row>
        <row r="3818">
          <cell r="B3818" t="str">
            <v>4.5.01.03</v>
          </cell>
          <cell r="C3818" t="str">
            <v>Despesas com Vendas</v>
          </cell>
        </row>
        <row r="3819">
          <cell r="B3819" t="str">
            <v>4.5.01.04</v>
          </cell>
          <cell r="C3819" t="str">
            <v>Custos das Vendas de Almoxarifado</v>
          </cell>
        </row>
        <row r="3820">
          <cell r="B3820" t="str">
            <v>4.5.01.05</v>
          </cell>
          <cell r="C3820" t="str">
            <v>Deducoes das Receitas de Vendas</v>
          </cell>
        </row>
        <row r="3821">
          <cell r="B3821" t="str">
            <v>4.6.00.00</v>
          </cell>
          <cell r="C3821" t="str">
            <v>COMERCIALIZACAO DE SERVICOS</v>
          </cell>
        </row>
        <row r="3822">
          <cell r="B3822" t="str">
            <v>4.6.01.00</v>
          </cell>
          <cell r="C3822" t="str">
            <v>VENDAS DE SERVICOS</v>
          </cell>
        </row>
        <row r="3823">
          <cell r="B3823" t="str">
            <v>4.6.01.01</v>
          </cell>
          <cell r="C3823" t="str">
            <v>Vendas de Servicos</v>
          </cell>
        </row>
        <row r="3824">
          <cell r="B3824" t="str">
            <v>4.6.01.02</v>
          </cell>
          <cell r="C3824" t="str">
            <v>Impostos Incidentes s/Vendas de Servico</v>
          </cell>
        </row>
        <row r="3825">
          <cell r="B3825" t="str">
            <v>4.6.01.03</v>
          </cell>
          <cell r="C3825" t="str">
            <v>Despesas com Vendas</v>
          </cell>
        </row>
        <row r="3826">
          <cell r="B3826" t="str">
            <v>4.6.01.04</v>
          </cell>
          <cell r="C3826" t="str">
            <v>Custos das Vendas de Servico</v>
          </cell>
        </row>
        <row r="3827">
          <cell r="B3827" t="str">
            <v>4.9.00.00</v>
          </cell>
          <cell r="C3827" t="str">
            <v>TRANSFERENCIAS P/APUR.DE RESULTADO</v>
          </cell>
        </row>
        <row r="3828">
          <cell r="B3828" t="str">
            <v>4.9.01.00</v>
          </cell>
          <cell r="C3828" t="str">
            <v>TRANSFERENCIAS P/APUR.DE RESULTADO</v>
          </cell>
        </row>
        <row r="3829">
          <cell r="B3829" t="str">
            <v>4.9.01.01</v>
          </cell>
          <cell r="C3829" t="str">
            <v>Transferencias p/Apur.de Resultado</v>
          </cell>
        </row>
        <row r="3830">
          <cell r="B3830" t="str">
            <v>5.0.00.00</v>
          </cell>
          <cell r="C3830" t="str">
            <v>COMPENSACOES ATIVAS</v>
          </cell>
        </row>
        <row r="3831">
          <cell r="B3831" t="str">
            <v>5.1.00.00</v>
          </cell>
          <cell r="C3831" t="str">
            <v>CONTRATOS E EMPENHOS</v>
          </cell>
        </row>
        <row r="3832">
          <cell r="B3832" t="str">
            <v>5.1.01.00</v>
          </cell>
          <cell r="C3832" t="str">
            <v>COMPRAS</v>
          </cell>
        </row>
        <row r="3833">
          <cell r="B3833" t="str">
            <v>5.1.01.01</v>
          </cell>
          <cell r="C3833" t="str">
            <v>Estoques Terceiros p/Entr.Futura</v>
          </cell>
        </row>
        <row r="3834">
          <cell r="B3834" t="str">
            <v>5.1.01.02</v>
          </cell>
          <cell r="C3834" t="str">
            <v>Emprestimos</v>
          </cell>
        </row>
        <row r="3835">
          <cell r="B3835" t="str">
            <v>5.1.01.03</v>
          </cell>
          <cell r="C3835" t="str">
            <v>Alcool em Propriedades de Terceiros</v>
          </cell>
        </row>
        <row r="3836">
          <cell r="B3836" t="str">
            <v>5.1.01.04</v>
          </cell>
          <cell r="C3836" t="str">
            <v>Remessas de Mercadorias</v>
          </cell>
        </row>
        <row r="3837">
          <cell r="B3837" t="str">
            <v>5.1.01.05</v>
          </cell>
          <cell r="C3837" t="str">
            <v>Equipamentos em Demonstracao</v>
          </cell>
        </row>
        <row r="3838">
          <cell r="B3838" t="str">
            <v>5.1.01.06</v>
          </cell>
          <cell r="C3838" t="str">
            <v>Acucar em Poder de Terceiros</v>
          </cell>
        </row>
        <row r="3839">
          <cell r="B3839" t="str">
            <v>5.1.01.07</v>
          </cell>
          <cell r="C3839" t="str">
            <v>Locacao de Equipamentos</v>
          </cell>
        </row>
        <row r="3840">
          <cell r="B3840" t="str">
            <v>5.1.01.08</v>
          </cell>
          <cell r="C3840" t="str">
            <v>Remessa para Armazenagem</v>
          </cell>
        </row>
        <row r="3841">
          <cell r="B3841" t="str">
            <v>5.1.01.09</v>
          </cell>
          <cell r="C3841" t="str">
            <v>Remessa para Insdustrializacao</v>
          </cell>
        </row>
        <row r="3842">
          <cell r="B3842" t="str">
            <v>6.0.00.00</v>
          </cell>
          <cell r="C3842" t="str">
            <v>COMPENSACOES PASSIVAS</v>
          </cell>
        </row>
        <row r="3843">
          <cell r="B3843" t="str">
            <v>6.1.00.00</v>
          </cell>
          <cell r="C3843" t="str">
            <v>CONTRATOS E EMPENHOS</v>
          </cell>
        </row>
        <row r="3844">
          <cell r="B3844" t="str">
            <v>6.1.01.00</v>
          </cell>
          <cell r="C3844" t="str">
            <v>COMPRAS</v>
          </cell>
        </row>
        <row r="3845">
          <cell r="B3845" t="str">
            <v>6.1.01.01</v>
          </cell>
          <cell r="C3845" t="str">
            <v>Estoques Terceiros p/Entr.Futura</v>
          </cell>
        </row>
        <row r="3846">
          <cell r="B3846" t="str">
            <v>6.1.01.02</v>
          </cell>
          <cell r="C3846" t="str">
            <v>Emprestimos</v>
          </cell>
        </row>
        <row r="3847">
          <cell r="B3847" t="str">
            <v>6.1.01.03</v>
          </cell>
          <cell r="C3847" t="str">
            <v>Alcool em Propriedades de Terceiros</v>
          </cell>
        </row>
        <row r="3848">
          <cell r="B3848" t="str">
            <v>6.1.01.04</v>
          </cell>
          <cell r="C3848" t="str">
            <v>Remessas de Mercadorias</v>
          </cell>
        </row>
        <row r="3849">
          <cell r="B3849" t="str">
            <v>6.1.01.05</v>
          </cell>
          <cell r="C3849" t="str">
            <v>Equipamentos em Demonstracao</v>
          </cell>
        </row>
        <row r="3850">
          <cell r="B3850" t="str">
            <v>6.1.01.06</v>
          </cell>
          <cell r="C3850" t="str">
            <v>Acucar em Poder de Terceiros</v>
          </cell>
        </row>
        <row r="3851">
          <cell r="B3851" t="str">
            <v>6.1.01.07</v>
          </cell>
          <cell r="C3851" t="str">
            <v>Locacao de Equipamentos</v>
          </cell>
        </row>
        <row r="3852">
          <cell r="B3852" t="str">
            <v>6.1.01.08</v>
          </cell>
          <cell r="C3852" t="str">
            <v>Remessa para Armazenagem</v>
          </cell>
        </row>
        <row r="3853">
          <cell r="B3853" t="str">
            <v>6.1.01.09</v>
          </cell>
          <cell r="C3853" t="str">
            <v>Remessa para Insdustrializacao</v>
          </cell>
        </row>
        <row r="3854">
          <cell r="B3854" t="str">
            <v>8.0.00.00</v>
          </cell>
          <cell r="C3854" t="str">
            <v>RESULTADO BRUTO DO PERIODO</v>
          </cell>
        </row>
        <row r="3855">
          <cell r="B3855" t="str">
            <v>8.1.00.00</v>
          </cell>
          <cell r="C3855" t="str">
            <v>PROVISAO PARA IRPJ/CSLL</v>
          </cell>
        </row>
        <row r="3856">
          <cell r="B3856" t="str">
            <v>8.1.01.00</v>
          </cell>
          <cell r="C3856" t="str">
            <v>PROVISAO PARA IRPJ/CSLL</v>
          </cell>
        </row>
        <row r="3857">
          <cell r="B3857" t="str">
            <v>8.1.01.01</v>
          </cell>
          <cell r="C3857" t="str">
            <v>Provisao para IRPJ/CSLL</v>
          </cell>
        </row>
        <row r="3858">
          <cell r="B3858" t="str">
            <v>8.1.01.02</v>
          </cell>
          <cell r="C3858" t="str">
            <v>Provisao para IRPJ/CSLL-Diferido</v>
          </cell>
        </row>
        <row r="3859">
          <cell r="B3859" t="str">
            <v>8.2.00.00</v>
          </cell>
          <cell r="C3859" t="str">
            <v>APURACAO DO RESULTADO</v>
          </cell>
        </row>
        <row r="3860">
          <cell r="B3860" t="str">
            <v>8.2.01.00</v>
          </cell>
          <cell r="C3860" t="str">
            <v>APURACAO DO RESULTADO</v>
          </cell>
        </row>
        <row r="3861">
          <cell r="B3861" t="str">
            <v>8.2.01.01</v>
          </cell>
          <cell r="C3861" t="str">
            <v>Apuracao do Resultado</v>
          </cell>
        </row>
        <row r="3862">
          <cell r="B3862" t="str">
            <v>8.3.00.00</v>
          </cell>
          <cell r="C3862" t="str">
            <v>CONTA DE ENCERRAMENTO DE BALANCO</v>
          </cell>
        </row>
        <row r="3863">
          <cell r="B3863" t="str">
            <v>8.3.01.00</v>
          </cell>
          <cell r="C3863" t="str">
            <v>CONTA DE ENCERRAMENTO DE BALANCO</v>
          </cell>
        </row>
        <row r="3864">
          <cell r="A3864">
            <v>11306406</v>
          </cell>
          <cell r="C3864" t="str">
            <v>9-Fazenda Limoeiro III</v>
          </cell>
        </row>
        <row r="3865">
          <cell r="A3865">
            <v>11306407</v>
          </cell>
          <cell r="C3865" t="str">
            <v>9- Sitio Analex</v>
          </cell>
        </row>
        <row r="3866">
          <cell r="A3866">
            <v>11306408</v>
          </cell>
          <cell r="C3866" t="str">
            <v>9-Sítio Boa esperança III</v>
          </cell>
        </row>
        <row r="3867">
          <cell r="A3867">
            <v>11306409</v>
          </cell>
          <cell r="C3867" t="str">
            <v>9-Faz. São Jose</v>
          </cell>
        </row>
        <row r="3868">
          <cell r="A3868">
            <v>11306410</v>
          </cell>
          <cell r="C3868" t="str">
            <v>9-Sitio São João II</v>
          </cell>
        </row>
        <row r="3869">
          <cell r="A3869">
            <v>11306411</v>
          </cell>
          <cell r="C3869" t="str">
            <v>9-Faz. São Carlos</v>
          </cell>
        </row>
        <row r="3870">
          <cell r="A3870">
            <v>11306412</v>
          </cell>
          <cell r="C3870" t="str">
            <v>9-Sitio São José IV</v>
          </cell>
        </row>
        <row r="3871">
          <cell r="A3871">
            <v>11306413</v>
          </cell>
          <cell r="C3871" t="str">
            <v>9-Sitio São José VI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"/>
      <sheetName val="CC_ANCORA_ZIM"/>
      <sheetName val="centro de custo"/>
      <sheetName val="BASE"/>
      <sheetName val="old"/>
      <sheetName val="BASE (2)"/>
      <sheetName val="adm"/>
      <sheetName val="Plan1"/>
      <sheetName val="Plan2"/>
      <sheetName val="Plan3"/>
      <sheetName val="Plan4"/>
      <sheetName val="agr"/>
      <sheetName val="CC Atual Adm"/>
      <sheetName val="CC Atual Ind"/>
      <sheetName val="CC Atual Agr"/>
      <sheetName val="Desativar 601"/>
    </sheetNames>
    <sheetDataSet>
      <sheetData sheetId="0"/>
      <sheetData sheetId="1"/>
      <sheetData sheetId="2">
        <row r="1">
          <cell r="A1" t="str">
            <v>CODCC</v>
          </cell>
          <cell r="B1" t="str">
            <v>Título</v>
          </cell>
          <cell r="C1" t="str">
            <v>UG</v>
          </cell>
          <cell r="D1" t="str">
            <v>Tipo</v>
          </cell>
          <cell r="E1" t="str">
            <v>GESTOR</v>
          </cell>
          <cell r="F1" t="str">
            <v>DEPTO</v>
          </cell>
        </row>
        <row r="2">
          <cell r="A2">
            <v>100000</v>
          </cell>
          <cell r="B2" t="str">
            <v>DIRETORIA/CONSELHO/SUPERINTENDENCI</v>
          </cell>
          <cell r="C2">
            <v>40</v>
          </cell>
          <cell r="D2" t="str">
            <v>ADM</v>
          </cell>
          <cell r="E2" t="str">
            <v>Paola Landeras</v>
          </cell>
          <cell r="F2" t="str">
            <v>CONSELHO</v>
          </cell>
        </row>
        <row r="3">
          <cell r="A3">
            <v>100100</v>
          </cell>
          <cell r="B3" t="str">
            <v>CONSELHO DE ADMINISTRACAO/FISCAL</v>
          </cell>
          <cell r="C3">
            <v>40</v>
          </cell>
          <cell r="D3" t="str">
            <v>ADM</v>
          </cell>
          <cell r="E3" t="str">
            <v>Paola Landeras</v>
          </cell>
          <cell r="F3" t="str">
            <v>CONSELHO</v>
          </cell>
        </row>
        <row r="4">
          <cell r="A4">
            <v>100102</v>
          </cell>
          <cell r="B4" t="str">
            <v>CONSELHEIRO ADMINISTRATIVO/FISCAL</v>
          </cell>
          <cell r="C4">
            <v>40</v>
          </cell>
          <cell r="D4" t="str">
            <v>ADM</v>
          </cell>
          <cell r="E4" t="str">
            <v>Paola Landeras</v>
          </cell>
          <cell r="F4" t="str">
            <v>CONSELHO</v>
          </cell>
        </row>
        <row r="5">
          <cell r="A5">
            <v>100104</v>
          </cell>
          <cell r="B5" t="str">
            <v>CONSELHO CONSULTIVO</v>
          </cell>
          <cell r="C5">
            <v>40</v>
          </cell>
          <cell r="D5" t="str">
            <v>ADM</v>
          </cell>
          <cell r="E5" t="str">
            <v>Paola Landeras</v>
          </cell>
          <cell r="F5" t="str">
            <v>CONSELHO</v>
          </cell>
        </row>
        <row r="6">
          <cell r="A6">
            <v>100106</v>
          </cell>
          <cell r="B6" t="str">
            <v>CONSELHO FISCAL</v>
          </cell>
          <cell r="C6">
            <v>40</v>
          </cell>
          <cell r="D6" t="str">
            <v>ADM</v>
          </cell>
          <cell r="E6" t="str">
            <v>Paola Landeras</v>
          </cell>
          <cell r="F6" t="str">
            <v>CONSELHO</v>
          </cell>
        </row>
        <row r="7">
          <cell r="A7">
            <v>100199</v>
          </cell>
          <cell r="B7" t="str">
            <v>MANUTENÇÃO DE ENTRASSAFRA</v>
          </cell>
          <cell r="C7">
            <v>40</v>
          </cell>
          <cell r="D7" t="str">
            <v>ADM</v>
          </cell>
          <cell r="E7" t="str">
            <v>Paola Landeras</v>
          </cell>
          <cell r="F7" t="str">
            <v>CONSELHO</v>
          </cell>
        </row>
        <row r="8">
          <cell r="A8">
            <v>100200</v>
          </cell>
          <cell r="B8" t="str">
            <v>DIRETORIA</v>
          </cell>
          <cell r="C8">
            <v>40</v>
          </cell>
          <cell r="D8" t="str">
            <v>ADM</v>
          </cell>
          <cell r="E8" t="str">
            <v>Paola Landeras</v>
          </cell>
          <cell r="F8" t="str">
            <v>DIRETORIA</v>
          </cell>
        </row>
        <row r="9">
          <cell r="A9">
            <v>100202</v>
          </cell>
          <cell r="B9" t="str">
            <v>DIRETOR PRESIDENTE</v>
          </cell>
          <cell r="C9">
            <v>40</v>
          </cell>
          <cell r="D9" t="str">
            <v>ADM</v>
          </cell>
          <cell r="E9" t="str">
            <v>Paola Landeras</v>
          </cell>
          <cell r="F9" t="str">
            <v>CONSELHO</v>
          </cell>
        </row>
        <row r="10">
          <cell r="A10">
            <v>100204</v>
          </cell>
          <cell r="B10" t="str">
            <v>DIRETOR EXECUTIVO</v>
          </cell>
          <cell r="C10">
            <v>40</v>
          </cell>
          <cell r="D10" t="str">
            <v>ADM</v>
          </cell>
          <cell r="E10" t="str">
            <v>Paola Landeras</v>
          </cell>
          <cell r="F10" t="str">
            <v>DIRETORIA</v>
          </cell>
        </row>
        <row r="11">
          <cell r="A11">
            <v>100206</v>
          </cell>
          <cell r="B11" t="str">
            <v>SECRETARIA</v>
          </cell>
          <cell r="C11">
            <v>40</v>
          </cell>
          <cell r="D11" t="str">
            <v>ADM</v>
          </cell>
          <cell r="E11" t="str">
            <v>Paola Landeras</v>
          </cell>
          <cell r="F11" t="str">
            <v>DIRETORIA</v>
          </cell>
        </row>
        <row r="12">
          <cell r="A12">
            <v>100207</v>
          </cell>
          <cell r="B12" t="str">
            <v>Diretor Administrativo / Financeiro</v>
          </cell>
          <cell r="C12">
            <v>40</v>
          </cell>
          <cell r="D12" t="str">
            <v>ADM</v>
          </cell>
          <cell r="E12" t="str">
            <v>Paola Landeras</v>
          </cell>
          <cell r="F12" t="str">
            <v>DIRETORIA</v>
          </cell>
        </row>
        <row r="13">
          <cell r="A13">
            <v>100208</v>
          </cell>
          <cell r="B13" t="str">
            <v>Diretor Comercial</v>
          </cell>
          <cell r="C13">
            <v>40</v>
          </cell>
          <cell r="D13" t="str">
            <v>ADM</v>
          </cell>
          <cell r="E13" t="str">
            <v>Paola Landeras</v>
          </cell>
          <cell r="F13" t="str">
            <v>DIRETORIA</v>
          </cell>
        </row>
        <row r="14">
          <cell r="A14">
            <v>100210</v>
          </cell>
          <cell r="B14" t="str">
            <v>Relações com Investidores</v>
          </cell>
          <cell r="C14">
            <v>40</v>
          </cell>
          <cell r="D14" t="str">
            <v>ADM</v>
          </cell>
          <cell r="E14" t="str">
            <v>Paola Landeras</v>
          </cell>
          <cell r="F14" t="str">
            <v>DIRETORIA</v>
          </cell>
        </row>
        <row r="15">
          <cell r="A15">
            <v>100299</v>
          </cell>
          <cell r="B15" t="str">
            <v>MANUTENÇÃO DE ENTRASSAFRA</v>
          </cell>
          <cell r="C15">
            <v>40</v>
          </cell>
          <cell r="D15" t="str">
            <v>ADM</v>
          </cell>
          <cell r="E15" t="str">
            <v>Paola Landeras</v>
          </cell>
          <cell r="F15" t="str">
            <v>DIRETORIA</v>
          </cell>
        </row>
        <row r="16">
          <cell r="A16">
            <v>100300</v>
          </cell>
          <cell r="B16" t="str">
            <v>SUPERINTENDENCIA</v>
          </cell>
          <cell r="C16">
            <v>40</v>
          </cell>
          <cell r="D16" t="str">
            <v>ADM</v>
          </cell>
          <cell r="E16" t="str">
            <v>Paola Landeras</v>
          </cell>
          <cell r="F16" t="str">
            <v>DIRETORIA</v>
          </cell>
        </row>
        <row r="17">
          <cell r="A17">
            <v>100302</v>
          </cell>
          <cell r="B17" t="str">
            <v>SUP.CONTROLADORIA E GESTAO</v>
          </cell>
          <cell r="C17">
            <v>40</v>
          </cell>
          <cell r="D17" t="str">
            <v>ADM</v>
          </cell>
          <cell r="E17" t="str">
            <v>Paola Landeras</v>
          </cell>
          <cell r="F17" t="str">
            <v>CONTROLADORIA</v>
          </cell>
        </row>
        <row r="18">
          <cell r="A18">
            <v>100304</v>
          </cell>
          <cell r="B18" t="str">
            <v>SUP.PRODUCAO INDUSTRIAL E AGRICOLA</v>
          </cell>
          <cell r="C18">
            <v>40</v>
          </cell>
          <cell r="D18" t="str">
            <v>ADM</v>
          </cell>
          <cell r="E18" t="str">
            <v>Paola Landeras</v>
          </cell>
          <cell r="F18" t="str">
            <v>CONTROLADORIA</v>
          </cell>
        </row>
        <row r="19">
          <cell r="A19">
            <v>100306</v>
          </cell>
          <cell r="B19" t="str">
            <v>SUP.FINANCEIRA</v>
          </cell>
          <cell r="C19">
            <v>40</v>
          </cell>
          <cell r="D19" t="str">
            <v>ADM</v>
          </cell>
          <cell r="E19" t="str">
            <v>Paola Landeras</v>
          </cell>
          <cell r="F19" t="str">
            <v>CONTROLADORIA</v>
          </cell>
        </row>
        <row r="20">
          <cell r="A20">
            <v>100308</v>
          </cell>
          <cell r="B20" t="str">
            <v>SUP.COMERCIAL</v>
          </cell>
          <cell r="C20">
            <v>40</v>
          </cell>
          <cell r="D20" t="str">
            <v>ADM</v>
          </cell>
          <cell r="E20" t="str">
            <v>Paola Landeras</v>
          </cell>
          <cell r="F20" t="str">
            <v>COMERCIAL</v>
          </cell>
        </row>
        <row r="21">
          <cell r="A21">
            <v>100310</v>
          </cell>
          <cell r="B21" t="str">
            <v>Processo e Tecnologia Industrial-Adm</v>
          </cell>
          <cell r="C21">
            <v>40</v>
          </cell>
          <cell r="D21" t="str">
            <v>ADM</v>
          </cell>
          <cell r="E21" t="str">
            <v>Paola Landeras</v>
          </cell>
          <cell r="F21" t="str">
            <v>CONTROLADORIA</v>
          </cell>
        </row>
        <row r="22">
          <cell r="A22">
            <v>100399</v>
          </cell>
          <cell r="B22" t="str">
            <v>MANUTENÇÃO DE ENTRESSAFRA</v>
          </cell>
          <cell r="C22">
            <v>40</v>
          </cell>
          <cell r="D22" t="str">
            <v>ADM</v>
          </cell>
          <cell r="E22" t="str">
            <v>Paola Landeras</v>
          </cell>
          <cell r="F22" t="str">
            <v>CONTROLADORIA</v>
          </cell>
        </row>
        <row r="23">
          <cell r="A23">
            <v>100400</v>
          </cell>
          <cell r="B23" t="str">
            <v>ESCRITORIO DE SAO Willian Gustavo</v>
          </cell>
          <cell r="C23">
            <v>40</v>
          </cell>
          <cell r="D23" t="str">
            <v>ADM</v>
          </cell>
          <cell r="E23" t="str">
            <v>Paola Landeras</v>
          </cell>
          <cell r="F23" t="str">
            <v>CORPORATIVO</v>
          </cell>
        </row>
        <row r="24">
          <cell r="A24">
            <v>100402</v>
          </cell>
          <cell r="B24" t="str">
            <v>ESCRITORIO DE SÃO Willian Gustavo - MATRIZ</v>
          </cell>
          <cell r="C24">
            <v>40</v>
          </cell>
          <cell r="D24" t="str">
            <v>ADM</v>
          </cell>
          <cell r="E24" t="str">
            <v>Paola Landeras</v>
          </cell>
          <cell r="F24" t="str">
            <v>CORPORATIVO</v>
          </cell>
        </row>
        <row r="25">
          <cell r="A25">
            <v>100499</v>
          </cell>
          <cell r="B25" t="str">
            <v>MANUTENÇÃO DE ENTRESSAFRA</v>
          </cell>
          <cell r="C25">
            <v>40</v>
          </cell>
          <cell r="D25" t="str">
            <v>ADM</v>
          </cell>
          <cell r="E25" t="str">
            <v>Paola Landeras</v>
          </cell>
          <cell r="F25" t="str">
            <v>CORPORATIVO</v>
          </cell>
        </row>
        <row r="26">
          <cell r="A26">
            <v>100500</v>
          </cell>
          <cell r="B26" t="str">
            <v>ASSESSORIA DE IMPRENSA</v>
          </cell>
          <cell r="C26">
            <v>40</v>
          </cell>
          <cell r="D26" t="str">
            <v>ADM</v>
          </cell>
          <cell r="E26" t="str">
            <v>Paola Landeras</v>
          </cell>
          <cell r="F26" t="str">
            <v>DIRETORIA</v>
          </cell>
        </row>
        <row r="27">
          <cell r="A27">
            <v>100501</v>
          </cell>
          <cell r="B27" t="str">
            <v>ASSESSORIA DE IMPRENSA</v>
          </cell>
          <cell r="C27">
            <v>40</v>
          </cell>
          <cell r="D27" t="str">
            <v>ADM</v>
          </cell>
          <cell r="E27" t="str">
            <v>Paola Landeras</v>
          </cell>
          <cell r="F27" t="str">
            <v>DIRETORIA</v>
          </cell>
        </row>
        <row r="28">
          <cell r="A28">
            <v>200000</v>
          </cell>
          <cell r="B28" t="str">
            <v>ADMINISTRACAO CORPORATIVA</v>
          </cell>
          <cell r="C28">
            <v>40</v>
          </cell>
          <cell r="D28" t="str">
            <v>ADM</v>
          </cell>
          <cell r="E28" t="str">
            <v>Paola Landeras</v>
          </cell>
          <cell r="F28" t="str">
            <v>CORPORATIVO</v>
          </cell>
        </row>
        <row r="29">
          <cell r="A29">
            <v>200100</v>
          </cell>
          <cell r="B29" t="str">
            <v>GERENCIA ADMINISTRATIVA</v>
          </cell>
          <cell r="C29">
            <v>40</v>
          </cell>
          <cell r="D29" t="str">
            <v>ADM</v>
          </cell>
          <cell r="E29" t="str">
            <v>Paola Landeras</v>
          </cell>
          <cell r="F29" t="str">
            <v>ADMINISTRACAO GERAL</v>
          </cell>
        </row>
        <row r="30">
          <cell r="A30">
            <v>200102</v>
          </cell>
          <cell r="B30" t="str">
            <v>ADMINISTRACAO CORPORATIVA</v>
          </cell>
          <cell r="C30">
            <v>40</v>
          </cell>
          <cell r="D30" t="str">
            <v>ADM</v>
          </cell>
          <cell r="E30" t="str">
            <v>Paola Landeras</v>
          </cell>
          <cell r="F30" t="str">
            <v>CORPORATIVO</v>
          </cell>
        </row>
        <row r="31">
          <cell r="A31">
            <v>200103</v>
          </cell>
          <cell r="B31" t="str">
            <v>DESPESAS DE CAPACITAÇÕES</v>
          </cell>
          <cell r="C31">
            <v>40</v>
          </cell>
          <cell r="D31" t="str">
            <v>ADM</v>
          </cell>
          <cell r="E31" t="str">
            <v>Paola Landeras</v>
          </cell>
          <cell r="F31" t="str">
            <v>CORPORATIVO</v>
          </cell>
        </row>
        <row r="32">
          <cell r="A32">
            <v>200199</v>
          </cell>
          <cell r="B32" t="str">
            <v>MANUTENÇÃO DE ENTRSSAFRA</v>
          </cell>
          <cell r="C32">
            <v>40</v>
          </cell>
          <cell r="D32" t="str">
            <v>ADM</v>
          </cell>
          <cell r="E32" t="str">
            <v>Paola Landeras</v>
          </cell>
          <cell r="F32" t="str">
            <v>CORPORATIVO</v>
          </cell>
        </row>
        <row r="33">
          <cell r="A33">
            <v>200200</v>
          </cell>
          <cell r="B33" t="str">
            <v>DEPTO CONTABILIDADE</v>
          </cell>
          <cell r="C33">
            <v>40</v>
          </cell>
          <cell r="D33" t="str">
            <v>ADM</v>
          </cell>
          <cell r="E33" t="str">
            <v>Willian Gustavo</v>
          </cell>
          <cell r="F33" t="str">
            <v>CONTROLADORIA</v>
          </cell>
        </row>
        <row r="34">
          <cell r="A34">
            <v>200202</v>
          </cell>
          <cell r="B34" t="str">
            <v>CONTABILIDADE/FISCAL/PATRIMONIAL</v>
          </cell>
          <cell r="C34">
            <v>40</v>
          </cell>
          <cell r="D34" t="str">
            <v>ADM</v>
          </cell>
          <cell r="E34" t="str">
            <v>Willian Gustavo</v>
          </cell>
          <cell r="F34" t="str">
            <v>CONTROLADORIA</v>
          </cell>
        </row>
        <row r="35">
          <cell r="A35">
            <v>200204</v>
          </cell>
          <cell r="B35" t="str">
            <v>CONSULTORIA E AUDITORIA EXTERNA</v>
          </cell>
          <cell r="C35">
            <v>40</v>
          </cell>
          <cell r="D35" t="str">
            <v>ADM</v>
          </cell>
          <cell r="E35" t="str">
            <v>Willian Gustavo</v>
          </cell>
          <cell r="F35" t="str">
            <v>CONTROLADORIA</v>
          </cell>
        </row>
        <row r="36">
          <cell r="A36">
            <v>200299</v>
          </cell>
          <cell r="B36" t="str">
            <v>MANUTENÇÃO DE ENTRESSAFRA</v>
          </cell>
          <cell r="C36">
            <v>40</v>
          </cell>
          <cell r="D36" t="str">
            <v>ADM</v>
          </cell>
          <cell r="E36" t="str">
            <v>Willian Gustavo</v>
          </cell>
          <cell r="F36" t="str">
            <v>CONTROLADORIA</v>
          </cell>
        </row>
        <row r="37">
          <cell r="A37">
            <v>200300</v>
          </cell>
          <cell r="B37" t="str">
            <v>DEPARTAMENTO FISCAL</v>
          </cell>
          <cell r="C37">
            <v>40</v>
          </cell>
          <cell r="D37" t="str">
            <v>ADM</v>
          </cell>
          <cell r="E37" t="str">
            <v>Rodolfo Lima</v>
          </cell>
          <cell r="F37" t="str">
            <v>CONTROLADORIA</v>
          </cell>
        </row>
        <row r="38">
          <cell r="A38">
            <v>200302</v>
          </cell>
          <cell r="B38" t="str">
            <v>FISCAL</v>
          </cell>
          <cell r="C38">
            <v>40</v>
          </cell>
          <cell r="D38" t="str">
            <v>ADM</v>
          </cell>
          <cell r="E38" t="str">
            <v>Rodolfo Lima</v>
          </cell>
          <cell r="F38" t="str">
            <v>CONTROLADORIA</v>
          </cell>
        </row>
        <row r="39">
          <cell r="A39">
            <v>200400</v>
          </cell>
          <cell r="B39" t="str">
            <v>RECURSOS HUMANOS</v>
          </cell>
          <cell r="C39">
            <v>40</v>
          </cell>
          <cell r="D39" t="str">
            <v>ADM</v>
          </cell>
          <cell r="E39" t="str">
            <v>Celso Sesto</v>
          </cell>
          <cell r="F39" t="str">
            <v>Recursos Humanos</v>
          </cell>
        </row>
        <row r="40">
          <cell r="A40">
            <v>200402</v>
          </cell>
          <cell r="B40" t="str">
            <v>ADMINISTRAÇÃO DE RECURSOS HUMANOS</v>
          </cell>
          <cell r="C40">
            <v>40</v>
          </cell>
          <cell r="D40" t="str">
            <v>ADM</v>
          </cell>
          <cell r="E40" t="str">
            <v>Celso Sesto</v>
          </cell>
          <cell r="F40" t="str">
            <v>Recursos Humanos</v>
          </cell>
        </row>
        <row r="41">
          <cell r="A41">
            <v>200404</v>
          </cell>
          <cell r="B41" t="str">
            <v>CARGOS E SALÁRIOS</v>
          </cell>
          <cell r="C41">
            <v>40</v>
          </cell>
          <cell r="D41" t="str">
            <v>ADM</v>
          </cell>
          <cell r="E41" t="str">
            <v>Celso Sesto</v>
          </cell>
          <cell r="F41" t="str">
            <v>Recursos Humanos</v>
          </cell>
        </row>
        <row r="42">
          <cell r="A42">
            <v>200406</v>
          </cell>
          <cell r="B42" t="str">
            <v>ADMINISTRAÇÃO DE PESSOAL</v>
          </cell>
          <cell r="C42">
            <v>40</v>
          </cell>
          <cell r="D42" t="str">
            <v>ADM</v>
          </cell>
          <cell r="E42" t="str">
            <v>Celso Sesto</v>
          </cell>
          <cell r="F42" t="str">
            <v>Recursos Humanos</v>
          </cell>
        </row>
        <row r="43">
          <cell r="A43">
            <v>200408</v>
          </cell>
          <cell r="B43" t="str">
            <v>RECRUTAMENTO E SELEÇÃO</v>
          </cell>
          <cell r="C43">
            <v>40</v>
          </cell>
          <cell r="D43" t="str">
            <v>ADM</v>
          </cell>
          <cell r="E43" t="str">
            <v>Celso Sesto</v>
          </cell>
          <cell r="F43" t="str">
            <v>Recursos Humanos</v>
          </cell>
        </row>
        <row r="44">
          <cell r="A44">
            <v>200410</v>
          </cell>
          <cell r="B44" t="str">
            <v>ASSISTÊNCIA SOCIAL</v>
          </cell>
          <cell r="C44">
            <v>40</v>
          </cell>
          <cell r="D44" t="str">
            <v>ADM</v>
          </cell>
          <cell r="E44" t="str">
            <v>Celso Sesto</v>
          </cell>
          <cell r="F44" t="str">
            <v>Recursos Humanos</v>
          </cell>
        </row>
        <row r="45">
          <cell r="A45">
            <v>200499</v>
          </cell>
          <cell r="B45" t="str">
            <v>Manutenção de Entressafra</v>
          </cell>
          <cell r="C45">
            <v>40</v>
          </cell>
          <cell r="D45" t="str">
            <v>ADM</v>
          </cell>
          <cell r="E45" t="str">
            <v>Celso Sesto</v>
          </cell>
          <cell r="F45" t="str">
            <v>Recursos Humanos</v>
          </cell>
        </row>
        <row r="46">
          <cell r="A46">
            <v>200600</v>
          </cell>
          <cell r="B46" t="str">
            <v>CUSTO E ORCAMENTO</v>
          </cell>
          <cell r="C46">
            <v>40</v>
          </cell>
          <cell r="D46" t="str">
            <v>ADM</v>
          </cell>
          <cell r="E46" t="str">
            <v>Willian Klinger</v>
          </cell>
          <cell r="F46" t="str">
            <v>CONTROLADORIA</v>
          </cell>
        </row>
        <row r="47">
          <cell r="A47">
            <v>200602</v>
          </cell>
          <cell r="B47" t="str">
            <v>CUSTOS E ORÇAMENTOS</v>
          </cell>
          <cell r="C47">
            <v>40</v>
          </cell>
          <cell r="D47" t="str">
            <v>ADM</v>
          </cell>
          <cell r="E47" t="str">
            <v>Willian Klinger</v>
          </cell>
          <cell r="F47" t="str">
            <v>CONTROLADORIA</v>
          </cell>
        </row>
        <row r="48">
          <cell r="A48">
            <v>200699</v>
          </cell>
          <cell r="B48" t="str">
            <v>Manutenção de Entressafra</v>
          </cell>
          <cell r="C48">
            <v>40</v>
          </cell>
          <cell r="D48" t="str">
            <v>ADM</v>
          </cell>
          <cell r="E48" t="str">
            <v>Willian Klinger</v>
          </cell>
          <cell r="F48" t="str">
            <v>CONTROLADORIA</v>
          </cell>
        </row>
        <row r="49">
          <cell r="A49">
            <v>200700</v>
          </cell>
          <cell r="B49" t="str">
            <v>ADMINISTRAÇÃO DE CONTRATOS</v>
          </cell>
          <cell r="C49">
            <v>40</v>
          </cell>
          <cell r="D49" t="str">
            <v>ADM</v>
          </cell>
          <cell r="E49" t="str">
            <v>MILTON</v>
          </cell>
          <cell r="F49" t="str">
            <v>CONTROLADORIA</v>
          </cell>
        </row>
        <row r="50">
          <cell r="A50">
            <v>200702</v>
          </cell>
          <cell r="B50" t="str">
            <v>CONTRATOS</v>
          </cell>
          <cell r="C50">
            <v>40</v>
          </cell>
          <cell r="D50" t="str">
            <v>ADM</v>
          </cell>
          <cell r="E50" t="str">
            <v>MILTON</v>
          </cell>
          <cell r="F50" t="str">
            <v>CONTROLADORIA</v>
          </cell>
        </row>
        <row r="51">
          <cell r="A51">
            <v>200800</v>
          </cell>
          <cell r="B51" t="str">
            <v>TECNOLOGIA DA INFORMACAO</v>
          </cell>
          <cell r="C51">
            <v>40</v>
          </cell>
          <cell r="D51" t="str">
            <v>ADM</v>
          </cell>
          <cell r="E51" t="str">
            <v>EMERSON OLIVO</v>
          </cell>
          <cell r="F51" t="str">
            <v>TI</v>
          </cell>
        </row>
        <row r="52">
          <cell r="A52">
            <v>200802</v>
          </cell>
          <cell r="B52" t="str">
            <v>TECNOLOGIA DA INFORMAÇÃO</v>
          </cell>
          <cell r="C52">
            <v>40</v>
          </cell>
          <cell r="D52" t="str">
            <v>ADM</v>
          </cell>
          <cell r="E52" t="str">
            <v>EMERSON OLIVO</v>
          </cell>
          <cell r="F52" t="str">
            <v>TI</v>
          </cell>
        </row>
        <row r="53">
          <cell r="A53">
            <v>200899</v>
          </cell>
          <cell r="B53" t="str">
            <v>Manutenção de Entressafra</v>
          </cell>
          <cell r="C53">
            <v>40</v>
          </cell>
          <cell r="D53" t="str">
            <v>ADM</v>
          </cell>
          <cell r="E53" t="str">
            <v>EMERSON OLIVO</v>
          </cell>
          <cell r="F53" t="str">
            <v>TI</v>
          </cell>
        </row>
        <row r="54">
          <cell r="A54">
            <v>201000</v>
          </cell>
          <cell r="B54" t="str">
            <v>SUPRIMENTOS</v>
          </cell>
          <cell r="C54">
            <v>40</v>
          </cell>
          <cell r="D54" t="str">
            <v>ADM</v>
          </cell>
          <cell r="E54" t="str">
            <v>GENNER</v>
          </cell>
          <cell r="F54" t="str">
            <v>SUPRIMENTOS</v>
          </cell>
        </row>
        <row r="55">
          <cell r="A55">
            <v>201002</v>
          </cell>
          <cell r="B55" t="str">
            <v>COMPRAS</v>
          </cell>
          <cell r="C55">
            <v>40</v>
          </cell>
          <cell r="D55" t="str">
            <v>ADM</v>
          </cell>
          <cell r="E55" t="str">
            <v>GENNER</v>
          </cell>
          <cell r="F55" t="str">
            <v>SUPRIMENTOS</v>
          </cell>
        </row>
        <row r="56">
          <cell r="A56">
            <v>201099</v>
          </cell>
          <cell r="B56" t="str">
            <v>Manutenção de Entressafra</v>
          </cell>
          <cell r="C56">
            <v>40</v>
          </cell>
          <cell r="D56" t="str">
            <v>ADM</v>
          </cell>
          <cell r="E56" t="str">
            <v>GENNER</v>
          </cell>
          <cell r="F56" t="str">
            <v>SUPRIMENTOS</v>
          </cell>
        </row>
        <row r="57">
          <cell r="A57">
            <v>201200</v>
          </cell>
          <cell r="B57" t="str">
            <v>COMERCIAL</v>
          </cell>
          <cell r="C57">
            <v>30</v>
          </cell>
          <cell r="D57" t="str">
            <v>COM</v>
          </cell>
          <cell r="E57" t="str">
            <v>Genner Florencio</v>
          </cell>
          <cell r="F57" t="str">
            <v>COMERCIAL</v>
          </cell>
        </row>
        <row r="58">
          <cell r="A58">
            <v>201202</v>
          </cell>
          <cell r="B58" t="str">
            <v>COMERCIAL</v>
          </cell>
          <cell r="C58">
            <v>30</v>
          </cell>
          <cell r="D58" t="str">
            <v>COM</v>
          </cell>
          <cell r="E58" t="str">
            <v>Genner Florencio</v>
          </cell>
          <cell r="F58" t="str">
            <v>COMERCIAL</v>
          </cell>
        </row>
        <row r="59">
          <cell r="A59">
            <v>201204</v>
          </cell>
          <cell r="B59" t="str">
            <v>COMERCIALIZAÇÃO</v>
          </cell>
          <cell r="C59">
            <v>30</v>
          </cell>
          <cell r="D59" t="str">
            <v>COM</v>
          </cell>
          <cell r="E59" t="str">
            <v>Genner Florencio</v>
          </cell>
          <cell r="F59" t="str">
            <v>COMERCIAL</v>
          </cell>
        </row>
        <row r="60">
          <cell r="A60">
            <v>201299</v>
          </cell>
          <cell r="B60" t="str">
            <v>Manutenção de Entressafra</v>
          </cell>
          <cell r="C60">
            <v>30</v>
          </cell>
          <cell r="D60" t="str">
            <v>COM</v>
          </cell>
          <cell r="E60" t="str">
            <v>Genner Florencio</v>
          </cell>
          <cell r="F60" t="str">
            <v>COMERCIAL</v>
          </cell>
        </row>
        <row r="61">
          <cell r="A61">
            <v>201400</v>
          </cell>
          <cell r="B61" t="str">
            <v>FINANCEIRO</v>
          </cell>
          <cell r="C61">
            <v>40</v>
          </cell>
          <cell r="D61" t="str">
            <v>ADM</v>
          </cell>
          <cell r="E61" t="str">
            <v>SILVIO CABRIOTI</v>
          </cell>
          <cell r="F61" t="str">
            <v>CONTROLADORIA</v>
          </cell>
        </row>
        <row r="62">
          <cell r="A62">
            <v>201402</v>
          </cell>
          <cell r="B62" t="str">
            <v>ADMINISTRAÇÃO FINANCEIRA</v>
          </cell>
          <cell r="C62">
            <v>40</v>
          </cell>
          <cell r="D62" t="str">
            <v>ADM</v>
          </cell>
          <cell r="E62" t="str">
            <v>SILVIO CABRIOTI</v>
          </cell>
          <cell r="F62" t="str">
            <v>CONTROLADORIA</v>
          </cell>
        </row>
        <row r="63">
          <cell r="A63">
            <v>201404</v>
          </cell>
          <cell r="B63" t="str">
            <v>TESOURARIA</v>
          </cell>
          <cell r="C63">
            <v>40</v>
          </cell>
          <cell r="D63" t="str">
            <v>ADM</v>
          </cell>
          <cell r="E63" t="str">
            <v>SILVIO CABRIOTI</v>
          </cell>
          <cell r="F63" t="str">
            <v>CONTROLADORIA</v>
          </cell>
        </row>
        <row r="64">
          <cell r="A64">
            <v>201499</v>
          </cell>
          <cell r="B64" t="str">
            <v>Manutenção de Entressafra</v>
          </cell>
          <cell r="C64">
            <v>40</v>
          </cell>
          <cell r="D64" t="str">
            <v>ADM</v>
          </cell>
          <cell r="E64" t="str">
            <v>SILVIO CABRIOTI</v>
          </cell>
          <cell r="F64" t="str">
            <v>CONTROLADORIA</v>
          </cell>
        </row>
        <row r="65">
          <cell r="A65">
            <v>201600</v>
          </cell>
          <cell r="B65" t="str">
            <v>JURIDICO</v>
          </cell>
          <cell r="C65">
            <v>40</v>
          </cell>
          <cell r="D65" t="str">
            <v>ADM</v>
          </cell>
          <cell r="E65" t="str">
            <v>Thiago Fogaça</v>
          </cell>
          <cell r="F65" t="str">
            <v>JURIDICO</v>
          </cell>
        </row>
        <row r="66">
          <cell r="A66">
            <v>201602</v>
          </cell>
          <cell r="B66" t="str">
            <v>JURÍDICO</v>
          </cell>
          <cell r="C66">
            <v>40</v>
          </cell>
          <cell r="D66" t="str">
            <v>ADM</v>
          </cell>
          <cell r="E66" t="str">
            <v>Thiago Fogaça</v>
          </cell>
          <cell r="F66" t="str">
            <v>JURIDICO</v>
          </cell>
        </row>
        <row r="67">
          <cell r="A67">
            <v>201604</v>
          </cell>
          <cell r="B67" t="str">
            <v>CONSULTORIA JURÍDICA EXTERNA</v>
          </cell>
          <cell r="C67">
            <v>40</v>
          </cell>
          <cell r="D67" t="str">
            <v>ADM</v>
          </cell>
          <cell r="E67" t="str">
            <v>Thiago Fogaça</v>
          </cell>
          <cell r="F67" t="str">
            <v>JURIDICO</v>
          </cell>
        </row>
        <row r="68">
          <cell r="A68">
            <v>201699</v>
          </cell>
          <cell r="B68" t="str">
            <v>Manutenção de Entressafra</v>
          </cell>
          <cell r="C68">
            <v>40</v>
          </cell>
          <cell r="D68" t="str">
            <v>ADM</v>
          </cell>
          <cell r="E68" t="str">
            <v>Thiago Fogaça</v>
          </cell>
          <cell r="F68" t="str">
            <v>JURIDICO</v>
          </cell>
        </row>
        <row r="69">
          <cell r="A69">
            <v>201800</v>
          </cell>
          <cell r="B69" t="str">
            <v>CONTROLE INTERNO</v>
          </cell>
          <cell r="C69">
            <v>40</v>
          </cell>
          <cell r="D69" t="str">
            <v>ADM</v>
          </cell>
          <cell r="E69" t="str">
            <v>Paola Landeras</v>
          </cell>
          <cell r="F69" t="str">
            <v>AUDITORIA INTERNA</v>
          </cell>
        </row>
        <row r="70">
          <cell r="A70">
            <v>201802</v>
          </cell>
          <cell r="B70" t="str">
            <v>CONTROLE INTERNO</v>
          </cell>
          <cell r="C70">
            <v>40</v>
          </cell>
          <cell r="D70" t="str">
            <v>ADM</v>
          </cell>
          <cell r="E70" t="str">
            <v>Paola Landeras</v>
          </cell>
          <cell r="F70" t="str">
            <v>AUDITORIA INTERNA</v>
          </cell>
        </row>
        <row r="71">
          <cell r="A71">
            <v>201899</v>
          </cell>
          <cell r="B71" t="str">
            <v>Manutenção de Entressafra</v>
          </cell>
          <cell r="C71">
            <v>40</v>
          </cell>
          <cell r="D71" t="str">
            <v>ADM</v>
          </cell>
          <cell r="E71" t="str">
            <v>Paola Landeras</v>
          </cell>
          <cell r="F71" t="str">
            <v>AUDITORIA INTERNA</v>
          </cell>
        </row>
        <row r="72">
          <cell r="A72">
            <v>202000</v>
          </cell>
          <cell r="B72" t="str">
            <v>MEIO AMBIENTE</v>
          </cell>
          <cell r="C72">
            <v>40</v>
          </cell>
          <cell r="D72" t="str">
            <v>ADM</v>
          </cell>
          <cell r="E72" t="str">
            <v>DINAEL</v>
          </cell>
          <cell r="F72" t="str">
            <v>MEIO AMBIENTE</v>
          </cell>
        </row>
        <row r="73">
          <cell r="A73">
            <v>202002</v>
          </cell>
          <cell r="B73" t="str">
            <v>MEIO AMBIENTE</v>
          </cell>
          <cell r="C73">
            <v>40</v>
          </cell>
          <cell r="D73" t="str">
            <v>ADM</v>
          </cell>
          <cell r="E73" t="str">
            <v>DINAEL</v>
          </cell>
          <cell r="F73" t="str">
            <v>MEIO AMBIENTE</v>
          </cell>
        </row>
        <row r="74">
          <cell r="A74">
            <v>202099</v>
          </cell>
          <cell r="B74" t="str">
            <v>Manutenção de Entressafra</v>
          </cell>
          <cell r="C74">
            <v>40</v>
          </cell>
          <cell r="D74" t="str">
            <v>ADM</v>
          </cell>
          <cell r="E74" t="str">
            <v>DINAEL</v>
          </cell>
          <cell r="F74" t="str">
            <v>MEIO AMBIENTE</v>
          </cell>
        </row>
        <row r="75">
          <cell r="A75">
            <v>300000</v>
          </cell>
          <cell r="B75" t="str">
            <v>ADMINISTRACAO LOCAL</v>
          </cell>
          <cell r="C75">
            <v>40</v>
          </cell>
          <cell r="D75" t="str">
            <v>ADM</v>
          </cell>
          <cell r="E75" t="str">
            <v>Paola Landeras</v>
          </cell>
          <cell r="F75" t="str">
            <v>ADMINISTRACAO GERAL</v>
          </cell>
        </row>
        <row r="76">
          <cell r="A76">
            <v>300200</v>
          </cell>
          <cell r="B76" t="str">
            <v>DEPTO CONTABIL/FISCAL</v>
          </cell>
          <cell r="C76">
            <v>40</v>
          </cell>
          <cell r="D76" t="str">
            <v>ADM</v>
          </cell>
          <cell r="E76" t="str">
            <v>Willian Gustavo</v>
          </cell>
          <cell r="F76" t="str">
            <v>CONTROLADORIA</v>
          </cell>
        </row>
        <row r="77">
          <cell r="A77">
            <v>300206</v>
          </cell>
          <cell r="B77" t="str">
            <v>FATURAMENTO</v>
          </cell>
          <cell r="C77">
            <v>40</v>
          </cell>
          <cell r="D77" t="str">
            <v>ADM</v>
          </cell>
          <cell r="E77" t="str">
            <v>Willian Gustavo</v>
          </cell>
          <cell r="F77" t="str">
            <v>CONTROLADORIA</v>
          </cell>
        </row>
        <row r="78">
          <cell r="A78">
            <v>300208</v>
          </cell>
          <cell r="B78" t="str">
            <v>RECEBIMENTO FISCAL</v>
          </cell>
          <cell r="C78">
            <v>40</v>
          </cell>
          <cell r="D78" t="str">
            <v>ADM</v>
          </cell>
          <cell r="E78" t="str">
            <v>Willian Gustavo</v>
          </cell>
          <cell r="F78" t="str">
            <v>CONTROLADORIA</v>
          </cell>
        </row>
        <row r="79">
          <cell r="A79">
            <v>300210</v>
          </cell>
          <cell r="B79" t="str">
            <v>BALANÇA ENTRADA CANA</v>
          </cell>
          <cell r="C79">
            <v>40</v>
          </cell>
          <cell r="D79" t="str">
            <v>ADM</v>
          </cell>
          <cell r="E79" t="str">
            <v>Willian Gustavo</v>
          </cell>
          <cell r="F79" t="str">
            <v>CONTROLADORIA</v>
          </cell>
        </row>
        <row r="80">
          <cell r="A80">
            <v>300299</v>
          </cell>
          <cell r="B80" t="str">
            <v>Manutenção de Entressafra</v>
          </cell>
          <cell r="C80">
            <v>40</v>
          </cell>
          <cell r="D80" t="str">
            <v>ADM</v>
          </cell>
          <cell r="E80" t="str">
            <v>Willian Gustavo</v>
          </cell>
          <cell r="F80" t="str">
            <v>CONTROLADORIA</v>
          </cell>
        </row>
        <row r="81">
          <cell r="A81">
            <v>300400</v>
          </cell>
          <cell r="B81" t="str">
            <v>RECURSOS HUMANOS</v>
          </cell>
          <cell r="C81">
            <v>40</v>
          </cell>
          <cell r="D81" t="str">
            <v>ADM</v>
          </cell>
          <cell r="E81" t="str">
            <v>Celso Sesto</v>
          </cell>
          <cell r="F81" t="str">
            <v>Recursos Humanos</v>
          </cell>
        </row>
        <row r="82">
          <cell r="A82">
            <v>300404</v>
          </cell>
          <cell r="B82" t="str">
            <v>ADMINISTRACAO DE PESSOAL</v>
          </cell>
          <cell r="C82">
            <v>40</v>
          </cell>
          <cell r="D82" t="str">
            <v>ADM</v>
          </cell>
          <cell r="E82" t="str">
            <v>Celso Sesto</v>
          </cell>
          <cell r="F82" t="str">
            <v>Recursos Humanos</v>
          </cell>
        </row>
        <row r="83">
          <cell r="A83">
            <v>300410</v>
          </cell>
          <cell r="B83" t="str">
            <v>MEDICINA DO TRABALHO</v>
          </cell>
          <cell r="C83">
            <v>40</v>
          </cell>
          <cell r="D83" t="str">
            <v>ADM</v>
          </cell>
          <cell r="E83" t="str">
            <v>Celso Sesto</v>
          </cell>
          <cell r="F83" t="str">
            <v>Recursos Humanos</v>
          </cell>
        </row>
        <row r="84">
          <cell r="A84">
            <v>300412</v>
          </cell>
          <cell r="B84" t="str">
            <v>SEGURANCA DO TRABALHO</v>
          </cell>
          <cell r="C84">
            <v>40</v>
          </cell>
          <cell r="D84" t="str">
            <v>ADM</v>
          </cell>
          <cell r="E84" t="str">
            <v>Gabriel Viana</v>
          </cell>
          <cell r="F84" t="str">
            <v>Recursos Humanos</v>
          </cell>
        </row>
        <row r="85">
          <cell r="A85">
            <v>300414</v>
          </cell>
          <cell r="B85" t="str">
            <v>SEGURANCA PATRIMONIAL</v>
          </cell>
          <cell r="C85">
            <v>40</v>
          </cell>
          <cell r="D85" t="str">
            <v>ADM</v>
          </cell>
          <cell r="E85" t="str">
            <v>Celso Sesto</v>
          </cell>
          <cell r="F85" t="str">
            <v>Recursos Humanos</v>
          </cell>
        </row>
        <row r="86">
          <cell r="A86">
            <v>300416</v>
          </cell>
          <cell r="B86" t="str">
            <v>RESTAURANTE</v>
          </cell>
          <cell r="C86">
            <v>40</v>
          </cell>
          <cell r="D86" t="str">
            <v>ADM</v>
          </cell>
          <cell r="E86" t="str">
            <v>Gabriel Viana</v>
          </cell>
          <cell r="F86" t="str">
            <v>Recursos Humanos</v>
          </cell>
        </row>
        <row r="87">
          <cell r="A87">
            <v>300418</v>
          </cell>
          <cell r="B87" t="str">
            <v>ALOJAMENTO</v>
          </cell>
          <cell r="C87">
            <v>40</v>
          </cell>
          <cell r="D87" t="str">
            <v>ADM</v>
          </cell>
          <cell r="E87" t="str">
            <v>Celso Sesto</v>
          </cell>
          <cell r="F87" t="str">
            <v>Recursos Humanos</v>
          </cell>
        </row>
        <row r="88">
          <cell r="A88">
            <v>300420</v>
          </cell>
          <cell r="B88" t="str">
            <v>RECEPCAO, COPA E COZINHA</v>
          </cell>
          <cell r="C88">
            <v>40</v>
          </cell>
          <cell r="D88" t="str">
            <v>ADM</v>
          </cell>
          <cell r="E88" t="str">
            <v>Gabriel Viana</v>
          </cell>
          <cell r="F88" t="str">
            <v>Recursos Humanos</v>
          </cell>
        </row>
        <row r="89">
          <cell r="A89">
            <v>300499</v>
          </cell>
          <cell r="B89" t="str">
            <v>Manutenção de Entressafra</v>
          </cell>
          <cell r="C89">
            <v>40</v>
          </cell>
          <cell r="D89" t="str">
            <v>ADM</v>
          </cell>
          <cell r="E89" t="str">
            <v xml:space="preserve">Celso Sesto </v>
          </cell>
          <cell r="F89" t="str">
            <v>Recursos Humanos</v>
          </cell>
        </row>
        <row r="90">
          <cell r="A90">
            <v>300600</v>
          </cell>
          <cell r="B90" t="str">
            <v>ADMINISTRAÇÃO GERAL</v>
          </cell>
          <cell r="C90">
            <v>40</v>
          </cell>
          <cell r="D90" t="str">
            <v>ADM</v>
          </cell>
          <cell r="E90" t="str">
            <v>Paola Landeras</v>
          </cell>
          <cell r="F90" t="str">
            <v>ADMINISTRACAO GERAL</v>
          </cell>
        </row>
        <row r="91">
          <cell r="A91">
            <v>300602</v>
          </cell>
          <cell r="B91" t="str">
            <v>ADMINISTRAÇÃO GERAL</v>
          </cell>
          <cell r="C91">
            <v>40</v>
          </cell>
          <cell r="D91" t="str">
            <v>ADM</v>
          </cell>
          <cell r="E91" t="str">
            <v>Paola Landeras</v>
          </cell>
          <cell r="F91" t="str">
            <v>ADMINISTRACAO GERAL</v>
          </cell>
        </row>
        <row r="92">
          <cell r="A92">
            <v>300604</v>
          </cell>
          <cell r="B92" t="str">
            <v>GERENCIA GERAL</v>
          </cell>
          <cell r="C92">
            <v>40</v>
          </cell>
          <cell r="D92" t="str">
            <v>ADM</v>
          </cell>
          <cell r="E92" t="str">
            <v>Paola Landeras</v>
          </cell>
          <cell r="F92" t="str">
            <v>ADMINISTRACAO GERAL</v>
          </cell>
        </row>
        <row r="93">
          <cell r="A93">
            <v>300606</v>
          </cell>
          <cell r="B93" t="str">
            <v>GER.ADMINISTRACAO DE RISCO E AUDITORIA</v>
          </cell>
          <cell r="C93">
            <v>40</v>
          </cell>
          <cell r="D93" t="str">
            <v>ADM</v>
          </cell>
          <cell r="E93" t="str">
            <v>Paola Landeras</v>
          </cell>
          <cell r="F93" t="str">
            <v>AUDITORIA INTERNA</v>
          </cell>
        </row>
        <row r="94">
          <cell r="A94">
            <v>300699</v>
          </cell>
          <cell r="B94" t="str">
            <v>Manutenção de Entressafra</v>
          </cell>
          <cell r="C94">
            <v>40</v>
          </cell>
          <cell r="D94" t="str">
            <v>ADM</v>
          </cell>
          <cell r="E94" t="str">
            <v>Paola Landeras</v>
          </cell>
          <cell r="F94" t="str">
            <v>ADMINISTRACAO GERAL</v>
          </cell>
        </row>
        <row r="95">
          <cell r="A95">
            <v>300800</v>
          </cell>
          <cell r="B95" t="str">
            <v>TECNOLOGIA DA INFORMACAO</v>
          </cell>
          <cell r="C95">
            <v>40</v>
          </cell>
          <cell r="D95" t="str">
            <v>ADM</v>
          </cell>
          <cell r="E95" t="str">
            <v>EMERSON OLIVO</v>
          </cell>
          <cell r="F95" t="str">
            <v>TI</v>
          </cell>
        </row>
        <row r="96">
          <cell r="A96">
            <v>300802</v>
          </cell>
          <cell r="B96" t="str">
            <v>TECNOLOGIA DA INFORMAÇÃO</v>
          </cell>
          <cell r="C96">
            <v>40</v>
          </cell>
          <cell r="D96" t="str">
            <v>ADM</v>
          </cell>
          <cell r="E96" t="str">
            <v>EMERSON OLIVO</v>
          </cell>
          <cell r="F96" t="str">
            <v>TI</v>
          </cell>
        </row>
        <row r="97">
          <cell r="A97">
            <v>300899</v>
          </cell>
          <cell r="B97" t="str">
            <v>Manutenção de Entressafra</v>
          </cell>
          <cell r="C97">
            <v>40</v>
          </cell>
          <cell r="D97" t="str">
            <v>ADM</v>
          </cell>
          <cell r="E97" t="str">
            <v>EMERSON OLIVO</v>
          </cell>
          <cell r="F97" t="str">
            <v>TI</v>
          </cell>
        </row>
        <row r="98">
          <cell r="A98">
            <v>301000</v>
          </cell>
          <cell r="B98" t="str">
            <v>SUPRIMENTOS</v>
          </cell>
          <cell r="C98">
            <v>40</v>
          </cell>
          <cell r="D98" t="str">
            <v>ADM</v>
          </cell>
          <cell r="E98" t="str">
            <v>GENNER</v>
          </cell>
          <cell r="F98" t="str">
            <v>SUPRIMENTOS</v>
          </cell>
        </row>
        <row r="99">
          <cell r="A99">
            <v>301002</v>
          </cell>
          <cell r="B99" t="str">
            <v>ALMOXARIFADO AUTOMOTIVO</v>
          </cell>
          <cell r="C99">
            <v>40</v>
          </cell>
          <cell r="D99" t="str">
            <v>ADM</v>
          </cell>
          <cell r="E99" t="str">
            <v>GENNER</v>
          </cell>
          <cell r="F99" t="str">
            <v>SUPRIMENTOS</v>
          </cell>
        </row>
        <row r="100">
          <cell r="A100">
            <v>301004</v>
          </cell>
          <cell r="B100" t="str">
            <v>ALMOXARIFADO INDUSTRIAL</v>
          </cell>
          <cell r="C100">
            <v>40</v>
          </cell>
          <cell r="D100" t="str">
            <v>ADM</v>
          </cell>
          <cell r="E100" t="str">
            <v>GENNER</v>
          </cell>
          <cell r="F100" t="str">
            <v>SUPRIMENTOS</v>
          </cell>
        </row>
        <row r="101">
          <cell r="A101">
            <v>301006</v>
          </cell>
          <cell r="B101" t="str">
            <v>POSTO ABASTECIMENTO</v>
          </cell>
          <cell r="C101">
            <v>40</v>
          </cell>
          <cell r="D101" t="str">
            <v>ADM</v>
          </cell>
          <cell r="E101" t="str">
            <v>GENNER</v>
          </cell>
          <cell r="F101" t="str">
            <v>SUPRIMENTOS</v>
          </cell>
        </row>
        <row r="102">
          <cell r="A102">
            <v>301099</v>
          </cell>
          <cell r="B102" t="str">
            <v>Manutenção de Entressafra</v>
          </cell>
          <cell r="C102">
            <v>40</v>
          </cell>
          <cell r="D102" t="str">
            <v>ADM</v>
          </cell>
          <cell r="E102" t="str">
            <v>GENNER</v>
          </cell>
          <cell r="F102" t="str">
            <v>SUPRIMENTOS</v>
          </cell>
        </row>
        <row r="103">
          <cell r="A103">
            <v>301200</v>
          </cell>
          <cell r="B103" t="str">
            <v>DEPTO COMERCIAL</v>
          </cell>
          <cell r="C103">
            <v>30</v>
          </cell>
          <cell r="D103" t="str">
            <v>COM</v>
          </cell>
          <cell r="E103" t="str">
            <v>Genner Florencio</v>
          </cell>
          <cell r="F103" t="str">
            <v>COMERCIAL</v>
          </cell>
        </row>
        <row r="104">
          <cell r="A104">
            <v>301202</v>
          </cell>
          <cell r="B104" t="str">
            <v>ARMAZENAGEM DE ALCOOL</v>
          </cell>
          <cell r="C104">
            <v>30</v>
          </cell>
          <cell r="D104" t="str">
            <v>COM</v>
          </cell>
          <cell r="E104" t="str">
            <v>Genner Florencio</v>
          </cell>
          <cell r="F104" t="str">
            <v>COMERCIAL</v>
          </cell>
        </row>
        <row r="105">
          <cell r="A105">
            <v>301204</v>
          </cell>
          <cell r="B105" t="str">
            <v>ARMAZENAGEM DE ACUCAR</v>
          </cell>
          <cell r="C105">
            <v>30</v>
          </cell>
          <cell r="D105" t="str">
            <v>COM</v>
          </cell>
          <cell r="E105" t="str">
            <v>Genner Florencio</v>
          </cell>
          <cell r="F105" t="str">
            <v>COMERCIAL</v>
          </cell>
        </row>
        <row r="106">
          <cell r="A106">
            <v>301206</v>
          </cell>
          <cell r="B106" t="str">
            <v>CARREGAMENTO DE ALCOOL</v>
          </cell>
          <cell r="C106">
            <v>30</v>
          </cell>
          <cell r="D106" t="str">
            <v>COM</v>
          </cell>
          <cell r="E106" t="str">
            <v>Genner Florencio</v>
          </cell>
          <cell r="F106" t="str">
            <v>COMERCIAL</v>
          </cell>
        </row>
        <row r="107">
          <cell r="A107">
            <v>301208</v>
          </cell>
          <cell r="B107" t="str">
            <v>LOGISTICA E TRANSPORTE</v>
          </cell>
          <cell r="C107">
            <v>30</v>
          </cell>
          <cell r="D107" t="str">
            <v>COM</v>
          </cell>
          <cell r="E107" t="str">
            <v>Genner Florencio</v>
          </cell>
          <cell r="F107" t="str">
            <v>COMERCIAL</v>
          </cell>
        </row>
        <row r="108">
          <cell r="A108">
            <v>301290</v>
          </cell>
          <cell r="B108" t="str">
            <v>LOGISTICA E TRANSPORTE</v>
          </cell>
          <cell r="C108">
            <v>30</v>
          </cell>
          <cell r="D108" t="str">
            <v>COM</v>
          </cell>
          <cell r="E108" t="str">
            <v>Genner Florencio</v>
          </cell>
          <cell r="F108" t="str">
            <v>COMERCIAL</v>
          </cell>
        </row>
        <row r="109">
          <cell r="A109">
            <v>301299</v>
          </cell>
          <cell r="B109" t="str">
            <v>Manutenção de Entressafra</v>
          </cell>
          <cell r="C109">
            <v>30</v>
          </cell>
          <cell r="D109" t="str">
            <v>COM</v>
          </cell>
          <cell r="E109" t="str">
            <v>Genner Florencio</v>
          </cell>
          <cell r="F109" t="str">
            <v>COMERCIAL</v>
          </cell>
        </row>
        <row r="110">
          <cell r="A110">
            <v>399990</v>
          </cell>
          <cell r="B110" t="str">
            <v>C.CUSTO PARA NÃO SER VALIDADO PELO ORÇAM</v>
          </cell>
          <cell r="C110">
            <v>40</v>
          </cell>
          <cell r="D110" t="str">
            <v>ADM</v>
          </cell>
          <cell r="E110" t="str">
            <v>Willian Klinger</v>
          </cell>
          <cell r="F110" t="str">
            <v>NA</v>
          </cell>
        </row>
        <row r="111">
          <cell r="A111">
            <v>399991</v>
          </cell>
          <cell r="B111" t="str">
            <v>C.CUSTO PARA NÃO SER VALIDADO PELO ORÇAM</v>
          </cell>
          <cell r="C111">
            <v>40</v>
          </cell>
          <cell r="D111" t="str">
            <v>ADM</v>
          </cell>
          <cell r="E111" t="str">
            <v>Willian Klinger</v>
          </cell>
          <cell r="F111" t="str">
            <v>NA</v>
          </cell>
        </row>
        <row r="112">
          <cell r="A112">
            <v>399999</v>
          </cell>
          <cell r="B112" t="str">
            <v>Manutenção de Entressafra</v>
          </cell>
          <cell r="C112">
            <v>40</v>
          </cell>
          <cell r="D112" t="str">
            <v>ADM</v>
          </cell>
          <cell r="E112" t="str">
            <v>Willian Klinger</v>
          </cell>
          <cell r="F112" t="str">
            <v>NA</v>
          </cell>
        </row>
        <row r="113">
          <cell r="A113">
            <v>400000</v>
          </cell>
          <cell r="B113" t="str">
            <v>GERENCIA INDUSTRIAL</v>
          </cell>
          <cell r="C113">
            <v>10</v>
          </cell>
          <cell r="D113" t="str">
            <v>IND</v>
          </cell>
          <cell r="E113" t="str">
            <v>GILBERTO STUCHI</v>
          </cell>
          <cell r="F113" t="str">
            <v>ADM INDUSTRIAL</v>
          </cell>
        </row>
        <row r="114">
          <cell r="A114">
            <v>400100</v>
          </cell>
          <cell r="B114" t="str">
            <v>GERÊNCIA INDUSTRIAL</v>
          </cell>
          <cell r="C114">
            <v>10</v>
          </cell>
          <cell r="D114" t="str">
            <v>IND</v>
          </cell>
          <cell r="E114" t="str">
            <v>GILBERTO STUCHI</v>
          </cell>
          <cell r="F114" t="str">
            <v>ADM INDUSTRIAL</v>
          </cell>
        </row>
        <row r="115">
          <cell r="A115">
            <v>400101</v>
          </cell>
          <cell r="B115" t="str">
            <v>GERÊNCIA INDUSTRIAL - Corporativa</v>
          </cell>
          <cell r="C115">
            <v>10</v>
          </cell>
          <cell r="D115" t="str">
            <v>IND</v>
          </cell>
          <cell r="E115" t="str">
            <v>GILBERTO STUCHI</v>
          </cell>
          <cell r="F115" t="str">
            <v>CORPORATIVO</v>
          </cell>
        </row>
        <row r="116">
          <cell r="A116">
            <v>400102</v>
          </cell>
          <cell r="B116" t="str">
            <v>GERÊNCIA INDUSTRIAL</v>
          </cell>
          <cell r="C116">
            <v>10</v>
          </cell>
          <cell r="D116" t="str">
            <v>IND</v>
          </cell>
          <cell r="E116" t="str">
            <v>GILBERTO STUCHI</v>
          </cell>
          <cell r="F116" t="str">
            <v>ADM INDUSTRIAL</v>
          </cell>
        </row>
        <row r="117">
          <cell r="A117">
            <v>400199</v>
          </cell>
          <cell r="B117" t="str">
            <v>Manutenção de Entressafra</v>
          </cell>
          <cell r="C117">
            <v>10</v>
          </cell>
          <cell r="D117" t="str">
            <v>IND</v>
          </cell>
          <cell r="E117" t="str">
            <v>GILBERTO STUCHI</v>
          </cell>
          <cell r="F117" t="str">
            <v>ADM INDUSTRIAL</v>
          </cell>
        </row>
        <row r="118">
          <cell r="A118">
            <v>400200</v>
          </cell>
          <cell r="B118" t="str">
            <v>APOIO TECNICO INDUSTRIAL</v>
          </cell>
          <cell r="C118">
            <v>10</v>
          </cell>
          <cell r="D118" t="str">
            <v>IND</v>
          </cell>
          <cell r="E118" t="str">
            <v>SERGIO FIORENTINO</v>
          </cell>
          <cell r="F118" t="str">
            <v>ADM INDUSTRIAL</v>
          </cell>
        </row>
        <row r="119">
          <cell r="A119">
            <v>400202</v>
          </cell>
          <cell r="B119" t="str">
            <v>APOIO TÉCNICO INDUSTRIAL</v>
          </cell>
          <cell r="C119">
            <v>10</v>
          </cell>
          <cell r="D119" t="str">
            <v>IND</v>
          </cell>
          <cell r="E119" t="str">
            <v>SERGIO FIORENTINO</v>
          </cell>
          <cell r="F119" t="str">
            <v>ADM INDUSTRIAL</v>
          </cell>
        </row>
        <row r="120">
          <cell r="A120">
            <v>400299</v>
          </cell>
          <cell r="B120" t="str">
            <v>Manutenção de Entressafra</v>
          </cell>
          <cell r="C120">
            <v>10</v>
          </cell>
          <cell r="D120" t="str">
            <v>IND</v>
          </cell>
          <cell r="E120" t="str">
            <v>SERGIO FIORENTINO</v>
          </cell>
          <cell r="F120" t="str">
            <v>ADM INDUSTRIAL</v>
          </cell>
        </row>
        <row r="121">
          <cell r="A121">
            <v>400400</v>
          </cell>
          <cell r="B121" t="str">
            <v>CONTROLE DE QUALIDADE</v>
          </cell>
          <cell r="C121">
            <v>10</v>
          </cell>
          <cell r="D121" t="str">
            <v>IND</v>
          </cell>
          <cell r="E121" t="str">
            <v>SERGIO FIORENTINO</v>
          </cell>
          <cell r="F121" t="str">
            <v>ADM INDUSTRIAL</v>
          </cell>
        </row>
        <row r="122">
          <cell r="A122">
            <v>400402</v>
          </cell>
          <cell r="B122" t="str">
            <v>LABORATORIO PCTS</v>
          </cell>
          <cell r="C122">
            <v>10</v>
          </cell>
          <cell r="D122" t="str">
            <v>IND</v>
          </cell>
          <cell r="E122" t="str">
            <v>SERGIO FIORENTINO</v>
          </cell>
          <cell r="F122" t="str">
            <v>CONTROLE E QUALIDADE</v>
          </cell>
        </row>
        <row r="123">
          <cell r="A123">
            <v>400404</v>
          </cell>
          <cell r="B123" t="str">
            <v>LABORATORIO INDUSTRIAL</v>
          </cell>
          <cell r="C123">
            <v>10</v>
          </cell>
          <cell r="D123" t="str">
            <v>IND</v>
          </cell>
          <cell r="E123" t="str">
            <v>SERGIO FIORENTINO</v>
          </cell>
          <cell r="F123" t="str">
            <v>CONTROLE E QUALIDADE</v>
          </cell>
        </row>
        <row r="124">
          <cell r="A124">
            <v>400406</v>
          </cell>
          <cell r="B124" t="str">
            <v>LABORATORIO MICRO-BIOLOGIA</v>
          </cell>
          <cell r="C124">
            <v>10</v>
          </cell>
          <cell r="D124" t="str">
            <v>IND</v>
          </cell>
          <cell r="E124" t="str">
            <v>SERGIO FIORENTINO</v>
          </cell>
          <cell r="F124" t="str">
            <v>CONTROLE E QUALIDADE</v>
          </cell>
        </row>
        <row r="125">
          <cell r="A125">
            <v>400499</v>
          </cell>
          <cell r="B125" t="str">
            <v>Manutenção de Entressafra</v>
          </cell>
          <cell r="C125">
            <v>10</v>
          </cell>
          <cell r="D125" t="str">
            <v>IND</v>
          </cell>
          <cell r="E125" t="str">
            <v>SERGIO FIORENTINO</v>
          </cell>
          <cell r="F125" t="str">
            <v>CONTROLE E QUALIDADE</v>
          </cell>
        </row>
        <row r="126">
          <cell r="A126">
            <v>401000</v>
          </cell>
          <cell r="B126" t="str">
            <v>RECEPCAO / MOAGEM</v>
          </cell>
          <cell r="C126">
            <v>10</v>
          </cell>
          <cell r="D126" t="str">
            <v>IND</v>
          </cell>
          <cell r="E126" t="str">
            <v>SERGIO FIORENTINO</v>
          </cell>
          <cell r="F126" t="str">
            <v>RECEPÇÃO-MOAGEM</v>
          </cell>
        </row>
        <row r="127">
          <cell r="A127">
            <v>401002</v>
          </cell>
          <cell r="B127" t="str">
            <v>BARRACAO / LIMPEZA</v>
          </cell>
          <cell r="C127">
            <v>10</v>
          </cell>
          <cell r="D127" t="str">
            <v>IND</v>
          </cell>
          <cell r="E127" t="str">
            <v>SERGIO FIORENTINO</v>
          </cell>
          <cell r="F127" t="str">
            <v>RECEPÇÃO-MOAGEM</v>
          </cell>
        </row>
        <row r="128">
          <cell r="A128">
            <v>401004</v>
          </cell>
          <cell r="B128" t="str">
            <v>ALIMENTACAO E PREPARO</v>
          </cell>
          <cell r="C128">
            <v>10</v>
          </cell>
          <cell r="D128" t="str">
            <v>IND</v>
          </cell>
          <cell r="E128" t="str">
            <v>SERGIO FIORENTINO</v>
          </cell>
          <cell r="F128" t="str">
            <v>RECEPÇÃO-MOAGEM</v>
          </cell>
        </row>
        <row r="129">
          <cell r="A129">
            <v>401006</v>
          </cell>
          <cell r="B129" t="str">
            <v>MOAGEM CANA</v>
          </cell>
          <cell r="C129">
            <v>10</v>
          </cell>
          <cell r="D129" t="str">
            <v>IND</v>
          </cell>
          <cell r="E129" t="str">
            <v>SERGIO FIORENTINO</v>
          </cell>
          <cell r="F129" t="str">
            <v>RECEPÇÃO-MOAGEM</v>
          </cell>
        </row>
        <row r="130">
          <cell r="A130">
            <v>401008</v>
          </cell>
          <cell r="B130" t="str">
            <v>DIFUSOR</v>
          </cell>
          <cell r="C130">
            <v>10</v>
          </cell>
          <cell r="D130" t="str">
            <v>IND</v>
          </cell>
          <cell r="E130" t="str">
            <v>SERGIO FIORENTINO</v>
          </cell>
          <cell r="F130" t="str">
            <v>RECEPÇÃO-MOAGEM</v>
          </cell>
        </row>
        <row r="131">
          <cell r="A131">
            <v>401010</v>
          </cell>
          <cell r="B131" t="str">
            <v>DESAGUADOR</v>
          </cell>
          <cell r="C131">
            <v>10</v>
          </cell>
          <cell r="D131" t="str">
            <v>IND</v>
          </cell>
          <cell r="E131" t="str">
            <v>SERGIO FIORENTINO</v>
          </cell>
          <cell r="F131" t="str">
            <v>RECEPÇÃO-MOAGEM</v>
          </cell>
        </row>
        <row r="132">
          <cell r="A132">
            <v>401012</v>
          </cell>
          <cell r="B132" t="str">
            <v>SECAGEM DO BAGAÇO</v>
          </cell>
          <cell r="C132">
            <v>10</v>
          </cell>
          <cell r="D132" t="str">
            <v>IND</v>
          </cell>
          <cell r="E132" t="str">
            <v>SERGIO FIORENTINO</v>
          </cell>
          <cell r="F132" t="str">
            <v>RECEPÇÃO-MOAGEM</v>
          </cell>
        </row>
        <row r="133">
          <cell r="A133">
            <v>401098</v>
          </cell>
          <cell r="B133" t="str">
            <v>ABSORÇÃO DO RATEIO INDUSTRIAL</v>
          </cell>
          <cell r="C133">
            <v>10</v>
          </cell>
          <cell r="D133" t="str">
            <v>IND</v>
          </cell>
          <cell r="E133" t="str">
            <v>SERGIO FIORENTINO</v>
          </cell>
          <cell r="F133" t="str">
            <v>RECEPÇÃO-MOAGEM</v>
          </cell>
        </row>
        <row r="134">
          <cell r="A134">
            <v>401099</v>
          </cell>
          <cell r="B134" t="str">
            <v>Manutenção de Entressafra</v>
          </cell>
          <cell r="C134">
            <v>10</v>
          </cell>
          <cell r="D134" t="str">
            <v>IND</v>
          </cell>
          <cell r="E134" t="str">
            <v>SERGIO FIORENTINO</v>
          </cell>
          <cell r="F134" t="str">
            <v>RECEPÇÃO-MOAGEM</v>
          </cell>
        </row>
        <row r="135">
          <cell r="A135">
            <v>401400</v>
          </cell>
          <cell r="B135" t="str">
            <v>TRATAMENTO E DISTR.DO CALDO</v>
          </cell>
          <cell r="C135">
            <v>10</v>
          </cell>
          <cell r="D135" t="str">
            <v>IND</v>
          </cell>
          <cell r="E135" t="str">
            <v>SERGIO FIORENTINO</v>
          </cell>
          <cell r="F135" t="str">
            <v>TRATAM. DISTR. CALDO</v>
          </cell>
        </row>
        <row r="136">
          <cell r="A136">
            <v>401402</v>
          </cell>
          <cell r="B136" t="str">
            <v>AQUECIMENTO/TROCADOR CALOR ALCOOL</v>
          </cell>
          <cell r="C136">
            <v>10</v>
          </cell>
          <cell r="D136" t="str">
            <v>IND</v>
          </cell>
          <cell r="E136" t="str">
            <v>SERGIO FIORENTINO</v>
          </cell>
          <cell r="F136" t="str">
            <v>TRATAM. DISTR. CALDO</v>
          </cell>
        </row>
        <row r="137">
          <cell r="A137">
            <v>401404</v>
          </cell>
          <cell r="B137" t="str">
            <v>DECANTACAO DO ALCOOL</v>
          </cell>
          <cell r="C137">
            <v>10</v>
          </cell>
          <cell r="D137" t="str">
            <v>IND</v>
          </cell>
          <cell r="E137" t="str">
            <v>SERGIO FIORENTINO</v>
          </cell>
          <cell r="F137" t="str">
            <v>TRATAM. DISTR. CALDO</v>
          </cell>
        </row>
        <row r="138">
          <cell r="A138">
            <v>401406</v>
          </cell>
          <cell r="B138" t="str">
            <v>PRE-EVAPORACAO DO ALCOOL</v>
          </cell>
          <cell r="C138">
            <v>10</v>
          </cell>
          <cell r="D138" t="str">
            <v>IND</v>
          </cell>
          <cell r="E138" t="str">
            <v>SERGIO FIORENTINO</v>
          </cell>
          <cell r="F138" t="str">
            <v>TRATAM. DISTR. CALDO</v>
          </cell>
        </row>
        <row r="139">
          <cell r="A139">
            <v>401408</v>
          </cell>
          <cell r="B139" t="str">
            <v>AQUECIMENTO/TROCADOR CALOR ACUCAR</v>
          </cell>
          <cell r="C139">
            <v>10</v>
          </cell>
          <cell r="D139" t="str">
            <v>IND</v>
          </cell>
          <cell r="E139" t="str">
            <v>SERGIO FIORENTINO</v>
          </cell>
          <cell r="F139" t="str">
            <v>TRATAM. DISTR. CALDO</v>
          </cell>
        </row>
        <row r="140">
          <cell r="A140">
            <v>401410</v>
          </cell>
          <cell r="B140" t="str">
            <v>CALEACAO</v>
          </cell>
          <cell r="C140">
            <v>10</v>
          </cell>
          <cell r="D140" t="str">
            <v>IND</v>
          </cell>
          <cell r="E140" t="str">
            <v>SERGIO FIORENTINO</v>
          </cell>
          <cell r="F140" t="str">
            <v>TRATAM. DISTR. CALDO</v>
          </cell>
        </row>
        <row r="141">
          <cell r="A141">
            <v>401412</v>
          </cell>
          <cell r="B141" t="str">
            <v>SULFITACAO</v>
          </cell>
          <cell r="C141">
            <v>10</v>
          </cell>
          <cell r="D141" t="str">
            <v>IND</v>
          </cell>
          <cell r="E141" t="str">
            <v>SERGIO FIORENTINO</v>
          </cell>
          <cell r="F141" t="str">
            <v>TRATAM. DISTR. CALDO</v>
          </cell>
        </row>
        <row r="142">
          <cell r="A142">
            <v>401414</v>
          </cell>
          <cell r="B142" t="str">
            <v>DECANTACAO DO ACUCAR</v>
          </cell>
          <cell r="C142">
            <v>10</v>
          </cell>
          <cell r="D142" t="str">
            <v>IND</v>
          </cell>
          <cell r="E142" t="str">
            <v>SERGIO FIORENTINO</v>
          </cell>
          <cell r="F142" t="str">
            <v>TRATAM. DISTR. CALDO</v>
          </cell>
        </row>
        <row r="143">
          <cell r="A143">
            <v>401416</v>
          </cell>
          <cell r="B143" t="str">
            <v>FILTRACAO DO LODO DO ACUCAR</v>
          </cell>
          <cell r="C143">
            <v>10</v>
          </cell>
          <cell r="D143" t="str">
            <v>IND</v>
          </cell>
          <cell r="E143" t="str">
            <v>SERGIO FIORENTINO</v>
          </cell>
          <cell r="F143" t="str">
            <v>TRATAM. DISTR. CALDO</v>
          </cell>
        </row>
        <row r="144">
          <cell r="A144">
            <v>401418</v>
          </cell>
          <cell r="B144" t="str">
            <v>PRE-EVAPORACAO DO ACUCAR</v>
          </cell>
          <cell r="C144">
            <v>10</v>
          </cell>
          <cell r="D144" t="str">
            <v>IND</v>
          </cell>
          <cell r="E144" t="str">
            <v>SERGIO FIORENTINO</v>
          </cell>
          <cell r="F144" t="str">
            <v>TRATAM. DISTR. CALDO</v>
          </cell>
        </row>
        <row r="145">
          <cell r="A145">
            <v>401420</v>
          </cell>
          <cell r="B145" t="str">
            <v>FILTRACAO DO LODO DO ALCOOL</v>
          </cell>
          <cell r="C145">
            <v>10</v>
          </cell>
          <cell r="D145" t="str">
            <v>IND</v>
          </cell>
          <cell r="E145" t="str">
            <v>SERGIO FIORENTINO</v>
          </cell>
          <cell r="F145" t="str">
            <v>TRATAM. DISTR. CALDO</v>
          </cell>
        </row>
        <row r="146">
          <cell r="A146">
            <v>401499</v>
          </cell>
          <cell r="B146" t="str">
            <v>Manutenção de Entressafra</v>
          </cell>
          <cell r="C146">
            <v>10</v>
          </cell>
          <cell r="D146" t="str">
            <v>IND</v>
          </cell>
          <cell r="E146" t="str">
            <v>SERGIO FIORENTINO</v>
          </cell>
          <cell r="F146" t="str">
            <v>TRATAM. DISTR. CALDO</v>
          </cell>
        </row>
        <row r="147">
          <cell r="A147">
            <v>402000</v>
          </cell>
          <cell r="B147" t="str">
            <v>FABRICACAO ALCOOL</v>
          </cell>
          <cell r="C147">
            <v>10</v>
          </cell>
          <cell r="D147" t="str">
            <v>IND</v>
          </cell>
          <cell r="E147" t="str">
            <v>SERGIO FIORENTINO</v>
          </cell>
          <cell r="F147" t="str">
            <v>FABRICAÇÃO ÁLCOOL</v>
          </cell>
        </row>
        <row r="148">
          <cell r="A148">
            <v>402002</v>
          </cell>
          <cell r="B148" t="str">
            <v>PRE-FERMENTACAO</v>
          </cell>
          <cell r="C148">
            <v>10</v>
          </cell>
          <cell r="D148" t="str">
            <v>IND</v>
          </cell>
          <cell r="E148" t="str">
            <v>SERGIO FIORENTINO</v>
          </cell>
          <cell r="F148" t="str">
            <v>FABRICAÇÃO ÁLCOOL</v>
          </cell>
        </row>
        <row r="149">
          <cell r="A149">
            <v>402004</v>
          </cell>
          <cell r="B149" t="str">
            <v>FERMENTACAO</v>
          </cell>
          <cell r="C149">
            <v>10</v>
          </cell>
          <cell r="D149" t="str">
            <v>IND</v>
          </cell>
          <cell r="E149" t="str">
            <v>SERGIO FIORENTINO</v>
          </cell>
          <cell r="F149" t="str">
            <v>FABRICAÇÃO ÁLCOOL</v>
          </cell>
        </row>
        <row r="150">
          <cell r="A150">
            <v>402006</v>
          </cell>
          <cell r="B150" t="str">
            <v>DESTILACAO HIDRATADO</v>
          </cell>
          <cell r="C150">
            <v>10</v>
          </cell>
          <cell r="D150" t="str">
            <v>IND</v>
          </cell>
          <cell r="E150" t="str">
            <v>SERGIO FIORENTINO</v>
          </cell>
          <cell r="F150" t="str">
            <v>FABRICAÇÃO ÁLCOOL</v>
          </cell>
        </row>
        <row r="151">
          <cell r="A151">
            <v>402008</v>
          </cell>
          <cell r="B151" t="str">
            <v>DESTILACAO ANIDRO</v>
          </cell>
          <cell r="C151">
            <v>10</v>
          </cell>
          <cell r="D151" t="str">
            <v>IND</v>
          </cell>
          <cell r="E151" t="str">
            <v>SERGIO FIORENTINO</v>
          </cell>
          <cell r="F151" t="str">
            <v>FABRICAÇÃO ÁLCOOL</v>
          </cell>
        </row>
        <row r="152">
          <cell r="A152">
            <v>402010</v>
          </cell>
          <cell r="B152" t="str">
            <v>TORRE DE RESFRIAMENTO</v>
          </cell>
          <cell r="C152">
            <v>10</v>
          </cell>
          <cell r="D152" t="str">
            <v>IND</v>
          </cell>
          <cell r="E152" t="str">
            <v>SERGIO FIORENTINO</v>
          </cell>
          <cell r="F152" t="str">
            <v>FABRICAÇÃO ÁLCOOL</v>
          </cell>
        </row>
        <row r="153">
          <cell r="A153">
            <v>402012</v>
          </cell>
          <cell r="B153" t="str">
            <v>TANQUE SPRAY</v>
          </cell>
          <cell r="C153">
            <v>10</v>
          </cell>
          <cell r="D153" t="str">
            <v>IND</v>
          </cell>
          <cell r="E153" t="str">
            <v>SERGIO FIORENTINO</v>
          </cell>
          <cell r="F153" t="str">
            <v>FABRICAÇÃO ÁLCOOL</v>
          </cell>
        </row>
        <row r="154">
          <cell r="A154">
            <v>402014</v>
          </cell>
          <cell r="B154" t="str">
            <v>CENTRIFUGACAO</v>
          </cell>
          <cell r="C154">
            <v>10</v>
          </cell>
          <cell r="D154" t="str">
            <v>IND</v>
          </cell>
          <cell r="E154" t="str">
            <v>SERGIO FIORENTINO</v>
          </cell>
          <cell r="F154" t="str">
            <v>FABRICAÇÃO ÁLCOOL</v>
          </cell>
        </row>
        <row r="155">
          <cell r="A155">
            <v>402016</v>
          </cell>
          <cell r="B155" t="str">
            <v>EVAPORAÇÃO ALCOOL</v>
          </cell>
          <cell r="C155">
            <v>10</v>
          </cell>
          <cell r="D155" t="str">
            <v>IND</v>
          </cell>
          <cell r="E155" t="str">
            <v>SERGIO FIORENTINO</v>
          </cell>
          <cell r="F155" t="str">
            <v>FABRICAÇÃO ÁLCOOL</v>
          </cell>
        </row>
        <row r="156">
          <cell r="A156">
            <v>402070</v>
          </cell>
          <cell r="B156" t="str">
            <v>EM PROCESSO (FERMENTACAO)</v>
          </cell>
          <cell r="C156">
            <v>10</v>
          </cell>
          <cell r="D156" t="str">
            <v>IND</v>
          </cell>
          <cell r="E156" t="str">
            <v>SERGIO FIORENTINO</v>
          </cell>
          <cell r="F156" t="str">
            <v>FABRICAÇÃO ÁLCOOL</v>
          </cell>
        </row>
        <row r="157">
          <cell r="A157">
            <v>402098</v>
          </cell>
          <cell r="B157" t="str">
            <v>ABSORÇÃO DO RATEIO INDUSTRIAL</v>
          </cell>
          <cell r="C157">
            <v>10</v>
          </cell>
          <cell r="D157" t="str">
            <v>IND</v>
          </cell>
          <cell r="E157" t="str">
            <v>SERGIO FIORENTINO</v>
          </cell>
          <cell r="F157" t="str">
            <v>FABRICAÇÃO ÁLCOOL</v>
          </cell>
        </row>
        <row r="158">
          <cell r="A158">
            <v>402099</v>
          </cell>
          <cell r="B158" t="str">
            <v>Manutenção de Entressafra</v>
          </cell>
          <cell r="C158">
            <v>10</v>
          </cell>
          <cell r="D158" t="str">
            <v>IND</v>
          </cell>
          <cell r="E158" t="str">
            <v>SERGIO FIORENTINO</v>
          </cell>
          <cell r="F158" t="str">
            <v>FABRICAÇÃO ÁLCOOL</v>
          </cell>
        </row>
        <row r="159">
          <cell r="A159">
            <v>403000</v>
          </cell>
          <cell r="B159" t="str">
            <v>FABRICACAO ACUCAR</v>
          </cell>
          <cell r="C159">
            <v>10</v>
          </cell>
          <cell r="D159" t="str">
            <v>IND</v>
          </cell>
          <cell r="E159" t="str">
            <v>SERGIO FIORENTINO</v>
          </cell>
          <cell r="F159" t="str">
            <v>FABRICAÇÃO AÇÚCAR</v>
          </cell>
        </row>
        <row r="160">
          <cell r="A160">
            <v>403002</v>
          </cell>
          <cell r="B160" t="str">
            <v>EVAPORACAO</v>
          </cell>
          <cell r="C160">
            <v>10</v>
          </cell>
          <cell r="D160" t="str">
            <v>IND</v>
          </cell>
          <cell r="E160" t="str">
            <v>SERGIO FIORENTINO</v>
          </cell>
          <cell r="F160" t="str">
            <v>FABRICAÇÃO AÇÚCAR</v>
          </cell>
        </row>
        <row r="161">
          <cell r="A161">
            <v>403004</v>
          </cell>
          <cell r="B161" t="str">
            <v>COZIMENTO - MASSA A E B</v>
          </cell>
          <cell r="C161">
            <v>10</v>
          </cell>
          <cell r="D161" t="str">
            <v>IND</v>
          </cell>
          <cell r="E161" t="str">
            <v>SERGIO FIORENTINO</v>
          </cell>
          <cell r="F161" t="str">
            <v>FABRICAÇÃO AÇÚCAR</v>
          </cell>
        </row>
        <row r="162">
          <cell r="A162">
            <v>403006</v>
          </cell>
          <cell r="B162" t="str">
            <v>CENTRIFUGACAO</v>
          </cell>
          <cell r="C162">
            <v>10</v>
          </cell>
          <cell r="D162" t="str">
            <v>IND</v>
          </cell>
          <cell r="E162" t="str">
            <v>SERGIO FIORENTINO</v>
          </cell>
          <cell r="F162" t="str">
            <v>FABRICAÇÃO AÇÚCAR</v>
          </cell>
        </row>
        <row r="163">
          <cell r="A163">
            <v>403008</v>
          </cell>
          <cell r="B163" t="str">
            <v>MEL FINAL PARA ALCOOL</v>
          </cell>
          <cell r="C163">
            <v>10</v>
          </cell>
          <cell r="D163" t="str">
            <v>IND</v>
          </cell>
          <cell r="E163" t="str">
            <v>SERGIO FIORENTINO</v>
          </cell>
          <cell r="F163" t="str">
            <v>FABRICAÇÃO AÇÚCAR</v>
          </cell>
        </row>
        <row r="164">
          <cell r="A164">
            <v>403010</v>
          </cell>
          <cell r="B164" t="str">
            <v>SECAGEM</v>
          </cell>
          <cell r="C164">
            <v>10</v>
          </cell>
          <cell r="D164" t="str">
            <v>IND</v>
          </cell>
          <cell r="E164" t="str">
            <v>SERGIO FIORENTINO</v>
          </cell>
          <cell r="F164" t="str">
            <v>FABRICAÇÃO AÇÚCAR</v>
          </cell>
        </row>
        <row r="165">
          <cell r="A165">
            <v>403012</v>
          </cell>
          <cell r="B165" t="str">
            <v>ENSAQUE</v>
          </cell>
          <cell r="C165">
            <v>10</v>
          </cell>
          <cell r="D165" t="str">
            <v>IND</v>
          </cell>
          <cell r="E165" t="str">
            <v>SERGIO FIORENTINO</v>
          </cell>
          <cell r="F165" t="str">
            <v>FABRICAÇÃO AÇÚCAR</v>
          </cell>
        </row>
        <row r="166">
          <cell r="A166">
            <v>403014</v>
          </cell>
          <cell r="B166" t="str">
            <v>TANQUE SPRAY</v>
          </cell>
          <cell r="C166">
            <v>10</v>
          </cell>
          <cell r="D166" t="str">
            <v>IND</v>
          </cell>
          <cell r="E166" t="str">
            <v>SERGIO FIORENTINO</v>
          </cell>
          <cell r="F166" t="str">
            <v>FABRICAÇÃO AÇÚCAR</v>
          </cell>
        </row>
        <row r="167">
          <cell r="A167">
            <v>403070</v>
          </cell>
          <cell r="B167" t="str">
            <v>EM PROCESSO (COZIMENTO)</v>
          </cell>
          <cell r="C167">
            <v>10</v>
          </cell>
          <cell r="D167" t="str">
            <v>IND</v>
          </cell>
          <cell r="E167" t="str">
            <v>SERGIO FIORENTINO</v>
          </cell>
          <cell r="F167" t="str">
            <v>FABRICAÇÃO AÇÚCAR</v>
          </cell>
        </row>
        <row r="168">
          <cell r="A168">
            <v>403098</v>
          </cell>
          <cell r="B168" t="str">
            <v>ABSORÇÃO DO RATEIO INDUSTRIAL</v>
          </cell>
          <cell r="C168">
            <v>10</v>
          </cell>
          <cell r="D168" t="str">
            <v>IND</v>
          </cell>
          <cell r="E168" t="str">
            <v>SERGIO FIORENTINO</v>
          </cell>
          <cell r="F168" t="str">
            <v>FABRICAÇÃO AÇÚCAR</v>
          </cell>
        </row>
        <row r="169">
          <cell r="A169">
            <v>403099</v>
          </cell>
          <cell r="B169" t="str">
            <v>Manutenção de Entressafra</v>
          </cell>
          <cell r="C169">
            <v>10</v>
          </cell>
          <cell r="D169" t="str">
            <v>IND</v>
          </cell>
          <cell r="E169" t="str">
            <v>SERGIO FIORENTINO</v>
          </cell>
          <cell r="F169" t="str">
            <v>FABRICAÇÃO AÇÚCAR</v>
          </cell>
        </row>
        <row r="170">
          <cell r="A170">
            <v>405000</v>
          </cell>
          <cell r="B170" t="str">
            <v>FABRICACAO LEVEDURA</v>
          </cell>
          <cell r="C170">
            <v>10</v>
          </cell>
          <cell r="D170" t="str">
            <v>IND</v>
          </cell>
          <cell r="E170" t="str">
            <v>SERGIO FIORENTINO</v>
          </cell>
          <cell r="F170" t="str">
            <v>FABRICAÇÃO ÁLCOOL</v>
          </cell>
        </row>
        <row r="171">
          <cell r="A171">
            <v>405002</v>
          </cell>
          <cell r="B171" t="str">
            <v>SECAGEM LEVEDURA</v>
          </cell>
          <cell r="C171">
            <v>10</v>
          </cell>
          <cell r="D171" t="str">
            <v>IND</v>
          </cell>
          <cell r="E171" t="str">
            <v>SERGIO FIORENTINO</v>
          </cell>
          <cell r="F171" t="str">
            <v>FABRICAÇÃO ÁLCOOL</v>
          </cell>
        </row>
        <row r="172">
          <cell r="A172">
            <v>405004</v>
          </cell>
          <cell r="B172" t="str">
            <v>ENSAQUE LEVEDURA</v>
          </cell>
          <cell r="C172">
            <v>10</v>
          </cell>
          <cell r="D172" t="str">
            <v>IND</v>
          </cell>
          <cell r="E172" t="str">
            <v>SERGIO FIORENTINO</v>
          </cell>
          <cell r="F172" t="str">
            <v>FABRICAÇÃO ÁLCOOL</v>
          </cell>
        </row>
        <row r="173">
          <cell r="A173">
            <v>405099</v>
          </cell>
          <cell r="B173" t="str">
            <v>Manutenção de Entressafra</v>
          </cell>
          <cell r="C173">
            <v>10</v>
          </cell>
          <cell r="D173" t="str">
            <v>IND</v>
          </cell>
          <cell r="E173" t="str">
            <v>SERGIO FIORENTINO</v>
          </cell>
          <cell r="F173" t="str">
            <v>FABRICAÇÃO ÁLCOOL</v>
          </cell>
        </row>
        <row r="174">
          <cell r="A174">
            <v>406000</v>
          </cell>
          <cell r="B174" t="str">
            <v>FABRICACAO XAROPE DE CANA</v>
          </cell>
          <cell r="C174">
            <v>10</v>
          </cell>
          <cell r="D174" t="str">
            <v>IND</v>
          </cell>
          <cell r="E174" t="str">
            <v>SERGIO FIORENTINO</v>
          </cell>
          <cell r="F174" t="str">
            <v>NA</v>
          </cell>
        </row>
        <row r="175">
          <cell r="A175">
            <v>406002</v>
          </cell>
          <cell r="B175" t="str">
            <v>CARREGAMENTO</v>
          </cell>
          <cell r="C175">
            <v>10</v>
          </cell>
          <cell r="D175" t="str">
            <v>IND</v>
          </cell>
          <cell r="E175" t="str">
            <v>SERGIO FIORENTINO</v>
          </cell>
          <cell r="F175" t="str">
            <v>NA</v>
          </cell>
        </row>
        <row r="176">
          <cell r="A176">
            <v>406099</v>
          </cell>
          <cell r="B176" t="str">
            <v>Manutenção de Entressafra</v>
          </cell>
          <cell r="C176">
            <v>10</v>
          </cell>
          <cell r="D176" t="str">
            <v>IND</v>
          </cell>
          <cell r="E176" t="str">
            <v>SERGIO FIORENTINO</v>
          </cell>
          <cell r="F176" t="str">
            <v>NA</v>
          </cell>
        </row>
        <row r="177">
          <cell r="A177">
            <v>407000</v>
          </cell>
          <cell r="B177" t="str">
            <v>AUXILIARES</v>
          </cell>
          <cell r="C177">
            <v>10</v>
          </cell>
          <cell r="D177" t="str">
            <v>IND</v>
          </cell>
          <cell r="E177" t="str">
            <v>SERGIO FIORENTINO</v>
          </cell>
          <cell r="F177" t="str">
            <v>UTILIDADES</v>
          </cell>
        </row>
        <row r="178">
          <cell r="A178">
            <v>407002</v>
          </cell>
          <cell r="B178" t="str">
            <v>GERACAO E DISTR.VAPOR</v>
          </cell>
          <cell r="C178">
            <v>10</v>
          </cell>
          <cell r="D178" t="str">
            <v>IND</v>
          </cell>
          <cell r="E178" t="str">
            <v>SERGIO FIORENTINO</v>
          </cell>
          <cell r="F178" t="str">
            <v>UTILIDADES</v>
          </cell>
        </row>
        <row r="179">
          <cell r="A179">
            <v>407004</v>
          </cell>
          <cell r="B179" t="str">
            <v>GERACAO E DISTR.AR COMPRIMIDO</v>
          </cell>
          <cell r="C179">
            <v>10</v>
          </cell>
          <cell r="D179" t="str">
            <v>IND</v>
          </cell>
          <cell r="E179" t="str">
            <v>SERGIO FIORENTINO</v>
          </cell>
          <cell r="F179" t="str">
            <v>UTILIDADES</v>
          </cell>
        </row>
        <row r="180">
          <cell r="A180">
            <v>407006</v>
          </cell>
          <cell r="B180" t="str">
            <v>GERACAO E DISTR.ENERGIA</v>
          </cell>
          <cell r="C180">
            <v>10</v>
          </cell>
          <cell r="D180" t="str">
            <v>IND</v>
          </cell>
          <cell r="E180" t="str">
            <v>SERGIO FIORENTINO</v>
          </cell>
          <cell r="F180" t="str">
            <v>UTILIDADES</v>
          </cell>
        </row>
        <row r="181">
          <cell r="A181">
            <v>407008</v>
          </cell>
          <cell r="B181" t="str">
            <v>CAPTACAO DE AGUA</v>
          </cell>
          <cell r="C181">
            <v>10</v>
          </cell>
          <cell r="D181" t="str">
            <v>IND</v>
          </cell>
          <cell r="E181" t="str">
            <v>SERGIO FIORENTINO</v>
          </cell>
          <cell r="F181" t="str">
            <v>UTILIDADES</v>
          </cell>
        </row>
        <row r="182">
          <cell r="A182">
            <v>407010</v>
          </cell>
          <cell r="B182" t="str">
            <v>ETA (ESTACAO DE TRATAMENTO AGUA)</v>
          </cell>
          <cell r="C182">
            <v>10</v>
          </cell>
          <cell r="D182" t="str">
            <v>IND</v>
          </cell>
          <cell r="E182" t="str">
            <v>SERGIO FIORENTINO</v>
          </cell>
          <cell r="F182" t="str">
            <v>UTILIDADES</v>
          </cell>
        </row>
        <row r="183">
          <cell r="A183">
            <v>407012</v>
          </cell>
          <cell r="B183" t="str">
            <v>PATIO DE BAGACO</v>
          </cell>
          <cell r="C183">
            <v>10</v>
          </cell>
          <cell r="D183" t="str">
            <v>IND</v>
          </cell>
          <cell r="E183" t="str">
            <v>SERGIO FIORENTINO</v>
          </cell>
          <cell r="F183" t="str">
            <v>UTILIDADES</v>
          </cell>
        </row>
        <row r="184">
          <cell r="A184">
            <v>407014</v>
          </cell>
          <cell r="B184" t="str">
            <v>HIDROLIZADOR DE BAGACO</v>
          </cell>
          <cell r="C184">
            <v>10</v>
          </cell>
          <cell r="D184" t="str">
            <v>IND</v>
          </cell>
          <cell r="E184" t="str">
            <v>SERGIO FIORENTINO</v>
          </cell>
          <cell r="F184" t="str">
            <v>UTILIDADES</v>
          </cell>
        </row>
        <row r="185">
          <cell r="A185">
            <v>407016</v>
          </cell>
          <cell r="B185" t="str">
            <v>ENERGIA ELETRICA ADQUIRIDA</v>
          </cell>
          <cell r="C185">
            <v>10</v>
          </cell>
          <cell r="D185" t="str">
            <v>IND</v>
          </cell>
          <cell r="E185" t="str">
            <v>SERGIO FIORENTINO</v>
          </cell>
          <cell r="F185" t="str">
            <v>UTILIDADES</v>
          </cell>
        </row>
        <row r="186">
          <cell r="A186">
            <v>407018</v>
          </cell>
          <cell r="B186" t="str">
            <v>ETALC-Est.Trat.Água LAvagem Cana</v>
          </cell>
          <cell r="C186">
            <v>10</v>
          </cell>
          <cell r="D186" t="str">
            <v>IND</v>
          </cell>
          <cell r="E186" t="str">
            <v>SERGIO FIORENTINO</v>
          </cell>
          <cell r="F186" t="str">
            <v>UTILIDADES</v>
          </cell>
        </row>
        <row r="187">
          <cell r="A187">
            <v>407020</v>
          </cell>
          <cell r="B187" t="str">
            <v>ETE - Estação Tratamento de Esgoto</v>
          </cell>
          <cell r="C187">
            <v>10</v>
          </cell>
          <cell r="D187" t="str">
            <v>IND</v>
          </cell>
          <cell r="E187" t="str">
            <v>SERGIO FIORENTINO</v>
          </cell>
          <cell r="F187" t="str">
            <v>UTILIDADES</v>
          </cell>
        </row>
        <row r="188">
          <cell r="A188">
            <v>407022</v>
          </cell>
          <cell r="B188" t="str">
            <v>ETALG-Estação Trat.Água Lavagem Gases</v>
          </cell>
          <cell r="C188">
            <v>10</v>
          </cell>
          <cell r="D188" t="str">
            <v>IND</v>
          </cell>
          <cell r="E188" t="str">
            <v>SERGIO FIORENTINO</v>
          </cell>
          <cell r="F188" t="str">
            <v>UTILIDADES</v>
          </cell>
        </row>
        <row r="189">
          <cell r="A189">
            <v>407099</v>
          </cell>
          <cell r="B189" t="str">
            <v>Manutenção de Entressafra</v>
          </cell>
          <cell r="C189">
            <v>10</v>
          </cell>
          <cell r="D189" t="str">
            <v>IND</v>
          </cell>
          <cell r="E189" t="str">
            <v>SERGIO FIORENTINO</v>
          </cell>
          <cell r="F189" t="str">
            <v>UTILIDADES</v>
          </cell>
        </row>
        <row r="190">
          <cell r="A190">
            <v>408000</v>
          </cell>
          <cell r="B190" t="str">
            <v>MANUTENÇÃO INDUSTRIAL</v>
          </cell>
          <cell r="C190">
            <v>10</v>
          </cell>
          <cell r="D190" t="str">
            <v>IND</v>
          </cell>
          <cell r="E190" t="str">
            <v>SERGIO FIORENTINO</v>
          </cell>
          <cell r="F190" t="str">
            <v>MANUTENÇÃO INDUSTRIAL</v>
          </cell>
        </row>
        <row r="191">
          <cell r="A191">
            <v>408002</v>
          </cell>
          <cell r="B191" t="str">
            <v>MANUTENÇÃO MECANICA</v>
          </cell>
          <cell r="C191">
            <v>10</v>
          </cell>
          <cell r="D191" t="str">
            <v>IND</v>
          </cell>
          <cell r="E191" t="str">
            <v>SERGIO FIORENTINO</v>
          </cell>
          <cell r="F191" t="str">
            <v>MANUTENÇÃO INDUSTRIAL</v>
          </cell>
        </row>
        <row r="192">
          <cell r="A192">
            <v>408004</v>
          </cell>
          <cell r="B192" t="str">
            <v>CALDERARIA</v>
          </cell>
          <cell r="C192">
            <v>10</v>
          </cell>
          <cell r="D192" t="str">
            <v>IND</v>
          </cell>
          <cell r="E192" t="str">
            <v>SERGIO FIORENTINO</v>
          </cell>
          <cell r="F192" t="str">
            <v>MANUTENÇÃO INDUSTRIAL</v>
          </cell>
        </row>
        <row r="193">
          <cell r="A193">
            <v>408006</v>
          </cell>
          <cell r="B193" t="str">
            <v>MANUTENÇÃO ELETRICA</v>
          </cell>
          <cell r="C193">
            <v>10</v>
          </cell>
          <cell r="D193" t="str">
            <v>IND</v>
          </cell>
          <cell r="E193" t="str">
            <v>SERGIO FIORENTINO</v>
          </cell>
          <cell r="F193" t="str">
            <v>MANUTENÇÃO INDUSTRIAL</v>
          </cell>
        </row>
        <row r="194">
          <cell r="A194">
            <v>408008</v>
          </cell>
          <cell r="B194" t="str">
            <v>INSTRUMENTAÇÃO</v>
          </cell>
          <cell r="C194">
            <v>10</v>
          </cell>
          <cell r="D194" t="str">
            <v>IND</v>
          </cell>
          <cell r="E194" t="str">
            <v>SERGIO FIORENTINO</v>
          </cell>
          <cell r="F194" t="str">
            <v>MANUTENÇÃO INDUSTRIAL</v>
          </cell>
        </row>
        <row r="195">
          <cell r="A195">
            <v>408010</v>
          </cell>
          <cell r="B195" t="str">
            <v>MANUTENÇÃO CIVIL</v>
          </cell>
          <cell r="C195">
            <v>10</v>
          </cell>
          <cell r="D195" t="str">
            <v>IND</v>
          </cell>
          <cell r="E195" t="str">
            <v>SERGIO FIORENTINO</v>
          </cell>
          <cell r="F195" t="str">
            <v>MANUTENÇÃO INDUSTRIAL</v>
          </cell>
        </row>
        <row r="196">
          <cell r="A196">
            <v>408012</v>
          </cell>
          <cell r="B196" t="str">
            <v>PCM (planej. e controle da manutenção)</v>
          </cell>
          <cell r="C196">
            <v>10</v>
          </cell>
          <cell r="D196" t="str">
            <v>IND</v>
          </cell>
          <cell r="E196" t="str">
            <v>SERGIO FIORENTINO</v>
          </cell>
          <cell r="F196" t="str">
            <v>MANUTENÇÃO INDUSTRIAL</v>
          </cell>
        </row>
        <row r="197">
          <cell r="A197">
            <v>408098</v>
          </cell>
          <cell r="B197" t="str">
            <v>ABSORÇÃO DO RATEIO INDUSTRIAL</v>
          </cell>
          <cell r="C197">
            <v>10</v>
          </cell>
          <cell r="D197" t="str">
            <v>IND</v>
          </cell>
          <cell r="E197" t="str">
            <v>SERGIO FIORENTINO</v>
          </cell>
          <cell r="F197" t="str">
            <v>MANUTENÇÃO INDUSTRIAL</v>
          </cell>
        </row>
        <row r="198">
          <cell r="A198">
            <v>408099</v>
          </cell>
          <cell r="B198" t="str">
            <v>Manutenção de Entressafra</v>
          </cell>
          <cell r="C198">
            <v>10</v>
          </cell>
          <cell r="D198" t="str">
            <v>IND</v>
          </cell>
          <cell r="E198" t="str">
            <v>SERGIO FIORENTINO</v>
          </cell>
          <cell r="F198" t="str">
            <v>MANUTENÇÃO INDUSTRIAL</v>
          </cell>
        </row>
        <row r="199">
          <cell r="A199">
            <v>409000</v>
          </cell>
          <cell r="B199" t="str">
            <v>RESIDUOS INDUSTRIAIS</v>
          </cell>
          <cell r="C199">
            <v>10</v>
          </cell>
          <cell r="D199" t="str">
            <v>IND</v>
          </cell>
          <cell r="E199" t="str">
            <v>SERGIO FIORENTINO</v>
          </cell>
          <cell r="F199" t="str">
            <v>RESÍDUOS INDUSTRIAIS</v>
          </cell>
        </row>
        <row r="200">
          <cell r="A200">
            <v>409002</v>
          </cell>
          <cell r="B200" t="str">
            <v>ESCOAMENTO DA VINHACA</v>
          </cell>
          <cell r="C200">
            <v>10</v>
          </cell>
          <cell r="D200" t="str">
            <v>IND</v>
          </cell>
          <cell r="E200" t="str">
            <v>SERGIO FIORENTINO</v>
          </cell>
          <cell r="F200" t="str">
            <v>RESÍDUOS INDUSTRIAIS</v>
          </cell>
        </row>
        <row r="201">
          <cell r="A201">
            <v>409004</v>
          </cell>
          <cell r="B201" t="str">
            <v>SISTEMA DE BOMBEAMENTO</v>
          </cell>
          <cell r="C201">
            <v>10</v>
          </cell>
          <cell r="D201" t="str">
            <v>IND</v>
          </cell>
          <cell r="E201" t="str">
            <v>SERGIO FIORENTINO</v>
          </cell>
          <cell r="F201" t="str">
            <v>RESÍDUOS INDUSTRIAIS</v>
          </cell>
        </row>
        <row r="202">
          <cell r="A202">
            <v>409099</v>
          </cell>
          <cell r="B202" t="str">
            <v>Manutenção de Entressafra</v>
          </cell>
          <cell r="C202">
            <v>10</v>
          </cell>
          <cell r="D202" t="str">
            <v>IND</v>
          </cell>
          <cell r="E202" t="str">
            <v>SERGIO FIORENTINO</v>
          </cell>
          <cell r="F202" t="str">
            <v>RESÍDUOS INDUSTRIAIS</v>
          </cell>
        </row>
        <row r="203">
          <cell r="A203">
            <v>409900</v>
          </cell>
          <cell r="B203" t="str">
            <v>CUSTO FINAL DE PRODUCAO</v>
          </cell>
          <cell r="C203">
            <v>10</v>
          </cell>
          <cell r="D203" t="str">
            <v>IND</v>
          </cell>
          <cell r="E203" t="str">
            <v>SERGIO FIORENTINO</v>
          </cell>
          <cell r="F203" t="str">
            <v>NA</v>
          </cell>
        </row>
        <row r="204">
          <cell r="A204">
            <v>409910</v>
          </cell>
          <cell r="B204" t="str">
            <v>CUSTO DE PRODUCAO DO A.E.H.C.</v>
          </cell>
          <cell r="C204">
            <v>10</v>
          </cell>
          <cell r="D204" t="str">
            <v>IND</v>
          </cell>
          <cell r="E204" t="str">
            <v>SERGIO FIORENTINO</v>
          </cell>
          <cell r="F204" t="str">
            <v>NA</v>
          </cell>
        </row>
        <row r="205">
          <cell r="A205">
            <v>409920</v>
          </cell>
          <cell r="B205" t="str">
            <v>CUSTO DE PRODUCAO DO A.E.A.C.</v>
          </cell>
          <cell r="C205">
            <v>10</v>
          </cell>
          <cell r="D205" t="str">
            <v>IND</v>
          </cell>
          <cell r="E205" t="str">
            <v>SERGIO FIORENTINO</v>
          </cell>
          <cell r="F205" t="str">
            <v>NA</v>
          </cell>
        </row>
        <row r="206">
          <cell r="A206">
            <v>409930</v>
          </cell>
          <cell r="B206" t="str">
            <v>CUSTO DE PRODUCAO DO ACUCAR</v>
          </cell>
          <cell r="C206">
            <v>10</v>
          </cell>
          <cell r="D206" t="str">
            <v>IND</v>
          </cell>
          <cell r="E206" t="str">
            <v>SERGIO FIORENTINO</v>
          </cell>
          <cell r="F206" t="str">
            <v>NA</v>
          </cell>
        </row>
        <row r="207">
          <cell r="A207">
            <v>409940</v>
          </cell>
          <cell r="B207" t="str">
            <v>CUSTO DE PRODUCAO DO XAROPE</v>
          </cell>
          <cell r="C207">
            <v>10</v>
          </cell>
          <cell r="D207" t="str">
            <v>IND</v>
          </cell>
          <cell r="E207" t="str">
            <v>SERGIO FIORENTINO</v>
          </cell>
          <cell r="F207" t="str">
            <v>NA</v>
          </cell>
        </row>
        <row r="208">
          <cell r="A208">
            <v>409950</v>
          </cell>
          <cell r="B208" t="str">
            <v>CUSTO DE PRODUCAO DE LEVEDURA</v>
          </cell>
          <cell r="C208">
            <v>10</v>
          </cell>
          <cell r="D208" t="str">
            <v>IND</v>
          </cell>
          <cell r="E208" t="str">
            <v>SERGIO FIORENTINO</v>
          </cell>
          <cell r="F208" t="str">
            <v>NA</v>
          </cell>
        </row>
        <row r="209">
          <cell r="A209">
            <v>409999</v>
          </cell>
          <cell r="B209" t="str">
            <v>MANUTENÇÃO DE ENTRESSAFRA</v>
          </cell>
          <cell r="C209">
            <v>10</v>
          </cell>
          <cell r="D209" t="str">
            <v>IND</v>
          </cell>
          <cell r="E209" t="str">
            <v>SERGIO FIORENTINO</v>
          </cell>
          <cell r="F209" t="str">
            <v>NA</v>
          </cell>
        </row>
        <row r="210">
          <cell r="A210">
            <v>500000</v>
          </cell>
          <cell r="B210" t="str">
            <v>GERENCIA AGRICOLA</v>
          </cell>
          <cell r="C210">
            <v>20</v>
          </cell>
          <cell r="D210" t="str">
            <v>AGR</v>
          </cell>
          <cell r="E210" t="str">
            <v>MARTIN</v>
          </cell>
          <cell r="F210" t="str">
            <v>ADM AGRICOLA</v>
          </cell>
        </row>
        <row r="211">
          <cell r="A211">
            <v>500100</v>
          </cell>
          <cell r="B211" t="str">
            <v>GERENCIA AGRICOLA</v>
          </cell>
          <cell r="C211">
            <v>20</v>
          </cell>
          <cell r="D211" t="str">
            <v>AGR</v>
          </cell>
          <cell r="E211" t="str">
            <v>MARTIN</v>
          </cell>
          <cell r="F211" t="str">
            <v>ADM AGRICOLA</v>
          </cell>
        </row>
        <row r="212">
          <cell r="A212">
            <v>500101</v>
          </cell>
          <cell r="B212" t="str">
            <v>GERENCIA AGRICOLA-CORPORATIVA</v>
          </cell>
          <cell r="C212">
            <v>20</v>
          </cell>
          <cell r="D212" t="str">
            <v>AGR</v>
          </cell>
          <cell r="E212" t="str">
            <v>MARTIN</v>
          </cell>
          <cell r="F212" t="str">
            <v>CORPORATIVO</v>
          </cell>
        </row>
        <row r="213">
          <cell r="A213">
            <v>500102</v>
          </cell>
          <cell r="B213" t="str">
            <v>GERENCIA AGRICOLA</v>
          </cell>
          <cell r="C213">
            <v>20</v>
          </cell>
          <cell r="D213" t="str">
            <v>AGR</v>
          </cell>
          <cell r="E213" t="str">
            <v>MARTIN</v>
          </cell>
          <cell r="F213" t="str">
            <v>ADM AGRICOLA</v>
          </cell>
        </row>
        <row r="214">
          <cell r="A214">
            <v>500199</v>
          </cell>
          <cell r="B214" t="str">
            <v>Manutenção de Entressafra</v>
          </cell>
          <cell r="C214">
            <v>20</v>
          </cell>
          <cell r="D214" t="str">
            <v>AGR</v>
          </cell>
          <cell r="E214" t="str">
            <v>MARTIN</v>
          </cell>
          <cell r="F214" t="str">
            <v>ADM AGRICOLA</v>
          </cell>
        </row>
        <row r="215">
          <cell r="A215">
            <v>500200</v>
          </cell>
          <cell r="B215" t="str">
            <v>APOIO TECNICO</v>
          </cell>
          <cell r="C215">
            <v>20</v>
          </cell>
          <cell r="D215" t="str">
            <v>AGR</v>
          </cell>
          <cell r="E215" t="str">
            <v>ALEXANDRE MARINS</v>
          </cell>
          <cell r="F215" t="str">
            <v>ADM AGRICOLA</v>
          </cell>
        </row>
        <row r="216">
          <cell r="A216">
            <v>500202</v>
          </cell>
          <cell r="B216" t="str">
            <v>CONTROLE AGRICOLA</v>
          </cell>
          <cell r="C216">
            <v>20</v>
          </cell>
          <cell r="D216" t="str">
            <v>AGR</v>
          </cell>
          <cell r="E216" t="str">
            <v>Everton Passarini</v>
          </cell>
          <cell r="F216" t="str">
            <v>ADM AGRICOLA</v>
          </cell>
        </row>
        <row r="217">
          <cell r="A217">
            <v>500204</v>
          </cell>
          <cell r="B217" t="str">
            <v>TECNICOS AGRICOLAS</v>
          </cell>
          <cell r="C217">
            <v>20</v>
          </cell>
          <cell r="D217" t="str">
            <v>AGR</v>
          </cell>
          <cell r="E217" t="str">
            <v>ALEXANDRE MARINS</v>
          </cell>
          <cell r="F217" t="str">
            <v>ADM AGRICOLA</v>
          </cell>
        </row>
        <row r="218">
          <cell r="A218">
            <v>500206</v>
          </cell>
          <cell r="B218" t="str">
            <v>TOPOGRAFIA</v>
          </cell>
          <cell r="C218">
            <v>20</v>
          </cell>
          <cell r="D218" t="str">
            <v>AGR</v>
          </cell>
          <cell r="E218" t="str">
            <v>ALEXANDRE MARINS</v>
          </cell>
          <cell r="F218" t="str">
            <v>ADM AGRICOLA</v>
          </cell>
        </row>
        <row r="219">
          <cell r="A219">
            <v>500208</v>
          </cell>
          <cell r="B219" t="str">
            <v>NOVOS PROJETOS</v>
          </cell>
          <cell r="C219">
            <v>20</v>
          </cell>
          <cell r="D219" t="str">
            <v>AGR</v>
          </cell>
          <cell r="E219" t="str">
            <v>ALEXANDRE MARINS</v>
          </cell>
          <cell r="F219" t="str">
            <v>ADM AGRICOLA</v>
          </cell>
        </row>
        <row r="220">
          <cell r="A220">
            <v>500210</v>
          </cell>
          <cell r="B220" t="str">
            <v>LAVANDERIA</v>
          </cell>
          <cell r="C220">
            <v>20</v>
          </cell>
          <cell r="D220" t="str">
            <v>AGR</v>
          </cell>
          <cell r="E220" t="str">
            <v>MIGUEL GARCIA</v>
          </cell>
          <cell r="F220" t="str">
            <v>ADM AGRICOLA</v>
          </cell>
        </row>
        <row r="221">
          <cell r="A221">
            <v>500212</v>
          </cell>
          <cell r="B221" t="str">
            <v>SUPERVISÃO DE CCT</v>
          </cell>
          <cell r="C221">
            <v>20</v>
          </cell>
          <cell r="D221" t="str">
            <v>AGR</v>
          </cell>
          <cell r="E221" t="str">
            <v>Josel Garcia</v>
          </cell>
          <cell r="F221" t="str">
            <v>COLHEITA</v>
          </cell>
        </row>
        <row r="222">
          <cell r="A222">
            <v>500214</v>
          </cell>
          <cell r="B222" t="str">
            <v>SUPERVISÃO DE PRODUÇÃO</v>
          </cell>
          <cell r="C222">
            <v>20</v>
          </cell>
          <cell r="D222" t="str">
            <v>AGR</v>
          </cell>
          <cell r="E222" t="str">
            <v>MIGUEL GARCIA</v>
          </cell>
          <cell r="F222" t="str">
            <v>ADM AGRICOLA</v>
          </cell>
        </row>
        <row r="223">
          <cell r="A223">
            <v>500216</v>
          </cell>
          <cell r="B223" t="str">
            <v>PLANEJAMENTO AGRÍCOLA</v>
          </cell>
          <cell r="C223">
            <v>20</v>
          </cell>
          <cell r="D223" t="str">
            <v>AGR</v>
          </cell>
          <cell r="E223" t="str">
            <v>ALEXANDRE MARINS</v>
          </cell>
          <cell r="F223" t="str">
            <v>ADM AGRICOLA</v>
          </cell>
        </row>
        <row r="224">
          <cell r="A224">
            <v>500218</v>
          </cell>
          <cell r="B224" t="str">
            <v>CONTROLE DE QUALIDADE AGRÍCOLA</v>
          </cell>
          <cell r="C224">
            <v>20</v>
          </cell>
          <cell r="D224" t="str">
            <v>AGR</v>
          </cell>
          <cell r="E224" t="str">
            <v>EVERTON GEROMINI</v>
          </cell>
          <cell r="F224" t="str">
            <v>ADM AGRICOLA</v>
          </cell>
        </row>
        <row r="225">
          <cell r="A225">
            <v>500220</v>
          </cell>
          <cell r="B225" t="str">
            <v>ADM PARCERIAS / FORNEC AGRÍCOLA</v>
          </cell>
          <cell r="C225">
            <v>20</v>
          </cell>
          <cell r="D225" t="str">
            <v>AGR</v>
          </cell>
          <cell r="E225" t="str">
            <v>NELSON ESQUIVEL</v>
          </cell>
          <cell r="F225" t="str">
            <v>ADM AGRICOLA</v>
          </cell>
        </row>
        <row r="226">
          <cell r="A226">
            <v>500222</v>
          </cell>
          <cell r="B226" t="str">
            <v>CONTROLE DE TRÁFEGO - CENTRAL</v>
          </cell>
          <cell r="C226">
            <v>20</v>
          </cell>
          <cell r="D226" t="str">
            <v>AGR</v>
          </cell>
          <cell r="E226" t="str">
            <v>Josel Garcia</v>
          </cell>
          <cell r="F226" t="str">
            <v>ADM AGRICOLA</v>
          </cell>
        </row>
        <row r="227">
          <cell r="A227">
            <v>500224</v>
          </cell>
          <cell r="B227" t="str">
            <v>CONTROLE BIOLÓGICO</v>
          </cell>
          <cell r="C227">
            <v>20</v>
          </cell>
          <cell r="D227" t="str">
            <v>AGR</v>
          </cell>
          <cell r="E227" t="str">
            <v>CARLOS ARCE</v>
          </cell>
          <cell r="F227" t="str">
            <v>ADM AGRICOLA</v>
          </cell>
        </row>
        <row r="228">
          <cell r="A228">
            <v>500299</v>
          </cell>
          <cell r="B228" t="str">
            <v>MANUTENÇÃO DE ENTRESSAFRA</v>
          </cell>
          <cell r="C228">
            <v>20</v>
          </cell>
          <cell r="D228" t="str">
            <v>AGR</v>
          </cell>
          <cell r="E228" t="str">
            <v>Everton Passarini</v>
          </cell>
          <cell r="F228" t="str">
            <v>ADM AGRICOLA</v>
          </cell>
        </row>
        <row r="229">
          <cell r="A229">
            <v>500300</v>
          </cell>
          <cell r="B229" t="str">
            <v>ADMINISTRAÇÃO DE RURAL</v>
          </cell>
          <cell r="C229">
            <v>20</v>
          </cell>
          <cell r="D229" t="str">
            <v>AGR</v>
          </cell>
          <cell r="E229" t="str">
            <v>Josel Garcia</v>
          </cell>
          <cell r="F229" t="str">
            <v>MDO-AGRICOLA</v>
          </cell>
        </row>
        <row r="230">
          <cell r="A230">
            <v>500302</v>
          </cell>
          <cell r="B230" t="str">
            <v>MDO FISCAIS CAMPO</v>
          </cell>
          <cell r="C230">
            <v>20</v>
          </cell>
          <cell r="D230" t="str">
            <v>AGR</v>
          </cell>
          <cell r="E230" t="str">
            <v>Josel Garcia</v>
          </cell>
          <cell r="F230" t="str">
            <v>MDO-AGRICOLA</v>
          </cell>
        </row>
        <row r="231">
          <cell r="A231">
            <v>500304</v>
          </cell>
          <cell r="B231" t="str">
            <v>MDO QUEIMA DE CANA</v>
          </cell>
          <cell r="C231">
            <v>20</v>
          </cell>
          <cell r="D231" t="str">
            <v>AGR</v>
          </cell>
          <cell r="E231" t="str">
            <v>Josel Garcia</v>
          </cell>
          <cell r="F231" t="str">
            <v>COLHEITA</v>
          </cell>
        </row>
        <row r="232">
          <cell r="A232">
            <v>500306</v>
          </cell>
          <cell r="B232" t="str">
            <v>MDO BITUCA</v>
          </cell>
          <cell r="C232">
            <v>20</v>
          </cell>
          <cell r="D232" t="str">
            <v>AGR</v>
          </cell>
          <cell r="E232" t="str">
            <v>Josel Garcia</v>
          </cell>
          <cell r="F232" t="str">
            <v>COLHEITA</v>
          </cell>
        </row>
        <row r="233">
          <cell r="A233">
            <v>500308</v>
          </cell>
          <cell r="B233" t="str">
            <v>MDO CATACAO QUIMICA</v>
          </cell>
          <cell r="C233">
            <v>20</v>
          </cell>
          <cell r="D233" t="str">
            <v>AGR</v>
          </cell>
          <cell r="E233" t="str">
            <v>MIGUEL GARCIA</v>
          </cell>
          <cell r="F233" t="str">
            <v>TRATOS</v>
          </cell>
        </row>
        <row r="234">
          <cell r="A234">
            <v>500310</v>
          </cell>
          <cell r="B234" t="str">
            <v>MDO RURICOLAS</v>
          </cell>
          <cell r="C234">
            <v>20</v>
          </cell>
          <cell r="D234" t="str">
            <v>AGR</v>
          </cell>
          <cell r="E234" t="str">
            <v>Josel Garcia</v>
          </cell>
          <cell r="F234" t="str">
            <v>MDO-AGRICOLA</v>
          </cell>
        </row>
        <row r="235">
          <cell r="A235">
            <v>500312</v>
          </cell>
          <cell r="B235" t="str">
            <v>ENCARREGADO MDO RURAL</v>
          </cell>
          <cell r="C235">
            <v>20</v>
          </cell>
          <cell r="D235" t="str">
            <v>AGR</v>
          </cell>
          <cell r="E235" t="str">
            <v>Josel Garcia</v>
          </cell>
          <cell r="F235" t="str">
            <v>MDO-AGRICOLA</v>
          </cell>
        </row>
        <row r="236">
          <cell r="A236">
            <v>500314</v>
          </cell>
          <cell r="B236" t="str">
            <v>MDO MIGRANTES</v>
          </cell>
          <cell r="C236">
            <v>20</v>
          </cell>
          <cell r="D236" t="str">
            <v>AGR</v>
          </cell>
          <cell r="E236" t="str">
            <v>Josel Garcia</v>
          </cell>
          <cell r="F236" t="str">
            <v>MDO-AGRICOLA</v>
          </cell>
        </row>
        <row r="237">
          <cell r="A237">
            <v>500399</v>
          </cell>
          <cell r="B237" t="str">
            <v>Manutenção de Entressafra</v>
          </cell>
          <cell r="C237">
            <v>20</v>
          </cell>
          <cell r="D237" t="str">
            <v>AGR</v>
          </cell>
          <cell r="E237" t="str">
            <v>Josel Garcia</v>
          </cell>
          <cell r="F237" t="str">
            <v>MDO-AGRICOLA</v>
          </cell>
        </row>
        <row r="238">
          <cell r="A238">
            <v>500400</v>
          </cell>
          <cell r="B238" t="str">
            <v>FERTIRIGAÇÃO (ESTRUTURA)</v>
          </cell>
          <cell r="C238">
            <v>20</v>
          </cell>
          <cell r="D238" t="str">
            <v>AGR</v>
          </cell>
          <cell r="E238" t="str">
            <v>MIGUEL GARCIA</v>
          </cell>
          <cell r="F238" t="str">
            <v>FERTIRRIGAÇÃO</v>
          </cell>
        </row>
        <row r="239">
          <cell r="A239">
            <v>500401</v>
          </cell>
          <cell r="B239" t="str">
            <v>ESTRUTURA FERTIRRIGAÇÃO</v>
          </cell>
          <cell r="C239">
            <v>20</v>
          </cell>
          <cell r="D239" t="str">
            <v>AGR</v>
          </cell>
          <cell r="E239" t="str">
            <v>MIGUEL GARCIA</v>
          </cell>
          <cell r="F239" t="str">
            <v>FERTIRRIGAÇÃO</v>
          </cell>
        </row>
        <row r="240">
          <cell r="A240">
            <v>500402</v>
          </cell>
          <cell r="B240" t="str">
            <v>MANUT CANAIS DE VINHAÇA</v>
          </cell>
          <cell r="C240">
            <v>20</v>
          </cell>
          <cell r="D240" t="str">
            <v>AGR</v>
          </cell>
          <cell r="E240" t="str">
            <v>MIGUEL GARCIA</v>
          </cell>
          <cell r="F240" t="str">
            <v>FERTIRRIGAÇÃO</v>
          </cell>
        </row>
        <row r="241">
          <cell r="A241">
            <v>500404</v>
          </cell>
          <cell r="B241" t="str">
            <v>MDO AUX. FERTIRRIGAÇÃO</v>
          </cell>
          <cell r="C241">
            <v>20</v>
          </cell>
          <cell r="D241" t="str">
            <v>AGR</v>
          </cell>
          <cell r="E241" t="str">
            <v>MIGUEL GARCIA</v>
          </cell>
          <cell r="F241" t="str">
            <v>FERTIRRIGAÇÃO</v>
          </cell>
        </row>
        <row r="242">
          <cell r="A242">
            <v>500406</v>
          </cell>
          <cell r="B242" t="str">
            <v>Distribuição de Vinhaça</v>
          </cell>
          <cell r="C242">
            <v>20</v>
          </cell>
          <cell r="D242" t="str">
            <v>AGR</v>
          </cell>
          <cell r="E242" t="str">
            <v>MIGUEL GARCIA</v>
          </cell>
          <cell r="F242" t="str">
            <v>FERTIRRIGAÇÃO</v>
          </cell>
        </row>
        <row r="243">
          <cell r="A243">
            <v>500499</v>
          </cell>
          <cell r="B243" t="str">
            <v>Manutenção de Entressafra</v>
          </cell>
          <cell r="C243">
            <v>20</v>
          </cell>
          <cell r="D243" t="str">
            <v>AGR</v>
          </cell>
          <cell r="E243" t="str">
            <v>MIGUEL GARCIA</v>
          </cell>
          <cell r="F243" t="str">
            <v>FERTIRRIGAÇÃO</v>
          </cell>
        </row>
        <row r="244">
          <cell r="A244">
            <v>500500</v>
          </cell>
          <cell r="B244" t="str">
            <v>MANUTENÇÃO AUTOMOTIVA</v>
          </cell>
          <cell r="C244">
            <v>20</v>
          </cell>
          <cell r="D244" t="str">
            <v>AGR</v>
          </cell>
          <cell r="E244" t="str">
            <v>GUSTAVO</v>
          </cell>
          <cell r="F244" t="str">
            <v>OFICINA</v>
          </cell>
        </row>
        <row r="245">
          <cell r="A245">
            <v>500502</v>
          </cell>
          <cell r="B245" t="str">
            <v>OFICINA MECANICA</v>
          </cell>
          <cell r="C245">
            <v>20</v>
          </cell>
          <cell r="D245" t="str">
            <v>AGR</v>
          </cell>
          <cell r="E245" t="str">
            <v>GUSTAVO</v>
          </cell>
          <cell r="F245" t="str">
            <v>OFICINA</v>
          </cell>
        </row>
        <row r="246">
          <cell r="A246">
            <v>500506</v>
          </cell>
          <cell r="B246" t="str">
            <v>POSTO DE LAVAGEM/LUBRIFICAÇÃO</v>
          </cell>
          <cell r="C246">
            <v>20</v>
          </cell>
          <cell r="D246" t="str">
            <v>AGR</v>
          </cell>
          <cell r="E246" t="str">
            <v>GUSTAVO</v>
          </cell>
          <cell r="F246" t="str">
            <v>OFICINA</v>
          </cell>
        </row>
        <row r="247">
          <cell r="A247">
            <v>500508</v>
          </cell>
          <cell r="B247" t="str">
            <v>ELETRICISTA</v>
          </cell>
          <cell r="C247">
            <v>20</v>
          </cell>
          <cell r="D247" t="str">
            <v>AGR</v>
          </cell>
          <cell r="E247" t="str">
            <v>GUSTAVO</v>
          </cell>
          <cell r="F247" t="str">
            <v>OFICINA</v>
          </cell>
        </row>
        <row r="248">
          <cell r="A248">
            <v>500510</v>
          </cell>
          <cell r="B248" t="str">
            <v>SOLDADOR</v>
          </cell>
          <cell r="C248">
            <v>20</v>
          </cell>
          <cell r="D248" t="str">
            <v>AGR</v>
          </cell>
          <cell r="E248" t="str">
            <v>GUSTAVO</v>
          </cell>
          <cell r="F248" t="str">
            <v>OFICINA</v>
          </cell>
        </row>
        <row r="249">
          <cell r="A249">
            <v>500512</v>
          </cell>
          <cell r="B249" t="str">
            <v>MECÂNICO COLHEDORA</v>
          </cell>
          <cell r="C249">
            <v>20</v>
          </cell>
          <cell r="D249" t="str">
            <v>AGR</v>
          </cell>
          <cell r="E249" t="str">
            <v>GUSTAVO</v>
          </cell>
          <cell r="F249" t="str">
            <v>OFICINA</v>
          </cell>
        </row>
        <row r="250">
          <cell r="A250">
            <v>500514</v>
          </cell>
          <cell r="B250" t="str">
            <v>MECÂNICO MAQUINAS / IMPLEMENTOS</v>
          </cell>
          <cell r="C250">
            <v>20</v>
          </cell>
          <cell r="D250" t="str">
            <v>AGR</v>
          </cell>
          <cell r="E250" t="str">
            <v>GUSTAVO</v>
          </cell>
          <cell r="F250" t="str">
            <v>OFICINA</v>
          </cell>
        </row>
        <row r="251">
          <cell r="A251">
            <v>500516</v>
          </cell>
          <cell r="B251" t="str">
            <v>BORRACHEIRO</v>
          </cell>
          <cell r="C251">
            <v>20</v>
          </cell>
          <cell r="D251" t="str">
            <v>AGR</v>
          </cell>
          <cell r="E251" t="str">
            <v>GUSTAVO</v>
          </cell>
          <cell r="F251" t="str">
            <v>OFICINA</v>
          </cell>
        </row>
        <row r="252">
          <cell r="A252">
            <v>500599</v>
          </cell>
          <cell r="B252" t="str">
            <v>Manutenção de Entressafra</v>
          </cell>
          <cell r="C252">
            <v>20</v>
          </cell>
          <cell r="D252" t="str">
            <v>AGR</v>
          </cell>
          <cell r="E252" t="str">
            <v>GUSTAVO</v>
          </cell>
          <cell r="F252" t="str">
            <v>OFICINA</v>
          </cell>
        </row>
        <row r="253">
          <cell r="A253">
            <v>500700</v>
          </cell>
          <cell r="B253" t="str">
            <v>MAO DE OBRA APONTADA</v>
          </cell>
          <cell r="C253">
            <v>20</v>
          </cell>
          <cell r="D253" t="str">
            <v>AGR</v>
          </cell>
          <cell r="E253" t="str">
            <v>Josel Garcia</v>
          </cell>
          <cell r="F253" t="str">
            <v>OPERADORES/MOTORISTAS</v>
          </cell>
        </row>
        <row r="254">
          <cell r="A254">
            <v>500702</v>
          </cell>
          <cell r="B254" t="str">
            <v>MOTORISTAS TRANSP CANA</v>
          </cell>
          <cell r="C254">
            <v>20</v>
          </cell>
          <cell r="D254" t="str">
            <v>AGR</v>
          </cell>
          <cell r="E254" t="str">
            <v>Josel Garcia</v>
          </cell>
          <cell r="F254" t="str">
            <v>OPERADORES/MOTORISTAS</v>
          </cell>
        </row>
        <row r="255">
          <cell r="A255">
            <v>500704</v>
          </cell>
          <cell r="B255" t="str">
            <v>MOTORISTAS DIVERSOS</v>
          </cell>
          <cell r="C255">
            <v>20</v>
          </cell>
          <cell r="D255" t="str">
            <v>AGR</v>
          </cell>
          <cell r="E255" t="str">
            <v>Josel Garcia</v>
          </cell>
          <cell r="F255" t="str">
            <v>OPERADORES/MOTORISTAS</v>
          </cell>
        </row>
        <row r="256">
          <cell r="A256">
            <v>500706</v>
          </cell>
          <cell r="B256" t="str">
            <v>CARREGADORES</v>
          </cell>
          <cell r="C256">
            <v>20</v>
          </cell>
          <cell r="D256" t="str">
            <v>AGR</v>
          </cell>
          <cell r="E256" t="str">
            <v>Josel Garcia</v>
          </cell>
          <cell r="F256" t="str">
            <v>OPERADORES/MOTORISTAS</v>
          </cell>
        </row>
        <row r="257">
          <cell r="A257">
            <v>500708</v>
          </cell>
          <cell r="B257" t="str">
            <v>REBOCADORES</v>
          </cell>
          <cell r="C257">
            <v>20</v>
          </cell>
          <cell r="D257" t="str">
            <v>AGR</v>
          </cell>
          <cell r="E257" t="str">
            <v>Josel Garcia</v>
          </cell>
          <cell r="F257" t="str">
            <v>OPERADORES/MOTORISTAS</v>
          </cell>
        </row>
        <row r="258">
          <cell r="A258">
            <v>500710</v>
          </cell>
          <cell r="B258" t="str">
            <v>COLHEITA MECANIZADA</v>
          </cell>
          <cell r="C258">
            <v>20</v>
          </cell>
          <cell r="D258" t="str">
            <v>AGR</v>
          </cell>
          <cell r="E258" t="str">
            <v>Josel Garcia</v>
          </cell>
          <cell r="F258" t="str">
            <v>COLHEITA</v>
          </cell>
        </row>
        <row r="259">
          <cell r="A259">
            <v>500712</v>
          </cell>
          <cell r="B259" t="str">
            <v>MOTORISTAS TRANSBORDO</v>
          </cell>
          <cell r="C259">
            <v>20</v>
          </cell>
          <cell r="D259" t="str">
            <v>AGR</v>
          </cell>
          <cell r="E259" t="str">
            <v>Josel Garcia</v>
          </cell>
          <cell r="F259" t="str">
            <v>OPERADORES/MOTORISTAS</v>
          </cell>
        </row>
        <row r="260">
          <cell r="A260">
            <v>500714</v>
          </cell>
          <cell r="B260" t="str">
            <v>TRATORISTAS MAQ LEVES</v>
          </cell>
          <cell r="C260">
            <v>20</v>
          </cell>
          <cell r="D260" t="str">
            <v>AGR</v>
          </cell>
          <cell r="E260" t="str">
            <v>Josel Garcia</v>
          </cell>
          <cell r="F260" t="str">
            <v>OPERADORES/MOTORISTAS</v>
          </cell>
        </row>
        <row r="261">
          <cell r="A261">
            <v>500716</v>
          </cell>
          <cell r="B261" t="str">
            <v>TRATORISTAS MAQ MEDIAS</v>
          </cell>
          <cell r="C261">
            <v>20</v>
          </cell>
          <cell r="D261" t="str">
            <v>AGR</v>
          </cell>
          <cell r="E261" t="str">
            <v>Josel Garcia</v>
          </cell>
          <cell r="F261" t="str">
            <v>OPERADORES/MOTORISTAS</v>
          </cell>
        </row>
        <row r="262">
          <cell r="A262">
            <v>500718</v>
          </cell>
          <cell r="B262" t="str">
            <v>TRATORISTAS MAQ PESADAS</v>
          </cell>
          <cell r="C262">
            <v>20</v>
          </cell>
          <cell r="D262" t="str">
            <v>AGR</v>
          </cell>
          <cell r="E262" t="str">
            <v>Josel Garcia</v>
          </cell>
          <cell r="F262" t="str">
            <v>COLHEITA</v>
          </cell>
        </row>
        <row r="263">
          <cell r="A263">
            <v>500720</v>
          </cell>
          <cell r="B263" t="str">
            <v>TRANSPORTE DE APOIO</v>
          </cell>
          <cell r="C263">
            <v>20</v>
          </cell>
          <cell r="D263" t="str">
            <v>AGR</v>
          </cell>
          <cell r="E263" t="str">
            <v>Josel Garcia</v>
          </cell>
          <cell r="F263" t="str">
            <v>ESTRUTURA DE APOIO</v>
          </cell>
        </row>
        <row r="264">
          <cell r="A264">
            <v>500722</v>
          </cell>
          <cell r="B264" t="str">
            <v>MDO LÍDERES/FISCAIS DE OPERAÇÃO</v>
          </cell>
          <cell r="C264">
            <v>20</v>
          </cell>
          <cell r="D264" t="str">
            <v>AGR</v>
          </cell>
          <cell r="E264" t="str">
            <v>Josel Garcia</v>
          </cell>
          <cell r="F264" t="str">
            <v>ESTRUTURA DE APOIO</v>
          </cell>
        </row>
        <row r="265">
          <cell r="A265">
            <v>500724</v>
          </cell>
          <cell r="B265" t="str">
            <v>AUXILIAR CONTROLE DE QUALIDADE</v>
          </cell>
          <cell r="C265">
            <v>20</v>
          </cell>
          <cell r="D265" t="str">
            <v>AGR</v>
          </cell>
          <cell r="E265" t="str">
            <v>EVERTON GEROMINI</v>
          </cell>
          <cell r="F265" t="str">
            <v>ESTRUTURA DE APOIO</v>
          </cell>
        </row>
        <row r="266">
          <cell r="A266">
            <v>500726</v>
          </cell>
          <cell r="B266" t="str">
            <v>AUXILIARES CONTROLE BIOLÓGICO</v>
          </cell>
          <cell r="C266">
            <v>20</v>
          </cell>
          <cell r="D266" t="str">
            <v>AGR</v>
          </cell>
          <cell r="E266" t="str">
            <v>CARLOS ARCE</v>
          </cell>
          <cell r="F266" t="str">
            <v>ESTRUTURA DE APOIO</v>
          </cell>
        </row>
        <row r="267">
          <cell r="A267">
            <v>500790</v>
          </cell>
          <cell r="B267" t="str">
            <v>FUNCIONARIOS DE TERCEIROS</v>
          </cell>
          <cell r="C267">
            <v>20</v>
          </cell>
          <cell r="D267" t="str">
            <v>AGR</v>
          </cell>
          <cell r="E267" t="str">
            <v>Josel Garcia</v>
          </cell>
          <cell r="F267" t="str">
            <v>ESTRUTURA DE APOIO</v>
          </cell>
        </row>
        <row r="268">
          <cell r="A268">
            <v>500799</v>
          </cell>
          <cell r="B268" t="str">
            <v>Manutenção de Entressafra</v>
          </cell>
          <cell r="C268">
            <v>20</v>
          </cell>
          <cell r="D268" t="str">
            <v>AGR</v>
          </cell>
          <cell r="E268" t="str">
            <v>Josel Garcia</v>
          </cell>
          <cell r="F268" t="str">
            <v>OPERADORES/MOTORISTAS</v>
          </cell>
        </row>
        <row r="269">
          <cell r="A269">
            <v>501000</v>
          </cell>
          <cell r="B269" t="str">
            <v>CULTURA DE CANA</v>
          </cell>
          <cell r="C269">
            <v>20</v>
          </cell>
          <cell r="D269" t="str">
            <v>AGR</v>
          </cell>
          <cell r="E269" t="str">
            <v>MIGUEL GARCIA</v>
          </cell>
        </row>
        <row r="270">
          <cell r="A270">
            <v>501002</v>
          </cell>
          <cell r="B270" t="str">
            <v>PREPARO DE SOLO</v>
          </cell>
          <cell r="C270">
            <v>20</v>
          </cell>
          <cell r="D270" t="str">
            <v>AGR</v>
          </cell>
          <cell r="E270" t="str">
            <v>ALEXANDRE MARINS</v>
          </cell>
          <cell r="F270" t="str">
            <v>PLANTIO</v>
          </cell>
        </row>
        <row r="271">
          <cell r="A271">
            <v>501004</v>
          </cell>
          <cell r="B271" t="str">
            <v>COLHEITA DE MUDAS - PROPRIA</v>
          </cell>
          <cell r="C271">
            <v>20</v>
          </cell>
          <cell r="D271" t="str">
            <v>AGR</v>
          </cell>
          <cell r="E271" t="str">
            <v>MIGUEL GARCIA</v>
          </cell>
          <cell r="F271" t="str">
            <v>PLANTIO</v>
          </cell>
        </row>
        <row r="272">
          <cell r="A272">
            <v>501006</v>
          </cell>
          <cell r="B272" t="str">
            <v>COLHEITA DE MUDA - TERCEIROS</v>
          </cell>
          <cell r="C272">
            <v>20</v>
          </cell>
          <cell r="D272" t="str">
            <v>AGR</v>
          </cell>
          <cell r="E272" t="str">
            <v>MIGUEL GARCIA</v>
          </cell>
          <cell r="F272" t="str">
            <v>PLANTIO</v>
          </cell>
        </row>
        <row r="273">
          <cell r="A273">
            <v>501008</v>
          </cell>
          <cell r="B273" t="str">
            <v>PLANTIO DE CANA</v>
          </cell>
          <cell r="C273">
            <v>20</v>
          </cell>
          <cell r="D273" t="str">
            <v>AGR</v>
          </cell>
          <cell r="E273" t="str">
            <v>MIGUEL GARCIA</v>
          </cell>
          <cell r="F273" t="str">
            <v>PLANTIO</v>
          </cell>
        </row>
        <row r="274">
          <cell r="A274">
            <v>501010</v>
          </cell>
          <cell r="B274" t="str">
            <v>TRATOS CANA PLANTA</v>
          </cell>
          <cell r="C274">
            <v>20</v>
          </cell>
          <cell r="D274" t="str">
            <v>AGR</v>
          </cell>
          <cell r="E274" t="str">
            <v>MIGUEL GARCIA</v>
          </cell>
          <cell r="F274" t="str">
            <v>PLANTIO</v>
          </cell>
        </row>
        <row r="275">
          <cell r="A275">
            <v>501012</v>
          </cell>
          <cell r="B275" t="str">
            <v>TRATOS CANA SOCA</v>
          </cell>
          <cell r="C275">
            <v>20</v>
          </cell>
          <cell r="D275" t="str">
            <v>AGR</v>
          </cell>
          <cell r="E275" t="str">
            <v>MIGUEL GARCIA</v>
          </cell>
          <cell r="F275" t="str">
            <v>TRATOS</v>
          </cell>
        </row>
        <row r="276">
          <cell r="A276">
            <v>501014</v>
          </cell>
          <cell r="B276" t="str">
            <v>COLHEITA MANUAL</v>
          </cell>
          <cell r="C276">
            <v>20</v>
          </cell>
          <cell r="D276" t="str">
            <v>AGR</v>
          </cell>
          <cell r="E276" t="str">
            <v>Josel Garcia</v>
          </cell>
          <cell r="F276" t="str">
            <v>COLHEITA</v>
          </cell>
        </row>
        <row r="277">
          <cell r="A277">
            <v>501016</v>
          </cell>
          <cell r="B277" t="str">
            <v>COLHEITA MECANIZADA</v>
          </cell>
          <cell r="C277">
            <v>20</v>
          </cell>
          <cell r="D277" t="str">
            <v>AGR</v>
          </cell>
          <cell r="E277" t="str">
            <v>Josel Garcia</v>
          </cell>
          <cell r="F277" t="str">
            <v>COLHEITA</v>
          </cell>
        </row>
        <row r="278">
          <cell r="A278">
            <v>501018</v>
          </cell>
          <cell r="B278" t="str">
            <v>Pátio de Compostagem</v>
          </cell>
          <cell r="C278">
            <v>20</v>
          </cell>
          <cell r="D278" t="str">
            <v>AGR</v>
          </cell>
          <cell r="E278" t="str">
            <v>MIGUEL GARCIA</v>
          </cell>
          <cell r="F278" t="str">
            <v>PLANTIO</v>
          </cell>
        </row>
        <row r="279">
          <cell r="A279">
            <v>501020</v>
          </cell>
          <cell r="B279" t="str">
            <v>Replantio da cana planta</v>
          </cell>
          <cell r="C279">
            <v>20</v>
          </cell>
          <cell r="D279" t="str">
            <v>AGR</v>
          </cell>
          <cell r="E279" t="str">
            <v>MIGUEL GARCIA</v>
          </cell>
          <cell r="F279" t="str">
            <v>PLANTIO</v>
          </cell>
        </row>
        <row r="280">
          <cell r="A280">
            <v>501022</v>
          </cell>
          <cell r="B280" t="str">
            <v>Replantio da cana soca</v>
          </cell>
          <cell r="C280">
            <v>20</v>
          </cell>
          <cell r="D280" t="str">
            <v>AGR</v>
          </cell>
          <cell r="E280" t="str">
            <v>MIGUEL GARCIA</v>
          </cell>
          <cell r="F280" t="str">
            <v>PLANTIO</v>
          </cell>
        </row>
        <row r="281">
          <cell r="A281">
            <v>501099</v>
          </cell>
          <cell r="B281" t="str">
            <v>Manutenção de Entressafra</v>
          </cell>
          <cell r="C281">
            <v>20</v>
          </cell>
          <cell r="D281" t="str">
            <v>AGR</v>
          </cell>
          <cell r="E281" t="str">
            <v>MIGUEL GARCIA</v>
          </cell>
          <cell r="F281" t="str">
            <v>Man. Entre safra</v>
          </cell>
        </row>
        <row r="282">
          <cell r="A282">
            <v>501100</v>
          </cell>
          <cell r="B282" t="str">
            <v>OUTRAS CULTURAS</v>
          </cell>
          <cell r="C282">
            <v>20</v>
          </cell>
          <cell r="D282" t="str">
            <v>AGR</v>
          </cell>
          <cell r="E282" t="str">
            <v>Everton Passarini</v>
          </cell>
          <cell r="F282" t="str">
            <v>OUTRAS CULTURAS</v>
          </cell>
        </row>
        <row r="283">
          <cell r="A283">
            <v>501102</v>
          </cell>
          <cell r="B283" t="str">
            <v>REFLORESTAMENTO</v>
          </cell>
          <cell r="C283">
            <v>20</v>
          </cell>
          <cell r="D283" t="str">
            <v>AGR</v>
          </cell>
          <cell r="E283" t="str">
            <v>CARLOS ARCE</v>
          </cell>
          <cell r="F283" t="str">
            <v>OUTRAS CULTURAS</v>
          </cell>
        </row>
        <row r="284">
          <cell r="A284">
            <v>501106</v>
          </cell>
          <cell r="B284" t="str">
            <v>EXPERIMENTO</v>
          </cell>
          <cell r="C284">
            <v>20</v>
          </cell>
          <cell r="D284" t="str">
            <v>AGR</v>
          </cell>
          <cell r="E284" t="str">
            <v>CARLOS ARCE</v>
          </cell>
          <cell r="F284" t="str">
            <v>OUTRAS CULTURAS</v>
          </cell>
        </row>
        <row r="285">
          <cell r="A285">
            <v>501108</v>
          </cell>
          <cell r="B285" t="str">
            <v>ADUBACAO VERDE</v>
          </cell>
          <cell r="C285">
            <v>20</v>
          </cell>
          <cell r="D285" t="str">
            <v>AGR</v>
          </cell>
          <cell r="E285" t="str">
            <v>CARLOS ARCE</v>
          </cell>
          <cell r="F285" t="str">
            <v>OUTRAS CULTURAS</v>
          </cell>
        </row>
        <row r="286">
          <cell r="A286">
            <v>501112</v>
          </cell>
          <cell r="B286" t="str">
            <v>OUTROS SERVICOS</v>
          </cell>
          <cell r="C286">
            <v>20</v>
          </cell>
          <cell r="D286" t="str">
            <v>AGR</v>
          </cell>
          <cell r="E286" t="str">
            <v>Everton Passarini</v>
          </cell>
          <cell r="F286" t="str">
            <v>OUTRAS CULTURAS</v>
          </cell>
        </row>
        <row r="287">
          <cell r="A287">
            <v>501199</v>
          </cell>
          <cell r="B287" t="str">
            <v>Manutenção de Entressafra</v>
          </cell>
          <cell r="C287">
            <v>20</v>
          </cell>
          <cell r="D287" t="str">
            <v>AGR</v>
          </cell>
          <cell r="E287" t="str">
            <v>Everton Passarini</v>
          </cell>
          <cell r="F287" t="str">
            <v>OUTRAS CULTURAS</v>
          </cell>
        </row>
        <row r="288">
          <cell r="A288">
            <v>501200</v>
          </cell>
          <cell r="B288" t="str">
            <v>DESENVOLVIMENTO AGRONÔMICO</v>
          </cell>
          <cell r="C288">
            <v>20</v>
          </cell>
          <cell r="D288" t="str">
            <v>AGR</v>
          </cell>
          <cell r="E288" t="str">
            <v>CARLOS ARCE</v>
          </cell>
          <cell r="F288" t="str">
            <v>ADM AGRICOLA</v>
          </cell>
        </row>
        <row r="289">
          <cell r="A289">
            <v>501202</v>
          </cell>
          <cell r="B289" t="str">
            <v>DESENVOLVIMENTO AGRONÔMICO</v>
          </cell>
          <cell r="C289">
            <v>20</v>
          </cell>
          <cell r="D289" t="str">
            <v>AGR</v>
          </cell>
          <cell r="E289" t="str">
            <v>CARLOS ARCE</v>
          </cell>
          <cell r="F289" t="str">
            <v>ADM AGRICOLA</v>
          </cell>
        </row>
        <row r="290">
          <cell r="A290">
            <v>509900</v>
          </cell>
          <cell r="B290" t="str">
            <v>CUSTO FINAL DE PRODUCAO</v>
          </cell>
          <cell r="C290">
            <v>20</v>
          </cell>
          <cell r="D290" t="str">
            <v>AGR</v>
          </cell>
          <cell r="E290" t="str">
            <v>N/A</v>
          </cell>
          <cell r="F290" t="str">
            <v>ADM AGRICOLA</v>
          </cell>
        </row>
        <row r="291">
          <cell r="A291">
            <v>509902</v>
          </cell>
          <cell r="B291" t="str">
            <v>CUSTO MATERIA-PRIMA</v>
          </cell>
          <cell r="C291">
            <v>20</v>
          </cell>
          <cell r="D291" t="str">
            <v>AGR</v>
          </cell>
          <cell r="E291" t="str">
            <v>N/A</v>
          </cell>
          <cell r="F291" t="str">
            <v>ADM AGRICOLA</v>
          </cell>
        </row>
        <row r="292">
          <cell r="A292">
            <v>509999</v>
          </cell>
          <cell r="B292" t="str">
            <v>Manutenção de Entressafra</v>
          </cell>
          <cell r="C292">
            <v>20</v>
          </cell>
          <cell r="D292" t="str">
            <v>AGR</v>
          </cell>
          <cell r="E292" t="str">
            <v>N/A</v>
          </cell>
          <cell r="F292" t="str">
            <v>ADM AGRICOLA</v>
          </cell>
        </row>
        <row r="293">
          <cell r="A293">
            <v>600000</v>
          </cell>
          <cell r="B293" t="str">
            <v>CONSERVACAO GERAL/BENFEITORIAS</v>
          </cell>
          <cell r="C293">
            <v>20</v>
          </cell>
          <cell r="D293" t="str">
            <v>AGR</v>
          </cell>
          <cell r="E293" t="str">
            <v>Everton Passarini</v>
          </cell>
          <cell r="F293" t="str">
            <v>ESTRUTURA DE APOIO</v>
          </cell>
        </row>
        <row r="294">
          <cell r="A294">
            <v>600200</v>
          </cell>
          <cell r="B294" t="str">
            <v>CONSERVACAO DE SEDES</v>
          </cell>
          <cell r="C294">
            <v>20</v>
          </cell>
          <cell r="D294" t="str">
            <v>AGR</v>
          </cell>
          <cell r="E294" t="str">
            <v>Everton Passarini</v>
          </cell>
          <cell r="F294" t="str">
            <v>ESTRUTURA DE APOIO</v>
          </cell>
        </row>
        <row r="295">
          <cell r="A295">
            <v>600400</v>
          </cell>
          <cell r="B295" t="str">
            <v>CONSTR.E CONSERVACAO DEPENDENCIAS</v>
          </cell>
          <cell r="C295">
            <v>20</v>
          </cell>
          <cell r="D295" t="str">
            <v>AGR</v>
          </cell>
          <cell r="E295" t="str">
            <v>Everton Passarini</v>
          </cell>
          <cell r="F295" t="str">
            <v>ESTRUTURA DE APOIO</v>
          </cell>
        </row>
        <row r="296">
          <cell r="A296">
            <v>600600</v>
          </cell>
          <cell r="B296" t="str">
            <v>CONSTR.E CONSERVACAO DE CERCAS</v>
          </cell>
          <cell r="C296">
            <v>20</v>
          </cell>
          <cell r="D296" t="str">
            <v>AGR</v>
          </cell>
          <cell r="E296" t="str">
            <v>MIGUEL GARCIA</v>
          </cell>
          <cell r="F296" t="str">
            <v>ESTRUTURA DE APOIO</v>
          </cell>
        </row>
        <row r="297">
          <cell r="A297">
            <v>600800</v>
          </cell>
          <cell r="B297" t="str">
            <v>CONSTR.E CONSERVACAO DE ESTRADAS</v>
          </cell>
          <cell r="C297">
            <v>20</v>
          </cell>
          <cell r="D297" t="str">
            <v>AGR</v>
          </cell>
          <cell r="E297" t="str">
            <v>Josel Garcia</v>
          </cell>
          <cell r="F297" t="str">
            <v>ESTRUTURA DE APOIO</v>
          </cell>
        </row>
        <row r="298">
          <cell r="A298">
            <v>601000</v>
          </cell>
          <cell r="B298" t="str">
            <v>CONSERVACAO PATIOS - INDUSTRIA</v>
          </cell>
          <cell r="C298">
            <v>10</v>
          </cell>
          <cell r="D298" t="str">
            <v>IND</v>
          </cell>
          <cell r="E298" t="str">
            <v>SERGIO FIORENTINO</v>
          </cell>
          <cell r="F298" t="str">
            <v>CONSERV.PATIO</v>
          </cell>
        </row>
        <row r="299">
          <cell r="A299">
            <v>601018</v>
          </cell>
          <cell r="B299" t="str">
            <v>Movimentação de Resíduos Industriais</v>
          </cell>
          <cell r="C299">
            <v>20</v>
          </cell>
          <cell r="D299" t="str">
            <v>AGR</v>
          </cell>
          <cell r="E299" t="str">
            <v>Everton Passarini</v>
          </cell>
          <cell r="F299" t="str">
            <v>ESTRUTURA DE APOIO</v>
          </cell>
        </row>
        <row r="300">
          <cell r="A300">
            <v>601200</v>
          </cell>
          <cell r="B300" t="str">
            <v>CONSERVACAO PATIOS - ADMINISTRACAO</v>
          </cell>
          <cell r="C300">
            <v>40</v>
          </cell>
          <cell r="D300" t="str">
            <v>ADM</v>
          </cell>
          <cell r="E300" t="str">
            <v>Everton Passarini</v>
          </cell>
          <cell r="F300" t="str">
            <v>CONSERV.PATIO</v>
          </cell>
        </row>
        <row r="301">
          <cell r="A301">
            <v>601400</v>
          </cell>
          <cell r="B301" t="str">
            <v>URBANIZACAO E LIMPEZA</v>
          </cell>
          <cell r="C301">
            <v>20</v>
          </cell>
          <cell r="D301" t="str">
            <v>AGR</v>
          </cell>
          <cell r="E301" t="str">
            <v>Everton Passarini</v>
          </cell>
          <cell r="F301" t="str">
            <v>ESTRUTURA DE APOIO</v>
          </cell>
        </row>
        <row r="302">
          <cell r="A302">
            <v>601499</v>
          </cell>
          <cell r="B302" t="str">
            <v>Manutenção de Entressafra</v>
          </cell>
          <cell r="C302">
            <v>20</v>
          </cell>
          <cell r="D302" t="str">
            <v>AGR</v>
          </cell>
          <cell r="E302" t="str">
            <v>Everton Passarini</v>
          </cell>
          <cell r="F302" t="str">
            <v>ESTRUTURA DE APOIO</v>
          </cell>
        </row>
        <row r="303">
          <cell r="A303">
            <v>601600</v>
          </cell>
          <cell r="B303" t="str">
            <v>Rede de Tratamento de Água e Esgoto</v>
          </cell>
          <cell r="C303">
            <v>20</v>
          </cell>
          <cell r="D303" t="str">
            <v>AGR</v>
          </cell>
          <cell r="E303" t="str">
            <v>ALEXANDRE MARINS</v>
          </cell>
          <cell r="F303" t="str">
            <v>ESTRUTURA DE APOIO</v>
          </cell>
        </row>
        <row r="304">
          <cell r="A304">
            <v>700000</v>
          </cell>
          <cell r="B304" t="str">
            <v>GRUPOS OPERATIVOS</v>
          </cell>
          <cell r="C304">
            <v>20</v>
          </cell>
          <cell r="D304" t="str">
            <v>AGR</v>
          </cell>
          <cell r="E304" t="str">
            <v>GUSTAVO</v>
          </cell>
          <cell r="F304" t="str">
            <v>FROTA</v>
          </cell>
        </row>
        <row r="305">
          <cell r="A305">
            <v>700100</v>
          </cell>
          <cell r="B305" t="str">
            <v>CAMINHOES</v>
          </cell>
          <cell r="C305">
            <v>20</v>
          </cell>
          <cell r="D305" t="str">
            <v>AGR</v>
          </cell>
          <cell r="E305" t="str">
            <v>GUSTAVO</v>
          </cell>
          <cell r="F305" t="str">
            <v>FROTA</v>
          </cell>
        </row>
        <row r="306">
          <cell r="A306">
            <v>700102</v>
          </cell>
          <cell r="B306" t="str">
            <v>CAMINHOES CANAVIEIRO ( ALUGADO)</v>
          </cell>
          <cell r="C306">
            <v>20</v>
          </cell>
          <cell r="D306" t="str">
            <v>AGR</v>
          </cell>
          <cell r="E306" t="str">
            <v>GUSTAVO</v>
          </cell>
          <cell r="F306" t="str">
            <v>FROTA</v>
          </cell>
        </row>
        <row r="307">
          <cell r="A307">
            <v>700103</v>
          </cell>
          <cell r="B307" t="str">
            <v>CAMINHÕES CANAVIEIRO (PRÓPRIO)</v>
          </cell>
          <cell r="C307">
            <v>20</v>
          </cell>
          <cell r="D307" t="str">
            <v>AGR</v>
          </cell>
          <cell r="E307" t="str">
            <v>GUSTAVO</v>
          </cell>
          <cell r="F307" t="str">
            <v>FROTA</v>
          </cell>
        </row>
        <row r="308">
          <cell r="A308">
            <v>700104</v>
          </cell>
          <cell r="B308" t="str">
            <v>CAMINHÕES BASCULANTE (ALUGADO)</v>
          </cell>
          <cell r="C308">
            <v>20</v>
          </cell>
          <cell r="D308" t="str">
            <v>AGR</v>
          </cell>
          <cell r="E308" t="str">
            <v>GUSTAVO</v>
          </cell>
          <cell r="F308" t="str">
            <v>FROTA</v>
          </cell>
        </row>
        <row r="309">
          <cell r="A309">
            <v>700105</v>
          </cell>
          <cell r="B309" t="str">
            <v>CAMINHÕES BASCULANTE (PRÓPRIO)</v>
          </cell>
          <cell r="C309">
            <v>20</v>
          </cell>
          <cell r="D309" t="str">
            <v>AGR</v>
          </cell>
          <cell r="E309" t="str">
            <v>GUSTAVO</v>
          </cell>
          <cell r="F309" t="str">
            <v>FROTA</v>
          </cell>
        </row>
        <row r="310">
          <cell r="A310">
            <v>700106</v>
          </cell>
          <cell r="B310" t="str">
            <v>CAMINHÕES PIPA (ALUGADO)</v>
          </cell>
          <cell r="C310">
            <v>20</v>
          </cell>
          <cell r="D310" t="str">
            <v>AGR</v>
          </cell>
          <cell r="E310" t="str">
            <v>GUSTAVO</v>
          </cell>
          <cell r="F310" t="str">
            <v>FROTA</v>
          </cell>
        </row>
        <row r="311">
          <cell r="A311">
            <v>700107</v>
          </cell>
          <cell r="B311" t="str">
            <v>CAMINHÕES PIPA (PRÓPRIO)</v>
          </cell>
          <cell r="C311">
            <v>20</v>
          </cell>
          <cell r="D311" t="str">
            <v>AGR</v>
          </cell>
          <cell r="E311" t="str">
            <v>GUSTAVO</v>
          </cell>
          <cell r="F311" t="str">
            <v>FROTA</v>
          </cell>
        </row>
        <row r="312">
          <cell r="A312">
            <v>700108</v>
          </cell>
          <cell r="B312" t="str">
            <v>CAMINHÕES COMBOIO (ALUGADO)</v>
          </cell>
          <cell r="C312">
            <v>20</v>
          </cell>
          <cell r="D312" t="str">
            <v>AGR</v>
          </cell>
          <cell r="E312" t="str">
            <v>GUSTAVO</v>
          </cell>
          <cell r="F312" t="str">
            <v>FROTA</v>
          </cell>
        </row>
        <row r="313">
          <cell r="A313">
            <v>700109</v>
          </cell>
          <cell r="B313" t="str">
            <v>CAMINHÕES COMBOIO (PRÓPRIO)</v>
          </cell>
          <cell r="C313">
            <v>20</v>
          </cell>
          <cell r="D313" t="str">
            <v>AGR</v>
          </cell>
          <cell r="E313" t="str">
            <v>GUSTAVO</v>
          </cell>
          <cell r="F313" t="str">
            <v>FROTA</v>
          </cell>
        </row>
        <row r="314">
          <cell r="A314">
            <v>700110</v>
          </cell>
          <cell r="B314" t="str">
            <v>CAMINHÕES CARGA SECA (ALUGADO)</v>
          </cell>
          <cell r="C314">
            <v>20</v>
          </cell>
          <cell r="D314" t="str">
            <v>AGR</v>
          </cell>
          <cell r="E314" t="str">
            <v>GUSTAVO</v>
          </cell>
          <cell r="F314" t="str">
            <v>FROTA</v>
          </cell>
        </row>
        <row r="315">
          <cell r="A315">
            <v>700111</v>
          </cell>
          <cell r="B315" t="str">
            <v>CAMINHÕES CARGA SECA (PRÓPRIO)</v>
          </cell>
          <cell r="C315">
            <v>20</v>
          </cell>
          <cell r="D315" t="str">
            <v>AGR</v>
          </cell>
          <cell r="E315" t="str">
            <v>GUSTAVO</v>
          </cell>
          <cell r="F315" t="str">
            <v>FROTA</v>
          </cell>
        </row>
        <row r="316">
          <cell r="A316">
            <v>700112</v>
          </cell>
          <cell r="B316" t="str">
            <v>CAMINHÕES PRANCHA (ALUGADO)</v>
          </cell>
          <cell r="C316">
            <v>20</v>
          </cell>
          <cell r="D316" t="str">
            <v>AGR</v>
          </cell>
          <cell r="E316" t="str">
            <v>GUSTAVO</v>
          </cell>
          <cell r="F316" t="str">
            <v>FROTA</v>
          </cell>
        </row>
        <row r="317">
          <cell r="A317">
            <v>700113</v>
          </cell>
          <cell r="B317" t="str">
            <v>CAMINHÕES PRANCHA (PRÓPRIO)</v>
          </cell>
          <cell r="C317">
            <v>20</v>
          </cell>
          <cell r="D317" t="str">
            <v>AGR</v>
          </cell>
          <cell r="E317" t="str">
            <v>GUSTAVO</v>
          </cell>
          <cell r="F317" t="str">
            <v>FROTA</v>
          </cell>
        </row>
        <row r="318">
          <cell r="A318">
            <v>700114</v>
          </cell>
          <cell r="B318" t="str">
            <v>CAMINHÕES MUNCK (ALUGADO)</v>
          </cell>
          <cell r="C318">
            <v>20</v>
          </cell>
          <cell r="D318" t="str">
            <v>AGR</v>
          </cell>
          <cell r="E318" t="str">
            <v>GUSTAVO</v>
          </cell>
          <cell r="F318" t="str">
            <v>FROTA</v>
          </cell>
        </row>
        <row r="319">
          <cell r="A319">
            <v>700115</v>
          </cell>
          <cell r="B319" t="str">
            <v>CAMINHÕES MUNCK (PRÓPRIO)</v>
          </cell>
          <cell r="C319">
            <v>20</v>
          </cell>
          <cell r="D319" t="str">
            <v>AGR</v>
          </cell>
          <cell r="E319" t="str">
            <v>GUSTAVO</v>
          </cell>
          <cell r="F319" t="str">
            <v>FROTA</v>
          </cell>
        </row>
        <row r="320">
          <cell r="A320">
            <v>700116</v>
          </cell>
          <cell r="B320" t="str">
            <v>CAMINHÕES BORRACHARIA (ALUGADO)</v>
          </cell>
          <cell r="C320">
            <v>20</v>
          </cell>
          <cell r="D320" t="str">
            <v>AGR</v>
          </cell>
          <cell r="E320" t="str">
            <v>GUSTAVO</v>
          </cell>
          <cell r="F320" t="str">
            <v>FROTA</v>
          </cell>
        </row>
        <row r="321">
          <cell r="A321">
            <v>700117</v>
          </cell>
          <cell r="B321" t="str">
            <v>CAMINHÕES BORRACHARIA (PRÓPRIO)</v>
          </cell>
          <cell r="C321">
            <v>20</v>
          </cell>
          <cell r="D321" t="str">
            <v>AGR</v>
          </cell>
          <cell r="E321" t="str">
            <v>GUSTAVO</v>
          </cell>
          <cell r="F321" t="str">
            <v>FROTA</v>
          </cell>
        </row>
        <row r="322">
          <cell r="A322">
            <v>700118</v>
          </cell>
          <cell r="B322" t="str">
            <v>CAMINHÕES OFICINA (ALUGADO)</v>
          </cell>
          <cell r="C322">
            <v>20</v>
          </cell>
          <cell r="D322" t="str">
            <v>AGR</v>
          </cell>
          <cell r="E322" t="str">
            <v>GUSTAVO</v>
          </cell>
          <cell r="F322" t="str">
            <v>FROTA</v>
          </cell>
        </row>
        <row r="323">
          <cell r="A323">
            <v>700119</v>
          </cell>
          <cell r="B323" t="str">
            <v>CAMINHÕES OFICINA (PRÓPRIO)</v>
          </cell>
          <cell r="C323">
            <v>20</v>
          </cell>
          <cell r="D323" t="str">
            <v>AGR</v>
          </cell>
          <cell r="E323" t="str">
            <v>GUSTAVO</v>
          </cell>
          <cell r="F323" t="str">
            <v>FROTA</v>
          </cell>
        </row>
        <row r="324">
          <cell r="A324">
            <v>700199</v>
          </cell>
          <cell r="B324" t="str">
            <v>Manutenção de Entressafra</v>
          </cell>
          <cell r="C324">
            <v>20</v>
          </cell>
          <cell r="D324" t="str">
            <v>AGR</v>
          </cell>
          <cell r="E324" t="str">
            <v>GUSTAVO</v>
          </cell>
          <cell r="F324" t="str">
            <v>FROTA</v>
          </cell>
        </row>
        <row r="325">
          <cell r="A325">
            <v>700200</v>
          </cell>
          <cell r="B325" t="str">
            <v>TRATORES/MAQUINAS/COLHEDORAS</v>
          </cell>
          <cell r="C325">
            <v>20</v>
          </cell>
          <cell r="D325" t="str">
            <v>AGR</v>
          </cell>
          <cell r="E325" t="str">
            <v>GUSTAVO</v>
          </cell>
          <cell r="F325" t="str">
            <v>FROTA</v>
          </cell>
        </row>
        <row r="326">
          <cell r="A326">
            <v>700202</v>
          </cell>
          <cell r="B326" t="str">
            <v>TRATORES PNEUS - LEVES (ALUGADO)</v>
          </cell>
          <cell r="C326">
            <v>20</v>
          </cell>
          <cell r="D326" t="str">
            <v>AGR</v>
          </cell>
          <cell r="E326" t="str">
            <v>GUSTAVO</v>
          </cell>
          <cell r="F326" t="str">
            <v>FROTA</v>
          </cell>
        </row>
        <row r="327">
          <cell r="A327">
            <v>700203</v>
          </cell>
          <cell r="B327" t="str">
            <v>TRATORES PNEUS - LEVES (PRÓPRIO)</v>
          </cell>
          <cell r="C327">
            <v>20</v>
          </cell>
          <cell r="D327" t="str">
            <v>AGR</v>
          </cell>
          <cell r="E327" t="str">
            <v>GUSTAVO</v>
          </cell>
          <cell r="F327" t="str">
            <v>FROTA</v>
          </cell>
        </row>
        <row r="328">
          <cell r="A328">
            <v>700204</v>
          </cell>
          <cell r="B328" t="str">
            <v>TRATORES PNEUS - MEDIOS (ALUGADO)</v>
          </cell>
          <cell r="C328">
            <v>20</v>
          </cell>
          <cell r="D328" t="str">
            <v>AGR</v>
          </cell>
          <cell r="E328" t="str">
            <v>GUSTAVO</v>
          </cell>
          <cell r="F328" t="str">
            <v>FROTA</v>
          </cell>
        </row>
        <row r="329">
          <cell r="A329">
            <v>700205</v>
          </cell>
          <cell r="B329" t="str">
            <v>TRATORES PNEUS - MEDIOS (PRÓPRIO)</v>
          </cell>
          <cell r="C329">
            <v>20</v>
          </cell>
          <cell r="D329" t="str">
            <v>AGR</v>
          </cell>
          <cell r="E329" t="str">
            <v>GUSTAVO</v>
          </cell>
          <cell r="F329" t="str">
            <v>FROTA</v>
          </cell>
        </row>
        <row r="330">
          <cell r="A330">
            <v>700206</v>
          </cell>
          <cell r="B330" t="str">
            <v>TRATORES PNEUS - PESADOS (ALUGADO)</v>
          </cell>
          <cell r="C330">
            <v>20</v>
          </cell>
          <cell r="D330" t="str">
            <v>AGR</v>
          </cell>
          <cell r="E330" t="str">
            <v>GUSTAVO</v>
          </cell>
          <cell r="F330" t="str">
            <v>FROTA</v>
          </cell>
        </row>
        <row r="331">
          <cell r="A331">
            <v>700207</v>
          </cell>
          <cell r="B331" t="str">
            <v>TRATORES PNEUS - PESADOS (PRÓPRIO)</v>
          </cell>
          <cell r="C331">
            <v>20</v>
          </cell>
          <cell r="D331" t="str">
            <v>AGR</v>
          </cell>
          <cell r="E331" t="str">
            <v>GUSTAVO</v>
          </cell>
          <cell r="F331" t="str">
            <v>FROTA</v>
          </cell>
        </row>
        <row r="332">
          <cell r="A332">
            <v>700208</v>
          </cell>
          <cell r="B332" t="str">
            <v>TRATORES ESTEIRAS (ALUGADO)</v>
          </cell>
          <cell r="C332">
            <v>20</v>
          </cell>
          <cell r="D332" t="str">
            <v>AGR</v>
          </cell>
          <cell r="E332" t="str">
            <v>GUSTAVO</v>
          </cell>
          <cell r="F332" t="str">
            <v>FROTA</v>
          </cell>
        </row>
        <row r="333">
          <cell r="A333">
            <v>700209</v>
          </cell>
          <cell r="B333" t="str">
            <v>TRATORES ESTEIRAS (PRÓPRIO)</v>
          </cell>
          <cell r="C333">
            <v>20</v>
          </cell>
          <cell r="D333" t="str">
            <v>AGR</v>
          </cell>
          <cell r="E333" t="str">
            <v>GUSTAVO</v>
          </cell>
          <cell r="F333" t="str">
            <v>FROTA</v>
          </cell>
        </row>
        <row r="334">
          <cell r="A334">
            <v>700210</v>
          </cell>
          <cell r="B334" t="str">
            <v>RETRO ESCAVADORAS (ALUGADO)</v>
          </cell>
          <cell r="C334">
            <v>20</v>
          </cell>
          <cell r="D334" t="str">
            <v>AGR</v>
          </cell>
          <cell r="E334" t="str">
            <v>GUSTAVO</v>
          </cell>
          <cell r="F334" t="str">
            <v>FROTA</v>
          </cell>
        </row>
        <row r="335">
          <cell r="A335">
            <v>700211</v>
          </cell>
          <cell r="B335" t="str">
            <v>RETRO ESCAVADORAS (PRÓPRIO)</v>
          </cell>
          <cell r="C335">
            <v>20</v>
          </cell>
          <cell r="D335" t="str">
            <v>AGR</v>
          </cell>
          <cell r="E335" t="str">
            <v>GUSTAVO</v>
          </cell>
          <cell r="F335" t="str">
            <v>FROTA</v>
          </cell>
        </row>
        <row r="336">
          <cell r="A336">
            <v>700212</v>
          </cell>
          <cell r="B336" t="str">
            <v>MOTONIVELADORAS (ALUGADO)</v>
          </cell>
          <cell r="C336">
            <v>20</v>
          </cell>
          <cell r="D336" t="str">
            <v>AGR</v>
          </cell>
          <cell r="E336" t="str">
            <v>GUSTAVO</v>
          </cell>
          <cell r="F336" t="str">
            <v>FROTA</v>
          </cell>
        </row>
        <row r="337">
          <cell r="A337">
            <v>700213</v>
          </cell>
          <cell r="B337" t="str">
            <v>MOTONIVELADORAS (PRÓPRIO)</v>
          </cell>
          <cell r="C337">
            <v>20</v>
          </cell>
          <cell r="D337" t="str">
            <v>AGR</v>
          </cell>
          <cell r="E337" t="str">
            <v>GUSTAVO</v>
          </cell>
          <cell r="F337" t="str">
            <v>FROTA</v>
          </cell>
        </row>
        <row r="338">
          <cell r="A338">
            <v>700214</v>
          </cell>
          <cell r="B338" t="str">
            <v>PA CARREGADORAS (ALUGADO)</v>
          </cell>
          <cell r="C338">
            <v>20</v>
          </cell>
          <cell r="D338" t="str">
            <v>AGR</v>
          </cell>
          <cell r="E338" t="str">
            <v>GUSTAVO</v>
          </cell>
          <cell r="F338" t="str">
            <v>FROTA</v>
          </cell>
        </row>
        <row r="339">
          <cell r="A339">
            <v>700215</v>
          </cell>
          <cell r="B339" t="str">
            <v>PA CARREGADORAS (PRÓPRIO)</v>
          </cell>
          <cell r="C339">
            <v>20</v>
          </cell>
          <cell r="D339" t="str">
            <v>AGR</v>
          </cell>
          <cell r="E339" t="str">
            <v>GUSTAVO</v>
          </cell>
          <cell r="F339" t="str">
            <v>FROTA</v>
          </cell>
        </row>
        <row r="340">
          <cell r="A340">
            <v>700216</v>
          </cell>
          <cell r="B340" t="str">
            <v>CARREGADORAS DE CANA (ALUGADO)</v>
          </cell>
          <cell r="C340">
            <v>20</v>
          </cell>
          <cell r="D340" t="str">
            <v>AGR</v>
          </cell>
          <cell r="E340" t="str">
            <v>GUSTAVO</v>
          </cell>
          <cell r="F340" t="str">
            <v>FROTA</v>
          </cell>
        </row>
        <row r="341">
          <cell r="A341">
            <v>700217</v>
          </cell>
          <cell r="B341" t="str">
            <v>CARREGADORAS DE CANA (PRÓPRIO)</v>
          </cell>
          <cell r="C341">
            <v>20</v>
          </cell>
          <cell r="D341" t="str">
            <v>AGR</v>
          </cell>
          <cell r="E341" t="str">
            <v>GUSTAVO</v>
          </cell>
          <cell r="F341" t="str">
            <v>FROTA</v>
          </cell>
        </row>
        <row r="342">
          <cell r="A342">
            <v>700218</v>
          </cell>
          <cell r="B342" t="str">
            <v>COLHEDORAS DE CANA (ALUGADA)</v>
          </cell>
          <cell r="C342">
            <v>20</v>
          </cell>
          <cell r="D342" t="str">
            <v>AGR</v>
          </cell>
          <cell r="E342" t="str">
            <v>GUSTAVO</v>
          </cell>
          <cell r="F342" t="str">
            <v>FROTA</v>
          </cell>
        </row>
        <row r="343">
          <cell r="A343">
            <v>700219</v>
          </cell>
          <cell r="B343" t="str">
            <v>COLHEDORAS DE CANA (PRÓPRIA)</v>
          </cell>
          <cell r="C343">
            <v>20</v>
          </cell>
          <cell r="D343" t="str">
            <v>AGR</v>
          </cell>
          <cell r="E343" t="str">
            <v>GUSTAVO</v>
          </cell>
          <cell r="F343" t="str">
            <v>FROTA</v>
          </cell>
        </row>
        <row r="344">
          <cell r="A344">
            <v>700220</v>
          </cell>
          <cell r="B344" t="str">
            <v>PLANTADORA DE CANA (ALUGADA)</v>
          </cell>
          <cell r="C344">
            <v>20</v>
          </cell>
          <cell r="D344" t="str">
            <v>AGR</v>
          </cell>
          <cell r="E344" t="str">
            <v>GUSTAVO</v>
          </cell>
          <cell r="F344" t="str">
            <v>FROTA</v>
          </cell>
        </row>
        <row r="345">
          <cell r="A345">
            <v>700221</v>
          </cell>
          <cell r="B345" t="str">
            <v>PLANTADORA DE CANA (PRÓPRIA)</v>
          </cell>
          <cell r="C345">
            <v>20</v>
          </cell>
          <cell r="D345" t="str">
            <v>AGR</v>
          </cell>
          <cell r="E345" t="str">
            <v>GUSTAVO</v>
          </cell>
          <cell r="F345" t="str">
            <v>FROTA</v>
          </cell>
        </row>
        <row r="346">
          <cell r="A346">
            <v>700222</v>
          </cell>
          <cell r="B346" t="str">
            <v>TRATORES PNEUS - SUPER PESADOS (ALUGADOS)</v>
          </cell>
          <cell r="C346">
            <v>20</v>
          </cell>
          <cell r="D346" t="str">
            <v>AGR</v>
          </cell>
          <cell r="E346" t="str">
            <v>GUSTAVO</v>
          </cell>
          <cell r="F346" t="str">
            <v>FROTA</v>
          </cell>
        </row>
        <row r="347">
          <cell r="A347">
            <v>700223</v>
          </cell>
          <cell r="B347" t="str">
            <v>TRATORES PNEUS - SUPER PESADOS (PRÓPRIOS)</v>
          </cell>
          <cell r="C347">
            <v>20</v>
          </cell>
          <cell r="D347" t="str">
            <v>AGR</v>
          </cell>
          <cell r="E347" t="str">
            <v>GUSTAVO</v>
          </cell>
          <cell r="F347" t="str">
            <v>FROTA</v>
          </cell>
        </row>
        <row r="348">
          <cell r="A348">
            <v>700224</v>
          </cell>
          <cell r="B348" t="str">
            <v>CAMINHÕES TRANSBORDOS ( ALUGADOS)</v>
          </cell>
          <cell r="C348">
            <v>20</v>
          </cell>
          <cell r="D348" t="str">
            <v>AGR</v>
          </cell>
          <cell r="E348" t="str">
            <v>GUSTAVO</v>
          </cell>
          <cell r="F348" t="str">
            <v>FROTA</v>
          </cell>
        </row>
        <row r="349">
          <cell r="A349">
            <v>700225</v>
          </cell>
          <cell r="B349" t="str">
            <v>CAMINHÕES TRANSBORDOS ( PRÓPRIOS)</v>
          </cell>
          <cell r="C349">
            <v>20</v>
          </cell>
          <cell r="D349" t="str">
            <v>AGR</v>
          </cell>
          <cell r="E349" t="str">
            <v>GUSTAVO</v>
          </cell>
          <cell r="F349" t="str">
            <v>FROTA</v>
          </cell>
        </row>
        <row r="350">
          <cell r="A350">
            <v>700299</v>
          </cell>
          <cell r="B350" t="str">
            <v>Manutenção de Entressafra</v>
          </cell>
          <cell r="C350">
            <v>20</v>
          </cell>
          <cell r="D350" t="str">
            <v>AGR</v>
          </cell>
          <cell r="E350" t="str">
            <v>GUSTAVO</v>
          </cell>
          <cell r="F350" t="str">
            <v>FROTA</v>
          </cell>
        </row>
        <row r="351">
          <cell r="A351">
            <v>700300</v>
          </cell>
          <cell r="B351" t="str">
            <v>VEICULOS/UTILITARIOS/ONIBUS</v>
          </cell>
          <cell r="C351">
            <v>20</v>
          </cell>
          <cell r="D351" t="str">
            <v>AGR</v>
          </cell>
          <cell r="E351" t="str">
            <v>GUSTAVO</v>
          </cell>
          <cell r="F351" t="str">
            <v>FROTA</v>
          </cell>
        </row>
        <row r="352">
          <cell r="A352">
            <v>700302</v>
          </cell>
          <cell r="B352" t="str">
            <v>VEICULOS LEVES</v>
          </cell>
          <cell r="C352">
            <v>20</v>
          </cell>
          <cell r="D352" t="str">
            <v>AGR</v>
          </cell>
          <cell r="E352" t="str">
            <v>GUSTAVO</v>
          </cell>
          <cell r="F352" t="str">
            <v>FROTA</v>
          </cell>
        </row>
        <row r="353">
          <cell r="A353">
            <v>700304</v>
          </cell>
          <cell r="B353" t="str">
            <v>CAMINHONETAS/UTILITARIOS</v>
          </cell>
          <cell r="C353">
            <v>20</v>
          </cell>
          <cell r="D353" t="str">
            <v>AGR</v>
          </cell>
          <cell r="E353" t="str">
            <v>GUSTAVO</v>
          </cell>
          <cell r="F353" t="str">
            <v>FROTA</v>
          </cell>
        </row>
        <row r="354">
          <cell r="A354">
            <v>700399</v>
          </cell>
          <cell r="B354" t="str">
            <v>Manutenção de Entressafra</v>
          </cell>
          <cell r="C354">
            <v>20</v>
          </cell>
          <cell r="D354" t="str">
            <v>AGR</v>
          </cell>
          <cell r="E354" t="str">
            <v>GUSTAVO</v>
          </cell>
          <cell r="F354" t="str">
            <v>FROTA</v>
          </cell>
        </row>
        <row r="355">
          <cell r="A355">
            <v>701200</v>
          </cell>
          <cell r="B355" t="str">
            <v>IMPLEMENTOS AGRICOLA</v>
          </cell>
          <cell r="C355">
            <v>20</v>
          </cell>
          <cell r="D355" t="str">
            <v>AGR</v>
          </cell>
          <cell r="E355" t="str">
            <v>GUSTAVO</v>
          </cell>
          <cell r="F355" t="str">
            <v>FROTA</v>
          </cell>
        </row>
        <row r="356">
          <cell r="A356">
            <v>701202</v>
          </cell>
          <cell r="B356" t="str">
            <v>ACERADORES DE CANA</v>
          </cell>
          <cell r="C356">
            <v>20</v>
          </cell>
          <cell r="D356" t="str">
            <v>AGR</v>
          </cell>
          <cell r="E356" t="str">
            <v>GUSTAVO</v>
          </cell>
          <cell r="F356" t="str">
            <v>FROTA</v>
          </cell>
        </row>
        <row r="357">
          <cell r="A357">
            <v>701204</v>
          </cell>
          <cell r="B357" t="str">
            <v>ARADOS</v>
          </cell>
          <cell r="C357">
            <v>20</v>
          </cell>
          <cell r="D357" t="str">
            <v>AGR</v>
          </cell>
          <cell r="E357" t="str">
            <v>GUSTAVO</v>
          </cell>
          <cell r="F357" t="str">
            <v>FROTA</v>
          </cell>
        </row>
        <row r="358">
          <cell r="A358">
            <v>701206</v>
          </cell>
          <cell r="B358" t="str">
            <v>CARRETAS DE ARRASTO</v>
          </cell>
          <cell r="C358">
            <v>20</v>
          </cell>
          <cell r="D358" t="str">
            <v>AGR</v>
          </cell>
          <cell r="E358" t="str">
            <v>GUSTAVO</v>
          </cell>
          <cell r="F358" t="str">
            <v>FROTA</v>
          </cell>
        </row>
        <row r="359">
          <cell r="A359">
            <v>701208</v>
          </cell>
          <cell r="B359" t="str">
            <v>CARROCERIAS</v>
          </cell>
          <cell r="C359">
            <v>20</v>
          </cell>
          <cell r="D359" t="str">
            <v>AGR</v>
          </cell>
          <cell r="E359" t="str">
            <v>GUSTAVO</v>
          </cell>
          <cell r="F359" t="str">
            <v>FROTA</v>
          </cell>
        </row>
        <row r="360">
          <cell r="A360">
            <v>701210</v>
          </cell>
          <cell r="B360" t="str">
            <v>COBRIDORES DE CANA</v>
          </cell>
          <cell r="C360">
            <v>20</v>
          </cell>
          <cell r="D360" t="str">
            <v>AGR</v>
          </cell>
          <cell r="E360" t="str">
            <v>GUSTAVO</v>
          </cell>
          <cell r="F360" t="str">
            <v>FROTA</v>
          </cell>
        </row>
        <row r="361">
          <cell r="A361">
            <v>701212</v>
          </cell>
          <cell r="B361" t="str">
            <v>CONJUNTO DE IRRIGACAO (ROLAO)</v>
          </cell>
          <cell r="C361">
            <v>20</v>
          </cell>
          <cell r="D361" t="str">
            <v>AGR</v>
          </cell>
          <cell r="E361" t="str">
            <v>GUSTAVO</v>
          </cell>
          <cell r="F361" t="str">
            <v>FROTA</v>
          </cell>
        </row>
        <row r="362">
          <cell r="A362">
            <v>701214</v>
          </cell>
          <cell r="B362" t="str">
            <v>CULTIVADORES</v>
          </cell>
          <cell r="C362">
            <v>20</v>
          </cell>
          <cell r="D362" t="str">
            <v>AGR</v>
          </cell>
          <cell r="E362" t="str">
            <v>GUSTAVO</v>
          </cell>
          <cell r="F362" t="str">
            <v>FROTA</v>
          </cell>
        </row>
        <row r="363">
          <cell r="A363">
            <v>701216</v>
          </cell>
          <cell r="B363" t="str">
            <v>DISTRIBUIDORES DE CALCARIO</v>
          </cell>
          <cell r="C363">
            <v>20</v>
          </cell>
          <cell r="D363" t="str">
            <v>AGR</v>
          </cell>
          <cell r="E363" t="str">
            <v>GUSTAVO</v>
          </cell>
          <cell r="F363" t="str">
            <v>FROTA</v>
          </cell>
        </row>
        <row r="364">
          <cell r="A364">
            <v>701218</v>
          </cell>
          <cell r="B364" t="str">
            <v>DISTRIBUIDORES DE TORTA</v>
          </cell>
          <cell r="C364">
            <v>20</v>
          </cell>
          <cell r="D364" t="str">
            <v>AGR</v>
          </cell>
          <cell r="E364" t="str">
            <v>GUSTAVO</v>
          </cell>
          <cell r="F364" t="str">
            <v>FROTA</v>
          </cell>
        </row>
        <row r="365">
          <cell r="A365">
            <v>701220</v>
          </cell>
          <cell r="B365" t="str">
            <v>ENLEIRADORES DE PALHA</v>
          </cell>
          <cell r="C365">
            <v>20</v>
          </cell>
          <cell r="D365" t="str">
            <v>AGR</v>
          </cell>
          <cell r="E365" t="str">
            <v>GUSTAVO</v>
          </cell>
          <cell r="F365" t="str">
            <v>FROTA</v>
          </cell>
        </row>
        <row r="366">
          <cell r="A366">
            <v>701222</v>
          </cell>
          <cell r="B366" t="str">
            <v>ESTEIRA DE ADUBO</v>
          </cell>
          <cell r="C366">
            <v>20</v>
          </cell>
          <cell r="D366" t="str">
            <v>AGR</v>
          </cell>
          <cell r="E366" t="str">
            <v>GUSTAVO</v>
          </cell>
          <cell r="F366" t="str">
            <v>FROTA</v>
          </cell>
        </row>
        <row r="367">
          <cell r="A367">
            <v>701224</v>
          </cell>
          <cell r="B367" t="str">
            <v xml:space="preserve">GRADES </v>
          </cell>
          <cell r="C367">
            <v>20</v>
          </cell>
          <cell r="D367" t="str">
            <v>AGR</v>
          </cell>
          <cell r="E367" t="str">
            <v>GUSTAVO</v>
          </cell>
          <cell r="F367" t="str">
            <v>FROTA</v>
          </cell>
        </row>
        <row r="368">
          <cell r="A368">
            <v>701226</v>
          </cell>
          <cell r="B368" t="str">
            <v>DISTRIBUIDORES DE CANA</v>
          </cell>
          <cell r="C368">
            <v>20</v>
          </cell>
          <cell r="D368" t="str">
            <v>AGR</v>
          </cell>
          <cell r="E368" t="str">
            <v>GUSTAVO</v>
          </cell>
          <cell r="F368" t="str">
            <v>FROTA</v>
          </cell>
        </row>
        <row r="369">
          <cell r="A369">
            <v>701228</v>
          </cell>
          <cell r="B369" t="str">
            <v>GUINCHO HIDRAULICO</v>
          </cell>
          <cell r="C369">
            <v>20</v>
          </cell>
          <cell r="D369" t="str">
            <v>AGR</v>
          </cell>
          <cell r="E369" t="str">
            <v>GUSTAVO</v>
          </cell>
          <cell r="F369" t="str">
            <v>FROTA</v>
          </cell>
        </row>
        <row r="370">
          <cell r="A370">
            <v>701230</v>
          </cell>
          <cell r="B370" t="str">
            <v>IMPLEMENTOS DIVERSOS</v>
          </cell>
          <cell r="C370">
            <v>20</v>
          </cell>
          <cell r="D370" t="str">
            <v>AGR</v>
          </cell>
          <cell r="E370" t="str">
            <v>GUSTAVO</v>
          </cell>
          <cell r="F370" t="str">
            <v>FROTA</v>
          </cell>
        </row>
        <row r="371">
          <cell r="A371">
            <v>701232</v>
          </cell>
          <cell r="B371" t="str">
            <v>MOTOBOMBAS</v>
          </cell>
          <cell r="C371">
            <v>20</v>
          </cell>
          <cell r="D371" t="str">
            <v>AGR</v>
          </cell>
          <cell r="E371" t="str">
            <v>GUSTAVO</v>
          </cell>
          <cell r="F371" t="str">
            <v>FROTA</v>
          </cell>
        </row>
        <row r="372">
          <cell r="A372">
            <v>701234</v>
          </cell>
          <cell r="B372" t="str">
            <v>MOTORES ESTACIONARIOS</v>
          </cell>
          <cell r="C372">
            <v>20</v>
          </cell>
          <cell r="D372" t="str">
            <v>AGR</v>
          </cell>
          <cell r="E372" t="str">
            <v>GUSTAVO</v>
          </cell>
          <cell r="F372" t="str">
            <v>FROTA</v>
          </cell>
        </row>
        <row r="373">
          <cell r="A373">
            <v>701236</v>
          </cell>
          <cell r="B373" t="str">
            <v>MOTOSSERA</v>
          </cell>
          <cell r="C373">
            <v>20</v>
          </cell>
          <cell r="D373" t="str">
            <v>AGR</v>
          </cell>
          <cell r="E373" t="str">
            <v>GUSTAVO</v>
          </cell>
          <cell r="F373" t="str">
            <v>FROTA</v>
          </cell>
        </row>
        <row r="374">
          <cell r="A374">
            <v>701238</v>
          </cell>
          <cell r="B374" t="str">
            <v>PULVERIZADORES</v>
          </cell>
          <cell r="C374">
            <v>20</v>
          </cell>
          <cell r="D374" t="str">
            <v>AGR</v>
          </cell>
          <cell r="E374" t="str">
            <v>GUSTAVO</v>
          </cell>
          <cell r="F374" t="str">
            <v>FROTA</v>
          </cell>
        </row>
        <row r="375">
          <cell r="A375">
            <v>701240</v>
          </cell>
          <cell r="B375" t="str">
            <v>REBOQUES CANAVIEIROS</v>
          </cell>
          <cell r="C375">
            <v>20</v>
          </cell>
          <cell r="D375" t="str">
            <v>AGR</v>
          </cell>
          <cell r="E375" t="str">
            <v>GUSTAVO</v>
          </cell>
          <cell r="F375" t="str">
            <v>FROTA</v>
          </cell>
        </row>
        <row r="376">
          <cell r="A376">
            <v>701242</v>
          </cell>
          <cell r="B376" t="str">
            <v>ROCADEIRAS</v>
          </cell>
          <cell r="C376">
            <v>20</v>
          </cell>
          <cell r="D376" t="str">
            <v>AGR</v>
          </cell>
          <cell r="E376" t="str">
            <v>GUSTAVO</v>
          </cell>
          <cell r="F376" t="str">
            <v>FROTA</v>
          </cell>
        </row>
        <row r="377">
          <cell r="A377">
            <v>701244</v>
          </cell>
          <cell r="B377" t="str">
            <v>SUBSOLADORES</v>
          </cell>
          <cell r="C377">
            <v>20</v>
          </cell>
          <cell r="D377" t="str">
            <v>AGR</v>
          </cell>
          <cell r="E377" t="str">
            <v>GUSTAVO</v>
          </cell>
          <cell r="F377" t="str">
            <v>FROTA</v>
          </cell>
        </row>
        <row r="378">
          <cell r="A378">
            <v>701246</v>
          </cell>
          <cell r="B378" t="str">
            <v>SULCADORES</v>
          </cell>
          <cell r="C378">
            <v>20</v>
          </cell>
          <cell r="D378" t="str">
            <v>AGR</v>
          </cell>
          <cell r="E378" t="str">
            <v>GUSTAVO</v>
          </cell>
          <cell r="F378" t="str">
            <v>FROTA</v>
          </cell>
        </row>
        <row r="379">
          <cell r="A379">
            <v>701248</v>
          </cell>
          <cell r="B379" t="str">
            <v>TANQUES DE AGUA</v>
          </cell>
          <cell r="C379">
            <v>20</v>
          </cell>
          <cell r="D379" t="str">
            <v>AGR</v>
          </cell>
          <cell r="E379" t="str">
            <v>GUSTAVO</v>
          </cell>
          <cell r="F379" t="str">
            <v>FROTA</v>
          </cell>
        </row>
        <row r="380">
          <cell r="A380">
            <v>701250</v>
          </cell>
          <cell r="B380" t="str">
            <v>TERRACEADORES</v>
          </cell>
          <cell r="C380">
            <v>20</v>
          </cell>
          <cell r="D380" t="str">
            <v>AGR</v>
          </cell>
          <cell r="E380" t="str">
            <v>GUSTAVO</v>
          </cell>
          <cell r="F380" t="str">
            <v>FROTA</v>
          </cell>
        </row>
        <row r="381">
          <cell r="A381">
            <v>701252</v>
          </cell>
          <cell r="B381" t="str">
            <v>TOMADOR DE AMOSTRA</v>
          </cell>
          <cell r="C381">
            <v>20</v>
          </cell>
          <cell r="D381" t="str">
            <v>AGR</v>
          </cell>
          <cell r="E381" t="str">
            <v>GUSTAVO</v>
          </cell>
          <cell r="F381" t="str">
            <v>FROTA</v>
          </cell>
        </row>
        <row r="382">
          <cell r="A382">
            <v>701254</v>
          </cell>
          <cell r="B382" t="str">
            <v>CONJ. TRANSBORDO (ALUGADO)</v>
          </cell>
          <cell r="C382">
            <v>20</v>
          </cell>
          <cell r="D382" t="str">
            <v>AGR</v>
          </cell>
          <cell r="E382" t="str">
            <v>GUSTAVO</v>
          </cell>
          <cell r="F382" t="str">
            <v>FROTA</v>
          </cell>
        </row>
        <row r="383">
          <cell r="A383">
            <v>701255</v>
          </cell>
          <cell r="B383" t="str">
            <v>CONJ. TRANSBORDO ( PROPRIO)</v>
          </cell>
          <cell r="C383">
            <v>20</v>
          </cell>
          <cell r="D383" t="str">
            <v>AGR</v>
          </cell>
          <cell r="E383" t="str">
            <v>GUSTAVO</v>
          </cell>
          <cell r="F383" t="str">
            <v>FROTA</v>
          </cell>
        </row>
        <row r="384">
          <cell r="A384">
            <v>701299</v>
          </cell>
          <cell r="B384" t="str">
            <v>Manutenção de Entressafra</v>
          </cell>
          <cell r="C384">
            <v>20</v>
          </cell>
          <cell r="D384" t="str">
            <v>AGR</v>
          </cell>
          <cell r="E384" t="str">
            <v>GUSTAVO</v>
          </cell>
          <cell r="F384" t="str">
            <v>PLANTIO</v>
          </cell>
        </row>
        <row r="385">
          <cell r="A385">
            <v>701300</v>
          </cell>
          <cell r="B385" t="str">
            <v>IMPLEMENTOS RODOVIÁRIOS</v>
          </cell>
          <cell r="C385">
            <v>20</v>
          </cell>
          <cell r="D385" t="str">
            <v>AGR</v>
          </cell>
          <cell r="E385" t="str">
            <v>GUSTAVO</v>
          </cell>
          <cell r="F385" t="str">
            <v>PLANTIO</v>
          </cell>
        </row>
        <row r="386">
          <cell r="A386">
            <v>701301</v>
          </cell>
          <cell r="B386" t="str">
            <v>SEMI-REBOQUE CANAVIEIRO</v>
          </cell>
          <cell r="C386">
            <v>20</v>
          </cell>
          <cell r="D386" t="str">
            <v>AGR</v>
          </cell>
          <cell r="E386" t="str">
            <v>GUSTAVO</v>
          </cell>
          <cell r="F386" t="str">
            <v>PLANTIO</v>
          </cell>
        </row>
        <row r="387">
          <cell r="A387">
            <v>701302</v>
          </cell>
          <cell r="B387" t="str">
            <v>SEMI-REBOQUE PRANCHA</v>
          </cell>
          <cell r="C387">
            <v>20</v>
          </cell>
          <cell r="D387" t="str">
            <v>AGR</v>
          </cell>
          <cell r="E387" t="str">
            <v>GUSTAVO</v>
          </cell>
          <cell r="F387" t="str">
            <v>PLANTIO</v>
          </cell>
        </row>
        <row r="388">
          <cell r="A388">
            <v>701303</v>
          </cell>
          <cell r="B388" t="str">
            <v>SEMI-REBOQUE TANQUE VINHAÇA</v>
          </cell>
          <cell r="C388">
            <v>20</v>
          </cell>
          <cell r="D388" t="str">
            <v>AGR</v>
          </cell>
          <cell r="E388" t="str">
            <v>GUSTAVO</v>
          </cell>
          <cell r="F388" t="str">
            <v>PLANTIO</v>
          </cell>
        </row>
        <row r="389">
          <cell r="A389">
            <v>701399</v>
          </cell>
          <cell r="B389" t="str">
            <v>Manutenção de Entressafra</v>
          </cell>
          <cell r="C389">
            <v>20</v>
          </cell>
          <cell r="D389" t="str">
            <v>AGR</v>
          </cell>
          <cell r="E389" t="str">
            <v>GUSTAVO</v>
          </cell>
          <cell r="F389" t="str">
            <v>TRATOS</v>
          </cell>
        </row>
        <row r="390">
          <cell r="A390">
            <v>709900</v>
          </cell>
          <cell r="B390" t="str">
            <v>EQUIPAMENTOS DIVERSOS</v>
          </cell>
          <cell r="C390">
            <v>20</v>
          </cell>
          <cell r="D390" t="str">
            <v>AGR</v>
          </cell>
          <cell r="E390" t="str">
            <v>GUSTAVO</v>
          </cell>
          <cell r="F390" t="str">
            <v>COLHEITA</v>
          </cell>
        </row>
        <row r="391">
          <cell r="A391">
            <v>709902</v>
          </cell>
          <cell r="B391" t="str">
            <v xml:space="preserve">EQUIPAMENTOS DIVERSOS </v>
          </cell>
          <cell r="C391">
            <v>20</v>
          </cell>
          <cell r="D391" t="str">
            <v>AGR</v>
          </cell>
          <cell r="E391" t="str">
            <v>GUSTAVO</v>
          </cell>
          <cell r="F391" t="str">
            <v>COLHEITA</v>
          </cell>
        </row>
        <row r="392">
          <cell r="A392">
            <v>709904</v>
          </cell>
          <cell r="B392" t="str">
            <v>EQUIPAMENTOS INDUSTRIA</v>
          </cell>
          <cell r="C392">
            <v>20</v>
          </cell>
          <cell r="D392" t="str">
            <v>AGR</v>
          </cell>
          <cell r="E392" t="str">
            <v>GUSTAVO</v>
          </cell>
          <cell r="F392" t="str">
            <v>PLANTIO</v>
          </cell>
        </row>
        <row r="393">
          <cell r="A393">
            <v>709906</v>
          </cell>
          <cell r="B393" t="str">
            <v>EQUIPAMENTOS TRANSPORTE DE ALCOOL</v>
          </cell>
          <cell r="C393">
            <v>20</v>
          </cell>
          <cell r="D393" t="str">
            <v>AGR</v>
          </cell>
          <cell r="E393" t="str">
            <v>GUSTAVO</v>
          </cell>
          <cell r="F393" t="str">
            <v>PLANTIO</v>
          </cell>
        </row>
        <row r="394">
          <cell r="A394">
            <v>709908</v>
          </cell>
          <cell r="B394" t="str">
            <v>EQUIPAMENTOS DOAÇÃO</v>
          </cell>
          <cell r="C394">
            <v>20</v>
          </cell>
          <cell r="D394" t="str">
            <v>AGR</v>
          </cell>
          <cell r="E394" t="str">
            <v>GUSTAVO</v>
          </cell>
        </row>
        <row r="395">
          <cell r="A395">
            <v>709910</v>
          </cell>
          <cell r="B395" t="str">
            <v>EQPTOS FORNECEDORES/ACIONISTAS-ALCOOL</v>
          </cell>
          <cell r="C395">
            <v>20</v>
          </cell>
          <cell r="D395" t="str">
            <v>AGR</v>
          </cell>
          <cell r="E395" t="str">
            <v>GUSTAVO</v>
          </cell>
          <cell r="F395" t="str">
            <v>NA</v>
          </cell>
        </row>
        <row r="396">
          <cell r="A396">
            <v>709912</v>
          </cell>
          <cell r="B396" t="str">
            <v>EQPTOS FORNECEDORES/ACIONISTAS-DIESEL</v>
          </cell>
          <cell r="C396">
            <v>20</v>
          </cell>
          <cell r="D396" t="str">
            <v>AGR</v>
          </cell>
          <cell r="E396" t="str">
            <v>GUSTAVO</v>
          </cell>
          <cell r="F396" t="str">
            <v>NA</v>
          </cell>
        </row>
        <row r="397">
          <cell r="A397">
            <v>709914</v>
          </cell>
          <cell r="B397" t="str">
            <v>EQUIPAMENTOS DE TERCEIROS</v>
          </cell>
          <cell r="C397">
            <v>20</v>
          </cell>
          <cell r="D397" t="str">
            <v>AGR</v>
          </cell>
          <cell r="E397" t="str">
            <v>GUSTAVO</v>
          </cell>
          <cell r="F397" t="str">
            <v>NA</v>
          </cell>
        </row>
        <row r="398">
          <cell r="A398">
            <v>709999</v>
          </cell>
          <cell r="B398" t="str">
            <v>Manutenção de Entressafra</v>
          </cell>
          <cell r="C398">
            <v>20</v>
          </cell>
          <cell r="D398" t="str">
            <v>AGR</v>
          </cell>
          <cell r="E398" t="str">
            <v>GUSTAVO</v>
          </cell>
          <cell r="F398" t="str">
            <v>NA</v>
          </cell>
        </row>
        <row r="399">
          <cell r="A399">
            <v>800000</v>
          </cell>
          <cell r="B399" t="str">
            <v>OUTROS SERVIÇOS NA LAVOURA</v>
          </cell>
          <cell r="C399">
            <v>20</v>
          </cell>
          <cell r="D399" t="str">
            <v>AGR</v>
          </cell>
          <cell r="E399" t="str">
            <v>MIGUEL GARCIA</v>
          </cell>
          <cell r="F399" t="str">
            <v>NA</v>
          </cell>
        </row>
        <row r="400">
          <cell r="A400">
            <v>801000</v>
          </cell>
          <cell r="B400" t="str">
            <v>CULTURA DE CANA</v>
          </cell>
          <cell r="C400">
            <v>20</v>
          </cell>
          <cell r="D400" t="str">
            <v>AGR</v>
          </cell>
          <cell r="E400" t="str">
            <v>MIGUEL GARCIA</v>
          </cell>
          <cell r="F400" t="str">
            <v>NA</v>
          </cell>
        </row>
        <row r="401">
          <cell r="A401">
            <v>801002</v>
          </cell>
          <cell r="B401" t="str">
            <v>PREPARO DE SOLO</v>
          </cell>
          <cell r="C401">
            <v>20</v>
          </cell>
          <cell r="D401" t="str">
            <v>AGR</v>
          </cell>
          <cell r="E401" t="str">
            <v>ALEXANDRE MARINS</v>
          </cell>
          <cell r="F401" t="str">
            <v>PLANTIO</v>
          </cell>
        </row>
        <row r="402">
          <cell r="A402">
            <v>801004</v>
          </cell>
          <cell r="B402" t="str">
            <v>COLHEITA DE MUDA - PROPRIA</v>
          </cell>
          <cell r="C402">
            <v>20</v>
          </cell>
          <cell r="D402" t="str">
            <v>AGR</v>
          </cell>
          <cell r="E402" t="str">
            <v>MIGUEL GARCIA</v>
          </cell>
          <cell r="F402" t="str">
            <v>PLANTIO</v>
          </cell>
        </row>
        <row r="403">
          <cell r="A403">
            <v>801006</v>
          </cell>
          <cell r="B403" t="str">
            <v>COLHEITA DE MUDA</v>
          </cell>
          <cell r="C403">
            <v>20</v>
          </cell>
          <cell r="D403" t="str">
            <v>AGR</v>
          </cell>
          <cell r="E403" t="str">
            <v>MIGUEL GARCIA</v>
          </cell>
          <cell r="F403" t="str">
            <v>PLANTIO</v>
          </cell>
        </row>
        <row r="404">
          <cell r="A404">
            <v>801008</v>
          </cell>
          <cell r="B404" t="str">
            <v>PLANTIO DE CANA</v>
          </cell>
          <cell r="C404">
            <v>20</v>
          </cell>
          <cell r="D404" t="str">
            <v>AGR</v>
          </cell>
          <cell r="E404" t="str">
            <v>MIGUEL GARCIA</v>
          </cell>
          <cell r="F404" t="str">
            <v>PLANTIO</v>
          </cell>
        </row>
        <row r="405">
          <cell r="A405">
            <v>801010</v>
          </cell>
          <cell r="B405" t="str">
            <v>TRATOS CANA PLANTA</v>
          </cell>
          <cell r="C405">
            <v>20</v>
          </cell>
          <cell r="D405" t="str">
            <v>AGR</v>
          </cell>
          <cell r="E405" t="str">
            <v>MIGUEL GARCIA</v>
          </cell>
          <cell r="F405" t="str">
            <v>PLANTIO</v>
          </cell>
        </row>
        <row r="406">
          <cell r="A406">
            <v>801012</v>
          </cell>
          <cell r="B406" t="str">
            <v>TRATOS CANA SOCA</v>
          </cell>
          <cell r="C406">
            <v>20</v>
          </cell>
          <cell r="D406" t="str">
            <v>AGR</v>
          </cell>
          <cell r="E406" t="str">
            <v>MIGUEL GARCIA</v>
          </cell>
          <cell r="F406" t="str">
            <v>TRATOS</v>
          </cell>
        </row>
        <row r="407">
          <cell r="A407">
            <v>801014</v>
          </cell>
          <cell r="B407" t="str">
            <v>COLHEITA MANUAL</v>
          </cell>
          <cell r="C407">
            <v>20</v>
          </cell>
          <cell r="D407" t="str">
            <v>AGR</v>
          </cell>
          <cell r="E407" t="str">
            <v>Josel Garcia</v>
          </cell>
          <cell r="F407" t="str">
            <v>COLHEITA</v>
          </cell>
        </row>
        <row r="408">
          <cell r="A408">
            <v>801016</v>
          </cell>
          <cell r="B408" t="str">
            <v>COLHEITA MECANIZADA</v>
          </cell>
          <cell r="C408">
            <v>20</v>
          </cell>
          <cell r="D408" t="str">
            <v>AGR</v>
          </cell>
          <cell r="E408" t="str">
            <v xml:space="preserve">Josel Garcia </v>
          </cell>
          <cell r="F408" t="str">
            <v>COLHEITA</v>
          </cell>
        </row>
        <row r="409">
          <cell r="A409">
            <v>801020</v>
          </cell>
          <cell r="B409" t="str">
            <v>Replantio da cana planta</v>
          </cell>
          <cell r="C409">
            <v>20</v>
          </cell>
          <cell r="D409" t="str">
            <v>AGR</v>
          </cell>
          <cell r="E409" t="str">
            <v>MIGUEL GARCIA</v>
          </cell>
          <cell r="F409" t="str">
            <v>PLANTIO</v>
          </cell>
        </row>
        <row r="410">
          <cell r="A410">
            <v>801022</v>
          </cell>
          <cell r="B410" t="str">
            <v>Replantio da cana soca</v>
          </cell>
          <cell r="C410">
            <v>20</v>
          </cell>
          <cell r="D410" t="str">
            <v>AGR</v>
          </cell>
          <cell r="E410" t="str">
            <v>MIGUEL GARCIA</v>
          </cell>
          <cell r="F410" t="str">
            <v>PLANTIO</v>
          </cell>
        </row>
        <row r="411">
          <cell r="A411">
            <v>801099</v>
          </cell>
          <cell r="B411" t="str">
            <v>Manutenção de Entressafra</v>
          </cell>
          <cell r="C411">
            <v>20</v>
          </cell>
          <cell r="D411" t="str">
            <v>AGR</v>
          </cell>
          <cell r="E411" t="str">
            <v>MIGUEL GARCIA</v>
          </cell>
          <cell r="F411" t="str">
            <v>COLHEITA</v>
          </cell>
        </row>
        <row r="412">
          <cell r="A412">
            <v>900000</v>
          </cell>
          <cell r="B412" t="str">
            <v>CENTRO DE CUSTO DE RATEIO</v>
          </cell>
          <cell r="E412" t="str">
            <v>Willian Klinger</v>
          </cell>
        </row>
        <row r="413">
          <cell r="A413">
            <v>900100</v>
          </cell>
          <cell r="B413" t="str">
            <v>CENTRO DE CUSTO PARA RATEIO</v>
          </cell>
          <cell r="E413" t="str">
            <v>Willian Klinger</v>
          </cell>
        </row>
        <row r="414">
          <cell r="A414">
            <v>900102</v>
          </cell>
          <cell r="B414" t="str">
            <v>CENTRO DE CUSTO PARA RATEIO</v>
          </cell>
          <cell r="E414" t="str">
            <v>Willian Klinger</v>
          </cell>
        </row>
        <row r="415">
          <cell r="A415">
            <v>900104</v>
          </cell>
          <cell r="B415" t="str">
            <v>IMPLANTAÇÃO DE SALDO</v>
          </cell>
          <cell r="E415" t="str">
            <v>Willian Klinger</v>
          </cell>
        </row>
        <row r="416">
          <cell r="A416">
            <v>900199</v>
          </cell>
          <cell r="B416" t="str">
            <v>ABSORÇÃO CUSTOS NÃO UTILIZADOS ORÇAMENTO</v>
          </cell>
          <cell r="E416" t="str">
            <v>Willian Klinger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 Atual Ind"/>
      <sheetName val="users"/>
      <sheetName val="Plan2"/>
      <sheetName val="Plan3"/>
    </sheetNames>
    <sheetDataSet>
      <sheetData sheetId="0"/>
      <sheetData sheetId="1">
        <row r="1">
          <cell r="B1" t="str">
            <v>E01</v>
          </cell>
          <cell r="C1" t="str">
            <v>SUPER EXEC ORÇ</v>
          </cell>
          <cell r="D1">
            <v>0</v>
          </cell>
          <cell r="E1">
            <v>0</v>
          </cell>
          <cell r="F1" t="str">
            <v>Acesso livre a todos os centro de custo de todas as empresas</v>
          </cell>
        </row>
        <row r="2">
          <cell r="B2">
            <v>0</v>
          </cell>
          <cell r="C2" t="str">
            <v>Usuário</v>
          </cell>
          <cell r="D2" t="str">
            <v>Nome</v>
          </cell>
          <cell r="E2" t="str">
            <v>Departamento</v>
          </cell>
          <cell r="F2">
            <v>0</v>
          </cell>
        </row>
        <row r="3">
          <cell r="B3">
            <v>0</v>
          </cell>
          <cell r="C3" t="str">
            <v>jamartinez</v>
          </cell>
          <cell r="D3" t="str">
            <v>Jose A Ramirez Martinez</v>
          </cell>
          <cell r="E3" t="str">
            <v>Auditoria/Financeiro</v>
          </cell>
          <cell r="F3">
            <v>0</v>
          </cell>
        </row>
        <row r="4">
          <cell r="B4">
            <v>0</v>
          </cell>
          <cell r="C4" t="str">
            <v>ammoreira</v>
          </cell>
          <cell r="D4" t="str">
            <v>Adriano Magalhaes Moreira</v>
          </cell>
          <cell r="E4" t="str">
            <v>Custo</v>
          </cell>
          <cell r="F4">
            <v>0</v>
          </cell>
        </row>
        <row r="5">
          <cell r="B5">
            <v>0</v>
          </cell>
          <cell r="C5" t="str">
            <v>elmerigue</v>
          </cell>
          <cell r="D5" t="str">
            <v>Eduardo Lecci Merigue</v>
          </cell>
          <cell r="E5" t="str">
            <v>Custo</v>
          </cell>
          <cell r="F5">
            <v>0</v>
          </cell>
        </row>
        <row r="6">
          <cell r="B6">
            <v>0</v>
          </cell>
          <cell r="C6" t="str">
            <v>wklinger</v>
          </cell>
          <cell r="D6" t="str">
            <v>Willian Klinger</v>
          </cell>
          <cell r="E6" t="str">
            <v>Custo</v>
          </cell>
          <cell r="F6">
            <v>0</v>
          </cell>
        </row>
        <row r="7">
          <cell r="B7">
            <v>0</v>
          </cell>
          <cell r="C7" t="str">
            <v>wsouza</v>
          </cell>
          <cell r="D7" t="str">
            <v>Willian Cesar Soares de Souza</v>
          </cell>
          <cell r="E7" t="str">
            <v>Dep. Pessoal</v>
          </cell>
          <cell r="F7">
            <v>0</v>
          </cell>
        </row>
        <row r="8">
          <cell r="B8">
            <v>0</v>
          </cell>
          <cell r="C8" t="str">
            <v>alberto.otoya</v>
          </cell>
          <cell r="D8" t="str">
            <v>Alberto Jose Otoya Dussan</v>
          </cell>
          <cell r="E8" t="str">
            <v>Diretor</v>
          </cell>
          <cell r="F8">
            <v>0</v>
          </cell>
        </row>
        <row r="9">
          <cell r="B9">
            <v>0</v>
          </cell>
          <cell r="C9" t="str">
            <v>carce</v>
          </cell>
          <cell r="D9" t="str">
            <v>Carlos Augusto Arce Ramirez</v>
          </cell>
          <cell r="E9" t="str">
            <v>Diretor</v>
          </cell>
          <cell r="F9">
            <v>0</v>
          </cell>
        </row>
        <row r="10">
          <cell r="B10">
            <v>0</v>
          </cell>
          <cell r="C10" t="str">
            <v>planderas</v>
          </cell>
          <cell r="D10" t="str">
            <v>Paola Landeras</v>
          </cell>
          <cell r="E10" t="str">
            <v>Gerente Adm</v>
          </cell>
          <cell r="F10">
            <v>0</v>
          </cell>
        </row>
        <row r="11">
          <cell r="B11">
            <v>0</v>
          </cell>
          <cell r="C11" t="str">
            <v>emerson</v>
          </cell>
          <cell r="D11" t="str">
            <v>EMERSON DIAS OLIVO</v>
          </cell>
          <cell r="E11" t="str">
            <v>TI</v>
          </cell>
          <cell r="F11">
            <v>0</v>
          </cell>
        </row>
        <row r="12">
          <cell r="B12">
            <v>0</v>
          </cell>
          <cell r="C12" t="str">
            <v>woliveira</v>
          </cell>
          <cell r="D12" t="str">
            <v>WAGNER DE OLIVEIRA</v>
          </cell>
          <cell r="E12" t="str">
            <v>TI</v>
          </cell>
          <cell r="F12">
            <v>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E02</v>
          </cell>
          <cell r="C14" t="str">
            <v>INDUSTRIA -  EXEC. ORÇAMENTARIA</v>
          </cell>
          <cell r="D14">
            <v>0</v>
          </cell>
          <cell r="E14">
            <v>0</v>
          </cell>
          <cell r="F14" t="str">
            <v>Acesso a todos os Centro de Custo  Unidde de Lotação 10 - Industria</v>
          </cell>
        </row>
        <row r="15">
          <cell r="B15">
            <v>0</v>
          </cell>
          <cell r="C15" t="str">
            <v>Usuário</v>
          </cell>
          <cell r="D15" t="str">
            <v>Nome</v>
          </cell>
          <cell r="E15">
            <v>0</v>
          </cell>
          <cell r="F15">
            <v>0</v>
          </cell>
        </row>
        <row r="16">
          <cell r="B16">
            <v>0</v>
          </cell>
          <cell r="C16" t="str">
            <v>gstuchi</v>
          </cell>
          <cell r="D16" t="str">
            <v>GILBERTO STUCHI DE ANDRADE</v>
          </cell>
          <cell r="E16">
            <v>0</v>
          </cell>
          <cell r="F16">
            <v>0</v>
          </cell>
        </row>
        <row r="17">
          <cell r="B17">
            <v>0</v>
          </cell>
          <cell r="C17" t="str">
            <v>sfiorentino</v>
          </cell>
          <cell r="D17" t="str">
            <v>SERGIO FIORENTINO</v>
          </cell>
          <cell r="E17">
            <v>0</v>
          </cell>
          <cell r="F17">
            <v>0</v>
          </cell>
        </row>
        <row r="18">
          <cell r="B18">
            <v>0</v>
          </cell>
          <cell r="C18" t="str">
            <v>edbarbosa</v>
          </cell>
          <cell r="D18" t="str">
            <v xml:space="preserve">EDSON DONIZETI BARBOSA </v>
          </cell>
          <cell r="E18">
            <v>0</v>
          </cell>
          <cell r="F18">
            <v>0</v>
          </cell>
        </row>
        <row r="19">
          <cell r="B19">
            <v>0</v>
          </cell>
          <cell r="C19" t="str">
            <v>kcristina</v>
          </cell>
          <cell r="D19" t="str">
            <v>KELLY CRISTINA DA SILVA</v>
          </cell>
          <cell r="E19">
            <v>0</v>
          </cell>
          <cell r="F19">
            <v>0</v>
          </cell>
        </row>
        <row r="20">
          <cell r="B20">
            <v>0</v>
          </cell>
          <cell r="C20" t="str">
            <v>vfrodrigues</v>
          </cell>
          <cell r="D20" t="str">
            <v xml:space="preserve">VANDERLEI FLORENCIO RODRIGUES </v>
          </cell>
          <cell r="E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E23</v>
          </cell>
          <cell r="C22" t="str">
            <v>CONTROLE DE QUALIDADE INDUTRIA EXEC ORÇ</v>
          </cell>
          <cell r="D22">
            <v>0</v>
          </cell>
          <cell r="E22">
            <v>0</v>
          </cell>
          <cell r="F22" t="str">
            <v>LABORATORIO PCTS; LABORATORIO INDUSTRIAL;LABORATORIO MICRO-BIOLOGIA</v>
          </cell>
        </row>
        <row r="23">
          <cell r="B23">
            <v>0</v>
          </cell>
          <cell r="C23" t="str">
            <v>Usuário</v>
          </cell>
          <cell r="D23" t="str">
            <v>Nome</v>
          </cell>
          <cell r="E23">
            <v>0</v>
          </cell>
          <cell r="F23">
            <v>0</v>
          </cell>
        </row>
        <row r="24">
          <cell r="B24">
            <v>0</v>
          </cell>
          <cell r="C24" t="str">
            <v>ngsilva</v>
          </cell>
          <cell r="D24" t="str">
            <v>NATALINO GONÇALVES DA SILVA</v>
          </cell>
          <cell r="E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E24</v>
          </cell>
          <cell r="C27" t="str">
            <v>RECEPÇÃO DE MOAGEM - EXEC ORÇ</v>
          </cell>
          <cell r="D27">
            <v>0</v>
          </cell>
          <cell r="E27">
            <v>0</v>
          </cell>
          <cell r="F27" t="str">
            <v>Ref. a: ALIMENTACAO E PREPARO; MOAGEM CANA; DIFUSOR; DESAGUADOR; SECAGEM DE BAGAÇO; MANUTENÇÃO DE ENTRESSAFRA</v>
          </cell>
        </row>
        <row r="28">
          <cell r="B28">
            <v>0</v>
          </cell>
          <cell r="C28" t="str">
            <v>Usuário</v>
          </cell>
          <cell r="D28" t="str">
            <v>Nome</v>
          </cell>
          <cell r="E28">
            <v>0</v>
          </cell>
          <cell r="F28">
            <v>0</v>
          </cell>
        </row>
        <row r="29">
          <cell r="B29">
            <v>0</v>
          </cell>
          <cell r="C29" t="str">
            <v>cjsantos</v>
          </cell>
          <cell r="D29" t="str">
            <v>Carlos Jose dos Santos</v>
          </cell>
          <cell r="E29">
            <v>0</v>
          </cell>
          <cell r="F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  <row r="33">
          <cell r="B33" t="str">
            <v>E25</v>
          </cell>
          <cell r="C33" t="str">
            <v>TRATAM. DISTR. CALDO - EXEC ORÇ</v>
          </cell>
          <cell r="D33">
            <v>0</v>
          </cell>
          <cell r="E33">
            <v>0</v>
          </cell>
          <cell r="F33" t="str">
            <v>Ref. a AQUECIMENTO/TROCADOR CALOR ALCOOL;DECANTACAO DO ALCOOL;PRE-EVAPORACAO DO ALCOOL;CALEACAO;FILTRACAO DO LODO DO ALCOOL;MANUTENÇÃO DE ENTRESSAFRA</v>
          </cell>
        </row>
        <row r="34">
          <cell r="B34">
            <v>0</v>
          </cell>
          <cell r="C34" t="str">
            <v>Usuário</v>
          </cell>
          <cell r="D34" t="str">
            <v>Nome</v>
          </cell>
          <cell r="E34">
            <v>0</v>
          </cell>
          <cell r="F34">
            <v>0</v>
          </cell>
        </row>
        <row r="35">
          <cell r="B35">
            <v>0</v>
          </cell>
          <cell r="C35" t="str">
            <v>croberto</v>
          </cell>
          <cell r="D35" t="str">
            <v>CARLOS ROBERTO DOMICIANO</v>
          </cell>
          <cell r="E35">
            <v>0</v>
          </cell>
          <cell r="F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</row>
        <row r="39">
          <cell r="B39" t="str">
            <v>E26</v>
          </cell>
          <cell r="C39" t="str">
            <v>UTILIDADES - EXEC ORÇ</v>
          </cell>
          <cell r="D39">
            <v>0</v>
          </cell>
          <cell r="E39">
            <v>0</v>
          </cell>
          <cell r="F39" t="str">
            <v xml:space="preserve">Ref. a GERACAO E DISTR.VAPOR;CAPTACAO DE AGUA;ETA (ESTACAO DE TRATAMENTO AGUA);ETE - ESTAÇÃO TRATAMENTO DE ESGOTO;ETALG - ESTAÇ.TRAT.ÁGUA DE LAVAGEM GASES
</v>
          </cell>
        </row>
        <row r="40">
          <cell r="B40">
            <v>0</v>
          </cell>
          <cell r="C40" t="str">
            <v>Usuário</v>
          </cell>
          <cell r="D40" t="str">
            <v>Nome</v>
          </cell>
          <cell r="E40">
            <v>0</v>
          </cell>
          <cell r="F40">
            <v>0</v>
          </cell>
        </row>
        <row r="41">
          <cell r="B41">
            <v>0</v>
          </cell>
          <cell r="C41" t="str">
            <v>joliveira</v>
          </cell>
          <cell r="D41" t="str">
            <v>JOSE DE OLIVEIRA COSTA</v>
          </cell>
          <cell r="E41">
            <v>0</v>
          </cell>
          <cell r="F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</row>
        <row r="44">
          <cell r="B44" t="str">
            <v>E27</v>
          </cell>
          <cell r="C44" t="str">
            <v>FABRICAÇÃO ÁLCOOL - EXEC ORÇ</v>
          </cell>
          <cell r="D44">
            <v>0</v>
          </cell>
          <cell r="E44">
            <v>0</v>
          </cell>
          <cell r="F44" t="str">
            <v>Ref. A: PRE-FERMENTACAO; FERMENTACAO; DESTILACAO HIDRATADO;TORRE DE RESFRIAMENTO;CENTRIFUGAÇÃO;MANUTENÇÃO DE ENTRESSAFRA</v>
          </cell>
        </row>
        <row r="45">
          <cell r="B45">
            <v>0</v>
          </cell>
          <cell r="C45" t="str">
            <v>Usuário</v>
          </cell>
          <cell r="D45" t="str">
            <v>Nome</v>
          </cell>
          <cell r="E45">
            <v>0</v>
          </cell>
          <cell r="F45">
            <v>0</v>
          </cell>
        </row>
        <row r="46">
          <cell r="B46">
            <v>0</v>
          </cell>
          <cell r="C46" t="str">
            <v>mcpaula</v>
          </cell>
          <cell r="D46" t="str">
            <v>Marcos Cesar de Paula</v>
          </cell>
          <cell r="E46">
            <v>0</v>
          </cell>
          <cell r="F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</row>
        <row r="49">
          <cell r="B49" t="str">
            <v>E28</v>
          </cell>
          <cell r="C49" t="str">
            <v>PCM</v>
          </cell>
          <cell r="D49">
            <v>0</v>
          </cell>
          <cell r="E49">
            <v>0</v>
          </cell>
          <cell r="F49" t="str">
            <v>PCM ( PLANEJ. E CONTROLE DA MANUTENÇAÕ)</v>
          </cell>
        </row>
        <row r="50">
          <cell r="B50">
            <v>0</v>
          </cell>
          <cell r="C50" t="str">
            <v>Usuário</v>
          </cell>
          <cell r="D50" t="str">
            <v>Nome</v>
          </cell>
          <cell r="E50">
            <v>0</v>
          </cell>
          <cell r="F50">
            <v>0</v>
          </cell>
        </row>
        <row r="51">
          <cell r="B51">
            <v>0</v>
          </cell>
          <cell r="C51" t="str">
            <v>cfperez</v>
          </cell>
          <cell r="D51" t="str">
            <v>Cleber Fábio Batista Perez</v>
          </cell>
          <cell r="E51">
            <v>0</v>
          </cell>
          <cell r="F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4">
          <cell r="B54" t="str">
            <v>E29</v>
          </cell>
          <cell r="C54" t="str">
            <v>UTILIDADES - RES. CONS. - EXEC ORÇ</v>
          </cell>
          <cell r="D54">
            <v>0</v>
          </cell>
          <cell r="E54">
            <v>0</v>
          </cell>
          <cell r="F54" t="str">
            <v>Ref. a PATIO DE BAGACO; MANUTENCAO CIVIL; ESCOAMENTO DA VINHACA; MANUTENÇÃO DE ENTRESSAFRA; CONSERVACAO PATIOS - INDUSTRIA</v>
          </cell>
        </row>
        <row r="55">
          <cell r="B55">
            <v>0</v>
          </cell>
          <cell r="C55" t="str">
            <v>Usuário</v>
          </cell>
          <cell r="D55" t="str">
            <v>Nome</v>
          </cell>
          <cell r="E55">
            <v>0</v>
          </cell>
          <cell r="F55">
            <v>0</v>
          </cell>
        </row>
        <row r="56">
          <cell r="B56">
            <v>0</v>
          </cell>
          <cell r="C56" t="str">
            <v>gmenezes</v>
          </cell>
          <cell r="D56" t="str">
            <v>Gilson Pereira Menezes</v>
          </cell>
          <cell r="E56">
            <v>0</v>
          </cell>
          <cell r="F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</row>
      </sheetData>
      <sheetData sheetId="2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C Atual Ind"/>
      <sheetName val="users"/>
      <sheetName val="Plan2"/>
      <sheetName val="Plan3"/>
    </sheetNames>
    <sheetDataSet>
      <sheetData sheetId="0"/>
      <sheetData sheetId="1">
        <row r="1">
          <cell r="B1" t="str">
            <v>E01</v>
          </cell>
          <cell r="C1" t="str">
            <v>SUPER EXEC ORÇ</v>
          </cell>
          <cell r="D1">
            <v>0</v>
          </cell>
          <cell r="E1">
            <v>0</v>
          </cell>
          <cell r="F1" t="str">
            <v>Acesso livre a todos os centro de custo de todas as empresas</v>
          </cell>
        </row>
        <row r="2">
          <cell r="B2">
            <v>0</v>
          </cell>
          <cell r="C2" t="str">
            <v>Usuário</v>
          </cell>
          <cell r="D2" t="str">
            <v>Nome</v>
          </cell>
          <cell r="E2" t="str">
            <v>Departamento</v>
          </cell>
          <cell r="F2">
            <v>0</v>
          </cell>
        </row>
        <row r="3">
          <cell r="B3">
            <v>0</v>
          </cell>
          <cell r="C3" t="str">
            <v>jamartinez</v>
          </cell>
          <cell r="D3" t="str">
            <v>Jose A Ramirez Martinez</v>
          </cell>
          <cell r="E3" t="str">
            <v>Auditoria/Financeiro</v>
          </cell>
          <cell r="F3">
            <v>0</v>
          </cell>
        </row>
        <row r="4">
          <cell r="B4">
            <v>0</v>
          </cell>
          <cell r="C4" t="str">
            <v>ammoreira</v>
          </cell>
          <cell r="D4" t="str">
            <v>Adriano Magalhaes Moreira</v>
          </cell>
          <cell r="E4" t="str">
            <v>Custo</v>
          </cell>
          <cell r="F4">
            <v>0</v>
          </cell>
        </row>
        <row r="5">
          <cell r="B5">
            <v>0</v>
          </cell>
          <cell r="C5" t="str">
            <v>elmerigue</v>
          </cell>
          <cell r="D5" t="str">
            <v>Eduardo Lecci Merigue</v>
          </cell>
          <cell r="E5" t="str">
            <v>Custo</v>
          </cell>
          <cell r="F5">
            <v>0</v>
          </cell>
        </row>
        <row r="6">
          <cell r="B6">
            <v>0</v>
          </cell>
          <cell r="C6" t="str">
            <v>wklinger</v>
          </cell>
          <cell r="D6" t="str">
            <v>Willian Klinger</v>
          </cell>
          <cell r="E6" t="str">
            <v>Custo</v>
          </cell>
          <cell r="F6">
            <v>0</v>
          </cell>
        </row>
        <row r="7">
          <cell r="B7">
            <v>0</v>
          </cell>
          <cell r="C7" t="str">
            <v>wsouza</v>
          </cell>
          <cell r="D7" t="str">
            <v>Willian Cesar Soares de Souza</v>
          </cell>
          <cell r="E7" t="str">
            <v>Dep. Pessoal</v>
          </cell>
          <cell r="F7">
            <v>0</v>
          </cell>
        </row>
        <row r="8">
          <cell r="B8">
            <v>0</v>
          </cell>
          <cell r="C8" t="str">
            <v>alberto.otoya</v>
          </cell>
          <cell r="D8" t="str">
            <v>Alberto Jose Otoya Dussan</v>
          </cell>
          <cell r="E8" t="str">
            <v>Diretor</v>
          </cell>
          <cell r="F8">
            <v>0</v>
          </cell>
        </row>
        <row r="9">
          <cell r="B9">
            <v>0</v>
          </cell>
          <cell r="C9" t="str">
            <v>carce</v>
          </cell>
          <cell r="D9" t="str">
            <v>Carlos Augusto Arce Ramirez</v>
          </cell>
          <cell r="E9" t="str">
            <v>Diretor</v>
          </cell>
          <cell r="F9">
            <v>0</v>
          </cell>
        </row>
        <row r="10">
          <cell r="B10">
            <v>0</v>
          </cell>
          <cell r="C10" t="str">
            <v>planderas</v>
          </cell>
          <cell r="D10" t="str">
            <v>Paola Landeras</v>
          </cell>
          <cell r="E10" t="str">
            <v>Gerente Adm</v>
          </cell>
          <cell r="F10">
            <v>0</v>
          </cell>
        </row>
        <row r="11">
          <cell r="B11">
            <v>0</v>
          </cell>
          <cell r="C11" t="str">
            <v>emerson</v>
          </cell>
          <cell r="D11" t="str">
            <v>EMERSON DIAS OLIVO</v>
          </cell>
          <cell r="E11" t="str">
            <v>TI</v>
          </cell>
          <cell r="F11">
            <v>0</v>
          </cell>
        </row>
        <row r="12">
          <cell r="B12">
            <v>0</v>
          </cell>
          <cell r="C12" t="str">
            <v>woliveira</v>
          </cell>
          <cell r="D12" t="str">
            <v>WAGNER DE OLIVEIRA</v>
          </cell>
          <cell r="E12" t="str">
            <v>TI</v>
          </cell>
          <cell r="F12">
            <v>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</row>
        <row r="14">
          <cell r="B14" t="str">
            <v>E02</v>
          </cell>
          <cell r="C14" t="str">
            <v>INDUSTRIA -  EXEC. ORÇAMENTARIA</v>
          </cell>
          <cell r="D14">
            <v>0</v>
          </cell>
          <cell r="E14">
            <v>0</v>
          </cell>
          <cell r="F14" t="str">
            <v>Acesso a todos os Centro de Custo  Unidde de Lotação 10 - Industria</v>
          </cell>
        </row>
        <row r="15">
          <cell r="B15">
            <v>0</v>
          </cell>
          <cell r="C15" t="str">
            <v>Usuário</v>
          </cell>
          <cell r="D15" t="str">
            <v>Nome</v>
          </cell>
          <cell r="E15">
            <v>0</v>
          </cell>
          <cell r="F15">
            <v>0</v>
          </cell>
        </row>
        <row r="16">
          <cell r="B16">
            <v>0</v>
          </cell>
          <cell r="C16" t="str">
            <v>gstuchi</v>
          </cell>
          <cell r="D16" t="str">
            <v>GILBERTO STUCHI DE ANDRADE</v>
          </cell>
          <cell r="E16">
            <v>0</v>
          </cell>
          <cell r="F16">
            <v>0</v>
          </cell>
        </row>
        <row r="17">
          <cell r="B17">
            <v>0</v>
          </cell>
          <cell r="C17" t="str">
            <v>sfiorentino</v>
          </cell>
          <cell r="D17" t="str">
            <v>SERGIO FIORENTINO</v>
          </cell>
          <cell r="E17">
            <v>0</v>
          </cell>
          <cell r="F17">
            <v>0</v>
          </cell>
        </row>
        <row r="18">
          <cell r="B18">
            <v>0</v>
          </cell>
          <cell r="C18" t="str">
            <v>edbarbosa</v>
          </cell>
          <cell r="D18" t="str">
            <v xml:space="preserve">EDSON DONIZETI BARBOSA </v>
          </cell>
          <cell r="E18">
            <v>0</v>
          </cell>
          <cell r="F18">
            <v>0</v>
          </cell>
        </row>
        <row r="19">
          <cell r="B19">
            <v>0</v>
          </cell>
          <cell r="C19" t="str">
            <v>kcristina</v>
          </cell>
          <cell r="D19" t="str">
            <v>KELLY CRISTINA DA SILVA</v>
          </cell>
          <cell r="E19">
            <v>0</v>
          </cell>
          <cell r="F19">
            <v>0</v>
          </cell>
        </row>
        <row r="20">
          <cell r="B20">
            <v>0</v>
          </cell>
          <cell r="C20" t="str">
            <v>vfrodrigues</v>
          </cell>
          <cell r="D20" t="str">
            <v xml:space="preserve">VANDERLEI FLORENCIO RODRIGUES </v>
          </cell>
          <cell r="E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</row>
        <row r="22">
          <cell r="B22" t="str">
            <v>E23</v>
          </cell>
          <cell r="C22" t="str">
            <v>CONTROLE DE QUALIDADE INDUTRIA EXEC ORÇ</v>
          </cell>
          <cell r="D22">
            <v>0</v>
          </cell>
          <cell r="E22">
            <v>0</v>
          </cell>
          <cell r="F22" t="str">
            <v>LABORATORIO PCTS; LABORATORIO INDUSTRIAL;LABORATORIO MICRO-BIOLOGIA</v>
          </cell>
        </row>
        <row r="23">
          <cell r="B23">
            <v>0</v>
          </cell>
          <cell r="C23" t="str">
            <v>Usuário</v>
          </cell>
          <cell r="D23" t="str">
            <v>Nome</v>
          </cell>
          <cell r="E23">
            <v>0</v>
          </cell>
          <cell r="F23">
            <v>0</v>
          </cell>
        </row>
        <row r="24">
          <cell r="B24">
            <v>0</v>
          </cell>
          <cell r="C24" t="str">
            <v>ngsilva</v>
          </cell>
          <cell r="D24" t="str">
            <v>NATALINO GONÇALVES DA SILVA</v>
          </cell>
          <cell r="E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</row>
        <row r="27">
          <cell r="B27" t="str">
            <v>E24</v>
          </cell>
          <cell r="C27" t="str">
            <v>RECEPÇÃO DE MOAGEM - EXEC ORÇ</v>
          </cell>
          <cell r="D27">
            <v>0</v>
          </cell>
          <cell r="E27">
            <v>0</v>
          </cell>
          <cell r="F27" t="str">
            <v>Ref. a: ALIMENTACAO E PREPARO; MOAGEM CANA; DIFUSOR; DESAGUADOR; SECAGEM DE BAGAÇO; MANUTENÇÃO DE ENTRESSAFRA</v>
          </cell>
        </row>
        <row r="28">
          <cell r="B28">
            <v>0</v>
          </cell>
          <cell r="C28" t="str">
            <v>Usuário</v>
          </cell>
          <cell r="D28" t="str">
            <v>Nome</v>
          </cell>
          <cell r="E28">
            <v>0</v>
          </cell>
          <cell r="F28">
            <v>0</v>
          </cell>
        </row>
        <row r="29">
          <cell r="B29">
            <v>0</v>
          </cell>
          <cell r="C29" t="str">
            <v>cjsantos</v>
          </cell>
          <cell r="D29" t="str">
            <v>Carlos Jose dos Santos</v>
          </cell>
          <cell r="E29">
            <v>0</v>
          </cell>
          <cell r="F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</row>
        <row r="33">
          <cell r="B33" t="str">
            <v>E25</v>
          </cell>
          <cell r="C33" t="str">
            <v>TRATAM. DISTR. CALDO - EXEC ORÇ</v>
          </cell>
          <cell r="D33">
            <v>0</v>
          </cell>
          <cell r="E33">
            <v>0</v>
          </cell>
          <cell r="F33" t="str">
            <v>Ref. a AQUECIMENTO/TROCADOR CALOR ALCOOL;DECANTACAO DO ALCOOL;PRE-EVAPORACAO DO ALCOOL;CALEACAO;FILTRACAO DO LODO DO ALCOOL;MANUTENÇÃO DE ENTRESSAFRA</v>
          </cell>
        </row>
        <row r="34">
          <cell r="B34">
            <v>0</v>
          </cell>
          <cell r="C34" t="str">
            <v>Usuário</v>
          </cell>
          <cell r="D34" t="str">
            <v>Nome</v>
          </cell>
          <cell r="E34">
            <v>0</v>
          </cell>
          <cell r="F34">
            <v>0</v>
          </cell>
        </row>
        <row r="35">
          <cell r="B35">
            <v>0</v>
          </cell>
          <cell r="C35" t="str">
            <v>croberto</v>
          </cell>
          <cell r="D35" t="str">
            <v>CARLOS ROBERTO DOMICIANO</v>
          </cell>
          <cell r="E35">
            <v>0</v>
          </cell>
          <cell r="F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</row>
        <row r="39">
          <cell r="B39" t="str">
            <v>E26</v>
          </cell>
          <cell r="C39" t="str">
            <v>UTILIDADES - EXEC ORÇ</v>
          </cell>
          <cell r="D39">
            <v>0</v>
          </cell>
          <cell r="E39">
            <v>0</v>
          </cell>
          <cell r="F39" t="str">
            <v xml:space="preserve">Ref. a GERACAO E DISTR.VAPOR;CAPTACAO DE AGUA;ETA (ESTACAO DE TRATAMENTO AGUA);ETE - ESTAÇÃO TRATAMENTO DE ESGOTO;ETALG - ESTAÇ.TRAT.ÁGUA DE LAVAGEM GASES
</v>
          </cell>
        </row>
        <row r="40">
          <cell r="B40">
            <v>0</v>
          </cell>
          <cell r="C40" t="str">
            <v>Usuário</v>
          </cell>
          <cell r="D40" t="str">
            <v>Nome</v>
          </cell>
          <cell r="E40">
            <v>0</v>
          </cell>
          <cell r="F40">
            <v>0</v>
          </cell>
        </row>
        <row r="41">
          <cell r="B41">
            <v>0</v>
          </cell>
          <cell r="C41" t="str">
            <v>joliveira</v>
          </cell>
          <cell r="D41" t="str">
            <v>JOSE DE OLIVEIRA COSTA</v>
          </cell>
          <cell r="E41">
            <v>0</v>
          </cell>
          <cell r="F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</row>
        <row r="44">
          <cell r="B44" t="str">
            <v>E27</v>
          </cell>
          <cell r="C44" t="str">
            <v>FABRICAÇÃO ÁLCOOL - EXEC ORÇ</v>
          </cell>
          <cell r="D44">
            <v>0</v>
          </cell>
          <cell r="E44">
            <v>0</v>
          </cell>
          <cell r="F44" t="str">
            <v>Ref. A: PRE-FERMENTACAO; FERMENTACAO; DESTILACAO HIDRATADO;TORRE DE RESFRIAMENTO;CENTRIFUGAÇÃO;MANUTENÇÃO DE ENTRESSAFRA</v>
          </cell>
        </row>
        <row r="45">
          <cell r="B45">
            <v>0</v>
          </cell>
          <cell r="C45" t="str">
            <v>Usuário</v>
          </cell>
          <cell r="D45" t="str">
            <v>Nome</v>
          </cell>
          <cell r="E45">
            <v>0</v>
          </cell>
          <cell r="F45">
            <v>0</v>
          </cell>
        </row>
        <row r="46">
          <cell r="B46">
            <v>0</v>
          </cell>
          <cell r="C46" t="str">
            <v>mcpaula</v>
          </cell>
          <cell r="D46" t="str">
            <v>Marcos Cesar de Paula</v>
          </cell>
          <cell r="E46">
            <v>0</v>
          </cell>
          <cell r="F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</row>
        <row r="49">
          <cell r="B49" t="str">
            <v>E28</v>
          </cell>
          <cell r="C49" t="str">
            <v>PCM</v>
          </cell>
          <cell r="D49">
            <v>0</v>
          </cell>
          <cell r="E49">
            <v>0</v>
          </cell>
          <cell r="F49" t="str">
            <v>PCM ( PLANEJ. E CONTROLE DA MANUTENÇAÕ)</v>
          </cell>
        </row>
        <row r="50">
          <cell r="B50">
            <v>0</v>
          </cell>
          <cell r="C50" t="str">
            <v>Usuário</v>
          </cell>
          <cell r="D50" t="str">
            <v>Nome</v>
          </cell>
          <cell r="E50">
            <v>0</v>
          </cell>
          <cell r="F50">
            <v>0</v>
          </cell>
        </row>
        <row r="51">
          <cell r="B51">
            <v>0</v>
          </cell>
          <cell r="C51" t="str">
            <v>cfperez</v>
          </cell>
          <cell r="D51" t="str">
            <v>Cleber Fábio Batista Perez</v>
          </cell>
          <cell r="E51">
            <v>0</v>
          </cell>
          <cell r="F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4">
          <cell r="B54" t="str">
            <v>E29</v>
          </cell>
          <cell r="C54" t="str">
            <v>UTILIDADES - RES. CONS. - EXEC ORÇ</v>
          </cell>
          <cell r="D54">
            <v>0</v>
          </cell>
          <cell r="E54">
            <v>0</v>
          </cell>
          <cell r="F54" t="str">
            <v>Ref. a PATIO DE BAGACO; MANUTENCAO CIVIL; ESCOAMENTO DA VINHACA; MANUTENÇÃO DE ENTRESSAFRA; CONSERVACAO PATIOS - INDUSTRIA</v>
          </cell>
        </row>
        <row r="55">
          <cell r="B55">
            <v>0</v>
          </cell>
          <cell r="C55" t="str">
            <v>Usuário</v>
          </cell>
          <cell r="D55" t="str">
            <v>Nome</v>
          </cell>
          <cell r="E55">
            <v>0</v>
          </cell>
          <cell r="F55">
            <v>0</v>
          </cell>
        </row>
        <row r="56">
          <cell r="B56">
            <v>0</v>
          </cell>
          <cell r="C56" t="str">
            <v>gmenezes</v>
          </cell>
          <cell r="D56" t="str">
            <v>Gilson Pereira Menezes</v>
          </cell>
          <cell r="E56">
            <v>0</v>
          </cell>
          <cell r="F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</row>
      </sheetData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o Magalhaes Moreira" refreshedDate="42686.48721608796" missingItemsLimit="0" createdVersion="5" refreshedVersion="5" minRefreshableVersion="3" recordCount="30">
  <cacheSource type="worksheet">
    <worksheetSource ref="A5:AJ189" sheet="Base"/>
  </cacheSource>
  <cacheFields count="44">
    <cacheField name="Zero" numFmtId="0">
      <sharedItems containsBlank="1" count="2">
        <s v="Valor"/>
        <m/>
      </sharedItems>
    </cacheField>
    <cacheField name="Estab" numFmtId="0">
      <sharedItems containsString="0" containsBlank="1" containsNumber="1" containsInteger="1" minValue="601" maxValue="601"/>
    </cacheField>
    <cacheField name="CC" numFmtId="0">
      <sharedItems containsString="0" containsBlank="1" containsNumber="1" containsInteger="1" minValue="100202" maxValue="200104" count="4">
        <n v="200104"/>
        <n v="100202"/>
        <n v="200102"/>
        <m/>
      </sharedItems>
    </cacheField>
    <cacheField name="DESCRIÇÃO CENTO DE CUSTO" numFmtId="0">
      <sharedItems containsBlank="1" count="4">
        <s v="DOAÇOES"/>
        <s v="DIRETOR PRESIDENTE"/>
        <s v="ADMINISTRACAO CORPORATIVA"/>
        <m/>
      </sharedItems>
    </cacheField>
    <cacheField name="C. CONT" numFmtId="0">
      <sharedItems containsString="0" containsBlank="1" containsNumber="1" containsInteger="1" minValue="31101011" maxValue="31108117" count="20">
        <n v="31103120"/>
        <n v="31104131"/>
        <n v="31101011"/>
        <n v="31101031"/>
        <n v="31101041"/>
        <n v="31101161"/>
        <n v="31101511"/>
        <n v="31101091"/>
        <n v="31108117"/>
        <n v="31103129"/>
        <n v="31103146"/>
        <n v="31103148"/>
        <n v="31101111"/>
        <n v="31103109"/>
        <n v="31103127"/>
        <n v="31103131"/>
        <n v="31104102"/>
        <n v="31104103"/>
        <n v="31104110"/>
        <m/>
      </sharedItems>
    </cacheField>
    <cacheField name="Desc. Conta" numFmtId="0">
      <sharedItems containsBlank="1" count="20">
        <s v="Doacoes"/>
        <s v="Materiais de Segurança"/>
        <s v="Salarios"/>
        <s v="Provisao de Ferias"/>
        <s v="Provisao 13 Salario"/>
        <s v="FGTS"/>
        <s v="INSS"/>
        <s v="Plano Participacao Resultados"/>
        <s v="Depreciação - IFRS"/>
        <s v="Lanches e Refeicoes"/>
        <s v="Transporte de Pessoal"/>
        <s v="Viagens e Estadias"/>
        <s v="Pro-Labore"/>
        <s v="Bens de Natureza Permanente"/>
        <s v="Fretes e Carretos"/>
        <s v="Impostos, Taxas e Licencas"/>
        <s v="Combustiveis"/>
        <s v="Copa, Cozinha e Limpeza"/>
        <s v="Peças e Acessorios de Veiculos"/>
        <m/>
      </sharedItems>
    </cacheField>
    <cacheField name="Total 2016 - R" numFmtId="0">
      <sharedItems containsString="0" containsBlank="1" containsNumber="1" containsInteger="1" minValue="124" maxValue="13928"/>
    </cacheField>
    <cacheField name="01-Janeiro-2016" numFmtId="0">
      <sharedItems containsString="0" containsBlank="1" containsNumber="1" containsInteger="1" minValue="317" maxValue="968"/>
    </cacheField>
    <cacheField name="02-Fevereiro-2016" numFmtId="0">
      <sharedItems containsString="0" containsBlank="1" containsNumber="1" containsInteger="1" minValue="163" maxValue="1112"/>
    </cacheField>
    <cacheField name="03-Março-2016" numFmtId="0">
      <sharedItems containsString="0" containsBlank="1" containsNumber="1" containsInteger="1" minValue="273" maxValue="12000"/>
    </cacheField>
    <cacheField name="04-Abril-2016" numFmtId="0">
      <sharedItems containsString="0" containsBlank="1" containsNumber="1" containsInteger="1" minValue="148" maxValue="1217"/>
    </cacheField>
    <cacheField name="05-Maio-2016" numFmtId="0">
      <sharedItems containsString="0" containsBlank="1" containsNumber="1" containsInteger="1" minValue="273" maxValue="1132"/>
    </cacheField>
    <cacheField name="06-Junho-2016" numFmtId="0">
      <sharedItems containsString="0" containsBlank="1" containsNumber="1" containsInteger="1" minValue="107" maxValue="1076"/>
    </cacheField>
    <cacheField name="07-Julho-2016" numFmtId="0">
      <sharedItems containsString="0" containsBlank="1" containsNumber="1" containsInteger="1" minValue="189" maxValue="1086"/>
    </cacheField>
    <cacheField name="08-Agosto-2016" numFmtId="0">
      <sharedItems containsString="0" containsBlank="1" containsNumber="1" containsInteger="1" minValue="223" maxValue="1185"/>
    </cacheField>
    <cacheField name="09-Setembro-2016" numFmtId="0">
      <sharedItems containsString="0" containsBlank="1" containsNumber="1" containsInteger="1" minValue="302" maxValue="906"/>
    </cacheField>
    <cacheField name="10-Outubro-2016" numFmtId="0">
      <sharedItems containsNonDate="0" containsString="0" containsBlank="1"/>
    </cacheField>
    <cacheField name="11-Novembro-2016" numFmtId="0">
      <sharedItems containsNonDate="0" containsString="0" containsBlank="1"/>
    </cacheField>
    <cacheField name="12-Dezembro-2016" numFmtId="0">
      <sharedItems containsNonDate="0" containsString="0" containsBlank="1"/>
    </cacheField>
    <cacheField name="Real Mês" numFmtId="0">
      <sharedItems containsString="0" containsBlank="1" containsNumber="1" containsInteger="1" minValue="0" maxValue="906"/>
    </cacheField>
    <cacheField name="Real Acumulado" numFmtId="0">
      <sharedItems containsString="0" containsBlank="1" containsNumber="1" containsInteger="1" minValue="124" maxValue="13928"/>
    </cacheField>
    <cacheField name="Ppto Mês" numFmtId="0">
      <sharedItems containsString="0" containsBlank="1" containsNumber="1" containsInteger="1" minValue="0" maxValue="1440"/>
    </cacheField>
    <cacheField name="Ppto Acumulado" numFmtId="0">
      <sharedItems containsString="0" containsBlank="1" containsNumber="1" containsInteger="1" minValue="0" maxValue="9711"/>
    </cacheField>
    <cacheField name="TOTAL 2016 - O" numFmtId="0">
      <sharedItems containsString="0" containsBlank="1" containsNumber="1" containsInteger="1" minValue="0" maxValue="11441"/>
    </cacheField>
    <cacheField name="JAN - 16 - O" numFmtId="0">
      <sharedItems containsString="0" containsBlank="1" containsNumber="1" containsInteger="1" minValue="357" maxValue="1407"/>
    </cacheField>
    <cacheField name="FEV - 16 - O" numFmtId="0">
      <sharedItems containsString="0" containsBlank="1" containsNumber="1" containsInteger="1" minValue="141" maxValue="1518"/>
    </cacheField>
    <cacheField name="MAR - 16 - O" numFmtId="0">
      <sharedItems containsString="0" containsBlank="1" containsNumber="1" containsInteger="1" minValue="128" maxValue="1008"/>
    </cacheField>
    <cacheField name="ABR - 16 - O" numFmtId="0">
      <sharedItems containsString="0" containsBlank="1" containsNumber="1" containsInteger="1" minValue="237" maxValue="1485"/>
    </cacheField>
    <cacheField name="MAI - 16 - O" numFmtId="0">
      <sharedItems containsString="0" containsBlank="1" containsNumber="1" containsInteger="1" minValue="302" maxValue="1526"/>
    </cacheField>
    <cacheField name="JUN - 16 - O" numFmtId="0">
      <sharedItems containsString="0" containsBlank="1" containsNumber="1" containsInteger="1" minValue="345" maxValue="1550"/>
    </cacheField>
    <cacheField name="JUL - 16 - O" numFmtId="0">
      <sharedItems containsString="0" containsBlank="1" containsNumber="1" containsInteger="1" minValue="118" maxValue="1280"/>
    </cacheField>
    <cacheField name="AGO - 16 - O" numFmtId="0">
      <sharedItems containsString="0" containsBlank="1" containsNumber="1" containsInteger="1" minValue="154" maxValue="1435"/>
    </cacheField>
    <cacheField name="SET - 16 - O" numFmtId="0">
      <sharedItems containsString="0" containsBlank="1" containsNumber="1" containsInteger="1" minValue="127" maxValue="1440"/>
    </cacheField>
    <cacheField name="OUT - 16 - O" numFmtId="0">
      <sharedItems containsString="0" containsBlank="1" containsNumber="1" containsInteger="1" minValue="251" maxValue="1428"/>
    </cacheField>
    <cacheField name="NOV - 16 - O" numFmtId="0">
      <sharedItems containsString="0" containsBlank="1" containsNumber="1" containsInteger="1" minValue="526" maxValue="1510"/>
    </cacheField>
    <cacheField name="DEZ - 16 - O" numFmtId="0">
      <sharedItems containsString="0" containsBlank="1" containsNumber="1" containsInteger="1" minValue="179" maxValue="1418"/>
    </cacheField>
    <cacheField name="Dif Mes" numFmtId="0" formula="'Real Mês'-'Ppto Mês'" databaseField="0"/>
    <cacheField name="Var Mes" numFmtId="0" formula="IFERROR('Dif Mes'/'Ppto Mês',1)" databaseField="0"/>
    <cacheField name="Dif Acum" numFmtId="0" formula="'Real Acumulado'-'Ppto Acumulado'" databaseField="0"/>
    <cacheField name="Var. Acum" numFmtId="0" formula="IFERROR('Dif Acum'/'Ppto Acumulado',1)" databaseField="0"/>
    <cacheField name="DifMes" numFmtId="0" formula="'Real Mês'-'Ppto Mês'" databaseField="0"/>
    <cacheField name="Var.Mes" numFmtId="0" formula="IFERROR(DifMes/'Ppto Mês',0)" databaseField="0"/>
    <cacheField name="DifAcum" numFmtId="0" formula="'Real Acumulado'-'Ppto Acumulado'" databaseField="0"/>
    <cacheField name="Var.Acum" numFmtId="0" formula="IFERROR(DifAcum/'Ppto Acumulado',0)" databaseField="0"/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n v="601"/>
    <x v="0"/>
    <x v="0"/>
    <x v="0"/>
    <x v="0"/>
    <m/>
    <m/>
    <m/>
    <m/>
    <m/>
    <m/>
    <m/>
    <m/>
    <m/>
    <m/>
    <m/>
    <m/>
    <m/>
    <m/>
    <m/>
    <n v="0"/>
    <n v="1020"/>
    <n v="1020"/>
    <m/>
    <n v="212"/>
    <m/>
    <n v="808"/>
    <m/>
    <m/>
    <m/>
    <m/>
    <m/>
    <m/>
    <m/>
    <m/>
  </r>
  <r>
    <x v="0"/>
    <n v="601"/>
    <x v="1"/>
    <x v="1"/>
    <x v="1"/>
    <x v="1"/>
    <m/>
    <m/>
    <m/>
    <m/>
    <m/>
    <m/>
    <m/>
    <m/>
    <m/>
    <m/>
    <m/>
    <m/>
    <m/>
    <m/>
    <m/>
    <n v="669"/>
    <n v="5545"/>
    <n v="7860"/>
    <n v="807"/>
    <n v="768"/>
    <n v="159"/>
    <n v="1455"/>
    <n v="302"/>
    <n v="393"/>
    <n v="789"/>
    <n v="203"/>
    <n v="669"/>
    <n v="251"/>
    <n v="1219"/>
    <n v="845"/>
  </r>
  <r>
    <x v="0"/>
    <n v="601"/>
    <x v="1"/>
    <x v="1"/>
    <x v="2"/>
    <x v="2"/>
    <m/>
    <m/>
    <m/>
    <m/>
    <m/>
    <m/>
    <m/>
    <m/>
    <m/>
    <m/>
    <m/>
    <m/>
    <m/>
    <m/>
    <m/>
    <n v="644"/>
    <n v="8523"/>
    <n v="11263"/>
    <n v="1093"/>
    <n v="1024"/>
    <n v="909"/>
    <n v="663"/>
    <n v="1526"/>
    <n v="1050"/>
    <n v="1062"/>
    <n v="552"/>
    <n v="644"/>
    <n v="481"/>
    <n v="1109"/>
    <n v="1150"/>
  </r>
  <r>
    <x v="0"/>
    <n v="601"/>
    <x v="1"/>
    <x v="1"/>
    <x v="3"/>
    <x v="3"/>
    <m/>
    <m/>
    <m/>
    <m/>
    <m/>
    <m/>
    <m/>
    <m/>
    <m/>
    <m/>
    <m/>
    <m/>
    <m/>
    <m/>
    <m/>
    <n v="444"/>
    <n v="7104"/>
    <n v="9188"/>
    <n v="1091"/>
    <n v="642"/>
    <n v="181"/>
    <n v="735"/>
    <n v="1082"/>
    <n v="1514"/>
    <n v="338"/>
    <n v="1077"/>
    <n v="444"/>
    <n v="1122"/>
    <n v="783"/>
    <n v="179"/>
  </r>
  <r>
    <x v="0"/>
    <n v="601"/>
    <x v="1"/>
    <x v="1"/>
    <x v="4"/>
    <x v="4"/>
    <m/>
    <m/>
    <m/>
    <m/>
    <m/>
    <m/>
    <m/>
    <m/>
    <m/>
    <m/>
    <m/>
    <m/>
    <m/>
    <m/>
    <m/>
    <n v="206"/>
    <n v="5721"/>
    <n v="8384"/>
    <n v="532"/>
    <n v="141"/>
    <n v="1000"/>
    <n v="678"/>
    <n v="1421"/>
    <n v="345"/>
    <n v="739"/>
    <n v="659"/>
    <n v="206"/>
    <n v="927"/>
    <n v="1428"/>
    <n v="308"/>
  </r>
  <r>
    <x v="0"/>
    <n v="601"/>
    <x v="1"/>
    <x v="1"/>
    <x v="5"/>
    <x v="5"/>
    <m/>
    <m/>
    <m/>
    <m/>
    <m/>
    <m/>
    <m/>
    <m/>
    <m/>
    <m/>
    <m/>
    <m/>
    <m/>
    <m/>
    <m/>
    <n v="127"/>
    <n v="6431"/>
    <n v="8157"/>
    <n v="406"/>
    <n v="518"/>
    <n v="963"/>
    <n v="246"/>
    <n v="593"/>
    <n v="1550"/>
    <n v="1014"/>
    <n v="1014"/>
    <n v="127"/>
    <n v="885"/>
    <n v="526"/>
    <n v="315"/>
  </r>
  <r>
    <x v="0"/>
    <n v="601"/>
    <x v="1"/>
    <x v="1"/>
    <x v="6"/>
    <x v="6"/>
    <m/>
    <m/>
    <m/>
    <m/>
    <m/>
    <m/>
    <m/>
    <m/>
    <m/>
    <m/>
    <m/>
    <m/>
    <m/>
    <m/>
    <m/>
    <n v="236"/>
    <n v="5881"/>
    <n v="8754"/>
    <n v="381"/>
    <n v="1256"/>
    <n v="1008"/>
    <n v="1437"/>
    <n v="523"/>
    <n v="523"/>
    <n v="118"/>
    <n v="399"/>
    <n v="236"/>
    <n v="280"/>
    <n v="1319"/>
    <n v="1274"/>
  </r>
  <r>
    <x v="0"/>
    <n v="601"/>
    <x v="1"/>
    <x v="1"/>
    <x v="7"/>
    <x v="7"/>
    <m/>
    <m/>
    <m/>
    <m/>
    <m/>
    <m/>
    <m/>
    <m/>
    <m/>
    <m/>
    <m/>
    <m/>
    <m/>
    <m/>
    <m/>
    <n v="273"/>
    <n v="6997"/>
    <n v="10397"/>
    <n v="357"/>
    <n v="481"/>
    <n v="674"/>
    <n v="1260"/>
    <n v="884"/>
    <n v="1460"/>
    <n v="173"/>
    <n v="1435"/>
    <n v="273"/>
    <n v="906"/>
    <n v="1076"/>
    <n v="1418"/>
  </r>
  <r>
    <x v="0"/>
    <n v="601"/>
    <x v="1"/>
    <x v="1"/>
    <x v="8"/>
    <x v="8"/>
    <m/>
    <m/>
    <m/>
    <m/>
    <m/>
    <m/>
    <m/>
    <m/>
    <m/>
    <m/>
    <m/>
    <m/>
    <m/>
    <m/>
    <m/>
    <n v="0"/>
    <n v="3347"/>
    <n v="3347"/>
    <n v="1042"/>
    <n v="1087"/>
    <n v="249"/>
    <n v="969"/>
    <m/>
    <m/>
    <m/>
    <m/>
    <m/>
    <m/>
    <m/>
    <m/>
  </r>
  <r>
    <x v="0"/>
    <n v="601"/>
    <x v="2"/>
    <x v="2"/>
    <x v="9"/>
    <x v="9"/>
    <m/>
    <m/>
    <m/>
    <m/>
    <m/>
    <m/>
    <m/>
    <m/>
    <m/>
    <m/>
    <m/>
    <m/>
    <m/>
    <m/>
    <m/>
    <n v="1156"/>
    <n v="9711"/>
    <n v="11441"/>
    <n v="1407"/>
    <n v="982"/>
    <n v="717"/>
    <n v="1485"/>
    <n v="1330"/>
    <n v="561"/>
    <n v="1280"/>
    <n v="793"/>
    <n v="1156"/>
    <n v="483"/>
    <n v="852"/>
    <n v="395"/>
  </r>
  <r>
    <x v="0"/>
    <n v="601"/>
    <x v="2"/>
    <x v="2"/>
    <x v="10"/>
    <x v="10"/>
    <m/>
    <m/>
    <m/>
    <m/>
    <m/>
    <m/>
    <m/>
    <m/>
    <m/>
    <m/>
    <m/>
    <m/>
    <m/>
    <m/>
    <m/>
    <n v="1440"/>
    <n v="7735"/>
    <n v="11281"/>
    <n v="1386"/>
    <n v="1518"/>
    <n v="303"/>
    <n v="493"/>
    <n v="321"/>
    <n v="1013"/>
    <n v="1107"/>
    <n v="154"/>
    <n v="1440"/>
    <n v="1242"/>
    <n v="1510"/>
    <n v="794"/>
  </r>
  <r>
    <x v="0"/>
    <n v="601"/>
    <x v="2"/>
    <x v="2"/>
    <x v="11"/>
    <x v="11"/>
    <m/>
    <m/>
    <m/>
    <m/>
    <m/>
    <m/>
    <m/>
    <m/>
    <m/>
    <m/>
    <m/>
    <m/>
    <m/>
    <m/>
    <m/>
    <n v="1407"/>
    <n v="8332"/>
    <n v="10921"/>
    <n v="1326"/>
    <n v="549"/>
    <n v="230"/>
    <n v="237"/>
    <n v="1382"/>
    <n v="1144"/>
    <n v="1082"/>
    <n v="975"/>
    <n v="1407"/>
    <n v="915"/>
    <n v="818"/>
    <n v="856"/>
  </r>
  <r>
    <x v="0"/>
    <n v="601"/>
    <x v="2"/>
    <x v="2"/>
    <x v="8"/>
    <x v="8"/>
    <m/>
    <m/>
    <m/>
    <m/>
    <m/>
    <m/>
    <m/>
    <m/>
    <m/>
    <m/>
    <m/>
    <m/>
    <m/>
    <m/>
    <m/>
    <n v="603"/>
    <n v="5805"/>
    <n v="9085"/>
    <n v="779"/>
    <n v="382"/>
    <n v="128"/>
    <n v="1014"/>
    <n v="545"/>
    <n v="1053"/>
    <n v="254"/>
    <n v="1047"/>
    <n v="603"/>
    <n v="1428"/>
    <n v="1181"/>
    <n v="671"/>
  </r>
  <r>
    <x v="0"/>
    <n v="601"/>
    <x v="1"/>
    <x v="1"/>
    <x v="12"/>
    <x v="12"/>
    <n v="6096"/>
    <n v="822"/>
    <n v="175"/>
    <n v="931"/>
    <n v="260"/>
    <n v="353"/>
    <n v="519"/>
    <n v="1086"/>
    <n v="1044"/>
    <n v="906"/>
    <m/>
    <m/>
    <m/>
    <n v="906"/>
    <n v="6096"/>
    <n v="0"/>
    <n v="0"/>
    <n v="0"/>
    <m/>
    <m/>
    <m/>
    <m/>
    <m/>
    <m/>
    <m/>
    <m/>
    <m/>
    <m/>
    <m/>
    <m/>
  </r>
  <r>
    <x v="0"/>
    <n v="601"/>
    <x v="1"/>
    <x v="1"/>
    <x v="6"/>
    <x v="6"/>
    <n v="5260"/>
    <n v="840"/>
    <n v="163"/>
    <n v="288"/>
    <n v="551"/>
    <n v="680"/>
    <n v="1050"/>
    <n v="540"/>
    <n v="743"/>
    <n v="405"/>
    <m/>
    <m/>
    <m/>
    <n v="405"/>
    <n v="5260"/>
    <n v="0"/>
    <n v="0"/>
    <n v="0"/>
    <m/>
    <m/>
    <m/>
    <m/>
    <m/>
    <m/>
    <m/>
    <m/>
    <m/>
    <m/>
    <m/>
    <m/>
  </r>
  <r>
    <x v="0"/>
    <n v="601"/>
    <x v="1"/>
    <x v="1"/>
    <x v="13"/>
    <x v="13"/>
    <n v="124"/>
    <m/>
    <m/>
    <m/>
    <m/>
    <m/>
    <n v="124"/>
    <m/>
    <m/>
    <m/>
    <m/>
    <m/>
    <m/>
    <n v="0"/>
    <n v="124"/>
    <n v="0"/>
    <n v="0"/>
    <n v="0"/>
    <m/>
    <m/>
    <m/>
    <m/>
    <m/>
    <m/>
    <m/>
    <m/>
    <m/>
    <m/>
    <m/>
    <m/>
  </r>
  <r>
    <x v="0"/>
    <n v="601"/>
    <x v="1"/>
    <x v="1"/>
    <x v="8"/>
    <x v="8"/>
    <n v="6055"/>
    <n v="373"/>
    <n v="1112"/>
    <n v="1038"/>
    <n v="939"/>
    <n v="912"/>
    <n v="107"/>
    <n v="199"/>
    <n v="1073"/>
    <n v="302"/>
    <m/>
    <m/>
    <m/>
    <n v="302"/>
    <n v="6055"/>
    <n v="0"/>
    <n v="0"/>
    <n v="0"/>
    <m/>
    <m/>
    <m/>
    <m/>
    <m/>
    <m/>
    <m/>
    <m/>
    <m/>
    <m/>
    <m/>
    <m/>
  </r>
  <r>
    <x v="0"/>
    <n v="601"/>
    <x v="2"/>
    <x v="2"/>
    <x v="13"/>
    <x v="13"/>
    <n v="705"/>
    <m/>
    <m/>
    <m/>
    <m/>
    <m/>
    <n v="705"/>
    <m/>
    <m/>
    <m/>
    <m/>
    <m/>
    <m/>
    <n v="0"/>
    <n v="705"/>
    <n v="0"/>
    <n v="0"/>
    <n v="0"/>
    <m/>
    <m/>
    <m/>
    <m/>
    <m/>
    <m/>
    <m/>
    <m/>
    <m/>
    <m/>
    <m/>
    <m/>
  </r>
  <r>
    <x v="0"/>
    <n v="601"/>
    <x v="2"/>
    <x v="2"/>
    <x v="14"/>
    <x v="14"/>
    <n v="814"/>
    <m/>
    <m/>
    <m/>
    <m/>
    <m/>
    <n v="814"/>
    <m/>
    <m/>
    <m/>
    <m/>
    <m/>
    <m/>
    <n v="0"/>
    <n v="814"/>
    <n v="0"/>
    <n v="0"/>
    <n v="0"/>
    <m/>
    <m/>
    <m/>
    <m/>
    <m/>
    <m/>
    <m/>
    <m/>
    <m/>
    <m/>
    <m/>
    <m/>
  </r>
  <r>
    <x v="0"/>
    <n v="601"/>
    <x v="2"/>
    <x v="2"/>
    <x v="9"/>
    <x v="9"/>
    <n v="5051"/>
    <n v="968"/>
    <n v="350"/>
    <n v="273"/>
    <n v="387"/>
    <n v="581"/>
    <n v="976"/>
    <n v="331"/>
    <n v="1185"/>
    <m/>
    <m/>
    <m/>
    <m/>
    <n v="0"/>
    <n v="5051"/>
    <n v="0"/>
    <n v="0"/>
    <n v="0"/>
    <m/>
    <m/>
    <m/>
    <m/>
    <m/>
    <m/>
    <m/>
    <m/>
    <m/>
    <m/>
    <m/>
    <m/>
  </r>
  <r>
    <x v="0"/>
    <n v="601"/>
    <x v="2"/>
    <x v="2"/>
    <x v="15"/>
    <x v="15"/>
    <n v="758"/>
    <m/>
    <m/>
    <m/>
    <m/>
    <n v="758"/>
    <m/>
    <m/>
    <m/>
    <m/>
    <m/>
    <m/>
    <m/>
    <n v="0"/>
    <n v="758"/>
    <n v="0"/>
    <n v="0"/>
    <n v="0"/>
    <m/>
    <m/>
    <m/>
    <m/>
    <m/>
    <m/>
    <m/>
    <m/>
    <m/>
    <m/>
    <m/>
    <m/>
  </r>
  <r>
    <x v="0"/>
    <n v="601"/>
    <x v="2"/>
    <x v="2"/>
    <x v="10"/>
    <x v="10"/>
    <n v="1350"/>
    <m/>
    <m/>
    <n v="879"/>
    <m/>
    <m/>
    <m/>
    <n v="471"/>
    <m/>
    <m/>
    <m/>
    <m/>
    <m/>
    <n v="0"/>
    <n v="1350"/>
    <n v="0"/>
    <n v="0"/>
    <n v="0"/>
    <m/>
    <m/>
    <m/>
    <m/>
    <m/>
    <m/>
    <m/>
    <m/>
    <m/>
    <m/>
    <m/>
    <m/>
  </r>
  <r>
    <x v="0"/>
    <n v="601"/>
    <x v="2"/>
    <x v="2"/>
    <x v="11"/>
    <x v="11"/>
    <n v="3236"/>
    <m/>
    <n v="347"/>
    <n v="485"/>
    <n v="148"/>
    <n v="768"/>
    <n v="1076"/>
    <n v="189"/>
    <n v="223"/>
    <m/>
    <m/>
    <m/>
    <m/>
    <n v="0"/>
    <n v="3236"/>
    <n v="0"/>
    <n v="0"/>
    <n v="0"/>
    <m/>
    <m/>
    <m/>
    <m/>
    <m/>
    <m/>
    <m/>
    <m/>
    <m/>
    <m/>
    <m/>
    <m/>
  </r>
  <r>
    <x v="0"/>
    <n v="601"/>
    <x v="2"/>
    <x v="2"/>
    <x v="16"/>
    <x v="16"/>
    <n v="4031"/>
    <m/>
    <n v="993"/>
    <n v="463"/>
    <n v="1217"/>
    <n v="1132"/>
    <n v="226"/>
    <m/>
    <m/>
    <m/>
    <m/>
    <m/>
    <m/>
    <n v="0"/>
    <n v="4031"/>
    <n v="0"/>
    <n v="0"/>
    <n v="0"/>
    <m/>
    <m/>
    <m/>
    <m/>
    <m/>
    <m/>
    <m/>
    <m/>
    <m/>
    <m/>
    <m/>
    <m/>
  </r>
  <r>
    <x v="0"/>
    <n v="601"/>
    <x v="2"/>
    <x v="2"/>
    <x v="17"/>
    <x v="17"/>
    <n v="994"/>
    <m/>
    <m/>
    <m/>
    <m/>
    <m/>
    <n v="535"/>
    <n v="459"/>
    <m/>
    <m/>
    <m/>
    <m/>
    <m/>
    <n v="0"/>
    <n v="994"/>
    <n v="0"/>
    <n v="0"/>
    <n v="0"/>
    <m/>
    <m/>
    <m/>
    <m/>
    <m/>
    <m/>
    <m/>
    <m/>
    <m/>
    <m/>
    <m/>
    <m/>
  </r>
  <r>
    <x v="0"/>
    <n v="601"/>
    <x v="2"/>
    <x v="2"/>
    <x v="18"/>
    <x v="18"/>
    <n v="705"/>
    <m/>
    <m/>
    <m/>
    <m/>
    <n v="705"/>
    <m/>
    <m/>
    <m/>
    <m/>
    <m/>
    <m/>
    <m/>
    <n v="0"/>
    <n v="705"/>
    <n v="0"/>
    <n v="0"/>
    <n v="0"/>
    <m/>
    <m/>
    <m/>
    <m/>
    <m/>
    <m/>
    <m/>
    <m/>
    <m/>
    <m/>
    <m/>
    <m/>
  </r>
  <r>
    <x v="0"/>
    <n v="601"/>
    <x v="2"/>
    <x v="2"/>
    <x v="1"/>
    <x v="1"/>
    <n v="2053"/>
    <m/>
    <m/>
    <m/>
    <m/>
    <m/>
    <n v="581"/>
    <n v="662"/>
    <m/>
    <n v="810"/>
    <m/>
    <m/>
    <m/>
    <n v="810"/>
    <n v="2053"/>
    <n v="0"/>
    <n v="0"/>
    <n v="0"/>
    <m/>
    <m/>
    <m/>
    <m/>
    <m/>
    <m/>
    <m/>
    <m/>
    <m/>
    <m/>
    <m/>
    <m/>
  </r>
  <r>
    <x v="0"/>
    <n v="601"/>
    <x v="2"/>
    <x v="2"/>
    <x v="8"/>
    <x v="8"/>
    <n v="4947"/>
    <n v="317"/>
    <n v="850"/>
    <n v="615"/>
    <n v="604"/>
    <n v="273"/>
    <n v="419"/>
    <n v="852"/>
    <n v="279"/>
    <n v="738"/>
    <m/>
    <m/>
    <m/>
    <n v="738"/>
    <n v="4947"/>
    <n v="0"/>
    <n v="0"/>
    <n v="0"/>
    <m/>
    <m/>
    <m/>
    <m/>
    <m/>
    <m/>
    <m/>
    <m/>
    <m/>
    <m/>
    <m/>
    <m/>
  </r>
  <r>
    <x v="0"/>
    <n v="601"/>
    <x v="0"/>
    <x v="0"/>
    <x v="0"/>
    <x v="0"/>
    <n v="13928"/>
    <m/>
    <m/>
    <n v="12000"/>
    <m/>
    <n v="919"/>
    <m/>
    <m/>
    <n v="1009"/>
    <m/>
    <m/>
    <m/>
    <m/>
    <n v="0"/>
    <n v="13928"/>
    <n v="0"/>
    <n v="0"/>
    <n v="0"/>
    <m/>
    <m/>
    <m/>
    <m/>
    <m/>
    <m/>
    <m/>
    <m/>
    <m/>
    <m/>
    <m/>
    <m/>
  </r>
  <r>
    <x v="1"/>
    <m/>
    <x v="3"/>
    <x v="3"/>
    <x v="19"/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rowHeaderCaption="Gestor">
  <location ref="C8:M23" firstHeaderRow="0" firstDataRow="1" firstDataCol="3" rowPageCount="1" colPageCount="1"/>
  <pivotFields count="44">
    <pivotField axis="axisPage" multipleItemSelectionAllowed="1" showAll="0" defaultSubtotal="0">
      <items count="2">
        <item x="0"/>
        <item x="1"/>
      </items>
    </pivotField>
    <pivotField showAll="0"/>
    <pivotField axis="axisRow" outline="0" showAll="0" defaultSubtotal="0">
      <items count="4"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c. Centro" axis="axisRow" showAll="0">
      <items count="5">
        <item x="2"/>
        <item sd="0" x="1"/>
        <item h="1" sd="0" x="3"/>
        <item sd="0" x="0"/>
        <item t="default" sd="0"/>
      </items>
    </pivotField>
    <pivotField axis="axisRow" outline="0" showAll="0" defaultSubtotal="0">
      <items count="20">
        <item x="2"/>
        <item x="3"/>
        <item x="4"/>
        <item x="7"/>
        <item x="12"/>
        <item x="5"/>
        <item x="6"/>
        <item x="13"/>
        <item x="0"/>
        <item x="14"/>
        <item x="9"/>
        <item x="15"/>
        <item x="10"/>
        <item x="11"/>
        <item x="16"/>
        <item x="17"/>
        <item x="18"/>
        <item x="1"/>
        <item x="8"/>
        <item x="19"/>
      </items>
    </pivotField>
    <pivotField axis="axisRow" showAll="0">
      <items count="21">
        <item sd="0" x="13"/>
        <item sd="0" x="16"/>
        <item sd="0" x="17"/>
        <item sd="0" x="8"/>
        <item sd="0" x="0"/>
        <item sd="0" x="5"/>
        <item sd="0" x="14"/>
        <item sd="0" x="15"/>
        <item sd="0" x="6"/>
        <item sd="0" x="9"/>
        <item sd="0" x="1"/>
        <item sd="0" x="18"/>
        <item sd="0" x="7"/>
        <item sd="0" x="12"/>
        <item sd="0" x="4"/>
        <item sd="0" x="3"/>
        <item x="2"/>
        <item sd="0" x="10"/>
        <item sd="0" x="11"/>
        <item sd="0" x="19"/>
        <item t="default" sd="0"/>
      </items>
    </pivotField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4">
    <field x="2"/>
    <field x="3"/>
    <field x="4"/>
    <field x="5"/>
  </rowFields>
  <rowItems count="15">
    <i>
      <x/>
      <x v="1"/>
    </i>
    <i>
      <x v="1"/>
      <x/>
    </i>
    <i r="2">
      <x v="7"/>
      <x/>
    </i>
    <i r="2">
      <x v="9"/>
      <x v="6"/>
    </i>
    <i r="2">
      <x v="10"/>
      <x v="9"/>
    </i>
    <i r="2">
      <x v="11"/>
      <x v="7"/>
    </i>
    <i r="2">
      <x v="12"/>
      <x v="17"/>
    </i>
    <i r="2">
      <x v="13"/>
      <x v="18"/>
    </i>
    <i r="2">
      <x v="14"/>
      <x v="1"/>
    </i>
    <i r="2">
      <x v="15"/>
      <x v="2"/>
    </i>
    <i r="2">
      <x v="16"/>
      <x v="11"/>
    </i>
    <i r="2">
      <x v="17"/>
      <x v="10"/>
    </i>
    <i r="2">
      <x v="18"/>
      <x v="3"/>
    </i>
    <i>
      <x v="2"/>
      <x v="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hier="-1"/>
  </pageFields>
  <dataFields count="8">
    <dataField name="  Real Mês" fld="19" baseField="81" baseItem="0" numFmtId="3"/>
    <dataField name="  Ppto Mês" fld="21" baseField="81" baseItem="0" numFmtId="3"/>
    <dataField name=" Dif Mes" fld="36" baseField="0" baseItem="0" numFmtId="3"/>
    <dataField name=" Var Mes" fld="37" baseField="8" baseItem="12" numFmtId="10"/>
    <dataField name="  Real Acumulado" fld="20" baseField="81" baseItem="5" numFmtId="166"/>
    <dataField name="  Ppto Acumulado" fld="22" baseField="81" baseItem="0" numFmtId="3"/>
    <dataField name=" Dif Acum" fld="38" baseField="7" baseItem="0" numFmtId="4"/>
    <dataField name=" Var. Acum" fld="39" baseField="8" baseItem="12" numFmtId="10"/>
  </dataFields>
  <formats count="11">
    <format dxfId="10">
      <pivotArea dataOnly="0" labelOnly="1" fieldPosition="0">
        <references count="1">
          <reference field="4" count="0"/>
        </references>
      </pivotArea>
    </format>
    <format dxfId="9">
      <pivotArea outline="0" fieldPosition="0">
        <references count="1">
          <reference field="4294967294" count="1">
            <x v="7"/>
          </reference>
        </references>
      </pivotArea>
    </format>
    <format dxfId="8">
      <pivotArea outline="0" fieldPosition="0">
        <references count="1">
          <reference field="4294967294" count="1">
            <x v="3"/>
          </reference>
        </references>
      </pivotArea>
    </format>
    <format dxfId="7">
      <pivotArea outline="0" fieldPosition="0">
        <references count="1">
          <reference field="4294967294" count="1">
            <x v="6"/>
          </reference>
        </references>
      </pivotArea>
    </format>
    <format dxfId="6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">
      <pivotArea dataOnly="0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3">
      <pivotArea dataOnly="0" labelOnly="1" fieldPosition="0">
        <references count="1">
          <reference field="3" count="0"/>
        </references>
      </pivotArea>
    </format>
    <format dxfId="2">
      <pivotArea dataOnly="0" labelOnly="1" fieldPosition="0">
        <references count="1">
          <reference field="3" count="0"/>
        </references>
      </pivotArea>
    </format>
    <format dxfId="1">
      <pivotArea field="2" type="button" dataOnly="0" labelOnly="1" outline="0" axis="axisRow" fieldPosition="0"/>
    </format>
    <format dxfId="0">
      <pivotArea dataOnly="0" outline="0" fieldPosition="0">
        <references count="1">
          <reference field="4294967294" count="1">
            <x v="7"/>
          </reference>
        </references>
      </pivotArea>
    </format>
  </formats>
  <conditionalFormats count="5">
    <conditionalFormat scope="data" priority="7">
      <pivotAreas count="1">
        <pivotArea outline="0" fieldPosition="0">
          <references count="1">
            <reference field="4294967294" count="1" selected="0">
              <x v="3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4">
      <pivotAreas count="1">
        <pivotArea outline="0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scope="data" priority="3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7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rgb="FFFF0000"/>
  </sheetPr>
  <dimension ref="A1:AK34"/>
  <sheetViews>
    <sheetView topLeftCell="L1" workbookViewId="0">
      <pane ySplit="5" topLeftCell="A6" activePane="bottomLeft" state="frozen"/>
      <selection activeCell="C14" sqref="C14"/>
      <selection pane="bottomLeft" activeCell="S20" sqref="S20"/>
    </sheetView>
  </sheetViews>
  <sheetFormatPr defaultColWidth="9.140625" defaultRowHeight="15" outlineLevelRow="1" outlineLevelCol="1" x14ac:dyDescent="0.25"/>
  <cols>
    <col min="1" max="1" width="12.5703125" customWidth="1" outlineLevel="1"/>
    <col min="2" max="2" width="6" style="7" customWidth="1"/>
    <col min="3" max="3" width="10" style="7" customWidth="1"/>
    <col min="4" max="4" width="37" style="6" customWidth="1"/>
    <col min="5" max="5" width="11.85546875" style="7" customWidth="1"/>
    <col min="6" max="6" width="42.85546875" style="6" bestFit="1" customWidth="1"/>
    <col min="7" max="7" width="16.28515625" style="6" bestFit="1" customWidth="1"/>
    <col min="8" max="8" width="18.42578125" style="6" customWidth="1"/>
    <col min="9" max="9" width="20.42578125" style="6" customWidth="1"/>
    <col min="10" max="10" width="17.7109375" style="6" customWidth="1"/>
    <col min="11" max="11" width="16.42578125" style="6" customWidth="1"/>
    <col min="12" max="12" width="16.5703125" style="6" customWidth="1"/>
    <col min="13" max="13" width="17.28515625" style="6" customWidth="1"/>
    <col min="14" max="14" width="20.5703125" style="6" customWidth="1"/>
    <col min="15" max="15" width="18.28515625" style="6" customWidth="1"/>
    <col min="16" max="16" width="20.7109375" style="6" customWidth="1"/>
    <col min="17" max="17" width="19.5703125" style="6" customWidth="1"/>
    <col min="18" max="18" width="21.28515625" style="6" customWidth="1"/>
    <col min="19" max="22" width="21" style="6" customWidth="1"/>
    <col min="23" max="23" width="17.5703125" style="6" customWidth="1"/>
    <col min="24" max="24" width="19.28515625" style="6" customWidth="1"/>
    <col min="25" max="25" width="15.85546875" style="6" customWidth="1" outlineLevel="1"/>
    <col min="26" max="26" width="15.7109375" style="6" customWidth="1" outlineLevel="1"/>
    <col min="27" max="27" width="16.5703125" style="6" customWidth="1" outlineLevel="1"/>
    <col min="28" max="29" width="16" style="6" customWidth="1" outlineLevel="1"/>
    <col min="30" max="30" width="15.85546875" style="6" customWidth="1" outlineLevel="1"/>
    <col min="31" max="31" width="15.42578125" style="6" customWidth="1" outlineLevel="1"/>
    <col min="32" max="32" width="16.42578125" style="6" customWidth="1" outlineLevel="1"/>
    <col min="33" max="33" width="15.42578125" style="6" customWidth="1" outlineLevel="1"/>
    <col min="34" max="34" width="16.140625" style="6" customWidth="1" outlineLevel="1"/>
    <col min="35" max="35" width="16.5703125" style="6" customWidth="1" outlineLevel="1"/>
    <col min="36" max="36" width="15.7109375" style="6" customWidth="1" outlineLevel="1"/>
    <col min="37" max="37" width="13.28515625" bestFit="1" customWidth="1"/>
  </cols>
  <sheetData>
    <row r="1" spans="1:37" s="52" customFormat="1" ht="15.75" x14ac:dyDescent="0.25">
      <c r="B1" s="25" t="s">
        <v>77</v>
      </c>
      <c r="C1" s="62"/>
      <c r="D1" s="63"/>
      <c r="E1" s="62"/>
      <c r="F1" s="63"/>
      <c r="G1" s="67">
        <f>ROUND(G4-SUM(H4:S4),4)</f>
        <v>0</v>
      </c>
      <c r="H1" s="68">
        <v>1</v>
      </c>
      <c r="I1" s="69">
        <f>H1+1</f>
        <v>2</v>
      </c>
      <c r="J1" s="69">
        <f t="shared" ref="J1:S1" si="0">I1+1</f>
        <v>3</v>
      </c>
      <c r="K1" s="69">
        <f t="shared" si="0"/>
        <v>4</v>
      </c>
      <c r="L1" s="69">
        <f t="shared" si="0"/>
        <v>5</v>
      </c>
      <c r="M1" s="69">
        <f t="shared" si="0"/>
        <v>6</v>
      </c>
      <c r="N1" s="69">
        <f t="shared" si="0"/>
        <v>7</v>
      </c>
      <c r="O1" s="69">
        <f t="shared" si="0"/>
        <v>8</v>
      </c>
      <c r="P1" s="69">
        <f t="shared" si="0"/>
        <v>9</v>
      </c>
      <c r="Q1" s="69">
        <f t="shared" si="0"/>
        <v>10</v>
      </c>
      <c r="R1" s="69">
        <f t="shared" si="0"/>
        <v>11</v>
      </c>
      <c r="S1" s="69">
        <f t="shared" si="0"/>
        <v>12</v>
      </c>
      <c r="T1" s="71">
        <v>9</v>
      </c>
      <c r="U1" s="63"/>
      <c r="V1" s="70"/>
      <c r="W1" s="70"/>
      <c r="X1" s="77"/>
      <c r="Y1" s="63">
        <v>1</v>
      </c>
      <c r="Z1" s="64">
        <f>Y1+1</f>
        <v>2</v>
      </c>
      <c r="AA1" s="64">
        <f t="shared" ref="AA1:AJ1" si="1">Z1+1</f>
        <v>3</v>
      </c>
      <c r="AB1" s="64">
        <f t="shared" si="1"/>
        <v>4</v>
      </c>
      <c r="AC1" s="64">
        <f t="shared" si="1"/>
        <v>5</v>
      </c>
      <c r="AD1" s="64">
        <f t="shared" si="1"/>
        <v>6</v>
      </c>
      <c r="AE1" s="64">
        <f t="shared" si="1"/>
        <v>7</v>
      </c>
      <c r="AF1" s="64">
        <f t="shared" si="1"/>
        <v>8</v>
      </c>
      <c r="AG1" s="64">
        <f t="shared" si="1"/>
        <v>9</v>
      </c>
      <c r="AH1" s="64">
        <f t="shared" si="1"/>
        <v>10</v>
      </c>
      <c r="AI1" s="64">
        <f t="shared" si="1"/>
        <v>11</v>
      </c>
      <c r="AJ1" s="64">
        <f t="shared" si="1"/>
        <v>12</v>
      </c>
    </row>
    <row r="2" spans="1:37" outlineLevel="1" x14ac:dyDescent="0.25">
      <c r="A2" s="14"/>
      <c r="C2" s="24"/>
      <c r="D2" s="14"/>
      <c r="E2" s="24"/>
      <c r="F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31" t="s">
        <v>43</v>
      </c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7" outlineLevel="1" x14ac:dyDescent="0.25">
      <c r="A3" s="10"/>
      <c r="B3" s="11"/>
      <c r="C3" s="11"/>
      <c r="D3" s="10"/>
      <c r="E3" s="11"/>
      <c r="F3" s="26" t="s">
        <v>23</v>
      </c>
      <c r="G3" s="26"/>
      <c r="H3" s="44">
        <f>H4</f>
        <v>3320</v>
      </c>
      <c r="I3" s="44">
        <f>I4+H4</f>
        <v>7310</v>
      </c>
      <c r="J3" s="44">
        <f>J4+I3</f>
        <v>24282</v>
      </c>
      <c r="K3" s="44">
        <f t="shared" ref="K3:S3" si="2">K4+J3</f>
        <v>28388</v>
      </c>
      <c r="L3" s="44">
        <f t="shared" si="2"/>
        <v>35469</v>
      </c>
      <c r="M3" s="44">
        <f t="shared" si="2"/>
        <v>42601</v>
      </c>
      <c r="N3" s="44">
        <f t="shared" si="2"/>
        <v>47390</v>
      </c>
      <c r="O3" s="44">
        <f t="shared" si="2"/>
        <v>52946</v>
      </c>
      <c r="P3" s="44">
        <f t="shared" si="2"/>
        <v>56107</v>
      </c>
      <c r="Q3" s="44">
        <f t="shared" si="2"/>
        <v>56107</v>
      </c>
      <c r="R3" s="44">
        <f t="shared" si="2"/>
        <v>56107</v>
      </c>
      <c r="S3" s="44">
        <f t="shared" si="2"/>
        <v>56107</v>
      </c>
      <c r="T3" s="26"/>
      <c r="U3" s="26"/>
      <c r="V3" s="26"/>
      <c r="W3" s="26"/>
      <c r="X3" s="34">
        <f>SUM(Y4:AJ4)-X4</f>
        <v>0</v>
      </c>
      <c r="Y3" s="17">
        <f>Y4</f>
        <v>10607</v>
      </c>
      <c r="Z3" s="17">
        <f>Z4+Y3</f>
        <v>20167</v>
      </c>
      <c r="AA3" s="17">
        <f>AA4+Z3</f>
        <v>26688</v>
      </c>
      <c r="AB3" s="17">
        <f t="shared" ref="AB3:AJ3" si="3">AB4+AA3</f>
        <v>38168</v>
      </c>
      <c r="AC3" s="17">
        <f t="shared" si="3"/>
        <v>48077</v>
      </c>
      <c r="AD3" s="17">
        <f t="shared" si="3"/>
        <v>58683</v>
      </c>
      <c r="AE3" s="17">
        <f t="shared" si="3"/>
        <v>66639</v>
      </c>
      <c r="AF3" s="17">
        <f t="shared" si="3"/>
        <v>74947</v>
      </c>
      <c r="AG3" s="17">
        <f t="shared" si="3"/>
        <v>82152</v>
      </c>
      <c r="AH3" s="17">
        <f t="shared" si="3"/>
        <v>91072</v>
      </c>
      <c r="AI3" s="17">
        <f t="shared" si="3"/>
        <v>102893</v>
      </c>
      <c r="AJ3" s="17">
        <f t="shared" si="3"/>
        <v>111098</v>
      </c>
    </row>
    <row r="4" spans="1:37" outlineLevel="1" x14ac:dyDescent="0.25">
      <c r="A4" s="8"/>
      <c r="B4" s="9"/>
      <c r="C4" s="9"/>
      <c r="D4" s="13"/>
      <c r="E4" s="13"/>
      <c r="F4" s="12" t="s">
        <v>24</v>
      </c>
      <c r="G4" s="66">
        <f t="shared" ref="G4:S4" si="4">SUM(G19:G1048576)</f>
        <v>56107</v>
      </c>
      <c r="H4" s="65">
        <f t="shared" si="4"/>
        <v>3320</v>
      </c>
      <c r="I4" s="65">
        <f t="shared" si="4"/>
        <v>3990</v>
      </c>
      <c r="J4" s="65">
        <f t="shared" si="4"/>
        <v>16972</v>
      </c>
      <c r="K4" s="65">
        <f t="shared" si="4"/>
        <v>4106</v>
      </c>
      <c r="L4" s="65">
        <f t="shared" si="4"/>
        <v>7081</v>
      </c>
      <c r="M4" s="65">
        <f t="shared" si="4"/>
        <v>7132</v>
      </c>
      <c r="N4" s="65">
        <f t="shared" si="4"/>
        <v>4789</v>
      </c>
      <c r="O4" s="65">
        <f t="shared" si="4"/>
        <v>5556</v>
      </c>
      <c r="P4" s="65">
        <f t="shared" si="4"/>
        <v>3161</v>
      </c>
      <c r="Q4" s="65">
        <f t="shared" si="4"/>
        <v>0</v>
      </c>
      <c r="R4" s="65">
        <f t="shared" si="4"/>
        <v>0</v>
      </c>
      <c r="S4" s="65">
        <f t="shared" si="4"/>
        <v>0</v>
      </c>
      <c r="T4" s="99">
        <f>SUBTOTAL(9,T5:T1048576)</f>
        <v>3161</v>
      </c>
      <c r="U4" s="99">
        <f>SUBTOTAL(9,U5:U1048576)</f>
        <v>56107</v>
      </c>
      <c r="V4" s="99">
        <f>SUBTOTAL(9,V5:V1048576)</f>
        <v>7205</v>
      </c>
      <c r="W4" s="99">
        <f>SUBTOTAL(9,W5:W1048576)</f>
        <v>82152</v>
      </c>
      <c r="X4" s="32">
        <f t="shared" ref="X4:AJ4" si="5">SUBTOTAL(9,X6:X1048576)</f>
        <v>111098</v>
      </c>
      <c r="Y4" s="19">
        <f t="shared" si="5"/>
        <v>10607</v>
      </c>
      <c r="Z4" s="19">
        <f t="shared" si="5"/>
        <v>9560</v>
      </c>
      <c r="AA4" s="19">
        <f t="shared" si="5"/>
        <v>6521</v>
      </c>
      <c r="AB4" s="19">
        <f t="shared" si="5"/>
        <v>11480</v>
      </c>
      <c r="AC4" s="19">
        <f t="shared" si="5"/>
        <v>9909</v>
      </c>
      <c r="AD4" s="19">
        <f t="shared" si="5"/>
        <v>10606</v>
      </c>
      <c r="AE4" s="19">
        <f t="shared" si="5"/>
        <v>7956</v>
      </c>
      <c r="AF4" s="19">
        <f t="shared" si="5"/>
        <v>8308</v>
      </c>
      <c r="AG4" s="19">
        <f t="shared" si="5"/>
        <v>7205</v>
      </c>
      <c r="AH4" s="19">
        <f t="shared" si="5"/>
        <v>8920</v>
      </c>
      <c r="AI4" s="19">
        <f t="shared" si="5"/>
        <v>11821</v>
      </c>
      <c r="AJ4" s="19">
        <f t="shared" si="5"/>
        <v>8205</v>
      </c>
      <c r="AK4" s="37"/>
    </row>
    <row r="5" spans="1:37" x14ac:dyDescent="0.25">
      <c r="A5" s="48" t="s">
        <v>88</v>
      </c>
      <c r="B5" s="39" t="s">
        <v>29</v>
      </c>
      <c r="C5" s="39" t="s">
        <v>0</v>
      </c>
      <c r="D5" s="40" t="s">
        <v>1</v>
      </c>
      <c r="E5" s="41" t="s">
        <v>2</v>
      </c>
      <c r="F5" s="42" t="s">
        <v>26</v>
      </c>
      <c r="G5" s="43" t="s">
        <v>78</v>
      </c>
      <c r="H5" s="43" t="s">
        <v>57</v>
      </c>
      <c r="I5" s="43" t="s">
        <v>58</v>
      </c>
      <c r="J5" s="43" t="s">
        <v>59</v>
      </c>
      <c r="K5" s="43" t="s">
        <v>60</v>
      </c>
      <c r="L5" s="43" t="s">
        <v>61</v>
      </c>
      <c r="M5" s="43" t="s">
        <v>62</v>
      </c>
      <c r="N5" s="43" t="s">
        <v>63</v>
      </c>
      <c r="O5" s="43" t="s">
        <v>64</v>
      </c>
      <c r="P5" s="43" t="s">
        <v>65</v>
      </c>
      <c r="Q5" s="43" t="s">
        <v>66</v>
      </c>
      <c r="R5" s="43" t="s">
        <v>67</v>
      </c>
      <c r="S5" s="43" t="s">
        <v>68</v>
      </c>
      <c r="T5" s="100" t="s">
        <v>69</v>
      </c>
      <c r="U5" s="100" t="s">
        <v>71</v>
      </c>
      <c r="V5" s="100" t="s">
        <v>70</v>
      </c>
      <c r="W5" s="100" t="s">
        <v>72</v>
      </c>
      <c r="X5" s="28" t="s">
        <v>30</v>
      </c>
      <c r="Y5" s="28" t="s">
        <v>31</v>
      </c>
      <c r="Z5" s="29" t="s">
        <v>32</v>
      </c>
      <c r="AA5" s="29" t="s">
        <v>33</v>
      </c>
      <c r="AB5" s="29" t="s">
        <v>34</v>
      </c>
      <c r="AC5" s="29" t="s">
        <v>35</v>
      </c>
      <c r="AD5" s="29" t="s">
        <v>36</v>
      </c>
      <c r="AE5" s="29" t="s">
        <v>37</v>
      </c>
      <c r="AF5" s="29" t="s">
        <v>38</v>
      </c>
      <c r="AG5" s="29" t="s">
        <v>39</v>
      </c>
      <c r="AH5" s="29" t="s">
        <v>40</v>
      </c>
      <c r="AI5" s="29" t="s">
        <v>41</v>
      </c>
      <c r="AJ5" s="30" t="s">
        <v>42</v>
      </c>
    </row>
    <row r="6" spans="1:37" outlineLevel="1" x14ac:dyDescent="0.25">
      <c r="A6" t="str">
        <f t="shared" ref="A6:A34" si="6">IF(SUM(T6:W6)&lt;&gt;0,"Valor","Sem Zero")</f>
        <v>Valor</v>
      </c>
      <c r="B6">
        <v>601</v>
      </c>
      <c r="C6" s="80">
        <v>200104</v>
      </c>
      <c r="D6" s="20" t="s">
        <v>87</v>
      </c>
      <c r="E6">
        <v>31103120</v>
      </c>
      <c r="F6" t="s">
        <v>13</v>
      </c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/>
      <c r="U6" s="38"/>
      <c r="V6" s="36">
        <f t="shared" ref="V6:V7" si="7">INDEX(Y6:AJ6,MATCH(chave,mesesppto))</f>
        <v>0</v>
      </c>
      <c r="W6" s="38">
        <f t="shared" ref="W6:W7" si="8">SUMIFS(Y6:AJ6,mesesppto,"&lt;="&amp;chave)</f>
        <v>1020</v>
      </c>
      <c r="X6" s="21">
        <f t="shared" ref="X6:X7" si="9">SUM(Y6:AJ6)</f>
        <v>1020</v>
      </c>
      <c r="Y6" s="22"/>
      <c r="Z6" s="22">
        <v>212</v>
      </c>
      <c r="AA6" s="22"/>
      <c r="AB6" s="22">
        <v>808</v>
      </c>
      <c r="AC6" s="22"/>
      <c r="AD6" s="22"/>
      <c r="AE6" s="22"/>
      <c r="AF6" s="22"/>
      <c r="AG6" s="22"/>
      <c r="AH6" s="22"/>
      <c r="AI6" s="22"/>
      <c r="AJ6" s="22"/>
    </row>
    <row r="7" spans="1:37" outlineLevel="1" x14ac:dyDescent="0.25">
      <c r="A7" t="str">
        <f t="shared" si="6"/>
        <v>Valor</v>
      </c>
      <c r="B7">
        <v>601</v>
      </c>
      <c r="C7" s="80">
        <v>100202</v>
      </c>
      <c r="D7" t="s">
        <v>4</v>
      </c>
      <c r="E7">
        <v>31104131</v>
      </c>
      <c r="F7" t="s">
        <v>28</v>
      </c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/>
      <c r="U7" s="38"/>
      <c r="V7" s="36">
        <f t="shared" si="7"/>
        <v>669</v>
      </c>
      <c r="W7" s="33">
        <f t="shared" si="8"/>
        <v>5545</v>
      </c>
      <c r="X7" s="21">
        <f t="shared" si="9"/>
        <v>7860</v>
      </c>
      <c r="Y7" s="6">
        <v>807</v>
      </c>
      <c r="Z7" s="6">
        <v>768</v>
      </c>
      <c r="AA7" s="6">
        <v>159</v>
      </c>
      <c r="AB7" s="6">
        <v>1455</v>
      </c>
      <c r="AC7" s="6">
        <v>302</v>
      </c>
      <c r="AD7" s="6">
        <v>393</v>
      </c>
      <c r="AE7" s="6">
        <v>789</v>
      </c>
      <c r="AF7" s="6">
        <v>203</v>
      </c>
      <c r="AG7" s="6">
        <v>669</v>
      </c>
      <c r="AH7" s="6">
        <v>251</v>
      </c>
      <c r="AI7" s="6">
        <v>1219</v>
      </c>
      <c r="AJ7" s="6">
        <v>845</v>
      </c>
    </row>
    <row r="8" spans="1:37" outlineLevel="1" x14ac:dyDescent="0.25">
      <c r="A8" t="str">
        <f t="shared" si="6"/>
        <v>Valor</v>
      </c>
      <c r="B8">
        <v>601</v>
      </c>
      <c r="C8" s="80">
        <v>100202</v>
      </c>
      <c r="D8" t="s">
        <v>4</v>
      </c>
      <c r="E8">
        <v>31101011</v>
      </c>
      <c r="F8" t="s">
        <v>12</v>
      </c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/>
      <c r="U8" s="38"/>
      <c r="V8" s="36">
        <f t="shared" ref="V8:V13" si="10">INDEX(Y8:AJ8,MATCH(chave,mesesppto))</f>
        <v>644</v>
      </c>
      <c r="W8" s="33">
        <f t="shared" ref="W8:W13" si="11">SUMIFS(Y8:AJ8,mesesppto,"&lt;="&amp;chave)</f>
        <v>8523</v>
      </c>
      <c r="X8" s="21">
        <f t="shared" ref="X8:X13" si="12">SUM(Y8:AJ8)</f>
        <v>11263</v>
      </c>
      <c r="Y8" s="23">
        <v>1093</v>
      </c>
      <c r="Z8" s="23">
        <v>1024</v>
      </c>
      <c r="AA8" s="23">
        <v>909</v>
      </c>
      <c r="AB8" s="23">
        <v>663</v>
      </c>
      <c r="AC8" s="23">
        <v>1526</v>
      </c>
      <c r="AD8" s="23">
        <v>1050</v>
      </c>
      <c r="AE8" s="23">
        <v>1062</v>
      </c>
      <c r="AF8" s="23">
        <v>552</v>
      </c>
      <c r="AG8" s="23">
        <v>644</v>
      </c>
      <c r="AH8" s="23">
        <v>481</v>
      </c>
      <c r="AI8" s="23">
        <v>1109</v>
      </c>
      <c r="AJ8" s="23">
        <v>1150</v>
      </c>
    </row>
    <row r="9" spans="1:37" outlineLevel="1" x14ac:dyDescent="0.25">
      <c r="A9" t="str">
        <f t="shared" si="6"/>
        <v>Valor</v>
      </c>
      <c r="B9">
        <v>601</v>
      </c>
      <c r="C9" s="80">
        <v>100202</v>
      </c>
      <c r="D9" t="s">
        <v>4</v>
      </c>
      <c r="E9">
        <v>31101031</v>
      </c>
      <c r="F9" t="s">
        <v>11</v>
      </c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/>
      <c r="U9" s="38"/>
      <c r="V9" s="36">
        <f t="shared" si="10"/>
        <v>444</v>
      </c>
      <c r="W9" s="33">
        <f t="shared" si="11"/>
        <v>7104</v>
      </c>
      <c r="X9" s="21">
        <f t="shared" si="12"/>
        <v>9188</v>
      </c>
      <c r="Y9" s="23">
        <v>1091</v>
      </c>
      <c r="Z9" s="23">
        <v>642</v>
      </c>
      <c r="AA9" s="23">
        <v>181</v>
      </c>
      <c r="AB9" s="23">
        <v>735</v>
      </c>
      <c r="AC9" s="23">
        <v>1082</v>
      </c>
      <c r="AD9" s="23">
        <v>1514</v>
      </c>
      <c r="AE9" s="23">
        <v>338</v>
      </c>
      <c r="AF9" s="23">
        <v>1077</v>
      </c>
      <c r="AG9" s="23">
        <v>444</v>
      </c>
      <c r="AH9" s="23">
        <v>1122</v>
      </c>
      <c r="AI9" s="23">
        <v>783</v>
      </c>
      <c r="AJ9" s="23">
        <v>179</v>
      </c>
    </row>
    <row r="10" spans="1:37" outlineLevel="1" x14ac:dyDescent="0.25">
      <c r="A10" t="str">
        <f t="shared" si="6"/>
        <v>Valor</v>
      </c>
      <c r="B10">
        <v>601</v>
      </c>
      <c r="C10" s="80">
        <v>100202</v>
      </c>
      <c r="D10" t="s">
        <v>4</v>
      </c>
      <c r="E10">
        <v>31101041</v>
      </c>
      <c r="F10" t="s">
        <v>16</v>
      </c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/>
      <c r="U10" s="38"/>
      <c r="V10" s="36">
        <f t="shared" si="10"/>
        <v>206</v>
      </c>
      <c r="W10" s="33">
        <f t="shared" si="11"/>
        <v>5721</v>
      </c>
      <c r="X10" s="21">
        <f t="shared" si="12"/>
        <v>8384</v>
      </c>
      <c r="Y10" s="23">
        <v>532</v>
      </c>
      <c r="Z10" s="23">
        <v>141</v>
      </c>
      <c r="AA10" s="23">
        <v>1000</v>
      </c>
      <c r="AB10" s="23">
        <v>678</v>
      </c>
      <c r="AC10" s="23">
        <v>1421</v>
      </c>
      <c r="AD10" s="23">
        <v>345</v>
      </c>
      <c r="AE10" s="23">
        <v>739</v>
      </c>
      <c r="AF10" s="23">
        <v>659</v>
      </c>
      <c r="AG10" s="23">
        <v>206</v>
      </c>
      <c r="AH10" s="23">
        <v>927</v>
      </c>
      <c r="AI10" s="23">
        <v>1428</v>
      </c>
      <c r="AJ10" s="23">
        <v>308</v>
      </c>
    </row>
    <row r="11" spans="1:37" outlineLevel="1" x14ac:dyDescent="0.25">
      <c r="A11" t="str">
        <f t="shared" si="6"/>
        <v>Valor</v>
      </c>
      <c r="B11">
        <v>601</v>
      </c>
      <c r="C11" s="80">
        <v>100202</v>
      </c>
      <c r="D11" t="s">
        <v>4</v>
      </c>
      <c r="E11">
        <v>31101161</v>
      </c>
      <c r="F11" t="s">
        <v>17</v>
      </c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/>
      <c r="U11" s="38"/>
      <c r="V11" s="36">
        <f t="shared" si="10"/>
        <v>127</v>
      </c>
      <c r="W11" s="33">
        <f t="shared" si="11"/>
        <v>6431</v>
      </c>
      <c r="X11" s="21">
        <f t="shared" si="12"/>
        <v>8157</v>
      </c>
      <c r="Y11" s="23">
        <v>406</v>
      </c>
      <c r="Z11" s="23">
        <v>518</v>
      </c>
      <c r="AA11" s="23">
        <v>963</v>
      </c>
      <c r="AB11" s="23">
        <v>246</v>
      </c>
      <c r="AC11" s="23">
        <v>593</v>
      </c>
      <c r="AD11" s="23">
        <v>1550</v>
      </c>
      <c r="AE11" s="23">
        <v>1014</v>
      </c>
      <c r="AF11" s="23">
        <v>1014</v>
      </c>
      <c r="AG11" s="23">
        <v>127</v>
      </c>
      <c r="AH11" s="23">
        <v>885</v>
      </c>
      <c r="AI11" s="23">
        <v>526</v>
      </c>
      <c r="AJ11" s="23">
        <v>315</v>
      </c>
    </row>
    <row r="12" spans="1:37" outlineLevel="1" x14ac:dyDescent="0.25">
      <c r="A12" t="str">
        <f t="shared" si="6"/>
        <v>Valor</v>
      </c>
      <c r="B12">
        <v>601</v>
      </c>
      <c r="C12" s="80">
        <v>100202</v>
      </c>
      <c r="D12" t="s">
        <v>4</v>
      </c>
      <c r="E12">
        <v>31101511</v>
      </c>
      <c r="F12" t="s">
        <v>18</v>
      </c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/>
      <c r="U12" s="38"/>
      <c r="V12" s="36">
        <f t="shared" si="10"/>
        <v>236</v>
      </c>
      <c r="W12" s="33">
        <f t="shared" si="11"/>
        <v>5881</v>
      </c>
      <c r="X12" s="21">
        <f t="shared" si="12"/>
        <v>8754</v>
      </c>
      <c r="Y12" s="23">
        <v>381</v>
      </c>
      <c r="Z12" s="23">
        <v>1256</v>
      </c>
      <c r="AA12" s="23">
        <v>1008</v>
      </c>
      <c r="AB12" s="23">
        <v>1437</v>
      </c>
      <c r="AC12" s="23">
        <v>523</v>
      </c>
      <c r="AD12" s="23">
        <v>523</v>
      </c>
      <c r="AE12" s="23">
        <v>118</v>
      </c>
      <c r="AF12" s="23">
        <v>399</v>
      </c>
      <c r="AG12" s="23">
        <v>236</v>
      </c>
      <c r="AH12" s="23">
        <v>280</v>
      </c>
      <c r="AI12" s="23">
        <v>1319</v>
      </c>
      <c r="AJ12" s="23">
        <v>1274</v>
      </c>
    </row>
    <row r="13" spans="1:37" outlineLevel="1" x14ac:dyDescent="0.25">
      <c r="A13" t="str">
        <f t="shared" si="6"/>
        <v>Valor</v>
      </c>
      <c r="B13">
        <v>601</v>
      </c>
      <c r="C13" s="80">
        <v>100202</v>
      </c>
      <c r="D13" t="s">
        <v>4</v>
      </c>
      <c r="E13">
        <v>31101091</v>
      </c>
      <c r="F13" t="s">
        <v>10</v>
      </c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/>
      <c r="U13" s="38"/>
      <c r="V13" s="36">
        <f t="shared" si="10"/>
        <v>273</v>
      </c>
      <c r="W13" s="33">
        <f t="shared" si="11"/>
        <v>6997</v>
      </c>
      <c r="X13" s="21">
        <f t="shared" si="12"/>
        <v>10397</v>
      </c>
      <c r="Y13" s="23">
        <v>357</v>
      </c>
      <c r="Z13" s="23">
        <v>481</v>
      </c>
      <c r="AA13" s="23">
        <v>674</v>
      </c>
      <c r="AB13" s="23">
        <v>1260</v>
      </c>
      <c r="AC13" s="23">
        <v>884</v>
      </c>
      <c r="AD13" s="23">
        <v>1460</v>
      </c>
      <c r="AE13" s="23">
        <v>173</v>
      </c>
      <c r="AF13" s="23">
        <v>1435</v>
      </c>
      <c r="AG13" s="23">
        <v>273</v>
      </c>
      <c r="AH13" s="23">
        <v>906</v>
      </c>
      <c r="AI13" s="23">
        <v>1076</v>
      </c>
      <c r="AJ13" s="23">
        <v>1418</v>
      </c>
    </row>
    <row r="14" spans="1:37" outlineLevel="1" x14ac:dyDescent="0.25">
      <c r="A14" t="str">
        <f t="shared" si="6"/>
        <v>Valor</v>
      </c>
      <c r="B14">
        <v>601</v>
      </c>
      <c r="C14" s="80">
        <v>100202</v>
      </c>
      <c r="D14" t="s">
        <v>4</v>
      </c>
      <c r="E14">
        <v>31108117</v>
      </c>
      <c r="F14" t="s">
        <v>3</v>
      </c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/>
      <c r="U14" s="38"/>
      <c r="V14" s="36">
        <f t="shared" ref="V14:V18" si="13">INDEX(Y14:AJ14,MATCH(chave,mesesppto))</f>
        <v>0</v>
      </c>
      <c r="W14" s="38">
        <f t="shared" ref="W14:W18" si="14">SUMIFS(Y14:AJ14,mesesppto,"&lt;="&amp;chave)</f>
        <v>3347</v>
      </c>
      <c r="X14" s="21">
        <f t="shared" ref="X14:X18" si="15">SUM(Y14:AJ14)</f>
        <v>3347</v>
      </c>
      <c r="Y14" s="6">
        <v>1042</v>
      </c>
      <c r="Z14" s="6">
        <v>1087</v>
      </c>
      <c r="AA14" s="6">
        <v>249</v>
      </c>
      <c r="AB14" s="6">
        <v>969</v>
      </c>
    </row>
    <row r="15" spans="1:37" outlineLevel="1" x14ac:dyDescent="0.25">
      <c r="A15" t="str">
        <f t="shared" si="6"/>
        <v>Valor</v>
      </c>
      <c r="B15">
        <v>601</v>
      </c>
      <c r="C15" s="80">
        <v>200102</v>
      </c>
      <c r="D15" t="s">
        <v>5</v>
      </c>
      <c r="E15">
        <v>31103129</v>
      </c>
      <c r="F15" t="s">
        <v>21</v>
      </c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/>
      <c r="U15" s="38"/>
      <c r="V15" s="36">
        <f t="shared" si="13"/>
        <v>1156</v>
      </c>
      <c r="W15" s="33">
        <f t="shared" si="14"/>
        <v>9711</v>
      </c>
      <c r="X15" s="21">
        <f t="shared" si="15"/>
        <v>11441</v>
      </c>
      <c r="Y15" s="6">
        <v>1407</v>
      </c>
      <c r="Z15" s="6">
        <v>982</v>
      </c>
      <c r="AA15" s="6">
        <v>717</v>
      </c>
      <c r="AB15" s="6">
        <v>1485</v>
      </c>
      <c r="AC15" s="6">
        <v>1330</v>
      </c>
      <c r="AD15" s="6">
        <v>561</v>
      </c>
      <c r="AE15" s="6">
        <v>1280</v>
      </c>
      <c r="AF15" s="6">
        <v>793</v>
      </c>
      <c r="AG15" s="6">
        <v>1156</v>
      </c>
      <c r="AH15" s="6">
        <v>483</v>
      </c>
      <c r="AI15" s="6">
        <v>852</v>
      </c>
      <c r="AJ15" s="6">
        <v>395</v>
      </c>
    </row>
    <row r="16" spans="1:37" outlineLevel="1" x14ac:dyDescent="0.25">
      <c r="A16" t="str">
        <f t="shared" si="6"/>
        <v>Valor</v>
      </c>
      <c r="B16">
        <v>601</v>
      </c>
      <c r="C16" s="80">
        <v>200102</v>
      </c>
      <c r="D16" t="s">
        <v>5</v>
      </c>
      <c r="E16">
        <v>31103146</v>
      </c>
      <c r="F16" t="s">
        <v>15</v>
      </c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/>
      <c r="U16" s="38"/>
      <c r="V16" s="36">
        <f t="shared" si="13"/>
        <v>1440</v>
      </c>
      <c r="W16" s="38">
        <f t="shared" si="14"/>
        <v>7735</v>
      </c>
      <c r="X16" s="21">
        <f t="shared" si="15"/>
        <v>11281</v>
      </c>
      <c r="Y16" s="6">
        <v>1386</v>
      </c>
      <c r="Z16" s="6">
        <v>1518</v>
      </c>
      <c r="AA16" s="6">
        <v>303</v>
      </c>
      <c r="AB16" s="6">
        <v>493</v>
      </c>
      <c r="AC16" s="6">
        <v>321</v>
      </c>
      <c r="AD16" s="6">
        <v>1013</v>
      </c>
      <c r="AE16" s="6">
        <v>1107</v>
      </c>
      <c r="AF16" s="6">
        <v>154</v>
      </c>
      <c r="AG16" s="6">
        <v>1440</v>
      </c>
      <c r="AH16" s="6">
        <v>1242</v>
      </c>
      <c r="AI16" s="6">
        <v>1510</v>
      </c>
      <c r="AJ16" s="6">
        <v>794</v>
      </c>
    </row>
    <row r="17" spans="1:36" outlineLevel="1" x14ac:dyDescent="0.25">
      <c r="A17" t="str">
        <f t="shared" si="6"/>
        <v>Valor</v>
      </c>
      <c r="B17">
        <v>601</v>
      </c>
      <c r="C17" s="80">
        <v>200102</v>
      </c>
      <c r="D17" t="s">
        <v>5</v>
      </c>
      <c r="E17">
        <v>31103148</v>
      </c>
      <c r="F17" t="s">
        <v>7</v>
      </c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/>
      <c r="U17" s="38"/>
      <c r="V17" s="36">
        <f t="shared" si="13"/>
        <v>1407</v>
      </c>
      <c r="W17" s="38">
        <f t="shared" si="14"/>
        <v>8332</v>
      </c>
      <c r="X17" s="21">
        <f t="shared" si="15"/>
        <v>10921</v>
      </c>
      <c r="Y17" s="6">
        <v>1326</v>
      </c>
      <c r="Z17" s="6">
        <v>549</v>
      </c>
      <c r="AA17" s="6">
        <v>230</v>
      </c>
      <c r="AB17" s="6">
        <v>237</v>
      </c>
      <c r="AC17" s="6">
        <v>1382</v>
      </c>
      <c r="AD17" s="6">
        <v>1144</v>
      </c>
      <c r="AE17" s="6">
        <v>1082</v>
      </c>
      <c r="AF17" s="6">
        <v>975</v>
      </c>
      <c r="AG17" s="6">
        <v>1407</v>
      </c>
      <c r="AH17" s="6">
        <v>915</v>
      </c>
      <c r="AI17" s="6">
        <v>818</v>
      </c>
      <c r="AJ17" s="6">
        <v>856</v>
      </c>
    </row>
    <row r="18" spans="1:36" outlineLevel="1" x14ac:dyDescent="0.25">
      <c r="A18" t="str">
        <f t="shared" si="6"/>
        <v>Valor</v>
      </c>
      <c r="B18">
        <v>601</v>
      </c>
      <c r="C18" s="80">
        <v>200102</v>
      </c>
      <c r="D18" t="s">
        <v>5</v>
      </c>
      <c r="E18">
        <v>31108117</v>
      </c>
      <c r="F18" t="s">
        <v>3</v>
      </c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/>
      <c r="U18" s="38"/>
      <c r="V18" s="36">
        <f t="shared" si="13"/>
        <v>603</v>
      </c>
      <c r="W18" s="38">
        <f t="shared" si="14"/>
        <v>5805</v>
      </c>
      <c r="X18" s="21">
        <f t="shared" si="15"/>
        <v>9085</v>
      </c>
      <c r="Y18" s="6">
        <v>779</v>
      </c>
      <c r="Z18" s="6">
        <v>382</v>
      </c>
      <c r="AA18" s="6">
        <v>128</v>
      </c>
      <c r="AB18" s="6">
        <v>1014</v>
      </c>
      <c r="AC18" s="6">
        <v>545</v>
      </c>
      <c r="AD18" s="6">
        <v>1053</v>
      </c>
      <c r="AE18" s="6">
        <v>254</v>
      </c>
      <c r="AF18" s="6">
        <v>1047</v>
      </c>
      <c r="AG18" s="6">
        <v>603</v>
      </c>
      <c r="AH18" s="6">
        <v>1428</v>
      </c>
      <c r="AI18" s="6">
        <v>1181</v>
      </c>
      <c r="AJ18" s="6">
        <v>671</v>
      </c>
    </row>
    <row r="19" spans="1:36" x14ac:dyDescent="0.25">
      <c r="A19" t="str">
        <f t="shared" si="6"/>
        <v>Valor</v>
      </c>
      <c r="B19" s="7">
        <v>601</v>
      </c>
      <c r="C19" s="81">
        <v>100202</v>
      </c>
      <c r="D19" s="20" t="s">
        <v>4</v>
      </c>
      <c r="E19" s="79">
        <v>31101111</v>
      </c>
      <c r="F19" s="37" t="s">
        <v>6</v>
      </c>
      <c r="G19" s="21">
        <f>SUM(H19:S19)</f>
        <v>6096</v>
      </c>
      <c r="H19" s="84">
        <v>822</v>
      </c>
      <c r="I19" s="84">
        <v>175</v>
      </c>
      <c r="J19" s="84">
        <v>931</v>
      </c>
      <c r="K19" s="84">
        <v>260</v>
      </c>
      <c r="L19" s="84">
        <v>353</v>
      </c>
      <c r="M19" s="84">
        <v>519</v>
      </c>
      <c r="N19" s="84">
        <v>1086</v>
      </c>
      <c r="O19" s="84">
        <v>1044</v>
      </c>
      <c r="P19" s="84">
        <v>906</v>
      </c>
      <c r="Q19" s="2"/>
      <c r="R19" s="2"/>
      <c r="S19" s="2"/>
      <c r="T19" s="37">
        <f t="shared" ref="T19:T34" si="16">INDEX(H19:S19,MATCH(chave,mesesreal,0))</f>
        <v>906</v>
      </c>
      <c r="U19" s="15">
        <f t="shared" ref="U19:U34" si="17">SUMIFS(H19:S19,mesesreal,"&lt;="&amp;chave)</f>
        <v>6096</v>
      </c>
      <c r="V19" s="36">
        <f t="shared" ref="V19:V33" si="18">INDEX(Y19:AJ19,MATCH(chave,mesesppto))</f>
        <v>0</v>
      </c>
      <c r="W19" s="38">
        <f t="shared" ref="W19:W33" si="19">SUMIFS(Y19:AJ19,mesesppto,"&lt;="&amp;chave)</f>
        <v>0</v>
      </c>
      <c r="X19" s="21">
        <f t="shared" ref="X19:X33" si="20">SUM(Y19:AJ19)</f>
        <v>0</v>
      </c>
    </row>
    <row r="20" spans="1:36" x14ac:dyDescent="0.25">
      <c r="A20" t="str">
        <f t="shared" si="6"/>
        <v>Valor</v>
      </c>
      <c r="B20" s="7">
        <v>601</v>
      </c>
      <c r="C20" s="81">
        <v>100202</v>
      </c>
      <c r="D20" s="20" t="s">
        <v>4</v>
      </c>
      <c r="E20" s="79">
        <v>31101511</v>
      </c>
      <c r="F20" s="37" t="s">
        <v>18</v>
      </c>
      <c r="G20" s="21">
        <f t="shared" ref="G20:G34" si="21">SUM(H20:S20)</f>
        <v>5260</v>
      </c>
      <c r="H20" s="84">
        <v>840</v>
      </c>
      <c r="I20" s="84">
        <v>163</v>
      </c>
      <c r="J20" s="84">
        <v>288</v>
      </c>
      <c r="K20" s="84">
        <v>551</v>
      </c>
      <c r="L20" s="84">
        <v>680</v>
      </c>
      <c r="M20" s="84">
        <v>1050</v>
      </c>
      <c r="N20" s="84">
        <v>540</v>
      </c>
      <c r="O20" s="84">
        <v>743</v>
      </c>
      <c r="P20" s="84">
        <v>405</v>
      </c>
      <c r="Q20" s="2"/>
      <c r="R20" s="2"/>
      <c r="S20" s="2"/>
      <c r="T20" s="37">
        <f t="shared" si="16"/>
        <v>405</v>
      </c>
      <c r="U20" s="15">
        <f t="shared" si="17"/>
        <v>5260</v>
      </c>
      <c r="V20" s="36">
        <f t="shared" si="18"/>
        <v>0</v>
      </c>
      <c r="W20" s="38">
        <f t="shared" si="19"/>
        <v>0</v>
      </c>
      <c r="X20" s="21">
        <f t="shared" si="20"/>
        <v>0</v>
      </c>
    </row>
    <row r="21" spans="1:36" x14ac:dyDescent="0.25">
      <c r="A21" t="str">
        <f t="shared" si="6"/>
        <v>Valor</v>
      </c>
      <c r="B21" s="7">
        <v>601</v>
      </c>
      <c r="C21" s="81">
        <v>100202</v>
      </c>
      <c r="D21" s="20" t="s">
        <v>4</v>
      </c>
      <c r="E21" s="79">
        <v>31103109</v>
      </c>
      <c r="F21" s="37" t="s">
        <v>8</v>
      </c>
      <c r="G21" s="21">
        <f t="shared" si="21"/>
        <v>124</v>
      </c>
      <c r="H21" s="84"/>
      <c r="I21" s="84"/>
      <c r="J21" s="84"/>
      <c r="K21" s="84"/>
      <c r="L21" s="84"/>
      <c r="M21" s="84">
        <v>124</v>
      </c>
      <c r="N21" s="84"/>
      <c r="O21" s="84"/>
      <c r="P21" s="84"/>
      <c r="Q21" s="2"/>
      <c r="R21" s="2"/>
      <c r="S21" s="2"/>
      <c r="T21" s="37">
        <f t="shared" si="16"/>
        <v>0</v>
      </c>
      <c r="U21" s="15">
        <f t="shared" si="17"/>
        <v>124</v>
      </c>
      <c r="V21" s="36">
        <f t="shared" si="18"/>
        <v>0</v>
      </c>
      <c r="W21" s="38">
        <f t="shared" si="19"/>
        <v>0</v>
      </c>
      <c r="X21" s="21">
        <f t="shared" si="20"/>
        <v>0</v>
      </c>
    </row>
    <row r="22" spans="1:36" x14ac:dyDescent="0.25">
      <c r="A22" t="str">
        <f t="shared" si="6"/>
        <v>Valor</v>
      </c>
      <c r="B22" s="7">
        <v>601</v>
      </c>
      <c r="C22" s="81">
        <v>100202</v>
      </c>
      <c r="D22" s="20" t="s">
        <v>4</v>
      </c>
      <c r="E22" s="79">
        <v>31108117</v>
      </c>
      <c r="F22" s="37" t="s">
        <v>3</v>
      </c>
      <c r="G22" s="21">
        <f t="shared" si="21"/>
        <v>6055</v>
      </c>
      <c r="H22" s="84">
        <v>373</v>
      </c>
      <c r="I22" s="84">
        <v>1112</v>
      </c>
      <c r="J22" s="84">
        <v>1038</v>
      </c>
      <c r="K22" s="84">
        <v>939</v>
      </c>
      <c r="L22" s="84">
        <v>912</v>
      </c>
      <c r="M22" s="84">
        <v>107</v>
      </c>
      <c r="N22" s="84">
        <v>199</v>
      </c>
      <c r="O22" s="84">
        <v>1073</v>
      </c>
      <c r="P22" s="84">
        <v>302</v>
      </c>
      <c r="Q22" s="2"/>
      <c r="R22" s="2"/>
      <c r="S22" s="2"/>
      <c r="T22" s="37">
        <f t="shared" si="16"/>
        <v>302</v>
      </c>
      <c r="U22" s="15">
        <f t="shared" si="17"/>
        <v>6055</v>
      </c>
      <c r="V22" s="36">
        <f t="shared" si="18"/>
        <v>0</v>
      </c>
      <c r="W22" s="38">
        <f t="shared" si="19"/>
        <v>0</v>
      </c>
      <c r="X22" s="21">
        <f t="shared" si="20"/>
        <v>0</v>
      </c>
    </row>
    <row r="23" spans="1:36" x14ac:dyDescent="0.25">
      <c r="A23" t="str">
        <f t="shared" si="6"/>
        <v>Valor</v>
      </c>
      <c r="B23" s="7">
        <v>601</v>
      </c>
      <c r="C23" s="81">
        <v>200102</v>
      </c>
      <c r="D23" s="20" t="s">
        <v>5</v>
      </c>
      <c r="E23" s="79">
        <v>31103109</v>
      </c>
      <c r="F23" s="37" t="s">
        <v>8</v>
      </c>
      <c r="G23" s="21">
        <f t="shared" si="21"/>
        <v>705</v>
      </c>
      <c r="H23" s="84"/>
      <c r="I23" s="84"/>
      <c r="J23" s="84"/>
      <c r="K23" s="84"/>
      <c r="L23" s="84"/>
      <c r="M23" s="84">
        <v>705</v>
      </c>
      <c r="N23" s="84"/>
      <c r="O23" s="84"/>
      <c r="P23" s="84"/>
      <c r="Q23" s="2"/>
      <c r="R23" s="2"/>
      <c r="S23" s="2"/>
      <c r="T23" s="37">
        <f t="shared" si="16"/>
        <v>0</v>
      </c>
      <c r="U23" s="15">
        <f t="shared" si="17"/>
        <v>705</v>
      </c>
      <c r="V23" s="36">
        <f t="shared" si="18"/>
        <v>0</v>
      </c>
      <c r="W23" s="38">
        <f t="shared" si="19"/>
        <v>0</v>
      </c>
      <c r="X23" s="21">
        <f t="shared" si="20"/>
        <v>0</v>
      </c>
    </row>
    <row r="24" spans="1:36" x14ac:dyDescent="0.25">
      <c r="A24" t="str">
        <f t="shared" si="6"/>
        <v>Valor</v>
      </c>
      <c r="B24" s="7">
        <v>601</v>
      </c>
      <c r="C24" s="81">
        <v>200102</v>
      </c>
      <c r="D24" s="20" t="s">
        <v>5</v>
      </c>
      <c r="E24" s="79">
        <v>31103127</v>
      </c>
      <c r="F24" s="37" t="s">
        <v>14</v>
      </c>
      <c r="G24" s="21">
        <f t="shared" si="21"/>
        <v>814</v>
      </c>
      <c r="H24" s="84"/>
      <c r="I24" s="84"/>
      <c r="J24" s="84"/>
      <c r="K24" s="84"/>
      <c r="L24" s="84"/>
      <c r="M24" s="84">
        <v>814</v>
      </c>
      <c r="N24" s="84"/>
      <c r="O24" s="84"/>
      <c r="P24" s="84"/>
      <c r="Q24" s="2"/>
      <c r="R24" s="2"/>
      <c r="S24" s="2"/>
      <c r="T24" s="37">
        <f t="shared" si="16"/>
        <v>0</v>
      </c>
      <c r="U24" s="15">
        <f t="shared" si="17"/>
        <v>814</v>
      </c>
      <c r="V24" s="36">
        <f t="shared" si="18"/>
        <v>0</v>
      </c>
      <c r="W24" s="38">
        <f t="shared" si="19"/>
        <v>0</v>
      </c>
      <c r="X24" s="21">
        <f t="shared" si="20"/>
        <v>0</v>
      </c>
    </row>
    <row r="25" spans="1:36" x14ac:dyDescent="0.25">
      <c r="A25" t="str">
        <f t="shared" si="6"/>
        <v>Valor</v>
      </c>
      <c r="B25" s="7">
        <v>601</v>
      </c>
      <c r="C25" s="81">
        <v>200102</v>
      </c>
      <c r="D25" s="20" t="s">
        <v>5</v>
      </c>
      <c r="E25" s="79">
        <v>31103129</v>
      </c>
      <c r="F25" s="37" t="s">
        <v>21</v>
      </c>
      <c r="G25" s="21">
        <f t="shared" si="21"/>
        <v>5051</v>
      </c>
      <c r="H25" s="84">
        <v>968</v>
      </c>
      <c r="I25" s="84">
        <v>350</v>
      </c>
      <c r="J25" s="84">
        <v>273</v>
      </c>
      <c r="K25" s="84">
        <v>387</v>
      </c>
      <c r="L25" s="84">
        <v>581</v>
      </c>
      <c r="M25" s="84">
        <v>976</v>
      </c>
      <c r="N25" s="84">
        <v>331</v>
      </c>
      <c r="O25" s="84">
        <v>1185</v>
      </c>
      <c r="P25" s="84"/>
      <c r="Q25" s="2"/>
      <c r="R25" s="2"/>
      <c r="S25" s="2"/>
      <c r="T25" s="37">
        <f t="shared" si="16"/>
        <v>0</v>
      </c>
      <c r="U25" s="15">
        <f t="shared" si="17"/>
        <v>5051</v>
      </c>
      <c r="V25" s="36">
        <f t="shared" si="18"/>
        <v>0</v>
      </c>
      <c r="W25" s="38">
        <f t="shared" si="19"/>
        <v>0</v>
      </c>
      <c r="X25" s="21">
        <f t="shared" si="20"/>
        <v>0</v>
      </c>
    </row>
    <row r="26" spans="1:36" x14ac:dyDescent="0.25">
      <c r="A26" t="str">
        <f t="shared" si="6"/>
        <v>Valor</v>
      </c>
      <c r="B26" s="7">
        <v>601</v>
      </c>
      <c r="C26" s="81">
        <v>200102</v>
      </c>
      <c r="D26" s="20" t="s">
        <v>5</v>
      </c>
      <c r="E26" s="79">
        <v>31103131</v>
      </c>
      <c r="F26" s="37" t="s">
        <v>9</v>
      </c>
      <c r="G26" s="21">
        <f t="shared" si="21"/>
        <v>758</v>
      </c>
      <c r="H26" s="84"/>
      <c r="I26" s="84"/>
      <c r="J26" s="84"/>
      <c r="K26" s="84"/>
      <c r="L26" s="84">
        <v>758</v>
      </c>
      <c r="M26" s="84"/>
      <c r="N26" s="84"/>
      <c r="O26" s="84"/>
      <c r="P26" s="84"/>
      <c r="T26" s="37">
        <f t="shared" si="16"/>
        <v>0</v>
      </c>
      <c r="U26" s="15">
        <f t="shared" si="17"/>
        <v>758</v>
      </c>
      <c r="V26" s="36">
        <f t="shared" si="18"/>
        <v>0</v>
      </c>
      <c r="W26" s="38">
        <f t="shared" si="19"/>
        <v>0</v>
      </c>
      <c r="X26" s="21">
        <f t="shared" si="20"/>
        <v>0</v>
      </c>
    </row>
    <row r="27" spans="1:36" x14ac:dyDescent="0.25">
      <c r="A27" t="str">
        <f t="shared" si="6"/>
        <v>Valor</v>
      </c>
      <c r="B27" s="7">
        <v>601</v>
      </c>
      <c r="C27" s="81">
        <v>200102</v>
      </c>
      <c r="D27" s="20" t="s">
        <v>5</v>
      </c>
      <c r="E27" s="79">
        <v>31103146</v>
      </c>
      <c r="F27" s="37" t="s">
        <v>15</v>
      </c>
      <c r="G27" s="21">
        <f t="shared" si="21"/>
        <v>1350</v>
      </c>
      <c r="H27" s="84"/>
      <c r="I27" s="84"/>
      <c r="J27" s="84">
        <v>879</v>
      </c>
      <c r="K27" s="84"/>
      <c r="L27" s="84"/>
      <c r="M27" s="84"/>
      <c r="N27" s="84">
        <v>471</v>
      </c>
      <c r="O27" s="84"/>
      <c r="P27" s="84"/>
      <c r="T27" s="37">
        <f t="shared" si="16"/>
        <v>0</v>
      </c>
      <c r="U27" s="15">
        <f t="shared" si="17"/>
        <v>1350</v>
      </c>
      <c r="V27" s="36">
        <f t="shared" si="18"/>
        <v>0</v>
      </c>
      <c r="W27" s="38">
        <f t="shared" si="19"/>
        <v>0</v>
      </c>
      <c r="X27" s="21">
        <f t="shared" si="20"/>
        <v>0</v>
      </c>
    </row>
    <row r="28" spans="1:36" x14ac:dyDescent="0.25">
      <c r="A28" t="str">
        <f t="shared" si="6"/>
        <v>Valor</v>
      </c>
      <c r="B28" s="7">
        <v>601</v>
      </c>
      <c r="C28" s="81">
        <v>200102</v>
      </c>
      <c r="D28" s="20" t="s">
        <v>5</v>
      </c>
      <c r="E28" s="79">
        <v>31103148</v>
      </c>
      <c r="F28" s="37" t="s">
        <v>7</v>
      </c>
      <c r="G28" s="21">
        <f t="shared" si="21"/>
        <v>3236</v>
      </c>
      <c r="H28" s="84"/>
      <c r="I28" s="84">
        <v>347</v>
      </c>
      <c r="J28" s="84">
        <v>485</v>
      </c>
      <c r="K28" s="84">
        <v>148</v>
      </c>
      <c r="L28" s="84">
        <v>768</v>
      </c>
      <c r="M28" s="84">
        <v>1076</v>
      </c>
      <c r="N28" s="84">
        <v>189</v>
      </c>
      <c r="O28" s="84">
        <v>223</v>
      </c>
      <c r="P28" s="84"/>
      <c r="T28" s="37">
        <f t="shared" si="16"/>
        <v>0</v>
      </c>
      <c r="U28" s="15">
        <f t="shared" si="17"/>
        <v>3236</v>
      </c>
      <c r="V28" s="36">
        <f t="shared" si="18"/>
        <v>0</v>
      </c>
      <c r="W28" s="38">
        <f t="shared" si="19"/>
        <v>0</v>
      </c>
      <c r="X28" s="21">
        <f t="shared" si="20"/>
        <v>0</v>
      </c>
    </row>
    <row r="29" spans="1:36" x14ac:dyDescent="0.25">
      <c r="A29" t="str">
        <f t="shared" si="6"/>
        <v>Valor</v>
      </c>
      <c r="B29" s="7">
        <v>601</v>
      </c>
      <c r="C29" s="81">
        <v>200102</v>
      </c>
      <c r="D29" s="20" t="s">
        <v>5</v>
      </c>
      <c r="E29" s="79">
        <v>31104102</v>
      </c>
      <c r="F29" s="37" t="s">
        <v>20</v>
      </c>
      <c r="G29" s="21">
        <f t="shared" si="21"/>
        <v>4031</v>
      </c>
      <c r="H29" s="84"/>
      <c r="I29" s="84">
        <v>993</v>
      </c>
      <c r="J29" s="84">
        <v>463</v>
      </c>
      <c r="K29" s="84">
        <v>1217</v>
      </c>
      <c r="L29" s="84">
        <v>1132</v>
      </c>
      <c r="M29" s="84">
        <v>226</v>
      </c>
      <c r="N29" s="84"/>
      <c r="O29" s="84"/>
      <c r="P29" s="84"/>
      <c r="T29" s="37">
        <f t="shared" si="16"/>
        <v>0</v>
      </c>
      <c r="U29" s="15">
        <f t="shared" si="17"/>
        <v>4031</v>
      </c>
      <c r="V29" s="36">
        <f t="shared" si="18"/>
        <v>0</v>
      </c>
      <c r="W29" s="38">
        <f t="shared" si="19"/>
        <v>0</v>
      </c>
      <c r="X29" s="21">
        <f t="shared" si="20"/>
        <v>0</v>
      </c>
    </row>
    <row r="30" spans="1:36" x14ac:dyDescent="0.25">
      <c r="A30" t="str">
        <f t="shared" si="6"/>
        <v>Valor</v>
      </c>
      <c r="B30" s="7">
        <v>601</v>
      </c>
      <c r="C30" s="81">
        <v>200102</v>
      </c>
      <c r="D30" s="20" t="s">
        <v>5</v>
      </c>
      <c r="E30" s="79">
        <v>31104103</v>
      </c>
      <c r="F30" s="37" t="s">
        <v>22</v>
      </c>
      <c r="G30" s="21">
        <f t="shared" si="21"/>
        <v>994</v>
      </c>
      <c r="H30" s="84"/>
      <c r="I30" s="84"/>
      <c r="J30" s="84"/>
      <c r="K30" s="84"/>
      <c r="L30" s="84"/>
      <c r="M30" s="84">
        <v>535</v>
      </c>
      <c r="N30" s="84">
        <v>459</v>
      </c>
      <c r="O30" s="84"/>
      <c r="P30" s="84"/>
      <c r="T30" s="37">
        <f t="shared" si="16"/>
        <v>0</v>
      </c>
      <c r="U30" s="15">
        <f t="shared" si="17"/>
        <v>994</v>
      </c>
      <c r="V30" s="36">
        <f t="shared" si="18"/>
        <v>0</v>
      </c>
      <c r="W30" s="38">
        <f t="shared" si="19"/>
        <v>0</v>
      </c>
      <c r="X30" s="21">
        <f t="shared" si="20"/>
        <v>0</v>
      </c>
    </row>
    <row r="31" spans="1:36" x14ac:dyDescent="0.25">
      <c r="A31" t="str">
        <f t="shared" si="6"/>
        <v>Valor</v>
      </c>
      <c r="B31" s="7">
        <v>601</v>
      </c>
      <c r="C31" s="81">
        <v>200102</v>
      </c>
      <c r="D31" s="20" t="s">
        <v>5</v>
      </c>
      <c r="E31" s="79">
        <v>31104110</v>
      </c>
      <c r="F31" s="37" t="s">
        <v>19</v>
      </c>
      <c r="G31" s="21">
        <f t="shared" si="21"/>
        <v>705</v>
      </c>
      <c r="H31" s="84"/>
      <c r="I31" s="84"/>
      <c r="J31" s="84"/>
      <c r="K31" s="84"/>
      <c r="L31" s="84">
        <v>705</v>
      </c>
      <c r="M31" s="84"/>
      <c r="N31" s="84"/>
      <c r="O31" s="84"/>
      <c r="P31" s="84"/>
      <c r="T31" s="37">
        <f t="shared" si="16"/>
        <v>0</v>
      </c>
      <c r="U31" s="15">
        <f t="shared" si="17"/>
        <v>705</v>
      </c>
      <c r="V31" s="36">
        <f t="shared" si="18"/>
        <v>0</v>
      </c>
      <c r="W31" s="38">
        <f t="shared" si="19"/>
        <v>0</v>
      </c>
      <c r="X31" s="21">
        <f t="shared" si="20"/>
        <v>0</v>
      </c>
    </row>
    <row r="32" spans="1:36" x14ac:dyDescent="0.25">
      <c r="A32" t="str">
        <f t="shared" si="6"/>
        <v>Valor</v>
      </c>
      <c r="B32" s="7">
        <v>601</v>
      </c>
      <c r="C32" s="81">
        <v>200102</v>
      </c>
      <c r="D32" s="20" t="s">
        <v>5</v>
      </c>
      <c r="E32" s="79">
        <v>31104131</v>
      </c>
      <c r="F32" s="37" t="s">
        <v>28</v>
      </c>
      <c r="G32" s="21">
        <f t="shared" si="21"/>
        <v>2053</v>
      </c>
      <c r="H32" s="84"/>
      <c r="I32" s="84"/>
      <c r="J32" s="84"/>
      <c r="K32" s="84"/>
      <c r="L32" s="84"/>
      <c r="M32" s="84">
        <v>581</v>
      </c>
      <c r="N32" s="84">
        <v>662</v>
      </c>
      <c r="O32" s="84"/>
      <c r="P32" s="84">
        <v>810</v>
      </c>
      <c r="T32" s="37">
        <f t="shared" si="16"/>
        <v>810</v>
      </c>
      <c r="U32" s="15">
        <f t="shared" si="17"/>
        <v>2053</v>
      </c>
      <c r="V32" s="36">
        <f t="shared" si="18"/>
        <v>0</v>
      </c>
      <c r="W32" s="38">
        <f t="shared" si="19"/>
        <v>0</v>
      </c>
      <c r="X32" s="21">
        <f t="shared" si="20"/>
        <v>0</v>
      </c>
    </row>
    <row r="33" spans="1:24" x14ac:dyDescent="0.25">
      <c r="A33" t="str">
        <f t="shared" si="6"/>
        <v>Valor</v>
      </c>
      <c r="B33" s="7">
        <v>601</v>
      </c>
      <c r="C33" s="81">
        <v>200102</v>
      </c>
      <c r="D33" s="20" t="s">
        <v>5</v>
      </c>
      <c r="E33" s="79">
        <v>31108117</v>
      </c>
      <c r="F33" s="37" t="s">
        <v>3</v>
      </c>
      <c r="G33" s="21">
        <f t="shared" si="21"/>
        <v>4947</v>
      </c>
      <c r="H33" s="84">
        <v>317</v>
      </c>
      <c r="I33" s="84">
        <v>850</v>
      </c>
      <c r="J33" s="84">
        <v>615</v>
      </c>
      <c r="K33" s="84">
        <v>604</v>
      </c>
      <c r="L33" s="84">
        <v>273</v>
      </c>
      <c r="M33" s="84">
        <v>419</v>
      </c>
      <c r="N33" s="84">
        <v>852</v>
      </c>
      <c r="O33" s="84">
        <v>279</v>
      </c>
      <c r="P33" s="84">
        <v>738</v>
      </c>
      <c r="T33" s="37">
        <f t="shared" si="16"/>
        <v>738</v>
      </c>
      <c r="U33" s="15">
        <f t="shared" si="17"/>
        <v>4947</v>
      </c>
      <c r="V33" s="36">
        <f t="shared" si="18"/>
        <v>0</v>
      </c>
      <c r="W33" s="38">
        <f t="shared" si="19"/>
        <v>0</v>
      </c>
      <c r="X33" s="21">
        <f t="shared" si="20"/>
        <v>0</v>
      </c>
    </row>
    <row r="34" spans="1:24" x14ac:dyDescent="0.25">
      <c r="A34" t="str">
        <f t="shared" si="6"/>
        <v>Valor</v>
      </c>
      <c r="B34" s="7">
        <v>601</v>
      </c>
      <c r="C34" s="81">
        <v>200104</v>
      </c>
      <c r="D34" s="20" t="s">
        <v>87</v>
      </c>
      <c r="E34" s="79">
        <v>31103120</v>
      </c>
      <c r="F34" s="37" t="s">
        <v>13</v>
      </c>
      <c r="G34" s="21">
        <f t="shared" si="21"/>
        <v>13928</v>
      </c>
      <c r="H34" s="84"/>
      <c r="I34" s="84"/>
      <c r="J34" s="84">
        <v>12000</v>
      </c>
      <c r="K34" s="84"/>
      <c r="L34" s="84">
        <v>919</v>
      </c>
      <c r="M34" s="84"/>
      <c r="N34" s="84"/>
      <c r="O34" s="84">
        <v>1009</v>
      </c>
      <c r="P34" s="84"/>
      <c r="T34" s="37">
        <f t="shared" si="16"/>
        <v>0</v>
      </c>
      <c r="U34" s="15">
        <f t="shared" si="17"/>
        <v>13928</v>
      </c>
      <c r="V34" s="36">
        <f t="shared" ref="V34" si="22">INDEX(Y34:AJ34,MATCH(chave,mesesppto))</f>
        <v>0</v>
      </c>
      <c r="W34" s="38">
        <f t="shared" ref="W34" si="23">SUMIFS(Y34:AJ34,mesesppto,"&lt;="&amp;chave)</f>
        <v>0</v>
      </c>
      <c r="X34" s="21">
        <f t="shared" ref="X34" si="24">SUM(Y34:AJ34)</f>
        <v>0</v>
      </c>
    </row>
  </sheetData>
  <sheetProtection formatCells="0" formatColumns="0" formatRows="0" insertColumns="0" insertRows="0" insertHyperlinks="0" deleteColumns="0" deleteRows="0" sort="0" autoFilter="0" pivotTables="0"/>
  <autoFilter ref="A5:BJ34"/>
  <conditionalFormatting sqref="X3">
    <cfRule type="cellIs" dxfId="16" priority="4" operator="notEqual">
      <formula>0</formula>
    </cfRule>
  </conditionalFormatting>
  <conditionalFormatting sqref="G1">
    <cfRule type="cellIs" dxfId="15" priority="1" operator="not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>
    <tabColor theme="8" tint="-0.499984740745262"/>
    <pageSetUpPr fitToPage="1"/>
  </sheetPr>
  <dimension ref="A1:P1792"/>
  <sheetViews>
    <sheetView showGridLines="0" tabSelected="1"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C3" sqref="C3"/>
    </sheetView>
  </sheetViews>
  <sheetFormatPr defaultRowHeight="15" x14ac:dyDescent="0.25"/>
  <cols>
    <col min="1" max="1" width="19" style="45" customWidth="1"/>
    <col min="2" max="2" width="1.7109375" customWidth="1"/>
    <col min="3" max="3" width="10.140625" style="1" customWidth="1"/>
    <col min="4" max="4" width="13.7109375" customWidth="1"/>
    <col min="5" max="5" width="31" customWidth="1"/>
    <col min="6" max="6" width="10" bestFit="1" customWidth="1"/>
    <col min="7" max="7" width="10.28515625" bestFit="1" customWidth="1"/>
    <col min="8" max="8" width="12.42578125" bestFit="1" customWidth="1"/>
    <col min="9" max="9" width="9.140625" bestFit="1" customWidth="1"/>
    <col min="10" max="10" width="16.28515625" bestFit="1" customWidth="1"/>
    <col min="11" max="11" width="16.5703125" bestFit="1" customWidth="1"/>
    <col min="12" max="12" width="12.42578125" bestFit="1" customWidth="1"/>
    <col min="13" max="13" width="12.28515625" customWidth="1"/>
    <col min="14" max="14" width="12.42578125" customWidth="1"/>
    <col min="15" max="15" width="8.140625" customWidth="1"/>
    <col min="16" max="16" width="16.140625" bestFit="1" customWidth="1"/>
    <col min="17" max="17" width="10.42578125" customWidth="1"/>
    <col min="18" max="18" width="12.85546875" customWidth="1"/>
    <col min="19" max="19" width="8.85546875" customWidth="1"/>
    <col min="20" max="20" width="16.140625" bestFit="1" customWidth="1"/>
    <col min="21" max="21" width="10.42578125" customWidth="1"/>
    <col min="22" max="22" width="12.85546875" customWidth="1"/>
    <col min="23" max="23" width="8.85546875" customWidth="1"/>
    <col min="24" max="24" width="16.140625" bestFit="1" customWidth="1"/>
    <col min="25" max="25" width="10.42578125" customWidth="1"/>
    <col min="26" max="26" width="12.85546875" customWidth="1"/>
    <col min="27" max="27" width="8.85546875" customWidth="1"/>
    <col min="28" max="28" width="16.140625" customWidth="1"/>
    <col min="29" max="29" width="10.42578125" customWidth="1"/>
    <col min="30" max="30" width="12.85546875" customWidth="1"/>
    <col min="31" max="31" width="8.85546875" customWidth="1"/>
    <col min="32" max="32" width="16.140625" bestFit="1" customWidth="1"/>
    <col min="33" max="33" width="10.42578125" bestFit="1" customWidth="1"/>
    <col min="34" max="34" width="12.85546875" customWidth="1"/>
    <col min="35" max="35" width="8.85546875" customWidth="1"/>
    <col min="36" max="36" width="16.140625" bestFit="1" customWidth="1"/>
    <col min="37" max="37" width="10.42578125" bestFit="1" customWidth="1"/>
    <col min="38" max="38" width="12.85546875" customWidth="1"/>
    <col min="39" max="39" width="8.85546875" customWidth="1"/>
    <col min="40" max="40" width="16.140625" bestFit="1" customWidth="1"/>
    <col min="41" max="41" width="10.42578125" bestFit="1" customWidth="1"/>
    <col min="42" max="42" width="12.85546875" customWidth="1"/>
    <col min="43" max="43" width="8.85546875" customWidth="1"/>
    <col min="44" max="44" width="16.140625" bestFit="1" customWidth="1"/>
    <col min="45" max="45" width="10.42578125" bestFit="1" customWidth="1"/>
    <col min="46" max="46" width="12.85546875" customWidth="1"/>
    <col min="47" max="47" width="8.85546875" customWidth="1"/>
    <col min="48" max="48" width="16.140625" bestFit="1" customWidth="1"/>
    <col min="49" max="49" width="10.42578125" bestFit="1" customWidth="1"/>
    <col min="50" max="50" width="12.85546875" customWidth="1"/>
    <col min="51" max="51" width="8.85546875" customWidth="1"/>
    <col min="52" max="52" width="16.140625" bestFit="1" customWidth="1"/>
    <col min="53" max="53" width="10.42578125" bestFit="1" customWidth="1"/>
    <col min="54" max="54" width="12.85546875" bestFit="1" customWidth="1"/>
    <col min="55" max="55" width="8.85546875" customWidth="1"/>
  </cols>
  <sheetData>
    <row r="1" spans="1:16" s="50" customFormat="1" ht="26.25" customHeight="1" x14ac:dyDescent="0.25">
      <c r="A1" s="91"/>
      <c r="B1" s="95"/>
      <c r="C1" s="92" t="s">
        <v>89</v>
      </c>
      <c r="D1" s="95"/>
      <c r="E1" s="95"/>
      <c r="F1" s="95"/>
      <c r="G1" s="96"/>
      <c r="H1" s="97"/>
      <c r="I1" s="102" t="str">
        <f>VLOOKUP(Base!T1,meses!A3:B14,2,0)</f>
        <v>Setembro</v>
      </c>
      <c r="J1" s="103"/>
      <c r="K1" s="98"/>
      <c r="L1" s="95"/>
      <c r="M1" s="95"/>
    </row>
    <row r="2" spans="1:16" s="72" customFormat="1" ht="16.5" hidden="1" customHeight="1" x14ac:dyDescent="0.25">
      <c r="A2" s="94"/>
      <c r="B2" s="73"/>
      <c r="C2" s="73"/>
      <c r="D2" s="101"/>
      <c r="E2" s="101"/>
      <c r="F2" s="101"/>
      <c r="G2" s="101"/>
      <c r="H2" s="101"/>
      <c r="I2" s="73"/>
      <c r="J2" s="73"/>
      <c r="K2" s="73"/>
      <c r="L2" s="73"/>
      <c r="M2" s="73"/>
    </row>
    <row r="3" spans="1:16" s="45" customFormat="1" ht="11.25" customHeight="1" x14ac:dyDescent="0.25">
      <c r="B3" s="46"/>
      <c r="C3" s="73"/>
      <c r="D3" s="101"/>
      <c r="E3" s="101"/>
      <c r="F3" s="101"/>
      <c r="G3" s="101"/>
      <c r="H3" s="101"/>
    </row>
    <row r="4" spans="1:16" s="45" customFormat="1" ht="23.25" customHeight="1" x14ac:dyDescent="0.25">
      <c r="A4" s="49" t="s">
        <v>79</v>
      </c>
      <c r="B4" s="46"/>
      <c r="C4" s="73"/>
    </row>
    <row r="5" spans="1:16" x14ac:dyDescent="0.25">
      <c r="A5" s="47"/>
      <c r="C5"/>
    </row>
    <row r="6" spans="1:16" hidden="1" x14ac:dyDescent="0.25">
      <c r="C6" s="3" t="s">
        <v>88</v>
      </c>
      <c r="D6" t="s">
        <v>56</v>
      </c>
    </row>
    <row r="7" spans="1:16" ht="18.75" x14ac:dyDescent="0.3">
      <c r="F7" s="104" t="s">
        <v>86</v>
      </c>
      <c r="G7" s="105"/>
      <c r="H7" s="105"/>
      <c r="I7" s="106"/>
      <c r="J7" s="107" t="s">
        <v>85</v>
      </c>
      <c r="K7" s="108"/>
      <c r="L7" s="108"/>
      <c r="M7" s="109"/>
    </row>
    <row r="8" spans="1:16" x14ac:dyDescent="0.25">
      <c r="C8" s="51" t="s">
        <v>25</v>
      </c>
      <c r="D8" s="3" t="s">
        <v>84</v>
      </c>
      <c r="E8" s="3" t="s">
        <v>26</v>
      </c>
      <c r="F8" s="59" t="s">
        <v>73</v>
      </c>
      <c r="G8" s="60" t="s">
        <v>74</v>
      </c>
      <c r="H8" s="60" t="s">
        <v>80</v>
      </c>
      <c r="I8" s="61" t="s">
        <v>83</v>
      </c>
      <c r="J8" s="60" t="s">
        <v>75</v>
      </c>
      <c r="K8" s="60" t="s">
        <v>76</v>
      </c>
      <c r="L8" s="60" t="s">
        <v>81</v>
      </c>
      <c r="M8" s="5" t="s">
        <v>82</v>
      </c>
    </row>
    <row r="9" spans="1:16" x14ac:dyDescent="0.25">
      <c r="C9" s="4">
        <v>100202</v>
      </c>
      <c r="D9" s="78" t="s">
        <v>4</v>
      </c>
      <c r="E9" s="35"/>
      <c r="F9" s="85">
        <v>1613</v>
      </c>
      <c r="G9" s="86">
        <v>2599</v>
      </c>
      <c r="H9" s="86">
        <v>-986</v>
      </c>
      <c r="I9" s="87">
        <v>-0.37937668333974606</v>
      </c>
      <c r="J9" s="88">
        <v>17535</v>
      </c>
      <c r="K9" s="86">
        <v>49549</v>
      </c>
      <c r="L9" s="89">
        <v>-32014</v>
      </c>
      <c r="M9" s="75">
        <v>-0.64610789319663364</v>
      </c>
      <c r="P9" s="2"/>
    </row>
    <row r="10" spans="1:16" x14ac:dyDescent="0.25">
      <c r="C10" s="4">
        <v>200102</v>
      </c>
      <c r="D10" s="78" t="s">
        <v>5</v>
      </c>
      <c r="E10" s="35"/>
      <c r="F10" s="53">
        <v>1548</v>
      </c>
      <c r="G10" s="16">
        <v>4606</v>
      </c>
      <c r="H10" s="16">
        <v>-3058</v>
      </c>
      <c r="I10" s="82">
        <v>-0.66391663048198002</v>
      </c>
      <c r="J10" s="18">
        <v>24644</v>
      </c>
      <c r="K10" s="16">
        <v>31583</v>
      </c>
      <c r="L10" s="83">
        <v>-6939</v>
      </c>
      <c r="M10" s="76">
        <v>-0.21970680429344902</v>
      </c>
      <c r="P10" s="2"/>
    </row>
    <row r="11" spans="1:16" x14ac:dyDescent="0.25">
      <c r="C11" s="4">
        <v>200102</v>
      </c>
      <c r="D11" s="90">
        <v>31103109</v>
      </c>
      <c r="E11" s="4" t="s">
        <v>8</v>
      </c>
      <c r="F11" s="53">
        <v>0</v>
      </c>
      <c r="G11" s="16">
        <v>0</v>
      </c>
      <c r="H11" s="16">
        <v>0</v>
      </c>
      <c r="I11" s="82">
        <v>1</v>
      </c>
      <c r="J11" s="18">
        <v>705</v>
      </c>
      <c r="K11" s="16">
        <v>0</v>
      </c>
      <c r="L11" s="83">
        <v>705</v>
      </c>
      <c r="M11" s="76">
        <v>1</v>
      </c>
      <c r="P11" s="2"/>
    </row>
    <row r="12" spans="1:16" x14ac:dyDescent="0.25">
      <c r="C12" s="4">
        <v>200102</v>
      </c>
      <c r="D12" s="90">
        <v>31103127</v>
      </c>
      <c r="E12" s="4" t="s">
        <v>14</v>
      </c>
      <c r="F12" s="53">
        <v>0</v>
      </c>
      <c r="G12" s="16">
        <v>0</v>
      </c>
      <c r="H12" s="16">
        <v>0</v>
      </c>
      <c r="I12" s="82">
        <v>1</v>
      </c>
      <c r="J12" s="18">
        <v>814</v>
      </c>
      <c r="K12" s="16">
        <v>0</v>
      </c>
      <c r="L12" s="83">
        <v>814</v>
      </c>
      <c r="M12" s="76">
        <v>1</v>
      </c>
      <c r="P12" s="2"/>
    </row>
    <row r="13" spans="1:16" x14ac:dyDescent="0.25">
      <c r="C13" s="4">
        <v>200102</v>
      </c>
      <c r="D13" s="90">
        <v>31103129</v>
      </c>
      <c r="E13" s="4" t="s">
        <v>21</v>
      </c>
      <c r="F13" s="53">
        <v>0</v>
      </c>
      <c r="G13" s="16">
        <v>1156</v>
      </c>
      <c r="H13" s="16">
        <v>-1156</v>
      </c>
      <c r="I13" s="82">
        <v>-1</v>
      </c>
      <c r="J13" s="18">
        <v>5051</v>
      </c>
      <c r="K13" s="16">
        <v>9711</v>
      </c>
      <c r="L13" s="83">
        <v>-4660</v>
      </c>
      <c r="M13" s="76">
        <v>-0.47986819071156422</v>
      </c>
      <c r="P13" s="2"/>
    </row>
    <row r="14" spans="1:16" x14ac:dyDescent="0.25">
      <c r="C14" s="4">
        <v>200102</v>
      </c>
      <c r="D14" s="90">
        <v>31103131</v>
      </c>
      <c r="E14" s="4" t="s">
        <v>9</v>
      </c>
      <c r="F14" s="53">
        <v>0</v>
      </c>
      <c r="G14" s="16">
        <v>0</v>
      </c>
      <c r="H14" s="16">
        <v>0</v>
      </c>
      <c r="I14" s="82">
        <v>1</v>
      </c>
      <c r="J14" s="18">
        <v>758</v>
      </c>
      <c r="K14" s="16">
        <v>0</v>
      </c>
      <c r="L14" s="83">
        <v>758</v>
      </c>
      <c r="M14" s="76">
        <v>1</v>
      </c>
      <c r="P14" s="2"/>
    </row>
    <row r="15" spans="1:16" x14ac:dyDescent="0.25">
      <c r="C15" s="4">
        <v>200102</v>
      </c>
      <c r="D15" s="90">
        <v>31103146</v>
      </c>
      <c r="E15" s="4" t="s">
        <v>15</v>
      </c>
      <c r="F15" s="53">
        <v>0</v>
      </c>
      <c r="G15" s="16">
        <v>1440</v>
      </c>
      <c r="H15" s="16">
        <v>-1440</v>
      </c>
      <c r="I15" s="82">
        <v>-1</v>
      </c>
      <c r="J15" s="18">
        <v>1350</v>
      </c>
      <c r="K15" s="16">
        <v>7735</v>
      </c>
      <c r="L15" s="83">
        <v>-6385</v>
      </c>
      <c r="M15" s="76">
        <v>-0.82546864899806072</v>
      </c>
      <c r="P15" s="2"/>
    </row>
    <row r="16" spans="1:16" x14ac:dyDescent="0.25">
      <c r="C16" s="4">
        <v>200102</v>
      </c>
      <c r="D16" s="90">
        <v>31103148</v>
      </c>
      <c r="E16" s="4" t="s">
        <v>7</v>
      </c>
      <c r="F16" s="53">
        <v>0</v>
      </c>
      <c r="G16" s="16">
        <v>1407</v>
      </c>
      <c r="H16" s="16">
        <v>-1407</v>
      </c>
      <c r="I16" s="82">
        <v>-1</v>
      </c>
      <c r="J16" s="18">
        <v>3236</v>
      </c>
      <c r="K16" s="16">
        <v>8332</v>
      </c>
      <c r="L16" s="83">
        <v>-5096</v>
      </c>
      <c r="M16" s="76">
        <v>-0.61161785885741715</v>
      </c>
      <c r="P16" s="2"/>
    </row>
    <row r="17" spans="3:16" x14ac:dyDescent="0.25">
      <c r="C17" s="4">
        <v>200102</v>
      </c>
      <c r="D17" s="90">
        <v>31104102</v>
      </c>
      <c r="E17" s="4" t="s">
        <v>20</v>
      </c>
      <c r="F17" s="53">
        <v>0</v>
      </c>
      <c r="G17" s="16">
        <v>0</v>
      </c>
      <c r="H17" s="16">
        <v>0</v>
      </c>
      <c r="I17" s="82">
        <v>1</v>
      </c>
      <c r="J17" s="18">
        <v>4031</v>
      </c>
      <c r="K17" s="16">
        <v>0</v>
      </c>
      <c r="L17" s="83">
        <v>4031</v>
      </c>
      <c r="M17" s="76">
        <v>1</v>
      </c>
      <c r="P17" s="2"/>
    </row>
    <row r="18" spans="3:16" x14ac:dyDescent="0.25">
      <c r="C18" s="4">
        <v>200102</v>
      </c>
      <c r="D18" s="90">
        <v>31104103</v>
      </c>
      <c r="E18" s="4" t="s">
        <v>22</v>
      </c>
      <c r="F18" s="53">
        <v>0</v>
      </c>
      <c r="G18" s="16">
        <v>0</v>
      </c>
      <c r="H18" s="16">
        <v>0</v>
      </c>
      <c r="I18" s="82">
        <v>1</v>
      </c>
      <c r="J18" s="18">
        <v>994</v>
      </c>
      <c r="K18" s="16">
        <v>0</v>
      </c>
      <c r="L18" s="83">
        <v>994</v>
      </c>
      <c r="M18" s="76">
        <v>1</v>
      </c>
      <c r="P18" s="2"/>
    </row>
    <row r="19" spans="3:16" x14ac:dyDescent="0.25">
      <c r="C19" s="4">
        <v>200102</v>
      </c>
      <c r="D19" s="90">
        <v>31104110</v>
      </c>
      <c r="E19" s="4" t="s">
        <v>19</v>
      </c>
      <c r="F19" s="53">
        <v>0</v>
      </c>
      <c r="G19" s="16">
        <v>0</v>
      </c>
      <c r="H19" s="16">
        <v>0</v>
      </c>
      <c r="I19" s="82">
        <v>1</v>
      </c>
      <c r="J19" s="18">
        <v>705</v>
      </c>
      <c r="K19" s="16">
        <v>0</v>
      </c>
      <c r="L19" s="83">
        <v>705</v>
      </c>
      <c r="M19" s="76">
        <v>1</v>
      </c>
      <c r="P19" s="2"/>
    </row>
    <row r="20" spans="3:16" x14ac:dyDescent="0.25">
      <c r="C20" s="4">
        <v>200102</v>
      </c>
      <c r="D20" s="90">
        <v>31104131</v>
      </c>
      <c r="E20" s="4" t="s">
        <v>28</v>
      </c>
      <c r="F20" s="53">
        <v>810</v>
      </c>
      <c r="G20" s="16">
        <v>0</v>
      </c>
      <c r="H20" s="16">
        <v>810</v>
      </c>
      <c r="I20" s="82">
        <v>1</v>
      </c>
      <c r="J20" s="18">
        <v>2053</v>
      </c>
      <c r="K20" s="16">
        <v>0</v>
      </c>
      <c r="L20" s="83">
        <v>2053</v>
      </c>
      <c r="M20" s="76">
        <v>1</v>
      </c>
      <c r="P20" s="2"/>
    </row>
    <row r="21" spans="3:16" x14ac:dyDescent="0.25">
      <c r="C21" s="4">
        <v>200102</v>
      </c>
      <c r="D21" s="90">
        <v>31108117</v>
      </c>
      <c r="E21" s="4" t="s">
        <v>3</v>
      </c>
      <c r="F21" s="53">
        <v>738</v>
      </c>
      <c r="G21" s="16">
        <v>603</v>
      </c>
      <c r="H21" s="16">
        <v>135</v>
      </c>
      <c r="I21" s="82">
        <v>0.22388059701492538</v>
      </c>
      <c r="J21" s="18">
        <v>4947</v>
      </c>
      <c r="K21" s="16">
        <v>5805</v>
      </c>
      <c r="L21" s="83">
        <v>-858</v>
      </c>
      <c r="M21" s="76">
        <v>-0.14780361757105942</v>
      </c>
      <c r="P21" s="2"/>
    </row>
    <row r="22" spans="3:16" x14ac:dyDescent="0.25">
      <c r="C22" s="4">
        <v>200104</v>
      </c>
      <c r="D22" s="78" t="s">
        <v>87</v>
      </c>
      <c r="E22" s="35"/>
      <c r="F22" s="53">
        <v>0</v>
      </c>
      <c r="G22" s="16">
        <v>0</v>
      </c>
      <c r="H22" s="16">
        <v>0</v>
      </c>
      <c r="I22" s="82">
        <v>1</v>
      </c>
      <c r="J22" s="18">
        <v>13928</v>
      </c>
      <c r="K22" s="16">
        <v>1020</v>
      </c>
      <c r="L22" s="83">
        <v>12908</v>
      </c>
      <c r="M22" s="76">
        <v>12.654901960784313</v>
      </c>
      <c r="P22" s="2"/>
    </row>
    <row r="23" spans="3:16" x14ac:dyDescent="0.25">
      <c r="C23" s="4" t="s">
        <v>27</v>
      </c>
      <c r="F23" s="54">
        <v>3161</v>
      </c>
      <c r="G23" s="55">
        <v>7205</v>
      </c>
      <c r="H23" s="55">
        <v>-4044</v>
      </c>
      <c r="I23" s="56">
        <v>-0.56127689104788336</v>
      </c>
      <c r="J23" s="57">
        <v>56107</v>
      </c>
      <c r="K23" s="55">
        <v>82152</v>
      </c>
      <c r="L23" s="58">
        <v>-26045</v>
      </c>
      <c r="M23" s="74">
        <v>-0.31703427792384847</v>
      </c>
      <c r="P23" s="2"/>
    </row>
    <row r="24" spans="3:16" x14ac:dyDescent="0.25">
      <c r="C24"/>
      <c r="P24" s="2"/>
    </row>
    <row r="25" spans="3:16" x14ac:dyDescent="0.25">
      <c r="C25"/>
      <c r="P25" s="2"/>
    </row>
    <row r="26" spans="3:16" x14ac:dyDescent="0.25">
      <c r="C26"/>
      <c r="P26" s="2"/>
    </row>
    <row r="27" spans="3:16" x14ac:dyDescent="0.25">
      <c r="C27"/>
      <c r="P27" s="2"/>
    </row>
    <row r="28" spans="3:16" x14ac:dyDescent="0.25">
      <c r="C28"/>
      <c r="P28" s="2"/>
    </row>
    <row r="29" spans="3:16" x14ac:dyDescent="0.25">
      <c r="C29"/>
      <c r="P29" s="2"/>
    </row>
    <row r="30" spans="3:16" x14ac:dyDescent="0.25">
      <c r="C30"/>
      <c r="P30" s="2"/>
    </row>
    <row r="31" spans="3:16" x14ac:dyDescent="0.25">
      <c r="C31"/>
      <c r="P31" s="2"/>
    </row>
    <row r="32" spans="3:16" x14ac:dyDescent="0.25">
      <c r="C32"/>
      <c r="P32" s="2"/>
    </row>
    <row r="33" spans="3:16" x14ac:dyDescent="0.25">
      <c r="C33"/>
      <c r="P33" s="2"/>
    </row>
    <row r="34" spans="3:16" x14ac:dyDescent="0.25">
      <c r="C34"/>
      <c r="P34" s="2"/>
    </row>
    <row r="35" spans="3:16" x14ac:dyDescent="0.25">
      <c r="C35"/>
      <c r="P35" s="2"/>
    </row>
    <row r="36" spans="3:16" x14ac:dyDescent="0.25">
      <c r="C36"/>
      <c r="P36" s="2"/>
    </row>
    <row r="37" spans="3:16" x14ac:dyDescent="0.25">
      <c r="C37"/>
      <c r="P37" s="2"/>
    </row>
    <row r="38" spans="3:16" x14ac:dyDescent="0.25">
      <c r="C38"/>
      <c r="P38" s="2"/>
    </row>
    <row r="39" spans="3:16" x14ac:dyDescent="0.25">
      <c r="C39"/>
      <c r="P39" s="2"/>
    </row>
    <row r="40" spans="3:16" x14ac:dyDescent="0.25">
      <c r="C40"/>
      <c r="P40" s="2"/>
    </row>
    <row r="41" spans="3:16" x14ac:dyDescent="0.25">
      <c r="C41"/>
      <c r="P41" s="2"/>
    </row>
    <row r="42" spans="3:16" x14ac:dyDescent="0.25">
      <c r="C42"/>
      <c r="P42" s="2"/>
    </row>
    <row r="43" spans="3:16" x14ac:dyDescent="0.25">
      <c r="C43"/>
      <c r="P43" s="2"/>
    </row>
    <row r="44" spans="3:16" x14ac:dyDescent="0.25">
      <c r="C44"/>
      <c r="P44" s="2"/>
    </row>
    <row r="45" spans="3:16" x14ac:dyDescent="0.25">
      <c r="C45"/>
    </row>
    <row r="46" spans="3:16" x14ac:dyDescent="0.25">
      <c r="C46"/>
    </row>
    <row r="47" spans="3:16" x14ac:dyDescent="0.25">
      <c r="C47"/>
    </row>
    <row r="48" spans="3:16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  <row r="181" spans="3:3" x14ac:dyDescent="0.25">
      <c r="C181"/>
    </row>
    <row r="182" spans="3:3" x14ac:dyDescent="0.25">
      <c r="C182"/>
    </row>
    <row r="183" spans="3:3" x14ac:dyDescent="0.25">
      <c r="C183"/>
    </row>
    <row r="184" spans="3:3" x14ac:dyDescent="0.25">
      <c r="C184"/>
    </row>
    <row r="185" spans="3:3" x14ac:dyDescent="0.25">
      <c r="C185"/>
    </row>
    <row r="186" spans="3:3" x14ac:dyDescent="0.25">
      <c r="C186"/>
    </row>
    <row r="187" spans="3:3" x14ac:dyDescent="0.25">
      <c r="C187"/>
    </row>
    <row r="188" spans="3:3" x14ac:dyDescent="0.25">
      <c r="C188"/>
    </row>
    <row r="189" spans="3:3" x14ac:dyDescent="0.25">
      <c r="C189"/>
    </row>
    <row r="190" spans="3:3" x14ac:dyDescent="0.25">
      <c r="C190"/>
    </row>
    <row r="191" spans="3:3" x14ac:dyDescent="0.25">
      <c r="C191"/>
    </row>
    <row r="192" spans="3:3" x14ac:dyDescent="0.25">
      <c r="C192"/>
    </row>
    <row r="193" spans="3:3" x14ac:dyDescent="0.25">
      <c r="C193"/>
    </row>
    <row r="194" spans="3:3" x14ac:dyDescent="0.25">
      <c r="C194"/>
    </row>
    <row r="195" spans="3:3" x14ac:dyDescent="0.25">
      <c r="C195"/>
    </row>
    <row r="196" spans="3:3" x14ac:dyDescent="0.25">
      <c r="C196"/>
    </row>
    <row r="197" spans="3:3" x14ac:dyDescent="0.25">
      <c r="C197"/>
    </row>
    <row r="198" spans="3:3" x14ac:dyDescent="0.25">
      <c r="C198"/>
    </row>
    <row r="199" spans="3:3" x14ac:dyDescent="0.25">
      <c r="C199"/>
    </row>
    <row r="200" spans="3:3" x14ac:dyDescent="0.25">
      <c r="C200"/>
    </row>
    <row r="201" spans="3:3" x14ac:dyDescent="0.25">
      <c r="C201"/>
    </row>
    <row r="202" spans="3:3" x14ac:dyDescent="0.25">
      <c r="C202"/>
    </row>
    <row r="203" spans="3:3" x14ac:dyDescent="0.25">
      <c r="C203"/>
    </row>
    <row r="204" spans="3:3" x14ac:dyDescent="0.25">
      <c r="C204"/>
    </row>
    <row r="205" spans="3:3" x14ac:dyDescent="0.25">
      <c r="C205"/>
    </row>
    <row r="206" spans="3:3" x14ac:dyDescent="0.25">
      <c r="C206"/>
    </row>
    <row r="207" spans="3:3" x14ac:dyDescent="0.25">
      <c r="C207"/>
    </row>
    <row r="208" spans="3:3" x14ac:dyDescent="0.25">
      <c r="C208"/>
    </row>
    <row r="209" spans="3:3" x14ac:dyDescent="0.25">
      <c r="C209"/>
    </row>
    <row r="210" spans="3:3" x14ac:dyDescent="0.25">
      <c r="C210"/>
    </row>
    <row r="211" spans="3:3" x14ac:dyDescent="0.25">
      <c r="C211"/>
    </row>
    <row r="212" spans="3:3" x14ac:dyDescent="0.25">
      <c r="C212"/>
    </row>
    <row r="213" spans="3:3" x14ac:dyDescent="0.25">
      <c r="C213"/>
    </row>
    <row r="214" spans="3:3" x14ac:dyDescent="0.25">
      <c r="C214"/>
    </row>
    <row r="215" spans="3:3" x14ac:dyDescent="0.25">
      <c r="C215"/>
    </row>
    <row r="216" spans="3:3" x14ac:dyDescent="0.25">
      <c r="C216"/>
    </row>
    <row r="217" spans="3:3" x14ac:dyDescent="0.25">
      <c r="C217"/>
    </row>
    <row r="218" spans="3:3" x14ac:dyDescent="0.25">
      <c r="C218"/>
    </row>
    <row r="219" spans="3:3" x14ac:dyDescent="0.25">
      <c r="C219"/>
    </row>
    <row r="220" spans="3:3" x14ac:dyDescent="0.25">
      <c r="C220"/>
    </row>
    <row r="221" spans="3:3" x14ac:dyDescent="0.25">
      <c r="C221"/>
    </row>
    <row r="222" spans="3:3" x14ac:dyDescent="0.25">
      <c r="C222"/>
    </row>
    <row r="223" spans="3:3" x14ac:dyDescent="0.25">
      <c r="C223"/>
    </row>
    <row r="224" spans="3:3" x14ac:dyDescent="0.25">
      <c r="C224"/>
    </row>
    <row r="225" spans="3:3" x14ac:dyDescent="0.25">
      <c r="C225"/>
    </row>
    <row r="226" spans="3:3" x14ac:dyDescent="0.25">
      <c r="C226"/>
    </row>
    <row r="227" spans="3:3" x14ac:dyDescent="0.25">
      <c r="C227"/>
    </row>
    <row r="228" spans="3:3" x14ac:dyDescent="0.25">
      <c r="C228"/>
    </row>
    <row r="229" spans="3:3" x14ac:dyDescent="0.25">
      <c r="C229"/>
    </row>
    <row r="230" spans="3:3" x14ac:dyDescent="0.25">
      <c r="C230"/>
    </row>
    <row r="231" spans="3:3" x14ac:dyDescent="0.25">
      <c r="C231"/>
    </row>
    <row r="232" spans="3:3" x14ac:dyDescent="0.25">
      <c r="C232"/>
    </row>
    <row r="233" spans="3:3" x14ac:dyDescent="0.25">
      <c r="C233"/>
    </row>
    <row r="234" spans="3:3" x14ac:dyDescent="0.25">
      <c r="C234"/>
    </row>
    <row r="235" spans="3:3" x14ac:dyDescent="0.25">
      <c r="C235"/>
    </row>
    <row r="236" spans="3:3" x14ac:dyDescent="0.25">
      <c r="C236"/>
    </row>
    <row r="237" spans="3:3" x14ac:dyDescent="0.25">
      <c r="C237"/>
    </row>
    <row r="238" spans="3:3" x14ac:dyDescent="0.25">
      <c r="C238"/>
    </row>
    <row r="239" spans="3:3" x14ac:dyDescent="0.25">
      <c r="C239"/>
    </row>
    <row r="240" spans="3:3" x14ac:dyDescent="0.25">
      <c r="C240"/>
    </row>
    <row r="241" spans="3:3" x14ac:dyDescent="0.25">
      <c r="C241"/>
    </row>
    <row r="242" spans="3:3" x14ac:dyDescent="0.25">
      <c r="C242"/>
    </row>
    <row r="243" spans="3:3" x14ac:dyDescent="0.25">
      <c r="C243"/>
    </row>
    <row r="244" spans="3:3" x14ac:dyDescent="0.25">
      <c r="C244"/>
    </row>
    <row r="245" spans="3:3" x14ac:dyDescent="0.25">
      <c r="C245"/>
    </row>
    <row r="246" spans="3:3" x14ac:dyDescent="0.25">
      <c r="C246"/>
    </row>
    <row r="247" spans="3:3" x14ac:dyDescent="0.25">
      <c r="C247"/>
    </row>
    <row r="248" spans="3:3" x14ac:dyDescent="0.25">
      <c r="C248"/>
    </row>
    <row r="249" spans="3:3" x14ac:dyDescent="0.25">
      <c r="C249"/>
    </row>
    <row r="250" spans="3:3" x14ac:dyDescent="0.25">
      <c r="C250"/>
    </row>
    <row r="251" spans="3:3" x14ac:dyDescent="0.25">
      <c r="C251"/>
    </row>
    <row r="252" spans="3:3" x14ac:dyDescent="0.25">
      <c r="C252"/>
    </row>
    <row r="253" spans="3:3" x14ac:dyDescent="0.25">
      <c r="C253"/>
    </row>
    <row r="254" spans="3:3" x14ac:dyDescent="0.25">
      <c r="C254"/>
    </row>
    <row r="255" spans="3:3" x14ac:dyDescent="0.25">
      <c r="C255"/>
    </row>
    <row r="256" spans="3:3" x14ac:dyDescent="0.25">
      <c r="C256"/>
    </row>
    <row r="257" spans="3:3" x14ac:dyDescent="0.25">
      <c r="C257"/>
    </row>
    <row r="258" spans="3:3" x14ac:dyDescent="0.25">
      <c r="C258"/>
    </row>
    <row r="259" spans="3:3" x14ac:dyDescent="0.25">
      <c r="C259"/>
    </row>
    <row r="260" spans="3:3" x14ac:dyDescent="0.25">
      <c r="C260"/>
    </row>
    <row r="261" spans="3:3" x14ac:dyDescent="0.25">
      <c r="C261"/>
    </row>
    <row r="262" spans="3:3" x14ac:dyDescent="0.25">
      <c r="C262"/>
    </row>
    <row r="263" spans="3:3" x14ac:dyDescent="0.25">
      <c r="C263"/>
    </row>
    <row r="264" spans="3:3" x14ac:dyDescent="0.25">
      <c r="C264"/>
    </row>
    <row r="265" spans="3:3" x14ac:dyDescent="0.25">
      <c r="C265"/>
    </row>
    <row r="266" spans="3:3" x14ac:dyDescent="0.25">
      <c r="C266"/>
    </row>
    <row r="267" spans="3:3" x14ac:dyDescent="0.25">
      <c r="C267"/>
    </row>
    <row r="268" spans="3:3" x14ac:dyDescent="0.25">
      <c r="C268"/>
    </row>
    <row r="269" spans="3:3" x14ac:dyDescent="0.25">
      <c r="C269"/>
    </row>
    <row r="270" spans="3:3" x14ac:dyDescent="0.25">
      <c r="C270"/>
    </row>
    <row r="271" spans="3:3" x14ac:dyDescent="0.25">
      <c r="C271"/>
    </row>
    <row r="272" spans="3:3" x14ac:dyDescent="0.25">
      <c r="C272"/>
    </row>
    <row r="273" spans="3:3" x14ac:dyDescent="0.25">
      <c r="C273"/>
    </row>
    <row r="274" spans="3:3" x14ac:dyDescent="0.25">
      <c r="C274"/>
    </row>
    <row r="275" spans="3:3" x14ac:dyDescent="0.25">
      <c r="C275"/>
    </row>
    <row r="276" spans="3:3" x14ac:dyDescent="0.25">
      <c r="C276"/>
    </row>
    <row r="277" spans="3:3" x14ac:dyDescent="0.25">
      <c r="C277"/>
    </row>
    <row r="278" spans="3:3" x14ac:dyDescent="0.25">
      <c r="C278"/>
    </row>
    <row r="279" spans="3:3" x14ac:dyDescent="0.25">
      <c r="C279"/>
    </row>
    <row r="280" spans="3:3" x14ac:dyDescent="0.25">
      <c r="C280"/>
    </row>
    <row r="281" spans="3:3" x14ac:dyDescent="0.25">
      <c r="C281"/>
    </row>
    <row r="282" spans="3:3" x14ac:dyDescent="0.25">
      <c r="C282"/>
    </row>
    <row r="283" spans="3:3" x14ac:dyDescent="0.25">
      <c r="C283"/>
    </row>
    <row r="284" spans="3:3" x14ac:dyDescent="0.25">
      <c r="C284"/>
    </row>
    <row r="285" spans="3:3" x14ac:dyDescent="0.25">
      <c r="C285"/>
    </row>
    <row r="286" spans="3:3" x14ac:dyDescent="0.25">
      <c r="C286"/>
    </row>
    <row r="287" spans="3:3" x14ac:dyDescent="0.25">
      <c r="C287"/>
    </row>
    <row r="288" spans="3:3" x14ac:dyDescent="0.25">
      <c r="C288"/>
    </row>
    <row r="289" spans="3:3" x14ac:dyDescent="0.25">
      <c r="C289"/>
    </row>
    <row r="290" spans="3:3" x14ac:dyDescent="0.25">
      <c r="C290"/>
    </row>
    <row r="291" spans="3:3" x14ac:dyDescent="0.25">
      <c r="C291"/>
    </row>
    <row r="292" spans="3:3" x14ac:dyDescent="0.25">
      <c r="C292"/>
    </row>
    <row r="293" spans="3:3" x14ac:dyDescent="0.25">
      <c r="C293"/>
    </row>
    <row r="294" spans="3:3" x14ac:dyDescent="0.25">
      <c r="C294"/>
    </row>
    <row r="295" spans="3:3" x14ac:dyDescent="0.25">
      <c r="C295"/>
    </row>
    <row r="296" spans="3:3" x14ac:dyDescent="0.25">
      <c r="C296"/>
    </row>
    <row r="297" spans="3:3" x14ac:dyDescent="0.25">
      <c r="C297"/>
    </row>
    <row r="298" spans="3:3" x14ac:dyDescent="0.25">
      <c r="C298"/>
    </row>
    <row r="299" spans="3:3" x14ac:dyDescent="0.25">
      <c r="C299"/>
    </row>
    <row r="300" spans="3:3" x14ac:dyDescent="0.25">
      <c r="C300"/>
    </row>
    <row r="301" spans="3:3" x14ac:dyDescent="0.25">
      <c r="C301"/>
    </row>
    <row r="302" spans="3:3" x14ac:dyDescent="0.25">
      <c r="C302"/>
    </row>
    <row r="303" spans="3:3" x14ac:dyDescent="0.25">
      <c r="C303"/>
    </row>
    <row r="304" spans="3:3" x14ac:dyDescent="0.25">
      <c r="C304"/>
    </row>
    <row r="305" spans="3:3" x14ac:dyDescent="0.25">
      <c r="C305"/>
    </row>
    <row r="306" spans="3:3" x14ac:dyDescent="0.25">
      <c r="C306"/>
    </row>
    <row r="307" spans="3:3" x14ac:dyDescent="0.25">
      <c r="C307"/>
    </row>
    <row r="308" spans="3:3" x14ac:dyDescent="0.25">
      <c r="C308"/>
    </row>
    <row r="309" spans="3:3" x14ac:dyDescent="0.25">
      <c r="C309"/>
    </row>
    <row r="310" spans="3:3" x14ac:dyDescent="0.25">
      <c r="C310"/>
    </row>
    <row r="311" spans="3:3" x14ac:dyDescent="0.25">
      <c r="C311"/>
    </row>
    <row r="312" spans="3:3" x14ac:dyDescent="0.25">
      <c r="C312"/>
    </row>
    <row r="313" spans="3:3" x14ac:dyDescent="0.25">
      <c r="C313"/>
    </row>
    <row r="314" spans="3:3" x14ac:dyDescent="0.25">
      <c r="C314"/>
    </row>
    <row r="315" spans="3:3" x14ac:dyDescent="0.25">
      <c r="C315"/>
    </row>
    <row r="316" spans="3:3" x14ac:dyDescent="0.25">
      <c r="C316"/>
    </row>
    <row r="317" spans="3:3" x14ac:dyDescent="0.25">
      <c r="C317"/>
    </row>
    <row r="318" spans="3:3" x14ac:dyDescent="0.25">
      <c r="C318"/>
    </row>
    <row r="319" spans="3:3" x14ac:dyDescent="0.25">
      <c r="C319"/>
    </row>
    <row r="320" spans="3:3" x14ac:dyDescent="0.25">
      <c r="C320"/>
    </row>
    <row r="321" spans="3:3" x14ac:dyDescent="0.25">
      <c r="C321"/>
    </row>
    <row r="322" spans="3:3" x14ac:dyDescent="0.25">
      <c r="C322"/>
    </row>
    <row r="323" spans="3:3" x14ac:dyDescent="0.25">
      <c r="C323"/>
    </row>
    <row r="324" spans="3:3" x14ac:dyDescent="0.25">
      <c r="C324"/>
    </row>
    <row r="325" spans="3:3" x14ac:dyDescent="0.25">
      <c r="C325"/>
    </row>
    <row r="326" spans="3:3" x14ac:dyDescent="0.25">
      <c r="C326"/>
    </row>
    <row r="327" spans="3:3" x14ac:dyDescent="0.25">
      <c r="C327"/>
    </row>
    <row r="328" spans="3:3" x14ac:dyDescent="0.25">
      <c r="C328"/>
    </row>
    <row r="329" spans="3:3" x14ac:dyDescent="0.25">
      <c r="C329"/>
    </row>
    <row r="330" spans="3:3" x14ac:dyDescent="0.25">
      <c r="C330"/>
    </row>
    <row r="331" spans="3:3" x14ac:dyDescent="0.25">
      <c r="C331"/>
    </row>
    <row r="332" spans="3:3" x14ac:dyDescent="0.25">
      <c r="C332"/>
    </row>
    <row r="333" spans="3:3" x14ac:dyDescent="0.25">
      <c r="C333"/>
    </row>
    <row r="334" spans="3:3" x14ac:dyDescent="0.25">
      <c r="C334"/>
    </row>
    <row r="335" spans="3:3" x14ac:dyDescent="0.25">
      <c r="C335"/>
    </row>
    <row r="336" spans="3:3" x14ac:dyDescent="0.25">
      <c r="C336"/>
    </row>
    <row r="337" spans="3:3" x14ac:dyDescent="0.25">
      <c r="C337"/>
    </row>
    <row r="338" spans="3:3" x14ac:dyDescent="0.25">
      <c r="C338"/>
    </row>
    <row r="339" spans="3:3" x14ac:dyDescent="0.25">
      <c r="C339"/>
    </row>
    <row r="340" spans="3:3" x14ac:dyDescent="0.25">
      <c r="C340"/>
    </row>
    <row r="341" spans="3:3" x14ac:dyDescent="0.25">
      <c r="C341"/>
    </row>
    <row r="342" spans="3:3" x14ac:dyDescent="0.25">
      <c r="C342"/>
    </row>
    <row r="343" spans="3:3" x14ac:dyDescent="0.25">
      <c r="C343"/>
    </row>
    <row r="344" spans="3:3" x14ac:dyDescent="0.25">
      <c r="C344"/>
    </row>
    <row r="345" spans="3:3" x14ac:dyDescent="0.25">
      <c r="C345"/>
    </row>
    <row r="346" spans="3:3" x14ac:dyDescent="0.25">
      <c r="C346"/>
    </row>
    <row r="347" spans="3:3" x14ac:dyDescent="0.25">
      <c r="C347"/>
    </row>
    <row r="348" spans="3:3" x14ac:dyDescent="0.25">
      <c r="C348"/>
    </row>
    <row r="349" spans="3:3" x14ac:dyDescent="0.25">
      <c r="C349"/>
    </row>
    <row r="350" spans="3:3" x14ac:dyDescent="0.25">
      <c r="C350"/>
    </row>
    <row r="351" spans="3:3" x14ac:dyDescent="0.25">
      <c r="C351"/>
    </row>
    <row r="352" spans="3:3" x14ac:dyDescent="0.25">
      <c r="C352"/>
    </row>
    <row r="353" spans="3:3" x14ac:dyDescent="0.25">
      <c r="C353"/>
    </row>
    <row r="354" spans="3:3" x14ac:dyDescent="0.25">
      <c r="C354"/>
    </row>
    <row r="355" spans="3:3" x14ac:dyDescent="0.25">
      <c r="C355"/>
    </row>
    <row r="356" spans="3:3" x14ac:dyDescent="0.25">
      <c r="C356"/>
    </row>
    <row r="357" spans="3:3" x14ac:dyDescent="0.25">
      <c r="C357"/>
    </row>
    <row r="358" spans="3:3" x14ac:dyDescent="0.25">
      <c r="C358"/>
    </row>
    <row r="359" spans="3:3" x14ac:dyDescent="0.25">
      <c r="C359"/>
    </row>
    <row r="360" spans="3:3" x14ac:dyDescent="0.25">
      <c r="C360"/>
    </row>
    <row r="361" spans="3:3" x14ac:dyDescent="0.25">
      <c r="C361"/>
    </row>
    <row r="362" spans="3:3" x14ac:dyDescent="0.25">
      <c r="C362"/>
    </row>
    <row r="363" spans="3:3" x14ac:dyDescent="0.25">
      <c r="C363"/>
    </row>
    <row r="364" spans="3:3" x14ac:dyDescent="0.25">
      <c r="C364"/>
    </row>
    <row r="365" spans="3:3" x14ac:dyDescent="0.25">
      <c r="C365"/>
    </row>
    <row r="366" spans="3:3" x14ac:dyDescent="0.25">
      <c r="C366"/>
    </row>
    <row r="367" spans="3:3" x14ac:dyDescent="0.25">
      <c r="C367"/>
    </row>
    <row r="368" spans="3:3" x14ac:dyDescent="0.25">
      <c r="C368"/>
    </row>
    <row r="369" spans="3:3" x14ac:dyDescent="0.25">
      <c r="C369"/>
    </row>
    <row r="370" spans="3:3" x14ac:dyDescent="0.25">
      <c r="C370"/>
    </row>
    <row r="371" spans="3:3" x14ac:dyDescent="0.25">
      <c r="C371"/>
    </row>
    <row r="372" spans="3:3" x14ac:dyDescent="0.25">
      <c r="C372"/>
    </row>
    <row r="373" spans="3:3" x14ac:dyDescent="0.25">
      <c r="C373"/>
    </row>
    <row r="374" spans="3:3" x14ac:dyDescent="0.25">
      <c r="C374"/>
    </row>
    <row r="375" spans="3:3" x14ac:dyDescent="0.25">
      <c r="C375"/>
    </row>
    <row r="376" spans="3:3" x14ac:dyDescent="0.25">
      <c r="C376"/>
    </row>
    <row r="377" spans="3:3" x14ac:dyDescent="0.25">
      <c r="C377"/>
    </row>
    <row r="378" spans="3:3" x14ac:dyDescent="0.25">
      <c r="C378"/>
    </row>
    <row r="379" spans="3:3" x14ac:dyDescent="0.25">
      <c r="C379"/>
    </row>
    <row r="380" spans="3:3" x14ac:dyDescent="0.25">
      <c r="C380"/>
    </row>
    <row r="381" spans="3:3" x14ac:dyDescent="0.25">
      <c r="C381"/>
    </row>
    <row r="382" spans="3:3" x14ac:dyDescent="0.25">
      <c r="C382"/>
    </row>
    <row r="383" spans="3:3" x14ac:dyDescent="0.25">
      <c r="C383"/>
    </row>
    <row r="384" spans="3:3" x14ac:dyDescent="0.25">
      <c r="C384"/>
    </row>
    <row r="385" spans="3:3" x14ac:dyDescent="0.25">
      <c r="C385"/>
    </row>
    <row r="386" spans="3:3" x14ac:dyDescent="0.25">
      <c r="C386"/>
    </row>
    <row r="387" spans="3:3" x14ac:dyDescent="0.25">
      <c r="C387"/>
    </row>
    <row r="388" spans="3:3" x14ac:dyDescent="0.25">
      <c r="C388"/>
    </row>
    <row r="389" spans="3:3" x14ac:dyDescent="0.25">
      <c r="C389"/>
    </row>
    <row r="390" spans="3:3" x14ac:dyDescent="0.25">
      <c r="C390"/>
    </row>
    <row r="391" spans="3:3" x14ac:dyDescent="0.25">
      <c r="C391"/>
    </row>
    <row r="392" spans="3:3" x14ac:dyDescent="0.25">
      <c r="C392"/>
    </row>
    <row r="393" spans="3:3" x14ac:dyDescent="0.25">
      <c r="C393"/>
    </row>
    <row r="394" spans="3:3" x14ac:dyDescent="0.25">
      <c r="C394"/>
    </row>
    <row r="395" spans="3:3" x14ac:dyDescent="0.25">
      <c r="C395"/>
    </row>
    <row r="396" spans="3:3" x14ac:dyDescent="0.25">
      <c r="C396"/>
    </row>
    <row r="397" spans="3:3" x14ac:dyDescent="0.25">
      <c r="C397"/>
    </row>
    <row r="398" spans="3:3" x14ac:dyDescent="0.25">
      <c r="C398"/>
    </row>
    <row r="399" spans="3:3" x14ac:dyDescent="0.25">
      <c r="C399"/>
    </row>
    <row r="400" spans="3:3" x14ac:dyDescent="0.25">
      <c r="C400"/>
    </row>
    <row r="401" spans="3:3" x14ac:dyDescent="0.25">
      <c r="C401"/>
    </row>
    <row r="402" spans="3:3" x14ac:dyDescent="0.25">
      <c r="C402"/>
    </row>
    <row r="403" spans="3:3" x14ac:dyDescent="0.25">
      <c r="C403"/>
    </row>
    <row r="404" spans="3:3" x14ac:dyDescent="0.25">
      <c r="C404"/>
    </row>
    <row r="405" spans="3:3" x14ac:dyDescent="0.25">
      <c r="C405"/>
    </row>
    <row r="406" spans="3:3" x14ac:dyDescent="0.25">
      <c r="C406"/>
    </row>
    <row r="407" spans="3:3" x14ac:dyDescent="0.25">
      <c r="C407"/>
    </row>
    <row r="408" spans="3:3" x14ac:dyDescent="0.25">
      <c r="C408"/>
    </row>
    <row r="409" spans="3:3" x14ac:dyDescent="0.25">
      <c r="C409"/>
    </row>
    <row r="410" spans="3:3" x14ac:dyDescent="0.25">
      <c r="C410"/>
    </row>
    <row r="411" spans="3:3" x14ac:dyDescent="0.25">
      <c r="C411"/>
    </row>
    <row r="412" spans="3:3" x14ac:dyDescent="0.25">
      <c r="C412"/>
    </row>
    <row r="413" spans="3:3" x14ac:dyDescent="0.25">
      <c r="C413"/>
    </row>
    <row r="414" spans="3:3" x14ac:dyDescent="0.25">
      <c r="C414"/>
    </row>
    <row r="415" spans="3:3" x14ac:dyDescent="0.25">
      <c r="C415"/>
    </row>
    <row r="416" spans="3:3" x14ac:dyDescent="0.25">
      <c r="C416"/>
    </row>
    <row r="417" spans="3:3" x14ac:dyDescent="0.25">
      <c r="C417"/>
    </row>
    <row r="418" spans="3:3" x14ac:dyDescent="0.25">
      <c r="C418"/>
    </row>
    <row r="419" spans="3:3" x14ac:dyDescent="0.25">
      <c r="C419"/>
    </row>
    <row r="420" spans="3:3" x14ac:dyDescent="0.25">
      <c r="C420"/>
    </row>
    <row r="421" spans="3:3" x14ac:dyDescent="0.25">
      <c r="C421"/>
    </row>
    <row r="422" spans="3:3" x14ac:dyDescent="0.25">
      <c r="C422"/>
    </row>
    <row r="423" spans="3:3" x14ac:dyDescent="0.25">
      <c r="C423"/>
    </row>
    <row r="424" spans="3:3" x14ac:dyDescent="0.25">
      <c r="C424"/>
    </row>
    <row r="425" spans="3:3" x14ac:dyDescent="0.25">
      <c r="C425"/>
    </row>
    <row r="426" spans="3:3" x14ac:dyDescent="0.25">
      <c r="C426"/>
    </row>
    <row r="427" spans="3:3" x14ac:dyDescent="0.25">
      <c r="C427"/>
    </row>
    <row r="428" spans="3:3" x14ac:dyDescent="0.25">
      <c r="C428"/>
    </row>
    <row r="429" spans="3:3" x14ac:dyDescent="0.25">
      <c r="C429"/>
    </row>
    <row r="430" spans="3:3" x14ac:dyDescent="0.25">
      <c r="C430"/>
    </row>
    <row r="431" spans="3:3" x14ac:dyDescent="0.25">
      <c r="C431"/>
    </row>
    <row r="432" spans="3:3" x14ac:dyDescent="0.25">
      <c r="C432"/>
    </row>
    <row r="433" spans="3:3" x14ac:dyDescent="0.25">
      <c r="C433"/>
    </row>
    <row r="434" spans="3:3" x14ac:dyDescent="0.25">
      <c r="C434"/>
    </row>
    <row r="435" spans="3:3" x14ac:dyDescent="0.25">
      <c r="C435"/>
    </row>
    <row r="436" spans="3:3" x14ac:dyDescent="0.25">
      <c r="C436"/>
    </row>
    <row r="437" spans="3:3" x14ac:dyDescent="0.25">
      <c r="C437"/>
    </row>
    <row r="438" spans="3:3" x14ac:dyDescent="0.25">
      <c r="C438"/>
    </row>
    <row r="439" spans="3:3" x14ac:dyDescent="0.25">
      <c r="C439"/>
    </row>
    <row r="440" spans="3:3" x14ac:dyDescent="0.25">
      <c r="C440"/>
    </row>
    <row r="441" spans="3:3" x14ac:dyDescent="0.25">
      <c r="C441"/>
    </row>
    <row r="442" spans="3:3" x14ac:dyDescent="0.25">
      <c r="C442"/>
    </row>
    <row r="443" spans="3:3" x14ac:dyDescent="0.25">
      <c r="C443"/>
    </row>
    <row r="444" spans="3:3" x14ac:dyDescent="0.25">
      <c r="C444"/>
    </row>
    <row r="445" spans="3:3" x14ac:dyDescent="0.25">
      <c r="C445"/>
    </row>
    <row r="446" spans="3:3" x14ac:dyDescent="0.25">
      <c r="C446"/>
    </row>
    <row r="447" spans="3:3" x14ac:dyDescent="0.25">
      <c r="C447"/>
    </row>
    <row r="448" spans="3:3" x14ac:dyDescent="0.25">
      <c r="C448"/>
    </row>
    <row r="449" spans="3:3" x14ac:dyDescent="0.25">
      <c r="C449"/>
    </row>
    <row r="450" spans="3:3" x14ac:dyDescent="0.25">
      <c r="C450"/>
    </row>
    <row r="451" spans="3:3" x14ac:dyDescent="0.25">
      <c r="C451"/>
    </row>
    <row r="452" spans="3:3" x14ac:dyDescent="0.25">
      <c r="C452"/>
    </row>
    <row r="453" spans="3:3" x14ac:dyDescent="0.25">
      <c r="C453"/>
    </row>
    <row r="454" spans="3:3" x14ac:dyDescent="0.25">
      <c r="C454"/>
    </row>
    <row r="455" spans="3:3" x14ac:dyDescent="0.25">
      <c r="C455"/>
    </row>
    <row r="456" spans="3:3" x14ac:dyDescent="0.25">
      <c r="C456"/>
    </row>
    <row r="457" spans="3:3" x14ac:dyDescent="0.25">
      <c r="C457"/>
    </row>
    <row r="458" spans="3:3" x14ac:dyDescent="0.25">
      <c r="C458"/>
    </row>
    <row r="459" spans="3:3" x14ac:dyDescent="0.25">
      <c r="C459"/>
    </row>
    <row r="460" spans="3:3" x14ac:dyDescent="0.25">
      <c r="C460"/>
    </row>
    <row r="461" spans="3:3" x14ac:dyDescent="0.25">
      <c r="C461"/>
    </row>
    <row r="462" spans="3:3" x14ac:dyDescent="0.25">
      <c r="C462"/>
    </row>
    <row r="463" spans="3:3" x14ac:dyDescent="0.25">
      <c r="C463"/>
    </row>
    <row r="464" spans="3:3" x14ac:dyDescent="0.25">
      <c r="C464"/>
    </row>
    <row r="465" spans="3:3" x14ac:dyDescent="0.25">
      <c r="C465"/>
    </row>
    <row r="466" spans="3:3" x14ac:dyDescent="0.25">
      <c r="C466"/>
    </row>
    <row r="467" spans="3:3" x14ac:dyDescent="0.25">
      <c r="C467"/>
    </row>
    <row r="468" spans="3:3" x14ac:dyDescent="0.25">
      <c r="C468"/>
    </row>
    <row r="469" spans="3:3" x14ac:dyDescent="0.25">
      <c r="C469"/>
    </row>
    <row r="470" spans="3:3" x14ac:dyDescent="0.25">
      <c r="C470"/>
    </row>
    <row r="471" spans="3:3" x14ac:dyDescent="0.25">
      <c r="C471"/>
    </row>
    <row r="472" spans="3:3" x14ac:dyDescent="0.25">
      <c r="C472"/>
    </row>
    <row r="473" spans="3:3" x14ac:dyDescent="0.25">
      <c r="C473"/>
    </row>
    <row r="474" spans="3:3" x14ac:dyDescent="0.25">
      <c r="C474"/>
    </row>
    <row r="475" spans="3:3" x14ac:dyDescent="0.25">
      <c r="C475"/>
    </row>
    <row r="476" spans="3:3" x14ac:dyDescent="0.25">
      <c r="C476"/>
    </row>
    <row r="477" spans="3:3" x14ac:dyDescent="0.25">
      <c r="C477"/>
    </row>
    <row r="478" spans="3:3" x14ac:dyDescent="0.25">
      <c r="C478"/>
    </row>
    <row r="479" spans="3:3" x14ac:dyDescent="0.25">
      <c r="C479"/>
    </row>
    <row r="480" spans="3:3" x14ac:dyDescent="0.25">
      <c r="C480"/>
    </row>
    <row r="481" spans="3:3" x14ac:dyDescent="0.25">
      <c r="C481"/>
    </row>
    <row r="482" spans="3:3" x14ac:dyDescent="0.25">
      <c r="C482"/>
    </row>
    <row r="483" spans="3:3" x14ac:dyDescent="0.25">
      <c r="C483"/>
    </row>
    <row r="484" spans="3:3" x14ac:dyDescent="0.25">
      <c r="C484"/>
    </row>
    <row r="485" spans="3:3" x14ac:dyDescent="0.25">
      <c r="C485"/>
    </row>
    <row r="486" spans="3:3" x14ac:dyDescent="0.25">
      <c r="C486"/>
    </row>
    <row r="487" spans="3:3" x14ac:dyDescent="0.25">
      <c r="C487"/>
    </row>
    <row r="488" spans="3:3" x14ac:dyDescent="0.25">
      <c r="C488"/>
    </row>
    <row r="489" spans="3:3" x14ac:dyDescent="0.25">
      <c r="C489"/>
    </row>
    <row r="490" spans="3:3" x14ac:dyDescent="0.25">
      <c r="C490"/>
    </row>
    <row r="491" spans="3:3" x14ac:dyDescent="0.25">
      <c r="C491"/>
    </row>
    <row r="492" spans="3:3" x14ac:dyDescent="0.25">
      <c r="C492"/>
    </row>
    <row r="493" spans="3:3" x14ac:dyDescent="0.25">
      <c r="C493"/>
    </row>
    <row r="494" spans="3:3" x14ac:dyDescent="0.25">
      <c r="C494"/>
    </row>
    <row r="495" spans="3:3" x14ac:dyDescent="0.25">
      <c r="C495"/>
    </row>
    <row r="496" spans="3:3" x14ac:dyDescent="0.25">
      <c r="C496"/>
    </row>
    <row r="497" spans="3:3" x14ac:dyDescent="0.25">
      <c r="C497"/>
    </row>
    <row r="498" spans="3:3" x14ac:dyDescent="0.25">
      <c r="C498"/>
    </row>
    <row r="499" spans="3:3" x14ac:dyDescent="0.25">
      <c r="C499"/>
    </row>
    <row r="500" spans="3:3" x14ac:dyDescent="0.25">
      <c r="C500"/>
    </row>
    <row r="501" spans="3:3" x14ac:dyDescent="0.25">
      <c r="C501"/>
    </row>
    <row r="502" spans="3:3" x14ac:dyDescent="0.25">
      <c r="C502"/>
    </row>
    <row r="503" spans="3:3" x14ac:dyDescent="0.25">
      <c r="C503"/>
    </row>
    <row r="504" spans="3:3" x14ac:dyDescent="0.25">
      <c r="C504"/>
    </row>
    <row r="505" spans="3:3" x14ac:dyDescent="0.25">
      <c r="C505"/>
    </row>
    <row r="506" spans="3:3" x14ac:dyDescent="0.25">
      <c r="C506"/>
    </row>
    <row r="507" spans="3:3" x14ac:dyDescent="0.25">
      <c r="C507"/>
    </row>
    <row r="508" spans="3:3" x14ac:dyDescent="0.25">
      <c r="C508"/>
    </row>
    <row r="509" spans="3:3" x14ac:dyDescent="0.25">
      <c r="C509"/>
    </row>
    <row r="510" spans="3:3" x14ac:dyDescent="0.25">
      <c r="C510"/>
    </row>
    <row r="511" spans="3:3" x14ac:dyDescent="0.25">
      <c r="C511"/>
    </row>
    <row r="512" spans="3:3" x14ac:dyDescent="0.25">
      <c r="C512"/>
    </row>
    <row r="513" spans="3:3" x14ac:dyDescent="0.25">
      <c r="C513"/>
    </row>
    <row r="514" spans="3:3" x14ac:dyDescent="0.25">
      <c r="C514"/>
    </row>
    <row r="515" spans="3:3" x14ac:dyDescent="0.25">
      <c r="C515"/>
    </row>
    <row r="516" spans="3:3" x14ac:dyDescent="0.25">
      <c r="C516"/>
    </row>
    <row r="517" spans="3:3" x14ac:dyDescent="0.25">
      <c r="C517"/>
    </row>
    <row r="518" spans="3:3" x14ac:dyDescent="0.25">
      <c r="C518"/>
    </row>
    <row r="519" spans="3:3" x14ac:dyDescent="0.25">
      <c r="C519"/>
    </row>
    <row r="520" spans="3:3" x14ac:dyDescent="0.25">
      <c r="C520"/>
    </row>
    <row r="521" spans="3:3" x14ac:dyDescent="0.25">
      <c r="C521"/>
    </row>
    <row r="522" spans="3:3" x14ac:dyDescent="0.25">
      <c r="C522"/>
    </row>
    <row r="523" spans="3:3" x14ac:dyDescent="0.25">
      <c r="C523"/>
    </row>
    <row r="524" spans="3:3" x14ac:dyDescent="0.25">
      <c r="C524"/>
    </row>
    <row r="525" spans="3:3" x14ac:dyDescent="0.25">
      <c r="C525"/>
    </row>
    <row r="526" spans="3:3" x14ac:dyDescent="0.25">
      <c r="C526"/>
    </row>
    <row r="527" spans="3:3" x14ac:dyDescent="0.25">
      <c r="C527"/>
    </row>
    <row r="528" spans="3:3" x14ac:dyDescent="0.25">
      <c r="C528"/>
    </row>
    <row r="529" spans="3:3" x14ac:dyDescent="0.25">
      <c r="C529"/>
    </row>
    <row r="530" spans="3:3" x14ac:dyDescent="0.25">
      <c r="C530"/>
    </row>
    <row r="531" spans="3:3" x14ac:dyDescent="0.25">
      <c r="C531"/>
    </row>
    <row r="532" spans="3:3" x14ac:dyDescent="0.25">
      <c r="C532"/>
    </row>
    <row r="533" spans="3:3" x14ac:dyDescent="0.25">
      <c r="C533"/>
    </row>
    <row r="534" spans="3:3" x14ac:dyDescent="0.25">
      <c r="C534"/>
    </row>
    <row r="535" spans="3:3" x14ac:dyDescent="0.25">
      <c r="C535"/>
    </row>
    <row r="536" spans="3:3" x14ac:dyDescent="0.25">
      <c r="C536"/>
    </row>
    <row r="537" spans="3:3" x14ac:dyDescent="0.25">
      <c r="C537"/>
    </row>
    <row r="538" spans="3:3" x14ac:dyDescent="0.25">
      <c r="C538"/>
    </row>
    <row r="539" spans="3:3" x14ac:dyDescent="0.25">
      <c r="C539"/>
    </row>
    <row r="540" spans="3:3" x14ac:dyDescent="0.25">
      <c r="C540"/>
    </row>
    <row r="541" spans="3:3" x14ac:dyDescent="0.25">
      <c r="C541"/>
    </row>
    <row r="542" spans="3:3" x14ac:dyDescent="0.25">
      <c r="C542"/>
    </row>
    <row r="543" spans="3:3" x14ac:dyDescent="0.25">
      <c r="C543"/>
    </row>
    <row r="544" spans="3:3" x14ac:dyDescent="0.25">
      <c r="C544"/>
    </row>
    <row r="545" spans="3:3" x14ac:dyDescent="0.25">
      <c r="C545"/>
    </row>
    <row r="546" spans="3:3" x14ac:dyDescent="0.25">
      <c r="C546"/>
    </row>
    <row r="547" spans="3:3" x14ac:dyDescent="0.25">
      <c r="C547"/>
    </row>
    <row r="548" spans="3:3" x14ac:dyDescent="0.25">
      <c r="C548"/>
    </row>
    <row r="549" spans="3:3" x14ac:dyDescent="0.25">
      <c r="C549"/>
    </row>
    <row r="550" spans="3:3" x14ac:dyDescent="0.25">
      <c r="C550"/>
    </row>
    <row r="551" spans="3:3" x14ac:dyDescent="0.25">
      <c r="C551"/>
    </row>
    <row r="552" spans="3:3" x14ac:dyDescent="0.25">
      <c r="C552"/>
    </row>
    <row r="553" spans="3:3" x14ac:dyDescent="0.25">
      <c r="C553"/>
    </row>
    <row r="554" spans="3:3" x14ac:dyDescent="0.25">
      <c r="C554"/>
    </row>
    <row r="555" spans="3:3" x14ac:dyDescent="0.25">
      <c r="C555"/>
    </row>
    <row r="556" spans="3:3" x14ac:dyDescent="0.25">
      <c r="C556"/>
    </row>
    <row r="557" spans="3:3" x14ac:dyDescent="0.25">
      <c r="C557"/>
    </row>
    <row r="558" spans="3:3" x14ac:dyDescent="0.25">
      <c r="C558"/>
    </row>
    <row r="559" spans="3:3" x14ac:dyDescent="0.25">
      <c r="C559"/>
    </row>
    <row r="560" spans="3:3" x14ac:dyDescent="0.25">
      <c r="C560"/>
    </row>
    <row r="561" spans="3:3" x14ac:dyDescent="0.25">
      <c r="C561"/>
    </row>
    <row r="562" spans="3:3" x14ac:dyDescent="0.25">
      <c r="C562"/>
    </row>
    <row r="563" spans="3:3" x14ac:dyDescent="0.25">
      <c r="C563"/>
    </row>
    <row r="564" spans="3:3" x14ac:dyDescent="0.25">
      <c r="C564"/>
    </row>
    <row r="565" spans="3:3" x14ac:dyDescent="0.25">
      <c r="C565"/>
    </row>
    <row r="566" spans="3:3" x14ac:dyDescent="0.25">
      <c r="C566"/>
    </row>
    <row r="567" spans="3:3" x14ac:dyDescent="0.25">
      <c r="C567"/>
    </row>
    <row r="568" spans="3:3" x14ac:dyDescent="0.25">
      <c r="C568"/>
    </row>
    <row r="569" spans="3:3" x14ac:dyDescent="0.25">
      <c r="C569"/>
    </row>
    <row r="570" spans="3:3" x14ac:dyDescent="0.25">
      <c r="C570"/>
    </row>
    <row r="571" spans="3:3" x14ac:dyDescent="0.25">
      <c r="C571"/>
    </row>
    <row r="572" spans="3:3" x14ac:dyDescent="0.25">
      <c r="C572"/>
    </row>
    <row r="573" spans="3:3" x14ac:dyDescent="0.25">
      <c r="C573"/>
    </row>
    <row r="574" spans="3:3" x14ac:dyDescent="0.25">
      <c r="C574"/>
    </row>
    <row r="575" spans="3:3" x14ac:dyDescent="0.25">
      <c r="C575"/>
    </row>
    <row r="576" spans="3:3" x14ac:dyDescent="0.25">
      <c r="C576"/>
    </row>
    <row r="577" spans="3:3" x14ac:dyDescent="0.25">
      <c r="C577"/>
    </row>
    <row r="578" spans="3:3" x14ac:dyDescent="0.25">
      <c r="C578"/>
    </row>
    <row r="579" spans="3:3" x14ac:dyDescent="0.25">
      <c r="C579"/>
    </row>
    <row r="580" spans="3:3" x14ac:dyDescent="0.25">
      <c r="C580"/>
    </row>
    <row r="581" spans="3:3" x14ac:dyDescent="0.25">
      <c r="C581"/>
    </row>
    <row r="582" spans="3:3" x14ac:dyDescent="0.25">
      <c r="C582"/>
    </row>
    <row r="583" spans="3:3" x14ac:dyDescent="0.25">
      <c r="C583"/>
    </row>
    <row r="584" spans="3:3" x14ac:dyDescent="0.25">
      <c r="C584"/>
    </row>
    <row r="585" spans="3:3" x14ac:dyDescent="0.25">
      <c r="C585"/>
    </row>
    <row r="586" spans="3:3" x14ac:dyDescent="0.25">
      <c r="C586"/>
    </row>
    <row r="587" spans="3:3" x14ac:dyDescent="0.25">
      <c r="C587"/>
    </row>
    <row r="588" spans="3:3" x14ac:dyDescent="0.25">
      <c r="C588"/>
    </row>
    <row r="589" spans="3:3" x14ac:dyDescent="0.25">
      <c r="C589"/>
    </row>
    <row r="590" spans="3:3" x14ac:dyDescent="0.25">
      <c r="C590"/>
    </row>
    <row r="591" spans="3:3" x14ac:dyDescent="0.25">
      <c r="C591"/>
    </row>
    <row r="592" spans="3:3" x14ac:dyDescent="0.25">
      <c r="C592"/>
    </row>
    <row r="593" spans="3:3" x14ac:dyDescent="0.25">
      <c r="C593"/>
    </row>
    <row r="594" spans="3:3" x14ac:dyDescent="0.25">
      <c r="C594"/>
    </row>
    <row r="595" spans="3:3" x14ac:dyDescent="0.25">
      <c r="C595"/>
    </row>
    <row r="596" spans="3:3" x14ac:dyDescent="0.25">
      <c r="C596"/>
    </row>
    <row r="597" spans="3:3" x14ac:dyDescent="0.25">
      <c r="C597"/>
    </row>
    <row r="598" spans="3:3" x14ac:dyDescent="0.25">
      <c r="C598"/>
    </row>
    <row r="599" spans="3:3" x14ac:dyDescent="0.25">
      <c r="C599"/>
    </row>
    <row r="600" spans="3:3" x14ac:dyDescent="0.25">
      <c r="C600"/>
    </row>
    <row r="601" spans="3:3" x14ac:dyDescent="0.25">
      <c r="C601"/>
    </row>
    <row r="602" spans="3:3" x14ac:dyDescent="0.25">
      <c r="C602"/>
    </row>
    <row r="603" spans="3:3" x14ac:dyDescent="0.25">
      <c r="C603"/>
    </row>
    <row r="604" spans="3:3" x14ac:dyDescent="0.25">
      <c r="C604"/>
    </row>
    <row r="605" spans="3:3" x14ac:dyDescent="0.25">
      <c r="C605"/>
    </row>
    <row r="606" spans="3:3" x14ac:dyDescent="0.25">
      <c r="C606"/>
    </row>
    <row r="607" spans="3:3" x14ac:dyDescent="0.25">
      <c r="C607"/>
    </row>
    <row r="608" spans="3:3" x14ac:dyDescent="0.25">
      <c r="C608"/>
    </row>
    <row r="609" spans="3:3" x14ac:dyDescent="0.25">
      <c r="C609"/>
    </row>
    <row r="610" spans="3:3" x14ac:dyDescent="0.25">
      <c r="C610"/>
    </row>
    <row r="611" spans="3:3" x14ac:dyDescent="0.25">
      <c r="C611"/>
    </row>
    <row r="612" spans="3:3" x14ac:dyDescent="0.25">
      <c r="C612"/>
    </row>
    <row r="613" spans="3:3" x14ac:dyDescent="0.25">
      <c r="C613"/>
    </row>
    <row r="614" spans="3:3" x14ac:dyDescent="0.25">
      <c r="C614"/>
    </row>
    <row r="615" spans="3:3" x14ac:dyDescent="0.25">
      <c r="C615"/>
    </row>
    <row r="616" spans="3:3" x14ac:dyDescent="0.25">
      <c r="C616"/>
    </row>
    <row r="617" spans="3:3" x14ac:dyDescent="0.25">
      <c r="C617"/>
    </row>
    <row r="618" spans="3:3" x14ac:dyDescent="0.25">
      <c r="C618"/>
    </row>
    <row r="619" spans="3:3" x14ac:dyDescent="0.25">
      <c r="C619"/>
    </row>
    <row r="620" spans="3:3" x14ac:dyDescent="0.25">
      <c r="C620"/>
    </row>
    <row r="621" spans="3:3" x14ac:dyDescent="0.25">
      <c r="C621"/>
    </row>
    <row r="622" spans="3:3" x14ac:dyDescent="0.25">
      <c r="C622"/>
    </row>
    <row r="623" spans="3:3" x14ac:dyDescent="0.25">
      <c r="C623"/>
    </row>
    <row r="624" spans="3:3" x14ac:dyDescent="0.25">
      <c r="C624"/>
    </row>
    <row r="625" spans="3:3" x14ac:dyDescent="0.25">
      <c r="C625"/>
    </row>
    <row r="626" spans="3:3" x14ac:dyDescent="0.25">
      <c r="C626"/>
    </row>
    <row r="627" spans="3:3" x14ac:dyDescent="0.25">
      <c r="C627"/>
    </row>
    <row r="628" spans="3:3" x14ac:dyDescent="0.25">
      <c r="C628"/>
    </row>
    <row r="629" spans="3:3" x14ac:dyDescent="0.25">
      <c r="C629"/>
    </row>
    <row r="630" spans="3:3" x14ac:dyDescent="0.25">
      <c r="C630"/>
    </row>
    <row r="631" spans="3:3" x14ac:dyDescent="0.25">
      <c r="C631"/>
    </row>
    <row r="632" spans="3:3" x14ac:dyDescent="0.25">
      <c r="C632"/>
    </row>
    <row r="633" spans="3:3" x14ac:dyDescent="0.25">
      <c r="C633"/>
    </row>
    <row r="634" spans="3:3" x14ac:dyDescent="0.25">
      <c r="C634"/>
    </row>
    <row r="635" spans="3:3" x14ac:dyDescent="0.25">
      <c r="C635"/>
    </row>
    <row r="636" spans="3:3" x14ac:dyDescent="0.25">
      <c r="C636"/>
    </row>
    <row r="637" spans="3:3" x14ac:dyDescent="0.25">
      <c r="C637"/>
    </row>
    <row r="638" spans="3:3" x14ac:dyDescent="0.25">
      <c r="C638"/>
    </row>
    <row r="639" spans="3:3" x14ac:dyDescent="0.25">
      <c r="C639"/>
    </row>
    <row r="640" spans="3:3" x14ac:dyDescent="0.25">
      <c r="C640"/>
    </row>
    <row r="641" spans="3:3" x14ac:dyDescent="0.25">
      <c r="C641"/>
    </row>
    <row r="642" spans="3:3" x14ac:dyDescent="0.25">
      <c r="C642"/>
    </row>
    <row r="643" spans="3:3" x14ac:dyDescent="0.25">
      <c r="C643"/>
    </row>
    <row r="644" spans="3:3" x14ac:dyDescent="0.25">
      <c r="C644"/>
    </row>
    <row r="645" spans="3:3" x14ac:dyDescent="0.25">
      <c r="C645"/>
    </row>
    <row r="646" spans="3:3" x14ac:dyDescent="0.25">
      <c r="C646"/>
    </row>
    <row r="647" spans="3:3" x14ac:dyDescent="0.25">
      <c r="C647"/>
    </row>
    <row r="648" spans="3:3" x14ac:dyDescent="0.25">
      <c r="C648"/>
    </row>
    <row r="649" spans="3:3" x14ac:dyDescent="0.25">
      <c r="C649"/>
    </row>
    <row r="650" spans="3:3" x14ac:dyDescent="0.25">
      <c r="C650"/>
    </row>
    <row r="651" spans="3:3" x14ac:dyDescent="0.25">
      <c r="C651"/>
    </row>
    <row r="652" spans="3:3" x14ac:dyDescent="0.25">
      <c r="C652"/>
    </row>
    <row r="653" spans="3:3" x14ac:dyDescent="0.25">
      <c r="C653"/>
    </row>
    <row r="654" spans="3:3" x14ac:dyDescent="0.25">
      <c r="C654"/>
    </row>
    <row r="655" spans="3:3" x14ac:dyDescent="0.25">
      <c r="C655"/>
    </row>
    <row r="656" spans="3:3" x14ac:dyDescent="0.25">
      <c r="C656"/>
    </row>
    <row r="657" spans="3:3" x14ac:dyDescent="0.25">
      <c r="C657"/>
    </row>
    <row r="658" spans="3:3" x14ac:dyDescent="0.25">
      <c r="C658"/>
    </row>
    <row r="659" spans="3:3" x14ac:dyDescent="0.25">
      <c r="C659"/>
    </row>
    <row r="660" spans="3:3" x14ac:dyDescent="0.25">
      <c r="C660"/>
    </row>
    <row r="661" spans="3:3" x14ac:dyDescent="0.25">
      <c r="C661"/>
    </row>
    <row r="662" spans="3:3" x14ac:dyDescent="0.25">
      <c r="C662"/>
    </row>
    <row r="663" spans="3:3" x14ac:dyDescent="0.25">
      <c r="C663"/>
    </row>
    <row r="664" spans="3:3" x14ac:dyDescent="0.25">
      <c r="C664"/>
    </row>
    <row r="665" spans="3:3" x14ac:dyDescent="0.25">
      <c r="C665"/>
    </row>
    <row r="666" spans="3:3" x14ac:dyDescent="0.25">
      <c r="C666"/>
    </row>
    <row r="667" spans="3:3" x14ac:dyDescent="0.25">
      <c r="C667"/>
    </row>
    <row r="668" spans="3:3" x14ac:dyDescent="0.25">
      <c r="C668"/>
    </row>
    <row r="669" spans="3:3" x14ac:dyDescent="0.25">
      <c r="C669"/>
    </row>
    <row r="670" spans="3:3" x14ac:dyDescent="0.25">
      <c r="C670"/>
    </row>
    <row r="671" spans="3:3" x14ac:dyDescent="0.25">
      <c r="C671"/>
    </row>
    <row r="672" spans="3:3" x14ac:dyDescent="0.25">
      <c r="C672"/>
    </row>
    <row r="673" spans="3:3" x14ac:dyDescent="0.25">
      <c r="C673"/>
    </row>
    <row r="674" spans="3:3" x14ac:dyDescent="0.25">
      <c r="C674"/>
    </row>
    <row r="675" spans="3:3" x14ac:dyDescent="0.25">
      <c r="C675"/>
    </row>
    <row r="676" spans="3:3" x14ac:dyDescent="0.25">
      <c r="C676"/>
    </row>
    <row r="677" spans="3:3" x14ac:dyDescent="0.25">
      <c r="C677"/>
    </row>
    <row r="678" spans="3:3" x14ac:dyDescent="0.25">
      <c r="C678"/>
    </row>
    <row r="679" spans="3:3" x14ac:dyDescent="0.25">
      <c r="C679"/>
    </row>
    <row r="680" spans="3:3" x14ac:dyDescent="0.25">
      <c r="C680"/>
    </row>
    <row r="681" spans="3:3" x14ac:dyDescent="0.25">
      <c r="C681"/>
    </row>
    <row r="682" spans="3:3" x14ac:dyDescent="0.25">
      <c r="C682"/>
    </row>
    <row r="683" spans="3:3" x14ac:dyDescent="0.25">
      <c r="C683"/>
    </row>
    <row r="684" spans="3:3" x14ac:dyDescent="0.25">
      <c r="C684"/>
    </row>
    <row r="685" spans="3:3" x14ac:dyDescent="0.25">
      <c r="C685"/>
    </row>
    <row r="686" spans="3:3" x14ac:dyDescent="0.25">
      <c r="C686"/>
    </row>
    <row r="687" spans="3:3" x14ac:dyDescent="0.25">
      <c r="C687"/>
    </row>
    <row r="688" spans="3:3" x14ac:dyDescent="0.25">
      <c r="C688"/>
    </row>
    <row r="689" spans="3:3" x14ac:dyDescent="0.25">
      <c r="C689"/>
    </row>
    <row r="690" spans="3:3" x14ac:dyDescent="0.25">
      <c r="C690"/>
    </row>
    <row r="691" spans="3:3" x14ac:dyDescent="0.25">
      <c r="C691"/>
    </row>
    <row r="692" spans="3:3" x14ac:dyDescent="0.25">
      <c r="C692"/>
    </row>
    <row r="693" spans="3:3" x14ac:dyDescent="0.25">
      <c r="C693"/>
    </row>
    <row r="694" spans="3:3" x14ac:dyDescent="0.25">
      <c r="C694"/>
    </row>
    <row r="695" spans="3:3" x14ac:dyDescent="0.25">
      <c r="C695"/>
    </row>
    <row r="696" spans="3:3" x14ac:dyDescent="0.25">
      <c r="C696"/>
    </row>
    <row r="697" spans="3:3" x14ac:dyDescent="0.25">
      <c r="C697"/>
    </row>
    <row r="698" spans="3:3" x14ac:dyDescent="0.25">
      <c r="C698"/>
    </row>
    <row r="699" spans="3:3" x14ac:dyDescent="0.25">
      <c r="C699"/>
    </row>
    <row r="700" spans="3:3" x14ac:dyDescent="0.25">
      <c r="C700"/>
    </row>
    <row r="701" spans="3:3" x14ac:dyDescent="0.25">
      <c r="C701"/>
    </row>
    <row r="702" spans="3:3" x14ac:dyDescent="0.25">
      <c r="C702"/>
    </row>
    <row r="703" spans="3:3" x14ac:dyDescent="0.25">
      <c r="C703"/>
    </row>
    <row r="704" spans="3:3" x14ac:dyDescent="0.25">
      <c r="C704"/>
    </row>
    <row r="705" spans="3:3" x14ac:dyDescent="0.25">
      <c r="C705"/>
    </row>
    <row r="706" spans="3:3" x14ac:dyDescent="0.25">
      <c r="C706"/>
    </row>
    <row r="707" spans="3:3" x14ac:dyDescent="0.25">
      <c r="C707"/>
    </row>
    <row r="708" spans="3:3" x14ac:dyDescent="0.25">
      <c r="C708"/>
    </row>
    <row r="709" spans="3:3" x14ac:dyDescent="0.25">
      <c r="C709"/>
    </row>
    <row r="710" spans="3:3" x14ac:dyDescent="0.25">
      <c r="C710"/>
    </row>
    <row r="711" spans="3:3" x14ac:dyDescent="0.25">
      <c r="C711"/>
    </row>
    <row r="712" spans="3:3" x14ac:dyDescent="0.25">
      <c r="C712"/>
    </row>
    <row r="713" spans="3:3" x14ac:dyDescent="0.25">
      <c r="C713"/>
    </row>
    <row r="714" spans="3:3" x14ac:dyDescent="0.25">
      <c r="C714"/>
    </row>
    <row r="715" spans="3:3" x14ac:dyDescent="0.25">
      <c r="C715"/>
    </row>
    <row r="716" spans="3:3" x14ac:dyDescent="0.25">
      <c r="C716"/>
    </row>
    <row r="717" spans="3:3" x14ac:dyDescent="0.25">
      <c r="C717"/>
    </row>
    <row r="718" spans="3:3" x14ac:dyDescent="0.25">
      <c r="C718"/>
    </row>
    <row r="719" spans="3:3" x14ac:dyDescent="0.25">
      <c r="C719"/>
    </row>
    <row r="720" spans="3:3" x14ac:dyDescent="0.25">
      <c r="C720"/>
    </row>
    <row r="721" spans="3:3" x14ac:dyDescent="0.25">
      <c r="C721"/>
    </row>
    <row r="722" spans="3:3" x14ac:dyDescent="0.25">
      <c r="C722"/>
    </row>
    <row r="723" spans="3:3" x14ac:dyDescent="0.25">
      <c r="C723"/>
    </row>
    <row r="724" spans="3:3" x14ac:dyDescent="0.25">
      <c r="C724"/>
    </row>
    <row r="725" spans="3:3" x14ac:dyDescent="0.25">
      <c r="C725"/>
    </row>
    <row r="726" spans="3:3" x14ac:dyDescent="0.25">
      <c r="C726"/>
    </row>
    <row r="727" spans="3:3" x14ac:dyDescent="0.25">
      <c r="C727"/>
    </row>
    <row r="728" spans="3:3" x14ac:dyDescent="0.25">
      <c r="C728"/>
    </row>
    <row r="729" spans="3:3" x14ac:dyDescent="0.25">
      <c r="C729"/>
    </row>
    <row r="730" spans="3:3" x14ac:dyDescent="0.25">
      <c r="C730"/>
    </row>
    <row r="731" spans="3:3" x14ac:dyDescent="0.25">
      <c r="C731"/>
    </row>
    <row r="732" spans="3:3" x14ac:dyDescent="0.25">
      <c r="C732"/>
    </row>
    <row r="733" spans="3:3" x14ac:dyDescent="0.25">
      <c r="C733"/>
    </row>
    <row r="734" spans="3:3" x14ac:dyDescent="0.25">
      <c r="C734"/>
    </row>
    <row r="735" spans="3:3" x14ac:dyDescent="0.25">
      <c r="C735"/>
    </row>
    <row r="736" spans="3:3" x14ac:dyDescent="0.25">
      <c r="C736"/>
    </row>
    <row r="737" spans="3:3" x14ac:dyDescent="0.25">
      <c r="C737"/>
    </row>
    <row r="738" spans="3:3" x14ac:dyDescent="0.25">
      <c r="C738"/>
    </row>
    <row r="739" spans="3:3" x14ac:dyDescent="0.25">
      <c r="C739"/>
    </row>
    <row r="740" spans="3:3" x14ac:dyDescent="0.25">
      <c r="C740"/>
    </row>
    <row r="741" spans="3:3" x14ac:dyDescent="0.25">
      <c r="C741"/>
    </row>
    <row r="742" spans="3:3" x14ac:dyDescent="0.25">
      <c r="C742"/>
    </row>
    <row r="743" spans="3:3" x14ac:dyDescent="0.25">
      <c r="C743"/>
    </row>
    <row r="744" spans="3:3" x14ac:dyDescent="0.25">
      <c r="C744"/>
    </row>
    <row r="745" spans="3:3" x14ac:dyDescent="0.25">
      <c r="C745"/>
    </row>
    <row r="746" spans="3:3" x14ac:dyDescent="0.25">
      <c r="C746"/>
    </row>
    <row r="747" spans="3:3" x14ac:dyDescent="0.25">
      <c r="C747"/>
    </row>
    <row r="748" spans="3:3" x14ac:dyDescent="0.25">
      <c r="C748"/>
    </row>
    <row r="749" spans="3:3" x14ac:dyDescent="0.25">
      <c r="C749"/>
    </row>
    <row r="750" spans="3:3" x14ac:dyDescent="0.25">
      <c r="C750"/>
    </row>
    <row r="751" spans="3:3" x14ac:dyDescent="0.25">
      <c r="C751"/>
    </row>
    <row r="752" spans="3:3" x14ac:dyDescent="0.25">
      <c r="C752"/>
    </row>
    <row r="753" spans="3:3" x14ac:dyDescent="0.25">
      <c r="C753"/>
    </row>
    <row r="754" spans="3:3" x14ac:dyDescent="0.25">
      <c r="C754"/>
    </row>
    <row r="755" spans="3:3" x14ac:dyDescent="0.25">
      <c r="C755"/>
    </row>
    <row r="756" spans="3:3" x14ac:dyDescent="0.25">
      <c r="C756"/>
    </row>
    <row r="757" spans="3:3" x14ac:dyDescent="0.25">
      <c r="C757"/>
    </row>
    <row r="758" spans="3:3" x14ac:dyDescent="0.25">
      <c r="C758"/>
    </row>
    <row r="759" spans="3:3" x14ac:dyDescent="0.25">
      <c r="C759"/>
    </row>
    <row r="760" spans="3:3" x14ac:dyDescent="0.25">
      <c r="C760"/>
    </row>
    <row r="761" spans="3:3" x14ac:dyDescent="0.25">
      <c r="C761"/>
    </row>
    <row r="762" spans="3:3" x14ac:dyDescent="0.25">
      <c r="C762"/>
    </row>
    <row r="763" spans="3:3" x14ac:dyDescent="0.25">
      <c r="C763"/>
    </row>
    <row r="764" spans="3:3" x14ac:dyDescent="0.25">
      <c r="C764"/>
    </row>
    <row r="765" spans="3:3" x14ac:dyDescent="0.25">
      <c r="C765"/>
    </row>
    <row r="766" spans="3:3" x14ac:dyDescent="0.25">
      <c r="C766"/>
    </row>
    <row r="767" spans="3:3" x14ac:dyDescent="0.25">
      <c r="C767"/>
    </row>
    <row r="768" spans="3:3" x14ac:dyDescent="0.25">
      <c r="C768"/>
    </row>
    <row r="769" spans="3:3" x14ac:dyDescent="0.25">
      <c r="C769"/>
    </row>
    <row r="770" spans="3:3" x14ac:dyDescent="0.25">
      <c r="C770"/>
    </row>
    <row r="771" spans="3:3" x14ac:dyDescent="0.25">
      <c r="C771"/>
    </row>
    <row r="772" spans="3:3" x14ac:dyDescent="0.25">
      <c r="C772"/>
    </row>
    <row r="773" spans="3:3" x14ac:dyDescent="0.25">
      <c r="C773"/>
    </row>
    <row r="774" spans="3:3" x14ac:dyDescent="0.25">
      <c r="C774"/>
    </row>
    <row r="775" spans="3:3" x14ac:dyDescent="0.25">
      <c r="C775"/>
    </row>
    <row r="776" spans="3:3" x14ac:dyDescent="0.25">
      <c r="C776"/>
    </row>
    <row r="777" spans="3:3" x14ac:dyDescent="0.25">
      <c r="C777"/>
    </row>
    <row r="778" spans="3:3" x14ac:dyDescent="0.25">
      <c r="C778"/>
    </row>
    <row r="779" spans="3:3" x14ac:dyDescent="0.25">
      <c r="C779"/>
    </row>
    <row r="780" spans="3:3" x14ac:dyDescent="0.25">
      <c r="C780"/>
    </row>
    <row r="781" spans="3:3" x14ac:dyDescent="0.25">
      <c r="C781"/>
    </row>
    <row r="782" spans="3:3" x14ac:dyDescent="0.25">
      <c r="C782"/>
    </row>
    <row r="783" spans="3:3" x14ac:dyDescent="0.25">
      <c r="C783"/>
    </row>
    <row r="784" spans="3:3" x14ac:dyDescent="0.25">
      <c r="C784"/>
    </row>
    <row r="785" spans="3:3" x14ac:dyDescent="0.25">
      <c r="C785"/>
    </row>
    <row r="786" spans="3:3" x14ac:dyDescent="0.25">
      <c r="C786"/>
    </row>
    <row r="787" spans="3:3" x14ac:dyDescent="0.25">
      <c r="C787"/>
    </row>
    <row r="788" spans="3:3" x14ac:dyDescent="0.25">
      <c r="C788"/>
    </row>
    <row r="789" spans="3:3" x14ac:dyDescent="0.25">
      <c r="C789"/>
    </row>
    <row r="790" spans="3:3" x14ac:dyDescent="0.25">
      <c r="C790"/>
    </row>
    <row r="791" spans="3:3" x14ac:dyDescent="0.25">
      <c r="C791"/>
    </row>
    <row r="792" spans="3:3" x14ac:dyDescent="0.25">
      <c r="C792"/>
    </row>
    <row r="793" spans="3:3" x14ac:dyDescent="0.25">
      <c r="C793"/>
    </row>
    <row r="794" spans="3:3" x14ac:dyDescent="0.25">
      <c r="C794"/>
    </row>
    <row r="795" spans="3:3" x14ac:dyDescent="0.25">
      <c r="C795"/>
    </row>
    <row r="796" spans="3:3" x14ac:dyDescent="0.25">
      <c r="C796"/>
    </row>
    <row r="797" spans="3:3" x14ac:dyDescent="0.25">
      <c r="C797"/>
    </row>
    <row r="798" spans="3:3" x14ac:dyDescent="0.25">
      <c r="C798"/>
    </row>
    <row r="799" spans="3:3" x14ac:dyDescent="0.25">
      <c r="C799"/>
    </row>
    <row r="800" spans="3:3" x14ac:dyDescent="0.25">
      <c r="C800"/>
    </row>
    <row r="801" spans="3:3" x14ac:dyDescent="0.25">
      <c r="C801"/>
    </row>
    <row r="802" spans="3:3" x14ac:dyDescent="0.25">
      <c r="C802"/>
    </row>
    <row r="803" spans="3:3" x14ac:dyDescent="0.25">
      <c r="C803"/>
    </row>
    <row r="804" spans="3:3" x14ac:dyDescent="0.25">
      <c r="C804"/>
    </row>
    <row r="805" spans="3:3" x14ac:dyDescent="0.25">
      <c r="C805"/>
    </row>
    <row r="806" spans="3:3" x14ac:dyDescent="0.25">
      <c r="C806"/>
    </row>
    <row r="807" spans="3:3" x14ac:dyDescent="0.25">
      <c r="C807"/>
    </row>
    <row r="808" spans="3:3" x14ac:dyDescent="0.25">
      <c r="C808"/>
    </row>
    <row r="809" spans="3:3" x14ac:dyDescent="0.25">
      <c r="C809"/>
    </row>
    <row r="810" spans="3:3" x14ac:dyDescent="0.25">
      <c r="C810"/>
    </row>
    <row r="811" spans="3:3" x14ac:dyDescent="0.25">
      <c r="C811"/>
    </row>
    <row r="812" spans="3:3" x14ac:dyDescent="0.25">
      <c r="C812"/>
    </row>
    <row r="813" spans="3:3" x14ac:dyDescent="0.25">
      <c r="C813"/>
    </row>
    <row r="814" spans="3:3" x14ac:dyDescent="0.25">
      <c r="C814"/>
    </row>
    <row r="815" spans="3:3" x14ac:dyDescent="0.25">
      <c r="C815"/>
    </row>
    <row r="816" spans="3:3" x14ac:dyDescent="0.25">
      <c r="C816"/>
    </row>
    <row r="817" spans="3:3" x14ac:dyDescent="0.25">
      <c r="C817"/>
    </row>
    <row r="818" spans="3:3" x14ac:dyDescent="0.25">
      <c r="C818"/>
    </row>
    <row r="819" spans="3:3" x14ac:dyDescent="0.25">
      <c r="C819"/>
    </row>
    <row r="820" spans="3:3" x14ac:dyDescent="0.25">
      <c r="C820"/>
    </row>
    <row r="821" spans="3:3" x14ac:dyDescent="0.25">
      <c r="C821"/>
    </row>
    <row r="822" spans="3:3" x14ac:dyDescent="0.25">
      <c r="C822"/>
    </row>
    <row r="823" spans="3:3" x14ac:dyDescent="0.25">
      <c r="C823"/>
    </row>
    <row r="824" spans="3:3" x14ac:dyDescent="0.25">
      <c r="C824"/>
    </row>
    <row r="825" spans="3:3" x14ac:dyDescent="0.25">
      <c r="C825"/>
    </row>
    <row r="826" spans="3:3" x14ac:dyDescent="0.25">
      <c r="C826"/>
    </row>
    <row r="827" spans="3:3" x14ac:dyDescent="0.25">
      <c r="C827"/>
    </row>
    <row r="828" spans="3:3" x14ac:dyDescent="0.25">
      <c r="C828"/>
    </row>
    <row r="829" spans="3:3" x14ac:dyDescent="0.25">
      <c r="C829"/>
    </row>
    <row r="830" spans="3:3" x14ac:dyDescent="0.25">
      <c r="C830"/>
    </row>
    <row r="831" spans="3:3" x14ac:dyDescent="0.25">
      <c r="C831"/>
    </row>
    <row r="832" spans="3:3" x14ac:dyDescent="0.25">
      <c r="C832"/>
    </row>
    <row r="833" spans="3:3" x14ac:dyDescent="0.25">
      <c r="C833"/>
    </row>
    <row r="834" spans="3:3" x14ac:dyDescent="0.25">
      <c r="C834"/>
    </row>
    <row r="835" spans="3:3" x14ac:dyDescent="0.25">
      <c r="C835"/>
    </row>
    <row r="836" spans="3:3" x14ac:dyDescent="0.25">
      <c r="C836"/>
    </row>
    <row r="837" spans="3:3" x14ac:dyDescent="0.25">
      <c r="C837"/>
    </row>
    <row r="838" spans="3:3" x14ac:dyDescent="0.25">
      <c r="C838"/>
    </row>
    <row r="839" spans="3:3" x14ac:dyDescent="0.25">
      <c r="C839"/>
    </row>
    <row r="840" spans="3:3" x14ac:dyDescent="0.25">
      <c r="C840"/>
    </row>
    <row r="841" spans="3:3" x14ac:dyDescent="0.25">
      <c r="C841"/>
    </row>
    <row r="842" spans="3:3" x14ac:dyDescent="0.25">
      <c r="C842"/>
    </row>
    <row r="843" spans="3:3" x14ac:dyDescent="0.25">
      <c r="C843"/>
    </row>
    <row r="844" spans="3:3" x14ac:dyDescent="0.25">
      <c r="C844"/>
    </row>
    <row r="845" spans="3:3" x14ac:dyDescent="0.25">
      <c r="C845"/>
    </row>
    <row r="846" spans="3:3" x14ac:dyDescent="0.25">
      <c r="C846"/>
    </row>
    <row r="847" spans="3:3" x14ac:dyDescent="0.25">
      <c r="C847"/>
    </row>
    <row r="848" spans="3:3" x14ac:dyDescent="0.25">
      <c r="C848"/>
    </row>
    <row r="849" spans="3:3" x14ac:dyDescent="0.25">
      <c r="C849"/>
    </row>
    <row r="850" spans="3:3" x14ac:dyDescent="0.25">
      <c r="C850"/>
    </row>
    <row r="851" spans="3:3" x14ac:dyDescent="0.25">
      <c r="C851"/>
    </row>
    <row r="852" spans="3:3" x14ac:dyDescent="0.25">
      <c r="C852"/>
    </row>
    <row r="853" spans="3:3" x14ac:dyDescent="0.25">
      <c r="C853"/>
    </row>
    <row r="854" spans="3:3" x14ac:dyDescent="0.25">
      <c r="C854"/>
    </row>
    <row r="855" spans="3:3" x14ac:dyDescent="0.25">
      <c r="C855"/>
    </row>
    <row r="856" spans="3:3" x14ac:dyDescent="0.25">
      <c r="C856"/>
    </row>
    <row r="857" spans="3:3" x14ac:dyDescent="0.25">
      <c r="C857"/>
    </row>
    <row r="858" spans="3:3" x14ac:dyDescent="0.25">
      <c r="C858"/>
    </row>
    <row r="859" spans="3:3" x14ac:dyDescent="0.25">
      <c r="C859"/>
    </row>
    <row r="860" spans="3:3" x14ac:dyDescent="0.25">
      <c r="C860"/>
    </row>
    <row r="861" spans="3:3" x14ac:dyDescent="0.25">
      <c r="C861"/>
    </row>
    <row r="862" spans="3:3" x14ac:dyDescent="0.25">
      <c r="C862"/>
    </row>
    <row r="863" spans="3:3" x14ac:dyDescent="0.25">
      <c r="C863"/>
    </row>
    <row r="864" spans="3:3" x14ac:dyDescent="0.25">
      <c r="C864"/>
    </row>
    <row r="865" spans="3:3" x14ac:dyDescent="0.25">
      <c r="C865"/>
    </row>
    <row r="866" spans="3:3" x14ac:dyDescent="0.25">
      <c r="C866"/>
    </row>
    <row r="867" spans="3:3" x14ac:dyDescent="0.25">
      <c r="C867"/>
    </row>
    <row r="868" spans="3:3" x14ac:dyDescent="0.25">
      <c r="C868"/>
    </row>
    <row r="869" spans="3:3" x14ac:dyDescent="0.25">
      <c r="C869"/>
    </row>
    <row r="870" spans="3:3" x14ac:dyDescent="0.25">
      <c r="C870"/>
    </row>
    <row r="871" spans="3:3" x14ac:dyDescent="0.25">
      <c r="C871"/>
    </row>
    <row r="872" spans="3:3" x14ac:dyDescent="0.25">
      <c r="C872"/>
    </row>
    <row r="873" spans="3:3" x14ac:dyDescent="0.25">
      <c r="C873"/>
    </row>
    <row r="874" spans="3:3" x14ac:dyDescent="0.25">
      <c r="C874"/>
    </row>
    <row r="875" spans="3:3" x14ac:dyDescent="0.25">
      <c r="C875"/>
    </row>
    <row r="876" spans="3:3" x14ac:dyDescent="0.25">
      <c r="C876"/>
    </row>
    <row r="877" spans="3:3" x14ac:dyDescent="0.25">
      <c r="C877"/>
    </row>
    <row r="878" spans="3:3" x14ac:dyDescent="0.25">
      <c r="C878"/>
    </row>
    <row r="879" spans="3:3" x14ac:dyDescent="0.25">
      <c r="C879"/>
    </row>
    <row r="880" spans="3:3" x14ac:dyDescent="0.25">
      <c r="C880"/>
    </row>
    <row r="881" spans="3:3" x14ac:dyDescent="0.25">
      <c r="C881"/>
    </row>
    <row r="882" spans="3:3" x14ac:dyDescent="0.25">
      <c r="C882"/>
    </row>
    <row r="883" spans="3:3" x14ac:dyDescent="0.25">
      <c r="C883"/>
    </row>
    <row r="884" spans="3:3" x14ac:dyDescent="0.25">
      <c r="C884"/>
    </row>
    <row r="885" spans="3:3" x14ac:dyDescent="0.25">
      <c r="C885"/>
    </row>
    <row r="886" spans="3:3" x14ac:dyDescent="0.25">
      <c r="C886"/>
    </row>
    <row r="887" spans="3:3" x14ac:dyDescent="0.25">
      <c r="C887"/>
    </row>
    <row r="888" spans="3:3" x14ac:dyDescent="0.25">
      <c r="C888"/>
    </row>
    <row r="889" spans="3:3" x14ac:dyDescent="0.25">
      <c r="C889"/>
    </row>
    <row r="890" spans="3:3" x14ac:dyDescent="0.25">
      <c r="C890"/>
    </row>
    <row r="891" spans="3:3" x14ac:dyDescent="0.25">
      <c r="C891"/>
    </row>
    <row r="892" spans="3:3" x14ac:dyDescent="0.25">
      <c r="C892"/>
    </row>
    <row r="893" spans="3:3" x14ac:dyDescent="0.25">
      <c r="C893"/>
    </row>
    <row r="894" spans="3:3" x14ac:dyDescent="0.25">
      <c r="C894"/>
    </row>
    <row r="895" spans="3:3" x14ac:dyDescent="0.25">
      <c r="C895"/>
    </row>
    <row r="896" spans="3:3" x14ac:dyDescent="0.25">
      <c r="C896"/>
    </row>
    <row r="897" spans="3:3" x14ac:dyDescent="0.25">
      <c r="C897"/>
    </row>
    <row r="898" spans="3:3" x14ac:dyDescent="0.25">
      <c r="C898"/>
    </row>
    <row r="899" spans="3:3" x14ac:dyDescent="0.25">
      <c r="C899"/>
    </row>
    <row r="900" spans="3:3" x14ac:dyDescent="0.25">
      <c r="C900"/>
    </row>
    <row r="901" spans="3:3" x14ac:dyDescent="0.25">
      <c r="C901"/>
    </row>
    <row r="902" spans="3:3" x14ac:dyDescent="0.25">
      <c r="C902"/>
    </row>
    <row r="903" spans="3:3" x14ac:dyDescent="0.25">
      <c r="C903"/>
    </row>
    <row r="904" spans="3:3" x14ac:dyDescent="0.25">
      <c r="C904"/>
    </row>
    <row r="905" spans="3:3" x14ac:dyDescent="0.25">
      <c r="C905"/>
    </row>
    <row r="906" spans="3:3" x14ac:dyDescent="0.25">
      <c r="C906"/>
    </row>
    <row r="907" spans="3:3" x14ac:dyDescent="0.25">
      <c r="C907"/>
    </row>
    <row r="908" spans="3:3" x14ac:dyDescent="0.25">
      <c r="C908"/>
    </row>
    <row r="909" spans="3:3" x14ac:dyDescent="0.25">
      <c r="C909"/>
    </row>
    <row r="910" spans="3:3" x14ac:dyDescent="0.25">
      <c r="C910"/>
    </row>
    <row r="911" spans="3:3" x14ac:dyDescent="0.25">
      <c r="C911"/>
    </row>
    <row r="912" spans="3:3" x14ac:dyDescent="0.25">
      <c r="C912"/>
    </row>
    <row r="913" spans="3:3" x14ac:dyDescent="0.25">
      <c r="C913"/>
    </row>
    <row r="914" spans="3:3" x14ac:dyDescent="0.25">
      <c r="C914"/>
    </row>
    <row r="915" spans="3:3" x14ac:dyDescent="0.25">
      <c r="C915"/>
    </row>
    <row r="916" spans="3:3" x14ac:dyDescent="0.25">
      <c r="C916"/>
    </row>
    <row r="917" spans="3:3" x14ac:dyDescent="0.25">
      <c r="C917"/>
    </row>
    <row r="918" spans="3:3" x14ac:dyDescent="0.25">
      <c r="C918"/>
    </row>
    <row r="919" spans="3:3" x14ac:dyDescent="0.25">
      <c r="C919"/>
    </row>
    <row r="920" spans="3:3" x14ac:dyDescent="0.25">
      <c r="C920"/>
    </row>
    <row r="921" spans="3:3" x14ac:dyDescent="0.25">
      <c r="C921"/>
    </row>
    <row r="922" spans="3:3" x14ac:dyDescent="0.25">
      <c r="C922"/>
    </row>
    <row r="923" spans="3:3" x14ac:dyDescent="0.25">
      <c r="C923"/>
    </row>
    <row r="924" spans="3:3" x14ac:dyDescent="0.25">
      <c r="C924"/>
    </row>
    <row r="925" spans="3:3" x14ac:dyDescent="0.25">
      <c r="C925"/>
    </row>
    <row r="926" spans="3:3" x14ac:dyDescent="0.25">
      <c r="C926"/>
    </row>
    <row r="927" spans="3:3" x14ac:dyDescent="0.25">
      <c r="C927"/>
    </row>
    <row r="928" spans="3:3" x14ac:dyDescent="0.25">
      <c r="C928"/>
    </row>
    <row r="929" spans="3:3" x14ac:dyDescent="0.25">
      <c r="C929"/>
    </row>
    <row r="930" spans="3:3" x14ac:dyDescent="0.25">
      <c r="C930"/>
    </row>
    <row r="931" spans="3:3" x14ac:dyDescent="0.25">
      <c r="C931"/>
    </row>
    <row r="932" spans="3:3" x14ac:dyDescent="0.25">
      <c r="C932"/>
    </row>
    <row r="933" spans="3:3" x14ac:dyDescent="0.25">
      <c r="C933"/>
    </row>
    <row r="934" spans="3:3" x14ac:dyDescent="0.25">
      <c r="C934"/>
    </row>
    <row r="935" spans="3:3" x14ac:dyDescent="0.25">
      <c r="C935"/>
    </row>
    <row r="936" spans="3:3" x14ac:dyDescent="0.25">
      <c r="C936"/>
    </row>
    <row r="937" spans="3:3" x14ac:dyDescent="0.25">
      <c r="C937"/>
    </row>
    <row r="938" spans="3:3" x14ac:dyDescent="0.25">
      <c r="C938"/>
    </row>
    <row r="939" spans="3:3" x14ac:dyDescent="0.25">
      <c r="C939"/>
    </row>
    <row r="940" spans="3:3" x14ac:dyDescent="0.25">
      <c r="C940"/>
    </row>
    <row r="941" spans="3:3" x14ac:dyDescent="0.25">
      <c r="C941"/>
    </row>
    <row r="942" spans="3:3" x14ac:dyDescent="0.25">
      <c r="C942"/>
    </row>
    <row r="943" spans="3:3" x14ac:dyDescent="0.25">
      <c r="C943"/>
    </row>
    <row r="944" spans="3:3" x14ac:dyDescent="0.25">
      <c r="C944"/>
    </row>
    <row r="945" spans="3:3" x14ac:dyDescent="0.25">
      <c r="C945"/>
    </row>
    <row r="946" spans="3:3" x14ac:dyDescent="0.25">
      <c r="C946"/>
    </row>
    <row r="947" spans="3:3" x14ac:dyDescent="0.25">
      <c r="C947"/>
    </row>
    <row r="948" spans="3:3" x14ac:dyDescent="0.25">
      <c r="C948"/>
    </row>
    <row r="949" spans="3:3" x14ac:dyDescent="0.25">
      <c r="C949"/>
    </row>
    <row r="950" spans="3:3" x14ac:dyDescent="0.25">
      <c r="C950"/>
    </row>
    <row r="951" spans="3:3" x14ac:dyDescent="0.25">
      <c r="C951"/>
    </row>
    <row r="952" spans="3:3" x14ac:dyDescent="0.25">
      <c r="C952"/>
    </row>
    <row r="953" spans="3:3" x14ac:dyDescent="0.25">
      <c r="C953"/>
    </row>
    <row r="954" spans="3:3" x14ac:dyDescent="0.25">
      <c r="C954"/>
    </row>
    <row r="955" spans="3:3" x14ac:dyDescent="0.25">
      <c r="C955"/>
    </row>
    <row r="956" spans="3:3" x14ac:dyDescent="0.25">
      <c r="C956"/>
    </row>
    <row r="957" spans="3:3" x14ac:dyDescent="0.25">
      <c r="C957"/>
    </row>
    <row r="958" spans="3:3" x14ac:dyDescent="0.25">
      <c r="C958"/>
    </row>
    <row r="959" spans="3:3" x14ac:dyDescent="0.25">
      <c r="C959"/>
    </row>
    <row r="960" spans="3:3" x14ac:dyDescent="0.25">
      <c r="C960"/>
    </row>
    <row r="961" spans="3:3" x14ac:dyDescent="0.25">
      <c r="C961"/>
    </row>
    <row r="962" spans="3:3" x14ac:dyDescent="0.25">
      <c r="C962"/>
    </row>
    <row r="963" spans="3:3" x14ac:dyDescent="0.25">
      <c r="C963"/>
    </row>
    <row r="964" spans="3:3" x14ac:dyDescent="0.25">
      <c r="C964"/>
    </row>
    <row r="965" spans="3:3" x14ac:dyDescent="0.25">
      <c r="C965"/>
    </row>
    <row r="966" spans="3:3" x14ac:dyDescent="0.25">
      <c r="C966"/>
    </row>
    <row r="967" spans="3:3" x14ac:dyDescent="0.25">
      <c r="C967"/>
    </row>
    <row r="968" spans="3:3" x14ac:dyDescent="0.25">
      <c r="C968"/>
    </row>
    <row r="969" spans="3:3" x14ac:dyDescent="0.25">
      <c r="C969"/>
    </row>
    <row r="970" spans="3:3" x14ac:dyDescent="0.25">
      <c r="C970"/>
    </row>
    <row r="971" spans="3:3" x14ac:dyDescent="0.25">
      <c r="C971"/>
    </row>
    <row r="972" spans="3:3" x14ac:dyDescent="0.25">
      <c r="C972"/>
    </row>
    <row r="973" spans="3:3" x14ac:dyDescent="0.25">
      <c r="C973"/>
    </row>
    <row r="974" spans="3:3" x14ac:dyDescent="0.25">
      <c r="C974"/>
    </row>
    <row r="975" spans="3:3" x14ac:dyDescent="0.25">
      <c r="C975"/>
    </row>
    <row r="976" spans="3:3" x14ac:dyDescent="0.25">
      <c r="C976"/>
    </row>
    <row r="977" spans="3:3" x14ac:dyDescent="0.25">
      <c r="C977"/>
    </row>
    <row r="978" spans="3:3" x14ac:dyDescent="0.25">
      <c r="C978"/>
    </row>
    <row r="979" spans="3:3" x14ac:dyDescent="0.25">
      <c r="C979"/>
    </row>
    <row r="980" spans="3:3" x14ac:dyDescent="0.25">
      <c r="C980"/>
    </row>
    <row r="981" spans="3:3" x14ac:dyDescent="0.25">
      <c r="C981"/>
    </row>
    <row r="982" spans="3:3" x14ac:dyDescent="0.25">
      <c r="C982"/>
    </row>
    <row r="983" spans="3:3" x14ac:dyDescent="0.25">
      <c r="C983"/>
    </row>
    <row r="984" spans="3:3" x14ac:dyDescent="0.25">
      <c r="C984"/>
    </row>
    <row r="985" spans="3:3" x14ac:dyDescent="0.25">
      <c r="C985"/>
    </row>
    <row r="986" spans="3:3" x14ac:dyDescent="0.25">
      <c r="C986"/>
    </row>
    <row r="987" spans="3:3" x14ac:dyDescent="0.25">
      <c r="C987"/>
    </row>
    <row r="988" spans="3:3" x14ac:dyDescent="0.25">
      <c r="C988"/>
    </row>
    <row r="989" spans="3:3" x14ac:dyDescent="0.25">
      <c r="C989"/>
    </row>
    <row r="990" spans="3:3" x14ac:dyDescent="0.25">
      <c r="C990"/>
    </row>
    <row r="991" spans="3:3" x14ac:dyDescent="0.25">
      <c r="C991"/>
    </row>
    <row r="992" spans="3:3" x14ac:dyDescent="0.25">
      <c r="C992"/>
    </row>
    <row r="993" spans="3:3" x14ac:dyDescent="0.25">
      <c r="C993"/>
    </row>
    <row r="994" spans="3:3" x14ac:dyDescent="0.25">
      <c r="C994"/>
    </row>
    <row r="995" spans="3:3" x14ac:dyDescent="0.25">
      <c r="C995"/>
    </row>
    <row r="996" spans="3:3" x14ac:dyDescent="0.25">
      <c r="C996"/>
    </row>
    <row r="997" spans="3:3" x14ac:dyDescent="0.25">
      <c r="C997"/>
    </row>
    <row r="998" spans="3:3" x14ac:dyDescent="0.25">
      <c r="C998"/>
    </row>
    <row r="999" spans="3:3" x14ac:dyDescent="0.25">
      <c r="C999"/>
    </row>
    <row r="1000" spans="3:3" x14ac:dyDescent="0.25">
      <c r="C1000"/>
    </row>
    <row r="1001" spans="3:3" x14ac:dyDescent="0.25">
      <c r="C1001"/>
    </row>
    <row r="1002" spans="3:3" x14ac:dyDescent="0.25">
      <c r="C1002"/>
    </row>
    <row r="1003" spans="3:3" x14ac:dyDescent="0.25">
      <c r="C1003"/>
    </row>
    <row r="1004" spans="3:3" x14ac:dyDescent="0.25">
      <c r="C1004"/>
    </row>
    <row r="1005" spans="3:3" x14ac:dyDescent="0.25">
      <c r="C1005"/>
    </row>
    <row r="1006" spans="3:3" x14ac:dyDescent="0.25">
      <c r="C1006"/>
    </row>
    <row r="1007" spans="3:3" x14ac:dyDescent="0.25">
      <c r="C1007"/>
    </row>
    <row r="1008" spans="3:3" x14ac:dyDescent="0.25">
      <c r="C1008"/>
    </row>
    <row r="1009" spans="3:3" x14ac:dyDescent="0.25">
      <c r="C1009"/>
    </row>
    <row r="1010" spans="3:3" x14ac:dyDescent="0.25">
      <c r="C1010"/>
    </row>
    <row r="1011" spans="3:3" x14ac:dyDescent="0.25">
      <c r="C1011"/>
    </row>
    <row r="1012" spans="3:3" x14ac:dyDescent="0.25">
      <c r="C1012"/>
    </row>
    <row r="1013" spans="3:3" x14ac:dyDescent="0.25">
      <c r="C1013"/>
    </row>
    <row r="1014" spans="3:3" x14ac:dyDescent="0.25">
      <c r="C1014"/>
    </row>
    <row r="1015" spans="3:3" x14ac:dyDescent="0.25">
      <c r="C1015"/>
    </row>
    <row r="1016" spans="3:3" x14ac:dyDescent="0.25">
      <c r="C1016"/>
    </row>
    <row r="1017" spans="3:3" x14ac:dyDescent="0.25">
      <c r="C1017"/>
    </row>
    <row r="1018" spans="3:3" x14ac:dyDescent="0.25">
      <c r="C1018"/>
    </row>
    <row r="1019" spans="3:3" x14ac:dyDescent="0.25">
      <c r="C1019"/>
    </row>
    <row r="1020" spans="3:3" x14ac:dyDescent="0.25">
      <c r="C1020"/>
    </row>
    <row r="1021" spans="3:3" x14ac:dyDescent="0.25">
      <c r="C1021"/>
    </row>
    <row r="1022" spans="3:3" x14ac:dyDescent="0.25">
      <c r="C1022"/>
    </row>
    <row r="1023" spans="3:3" x14ac:dyDescent="0.25">
      <c r="C1023"/>
    </row>
    <row r="1024" spans="3:3" x14ac:dyDescent="0.25">
      <c r="C1024"/>
    </row>
    <row r="1025" spans="3:3" x14ac:dyDescent="0.25">
      <c r="C1025"/>
    </row>
    <row r="1026" spans="3:3" x14ac:dyDescent="0.25">
      <c r="C1026"/>
    </row>
    <row r="1027" spans="3:3" x14ac:dyDescent="0.25">
      <c r="C1027"/>
    </row>
    <row r="1028" spans="3:3" x14ac:dyDescent="0.25">
      <c r="C1028"/>
    </row>
    <row r="1029" spans="3:3" x14ac:dyDescent="0.25">
      <c r="C1029"/>
    </row>
    <row r="1030" spans="3:3" x14ac:dyDescent="0.25">
      <c r="C1030"/>
    </row>
    <row r="1031" spans="3:3" x14ac:dyDescent="0.25">
      <c r="C1031"/>
    </row>
    <row r="1032" spans="3:3" x14ac:dyDescent="0.25">
      <c r="C1032"/>
    </row>
    <row r="1033" spans="3:3" x14ac:dyDescent="0.25">
      <c r="C1033"/>
    </row>
    <row r="1034" spans="3:3" x14ac:dyDescent="0.25">
      <c r="C1034"/>
    </row>
    <row r="1035" spans="3:3" x14ac:dyDescent="0.25">
      <c r="C1035"/>
    </row>
    <row r="1036" spans="3:3" x14ac:dyDescent="0.25">
      <c r="C1036"/>
    </row>
    <row r="1037" spans="3:3" x14ac:dyDescent="0.25">
      <c r="C1037"/>
    </row>
    <row r="1038" spans="3:3" x14ac:dyDescent="0.25">
      <c r="C1038"/>
    </row>
    <row r="1039" spans="3:3" x14ac:dyDescent="0.25">
      <c r="C1039"/>
    </row>
    <row r="1040" spans="3:3" x14ac:dyDescent="0.25">
      <c r="C1040"/>
    </row>
    <row r="1041" spans="3:3" x14ac:dyDescent="0.25">
      <c r="C1041"/>
    </row>
    <row r="1042" spans="3:3" x14ac:dyDescent="0.25">
      <c r="C1042"/>
    </row>
    <row r="1043" spans="3:3" x14ac:dyDescent="0.25">
      <c r="C1043"/>
    </row>
    <row r="1044" spans="3:3" x14ac:dyDescent="0.25">
      <c r="C1044"/>
    </row>
    <row r="1045" spans="3:3" x14ac:dyDescent="0.25">
      <c r="C1045"/>
    </row>
    <row r="1046" spans="3:3" x14ac:dyDescent="0.25">
      <c r="C1046"/>
    </row>
    <row r="1047" spans="3:3" x14ac:dyDescent="0.25">
      <c r="C1047"/>
    </row>
    <row r="1048" spans="3:3" x14ac:dyDescent="0.25">
      <c r="C1048"/>
    </row>
    <row r="1049" spans="3:3" x14ac:dyDescent="0.25">
      <c r="C1049"/>
    </row>
    <row r="1050" spans="3:3" x14ac:dyDescent="0.25">
      <c r="C1050"/>
    </row>
    <row r="1051" spans="3:3" x14ac:dyDescent="0.25">
      <c r="C1051"/>
    </row>
    <row r="1052" spans="3:3" x14ac:dyDescent="0.25">
      <c r="C1052"/>
    </row>
    <row r="1053" spans="3:3" x14ac:dyDescent="0.25">
      <c r="C1053"/>
    </row>
    <row r="1054" spans="3:3" x14ac:dyDescent="0.25">
      <c r="C1054"/>
    </row>
    <row r="1055" spans="3:3" x14ac:dyDescent="0.25">
      <c r="C1055"/>
    </row>
    <row r="1056" spans="3:3" x14ac:dyDescent="0.25">
      <c r="C1056"/>
    </row>
    <row r="1057" spans="3:3" x14ac:dyDescent="0.25">
      <c r="C1057"/>
    </row>
    <row r="1058" spans="3:3" x14ac:dyDescent="0.25">
      <c r="C1058"/>
    </row>
    <row r="1059" spans="3:3" x14ac:dyDescent="0.25">
      <c r="C1059"/>
    </row>
    <row r="1060" spans="3:3" x14ac:dyDescent="0.25">
      <c r="C1060"/>
    </row>
    <row r="1061" spans="3:3" x14ac:dyDescent="0.25">
      <c r="C1061"/>
    </row>
    <row r="1062" spans="3:3" x14ac:dyDescent="0.25">
      <c r="C1062"/>
    </row>
    <row r="1063" spans="3:3" x14ac:dyDescent="0.25">
      <c r="C1063"/>
    </row>
    <row r="1064" spans="3:3" x14ac:dyDescent="0.25">
      <c r="C1064"/>
    </row>
    <row r="1065" spans="3:3" x14ac:dyDescent="0.25">
      <c r="C1065"/>
    </row>
    <row r="1066" spans="3:3" x14ac:dyDescent="0.25">
      <c r="C1066"/>
    </row>
    <row r="1067" spans="3:3" x14ac:dyDescent="0.25">
      <c r="C1067"/>
    </row>
    <row r="1068" spans="3:3" x14ac:dyDescent="0.25">
      <c r="C1068"/>
    </row>
    <row r="1069" spans="3:3" x14ac:dyDescent="0.25">
      <c r="C1069"/>
    </row>
    <row r="1070" spans="3:3" x14ac:dyDescent="0.25">
      <c r="C1070"/>
    </row>
    <row r="1071" spans="3:3" x14ac:dyDescent="0.25">
      <c r="C1071"/>
    </row>
    <row r="1072" spans="3:3" x14ac:dyDescent="0.25">
      <c r="C1072"/>
    </row>
    <row r="1073" spans="3:3" x14ac:dyDescent="0.25">
      <c r="C1073"/>
    </row>
    <row r="1074" spans="3:3" x14ac:dyDescent="0.25">
      <c r="C1074"/>
    </row>
    <row r="1075" spans="3:3" x14ac:dyDescent="0.25">
      <c r="C1075"/>
    </row>
    <row r="1076" spans="3:3" x14ac:dyDescent="0.25">
      <c r="C1076"/>
    </row>
    <row r="1077" spans="3:3" x14ac:dyDescent="0.25">
      <c r="C1077"/>
    </row>
    <row r="1078" spans="3:3" x14ac:dyDescent="0.25">
      <c r="C1078"/>
    </row>
    <row r="1079" spans="3:3" x14ac:dyDescent="0.25">
      <c r="C1079"/>
    </row>
    <row r="1080" spans="3:3" x14ac:dyDescent="0.25">
      <c r="C1080"/>
    </row>
    <row r="1081" spans="3:3" x14ac:dyDescent="0.25">
      <c r="C1081"/>
    </row>
    <row r="1082" spans="3:3" x14ac:dyDescent="0.25">
      <c r="C1082"/>
    </row>
    <row r="1083" spans="3:3" x14ac:dyDescent="0.25">
      <c r="C1083"/>
    </row>
    <row r="1084" spans="3:3" x14ac:dyDescent="0.25">
      <c r="C1084"/>
    </row>
    <row r="1085" spans="3:3" x14ac:dyDescent="0.25">
      <c r="C1085"/>
    </row>
    <row r="1086" spans="3:3" x14ac:dyDescent="0.25">
      <c r="C1086"/>
    </row>
    <row r="1087" spans="3:3" x14ac:dyDescent="0.25">
      <c r="C1087"/>
    </row>
    <row r="1088" spans="3:3" x14ac:dyDescent="0.25">
      <c r="C1088"/>
    </row>
    <row r="1089" spans="3:3" x14ac:dyDescent="0.25">
      <c r="C1089"/>
    </row>
    <row r="1090" spans="3:3" x14ac:dyDescent="0.25">
      <c r="C1090"/>
    </row>
    <row r="1091" spans="3:3" x14ac:dyDescent="0.25">
      <c r="C1091"/>
    </row>
    <row r="1092" spans="3:3" x14ac:dyDescent="0.25">
      <c r="C1092"/>
    </row>
    <row r="1093" spans="3:3" x14ac:dyDescent="0.25">
      <c r="C1093"/>
    </row>
    <row r="1094" spans="3:3" x14ac:dyDescent="0.25">
      <c r="C1094"/>
    </row>
    <row r="1095" spans="3:3" x14ac:dyDescent="0.25">
      <c r="C1095"/>
    </row>
    <row r="1096" spans="3:3" x14ac:dyDescent="0.25">
      <c r="C1096"/>
    </row>
    <row r="1097" spans="3:3" x14ac:dyDescent="0.25">
      <c r="C1097"/>
    </row>
    <row r="1098" spans="3:3" x14ac:dyDescent="0.25">
      <c r="C1098"/>
    </row>
    <row r="1099" spans="3:3" x14ac:dyDescent="0.25">
      <c r="C1099"/>
    </row>
    <row r="1100" spans="3:3" x14ac:dyDescent="0.25">
      <c r="C1100"/>
    </row>
    <row r="1101" spans="3:3" x14ac:dyDescent="0.25">
      <c r="C1101"/>
    </row>
    <row r="1102" spans="3:3" x14ac:dyDescent="0.25">
      <c r="C1102"/>
    </row>
    <row r="1103" spans="3:3" x14ac:dyDescent="0.25">
      <c r="C1103"/>
    </row>
    <row r="1104" spans="3:3" x14ac:dyDescent="0.25">
      <c r="C1104"/>
    </row>
    <row r="1105" spans="3:3" x14ac:dyDescent="0.25">
      <c r="C1105"/>
    </row>
    <row r="1106" spans="3:3" x14ac:dyDescent="0.25">
      <c r="C1106"/>
    </row>
    <row r="1107" spans="3:3" x14ac:dyDescent="0.25">
      <c r="C1107"/>
    </row>
    <row r="1108" spans="3:3" x14ac:dyDescent="0.25">
      <c r="C1108"/>
    </row>
    <row r="1109" spans="3:3" x14ac:dyDescent="0.25">
      <c r="C1109"/>
    </row>
    <row r="1110" spans="3:3" x14ac:dyDescent="0.25">
      <c r="C1110"/>
    </row>
    <row r="1111" spans="3:3" x14ac:dyDescent="0.25">
      <c r="C1111"/>
    </row>
    <row r="1112" spans="3:3" x14ac:dyDescent="0.25">
      <c r="C1112"/>
    </row>
    <row r="1113" spans="3:3" x14ac:dyDescent="0.25">
      <c r="C1113"/>
    </row>
    <row r="1114" spans="3:3" x14ac:dyDescent="0.25">
      <c r="C1114"/>
    </row>
    <row r="1115" spans="3:3" x14ac:dyDescent="0.25">
      <c r="C1115"/>
    </row>
    <row r="1116" spans="3:3" x14ac:dyDescent="0.25">
      <c r="C1116"/>
    </row>
    <row r="1117" spans="3:3" x14ac:dyDescent="0.25">
      <c r="C1117"/>
    </row>
    <row r="1118" spans="3:3" x14ac:dyDescent="0.25">
      <c r="C1118"/>
    </row>
    <row r="1119" spans="3:3" x14ac:dyDescent="0.25">
      <c r="C1119"/>
    </row>
    <row r="1120" spans="3:3" x14ac:dyDescent="0.25">
      <c r="C1120"/>
    </row>
    <row r="1121" spans="3:3" x14ac:dyDescent="0.25">
      <c r="C1121"/>
    </row>
    <row r="1122" spans="3:3" x14ac:dyDescent="0.25">
      <c r="C1122"/>
    </row>
    <row r="1123" spans="3:3" x14ac:dyDescent="0.25">
      <c r="C1123"/>
    </row>
    <row r="1124" spans="3:3" x14ac:dyDescent="0.25">
      <c r="C1124"/>
    </row>
    <row r="1125" spans="3:3" x14ac:dyDescent="0.25">
      <c r="C1125"/>
    </row>
    <row r="1126" spans="3:3" x14ac:dyDescent="0.25">
      <c r="C1126"/>
    </row>
    <row r="1127" spans="3:3" x14ac:dyDescent="0.25">
      <c r="C1127"/>
    </row>
    <row r="1128" spans="3:3" x14ac:dyDescent="0.25">
      <c r="C1128"/>
    </row>
    <row r="1129" spans="3:3" x14ac:dyDescent="0.25">
      <c r="C1129"/>
    </row>
    <row r="1130" spans="3:3" x14ac:dyDescent="0.25">
      <c r="C1130"/>
    </row>
    <row r="1131" spans="3:3" x14ac:dyDescent="0.25">
      <c r="C1131"/>
    </row>
    <row r="1132" spans="3:3" x14ac:dyDescent="0.25">
      <c r="C1132"/>
    </row>
    <row r="1133" spans="3:3" x14ac:dyDescent="0.25">
      <c r="C1133"/>
    </row>
    <row r="1134" spans="3:3" x14ac:dyDescent="0.25">
      <c r="C1134"/>
    </row>
    <row r="1135" spans="3:3" x14ac:dyDescent="0.25">
      <c r="C1135"/>
    </row>
    <row r="1136" spans="3:3" x14ac:dyDescent="0.25">
      <c r="C1136"/>
    </row>
    <row r="1137" spans="3:3" x14ac:dyDescent="0.25">
      <c r="C1137"/>
    </row>
    <row r="1138" spans="3:3" x14ac:dyDescent="0.25">
      <c r="C1138"/>
    </row>
    <row r="1139" spans="3:3" x14ac:dyDescent="0.25">
      <c r="C1139"/>
    </row>
    <row r="1140" spans="3:3" x14ac:dyDescent="0.25">
      <c r="C1140"/>
    </row>
    <row r="1141" spans="3:3" x14ac:dyDescent="0.25">
      <c r="C1141"/>
    </row>
    <row r="1142" spans="3:3" x14ac:dyDescent="0.25">
      <c r="C1142"/>
    </row>
    <row r="1143" spans="3:3" x14ac:dyDescent="0.25">
      <c r="C1143"/>
    </row>
    <row r="1144" spans="3:3" x14ac:dyDescent="0.25">
      <c r="C1144"/>
    </row>
    <row r="1145" spans="3:3" x14ac:dyDescent="0.25">
      <c r="C1145"/>
    </row>
    <row r="1146" spans="3:3" x14ac:dyDescent="0.25">
      <c r="C1146"/>
    </row>
    <row r="1147" spans="3:3" x14ac:dyDescent="0.25">
      <c r="C1147"/>
    </row>
    <row r="1148" spans="3:3" x14ac:dyDescent="0.25">
      <c r="C1148"/>
    </row>
    <row r="1149" spans="3:3" x14ac:dyDescent="0.25">
      <c r="C1149"/>
    </row>
    <row r="1150" spans="3:3" x14ac:dyDescent="0.25">
      <c r="C1150"/>
    </row>
    <row r="1151" spans="3:3" x14ac:dyDescent="0.25">
      <c r="C1151"/>
    </row>
    <row r="1152" spans="3:3" x14ac:dyDescent="0.25">
      <c r="C1152"/>
    </row>
    <row r="1153" spans="3:3" x14ac:dyDescent="0.25">
      <c r="C1153"/>
    </row>
    <row r="1154" spans="3:3" x14ac:dyDescent="0.25">
      <c r="C1154"/>
    </row>
    <row r="1155" spans="3:3" x14ac:dyDescent="0.25">
      <c r="C1155"/>
    </row>
    <row r="1156" spans="3:3" x14ac:dyDescent="0.25">
      <c r="C1156"/>
    </row>
    <row r="1157" spans="3:3" x14ac:dyDescent="0.25">
      <c r="C1157"/>
    </row>
    <row r="1158" spans="3:3" x14ac:dyDescent="0.25">
      <c r="C1158"/>
    </row>
    <row r="1159" spans="3:3" x14ac:dyDescent="0.25">
      <c r="C1159"/>
    </row>
    <row r="1160" spans="3:3" x14ac:dyDescent="0.25">
      <c r="C1160"/>
    </row>
    <row r="1161" spans="3:3" x14ac:dyDescent="0.25">
      <c r="C1161"/>
    </row>
    <row r="1162" spans="3:3" x14ac:dyDescent="0.25">
      <c r="C1162"/>
    </row>
    <row r="1163" spans="3:3" x14ac:dyDescent="0.25">
      <c r="C1163"/>
    </row>
    <row r="1164" spans="3:3" x14ac:dyDescent="0.25">
      <c r="C1164"/>
    </row>
    <row r="1165" spans="3:3" x14ac:dyDescent="0.25">
      <c r="C1165"/>
    </row>
    <row r="1166" spans="3:3" x14ac:dyDescent="0.25">
      <c r="C1166"/>
    </row>
    <row r="1167" spans="3:3" x14ac:dyDescent="0.25">
      <c r="C1167"/>
    </row>
    <row r="1168" spans="3:3" x14ac:dyDescent="0.25">
      <c r="C1168"/>
    </row>
    <row r="1169" spans="3:3" x14ac:dyDescent="0.25">
      <c r="C1169"/>
    </row>
    <row r="1170" spans="3:3" x14ac:dyDescent="0.25">
      <c r="C1170"/>
    </row>
    <row r="1171" spans="3:3" x14ac:dyDescent="0.25">
      <c r="C1171"/>
    </row>
    <row r="1172" spans="3:3" x14ac:dyDescent="0.25">
      <c r="C1172"/>
    </row>
    <row r="1173" spans="3:3" x14ac:dyDescent="0.25">
      <c r="C1173"/>
    </row>
    <row r="1174" spans="3:3" x14ac:dyDescent="0.25">
      <c r="C1174"/>
    </row>
    <row r="1175" spans="3:3" x14ac:dyDescent="0.25">
      <c r="C1175"/>
    </row>
    <row r="1176" spans="3:3" x14ac:dyDescent="0.25">
      <c r="C1176"/>
    </row>
    <row r="1177" spans="3:3" x14ac:dyDescent="0.25">
      <c r="C1177"/>
    </row>
    <row r="1178" spans="3:3" x14ac:dyDescent="0.25">
      <c r="C1178"/>
    </row>
    <row r="1179" spans="3:3" x14ac:dyDescent="0.25">
      <c r="C1179"/>
    </row>
    <row r="1180" spans="3:3" x14ac:dyDescent="0.25">
      <c r="C1180"/>
    </row>
    <row r="1181" spans="3:3" x14ac:dyDescent="0.25">
      <c r="C1181"/>
    </row>
    <row r="1182" spans="3:3" x14ac:dyDescent="0.25">
      <c r="C1182"/>
    </row>
    <row r="1183" spans="3:3" x14ac:dyDescent="0.25">
      <c r="C1183"/>
    </row>
    <row r="1184" spans="3:3" x14ac:dyDescent="0.25">
      <c r="C1184"/>
    </row>
    <row r="1185" spans="3:3" x14ac:dyDescent="0.25">
      <c r="C1185"/>
    </row>
    <row r="1186" spans="3:3" x14ac:dyDescent="0.25">
      <c r="C1186"/>
    </row>
    <row r="1187" spans="3:3" x14ac:dyDescent="0.25">
      <c r="C1187"/>
    </row>
    <row r="1188" spans="3:3" x14ac:dyDescent="0.25">
      <c r="C1188"/>
    </row>
    <row r="1189" spans="3:3" x14ac:dyDescent="0.25">
      <c r="C1189"/>
    </row>
    <row r="1190" spans="3:3" x14ac:dyDescent="0.25">
      <c r="C1190"/>
    </row>
    <row r="1191" spans="3:3" x14ac:dyDescent="0.25">
      <c r="C1191"/>
    </row>
    <row r="1192" spans="3:3" x14ac:dyDescent="0.25">
      <c r="C1192"/>
    </row>
    <row r="1193" spans="3:3" x14ac:dyDescent="0.25">
      <c r="C1193"/>
    </row>
    <row r="1194" spans="3:3" x14ac:dyDescent="0.25">
      <c r="C1194"/>
    </row>
    <row r="1195" spans="3:3" x14ac:dyDescent="0.25">
      <c r="C1195"/>
    </row>
    <row r="1196" spans="3:3" x14ac:dyDescent="0.25">
      <c r="C1196"/>
    </row>
    <row r="1197" spans="3:3" x14ac:dyDescent="0.25">
      <c r="C1197"/>
    </row>
    <row r="1198" spans="3:3" x14ac:dyDescent="0.25">
      <c r="C1198"/>
    </row>
    <row r="1199" spans="3:3" x14ac:dyDescent="0.25">
      <c r="C1199"/>
    </row>
    <row r="1200" spans="3:3" x14ac:dyDescent="0.25">
      <c r="C1200"/>
    </row>
    <row r="1201" spans="3:3" x14ac:dyDescent="0.25">
      <c r="C1201"/>
    </row>
    <row r="1202" spans="3:3" x14ac:dyDescent="0.25">
      <c r="C1202"/>
    </row>
    <row r="1203" spans="3:3" x14ac:dyDescent="0.25">
      <c r="C1203"/>
    </row>
    <row r="1204" spans="3:3" x14ac:dyDescent="0.25">
      <c r="C1204"/>
    </row>
    <row r="1205" spans="3:3" x14ac:dyDescent="0.25">
      <c r="C1205"/>
    </row>
    <row r="1206" spans="3:3" x14ac:dyDescent="0.25">
      <c r="C1206"/>
    </row>
    <row r="1207" spans="3:3" x14ac:dyDescent="0.25">
      <c r="C1207"/>
    </row>
    <row r="1208" spans="3:3" x14ac:dyDescent="0.25">
      <c r="C1208"/>
    </row>
    <row r="1209" spans="3:3" x14ac:dyDescent="0.25">
      <c r="C1209"/>
    </row>
    <row r="1210" spans="3:3" x14ac:dyDescent="0.25">
      <c r="C1210"/>
    </row>
    <row r="1211" spans="3:3" x14ac:dyDescent="0.25">
      <c r="C1211"/>
    </row>
    <row r="1212" spans="3:3" x14ac:dyDescent="0.25">
      <c r="C1212"/>
    </row>
    <row r="1213" spans="3:3" x14ac:dyDescent="0.25">
      <c r="C1213"/>
    </row>
    <row r="1214" spans="3:3" x14ac:dyDescent="0.25">
      <c r="C1214"/>
    </row>
    <row r="1215" spans="3:3" x14ac:dyDescent="0.25">
      <c r="C1215"/>
    </row>
    <row r="1216" spans="3:3" x14ac:dyDescent="0.25">
      <c r="C1216"/>
    </row>
    <row r="1217" spans="3:3" x14ac:dyDescent="0.25">
      <c r="C1217"/>
    </row>
    <row r="1218" spans="3:3" x14ac:dyDescent="0.25">
      <c r="C1218"/>
    </row>
    <row r="1219" spans="3:3" x14ac:dyDescent="0.25">
      <c r="C1219"/>
    </row>
    <row r="1220" spans="3:3" x14ac:dyDescent="0.25">
      <c r="C1220"/>
    </row>
    <row r="1221" spans="3:3" x14ac:dyDescent="0.25">
      <c r="C1221"/>
    </row>
    <row r="1222" spans="3:3" x14ac:dyDescent="0.25">
      <c r="C1222"/>
    </row>
    <row r="1223" spans="3:3" x14ac:dyDescent="0.25">
      <c r="C1223"/>
    </row>
    <row r="1224" spans="3:3" x14ac:dyDescent="0.25">
      <c r="C1224"/>
    </row>
    <row r="1225" spans="3:3" x14ac:dyDescent="0.25">
      <c r="C1225"/>
    </row>
    <row r="1226" spans="3:3" x14ac:dyDescent="0.25">
      <c r="C1226"/>
    </row>
    <row r="1227" spans="3:3" x14ac:dyDescent="0.25">
      <c r="C1227"/>
    </row>
    <row r="1228" spans="3:3" x14ac:dyDescent="0.25">
      <c r="C1228"/>
    </row>
    <row r="1229" spans="3:3" x14ac:dyDescent="0.25">
      <c r="C1229"/>
    </row>
    <row r="1230" spans="3:3" x14ac:dyDescent="0.25">
      <c r="C1230"/>
    </row>
    <row r="1231" spans="3:3" x14ac:dyDescent="0.25">
      <c r="C1231"/>
    </row>
    <row r="1232" spans="3:3" x14ac:dyDescent="0.25">
      <c r="C1232"/>
    </row>
    <row r="1233" spans="3:3" x14ac:dyDescent="0.25">
      <c r="C1233"/>
    </row>
    <row r="1234" spans="3:3" x14ac:dyDescent="0.25">
      <c r="C1234"/>
    </row>
    <row r="1235" spans="3:3" x14ac:dyDescent="0.25">
      <c r="C1235"/>
    </row>
    <row r="1236" spans="3:3" x14ac:dyDescent="0.25">
      <c r="C1236"/>
    </row>
    <row r="1237" spans="3:3" x14ac:dyDescent="0.25">
      <c r="C1237"/>
    </row>
    <row r="1238" spans="3:3" x14ac:dyDescent="0.25">
      <c r="C1238"/>
    </row>
    <row r="1239" spans="3:3" x14ac:dyDescent="0.25">
      <c r="C1239"/>
    </row>
    <row r="1240" spans="3:3" x14ac:dyDescent="0.25">
      <c r="C1240"/>
    </row>
    <row r="1241" spans="3:3" x14ac:dyDescent="0.25">
      <c r="C1241"/>
    </row>
    <row r="1242" spans="3:3" x14ac:dyDescent="0.25">
      <c r="C1242"/>
    </row>
    <row r="1243" spans="3:3" x14ac:dyDescent="0.25">
      <c r="C1243"/>
    </row>
    <row r="1244" spans="3:3" x14ac:dyDescent="0.25">
      <c r="C1244"/>
    </row>
    <row r="1245" spans="3:3" x14ac:dyDescent="0.25">
      <c r="C1245"/>
    </row>
    <row r="1246" spans="3:3" x14ac:dyDescent="0.25">
      <c r="C1246"/>
    </row>
    <row r="1247" spans="3:3" x14ac:dyDescent="0.25">
      <c r="C1247"/>
    </row>
    <row r="1248" spans="3:3" x14ac:dyDescent="0.25">
      <c r="C1248"/>
    </row>
    <row r="1249" spans="3:3" x14ac:dyDescent="0.25">
      <c r="C1249"/>
    </row>
    <row r="1250" spans="3:3" x14ac:dyDescent="0.25">
      <c r="C1250"/>
    </row>
    <row r="1251" spans="3:3" x14ac:dyDescent="0.25">
      <c r="C1251"/>
    </row>
    <row r="1252" spans="3:3" x14ac:dyDescent="0.25">
      <c r="C1252"/>
    </row>
    <row r="1253" spans="3:3" x14ac:dyDescent="0.25">
      <c r="C1253"/>
    </row>
    <row r="1254" spans="3:3" x14ac:dyDescent="0.25">
      <c r="C1254"/>
    </row>
    <row r="1255" spans="3:3" x14ac:dyDescent="0.25">
      <c r="C1255"/>
    </row>
    <row r="1256" spans="3:3" x14ac:dyDescent="0.25">
      <c r="C1256"/>
    </row>
    <row r="1257" spans="3:3" x14ac:dyDescent="0.25">
      <c r="C1257"/>
    </row>
    <row r="1258" spans="3:3" x14ac:dyDescent="0.25">
      <c r="C1258"/>
    </row>
    <row r="1259" spans="3:3" x14ac:dyDescent="0.25">
      <c r="C1259"/>
    </row>
    <row r="1260" spans="3:3" x14ac:dyDescent="0.25">
      <c r="C1260"/>
    </row>
    <row r="1261" spans="3:3" x14ac:dyDescent="0.25">
      <c r="C1261"/>
    </row>
    <row r="1262" spans="3:3" x14ac:dyDescent="0.25">
      <c r="C1262"/>
    </row>
    <row r="1263" spans="3:3" x14ac:dyDescent="0.25">
      <c r="C1263"/>
    </row>
    <row r="1264" spans="3:3" x14ac:dyDescent="0.25">
      <c r="C1264"/>
    </row>
    <row r="1265" spans="3:3" x14ac:dyDescent="0.25">
      <c r="C1265"/>
    </row>
    <row r="1266" spans="3:3" x14ac:dyDescent="0.25">
      <c r="C1266"/>
    </row>
    <row r="1267" spans="3:3" x14ac:dyDescent="0.25">
      <c r="C1267"/>
    </row>
    <row r="1268" spans="3:3" x14ac:dyDescent="0.25">
      <c r="C1268"/>
    </row>
    <row r="1269" spans="3:3" x14ac:dyDescent="0.25">
      <c r="C1269"/>
    </row>
    <row r="1270" spans="3:3" x14ac:dyDescent="0.25">
      <c r="C1270"/>
    </row>
    <row r="1271" spans="3:3" x14ac:dyDescent="0.25">
      <c r="C1271"/>
    </row>
    <row r="1272" spans="3:3" x14ac:dyDescent="0.25">
      <c r="C1272"/>
    </row>
    <row r="1273" spans="3:3" x14ac:dyDescent="0.25">
      <c r="C1273"/>
    </row>
    <row r="1274" spans="3:3" x14ac:dyDescent="0.25">
      <c r="C1274"/>
    </row>
    <row r="1275" spans="3:3" x14ac:dyDescent="0.25">
      <c r="C1275"/>
    </row>
    <row r="1276" spans="3:3" x14ac:dyDescent="0.25">
      <c r="C1276"/>
    </row>
    <row r="1277" spans="3:3" x14ac:dyDescent="0.25">
      <c r="C1277"/>
    </row>
    <row r="1278" spans="3:3" x14ac:dyDescent="0.25">
      <c r="C1278"/>
    </row>
    <row r="1279" spans="3:3" x14ac:dyDescent="0.25">
      <c r="C1279"/>
    </row>
    <row r="1280" spans="3:3" x14ac:dyDescent="0.25">
      <c r="C1280"/>
    </row>
    <row r="1281" spans="3:3" x14ac:dyDescent="0.25">
      <c r="C1281"/>
    </row>
    <row r="1282" spans="3:3" x14ac:dyDescent="0.25">
      <c r="C1282"/>
    </row>
    <row r="1283" spans="3:3" x14ac:dyDescent="0.25">
      <c r="C1283"/>
    </row>
    <row r="1284" spans="3:3" x14ac:dyDescent="0.25">
      <c r="C1284"/>
    </row>
    <row r="1285" spans="3:3" x14ac:dyDescent="0.25">
      <c r="C1285"/>
    </row>
    <row r="1286" spans="3:3" x14ac:dyDescent="0.25">
      <c r="C1286"/>
    </row>
    <row r="1287" spans="3:3" x14ac:dyDescent="0.25">
      <c r="C1287"/>
    </row>
    <row r="1288" spans="3:3" x14ac:dyDescent="0.25">
      <c r="C1288"/>
    </row>
    <row r="1289" spans="3:3" x14ac:dyDescent="0.25">
      <c r="C1289"/>
    </row>
    <row r="1290" spans="3:3" x14ac:dyDescent="0.25">
      <c r="C1290"/>
    </row>
    <row r="1291" spans="3:3" x14ac:dyDescent="0.25">
      <c r="C1291"/>
    </row>
    <row r="1292" spans="3:3" x14ac:dyDescent="0.25">
      <c r="C1292"/>
    </row>
    <row r="1293" spans="3:3" x14ac:dyDescent="0.25">
      <c r="C1293"/>
    </row>
    <row r="1294" spans="3:3" x14ac:dyDescent="0.25">
      <c r="C1294"/>
    </row>
    <row r="1295" spans="3:3" x14ac:dyDescent="0.25">
      <c r="C1295"/>
    </row>
    <row r="1296" spans="3:3" x14ac:dyDescent="0.25">
      <c r="C1296"/>
    </row>
    <row r="1297" spans="3:3" x14ac:dyDescent="0.25">
      <c r="C1297"/>
    </row>
    <row r="1298" spans="3:3" x14ac:dyDescent="0.25">
      <c r="C1298"/>
    </row>
    <row r="1299" spans="3:3" x14ac:dyDescent="0.25">
      <c r="C1299"/>
    </row>
    <row r="1300" spans="3:3" x14ac:dyDescent="0.25">
      <c r="C1300"/>
    </row>
    <row r="1301" spans="3:3" x14ac:dyDescent="0.25">
      <c r="C1301"/>
    </row>
    <row r="1302" spans="3:3" x14ac:dyDescent="0.25">
      <c r="C1302"/>
    </row>
    <row r="1303" spans="3:3" x14ac:dyDescent="0.25">
      <c r="C1303"/>
    </row>
    <row r="1304" spans="3:3" x14ac:dyDescent="0.25">
      <c r="C1304"/>
    </row>
    <row r="1305" spans="3:3" x14ac:dyDescent="0.25">
      <c r="C1305"/>
    </row>
    <row r="1306" spans="3:3" x14ac:dyDescent="0.25">
      <c r="C1306"/>
    </row>
    <row r="1307" spans="3:3" x14ac:dyDescent="0.25">
      <c r="C1307"/>
    </row>
    <row r="1308" spans="3:3" x14ac:dyDescent="0.25">
      <c r="C1308"/>
    </row>
    <row r="1309" spans="3:3" x14ac:dyDescent="0.25">
      <c r="C1309"/>
    </row>
    <row r="1310" spans="3:3" x14ac:dyDescent="0.25">
      <c r="C1310"/>
    </row>
    <row r="1311" spans="3:3" x14ac:dyDescent="0.25">
      <c r="C1311"/>
    </row>
    <row r="1312" spans="3:3" x14ac:dyDescent="0.25">
      <c r="C1312"/>
    </row>
    <row r="1313" spans="3:3" x14ac:dyDescent="0.25">
      <c r="C1313"/>
    </row>
    <row r="1314" spans="3:3" x14ac:dyDescent="0.25">
      <c r="C1314"/>
    </row>
    <row r="1315" spans="3:3" x14ac:dyDescent="0.25">
      <c r="C1315"/>
    </row>
    <row r="1316" spans="3:3" x14ac:dyDescent="0.25">
      <c r="C1316"/>
    </row>
    <row r="1317" spans="3:3" x14ac:dyDescent="0.25">
      <c r="C1317"/>
    </row>
    <row r="1318" spans="3:3" x14ac:dyDescent="0.25">
      <c r="C1318"/>
    </row>
    <row r="1319" spans="3:3" x14ac:dyDescent="0.25">
      <c r="C1319"/>
    </row>
    <row r="1320" spans="3:3" x14ac:dyDescent="0.25">
      <c r="C1320"/>
    </row>
    <row r="1321" spans="3:3" x14ac:dyDescent="0.25">
      <c r="C1321"/>
    </row>
    <row r="1322" spans="3:3" x14ac:dyDescent="0.25">
      <c r="C1322"/>
    </row>
    <row r="1323" spans="3:3" x14ac:dyDescent="0.25">
      <c r="C1323"/>
    </row>
    <row r="1324" spans="3:3" x14ac:dyDescent="0.25">
      <c r="C1324"/>
    </row>
    <row r="1325" spans="3:3" x14ac:dyDescent="0.25">
      <c r="C1325"/>
    </row>
    <row r="1326" spans="3:3" x14ac:dyDescent="0.25">
      <c r="C1326"/>
    </row>
    <row r="1327" spans="3:3" x14ac:dyDescent="0.25">
      <c r="C1327"/>
    </row>
    <row r="1328" spans="3:3" x14ac:dyDescent="0.25">
      <c r="C1328"/>
    </row>
    <row r="1329" spans="3:3" x14ac:dyDescent="0.25">
      <c r="C1329"/>
    </row>
    <row r="1330" spans="3:3" x14ac:dyDescent="0.25">
      <c r="C1330"/>
    </row>
    <row r="1331" spans="3:3" x14ac:dyDescent="0.25">
      <c r="C1331"/>
    </row>
    <row r="1332" spans="3:3" x14ac:dyDescent="0.25">
      <c r="C1332"/>
    </row>
    <row r="1333" spans="3:3" x14ac:dyDescent="0.25">
      <c r="C1333"/>
    </row>
    <row r="1334" spans="3:3" x14ac:dyDescent="0.25">
      <c r="C1334"/>
    </row>
    <row r="1335" spans="3:3" x14ac:dyDescent="0.25">
      <c r="C1335"/>
    </row>
    <row r="1336" spans="3:3" x14ac:dyDescent="0.25">
      <c r="C1336"/>
    </row>
    <row r="1337" spans="3:3" x14ac:dyDescent="0.25">
      <c r="C1337"/>
    </row>
    <row r="1338" spans="3:3" x14ac:dyDescent="0.25">
      <c r="C1338"/>
    </row>
    <row r="1339" spans="3:3" x14ac:dyDescent="0.25">
      <c r="C1339"/>
    </row>
    <row r="1340" spans="3:3" x14ac:dyDescent="0.25">
      <c r="C1340"/>
    </row>
    <row r="1341" spans="3:3" x14ac:dyDescent="0.25">
      <c r="C1341"/>
    </row>
    <row r="1342" spans="3:3" x14ac:dyDescent="0.25">
      <c r="C1342"/>
    </row>
    <row r="1343" spans="3:3" x14ac:dyDescent="0.25">
      <c r="C1343"/>
    </row>
    <row r="1344" spans="3:3" x14ac:dyDescent="0.25">
      <c r="C1344"/>
    </row>
    <row r="1345" spans="3:3" x14ac:dyDescent="0.25">
      <c r="C1345"/>
    </row>
    <row r="1346" spans="3:3" x14ac:dyDescent="0.25">
      <c r="C1346"/>
    </row>
    <row r="1347" spans="3:3" x14ac:dyDescent="0.25">
      <c r="C1347"/>
    </row>
    <row r="1348" spans="3:3" x14ac:dyDescent="0.25">
      <c r="C1348"/>
    </row>
    <row r="1349" spans="3:3" x14ac:dyDescent="0.25">
      <c r="C1349"/>
    </row>
    <row r="1350" spans="3:3" x14ac:dyDescent="0.25">
      <c r="C1350"/>
    </row>
    <row r="1351" spans="3:3" x14ac:dyDescent="0.25">
      <c r="C1351"/>
    </row>
    <row r="1352" spans="3:3" x14ac:dyDescent="0.25">
      <c r="C1352"/>
    </row>
    <row r="1353" spans="3:3" x14ac:dyDescent="0.25">
      <c r="C1353"/>
    </row>
    <row r="1354" spans="3:3" x14ac:dyDescent="0.25">
      <c r="C1354"/>
    </row>
    <row r="1355" spans="3:3" x14ac:dyDescent="0.25">
      <c r="C1355"/>
    </row>
    <row r="1356" spans="3:3" x14ac:dyDescent="0.25">
      <c r="C1356"/>
    </row>
    <row r="1357" spans="3:3" x14ac:dyDescent="0.25">
      <c r="C1357"/>
    </row>
    <row r="1358" spans="3:3" x14ac:dyDescent="0.25">
      <c r="C1358"/>
    </row>
    <row r="1359" spans="3:3" x14ac:dyDescent="0.25">
      <c r="C1359"/>
    </row>
    <row r="1360" spans="3:3" x14ac:dyDescent="0.25">
      <c r="C1360"/>
    </row>
    <row r="1361" spans="3:3" x14ac:dyDescent="0.25">
      <c r="C1361"/>
    </row>
    <row r="1362" spans="3:3" x14ac:dyDescent="0.25">
      <c r="C1362"/>
    </row>
    <row r="1363" spans="3:3" x14ac:dyDescent="0.25">
      <c r="C1363"/>
    </row>
    <row r="1364" spans="3:3" x14ac:dyDescent="0.25">
      <c r="C1364"/>
    </row>
    <row r="1365" spans="3:3" x14ac:dyDescent="0.25">
      <c r="C1365"/>
    </row>
    <row r="1366" spans="3:3" x14ac:dyDescent="0.25">
      <c r="C1366"/>
    </row>
    <row r="1367" spans="3:3" x14ac:dyDescent="0.25">
      <c r="C1367"/>
    </row>
    <row r="1368" spans="3:3" x14ac:dyDescent="0.25">
      <c r="C1368"/>
    </row>
    <row r="1369" spans="3:3" x14ac:dyDescent="0.25">
      <c r="C1369"/>
    </row>
    <row r="1370" spans="3:3" x14ac:dyDescent="0.25">
      <c r="C1370"/>
    </row>
    <row r="1371" spans="3:3" x14ac:dyDescent="0.25">
      <c r="C1371"/>
    </row>
    <row r="1372" spans="3:3" x14ac:dyDescent="0.25">
      <c r="C1372"/>
    </row>
    <row r="1373" spans="3:3" x14ac:dyDescent="0.25">
      <c r="C1373"/>
    </row>
    <row r="1374" spans="3:3" x14ac:dyDescent="0.25">
      <c r="C1374"/>
    </row>
    <row r="1375" spans="3:3" x14ac:dyDescent="0.25">
      <c r="C1375"/>
    </row>
    <row r="1376" spans="3:3" x14ac:dyDescent="0.25">
      <c r="C1376"/>
    </row>
    <row r="1377" spans="3:3" x14ac:dyDescent="0.25">
      <c r="C1377"/>
    </row>
    <row r="1378" spans="3:3" x14ac:dyDescent="0.25">
      <c r="C1378"/>
    </row>
    <row r="1379" spans="3:3" x14ac:dyDescent="0.25">
      <c r="C1379"/>
    </row>
    <row r="1380" spans="3:3" x14ac:dyDescent="0.25">
      <c r="C1380"/>
    </row>
    <row r="1381" spans="3:3" x14ac:dyDescent="0.25">
      <c r="C1381"/>
    </row>
    <row r="1382" spans="3:3" x14ac:dyDescent="0.25">
      <c r="C1382"/>
    </row>
    <row r="1383" spans="3:3" x14ac:dyDescent="0.25">
      <c r="C1383"/>
    </row>
    <row r="1384" spans="3:3" x14ac:dyDescent="0.25">
      <c r="C1384"/>
    </row>
    <row r="1385" spans="3:3" x14ac:dyDescent="0.25">
      <c r="C1385"/>
    </row>
    <row r="1386" spans="3:3" x14ac:dyDescent="0.25">
      <c r="C1386"/>
    </row>
    <row r="1387" spans="3:3" x14ac:dyDescent="0.25">
      <c r="C1387"/>
    </row>
    <row r="1388" spans="3:3" x14ac:dyDescent="0.25">
      <c r="C1388"/>
    </row>
    <row r="1389" spans="3:3" x14ac:dyDescent="0.25">
      <c r="C1389"/>
    </row>
    <row r="1390" spans="3:3" x14ac:dyDescent="0.25">
      <c r="C1390"/>
    </row>
    <row r="1391" spans="3:3" x14ac:dyDescent="0.25">
      <c r="C1391"/>
    </row>
    <row r="1392" spans="3:3" x14ac:dyDescent="0.25">
      <c r="C1392"/>
    </row>
    <row r="1393" spans="3:3" x14ac:dyDescent="0.25">
      <c r="C1393"/>
    </row>
    <row r="1394" spans="3:3" x14ac:dyDescent="0.25">
      <c r="C1394"/>
    </row>
    <row r="1395" spans="3:3" x14ac:dyDescent="0.25">
      <c r="C1395"/>
    </row>
    <row r="1396" spans="3:3" x14ac:dyDescent="0.25">
      <c r="C1396"/>
    </row>
    <row r="1397" spans="3:3" x14ac:dyDescent="0.25">
      <c r="C1397"/>
    </row>
    <row r="1398" spans="3:3" x14ac:dyDescent="0.25">
      <c r="C1398"/>
    </row>
    <row r="1399" spans="3:3" x14ac:dyDescent="0.25">
      <c r="C1399"/>
    </row>
    <row r="1400" spans="3:3" x14ac:dyDescent="0.25">
      <c r="C1400"/>
    </row>
    <row r="1401" spans="3:3" x14ac:dyDescent="0.25">
      <c r="C1401"/>
    </row>
    <row r="1402" spans="3:3" x14ac:dyDescent="0.25">
      <c r="C1402"/>
    </row>
    <row r="1403" spans="3:3" x14ac:dyDescent="0.25">
      <c r="C1403"/>
    </row>
    <row r="1404" spans="3:3" x14ac:dyDescent="0.25">
      <c r="C1404"/>
    </row>
    <row r="1405" spans="3:3" x14ac:dyDescent="0.25">
      <c r="C1405"/>
    </row>
    <row r="1406" spans="3:3" x14ac:dyDescent="0.25">
      <c r="C1406"/>
    </row>
    <row r="1407" spans="3:3" x14ac:dyDescent="0.25">
      <c r="C1407"/>
    </row>
    <row r="1408" spans="3:3" x14ac:dyDescent="0.25">
      <c r="C1408"/>
    </row>
    <row r="1409" spans="3:3" x14ac:dyDescent="0.25">
      <c r="C1409"/>
    </row>
    <row r="1410" spans="3:3" x14ac:dyDescent="0.25">
      <c r="C1410"/>
    </row>
    <row r="1411" spans="3:3" x14ac:dyDescent="0.25">
      <c r="C1411"/>
    </row>
    <row r="1412" spans="3:3" x14ac:dyDescent="0.25">
      <c r="C1412"/>
    </row>
    <row r="1413" spans="3:3" x14ac:dyDescent="0.25">
      <c r="C1413"/>
    </row>
    <row r="1414" spans="3:3" x14ac:dyDescent="0.25">
      <c r="C1414"/>
    </row>
    <row r="1415" spans="3:3" x14ac:dyDescent="0.25">
      <c r="C1415"/>
    </row>
    <row r="1416" spans="3:3" x14ac:dyDescent="0.25">
      <c r="C1416"/>
    </row>
    <row r="1417" spans="3:3" x14ac:dyDescent="0.25">
      <c r="C1417"/>
    </row>
    <row r="1418" spans="3:3" x14ac:dyDescent="0.25">
      <c r="C1418"/>
    </row>
    <row r="1419" spans="3:3" x14ac:dyDescent="0.25">
      <c r="C1419"/>
    </row>
    <row r="1420" spans="3:3" x14ac:dyDescent="0.25">
      <c r="C1420"/>
    </row>
    <row r="1421" spans="3:3" x14ac:dyDescent="0.25">
      <c r="C1421"/>
    </row>
    <row r="1422" spans="3:3" x14ac:dyDescent="0.25">
      <c r="C1422"/>
    </row>
    <row r="1423" spans="3:3" x14ac:dyDescent="0.25">
      <c r="C1423"/>
    </row>
    <row r="1424" spans="3:3" x14ac:dyDescent="0.25">
      <c r="C1424"/>
    </row>
    <row r="1425" spans="3:3" x14ac:dyDescent="0.25">
      <c r="C1425"/>
    </row>
    <row r="1426" spans="3:3" x14ac:dyDescent="0.25">
      <c r="C1426"/>
    </row>
    <row r="1427" spans="3:3" x14ac:dyDescent="0.25">
      <c r="C1427"/>
    </row>
    <row r="1428" spans="3:3" x14ac:dyDescent="0.25">
      <c r="C1428"/>
    </row>
    <row r="1429" spans="3:3" x14ac:dyDescent="0.25">
      <c r="C1429"/>
    </row>
    <row r="1430" spans="3:3" x14ac:dyDescent="0.25">
      <c r="C1430"/>
    </row>
    <row r="1431" spans="3:3" x14ac:dyDescent="0.25">
      <c r="C1431"/>
    </row>
    <row r="1432" spans="3:3" x14ac:dyDescent="0.25">
      <c r="C1432"/>
    </row>
    <row r="1433" spans="3:3" x14ac:dyDescent="0.25">
      <c r="C1433"/>
    </row>
    <row r="1434" spans="3:3" x14ac:dyDescent="0.25">
      <c r="C1434"/>
    </row>
    <row r="1435" spans="3:3" x14ac:dyDescent="0.25">
      <c r="C1435"/>
    </row>
    <row r="1436" spans="3:3" x14ac:dyDescent="0.25">
      <c r="C1436"/>
    </row>
    <row r="1437" spans="3:3" x14ac:dyDescent="0.25">
      <c r="C1437"/>
    </row>
    <row r="1438" spans="3:3" x14ac:dyDescent="0.25">
      <c r="C1438"/>
    </row>
    <row r="1439" spans="3:3" x14ac:dyDescent="0.25">
      <c r="C1439"/>
    </row>
    <row r="1440" spans="3:3" x14ac:dyDescent="0.25">
      <c r="C1440"/>
    </row>
    <row r="1441" spans="3:3" x14ac:dyDescent="0.25">
      <c r="C1441"/>
    </row>
    <row r="1442" spans="3:3" x14ac:dyDescent="0.25">
      <c r="C1442"/>
    </row>
    <row r="1443" spans="3:3" x14ac:dyDescent="0.25">
      <c r="C1443"/>
    </row>
    <row r="1444" spans="3:3" x14ac:dyDescent="0.25">
      <c r="C1444"/>
    </row>
    <row r="1445" spans="3:3" x14ac:dyDescent="0.25">
      <c r="C1445"/>
    </row>
    <row r="1446" spans="3:3" x14ac:dyDescent="0.25">
      <c r="C1446"/>
    </row>
    <row r="1447" spans="3:3" x14ac:dyDescent="0.25">
      <c r="C1447"/>
    </row>
    <row r="1448" spans="3:3" x14ac:dyDescent="0.25">
      <c r="C1448"/>
    </row>
    <row r="1449" spans="3:3" x14ac:dyDescent="0.25">
      <c r="C1449"/>
    </row>
    <row r="1450" spans="3:3" x14ac:dyDescent="0.25">
      <c r="C1450"/>
    </row>
    <row r="1451" spans="3:3" x14ac:dyDescent="0.25">
      <c r="C1451"/>
    </row>
    <row r="1452" spans="3:3" x14ac:dyDescent="0.25">
      <c r="C1452"/>
    </row>
    <row r="1453" spans="3:3" x14ac:dyDescent="0.25">
      <c r="C1453"/>
    </row>
    <row r="1454" spans="3:3" x14ac:dyDescent="0.25">
      <c r="C1454"/>
    </row>
    <row r="1455" spans="3:3" x14ac:dyDescent="0.25">
      <c r="C1455"/>
    </row>
    <row r="1456" spans="3:3" x14ac:dyDescent="0.25">
      <c r="C1456"/>
    </row>
    <row r="1457" spans="3:3" x14ac:dyDescent="0.25">
      <c r="C1457"/>
    </row>
    <row r="1458" spans="3:3" x14ac:dyDescent="0.25">
      <c r="C1458"/>
    </row>
    <row r="1459" spans="3:3" x14ac:dyDescent="0.25">
      <c r="C1459"/>
    </row>
    <row r="1460" spans="3:3" x14ac:dyDescent="0.25">
      <c r="C1460"/>
    </row>
    <row r="1461" spans="3:3" x14ac:dyDescent="0.25">
      <c r="C1461"/>
    </row>
    <row r="1462" spans="3:3" x14ac:dyDescent="0.25">
      <c r="C1462"/>
    </row>
    <row r="1463" spans="3:3" x14ac:dyDescent="0.25">
      <c r="C1463"/>
    </row>
    <row r="1464" spans="3:3" x14ac:dyDescent="0.25">
      <c r="C1464"/>
    </row>
    <row r="1465" spans="3:3" x14ac:dyDescent="0.25">
      <c r="C1465"/>
    </row>
    <row r="1466" spans="3:3" x14ac:dyDescent="0.25">
      <c r="C1466"/>
    </row>
    <row r="1467" spans="3:3" x14ac:dyDescent="0.25">
      <c r="C1467"/>
    </row>
    <row r="1468" spans="3:3" x14ac:dyDescent="0.25">
      <c r="C1468"/>
    </row>
    <row r="1469" spans="3:3" x14ac:dyDescent="0.25">
      <c r="C1469"/>
    </row>
    <row r="1470" spans="3:3" x14ac:dyDescent="0.25">
      <c r="C1470"/>
    </row>
    <row r="1471" spans="3:3" x14ac:dyDescent="0.25">
      <c r="C1471"/>
    </row>
    <row r="1472" spans="3:3" x14ac:dyDescent="0.25">
      <c r="C1472"/>
    </row>
    <row r="1473" spans="3:3" x14ac:dyDescent="0.25">
      <c r="C1473"/>
    </row>
    <row r="1474" spans="3:3" x14ac:dyDescent="0.25">
      <c r="C1474"/>
    </row>
    <row r="1475" spans="3:3" x14ac:dyDescent="0.25">
      <c r="C1475"/>
    </row>
    <row r="1476" spans="3:3" x14ac:dyDescent="0.25">
      <c r="C1476"/>
    </row>
    <row r="1477" spans="3:3" x14ac:dyDescent="0.25">
      <c r="C1477"/>
    </row>
    <row r="1478" spans="3:3" x14ac:dyDescent="0.25">
      <c r="C1478"/>
    </row>
    <row r="1479" spans="3:3" x14ac:dyDescent="0.25">
      <c r="C1479"/>
    </row>
    <row r="1480" spans="3:3" x14ac:dyDescent="0.25">
      <c r="C1480"/>
    </row>
    <row r="1481" spans="3:3" x14ac:dyDescent="0.25">
      <c r="C1481"/>
    </row>
    <row r="1482" spans="3:3" x14ac:dyDescent="0.25">
      <c r="C1482"/>
    </row>
    <row r="1483" spans="3:3" x14ac:dyDescent="0.25">
      <c r="C1483"/>
    </row>
    <row r="1484" spans="3:3" x14ac:dyDescent="0.25">
      <c r="C1484"/>
    </row>
    <row r="1485" spans="3:3" x14ac:dyDescent="0.25">
      <c r="C1485"/>
    </row>
    <row r="1486" spans="3:3" x14ac:dyDescent="0.25">
      <c r="C1486"/>
    </row>
    <row r="1487" spans="3:3" x14ac:dyDescent="0.25">
      <c r="C1487"/>
    </row>
    <row r="1488" spans="3:3" x14ac:dyDescent="0.25">
      <c r="C1488"/>
    </row>
    <row r="1489" spans="3:3" x14ac:dyDescent="0.25">
      <c r="C1489"/>
    </row>
    <row r="1490" spans="3:3" x14ac:dyDescent="0.25">
      <c r="C1490"/>
    </row>
    <row r="1491" spans="3:3" x14ac:dyDescent="0.25">
      <c r="C1491"/>
    </row>
    <row r="1492" spans="3:3" x14ac:dyDescent="0.25">
      <c r="C1492"/>
    </row>
    <row r="1493" spans="3:3" x14ac:dyDescent="0.25">
      <c r="C1493"/>
    </row>
    <row r="1494" spans="3:3" x14ac:dyDescent="0.25">
      <c r="C1494"/>
    </row>
    <row r="1495" spans="3:3" x14ac:dyDescent="0.25">
      <c r="C1495"/>
    </row>
    <row r="1496" spans="3:3" x14ac:dyDescent="0.25">
      <c r="C1496"/>
    </row>
    <row r="1497" spans="3:3" x14ac:dyDescent="0.25">
      <c r="C1497"/>
    </row>
    <row r="1498" spans="3:3" x14ac:dyDescent="0.25">
      <c r="C1498"/>
    </row>
    <row r="1499" spans="3:3" x14ac:dyDescent="0.25">
      <c r="C1499"/>
    </row>
    <row r="1500" spans="3:3" x14ac:dyDescent="0.25">
      <c r="C1500"/>
    </row>
    <row r="1501" spans="3:3" x14ac:dyDescent="0.25">
      <c r="C1501"/>
    </row>
    <row r="1502" spans="3:3" x14ac:dyDescent="0.25">
      <c r="C1502"/>
    </row>
    <row r="1503" spans="3:3" x14ac:dyDescent="0.25">
      <c r="C1503"/>
    </row>
    <row r="1504" spans="3:3" x14ac:dyDescent="0.25">
      <c r="C1504"/>
    </row>
    <row r="1505" spans="3:3" x14ac:dyDescent="0.25">
      <c r="C1505"/>
    </row>
    <row r="1506" spans="3:3" x14ac:dyDescent="0.25">
      <c r="C1506"/>
    </row>
    <row r="1507" spans="3:3" x14ac:dyDescent="0.25">
      <c r="C1507"/>
    </row>
    <row r="1508" spans="3:3" x14ac:dyDescent="0.25">
      <c r="C1508"/>
    </row>
    <row r="1509" spans="3:3" x14ac:dyDescent="0.25">
      <c r="C1509"/>
    </row>
    <row r="1510" spans="3:3" x14ac:dyDescent="0.25">
      <c r="C1510"/>
    </row>
    <row r="1511" spans="3:3" x14ac:dyDescent="0.25">
      <c r="C1511"/>
    </row>
    <row r="1512" spans="3:3" x14ac:dyDescent="0.25">
      <c r="C1512"/>
    </row>
    <row r="1513" spans="3:3" x14ac:dyDescent="0.25">
      <c r="C1513"/>
    </row>
    <row r="1514" spans="3:3" x14ac:dyDescent="0.25">
      <c r="C1514"/>
    </row>
    <row r="1515" spans="3:3" x14ac:dyDescent="0.25">
      <c r="C1515"/>
    </row>
    <row r="1516" spans="3:3" x14ac:dyDescent="0.25">
      <c r="C1516"/>
    </row>
    <row r="1517" spans="3:3" x14ac:dyDescent="0.25">
      <c r="C1517"/>
    </row>
    <row r="1518" spans="3:3" x14ac:dyDescent="0.25">
      <c r="C1518"/>
    </row>
    <row r="1519" spans="3:3" x14ac:dyDescent="0.25">
      <c r="C1519"/>
    </row>
    <row r="1520" spans="3:3" x14ac:dyDescent="0.25">
      <c r="C1520"/>
    </row>
    <row r="1521" spans="3:3" x14ac:dyDescent="0.25">
      <c r="C1521"/>
    </row>
    <row r="1522" spans="3:3" x14ac:dyDescent="0.25">
      <c r="C1522"/>
    </row>
    <row r="1523" spans="3:3" x14ac:dyDescent="0.25">
      <c r="C1523"/>
    </row>
    <row r="1524" spans="3:3" x14ac:dyDescent="0.25">
      <c r="C1524"/>
    </row>
    <row r="1525" spans="3:3" x14ac:dyDescent="0.25">
      <c r="C1525"/>
    </row>
    <row r="1526" spans="3:3" x14ac:dyDescent="0.25">
      <c r="C1526"/>
    </row>
    <row r="1527" spans="3:3" x14ac:dyDescent="0.25">
      <c r="C1527"/>
    </row>
    <row r="1528" spans="3:3" x14ac:dyDescent="0.25">
      <c r="C1528"/>
    </row>
    <row r="1529" spans="3:3" x14ac:dyDescent="0.25">
      <c r="C1529"/>
    </row>
    <row r="1530" spans="3:3" x14ac:dyDescent="0.25">
      <c r="C1530"/>
    </row>
    <row r="1531" spans="3:3" x14ac:dyDescent="0.25">
      <c r="C1531"/>
    </row>
    <row r="1532" spans="3:3" x14ac:dyDescent="0.25">
      <c r="C1532"/>
    </row>
    <row r="1533" spans="3:3" x14ac:dyDescent="0.25">
      <c r="C1533"/>
    </row>
    <row r="1534" spans="3:3" x14ac:dyDescent="0.25">
      <c r="C1534"/>
    </row>
    <row r="1535" spans="3:3" x14ac:dyDescent="0.25">
      <c r="C1535"/>
    </row>
    <row r="1536" spans="3:3" x14ac:dyDescent="0.25">
      <c r="C1536"/>
    </row>
    <row r="1537" spans="3:3" x14ac:dyDescent="0.25">
      <c r="C1537"/>
    </row>
    <row r="1538" spans="3:3" x14ac:dyDescent="0.25">
      <c r="C1538"/>
    </row>
    <row r="1539" spans="3:3" x14ac:dyDescent="0.25">
      <c r="C1539"/>
    </row>
    <row r="1540" spans="3:3" x14ac:dyDescent="0.25">
      <c r="C1540"/>
    </row>
    <row r="1541" spans="3:3" x14ac:dyDescent="0.25">
      <c r="C1541"/>
    </row>
    <row r="1542" spans="3:3" x14ac:dyDescent="0.25">
      <c r="C1542"/>
    </row>
    <row r="1543" spans="3:3" x14ac:dyDescent="0.25">
      <c r="C1543"/>
    </row>
    <row r="1544" spans="3:3" x14ac:dyDescent="0.25">
      <c r="C1544"/>
    </row>
    <row r="1545" spans="3:3" x14ac:dyDescent="0.25">
      <c r="C1545"/>
    </row>
    <row r="1546" spans="3:3" x14ac:dyDescent="0.25">
      <c r="C1546"/>
    </row>
    <row r="1547" spans="3:3" x14ac:dyDescent="0.25">
      <c r="C1547"/>
    </row>
    <row r="1548" spans="3:3" x14ac:dyDescent="0.25">
      <c r="C1548"/>
    </row>
    <row r="1549" spans="3:3" x14ac:dyDescent="0.25">
      <c r="C1549"/>
    </row>
    <row r="1550" spans="3:3" x14ac:dyDescent="0.25">
      <c r="C1550"/>
    </row>
    <row r="1551" spans="3:3" x14ac:dyDescent="0.25">
      <c r="C1551"/>
    </row>
    <row r="1552" spans="3:3" x14ac:dyDescent="0.25">
      <c r="C1552"/>
    </row>
    <row r="1553" spans="3:3" x14ac:dyDescent="0.25">
      <c r="C1553"/>
    </row>
    <row r="1554" spans="3:3" x14ac:dyDescent="0.25">
      <c r="C1554"/>
    </row>
    <row r="1555" spans="3:3" x14ac:dyDescent="0.25">
      <c r="C1555"/>
    </row>
    <row r="1556" spans="3:3" x14ac:dyDescent="0.25">
      <c r="C1556"/>
    </row>
    <row r="1557" spans="3:3" x14ac:dyDescent="0.25">
      <c r="C1557"/>
    </row>
    <row r="1558" spans="3:3" x14ac:dyDescent="0.25">
      <c r="C1558"/>
    </row>
    <row r="1559" spans="3:3" x14ac:dyDescent="0.25">
      <c r="C1559"/>
    </row>
    <row r="1560" spans="3:3" x14ac:dyDescent="0.25">
      <c r="C1560"/>
    </row>
    <row r="1561" spans="3:3" x14ac:dyDescent="0.25">
      <c r="C1561"/>
    </row>
    <row r="1562" spans="3:3" x14ac:dyDescent="0.25">
      <c r="C1562"/>
    </row>
    <row r="1563" spans="3:3" x14ac:dyDescent="0.25">
      <c r="C1563"/>
    </row>
    <row r="1564" spans="3:3" x14ac:dyDescent="0.25">
      <c r="C1564"/>
    </row>
    <row r="1565" spans="3:3" x14ac:dyDescent="0.25">
      <c r="C1565"/>
    </row>
    <row r="1566" spans="3:3" x14ac:dyDescent="0.25">
      <c r="C1566"/>
    </row>
    <row r="1567" spans="3:3" x14ac:dyDescent="0.25">
      <c r="C1567"/>
    </row>
    <row r="1568" spans="3:3" x14ac:dyDescent="0.25">
      <c r="C1568"/>
    </row>
    <row r="1569" spans="3:3" x14ac:dyDescent="0.25">
      <c r="C1569"/>
    </row>
    <row r="1570" spans="3:3" x14ac:dyDescent="0.25">
      <c r="C1570"/>
    </row>
    <row r="1571" spans="3:3" x14ac:dyDescent="0.25">
      <c r="C1571"/>
    </row>
    <row r="1572" spans="3:3" x14ac:dyDescent="0.25">
      <c r="C1572"/>
    </row>
    <row r="1573" spans="3:3" x14ac:dyDescent="0.25">
      <c r="C1573"/>
    </row>
    <row r="1574" spans="3:3" x14ac:dyDescent="0.25">
      <c r="C1574"/>
    </row>
    <row r="1575" spans="3:3" x14ac:dyDescent="0.25">
      <c r="C1575"/>
    </row>
    <row r="1576" spans="3:3" x14ac:dyDescent="0.25">
      <c r="C1576"/>
    </row>
    <row r="1577" spans="3:3" x14ac:dyDescent="0.25">
      <c r="C1577"/>
    </row>
    <row r="1578" spans="3:3" x14ac:dyDescent="0.25">
      <c r="C1578"/>
    </row>
    <row r="1579" spans="3:3" x14ac:dyDescent="0.25">
      <c r="C1579"/>
    </row>
    <row r="1580" spans="3:3" x14ac:dyDescent="0.25">
      <c r="C1580"/>
    </row>
    <row r="1581" spans="3:3" x14ac:dyDescent="0.25">
      <c r="C1581"/>
    </row>
    <row r="1582" spans="3:3" x14ac:dyDescent="0.25">
      <c r="C1582"/>
    </row>
    <row r="1583" spans="3:3" x14ac:dyDescent="0.25">
      <c r="C1583"/>
    </row>
    <row r="1584" spans="3:3" x14ac:dyDescent="0.25">
      <c r="C1584"/>
    </row>
    <row r="1585" spans="3:3" x14ac:dyDescent="0.25">
      <c r="C1585"/>
    </row>
    <row r="1586" spans="3:3" x14ac:dyDescent="0.25">
      <c r="C1586"/>
    </row>
    <row r="1587" spans="3:3" x14ac:dyDescent="0.25">
      <c r="C1587"/>
    </row>
    <row r="1588" spans="3:3" x14ac:dyDescent="0.25">
      <c r="C1588"/>
    </row>
    <row r="1589" spans="3:3" x14ac:dyDescent="0.25">
      <c r="C1589"/>
    </row>
    <row r="1590" spans="3:3" x14ac:dyDescent="0.25">
      <c r="C1590"/>
    </row>
    <row r="1591" spans="3:3" x14ac:dyDescent="0.25">
      <c r="C1591"/>
    </row>
    <row r="1592" spans="3:3" x14ac:dyDescent="0.25">
      <c r="C1592"/>
    </row>
    <row r="1593" spans="3:3" x14ac:dyDescent="0.25">
      <c r="C1593"/>
    </row>
    <row r="1594" spans="3:3" x14ac:dyDescent="0.25">
      <c r="C1594"/>
    </row>
    <row r="1595" spans="3:3" x14ac:dyDescent="0.25">
      <c r="C1595"/>
    </row>
    <row r="1596" spans="3:3" x14ac:dyDescent="0.25">
      <c r="C1596"/>
    </row>
    <row r="1597" spans="3:3" x14ac:dyDescent="0.25">
      <c r="C1597"/>
    </row>
    <row r="1598" spans="3:3" x14ac:dyDescent="0.25">
      <c r="C1598"/>
    </row>
    <row r="1599" spans="3:3" x14ac:dyDescent="0.25">
      <c r="C1599"/>
    </row>
    <row r="1600" spans="3:3" x14ac:dyDescent="0.25">
      <c r="C1600"/>
    </row>
    <row r="1601" spans="3:3" x14ac:dyDescent="0.25">
      <c r="C1601"/>
    </row>
    <row r="1602" spans="3:3" x14ac:dyDescent="0.25">
      <c r="C1602"/>
    </row>
    <row r="1603" spans="3:3" x14ac:dyDescent="0.25">
      <c r="C1603"/>
    </row>
    <row r="1604" spans="3:3" x14ac:dyDescent="0.25">
      <c r="C1604"/>
    </row>
    <row r="1605" spans="3:3" x14ac:dyDescent="0.25">
      <c r="C1605"/>
    </row>
    <row r="1606" spans="3:3" x14ac:dyDescent="0.25">
      <c r="C1606"/>
    </row>
    <row r="1607" spans="3:3" x14ac:dyDescent="0.25">
      <c r="C1607"/>
    </row>
    <row r="1608" spans="3:3" x14ac:dyDescent="0.25">
      <c r="C1608"/>
    </row>
    <row r="1609" spans="3:3" x14ac:dyDescent="0.25">
      <c r="C1609"/>
    </row>
    <row r="1610" spans="3:3" x14ac:dyDescent="0.25">
      <c r="C1610"/>
    </row>
    <row r="1611" spans="3:3" x14ac:dyDescent="0.25">
      <c r="C1611"/>
    </row>
    <row r="1612" spans="3:3" x14ac:dyDescent="0.25">
      <c r="C1612"/>
    </row>
    <row r="1613" spans="3:3" x14ac:dyDescent="0.25">
      <c r="C1613"/>
    </row>
    <row r="1614" spans="3:3" x14ac:dyDescent="0.25">
      <c r="C1614"/>
    </row>
    <row r="1615" spans="3:3" x14ac:dyDescent="0.25">
      <c r="C1615"/>
    </row>
    <row r="1616" spans="3:3" x14ac:dyDescent="0.25">
      <c r="C1616"/>
    </row>
    <row r="1617" spans="3:3" x14ac:dyDescent="0.25">
      <c r="C1617"/>
    </row>
    <row r="1618" spans="3:3" x14ac:dyDescent="0.25">
      <c r="C1618"/>
    </row>
    <row r="1619" spans="3:3" x14ac:dyDescent="0.25">
      <c r="C1619"/>
    </row>
    <row r="1620" spans="3:3" x14ac:dyDescent="0.25">
      <c r="C1620"/>
    </row>
    <row r="1621" spans="3:3" x14ac:dyDescent="0.25">
      <c r="C1621"/>
    </row>
    <row r="1622" spans="3:3" x14ac:dyDescent="0.25">
      <c r="C1622"/>
    </row>
    <row r="1623" spans="3:3" x14ac:dyDescent="0.25">
      <c r="C1623"/>
    </row>
    <row r="1624" spans="3:3" x14ac:dyDescent="0.25">
      <c r="C1624"/>
    </row>
    <row r="1625" spans="3:3" x14ac:dyDescent="0.25">
      <c r="C1625"/>
    </row>
    <row r="1626" spans="3:3" x14ac:dyDescent="0.25">
      <c r="C1626"/>
    </row>
    <row r="1627" spans="3:3" x14ac:dyDescent="0.25">
      <c r="C1627"/>
    </row>
    <row r="1628" spans="3:3" x14ac:dyDescent="0.25">
      <c r="C1628"/>
    </row>
    <row r="1629" spans="3:3" x14ac:dyDescent="0.25">
      <c r="C1629"/>
    </row>
    <row r="1630" spans="3:3" x14ac:dyDescent="0.25">
      <c r="C1630"/>
    </row>
    <row r="1631" spans="3:3" x14ac:dyDescent="0.25">
      <c r="C1631"/>
    </row>
    <row r="1632" spans="3:3" x14ac:dyDescent="0.25">
      <c r="C1632"/>
    </row>
    <row r="1633" spans="3:3" x14ac:dyDescent="0.25">
      <c r="C1633"/>
    </row>
    <row r="1634" spans="3:3" x14ac:dyDescent="0.25">
      <c r="C1634"/>
    </row>
    <row r="1635" spans="3:3" x14ac:dyDescent="0.25">
      <c r="C1635"/>
    </row>
    <row r="1636" spans="3:3" x14ac:dyDescent="0.25">
      <c r="C1636"/>
    </row>
    <row r="1637" spans="3:3" x14ac:dyDescent="0.25">
      <c r="C1637"/>
    </row>
    <row r="1638" spans="3:3" x14ac:dyDescent="0.25">
      <c r="C1638"/>
    </row>
    <row r="1639" spans="3:3" x14ac:dyDescent="0.25">
      <c r="C1639"/>
    </row>
    <row r="1640" spans="3:3" x14ac:dyDescent="0.25">
      <c r="C1640"/>
    </row>
    <row r="1641" spans="3:3" x14ac:dyDescent="0.25">
      <c r="C1641"/>
    </row>
    <row r="1642" spans="3:3" x14ac:dyDescent="0.25">
      <c r="C1642"/>
    </row>
    <row r="1643" spans="3:3" x14ac:dyDescent="0.25">
      <c r="C1643"/>
    </row>
    <row r="1644" spans="3:3" x14ac:dyDescent="0.25">
      <c r="C1644"/>
    </row>
    <row r="1645" spans="3:3" x14ac:dyDescent="0.25">
      <c r="C1645"/>
    </row>
    <row r="1646" spans="3:3" x14ac:dyDescent="0.25">
      <c r="C1646"/>
    </row>
    <row r="1647" spans="3:3" x14ac:dyDescent="0.25">
      <c r="C1647"/>
    </row>
    <row r="1648" spans="3:3" x14ac:dyDescent="0.25">
      <c r="C1648"/>
    </row>
    <row r="1649" spans="3:3" x14ac:dyDescent="0.25">
      <c r="C1649"/>
    </row>
    <row r="1650" spans="3:3" x14ac:dyDescent="0.25">
      <c r="C1650"/>
    </row>
    <row r="1651" spans="3:3" x14ac:dyDescent="0.25">
      <c r="C1651"/>
    </row>
    <row r="1652" spans="3:3" x14ac:dyDescent="0.25">
      <c r="C1652"/>
    </row>
    <row r="1653" spans="3:3" x14ac:dyDescent="0.25">
      <c r="C1653"/>
    </row>
    <row r="1654" spans="3:3" x14ac:dyDescent="0.25">
      <c r="C1654"/>
    </row>
    <row r="1655" spans="3:3" x14ac:dyDescent="0.25">
      <c r="C1655"/>
    </row>
    <row r="1656" spans="3:3" x14ac:dyDescent="0.25">
      <c r="C1656"/>
    </row>
    <row r="1657" spans="3:3" x14ac:dyDescent="0.25">
      <c r="C1657"/>
    </row>
    <row r="1658" spans="3:3" x14ac:dyDescent="0.25">
      <c r="C1658"/>
    </row>
    <row r="1659" spans="3:3" x14ac:dyDescent="0.25">
      <c r="C1659"/>
    </row>
    <row r="1660" spans="3:3" x14ac:dyDescent="0.25">
      <c r="C1660"/>
    </row>
    <row r="1661" spans="3:3" x14ac:dyDescent="0.25">
      <c r="C1661"/>
    </row>
    <row r="1662" spans="3:3" x14ac:dyDescent="0.25">
      <c r="C1662"/>
    </row>
    <row r="1663" spans="3:3" x14ac:dyDescent="0.25">
      <c r="C1663"/>
    </row>
    <row r="1664" spans="3:3" x14ac:dyDescent="0.25">
      <c r="C1664"/>
    </row>
    <row r="1665" spans="3:3" x14ac:dyDescent="0.25">
      <c r="C1665"/>
    </row>
    <row r="1666" spans="3:3" x14ac:dyDescent="0.25">
      <c r="C1666"/>
    </row>
    <row r="1667" spans="3:3" x14ac:dyDescent="0.25">
      <c r="C1667"/>
    </row>
    <row r="1668" spans="3:3" x14ac:dyDescent="0.25">
      <c r="C1668"/>
    </row>
    <row r="1669" spans="3:3" x14ac:dyDescent="0.25">
      <c r="C1669"/>
    </row>
    <row r="1670" spans="3:3" x14ac:dyDescent="0.25">
      <c r="C1670"/>
    </row>
    <row r="1671" spans="3:3" x14ac:dyDescent="0.25">
      <c r="C1671"/>
    </row>
    <row r="1672" spans="3:3" x14ac:dyDescent="0.25">
      <c r="C1672"/>
    </row>
    <row r="1673" spans="3:3" x14ac:dyDescent="0.25">
      <c r="C1673"/>
    </row>
    <row r="1674" spans="3:3" x14ac:dyDescent="0.25">
      <c r="C1674"/>
    </row>
    <row r="1675" spans="3:3" x14ac:dyDescent="0.25">
      <c r="C1675"/>
    </row>
    <row r="1676" spans="3:3" x14ac:dyDescent="0.25">
      <c r="C1676"/>
    </row>
    <row r="1677" spans="3:3" x14ac:dyDescent="0.25">
      <c r="C1677"/>
    </row>
    <row r="1678" spans="3:3" x14ac:dyDescent="0.25">
      <c r="C1678"/>
    </row>
    <row r="1679" spans="3:3" x14ac:dyDescent="0.25">
      <c r="C1679"/>
    </row>
    <row r="1680" spans="3:3" x14ac:dyDescent="0.25">
      <c r="C1680"/>
    </row>
    <row r="1681" spans="3:3" x14ac:dyDescent="0.25">
      <c r="C1681"/>
    </row>
    <row r="1682" spans="3:3" x14ac:dyDescent="0.25">
      <c r="C1682"/>
    </row>
    <row r="1683" spans="3:3" x14ac:dyDescent="0.25">
      <c r="C1683"/>
    </row>
    <row r="1684" spans="3:3" x14ac:dyDescent="0.25">
      <c r="C1684"/>
    </row>
    <row r="1685" spans="3:3" x14ac:dyDescent="0.25">
      <c r="C1685"/>
    </row>
    <row r="1686" spans="3:3" x14ac:dyDescent="0.25">
      <c r="C1686"/>
    </row>
    <row r="1687" spans="3:3" x14ac:dyDescent="0.25">
      <c r="C1687"/>
    </row>
    <row r="1688" spans="3:3" x14ac:dyDescent="0.25">
      <c r="C1688"/>
    </row>
    <row r="1689" spans="3:3" x14ac:dyDescent="0.25">
      <c r="C1689"/>
    </row>
    <row r="1690" spans="3:3" x14ac:dyDescent="0.25">
      <c r="C1690"/>
    </row>
    <row r="1691" spans="3:3" x14ac:dyDescent="0.25">
      <c r="C1691"/>
    </row>
    <row r="1692" spans="3:3" x14ac:dyDescent="0.25">
      <c r="C1692"/>
    </row>
    <row r="1693" spans="3:3" x14ac:dyDescent="0.25">
      <c r="C1693"/>
    </row>
    <row r="1694" spans="3:3" x14ac:dyDescent="0.25">
      <c r="C1694"/>
    </row>
    <row r="1695" spans="3:3" x14ac:dyDescent="0.25">
      <c r="C1695"/>
    </row>
    <row r="1696" spans="3:3" x14ac:dyDescent="0.25">
      <c r="C1696"/>
    </row>
    <row r="1697" spans="3:3" x14ac:dyDescent="0.25">
      <c r="C1697"/>
    </row>
    <row r="1698" spans="3:3" x14ac:dyDescent="0.25">
      <c r="C1698"/>
    </row>
    <row r="1699" spans="3:3" x14ac:dyDescent="0.25">
      <c r="C1699"/>
    </row>
    <row r="1700" spans="3:3" x14ac:dyDescent="0.25">
      <c r="C1700"/>
    </row>
    <row r="1701" spans="3:3" x14ac:dyDescent="0.25">
      <c r="C1701"/>
    </row>
    <row r="1702" spans="3:3" x14ac:dyDescent="0.25">
      <c r="C1702"/>
    </row>
    <row r="1703" spans="3:3" x14ac:dyDescent="0.25">
      <c r="C1703"/>
    </row>
    <row r="1704" spans="3:3" x14ac:dyDescent="0.25">
      <c r="C1704"/>
    </row>
    <row r="1705" spans="3:3" x14ac:dyDescent="0.25">
      <c r="C1705"/>
    </row>
    <row r="1706" spans="3:3" x14ac:dyDescent="0.25">
      <c r="C1706"/>
    </row>
    <row r="1707" spans="3:3" x14ac:dyDescent="0.25">
      <c r="C1707"/>
    </row>
    <row r="1708" spans="3:3" x14ac:dyDescent="0.25">
      <c r="C1708"/>
    </row>
    <row r="1709" spans="3:3" x14ac:dyDescent="0.25">
      <c r="C1709"/>
    </row>
    <row r="1710" spans="3:3" x14ac:dyDescent="0.25">
      <c r="C1710"/>
    </row>
    <row r="1711" spans="3:3" x14ac:dyDescent="0.25">
      <c r="C1711"/>
    </row>
    <row r="1712" spans="3:3" x14ac:dyDescent="0.25">
      <c r="C1712"/>
    </row>
    <row r="1713" spans="3:3" x14ac:dyDescent="0.25">
      <c r="C1713"/>
    </row>
    <row r="1714" spans="3:3" x14ac:dyDescent="0.25">
      <c r="C1714"/>
    </row>
    <row r="1715" spans="3:3" x14ac:dyDescent="0.25">
      <c r="C1715"/>
    </row>
    <row r="1716" spans="3:3" x14ac:dyDescent="0.25">
      <c r="C1716"/>
    </row>
    <row r="1717" spans="3:3" x14ac:dyDescent="0.25">
      <c r="C1717"/>
    </row>
    <row r="1718" spans="3:3" x14ac:dyDescent="0.25">
      <c r="C1718"/>
    </row>
    <row r="1719" spans="3:3" x14ac:dyDescent="0.25">
      <c r="C1719"/>
    </row>
    <row r="1720" spans="3:3" x14ac:dyDescent="0.25">
      <c r="C1720"/>
    </row>
    <row r="1721" spans="3:3" x14ac:dyDescent="0.25">
      <c r="C1721"/>
    </row>
    <row r="1722" spans="3:3" x14ac:dyDescent="0.25">
      <c r="C1722"/>
    </row>
    <row r="1723" spans="3:3" x14ac:dyDescent="0.25">
      <c r="C1723"/>
    </row>
    <row r="1724" spans="3:3" x14ac:dyDescent="0.25">
      <c r="C1724"/>
    </row>
    <row r="1725" spans="3:3" x14ac:dyDescent="0.25">
      <c r="C1725"/>
    </row>
    <row r="1726" spans="3:3" x14ac:dyDescent="0.25">
      <c r="C1726"/>
    </row>
    <row r="1727" spans="3:3" x14ac:dyDescent="0.25">
      <c r="C1727"/>
    </row>
    <row r="1728" spans="3:3" x14ac:dyDescent="0.25">
      <c r="C1728"/>
    </row>
    <row r="1729" spans="3:3" x14ac:dyDescent="0.25">
      <c r="C1729"/>
    </row>
    <row r="1730" spans="3:3" x14ac:dyDescent="0.25">
      <c r="C1730"/>
    </row>
    <row r="1731" spans="3:3" x14ac:dyDescent="0.25">
      <c r="C1731"/>
    </row>
    <row r="1732" spans="3:3" x14ac:dyDescent="0.25">
      <c r="C1732"/>
    </row>
    <row r="1733" spans="3:3" x14ac:dyDescent="0.25">
      <c r="C1733"/>
    </row>
    <row r="1734" spans="3:3" x14ac:dyDescent="0.25">
      <c r="C1734"/>
    </row>
    <row r="1735" spans="3:3" x14ac:dyDescent="0.25">
      <c r="C1735"/>
    </row>
    <row r="1736" spans="3:3" x14ac:dyDescent="0.25">
      <c r="C1736"/>
    </row>
    <row r="1737" spans="3:3" x14ac:dyDescent="0.25">
      <c r="C1737"/>
    </row>
    <row r="1738" spans="3:3" x14ac:dyDescent="0.25">
      <c r="C1738"/>
    </row>
    <row r="1739" spans="3:3" x14ac:dyDescent="0.25">
      <c r="C1739"/>
    </row>
    <row r="1740" spans="3:3" x14ac:dyDescent="0.25">
      <c r="C1740"/>
    </row>
    <row r="1741" spans="3:3" x14ac:dyDescent="0.25">
      <c r="C1741"/>
    </row>
    <row r="1742" spans="3:3" x14ac:dyDescent="0.25">
      <c r="C1742"/>
    </row>
    <row r="1743" spans="3:3" x14ac:dyDescent="0.25">
      <c r="C1743"/>
    </row>
    <row r="1744" spans="3:3" x14ac:dyDescent="0.25">
      <c r="C1744"/>
    </row>
    <row r="1745" spans="3:3" x14ac:dyDescent="0.25">
      <c r="C1745"/>
    </row>
    <row r="1746" spans="3:3" x14ac:dyDescent="0.25">
      <c r="C1746"/>
    </row>
    <row r="1747" spans="3:3" x14ac:dyDescent="0.25">
      <c r="C1747"/>
    </row>
    <row r="1748" spans="3:3" x14ac:dyDescent="0.25">
      <c r="C1748"/>
    </row>
    <row r="1749" spans="3:3" x14ac:dyDescent="0.25">
      <c r="C1749"/>
    </row>
    <row r="1750" spans="3:3" x14ac:dyDescent="0.25">
      <c r="C1750"/>
    </row>
    <row r="1751" spans="3:3" x14ac:dyDescent="0.25">
      <c r="C1751"/>
    </row>
    <row r="1752" spans="3:3" x14ac:dyDescent="0.25">
      <c r="C1752"/>
    </row>
    <row r="1753" spans="3:3" x14ac:dyDescent="0.25">
      <c r="C1753"/>
    </row>
    <row r="1754" spans="3:3" x14ac:dyDescent="0.25">
      <c r="C1754"/>
    </row>
    <row r="1755" spans="3:3" x14ac:dyDescent="0.25">
      <c r="C1755"/>
    </row>
    <row r="1756" spans="3:3" x14ac:dyDescent="0.25">
      <c r="C1756"/>
    </row>
    <row r="1757" spans="3:3" x14ac:dyDescent="0.25">
      <c r="C1757"/>
    </row>
    <row r="1758" spans="3:3" x14ac:dyDescent="0.25">
      <c r="C1758"/>
    </row>
    <row r="1759" spans="3:3" x14ac:dyDescent="0.25">
      <c r="C1759"/>
    </row>
    <row r="1760" spans="3:3" x14ac:dyDescent="0.25">
      <c r="C1760"/>
    </row>
    <row r="1761" spans="3:3" x14ac:dyDescent="0.25">
      <c r="C1761"/>
    </row>
    <row r="1762" spans="3:3" x14ac:dyDescent="0.25">
      <c r="C1762"/>
    </row>
    <row r="1763" spans="3:3" x14ac:dyDescent="0.25">
      <c r="C1763"/>
    </row>
    <row r="1764" spans="3:3" x14ac:dyDescent="0.25">
      <c r="C1764"/>
    </row>
    <row r="1765" spans="3:3" x14ac:dyDescent="0.25">
      <c r="C1765"/>
    </row>
    <row r="1766" spans="3:3" x14ac:dyDescent="0.25">
      <c r="C1766"/>
    </row>
    <row r="1767" spans="3:3" x14ac:dyDescent="0.25">
      <c r="C1767"/>
    </row>
    <row r="1768" spans="3:3" x14ac:dyDescent="0.25">
      <c r="C1768"/>
    </row>
    <row r="1769" spans="3:3" x14ac:dyDescent="0.25">
      <c r="C1769"/>
    </row>
    <row r="1770" spans="3:3" x14ac:dyDescent="0.25">
      <c r="C1770"/>
    </row>
    <row r="1771" spans="3:3" x14ac:dyDescent="0.25">
      <c r="C1771"/>
    </row>
    <row r="1772" spans="3:3" x14ac:dyDescent="0.25">
      <c r="C1772"/>
    </row>
    <row r="1773" spans="3:3" x14ac:dyDescent="0.25">
      <c r="C1773"/>
    </row>
    <row r="1774" spans="3:3" x14ac:dyDescent="0.25">
      <c r="C1774"/>
    </row>
    <row r="1775" spans="3:3" x14ac:dyDescent="0.25">
      <c r="C1775"/>
    </row>
    <row r="1776" spans="3:3" x14ac:dyDescent="0.25">
      <c r="C1776"/>
    </row>
    <row r="1777" spans="3:3" x14ac:dyDescent="0.25">
      <c r="C1777"/>
    </row>
    <row r="1778" spans="3:3" x14ac:dyDescent="0.25">
      <c r="C1778"/>
    </row>
    <row r="1779" spans="3:3" x14ac:dyDescent="0.25">
      <c r="C1779"/>
    </row>
    <row r="1780" spans="3:3" x14ac:dyDescent="0.25">
      <c r="C1780"/>
    </row>
    <row r="1781" spans="3:3" x14ac:dyDescent="0.25">
      <c r="C1781"/>
    </row>
    <row r="1782" spans="3:3" x14ac:dyDescent="0.25">
      <c r="C1782"/>
    </row>
    <row r="1783" spans="3:3" x14ac:dyDescent="0.25">
      <c r="C1783"/>
    </row>
    <row r="1784" spans="3:3" x14ac:dyDescent="0.25">
      <c r="C1784"/>
    </row>
    <row r="1785" spans="3:3" x14ac:dyDescent="0.25">
      <c r="C1785"/>
    </row>
    <row r="1786" spans="3:3" x14ac:dyDescent="0.25">
      <c r="C1786"/>
    </row>
    <row r="1787" spans="3:3" x14ac:dyDescent="0.25">
      <c r="C1787"/>
    </row>
    <row r="1788" spans="3:3" x14ac:dyDescent="0.25">
      <c r="C1788"/>
    </row>
    <row r="1789" spans="3:3" x14ac:dyDescent="0.25">
      <c r="C1789"/>
    </row>
    <row r="1790" spans="3:3" x14ac:dyDescent="0.25">
      <c r="C1790"/>
    </row>
    <row r="1791" spans="3:3" x14ac:dyDescent="0.25">
      <c r="C1791"/>
    </row>
    <row r="1792" spans="3:3" x14ac:dyDescent="0.25">
      <c r="C1792"/>
    </row>
  </sheetData>
  <mergeCells count="4">
    <mergeCell ref="D2:H3"/>
    <mergeCell ref="I1:J1"/>
    <mergeCell ref="F7:I7"/>
    <mergeCell ref="J7:M7"/>
  </mergeCells>
  <conditionalFormatting pivot="1" sqref="I9:I23">
    <cfRule type="cellIs" dxfId="14" priority="7" operator="lessThan">
      <formula>0</formula>
    </cfRule>
  </conditionalFormatting>
  <conditionalFormatting pivot="1" sqref="H9:H23">
    <cfRule type="cellIs" dxfId="13" priority="5" operator="lessThan">
      <formula>0</formula>
    </cfRule>
  </conditionalFormatting>
  <conditionalFormatting pivot="1" sqref="L9:L23">
    <cfRule type="cellIs" dxfId="12" priority="4" operator="lessThan">
      <formula>0</formula>
    </cfRule>
  </conditionalFormatting>
  <conditionalFormatting pivot="1" sqref="M9:M23">
    <cfRule type="cellIs" dxfId="11" priority="3" operator="lessThan">
      <formula>0</formula>
    </cfRule>
  </conditionalFormatting>
  <conditionalFormatting pivot="1" sqref="M9:M23">
    <cfRule type="iconSet" priority="1">
      <iconSet iconSet="3Symbols2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pageSetup scale="46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5" name="Option Button 1">
              <controlPr defaultSize="0" autoFill="0" autoLine="0" autoPict="0" macro="[0]!BarraDeProgresso">
                <anchor>
                  <from>
                    <xdr:col>1</xdr:col>
                    <xdr:colOff>95250</xdr:colOff>
                    <xdr:row>3</xdr:row>
                    <xdr:rowOff>0</xdr:rowOff>
                  </from>
                  <to>
                    <xdr:col>2</xdr:col>
                    <xdr:colOff>590550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6" name="Option Button 2">
              <controlPr defaultSize="0" autoFill="0" autoLine="0" autoPict="0" macro="[0]!BarraDeProgresso">
                <anchor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609600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7" name="Option Button 3">
              <controlPr defaultSize="0" autoFill="0" autoLine="0" autoPict="0" macro="[0]!BarraDeProgresso">
                <anchor>
                  <from>
                    <xdr:col>3</xdr:col>
                    <xdr:colOff>695325</xdr:colOff>
                    <xdr:row>3</xdr:row>
                    <xdr:rowOff>0</xdr:rowOff>
                  </from>
                  <to>
                    <xdr:col>4</xdr:col>
                    <xdr:colOff>390525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8" name="Option Button 4">
              <controlPr defaultSize="0" autoFill="0" autoLine="0" autoPict="0" macro="[0]!BarraDeProgresso">
                <anchor>
                  <from>
                    <xdr:col>4</xdr:col>
                    <xdr:colOff>485775</xdr:colOff>
                    <xdr:row>3</xdr:row>
                    <xdr:rowOff>0</xdr:rowOff>
                  </from>
                  <to>
                    <xdr:col>4</xdr:col>
                    <xdr:colOff>1095375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9" name="Option Button 5">
              <controlPr defaultSize="0" autoFill="0" autoLine="0" autoPict="0" macro="[0]!BarraDeProgresso">
                <anchor>
                  <from>
                    <xdr:col>4</xdr:col>
                    <xdr:colOff>1181100</xdr:colOff>
                    <xdr:row>3</xdr:row>
                    <xdr:rowOff>0</xdr:rowOff>
                  </from>
                  <to>
                    <xdr:col>4</xdr:col>
                    <xdr:colOff>1790700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10" name="Option Button 6">
              <controlPr defaultSize="0" autoFill="0" autoLine="0" autoPict="0" macro="[0]!BarraDeProgresso">
                <anchor>
                  <from>
                    <xdr:col>4</xdr:col>
                    <xdr:colOff>1876425</xdr:colOff>
                    <xdr:row>3</xdr:row>
                    <xdr:rowOff>0</xdr:rowOff>
                  </from>
                  <to>
                    <xdr:col>5</xdr:col>
                    <xdr:colOff>419100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11" name="Option Button 7">
              <controlPr defaultSize="0" autoFill="0" autoLine="0" autoPict="0" macro="[0]!BarraDeProgresso">
                <anchor>
                  <from>
                    <xdr:col>5</xdr:col>
                    <xdr:colOff>504825</xdr:colOff>
                    <xdr:row>3</xdr:row>
                    <xdr:rowOff>0</xdr:rowOff>
                  </from>
                  <to>
                    <xdr:col>6</xdr:col>
                    <xdr:colOff>447675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2" name="Option Button 8">
              <controlPr defaultSize="0" autoFill="0" autoLine="0" autoPict="0" macro="[0]!BarraDeProgresso">
                <anchor>
                  <from>
                    <xdr:col>6</xdr:col>
                    <xdr:colOff>533400</xdr:colOff>
                    <xdr:row>3</xdr:row>
                    <xdr:rowOff>0</xdr:rowOff>
                  </from>
                  <to>
                    <xdr:col>7</xdr:col>
                    <xdr:colOff>457200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3" name="Option Button 9">
              <controlPr defaultSize="0" autoFill="0" autoLine="0" autoPict="0" macro="[0]!BarraDeProgresso">
                <anchor>
                  <from>
                    <xdr:col>7</xdr:col>
                    <xdr:colOff>542925</xdr:colOff>
                    <xdr:row>3</xdr:row>
                    <xdr:rowOff>0</xdr:rowOff>
                  </from>
                  <to>
                    <xdr:col>8</xdr:col>
                    <xdr:colOff>323850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4" name="Option Button 10">
              <controlPr defaultSize="0" autoFill="0" autoLine="0" autoPict="0" macro="[0]!BarraDeProgresso">
                <anchor>
                  <from>
                    <xdr:col>8</xdr:col>
                    <xdr:colOff>419100</xdr:colOff>
                    <xdr:row>3</xdr:row>
                    <xdr:rowOff>0</xdr:rowOff>
                  </from>
                  <to>
                    <xdr:col>9</xdr:col>
                    <xdr:colOff>419100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5" name="Option Button 11">
              <controlPr defaultSize="0" autoFill="0" autoLine="0" autoPict="0" macro="[0]!BarraDeProgresso">
                <anchor>
                  <from>
                    <xdr:col>9</xdr:col>
                    <xdr:colOff>504825</xdr:colOff>
                    <xdr:row>3</xdr:row>
                    <xdr:rowOff>0</xdr:rowOff>
                  </from>
                  <to>
                    <xdr:col>10</xdr:col>
                    <xdr:colOff>28575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6" name="Option Button 12">
              <controlPr defaultSize="0" autoFill="0" autoLine="0" autoPict="0" macro="[0]!BarraDeProgresso">
                <anchor>
                  <from>
                    <xdr:col>10</xdr:col>
                    <xdr:colOff>114300</xdr:colOff>
                    <xdr:row>3</xdr:row>
                    <xdr:rowOff>0</xdr:rowOff>
                  </from>
                  <to>
                    <xdr:col>10</xdr:col>
                    <xdr:colOff>723900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7" name="Button 13">
              <controlPr defaultSize="0" print="0" autoFill="0" autoPict="0" macro="[0]!ocultar_tudo">
                <anchor moveWithCells="1" sizeWithCells="1">
                  <from>
                    <xdr:col>0</xdr:col>
                    <xdr:colOff>104775</xdr:colOff>
                    <xdr:row>0</xdr:row>
                    <xdr:rowOff>38100</xdr:rowOff>
                  </from>
                  <to>
                    <xdr:col>0</xdr:col>
                    <xdr:colOff>352425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8" name="Button 14">
              <controlPr defaultSize="0" print="0" autoFill="0" autoPict="0" macro="[0]!mostrar_tudo">
                <anchor moveWithCells="1" sizeWithCells="1">
                  <from>
                    <xdr:col>0</xdr:col>
                    <xdr:colOff>457200</xdr:colOff>
                    <xdr:row>0</xdr:row>
                    <xdr:rowOff>38100</xdr:rowOff>
                  </from>
                  <to>
                    <xdr:col>0</xdr:col>
                    <xdr:colOff>704850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3:B14"/>
  <sheetViews>
    <sheetView workbookViewId="0">
      <selection activeCell="A3" sqref="A3:A14"/>
    </sheetView>
  </sheetViews>
  <sheetFormatPr defaultRowHeight="15" x14ac:dyDescent="0.25"/>
  <sheetData>
    <row r="3" spans="1:2" x14ac:dyDescent="0.25">
      <c r="A3">
        <v>1</v>
      </c>
      <c r="B3" t="s">
        <v>44</v>
      </c>
    </row>
    <row r="4" spans="1:2" x14ac:dyDescent="0.25">
      <c r="A4">
        <v>2</v>
      </c>
      <c r="B4" t="s">
        <v>45</v>
      </c>
    </row>
    <row r="5" spans="1:2" x14ac:dyDescent="0.25">
      <c r="A5">
        <v>3</v>
      </c>
      <c r="B5" t="s">
        <v>46</v>
      </c>
    </row>
    <row r="6" spans="1:2" x14ac:dyDescent="0.25">
      <c r="A6">
        <v>4</v>
      </c>
      <c r="B6" t="s">
        <v>47</v>
      </c>
    </row>
    <row r="7" spans="1:2" x14ac:dyDescent="0.25">
      <c r="A7">
        <v>5</v>
      </c>
      <c r="B7" t="s">
        <v>48</v>
      </c>
    </row>
    <row r="8" spans="1:2" x14ac:dyDescent="0.25">
      <c r="A8">
        <v>6</v>
      </c>
      <c r="B8" t="s">
        <v>49</v>
      </c>
    </row>
    <row r="9" spans="1:2" x14ac:dyDescent="0.25">
      <c r="A9">
        <v>7</v>
      </c>
      <c r="B9" t="s">
        <v>50</v>
      </c>
    </row>
    <row r="10" spans="1:2" x14ac:dyDescent="0.25">
      <c r="A10">
        <v>8</v>
      </c>
      <c r="B10" t="s">
        <v>51</v>
      </c>
    </row>
    <row r="11" spans="1:2" x14ac:dyDescent="0.25">
      <c r="A11">
        <v>9</v>
      </c>
      <c r="B11" t="s">
        <v>52</v>
      </c>
    </row>
    <row r="12" spans="1:2" x14ac:dyDescent="0.25">
      <c r="A12">
        <v>10</v>
      </c>
      <c r="B12" t="s">
        <v>53</v>
      </c>
    </row>
    <row r="13" spans="1:2" x14ac:dyDescent="0.25">
      <c r="A13">
        <v>11</v>
      </c>
      <c r="B13" t="s">
        <v>54</v>
      </c>
    </row>
    <row r="14" spans="1:2" x14ac:dyDescent="0.25">
      <c r="A14">
        <v>12</v>
      </c>
      <c r="B14" t="s">
        <v>55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Base</vt:lpstr>
      <vt:lpstr>Dinamica</vt:lpstr>
      <vt:lpstr>meses</vt:lpstr>
      <vt:lpstr>chave</vt:lpstr>
      <vt:lpstr>contacontabil</vt:lpstr>
      <vt:lpstr>dinamica</vt:lpstr>
      <vt:lpstr>mesesppto</vt:lpstr>
      <vt:lpstr>mesesreal</vt:lpstr>
      <vt:lpstr>orcamento2016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Magalhaes Moreira</dc:creator>
  <cp:lastModifiedBy>Adriano Magalhaes Moreira</cp:lastModifiedBy>
  <cp:lastPrinted>2013-11-13T11:30:25Z</cp:lastPrinted>
  <dcterms:created xsi:type="dcterms:W3CDTF">2013-11-05T15:32:17Z</dcterms:created>
  <dcterms:modified xsi:type="dcterms:W3CDTF">2016-11-12T13:45:03Z</dcterms:modified>
</cp:coreProperties>
</file>