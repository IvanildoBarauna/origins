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LAENNDER\Downloads\"/>
    </mc:Choice>
  </mc:AlternateContent>
  <bookViews>
    <workbookView xWindow="0" yWindow="0" windowWidth="20400" windowHeight="8340"/>
  </bookViews>
  <sheets>
    <sheet name="Relógio" sheetId="1" r:id="rId1"/>
    <sheet name="Geometria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D19" i="1" l="1"/>
  <c r="D20" i="1"/>
  <c r="D21" i="1"/>
  <c r="D22" i="1"/>
  <c r="D23" i="1"/>
  <c r="D24" i="1"/>
  <c r="D25" i="1"/>
  <c r="D26" i="1"/>
  <c r="D27" i="1"/>
  <c r="D28" i="1"/>
  <c r="D29" i="1"/>
  <c r="D18" i="1"/>
  <c r="C15" i="1"/>
  <c r="D15" i="1" s="1"/>
  <c r="C14" i="1"/>
  <c r="D14" i="1" s="1"/>
  <c r="C13" i="1"/>
  <c r="D13" i="1" s="1"/>
  <c r="F18" i="1" l="1"/>
  <c r="E18" i="1"/>
  <c r="F28" i="1"/>
  <c r="E28" i="1"/>
  <c r="F26" i="1"/>
  <c r="E26" i="1"/>
  <c r="F24" i="1"/>
  <c r="E24" i="1"/>
  <c r="F22" i="1"/>
  <c r="E22" i="1"/>
  <c r="F20" i="1"/>
  <c r="E20" i="1"/>
  <c r="F29" i="1"/>
  <c r="E29" i="1"/>
  <c r="F27" i="1"/>
  <c r="E27" i="1"/>
  <c r="F25" i="1"/>
  <c r="E25" i="1"/>
  <c r="F23" i="1"/>
  <c r="E23" i="1"/>
  <c r="F21" i="1"/>
  <c r="E21" i="1"/>
  <c r="F19" i="1"/>
  <c r="E19" i="1"/>
  <c r="H13" i="1"/>
  <c r="G13" i="1"/>
  <c r="H14" i="1"/>
  <c r="G14" i="1"/>
  <c r="H15" i="1"/>
  <c r="G15" i="1"/>
</calcChain>
</file>

<file path=xl/sharedStrings.xml><?xml version="1.0" encoding="utf-8"?>
<sst xmlns="http://schemas.openxmlformats.org/spreadsheetml/2006/main" count="15" uniqueCount="10">
  <si>
    <t>x</t>
  </si>
  <si>
    <t>y</t>
  </si>
  <si>
    <t>base</t>
  </si>
  <si>
    <t>ponta</t>
  </si>
  <si>
    <t>HORÁRIO</t>
  </si>
  <si>
    <t>%</t>
  </si>
  <si>
    <t>HORA</t>
  </si>
  <si>
    <t>MINUTO</t>
  </si>
  <si>
    <t>SEGUNDO</t>
  </si>
  <si>
    <t>Ângulo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</si>
</sst>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General\º"/>
    <numFmt numFmtId="165" formatCode="00"/>
    <numFmt numFmtId="166" formatCode="hh:mm:ss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right"/>
    </xf>
    <xf numFmtId="9" fontId="0" fillId="0" borderId="0" xfId="0" applyNumberFormat="1"/>
    <xf numFmtId="0" fontId="2" fillId="0" borderId="0" xfId="0" applyFont="1" applyAlignment="1">
      <alignment horizontal="center" vertical="center"/>
    </xf>
    <xf numFmtId="166" fontId="2" fillId="0" borderId="0" xfId="0" applyNumberFormat="1" applyFont="1"/>
    <xf numFmtId="0" fontId="0" fillId="2" borderId="0" xfId="0" applyFill="1"/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0" fillId="0" borderId="0" xfId="0" applyBorder="1"/>
    <xf numFmtId="0" fontId="0" fillId="0" borderId="3" xfId="0" applyBorder="1"/>
    <xf numFmtId="0" fontId="0" fillId="0" borderId="2" xfId="0" applyBorder="1"/>
    <xf numFmtId="165" fontId="0" fillId="0" borderId="1" xfId="0" applyNumberFormat="1" applyBorder="1" applyAlignment="1">
      <alignment horizontal="center"/>
    </xf>
    <xf numFmtId="0" fontId="0" fillId="0" borderId="4" xfId="0" applyBorder="1"/>
    <xf numFmtId="0" fontId="0" fillId="0" borderId="1" xfId="0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MINUTOS</c:v>
          </c:tx>
          <c:spPr>
            <a:ln w="34925" cap="rnd">
              <a:solidFill>
                <a:schemeClr val="tx1"/>
              </a:solidFill>
              <a:round/>
              <a:tail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(Relógio!$E$14,Relógio!$G$14)</c:f>
              <c:numCache>
                <c:formatCode>0.00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xVal>
          <c:yVal>
            <c:numRef>
              <c:f>(Relógio!$F$14,Relógio!$H$14)</c:f>
              <c:numCache>
                <c:formatCode>0.00</c:formatCode>
                <c:ptCount val="2"/>
                <c:pt idx="0">
                  <c:v>0</c:v>
                </c:pt>
                <c:pt idx="1">
                  <c:v>3.67544536472586E-17</c:v>
                </c:pt>
              </c:numCache>
            </c:numRef>
          </c:yVal>
          <c:smooth val="1"/>
        </c:ser>
        <c:ser>
          <c:idx val="2"/>
          <c:order val="1"/>
          <c:tx>
            <c:v>SEGUNDOS</c:v>
          </c:tx>
          <c:spPr>
            <a:ln w="19050" cap="rnd">
              <a:solidFill>
                <a:schemeClr val="tx1"/>
              </a:solidFill>
              <a:round/>
              <a:tailEnd type="none" w="med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(Relógio!$E$15,Relógio!$G$15)</c:f>
              <c:numCache>
                <c:formatCode>0.00</c:formatCode>
                <c:ptCount val="2"/>
                <c:pt idx="0">
                  <c:v>0</c:v>
                </c:pt>
                <c:pt idx="1">
                  <c:v>-0.16632935265420762</c:v>
                </c:pt>
              </c:numCache>
            </c:numRef>
          </c:xVal>
          <c:yVal>
            <c:numRef>
              <c:f>(Relógio!$F$15,Relógio!$H$15)</c:f>
              <c:numCache>
                <c:formatCode>0.00</c:formatCode>
                <c:ptCount val="2"/>
                <c:pt idx="0">
                  <c:v>0</c:v>
                </c:pt>
                <c:pt idx="1">
                  <c:v>-0.78251808058704453</c:v>
                </c:pt>
              </c:numCache>
            </c:numRef>
          </c:yVal>
          <c:smooth val="1"/>
        </c:ser>
        <c:ser>
          <c:idx val="0"/>
          <c:order val="2"/>
          <c:tx>
            <c:v>HORA</c:v>
          </c:tx>
          <c:spPr>
            <a:ln w="57150" cap="rnd">
              <a:solidFill>
                <a:schemeClr val="tx1"/>
              </a:solidFill>
              <a:round/>
              <a:headEnd type="none" w="lg" len="lg"/>
              <a:tailEnd type="none" w="lg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9"/>
              <c:spPr>
                <a:solidFill>
                  <a:schemeClr val="tx1"/>
                </a:solidFill>
                <a:ln w="9525">
                  <a:noFill/>
                </a:ln>
                <a:effectLst/>
              </c:spPr>
            </c:marker>
            <c:bubble3D val="0"/>
          </c:dPt>
          <c:xVal>
            <c:numRef>
              <c:f>(Relógio!$E$13,Relógio!$G$13)</c:f>
              <c:numCache>
                <c:formatCode>0.00</c:formatCode>
                <c:ptCount val="2"/>
                <c:pt idx="0">
                  <c:v>0</c:v>
                </c:pt>
                <c:pt idx="1">
                  <c:v>-0.40000000000000036</c:v>
                </c:pt>
              </c:numCache>
            </c:numRef>
          </c:xVal>
          <c:yVal>
            <c:numRef>
              <c:f>(Relógio!$F$13,Relógio!$H$13)</c:f>
              <c:numCache>
                <c:formatCode>0.00</c:formatCode>
                <c:ptCount val="2"/>
                <c:pt idx="0">
                  <c:v>0</c:v>
                </c:pt>
                <c:pt idx="1">
                  <c:v>0.6928203230275507</c:v>
                </c:pt>
              </c:numCache>
            </c:numRef>
          </c:yVal>
          <c:smooth val="1"/>
        </c:ser>
        <c:ser>
          <c:idx val="3"/>
          <c:order val="3"/>
          <c:tx>
            <c:v>NUMEROS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Relógio!$E$18:$E$29</c:f>
              <c:numCache>
                <c:formatCode>0.00</c:formatCode>
                <c:ptCount val="12"/>
                <c:pt idx="0">
                  <c:v>0.49999999999999994</c:v>
                </c:pt>
                <c:pt idx="1">
                  <c:v>0.8660254037844386</c:v>
                </c:pt>
                <c:pt idx="2">
                  <c:v>1</c:v>
                </c:pt>
                <c:pt idx="3">
                  <c:v>0.86602540378443871</c:v>
                </c:pt>
                <c:pt idx="4">
                  <c:v>0.49999999999999994</c:v>
                </c:pt>
                <c:pt idx="5">
                  <c:v>1.22514845490862E-16</c:v>
                </c:pt>
                <c:pt idx="6">
                  <c:v>-0.50000000000000011</c:v>
                </c:pt>
                <c:pt idx="7">
                  <c:v>-0.86602540378443837</c:v>
                </c:pt>
                <c:pt idx="8">
                  <c:v>-1</c:v>
                </c:pt>
                <c:pt idx="9">
                  <c:v>-0.8660254037844386</c:v>
                </c:pt>
                <c:pt idx="10">
                  <c:v>-0.50000000000000044</c:v>
                </c:pt>
                <c:pt idx="11">
                  <c:v>-2.45029690981724E-16</c:v>
                </c:pt>
              </c:numCache>
            </c:numRef>
          </c:xVal>
          <c:yVal>
            <c:numRef>
              <c:f>Relógio!$F$18:$F$29</c:f>
              <c:numCache>
                <c:formatCode>0.00</c:formatCode>
                <c:ptCount val="12"/>
                <c:pt idx="0">
                  <c:v>0.86602540378443871</c:v>
                </c:pt>
                <c:pt idx="1">
                  <c:v>0.50000000000000011</c:v>
                </c:pt>
                <c:pt idx="2">
                  <c:v>6.1257422745431001E-17</c:v>
                </c:pt>
                <c:pt idx="3">
                  <c:v>-0.49999999999999978</c:v>
                </c:pt>
                <c:pt idx="4">
                  <c:v>-0.86602540378443871</c:v>
                </c:pt>
                <c:pt idx="5">
                  <c:v>-1</c:v>
                </c:pt>
                <c:pt idx="6">
                  <c:v>-0.8660254037844386</c:v>
                </c:pt>
                <c:pt idx="7">
                  <c:v>-0.50000000000000044</c:v>
                </c:pt>
                <c:pt idx="8">
                  <c:v>-1.83772268236293E-16</c:v>
                </c:pt>
                <c:pt idx="9">
                  <c:v>0.50000000000000011</c:v>
                </c:pt>
                <c:pt idx="10">
                  <c:v>0.86602540378443837</c:v>
                </c:pt>
                <c:pt idx="11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32928"/>
        <c:axId val="408338808"/>
      </c:scatterChart>
      <c:valAx>
        <c:axId val="408332928"/>
        <c:scaling>
          <c:orientation val="minMax"/>
          <c:max val="1"/>
          <c:min val="-1"/>
        </c:scaling>
        <c:delete val="1"/>
        <c:axPos val="b"/>
        <c:numFmt formatCode="0.00" sourceLinked="1"/>
        <c:majorTickMark val="none"/>
        <c:minorTickMark val="none"/>
        <c:tickLblPos val="nextTo"/>
        <c:crossAx val="408338808"/>
        <c:crosses val="autoZero"/>
        <c:crossBetween val="midCat"/>
      </c:valAx>
      <c:valAx>
        <c:axId val="408338808"/>
        <c:scaling>
          <c:orientation val="minMax"/>
          <c:max val="1"/>
          <c:min val="-1"/>
        </c:scaling>
        <c:delete val="1"/>
        <c:axPos val="l"/>
        <c:numFmt formatCode="0.00" sourceLinked="1"/>
        <c:majorTickMark val="none"/>
        <c:minorTickMark val="none"/>
        <c:tickLblPos val="nextTo"/>
        <c:crossAx val="40833292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gurudoexcel.com/" TargetMode="Externa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571500</xdr:colOff>
      <xdr:row>7</xdr:row>
      <xdr:rowOff>47625</xdr:rowOff>
    </xdr:from>
    <xdr:to>
      <xdr:col>14</xdr:col>
      <xdr:colOff>504825</xdr:colOff>
      <xdr:row>21</xdr:row>
      <xdr:rowOff>171450</xdr:rowOff>
    </xdr:to>
    <xdr:sp macro="" textlink="">
      <xdr:nvSpPr>
        <xdr:cNvPr id="28" name="Elipse 27"/>
        <xdr:cNvSpPr/>
      </xdr:nvSpPr>
      <xdr:spPr>
        <a:xfrm>
          <a:off x="4067175" y="428625"/>
          <a:ext cx="2981325" cy="2981325"/>
        </a:xfrm>
        <a:prstGeom prst="ellipse">
          <a:avLst/>
        </a:prstGeom>
        <a:ln w="57150" cmpd="dbl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504825</xdr:colOff>
      <xdr:row>6</xdr:row>
      <xdr:rowOff>180975</xdr:rowOff>
    </xdr:from>
    <xdr:to>
      <xdr:col>14</xdr:col>
      <xdr:colOff>542925</xdr:colOff>
      <xdr:row>22</xdr:row>
      <xdr:rowOff>19050</xdr:rowOff>
    </xdr:to>
    <xdr:graphicFrame macro="">
      <xdr:nvGraphicFramePr>
        <xdr:cNvPr id="37" name="Gráfico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</xdr:colOff>
      <xdr:row>24</xdr:row>
      <xdr:rowOff>38100</xdr:rowOff>
    </xdr:from>
    <xdr:to>
      <xdr:col>13</xdr:col>
      <xdr:colOff>409575</xdr:colOff>
      <xdr:row>25</xdr:row>
      <xdr:rowOff>123825</xdr:rowOff>
    </xdr:to>
    <xdr:sp macro="[0]!LigarRelogio" textlink="">
      <xdr:nvSpPr>
        <xdr:cNvPr id="38" name="Retângulo de cantos arredondados 37"/>
        <xdr:cNvSpPr/>
      </xdr:nvSpPr>
      <xdr:spPr>
        <a:xfrm>
          <a:off x="4733925" y="3848100"/>
          <a:ext cx="1609725" cy="2762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LIGAR RELÓGIO</a:t>
          </a:r>
        </a:p>
      </xdr:txBody>
    </xdr:sp>
    <xdr:clientData/>
  </xdr:twoCellAnchor>
  <xdr:twoCellAnchor>
    <xdr:from>
      <xdr:col>11</xdr:col>
      <xdr:colOff>19050</xdr:colOff>
      <xdr:row>26</xdr:row>
      <xdr:rowOff>0</xdr:rowOff>
    </xdr:from>
    <xdr:to>
      <xdr:col>13</xdr:col>
      <xdr:colOff>409575</xdr:colOff>
      <xdr:row>27</xdr:row>
      <xdr:rowOff>85725</xdr:rowOff>
    </xdr:to>
    <xdr:sp macro="[0]!PararRelogio" textlink="">
      <xdr:nvSpPr>
        <xdr:cNvPr id="39" name="Retângulo de cantos arredondados 38"/>
        <xdr:cNvSpPr/>
      </xdr:nvSpPr>
      <xdr:spPr>
        <a:xfrm>
          <a:off x="4733925" y="4191000"/>
          <a:ext cx="1609725" cy="276225"/>
        </a:xfrm>
        <a:prstGeom prst="roundRect">
          <a:avLst/>
        </a:prstGeom>
        <a:gradFill>
          <a:gsLst>
            <a:gs pos="0">
              <a:srgbClr val="FF5B5B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DESLIGAR RELÓGIO</a:t>
          </a:r>
        </a:p>
      </xdr:txBody>
    </xdr:sp>
    <xdr:clientData/>
  </xdr:twoCellAnchor>
  <xdr:twoCellAnchor>
    <xdr:from>
      <xdr:col>0</xdr:col>
      <xdr:colOff>76200</xdr:colOff>
      <xdr:row>0</xdr:row>
      <xdr:rowOff>89706</xdr:rowOff>
    </xdr:from>
    <xdr:to>
      <xdr:col>1</xdr:col>
      <xdr:colOff>409582</xdr:colOff>
      <xdr:row>4</xdr:row>
      <xdr:rowOff>102677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89706"/>
          <a:ext cx="571507" cy="774971"/>
        </a:xfrm>
        <a:prstGeom prst="rect">
          <a:avLst/>
        </a:prstGeom>
      </xdr:spPr>
    </xdr:pic>
    <xdr:clientData/>
  </xdr:twoCellAnchor>
  <xdr:twoCellAnchor>
    <xdr:from>
      <xdr:col>1</xdr:col>
      <xdr:colOff>466235</xdr:colOff>
      <xdr:row>0</xdr:row>
      <xdr:rowOff>92319</xdr:rowOff>
    </xdr:from>
    <xdr:to>
      <xdr:col>10</xdr:col>
      <xdr:colOff>152400</xdr:colOff>
      <xdr:row>2</xdr:row>
      <xdr:rowOff>149469</xdr:rowOff>
    </xdr:to>
    <xdr:sp macro="" textlink="">
      <xdr:nvSpPr>
        <xdr:cNvPr id="8" name="TextBox 14"/>
        <xdr:cNvSpPr txBox="1"/>
      </xdr:nvSpPr>
      <xdr:spPr>
        <a:xfrm>
          <a:off x="704360" y="92319"/>
          <a:ext cx="406766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2400" b="0">
              <a:ln w="3175">
                <a:noFill/>
              </a:ln>
              <a:solidFill>
                <a:schemeClr val="tx1"/>
              </a:solidFill>
              <a:effectLst>
                <a:outerShdw blurRad="38100" dist="25400" dir="5400000" algn="t" rotWithShape="0">
                  <a:schemeClr val="bg1">
                    <a:alpha val="40000"/>
                  </a:schemeClr>
                </a:outerShdw>
              </a:effectLst>
              <a:latin typeface="Segoe UI Semibold" panose="020B0702040204020203" pitchFamily="34" charset="0"/>
            </a:rPr>
            <a:t>Relógio de Ponteiros</a:t>
          </a:r>
        </a:p>
      </xdr:txBody>
    </xdr:sp>
    <xdr:clientData/>
  </xdr:twoCellAnchor>
  <xdr:twoCellAnchor>
    <xdr:from>
      <xdr:col>1</xdr:col>
      <xdr:colOff>523875</xdr:colOff>
      <xdr:row>2</xdr:row>
      <xdr:rowOff>90854</xdr:rowOff>
    </xdr:from>
    <xdr:to>
      <xdr:col>9</xdr:col>
      <xdr:colOff>47624</xdr:colOff>
      <xdr:row>4</xdr:row>
      <xdr:rowOff>148004</xdr:rowOff>
    </xdr:to>
    <xdr:sp macro="" textlink="">
      <xdr:nvSpPr>
        <xdr:cNvPr id="9" name="TextBox 14"/>
        <xdr:cNvSpPr txBox="1"/>
      </xdr:nvSpPr>
      <xdr:spPr>
        <a:xfrm>
          <a:off x="762000" y="471854"/>
          <a:ext cx="3295649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1600" b="0">
              <a:ln w="3175">
                <a:noFill/>
              </a:ln>
              <a:solidFill>
                <a:schemeClr val="bg1">
                  <a:lumMod val="50000"/>
                </a:schemeClr>
              </a:solidFill>
              <a:effectLst>
                <a:outerShdw blurRad="38100" dist="25400" dir="5400000" algn="t" rotWithShape="0">
                  <a:schemeClr val="bg1">
                    <a:alpha val="40000"/>
                  </a:schemeClr>
                </a:outerShdw>
              </a:effectLst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Guru do Excel</a:t>
          </a:r>
        </a:p>
      </xdr:txBody>
    </xdr:sp>
    <xdr:clientData/>
  </xdr:twoCellAnchor>
  <xdr:twoCellAnchor>
    <xdr:from>
      <xdr:col>10</xdr:col>
      <xdr:colOff>323850</xdr:colOff>
      <xdr:row>1</xdr:row>
      <xdr:rowOff>180975</xdr:rowOff>
    </xdr:from>
    <xdr:to>
      <xdr:col>14</xdr:col>
      <xdr:colOff>152400</xdr:colOff>
      <xdr:row>3</xdr:row>
      <xdr:rowOff>85723</xdr:rowOff>
    </xdr:to>
    <xdr:sp macro="" textlink="">
      <xdr:nvSpPr>
        <xdr:cNvPr id="10" name="Rounded Rectangle 1">
          <a:hlinkClick xmlns:r="http://schemas.openxmlformats.org/officeDocument/2006/relationships" r:id="rId3"/>
        </xdr:cNvPr>
        <xdr:cNvSpPr/>
      </xdr:nvSpPr>
      <xdr:spPr>
        <a:xfrm>
          <a:off x="4943475" y="371475"/>
          <a:ext cx="2266950" cy="285748"/>
        </a:xfrm>
        <a:prstGeom prst="roundRect">
          <a:avLst/>
        </a:prstGeom>
        <a:gradFill>
          <a:gsLst>
            <a:gs pos="0">
              <a:schemeClr val="accent6">
                <a:lumMod val="98000"/>
              </a:schemeClr>
            </a:gs>
            <a:gs pos="50000">
              <a:schemeClr val="accent6"/>
            </a:gs>
            <a:gs pos="100000">
              <a:schemeClr val="accent6">
                <a:lumMod val="99000"/>
                <a:lumOff val="1000"/>
              </a:schemeClr>
            </a:gs>
          </a:gsLst>
        </a:gradFill>
        <a:ln>
          <a:solidFill>
            <a:schemeClr val="accent6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Visite o site Guru do Excel</a:t>
          </a:r>
          <a:r>
            <a:rPr lang="en-US" sz="110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Webdings" pitchFamily="18" charset="2"/>
            </a:rPr>
            <a:t>4</a:t>
          </a:r>
        </a:p>
      </xdr:txBody>
    </xdr:sp>
    <xdr:clientData/>
  </xdr:twoCellAnchor>
  <xdr:twoCellAnchor>
    <xdr:from>
      <xdr:col>15</xdr:col>
      <xdr:colOff>302182</xdr:colOff>
      <xdr:row>8</xdr:row>
      <xdr:rowOff>180970</xdr:rowOff>
    </xdr:from>
    <xdr:to>
      <xdr:col>24</xdr:col>
      <xdr:colOff>38100</xdr:colOff>
      <xdr:row>26</xdr:row>
      <xdr:rowOff>114300</xdr:rowOff>
    </xdr:to>
    <xdr:sp macro="" textlink="">
      <xdr:nvSpPr>
        <xdr:cNvPr id="12" name="Retângulo de cantos arredondados 11"/>
        <xdr:cNvSpPr/>
      </xdr:nvSpPr>
      <xdr:spPr>
        <a:xfrm>
          <a:off x="7969807" y="1847845"/>
          <a:ext cx="5222318" cy="3505205"/>
        </a:xfrm>
        <a:prstGeom prst="roundRect">
          <a:avLst>
            <a:gd name="adj" fmla="val 5064"/>
          </a:avLst>
        </a:prstGeom>
        <a:solidFill>
          <a:sysClr val="window" lastClr="FFFFFF"/>
        </a:solidFill>
        <a:ln w="38100">
          <a:solidFill>
            <a:srgbClr val="00B05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15</xdr:col>
      <xdr:colOff>295275</xdr:colOff>
      <xdr:row>7</xdr:row>
      <xdr:rowOff>200026</xdr:rowOff>
    </xdr:from>
    <xdr:to>
      <xdr:col>24</xdr:col>
      <xdr:colOff>47625</xdr:colOff>
      <xdr:row>9</xdr:row>
      <xdr:rowOff>80680</xdr:rowOff>
    </xdr:to>
    <xdr:sp macro="" textlink="">
      <xdr:nvSpPr>
        <xdr:cNvPr id="13" name="Retângulo de cantos arredondados 12"/>
        <xdr:cNvSpPr/>
      </xdr:nvSpPr>
      <xdr:spPr>
        <a:xfrm>
          <a:off x="7962900" y="1533526"/>
          <a:ext cx="5238750" cy="547404"/>
        </a:xfrm>
        <a:prstGeom prst="roundRect">
          <a:avLst>
            <a:gd name="adj" fmla="val 17509"/>
          </a:avLst>
        </a:prstGeom>
        <a:solidFill>
          <a:srgbClr val="00B050"/>
        </a:solidFill>
        <a:ln>
          <a:solidFill>
            <a:srgbClr val="00B050"/>
          </a:solidFill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800" b="1"/>
            <a:t>MACRO PARA LIGAR/DESLIGAR O RELÓGIO</a:t>
          </a:r>
        </a:p>
      </xdr:txBody>
    </xdr:sp>
    <xdr:clientData/>
  </xdr:twoCellAnchor>
  <xdr:twoCellAnchor>
    <xdr:from>
      <xdr:col>15</xdr:col>
      <xdr:colOff>410528</xdr:colOff>
      <xdr:row>10</xdr:row>
      <xdr:rowOff>20166</xdr:rowOff>
    </xdr:from>
    <xdr:to>
      <xdr:col>23</xdr:col>
      <xdr:colOff>523875</xdr:colOff>
      <xdr:row>26</xdr:row>
      <xdr:rowOff>0</xdr:rowOff>
    </xdr:to>
    <xdr:sp macro="" textlink="">
      <xdr:nvSpPr>
        <xdr:cNvPr id="14" name="CaixaDeTexto 13"/>
        <xdr:cNvSpPr txBox="1"/>
      </xdr:nvSpPr>
      <xdr:spPr>
        <a:xfrm>
          <a:off x="8078153" y="2210916"/>
          <a:ext cx="4990147" cy="30278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Dim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Ligado </a:t>
          </a:r>
          <a:r>
            <a:rPr lang="pt-BR" sz="110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As Boolean</a:t>
          </a:r>
        </a:p>
        <a:p>
          <a:endParaRPr lang="pt-BR">
            <a:effectLst/>
          </a:endParaRPr>
        </a:p>
        <a:p>
          <a:r>
            <a:rPr lang="pt-BR" sz="110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Sub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Relogio()</a:t>
          </a:r>
          <a:endParaRPr lang="pt-BR">
            <a:effectLst/>
          </a:endParaRPr>
        </a:p>
        <a:p>
          <a:r>
            <a:rPr lang="pt-BR" sz="110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If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Ligado </a:t>
          </a:r>
          <a:r>
            <a:rPr lang="pt-BR" sz="110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Then</a:t>
          </a:r>
          <a:endParaRPr lang="pt-BR">
            <a:solidFill>
              <a:schemeClr val="accent1"/>
            </a:solidFill>
            <a:effectLst/>
          </a:endParaRP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ActiveSheet.Calculate</a:t>
          </a:r>
          <a:endParaRPr lang="pt-BR">
            <a:effectLst/>
          </a:endParaRP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Application.OnTime Now() + TimeValue("00:00:01"), "Relogio"</a:t>
          </a:r>
          <a:endParaRPr lang="pt-BR">
            <a:effectLst/>
          </a:endParaRPr>
        </a:p>
        <a:p>
          <a:r>
            <a:rPr lang="pt-BR" sz="110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End If</a:t>
          </a:r>
          <a:endParaRPr lang="pt-BR">
            <a:solidFill>
              <a:schemeClr val="accent1"/>
            </a:solidFill>
            <a:effectLst/>
          </a:endParaRPr>
        </a:p>
        <a:p>
          <a:r>
            <a:rPr lang="pt-BR" sz="110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End Sub</a:t>
          </a:r>
        </a:p>
        <a:p>
          <a:endParaRPr lang="pt-BR">
            <a:effectLst/>
          </a:endParaRPr>
        </a:p>
        <a:p>
          <a:r>
            <a:rPr lang="pt-BR" sz="110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Sub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LigarRelogio()</a:t>
          </a: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Ligado = </a:t>
          </a:r>
          <a:r>
            <a:rPr lang="pt-BR" sz="110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True</a:t>
          </a:r>
          <a:endParaRPr lang="pt-BR">
            <a:solidFill>
              <a:schemeClr val="accent1"/>
            </a:solidFill>
            <a:effectLst/>
          </a:endParaRP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Relogio</a:t>
          </a:r>
        </a:p>
        <a:p>
          <a:r>
            <a:rPr lang="pt-BR" sz="110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End Sub</a:t>
          </a:r>
          <a:endParaRPr lang="pt-BR">
            <a:effectLst/>
          </a:endParaRPr>
        </a:p>
        <a:p>
          <a:endParaRPr lang="pt-BR">
            <a:effectLst/>
          </a:endParaRPr>
        </a:p>
        <a:p>
          <a:r>
            <a:rPr lang="pt-BR" sz="110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Sub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PararRelogio()</a:t>
          </a: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Ligado = </a:t>
          </a:r>
          <a:r>
            <a:rPr lang="pt-BR" sz="110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False</a:t>
          </a:r>
        </a:p>
        <a:p>
          <a:r>
            <a:rPr lang="pt-BR" sz="110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End Sub</a:t>
          </a:r>
          <a:endParaRPr lang="pt-BR">
            <a:solidFill>
              <a:schemeClr val="accent1"/>
            </a:solidFill>
            <a:effectLst/>
          </a:endParaRPr>
        </a:p>
        <a:p>
          <a:endParaRPr lang="pt-BR" sz="1100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3</xdr:row>
      <xdr:rowOff>57150</xdr:rowOff>
    </xdr:from>
    <xdr:to>
      <xdr:col>6</xdr:col>
      <xdr:colOff>367677</xdr:colOff>
      <xdr:row>19</xdr:row>
      <xdr:rowOff>0</xdr:rowOff>
    </xdr:to>
    <xdr:grpSp>
      <xdr:nvGrpSpPr>
        <xdr:cNvPr id="11" name="Grupo 10"/>
        <xdr:cNvGrpSpPr/>
      </xdr:nvGrpSpPr>
      <xdr:grpSpPr>
        <a:xfrm>
          <a:off x="1028700" y="628650"/>
          <a:ext cx="2996577" cy="2990850"/>
          <a:chOff x="847725" y="1019175"/>
          <a:chExt cx="2996577" cy="2990850"/>
        </a:xfrm>
      </xdr:grpSpPr>
      <xdr:sp macro="" textlink="">
        <xdr:nvSpPr>
          <xdr:cNvPr id="2" name="Elipse 1"/>
          <xdr:cNvSpPr/>
        </xdr:nvSpPr>
        <xdr:spPr>
          <a:xfrm>
            <a:off x="847725" y="1028700"/>
            <a:ext cx="2981325" cy="2981325"/>
          </a:xfrm>
          <a:prstGeom prst="ellipse">
            <a:avLst/>
          </a:prstGeom>
          <a:ln w="38100"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3" name="Conector reto 2"/>
          <xdr:cNvCxnSpPr>
            <a:endCxn id="2" idx="4"/>
          </xdr:cNvCxnSpPr>
        </xdr:nvCxnSpPr>
        <xdr:spPr>
          <a:xfrm flipH="1">
            <a:off x="2338388" y="1019175"/>
            <a:ext cx="14288" cy="2990850"/>
          </a:xfrm>
          <a:prstGeom prst="line">
            <a:avLst/>
          </a:prstGeom>
          <a:ln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Conector reto 3"/>
          <xdr:cNvCxnSpPr>
            <a:stCxn id="2" idx="2"/>
            <a:endCxn id="2" idx="6"/>
          </xdr:cNvCxnSpPr>
        </xdr:nvCxnSpPr>
        <xdr:spPr>
          <a:xfrm>
            <a:off x="847725" y="2519363"/>
            <a:ext cx="2981325" cy="0"/>
          </a:xfrm>
          <a:prstGeom prst="line">
            <a:avLst/>
          </a:prstGeom>
          <a:ln w="6350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CaixaDeTexto 4"/>
          <xdr:cNvSpPr txBox="1"/>
        </xdr:nvSpPr>
        <xdr:spPr>
          <a:xfrm>
            <a:off x="3581400" y="2266950"/>
            <a:ext cx="255391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200" b="1"/>
              <a:t>x</a:t>
            </a:r>
          </a:p>
        </xdr:txBody>
      </xdr:sp>
      <xdr:sp macro="" textlink="">
        <xdr:nvSpPr>
          <xdr:cNvPr id="6" name="CaixaDeTexto 5"/>
          <xdr:cNvSpPr txBox="1"/>
        </xdr:nvSpPr>
        <xdr:spPr>
          <a:xfrm rot="5400000">
            <a:off x="2352675" y="1019175"/>
            <a:ext cx="255391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200" b="1"/>
              <a:t>y</a:t>
            </a:r>
          </a:p>
        </xdr:txBody>
      </xdr:sp>
      <xdr:sp macro="" textlink="">
        <xdr:nvSpPr>
          <xdr:cNvPr id="7" name="CaixaDeTexto 6"/>
          <xdr:cNvSpPr txBox="1"/>
        </xdr:nvSpPr>
        <xdr:spPr>
          <a:xfrm>
            <a:off x="3514725" y="2524125"/>
            <a:ext cx="32957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200" b="1"/>
              <a:t>0º</a:t>
            </a:r>
          </a:p>
        </xdr:txBody>
      </xdr:sp>
      <xdr:sp macro="" textlink="">
        <xdr:nvSpPr>
          <xdr:cNvPr id="8" name="CaixaDeTexto 7"/>
          <xdr:cNvSpPr txBox="1"/>
        </xdr:nvSpPr>
        <xdr:spPr>
          <a:xfrm>
            <a:off x="857250" y="2524125"/>
            <a:ext cx="485518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200" b="1"/>
              <a:t>180º</a:t>
            </a:r>
          </a:p>
        </xdr:txBody>
      </xdr:sp>
      <xdr:sp macro="" textlink="">
        <xdr:nvSpPr>
          <xdr:cNvPr id="9" name="CaixaDeTexto 8"/>
          <xdr:cNvSpPr txBox="1"/>
        </xdr:nvSpPr>
        <xdr:spPr>
          <a:xfrm>
            <a:off x="3286125" y="2266950"/>
            <a:ext cx="32957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200" b="1"/>
              <a:t>cos</a:t>
            </a:r>
          </a:p>
        </xdr:txBody>
      </xdr:sp>
      <xdr:sp macro="" textlink="">
        <xdr:nvSpPr>
          <xdr:cNvPr id="10" name="CaixaDeTexto 9"/>
          <xdr:cNvSpPr txBox="1"/>
        </xdr:nvSpPr>
        <xdr:spPr>
          <a:xfrm rot="5400000">
            <a:off x="2295525" y="1257300"/>
            <a:ext cx="32957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200" b="1"/>
              <a:t>sen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I29"/>
  <sheetViews>
    <sheetView showGridLines="0" tabSelected="1" topLeftCell="A4" zoomScaleNormal="100" workbookViewId="0">
      <selection activeCell="Q5" sqref="Q5"/>
    </sheetView>
  </sheetViews>
  <sheetFormatPr defaultRowHeight="15" x14ac:dyDescent="0.25"/>
  <cols>
    <col min="1" max="1" width="3.5703125" customWidth="1"/>
    <col min="2" max="2" width="9.7109375" bestFit="1" customWidth="1"/>
    <col min="3" max="3" width="3.7109375" customWidth="1"/>
    <col min="4" max="4" width="15.7109375" bestFit="1" customWidth="1"/>
    <col min="5" max="6" width="5" customWidth="1"/>
    <col min="7" max="8" width="5.5703125" bestFit="1" customWidth="1"/>
    <col min="9" max="9" width="6.28515625" customWidth="1"/>
  </cols>
  <sheetData>
    <row r="1" spans="2:9" s="5" customFormat="1" x14ac:dyDescent="0.25"/>
    <row r="2" spans="2:9" s="5" customFormat="1" x14ac:dyDescent="0.25"/>
    <row r="3" spans="2:9" s="5" customFormat="1" x14ac:dyDescent="0.25"/>
    <row r="4" spans="2:9" s="5" customFormat="1" x14ac:dyDescent="0.25"/>
    <row r="5" spans="2:9" s="5" customFormat="1" x14ac:dyDescent="0.25"/>
    <row r="8" spans="2:9" ht="26.25" x14ac:dyDescent="0.25">
      <c r="D8" s="3" t="s">
        <v>4</v>
      </c>
    </row>
    <row r="9" spans="2:9" ht="26.25" x14ac:dyDescent="0.4">
      <c r="D9" s="4">
        <f ca="1">NOW()</f>
        <v>42057.469115509259</v>
      </c>
    </row>
    <row r="11" spans="2:9" x14ac:dyDescent="0.25">
      <c r="B11" s="11"/>
      <c r="C11" s="11"/>
      <c r="D11" s="13"/>
      <c r="E11" s="16" t="s">
        <v>2</v>
      </c>
      <c r="F11" s="16"/>
      <c r="G11" s="16" t="s">
        <v>3</v>
      </c>
      <c r="H11" s="16"/>
      <c r="I11" s="15"/>
    </row>
    <row r="12" spans="2:9" x14ac:dyDescent="0.25">
      <c r="B12" s="12"/>
      <c r="C12" s="13"/>
      <c r="D12" s="7" t="s">
        <v>9</v>
      </c>
      <c r="E12" s="7" t="s">
        <v>0</v>
      </c>
      <c r="F12" s="7" t="s">
        <v>1</v>
      </c>
      <c r="G12" s="7" t="s">
        <v>0</v>
      </c>
      <c r="H12" s="7" t="s">
        <v>1</v>
      </c>
      <c r="I12" s="7" t="s">
        <v>5</v>
      </c>
    </row>
    <row r="13" spans="2:9" x14ac:dyDescent="0.25">
      <c r="B13" s="7" t="s">
        <v>6</v>
      </c>
      <c r="C13" s="14">
        <f ca="1">HOUR(D9)</f>
        <v>11</v>
      </c>
      <c r="D13" s="8">
        <f ca="1">C13*(360/12)</f>
        <v>330</v>
      </c>
      <c r="E13" s="9">
        <v>0</v>
      </c>
      <c r="F13" s="9">
        <v>0</v>
      </c>
      <c r="G13" s="9">
        <f ca="1">SIN(RADIANS(D13))*I13</f>
        <v>-0.40000000000000036</v>
      </c>
      <c r="H13" s="9">
        <f ca="1">COS(RADIANS(D13))*I13</f>
        <v>0.6928203230275507</v>
      </c>
      <c r="I13" s="10">
        <v>0.8</v>
      </c>
    </row>
    <row r="14" spans="2:9" x14ac:dyDescent="0.25">
      <c r="B14" s="7" t="s">
        <v>7</v>
      </c>
      <c r="C14" s="14">
        <f ca="1">MINUTE(D9)</f>
        <v>15</v>
      </c>
      <c r="D14" s="8">
        <f ca="1">C14*(360/60)</f>
        <v>90</v>
      </c>
      <c r="E14" s="9">
        <v>0</v>
      </c>
      <c r="F14" s="9">
        <v>0</v>
      </c>
      <c r="G14" s="9">
        <f t="shared" ref="G14:G15" ca="1" si="0">SIN(RADIANS(D14))*I14</f>
        <v>0.6</v>
      </c>
      <c r="H14" s="9">
        <f t="shared" ref="H14:H15" ca="1" si="1">COS(RADIANS(D14))*I14</f>
        <v>3.67544536472586E-17</v>
      </c>
      <c r="I14" s="10">
        <v>0.6</v>
      </c>
    </row>
    <row r="15" spans="2:9" x14ac:dyDescent="0.25">
      <c r="B15" s="7" t="s">
        <v>8</v>
      </c>
      <c r="C15" s="14">
        <f ca="1">SECOND(D9)</f>
        <v>32</v>
      </c>
      <c r="D15" s="8">
        <f ca="1">C15*(360/60)</f>
        <v>192</v>
      </c>
      <c r="E15" s="9">
        <v>0</v>
      </c>
      <c r="F15" s="9">
        <v>0</v>
      </c>
      <c r="G15" s="9">
        <f t="shared" ca="1" si="0"/>
        <v>-0.16632935265420762</v>
      </c>
      <c r="H15" s="9">
        <f t="shared" ca="1" si="1"/>
        <v>-0.78251808058704453</v>
      </c>
      <c r="I15" s="10">
        <v>0.8</v>
      </c>
    </row>
    <row r="17" spans="2:9" x14ac:dyDescent="0.25">
      <c r="C17" s="6"/>
      <c r="D17" s="7" t="s">
        <v>9</v>
      </c>
      <c r="E17" s="7" t="s">
        <v>0</v>
      </c>
      <c r="F17" s="7" t="s">
        <v>1</v>
      </c>
    </row>
    <row r="18" spans="2:9" x14ac:dyDescent="0.25">
      <c r="B18" s="1"/>
      <c r="C18" s="6">
        <v>1</v>
      </c>
      <c r="D18" s="8">
        <f>C18*(360/12)</f>
        <v>30</v>
      </c>
      <c r="E18" s="9">
        <f t="shared" ref="E18:E29" si="2">SIN(RADIANS(D18))</f>
        <v>0.49999999999999994</v>
      </c>
      <c r="F18" s="9">
        <f t="shared" ref="F18:F29" si="3">COS(RADIANS(D18))</f>
        <v>0.86602540378443871</v>
      </c>
      <c r="I18" s="2"/>
    </row>
    <row r="19" spans="2:9" x14ac:dyDescent="0.25">
      <c r="C19" s="6">
        <v>2</v>
      </c>
      <c r="D19" s="8">
        <f t="shared" ref="D19:D29" si="4">C19*(360/12)</f>
        <v>60</v>
      </c>
      <c r="E19" s="9">
        <f t="shared" si="2"/>
        <v>0.8660254037844386</v>
      </c>
      <c r="F19" s="9">
        <f t="shared" si="3"/>
        <v>0.50000000000000011</v>
      </c>
      <c r="I19" s="2"/>
    </row>
    <row r="20" spans="2:9" x14ac:dyDescent="0.25">
      <c r="C20" s="6">
        <v>3</v>
      </c>
      <c r="D20" s="8">
        <f t="shared" si="4"/>
        <v>90</v>
      </c>
      <c r="E20" s="9">
        <f t="shared" si="2"/>
        <v>1</v>
      </c>
      <c r="F20" s="9">
        <f t="shared" si="3"/>
        <v>6.1257422745431001E-17</v>
      </c>
      <c r="I20" s="2"/>
    </row>
    <row r="21" spans="2:9" x14ac:dyDescent="0.25">
      <c r="C21" s="6">
        <v>4</v>
      </c>
      <c r="D21" s="8">
        <f t="shared" si="4"/>
        <v>120</v>
      </c>
      <c r="E21" s="9">
        <f t="shared" si="2"/>
        <v>0.86602540378443871</v>
      </c>
      <c r="F21" s="9">
        <f t="shared" si="3"/>
        <v>-0.49999999999999978</v>
      </c>
      <c r="I21" s="2"/>
    </row>
    <row r="22" spans="2:9" x14ac:dyDescent="0.25">
      <c r="C22" s="6">
        <v>5</v>
      </c>
      <c r="D22" s="8">
        <f t="shared" si="4"/>
        <v>150</v>
      </c>
      <c r="E22" s="9">
        <f t="shared" si="2"/>
        <v>0.49999999999999994</v>
      </c>
      <c r="F22" s="9">
        <f t="shared" si="3"/>
        <v>-0.86602540378443871</v>
      </c>
      <c r="I22" s="2"/>
    </row>
    <row r="23" spans="2:9" x14ac:dyDescent="0.25">
      <c r="C23" s="6">
        <v>6</v>
      </c>
      <c r="D23" s="8">
        <f t="shared" si="4"/>
        <v>180</v>
      </c>
      <c r="E23" s="9">
        <f t="shared" si="2"/>
        <v>1.22514845490862E-16</v>
      </c>
      <c r="F23" s="9">
        <f t="shared" si="3"/>
        <v>-1</v>
      </c>
      <c r="I23" s="2"/>
    </row>
    <row r="24" spans="2:9" x14ac:dyDescent="0.25">
      <c r="C24" s="6">
        <v>7</v>
      </c>
      <c r="D24" s="8">
        <f t="shared" si="4"/>
        <v>210</v>
      </c>
      <c r="E24" s="9">
        <f t="shared" si="2"/>
        <v>-0.50000000000000011</v>
      </c>
      <c r="F24" s="9">
        <f t="shared" si="3"/>
        <v>-0.8660254037844386</v>
      </c>
      <c r="I24" s="2"/>
    </row>
    <row r="25" spans="2:9" x14ac:dyDescent="0.25">
      <c r="C25" s="6">
        <v>8</v>
      </c>
      <c r="D25" s="8">
        <f t="shared" si="4"/>
        <v>240</v>
      </c>
      <c r="E25" s="9">
        <f t="shared" si="2"/>
        <v>-0.86602540378443837</v>
      </c>
      <c r="F25" s="9">
        <f t="shared" si="3"/>
        <v>-0.50000000000000044</v>
      </c>
      <c r="I25" s="2"/>
    </row>
    <row r="26" spans="2:9" x14ac:dyDescent="0.25">
      <c r="C26" s="6">
        <v>9</v>
      </c>
      <c r="D26" s="8">
        <f t="shared" si="4"/>
        <v>270</v>
      </c>
      <c r="E26" s="9">
        <f t="shared" si="2"/>
        <v>-1</v>
      </c>
      <c r="F26" s="9">
        <f t="shared" si="3"/>
        <v>-1.83772268236293E-16</v>
      </c>
      <c r="I26" s="2"/>
    </row>
    <row r="27" spans="2:9" x14ac:dyDescent="0.25">
      <c r="C27" s="6">
        <v>10</v>
      </c>
      <c r="D27" s="8">
        <f t="shared" si="4"/>
        <v>300</v>
      </c>
      <c r="E27" s="9">
        <f t="shared" si="2"/>
        <v>-0.8660254037844386</v>
      </c>
      <c r="F27" s="9">
        <f t="shared" si="3"/>
        <v>0.50000000000000011</v>
      </c>
      <c r="I27" s="2"/>
    </row>
    <row r="28" spans="2:9" x14ac:dyDescent="0.25">
      <c r="C28" s="6">
        <v>11</v>
      </c>
      <c r="D28" s="8">
        <f t="shared" si="4"/>
        <v>330</v>
      </c>
      <c r="E28" s="9">
        <f t="shared" si="2"/>
        <v>-0.50000000000000044</v>
      </c>
      <c r="F28" s="9">
        <f t="shared" si="3"/>
        <v>0.86602540378443837</v>
      </c>
      <c r="I28" s="2"/>
    </row>
    <row r="29" spans="2:9" x14ac:dyDescent="0.25">
      <c r="C29" s="6">
        <v>12</v>
      </c>
      <c r="D29" s="8">
        <f t="shared" si="4"/>
        <v>360</v>
      </c>
      <c r="E29" s="9">
        <f t="shared" si="2"/>
        <v>-2.45029690981724E-16</v>
      </c>
      <c r="F29" s="9">
        <f t="shared" si="3"/>
        <v>1</v>
      </c>
      <c r="I29" s="2"/>
    </row>
  </sheetData>
  <mergeCells count="2">
    <mergeCell ref="E11:F11"/>
    <mergeCell ref="G11:H1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showGridLines="0" workbookViewId="0">
      <selection activeCell="E7" sqref="E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Relógio</vt:lpstr>
      <vt:lpstr>Geometria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LAENNDER</dc:creator>
  <cp:lastModifiedBy>LAENNDER</cp:lastModifiedBy>
  <dcterms:created xsi:type="dcterms:W3CDTF">2014-02-24T10:57:04Z</dcterms:created>
  <dcterms:modified xsi:type="dcterms:W3CDTF">2015-02-22T14:15:31Z</dcterms:modified>
</cp:coreProperties>
</file>