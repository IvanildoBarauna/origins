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filterPrivacy="1" codeName="EstaPasta_de_trabalho"/>
  <xr:revisionPtr revIDLastSave="0" documentId="13_ncr:1_{9179C69C-D56D-4566-9997-843ACE956874}" xr6:coauthVersionLast="28" xr6:coauthVersionMax="28" xr10:uidLastSave="{00000000-0000-0000-0000-000000000000}"/>
  <bookViews>
    <workbookView xWindow="0" yWindow="0" windowWidth="20490" windowHeight="6930" tabRatio="727" activeTab="2" xr2:uid="{00000000-000D-0000-FFFF-FFFF00000000}"/>
  </bookViews>
  <sheets>
    <sheet name="feriados" sheetId="2" r:id="rId1"/>
    <sheet name="basedados" sheetId="9" r:id="rId2"/>
    <sheet name="resumo" sheetId="10" r:id="rId3"/>
    <sheet name="consolidado" sheetId="5" r:id="rId4"/>
  </sheets>
  <definedNames>
    <definedName name="_xlnm._FilterDatabase" localSheetId="1" hidden="1">basedados!$A$1:$L$15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0" l="1"/>
  <c r="B3" i="10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N2" i="9" l="1"/>
  <c r="N15" i="9" l="1"/>
  <c r="N14" i="9"/>
  <c r="N13" i="9"/>
  <c r="N12" i="9"/>
  <c r="N11" i="9"/>
  <c r="N10" i="9"/>
  <c r="N9" i="9"/>
  <c r="N8" i="9"/>
  <c r="N7" i="9"/>
  <c r="N6" i="9"/>
  <c r="N5" i="9"/>
  <c r="N4" i="9"/>
  <c r="N3" i="9"/>
</calcChain>
</file>

<file path=xl/sharedStrings.xml><?xml version="1.0" encoding="utf-8"?>
<sst xmlns="http://schemas.openxmlformats.org/spreadsheetml/2006/main" count="136" uniqueCount="50">
  <si>
    <t>ID</t>
  </si>
  <si>
    <t>Atividade Atual</t>
  </si>
  <si>
    <t>Atividade Realizada</t>
  </si>
  <si>
    <t>Data Execução</t>
  </si>
  <si>
    <t>Usuário</t>
  </si>
  <si>
    <t>Institução</t>
  </si>
  <si>
    <t>Início do fluxo</t>
  </si>
  <si>
    <t>Início da atividade atual</t>
  </si>
  <si>
    <t>NOME DO CLIENTE</t>
  </si>
  <si>
    <t>CPF</t>
  </si>
  <si>
    <t>PROGRAMA</t>
  </si>
  <si>
    <t>VALOR DO FINANCIAMENTO</t>
  </si>
  <si>
    <t>ANÁLISE CADASTRAL</t>
  </si>
  <si>
    <t>ANEXAR DOCUMENTOS 1ª ETAPA</t>
  </si>
  <si>
    <t>CONFERIR DOCUMENTOS 1ª ETAPA</t>
  </si>
  <si>
    <t>ANEXAR DOCUMENTOS 2ª ETAPA</t>
  </si>
  <si>
    <t>14/03/2018 12:31</t>
  </si>
  <si>
    <t>13/03/2018 13:16</t>
  </si>
  <si>
    <t/>
  </si>
  <si>
    <t>09/03/2018 09:52</t>
  </si>
  <si>
    <t>08/03/2018 15:07</t>
  </si>
  <si>
    <t>14/03/2018 12:41</t>
  </si>
  <si>
    <t>09/03/2018 10:56</t>
  </si>
  <si>
    <t>09/03/2018 13:22</t>
  </si>
  <si>
    <t>14/03/2018 12:40</t>
  </si>
  <si>
    <t>08/03/2018 15:27</t>
  </si>
  <si>
    <t>08/03/2018 13:53</t>
  </si>
  <si>
    <t>15/03/2018 14:31</t>
  </si>
  <si>
    <t>08/03/2018 15:36</t>
  </si>
  <si>
    <t>09/03/2018 13:12</t>
  </si>
  <si>
    <t>13/03/2018 11:03</t>
  </si>
  <si>
    <t>13/03/2018 14:16</t>
  </si>
  <si>
    <t>Quantas vezes foram Analisadas</t>
  </si>
  <si>
    <t>Total</t>
  </si>
  <si>
    <t>Quantidade de Análises</t>
  </si>
  <si>
    <t>Quantidade de operações Analisadas cliente A</t>
  </si>
  <si>
    <t>INSTITUICAO ANALISA</t>
  </si>
  <si>
    <t>ANALISAR 1ª ETAPA (DPTO)</t>
  </si>
  <si>
    <t>MARIA JOSE</t>
  </si>
  <si>
    <t>JOSE MARIA</t>
  </si>
  <si>
    <t>USUARIO1_00</t>
  </si>
  <si>
    <t>USUARIO2_00</t>
  </si>
  <si>
    <t>USUARIO3_00</t>
  </si>
  <si>
    <t>USUARIO4_00</t>
  </si>
  <si>
    <t>USUARIO5_00</t>
  </si>
  <si>
    <t>PRAZO EM DIAS( da 1a atividade até a última)</t>
  </si>
  <si>
    <t>Prazo entre atividades ( em dias)</t>
  </si>
  <si>
    <t>Etapa Atividade Realizada</t>
  </si>
  <si>
    <t>1ª ETAPA</t>
  </si>
  <si>
    <t>1ª ETAPA (DPTO)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</si>
</sst>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0"/>
      <name val="Arial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AACECA"/>
        <bgColor indexed="64"/>
      </patternFill>
    </fill>
    <fill>
      <patternFill patternType="solid">
        <fgColor rgb="FFEFEFA9"/>
        <bgColor indexed="64"/>
      </patternFill>
    </fill>
    <fill>
      <patternFill patternType="solid">
        <fgColor rgb="FF5E777C"/>
        <bgColor indexed="64"/>
      </patternFill>
    </fill>
    <fill>
      <patternFill patternType="solid">
        <fgColor rgb="FFABC56E"/>
        <bgColor indexed="64"/>
      </patternFill>
    </fill>
    <fill>
      <patternFill patternType="solid">
        <fgColor rgb="FF9DAEB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0" fillId="0" borderId="0" xfId="0" quotePrefix="1"/>
    <xf numFmtId="0" fontId="3" fillId="6" borderId="1" xfId="0" applyFont="1" applyFill="1" applyBorder="1"/>
    <xf numFmtId="0" fontId="3" fillId="3" borderId="1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/>
    <xf numFmtId="0" fontId="4" fillId="5" borderId="1" xfId="0" applyFont="1" applyFill="1" applyBorder="1" applyAlignment="1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1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DAEB4"/>
      <color rgb="FFAACECA"/>
      <color rgb="FFD3DB77"/>
      <color rgb="FFABC56E"/>
      <color rgb="FF5E777C"/>
      <color rgb="FF013D45"/>
      <color rgb="FFEFEFA9"/>
      <color rgb="FFBED7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70884</xdr:rowOff>
    </xdr:from>
    <xdr:to>
      <xdr:col>1</xdr:col>
      <xdr:colOff>600075</xdr:colOff>
      <xdr:row>2</xdr:row>
      <xdr:rowOff>19049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E7CBC16-FAF3-4309-85A4-5E171D72C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884"/>
          <a:ext cx="1419225" cy="32916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0308A3-FBD2-4AD7-9615-0BD272B0A447}" name="Tabela1" displayName="Tabela1" ref="A1:N15" totalsRowShown="0" headerRowDxfId="4" dataDxfId="5">
  <tableColumns count="14">
    <tableColumn id="1" xr3:uid="{7FF4C896-C17B-4432-8918-3EA5A5D3BDE3}" name="Atividade Atual" dataDxfId="15"/>
    <tableColumn id="2" xr3:uid="{8AF8BC8C-1F4A-40C0-857D-7E731581BA8B}" name="Atividade Realizada" dataDxfId="14"/>
    <tableColumn id="14" xr3:uid="{B8A8A4D2-902E-4538-8F9B-78A6E66B032D}" name="Etapa Atividade Realizada" dataDxfId="0"/>
    <tableColumn id="3" xr3:uid="{DC4F5551-9BD2-4FC3-A918-216EF59EDA35}" name="Data Execução" dataDxfId="13"/>
    <tableColumn id="4" xr3:uid="{287E74F4-4554-49F5-A10D-B1FE48429661}" name="Usuário" dataDxfId="12"/>
    <tableColumn id="5" xr3:uid="{17A1E215-D528-4808-BDF7-FDAE744BFDAA}" name="Institução" dataDxfId="11"/>
    <tableColumn id="6" xr3:uid="{D5716948-2641-404C-BF34-6D3499D14C4A}" name="Início do fluxo" dataDxfId="10"/>
    <tableColumn id="7" xr3:uid="{EC44E5A8-452A-4F52-8BAB-6EF63534B39A}" name="Início da atividade atual" dataDxfId="9"/>
    <tableColumn id="8" xr3:uid="{610AFF52-50BD-4475-BA66-37CAF702C102}" name="NOME DO CLIENTE" dataDxfId="8"/>
    <tableColumn id="9" xr3:uid="{61032AD3-D7E0-4D32-8B46-9745FE6986D2}" name="CPF" dataDxfId="7"/>
    <tableColumn id="10" xr3:uid="{296071CF-C7F9-4DED-820A-2E1B318A78B6}" name="PROGRAMA" dataDxfId="3"/>
    <tableColumn id="11" xr3:uid="{72F163C0-F029-445F-B488-FD217165E82E}" name="VALOR DO FINANCIAMENTO" dataDxfId="2"/>
    <tableColumn id="12" xr3:uid="{FBA92489-1019-4CE7-8F69-7DEF6EB918DD}" name="Prazo entre atividades ( em dias)" dataDxfId="1">
      <calculatedColumnFormula>NETWORKDAYS.INTL(H1,H2,1,feriados!$A$1:$A$193)-1</calculatedColumnFormula>
    </tableColumn>
    <tableColumn id="13" xr3:uid="{07C9ED20-F713-4B1D-8987-119F8CC18D02}" name="ID" dataDxfId="6">
      <calculatedColumnFormula>I2&amp;J2&amp;K2&amp;L2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193"/>
  <sheetViews>
    <sheetView workbookViewId="0"/>
  </sheetViews>
  <sheetFormatPr defaultRowHeight="15" x14ac:dyDescent="0.25"/>
  <cols>
    <col min="1" max="1" width="10.7109375" bestFit="1" customWidth="1"/>
  </cols>
  <sheetData>
    <row r="1" spans="1:1" x14ac:dyDescent="0.25">
      <c r="A1" s="1">
        <v>42736</v>
      </c>
    </row>
    <row r="2" spans="1:1" x14ac:dyDescent="0.25">
      <c r="A2" s="1">
        <v>42793</v>
      </c>
    </row>
    <row r="3" spans="1:1" x14ac:dyDescent="0.25">
      <c r="A3" s="1">
        <v>42794</v>
      </c>
    </row>
    <row r="4" spans="1:1" x14ac:dyDescent="0.25">
      <c r="A4" s="1">
        <v>42839</v>
      </c>
    </row>
    <row r="5" spans="1:1" x14ac:dyDescent="0.25">
      <c r="A5" s="1">
        <v>42841</v>
      </c>
    </row>
    <row r="6" spans="1:1" x14ac:dyDescent="0.25">
      <c r="A6" s="1">
        <v>42846</v>
      </c>
    </row>
    <row r="7" spans="1:1" x14ac:dyDescent="0.25">
      <c r="A7" s="1">
        <v>42856</v>
      </c>
    </row>
    <row r="8" spans="1:1" x14ac:dyDescent="0.25">
      <c r="A8" s="1">
        <v>42901</v>
      </c>
    </row>
    <row r="9" spans="1:1" x14ac:dyDescent="0.25">
      <c r="A9" s="1">
        <v>42985</v>
      </c>
    </row>
    <row r="10" spans="1:1" x14ac:dyDescent="0.25">
      <c r="A10" s="1">
        <v>43020</v>
      </c>
    </row>
    <row r="11" spans="1:1" x14ac:dyDescent="0.25">
      <c r="A11" s="1">
        <v>43041</v>
      </c>
    </row>
    <row r="12" spans="1:1" x14ac:dyDescent="0.25">
      <c r="A12" s="1">
        <v>43054</v>
      </c>
    </row>
    <row r="13" spans="1:1" x14ac:dyDescent="0.25">
      <c r="A13" s="1">
        <v>43094</v>
      </c>
    </row>
    <row r="14" spans="1:1" x14ac:dyDescent="0.25">
      <c r="A14" s="1">
        <v>43101</v>
      </c>
    </row>
    <row r="15" spans="1:1" x14ac:dyDescent="0.25">
      <c r="A15" s="1">
        <v>43143</v>
      </c>
    </row>
    <row r="16" spans="1:1" x14ac:dyDescent="0.25">
      <c r="A16" s="1">
        <v>43144</v>
      </c>
    </row>
    <row r="17" spans="1:1" x14ac:dyDescent="0.25">
      <c r="A17" s="1">
        <v>43189</v>
      </c>
    </row>
    <row r="18" spans="1:1" x14ac:dyDescent="0.25">
      <c r="A18" s="1">
        <v>43191</v>
      </c>
    </row>
    <row r="19" spans="1:1" x14ac:dyDescent="0.25">
      <c r="A19" s="1">
        <v>43211</v>
      </c>
    </row>
    <row r="20" spans="1:1" x14ac:dyDescent="0.25">
      <c r="A20" s="1">
        <v>43221</v>
      </c>
    </row>
    <row r="21" spans="1:1" x14ac:dyDescent="0.25">
      <c r="A21" s="1">
        <v>43251</v>
      </c>
    </row>
    <row r="22" spans="1:1" x14ac:dyDescent="0.25">
      <c r="A22" s="1">
        <v>43350</v>
      </c>
    </row>
    <row r="23" spans="1:1" x14ac:dyDescent="0.25">
      <c r="A23" s="1">
        <v>43385</v>
      </c>
    </row>
    <row r="24" spans="1:1" x14ac:dyDescent="0.25">
      <c r="A24" s="1">
        <v>43406</v>
      </c>
    </row>
    <row r="25" spans="1:1" x14ac:dyDescent="0.25">
      <c r="A25" s="1">
        <v>43419</v>
      </c>
    </row>
    <row r="26" spans="1:1" x14ac:dyDescent="0.25">
      <c r="A26" s="1">
        <v>43459</v>
      </c>
    </row>
    <row r="27" spans="1:1" x14ac:dyDescent="0.25">
      <c r="A27" s="1">
        <v>43466</v>
      </c>
    </row>
    <row r="28" spans="1:1" x14ac:dyDescent="0.25">
      <c r="A28" s="1">
        <v>43528</v>
      </c>
    </row>
    <row r="29" spans="1:1" x14ac:dyDescent="0.25">
      <c r="A29" s="1">
        <v>43529</v>
      </c>
    </row>
    <row r="30" spans="1:1" x14ac:dyDescent="0.25">
      <c r="A30" s="1">
        <v>43574</v>
      </c>
    </row>
    <row r="31" spans="1:1" x14ac:dyDescent="0.25">
      <c r="A31" s="1">
        <v>43576</v>
      </c>
    </row>
    <row r="32" spans="1:1" x14ac:dyDescent="0.25">
      <c r="A32" s="1">
        <v>43586</v>
      </c>
    </row>
    <row r="33" spans="1:1" x14ac:dyDescent="0.25">
      <c r="A33" s="1">
        <v>43636</v>
      </c>
    </row>
    <row r="34" spans="1:1" x14ac:dyDescent="0.25">
      <c r="A34" s="1">
        <v>43715</v>
      </c>
    </row>
    <row r="35" spans="1:1" x14ac:dyDescent="0.25">
      <c r="A35" s="1">
        <v>43750</v>
      </c>
    </row>
    <row r="36" spans="1:1" x14ac:dyDescent="0.25">
      <c r="A36" s="1">
        <v>43771</v>
      </c>
    </row>
    <row r="37" spans="1:1" x14ac:dyDescent="0.25">
      <c r="A37" s="1">
        <v>43784</v>
      </c>
    </row>
    <row r="38" spans="1:1" x14ac:dyDescent="0.25">
      <c r="A38" s="1">
        <v>43824</v>
      </c>
    </row>
    <row r="39" spans="1:1" x14ac:dyDescent="0.25">
      <c r="A39" s="1">
        <v>43831</v>
      </c>
    </row>
    <row r="40" spans="1:1" x14ac:dyDescent="0.25">
      <c r="A40" s="1">
        <v>43885</v>
      </c>
    </row>
    <row r="41" spans="1:1" x14ac:dyDescent="0.25">
      <c r="A41" s="1">
        <v>43886</v>
      </c>
    </row>
    <row r="42" spans="1:1" x14ac:dyDescent="0.25">
      <c r="A42" s="1">
        <v>43931</v>
      </c>
    </row>
    <row r="43" spans="1:1" x14ac:dyDescent="0.25">
      <c r="A43" s="1">
        <v>43933</v>
      </c>
    </row>
    <row r="44" spans="1:1" x14ac:dyDescent="0.25">
      <c r="A44" s="1">
        <v>43942</v>
      </c>
    </row>
    <row r="45" spans="1:1" x14ac:dyDescent="0.25">
      <c r="A45" s="1">
        <v>43952</v>
      </c>
    </row>
    <row r="46" spans="1:1" x14ac:dyDescent="0.25">
      <c r="A46" s="1">
        <v>43993</v>
      </c>
    </row>
    <row r="47" spans="1:1" x14ac:dyDescent="0.25">
      <c r="A47" s="1">
        <v>44081</v>
      </c>
    </row>
    <row r="48" spans="1:1" x14ac:dyDescent="0.25">
      <c r="A48" s="1">
        <v>44116</v>
      </c>
    </row>
    <row r="49" spans="1:1" x14ac:dyDescent="0.25">
      <c r="A49" s="1">
        <v>44137</v>
      </c>
    </row>
    <row r="50" spans="1:1" x14ac:dyDescent="0.25">
      <c r="A50" s="1">
        <v>44150</v>
      </c>
    </row>
    <row r="51" spans="1:1" x14ac:dyDescent="0.25">
      <c r="A51" s="1">
        <v>44190</v>
      </c>
    </row>
    <row r="52" spans="1:1" x14ac:dyDescent="0.25">
      <c r="A52" s="1">
        <v>44197</v>
      </c>
    </row>
    <row r="53" spans="1:1" x14ac:dyDescent="0.25">
      <c r="A53" s="1">
        <v>44242</v>
      </c>
    </row>
    <row r="54" spans="1:1" x14ac:dyDescent="0.25">
      <c r="A54" s="1">
        <v>44243</v>
      </c>
    </row>
    <row r="55" spans="1:1" x14ac:dyDescent="0.25">
      <c r="A55" s="1">
        <v>44288</v>
      </c>
    </row>
    <row r="56" spans="1:1" x14ac:dyDescent="0.25">
      <c r="A56" s="1">
        <v>44290</v>
      </c>
    </row>
    <row r="57" spans="1:1" x14ac:dyDescent="0.25">
      <c r="A57" s="1">
        <v>44307</v>
      </c>
    </row>
    <row r="58" spans="1:1" x14ac:dyDescent="0.25">
      <c r="A58" s="1">
        <v>44317</v>
      </c>
    </row>
    <row r="59" spans="1:1" x14ac:dyDescent="0.25">
      <c r="A59" s="1">
        <v>44350</v>
      </c>
    </row>
    <row r="60" spans="1:1" x14ac:dyDescent="0.25">
      <c r="A60" s="1">
        <v>44446</v>
      </c>
    </row>
    <row r="61" spans="1:1" x14ac:dyDescent="0.25">
      <c r="A61" s="1">
        <v>44481</v>
      </c>
    </row>
    <row r="62" spans="1:1" x14ac:dyDescent="0.25">
      <c r="A62" s="1">
        <v>44502</v>
      </c>
    </row>
    <row r="63" spans="1:1" x14ac:dyDescent="0.25">
      <c r="A63" s="1">
        <v>44515</v>
      </c>
    </row>
    <row r="64" spans="1:1" x14ac:dyDescent="0.25">
      <c r="A64" s="1">
        <v>44555</v>
      </c>
    </row>
    <row r="65" spans="1:1" x14ac:dyDescent="0.25">
      <c r="A65" s="1">
        <v>44562</v>
      </c>
    </row>
    <row r="66" spans="1:1" x14ac:dyDescent="0.25">
      <c r="A66" s="1">
        <v>44620</v>
      </c>
    </row>
    <row r="67" spans="1:1" x14ac:dyDescent="0.25">
      <c r="A67" s="1">
        <v>44621</v>
      </c>
    </row>
    <row r="68" spans="1:1" x14ac:dyDescent="0.25">
      <c r="A68" s="1">
        <v>44666</v>
      </c>
    </row>
    <row r="69" spans="1:1" x14ac:dyDescent="0.25">
      <c r="A69" s="1">
        <v>44668</v>
      </c>
    </row>
    <row r="70" spans="1:1" x14ac:dyDescent="0.25">
      <c r="A70" s="1">
        <v>44672</v>
      </c>
    </row>
    <row r="71" spans="1:1" x14ac:dyDescent="0.25">
      <c r="A71" s="1">
        <v>44682</v>
      </c>
    </row>
    <row r="72" spans="1:1" x14ac:dyDescent="0.25">
      <c r="A72" s="1">
        <v>44728</v>
      </c>
    </row>
    <row r="73" spans="1:1" x14ac:dyDescent="0.25">
      <c r="A73" s="1">
        <v>44811</v>
      </c>
    </row>
    <row r="74" spans="1:1" x14ac:dyDescent="0.25">
      <c r="A74" s="1">
        <v>44846</v>
      </c>
    </row>
    <row r="75" spans="1:1" x14ac:dyDescent="0.25">
      <c r="A75" s="1">
        <v>44867</v>
      </c>
    </row>
    <row r="76" spans="1:1" x14ac:dyDescent="0.25">
      <c r="A76" s="1">
        <v>44880</v>
      </c>
    </row>
    <row r="77" spans="1:1" x14ac:dyDescent="0.25">
      <c r="A77" s="1">
        <v>44920</v>
      </c>
    </row>
    <row r="78" spans="1:1" x14ac:dyDescent="0.25">
      <c r="A78" s="1">
        <v>44927</v>
      </c>
    </row>
    <row r="79" spans="1:1" x14ac:dyDescent="0.25">
      <c r="A79" s="1">
        <v>44977</v>
      </c>
    </row>
    <row r="80" spans="1:1" x14ac:dyDescent="0.25">
      <c r="A80" s="1">
        <v>44978</v>
      </c>
    </row>
    <row r="81" spans="1:1" x14ac:dyDescent="0.25">
      <c r="A81" s="1">
        <v>45017</v>
      </c>
    </row>
    <row r="82" spans="1:1" x14ac:dyDescent="0.25">
      <c r="A82" s="1">
        <v>45023</v>
      </c>
    </row>
    <row r="83" spans="1:1" x14ac:dyDescent="0.25">
      <c r="A83" s="1">
        <v>45025</v>
      </c>
    </row>
    <row r="84" spans="1:1" x14ac:dyDescent="0.25">
      <c r="A84" s="1">
        <v>45037</v>
      </c>
    </row>
    <row r="85" spans="1:1" x14ac:dyDescent="0.25">
      <c r="A85" s="1">
        <v>45085</v>
      </c>
    </row>
    <row r="86" spans="1:1" x14ac:dyDescent="0.25">
      <c r="A86" s="1">
        <v>45176</v>
      </c>
    </row>
    <row r="87" spans="1:1" x14ac:dyDescent="0.25">
      <c r="A87" s="1">
        <v>45211</v>
      </c>
    </row>
    <row r="88" spans="1:1" x14ac:dyDescent="0.25">
      <c r="A88" s="1">
        <v>45232</v>
      </c>
    </row>
    <row r="89" spans="1:1" x14ac:dyDescent="0.25">
      <c r="A89" s="1">
        <v>45245</v>
      </c>
    </row>
    <row r="90" spans="1:1" x14ac:dyDescent="0.25">
      <c r="A90" s="1">
        <v>45285</v>
      </c>
    </row>
    <row r="91" spans="1:1" x14ac:dyDescent="0.25">
      <c r="A91" s="1">
        <v>45292</v>
      </c>
    </row>
    <row r="92" spans="1:1" x14ac:dyDescent="0.25">
      <c r="A92" s="1">
        <v>45334</v>
      </c>
    </row>
    <row r="93" spans="1:1" x14ac:dyDescent="0.25">
      <c r="A93" s="1">
        <v>45335</v>
      </c>
    </row>
    <row r="94" spans="1:1" x14ac:dyDescent="0.25">
      <c r="A94" s="1">
        <v>45380</v>
      </c>
    </row>
    <row r="95" spans="1:1" x14ac:dyDescent="0.25">
      <c r="A95" s="1">
        <v>45382</v>
      </c>
    </row>
    <row r="96" spans="1:1" x14ac:dyDescent="0.25">
      <c r="A96" s="1">
        <v>45403</v>
      </c>
    </row>
    <row r="97" spans="1:1" x14ac:dyDescent="0.25">
      <c r="A97" s="1">
        <v>45413</v>
      </c>
    </row>
    <row r="98" spans="1:1" x14ac:dyDescent="0.25">
      <c r="A98" s="1">
        <v>45442</v>
      </c>
    </row>
    <row r="99" spans="1:1" x14ac:dyDescent="0.25">
      <c r="A99" s="1">
        <v>45542</v>
      </c>
    </row>
    <row r="100" spans="1:1" x14ac:dyDescent="0.25">
      <c r="A100" s="1">
        <v>45577</v>
      </c>
    </row>
    <row r="101" spans="1:1" x14ac:dyDescent="0.25">
      <c r="A101" s="1">
        <v>45598</v>
      </c>
    </row>
    <row r="102" spans="1:1" x14ac:dyDescent="0.25">
      <c r="A102" s="1">
        <v>45611</v>
      </c>
    </row>
    <row r="103" spans="1:1" x14ac:dyDescent="0.25">
      <c r="A103" s="1">
        <v>45651</v>
      </c>
    </row>
    <row r="104" spans="1:1" x14ac:dyDescent="0.25">
      <c r="A104" s="1">
        <v>45658</v>
      </c>
    </row>
    <row r="105" spans="1:1" x14ac:dyDescent="0.25">
      <c r="A105" s="1">
        <v>45719</v>
      </c>
    </row>
    <row r="106" spans="1:1" x14ac:dyDescent="0.25">
      <c r="A106" s="1">
        <v>45720</v>
      </c>
    </row>
    <row r="107" spans="1:1" x14ac:dyDescent="0.25">
      <c r="A107" s="1">
        <v>45765</v>
      </c>
    </row>
    <row r="108" spans="1:1" x14ac:dyDescent="0.25">
      <c r="A108" s="1">
        <v>45767</v>
      </c>
    </row>
    <row r="109" spans="1:1" x14ac:dyDescent="0.25">
      <c r="A109" s="1">
        <v>45768</v>
      </c>
    </row>
    <row r="110" spans="1:1" x14ac:dyDescent="0.25">
      <c r="A110" s="1">
        <v>45778</v>
      </c>
    </row>
    <row r="111" spans="1:1" x14ac:dyDescent="0.25">
      <c r="A111" s="1">
        <v>45827</v>
      </c>
    </row>
    <row r="112" spans="1:1" x14ac:dyDescent="0.25">
      <c r="A112" s="1">
        <v>45907</v>
      </c>
    </row>
    <row r="113" spans="1:1" x14ac:dyDescent="0.25">
      <c r="A113" s="1">
        <v>45942</v>
      </c>
    </row>
    <row r="114" spans="1:1" x14ac:dyDescent="0.25">
      <c r="A114" s="1">
        <v>45963</v>
      </c>
    </row>
    <row r="115" spans="1:1" x14ac:dyDescent="0.25">
      <c r="A115" s="1">
        <v>45976</v>
      </c>
    </row>
    <row r="116" spans="1:1" x14ac:dyDescent="0.25">
      <c r="A116" s="1">
        <v>46016</v>
      </c>
    </row>
    <row r="117" spans="1:1" x14ac:dyDescent="0.25">
      <c r="A117" s="1">
        <v>46023</v>
      </c>
    </row>
    <row r="118" spans="1:1" x14ac:dyDescent="0.25">
      <c r="A118" s="1">
        <v>46069</v>
      </c>
    </row>
    <row r="119" spans="1:1" x14ac:dyDescent="0.25">
      <c r="A119" s="1">
        <v>46070</v>
      </c>
    </row>
    <row r="120" spans="1:1" x14ac:dyDescent="0.25">
      <c r="A120" s="1">
        <v>46115</v>
      </c>
    </row>
    <row r="121" spans="1:1" x14ac:dyDescent="0.25">
      <c r="A121" s="1">
        <v>46117</v>
      </c>
    </row>
    <row r="122" spans="1:1" x14ac:dyDescent="0.25">
      <c r="A122" s="1">
        <v>46133</v>
      </c>
    </row>
    <row r="123" spans="1:1" x14ac:dyDescent="0.25">
      <c r="A123" s="1">
        <v>46143</v>
      </c>
    </row>
    <row r="124" spans="1:1" x14ac:dyDescent="0.25">
      <c r="A124" s="1">
        <v>46177</v>
      </c>
    </row>
    <row r="125" spans="1:1" x14ac:dyDescent="0.25">
      <c r="A125" s="1">
        <v>46272</v>
      </c>
    </row>
    <row r="126" spans="1:1" x14ac:dyDescent="0.25">
      <c r="A126" s="1">
        <v>46307</v>
      </c>
    </row>
    <row r="127" spans="1:1" x14ac:dyDescent="0.25">
      <c r="A127" s="1">
        <v>46328</v>
      </c>
    </row>
    <row r="128" spans="1:1" x14ac:dyDescent="0.25">
      <c r="A128" s="1">
        <v>46341</v>
      </c>
    </row>
    <row r="129" spans="1:1" x14ac:dyDescent="0.25">
      <c r="A129" s="1">
        <v>46381</v>
      </c>
    </row>
    <row r="130" spans="1:1" x14ac:dyDescent="0.25">
      <c r="A130" s="1">
        <v>46388</v>
      </c>
    </row>
    <row r="131" spans="1:1" x14ac:dyDescent="0.25">
      <c r="A131" s="1">
        <v>46426</v>
      </c>
    </row>
    <row r="132" spans="1:1" x14ac:dyDescent="0.25">
      <c r="A132" s="1">
        <v>46427</v>
      </c>
    </row>
    <row r="133" spans="1:1" x14ac:dyDescent="0.25">
      <c r="A133" s="1">
        <v>46472</v>
      </c>
    </row>
    <row r="134" spans="1:1" x14ac:dyDescent="0.25">
      <c r="A134" s="1">
        <v>46474</v>
      </c>
    </row>
    <row r="135" spans="1:1" x14ac:dyDescent="0.25">
      <c r="A135" s="1">
        <v>46498</v>
      </c>
    </row>
    <row r="136" spans="1:1" x14ac:dyDescent="0.25">
      <c r="A136" s="1">
        <v>46508</v>
      </c>
    </row>
    <row r="137" spans="1:1" x14ac:dyDescent="0.25">
      <c r="A137" s="1">
        <v>46534</v>
      </c>
    </row>
    <row r="138" spans="1:1" x14ac:dyDescent="0.25">
      <c r="A138" s="1">
        <v>46637</v>
      </c>
    </row>
    <row r="139" spans="1:1" x14ac:dyDescent="0.25">
      <c r="A139" s="1">
        <v>46672</v>
      </c>
    </row>
    <row r="140" spans="1:1" x14ac:dyDescent="0.25">
      <c r="A140" s="1">
        <v>46693</v>
      </c>
    </row>
    <row r="141" spans="1:1" x14ac:dyDescent="0.25">
      <c r="A141" s="1">
        <v>46706</v>
      </c>
    </row>
    <row r="142" spans="1:1" x14ac:dyDescent="0.25">
      <c r="A142" s="1">
        <v>46746</v>
      </c>
    </row>
    <row r="143" spans="1:1" x14ac:dyDescent="0.25">
      <c r="A143" s="1">
        <v>46753</v>
      </c>
    </row>
    <row r="144" spans="1:1" x14ac:dyDescent="0.25">
      <c r="A144" s="1">
        <v>46811</v>
      </c>
    </row>
    <row r="145" spans="1:1" x14ac:dyDescent="0.25">
      <c r="A145" s="1">
        <v>46812</v>
      </c>
    </row>
    <row r="146" spans="1:1" x14ac:dyDescent="0.25">
      <c r="A146" s="1">
        <v>46857</v>
      </c>
    </row>
    <row r="147" spans="1:1" x14ac:dyDescent="0.25">
      <c r="A147" s="1">
        <v>46859</v>
      </c>
    </row>
    <row r="148" spans="1:1" x14ac:dyDescent="0.25">
      <c r="A148" s="1">
        <v>46864</v>
      </c>
    </row>
    <row r="149" spans="1:1" x14ac:dyDescent="0.25">
      <c r="A149" s="1">
        <v>46874</v>
      </c>
    </row>
    <row r="150" spans="1:1" x14ac:dyDescent="0.25">
      <c r="A150" s="1">
        <v>46919</v>
      </c>
    </row>
    <row r="151" spans="1:1" x14ac:dyDescent="0.25">
      <c r="A151" s="1">
        <v>47003</v>
      </c>
    </row>
    <row r="152" spans="1:1" x14ac:dyDescent="0.25">
      <c r="A152" s="1">
        <v>47038</v>
      </c>
    </row>
    <row r="153" spans="1:1" x14ac:dyDescent="0.25">
      <c r="A153" s="1">
        <v>47059</v>
      </c>
    </row>
    <row r="154" spans="1:1" x14ac:dyDescent="0.25">
      <c r="A154" s="1">
        <v>47072</v>
      </c>
    </row>
    <row r="155" spans="1:1" x14ac:dyDescent="0.25">
      <c r="A155" s="1">
        <v>47112</v>
      </c>
    </row>
    <row r="156" spans="1:1" x14ac:dyDescent="0.25">
      <c r="A156" s="1">
        <v>47119</v>
      </c>
    </row>
    <row r="157" spans="1:1" x14ac:dyDescent="0.25">
      <c r="A157" s="1">
        <v>47161</v>
      </c>
    </row>
    <row r="158" spans="1:1" x14ac:dyDescent="0.25">
      <c r="A158" s="1">
        <v>47162</v>
      </c>
    </row>
    <row r="159" spans="1:1" x14ac:dyDescent="0.25">
      <c r="A159" s="1">
        <v>47207</v>
      </c>
    </row>
    <row r="160" spans="1:1" x14ac:dyDescent="0.25">
      <c r="A160" s="1">
        <v>47209</v>
      </c>
    </row>
    <row r="161" spans="1:1" x14ac:dyDescent="0.25">
      <c r="A161" s="1">
        <v>47229</v>
      </c>
    </row>
    <row r="162" spans="1:1" x14ac:dyDescent="0.25">
      <c r="A162" s="1">
        <v>47239</v>
      </c>
    </row>
    <row r="163" spans="1:1" x14ac:dyDescent="0.25">
      <c r="A163" s="1">
        <v>47269</v>
      </c>
    </row>
    <row r="164" spans="1:1" x14ac:dyDescent="0.25">
      <c r="A164" s="1">
        <v>47368</v>
      </c>
    </row>
    <row r="165" spans="1:1" x14ac:dyDescent="0.25">
      <c r="A165" s="1">
        <v>47403</v>
      </c>
    </row>
    <row r="166" spans="1:1" x14ac:dyDescent="0.25">
      <c r="A166" s="1">
        <v>47424</v>
      </c>
    </row>
    <row r="167" spans="1:1" x14ac:dyDescent="0.25">
      <c r="A167" s="1">
        <v>47437</v>
      </c>
    </row>
    <row r="168" spans="1:1" x14ac:dyDescent="0.25">
      <c r="A168" s="1">
        <v>47477</v>
      </c>
    </row>
    <row r="169" spans="1:1" x14ac:dyDescent="0.25">
      <c r="A169" s="1">
        <v>47484</v>
      </c>
    </row>
    <row r="170" spans="1:1" x14ac:dyDescent="0.25">
      <c r="A170" s="1">
        <v>47546</v>
      </c>
    </row>
    <row r="171" spans="1:1" x14ac:dyDescent="0.25">
      <c r="A171" s="1">
        <v>47547</v>
      </c>
    </row>
    <row r="172" spans="1:1" x14ac:dyDescent="0.25">
      <c r="A172" s="1">
        <v>47592</v>
      </c>
    </row>
    <row r="173" spans="1:1" x14ac:dyDescent="0.25">
      <c r="A173" s="1">
        <v>47594</v>
      </c>
    </row>
    <row r="174" spans="1:1" x14ac:dyDescent="0.25">
      <c r="A174" s="1">
        <v>47604</v>
      </c>
    </row>
    <row r="175" spans="1:1" x14ac:dyDescent="0.25">
      <c r="A175" s="1">
        <v>47654</v>
      </c>
    </row>
    <row r="176" spans="1:1" x14ac:dyDescent="0.25">
      <c r="A176" s="1">
        <v>47733</v>
      </c>
    </row>
    <row r="177" spans="1:1" x14ac:dyDescent="0.25">
      <c r="A177" s="1">
        <v>47768</v>
      </c>
    </row>
    <row r="178" spans="1:1" x14ac:dyDescent="0.25">
      <c r="A178" s="1">
        <v>47789</v>
      </c>
    </row>
    <row r="179" spans="1:1" x14ac:dyDescent="0.25">
      <c r="A179" s="1">
        <v>47802</v>
      </c>
    </row>
    <row r="180" spans="1:1" x14ac:dyDescent="0.25">
      <c r="A180" s="1">
        <v>47842</v>
      </c>
    </row>
    <row r="181" spans="1:1" x14ac:dyDescent="0.25">
      <c r="A181" s="1">
        <v>47849</v>
      </c>
    </row>
    <row r="182" spans="1:1" x14ac:dyDescent="0.25">
      <c r="A182" s="1">
        <v>47903</v>
      </c>
    </row>
    <row r="183" spans="1:1" x14ac:dyDescent="0.25">
      <c r="A183" s="1">
        <v>47904</v>
      </c>
    </row>
    <row r="184" spans="1:1" x14ac:dyDescent="0.25">
      <c r="A184" s="1">
        <v>47949</v>
      </c>
    </row>
    <row r="185" spans="1:1" x14ac:dyDescent="0.25">
      <c r="A185" s="1">
        <v>47951</v>
      </c>
    </row>
    <row r="186" spans="1:1" x14ac:dyDescent="0.25">
      <c r="A186" s="1">
        <v>47959</v>
      </c>
    </row>
    <row r="187" spans="1:1" x14ac:dyDescent="0.25">
      <c r="A187" s="1">
        <v>47969</v>
      </c>
    </row>
    <row r="188" spans="1:1" x14ac:dyDescent="0.25">
      <c r="A188" s="1">
        <v>48011</v>
      </c>
    </row>
    <row r="189" spans="1:1" x14ac:dyDescent="0.25">
      <c r="A189" s="1">
        <v>48098</v>
      </c>
    </row>
    <row r="190" spans="1:1" x14ac:dyDescent="0.25">
      <c r="A190" s="1">
        <v>48133</v>
      </c>
    </row>
    <row r="191" spans="1:1" x14ac:dyDescent="0.25">
      <c r="A191" s="1">
        <v>48154</v>
      </c>
    </row>
    <row r="192" spans="1:1" x14ac:dyDescent="0.25">
      <c r="A192" s="1">
        <v>48167</v>
      </c>
    </row>
    <row r="193" spans="1:1" x14ac:dyDescent="0.25">
      <c r="A193" s="1">
        <v>48207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Dados"/>
  <dimension ref="A1:N15"/>
  <sheetViews>
    <sheetView showGridLines="0" zoomScale="85" zoomScaleNormal="85" workbookViewId="0">
      <selection activeCell="H1" sqref="H1"/>
    </sheetView>
  </sheetViews>
  <sheetFormatPr defaultRowHeight="15" x14ac:dyDescent="0.25"/>
  <cols>
    <col min="1" max="1" width="30.5703125" bestFit="1" customWidth="1"/>
    <col min="2" max="2" width="32.140625" bestFit="1" customWidth="1"/>
    <col min="3" max="3" width="24.140625" bestFit="1" customWidth="1"/>
    <col min="4" max="4" width="16.140625" bestFit="1" customWidth="1"/>
    <col min="5" max="5" width="13.42578125" bestFit="1" customWidth="1"/>
    <col min="6" max="6" width="9.7109375" bestFit="1" customWidth="1"/>
    <col min="7" max="7" width="16.140625" bestFit="1" customWidth="1"/>
    <col min="8" max="8" width="22.42578125" bestFit="1" customWidth="1"/>
    <col min="9" max="9" width="17.5703125" bestFit="1" customWidth="1"/>
    <col min="10" max="10" width="12.28515625" bestFit="1" customWidth="1"/>
    <col min="11" max="11" width="11.7109375" bestFit="1" customWidth="1"/>
    <col min="12" max="12" width="26.5703125" bestFit="1" customWidth="1"/>
    <col min="13" max="13" width="30.5703125" style="9" bestFit="1" customWidth="1"/>
    <col min="14" max="14" width="31.5703125" bestFit="1" customWidth="1"/>
  </cols>
  <sheetData>
    <row r="1" spans="1:14" x14ac:dyDescent="0.25">
      <c r="A1" s="11" t="s">
        <v>1</v>
      </c>
      <c r="B1" s="11" t="s">
        <v>2</v>
      </c>
      <c r="C1" s="11" t="s">
        <v>47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46</v>
      </c>
      <c r="N1" s="11" t="s">
        <v>0</v>
      </c>
    </row>
    <row r="2" spans="1:14" x14ac:dyDescent="0.25">
      <c r="A2" s="11" t="s">
        <v>15</v>
      </c>
      <c r="B2" s="11" t="s">
        <v>13</v>
      </c>
      <c r="C2" s="11" t="s">
        <v>48</v>
      </c>
      <c r="D2" s="11" t="s">
        <v>19</v>
      </c>
      <c r="E2" s="11" t="s">
        <v>40</v>
      </c>
      <c r="F2" s="11">
        <v>1234</v>
      </c>
      <c r="G2" s="11" t="s">
        <v>20</v>
      </c>
      <c r="H2" s="11" t="s">
        <v>21</v>
      </c>
      <c r="I2" s="11" t="s">
        <v>38</v>
      </c>
      <c r="J2" s="11">
        <v>12345678998</v>
      </c>
      <c r="K2" s="11">
        <v>234</v>
      </c>
      <c r="L2" s="12">
        <v>92000</v>
      </c>
      <c r="M2" s="11" t="e">
        <f>NETWORKDAYS.INTL(H1,H2,1,feriados!$A$1:$A$193)-1</f>
        <v>#VALUE!</v>
      </c>
      <c r="N2" s="11" t="str">
        <f>I2&amp;J2&amp;K2&amp;L2</f>
        <v>MARIA JOSE1234567899823492000</v>
      </c>
    </row>
    <row r="3" spans="1:14" x14ac:dyDescent="0.25">
      <c r="A3" s="11" t="s">
        <v>15</v>
      </c>
      <c r="B3" s="11" t="s">
        <v>14</v>
      </c>
      <c r="C3" s="11" t="s">
        <v>48</v>
      </c>
      <c r="D3" s="11" t="s">
        <v>22</v>
      </c>
      <c r="E3" s="11" t="s">
        <v>41</v>
      </c>
      <c r="F3" s="11">
        <v>1234</v>
      </c>
      <c r="G3" s="11" t="s">
        <v>20</v>
      </c>
      <c r="H3" s="11" t="s">
        <v>21</v>
      </c>
      <c r="I3" s="11" t="s">
        <v>38</v>
      </c>
      <c r="J3" s="11">
        <v>12345678998</v>
      </c>
      <c r="K3" s="11">
        <v>234</v>
      </c>
      <c r="L3" s="12">
        <v>92000</v>
      </c>
      <c r="M3" s="11">
        <f>NETWORKDAYS.INTL(H2,H3,1,feriados!$A$1:$A$193)-1</f>
        <v>0</v>
      </c>
      <c r="N3" s="11" t="str">
        <f>I3&amp;J3&amp;K3&amp;L3</f>
        <v>MARIA JOSE1234567899823492000</v>
      </c>
    </row>
    <row r="4" spans="1:14" x14ac:dyDescent="0.25">
      <c r="A4" s="11" t="s">
        <v>15</v>
      </c>
      <c r="B4" s="11" t="s">
        <v>12</v>
      </c>
      <c r="C4" s="11" t="s">
        <v>12</v>
      </c>
      <c r="D4" s="11" t="s">
        <v>23</v>
      </c>
      <c r="E4" s="11" t="s">
        <v>42</v>
      </c>
      <c r="F4" s="11">
        <v>1234</v>
      </c>
      <c r="G4" s="11" t="s">
        <v>20</v>
      </c>
      <c r="H4" s="11" t="s">
        <v>21</v>
      </c>
      <c r="I4" s="11" t="s">
        <v>38</v>
      </c>
      <c r="J4" s="11">
        <v>12345678998</v>
      </c>
      <c r="K4" s="11">
        <v>234</v>
      </c>
      <c r="L4" s="12">
        <v>92000</v>
      </c>
      <c r="M4" s="11">
        <f>NETWORKDAYS.INTL(H3,H4,1,feriados!$A$1:$A$193)-1</f>
        <v>0</v>
      </c>
      <c r="N4" s="11" t="str">
        <f>I4&amp;J4&amp;K4&amp;L4</f>
        <v>MARIA JOSE1234567899823492000</v>
      </c>
    </row>
    <row r="5" spans="1:14" x14ac:dyDescent="0.25">
      <c r="A5" s="11" t="s">
        <v>15</v>
      </c>
      <c r="B5" s="11" t="s">
        <v>37</v>
      </c>
      <c r="C5" s="11" t="s">
        <v>49</v>
      </c>
      <c r="D5" s="11" t="s">
        <v>24</v>
      </c>
      <c r="E5" s="11" t="s">
        <v>43</v>
      </c>
      <c r="F5" s="11">
        <v>1234</v>
      </c>
      <c r="G5" s="11" t="s">
        <v>20</v>
      </c>
      <c r="H5" s="11" t="s">
        <v>21</v>
      </c>
      <c r="I5" s="11" t="s">
        <v>38</v>
      </c>
      <c r="J5" s="11">
        <v>12345678998</v>
      </c>
      <c r="K5" s="11">
        <v>234</v>
      </c>
      <c r="L5" s="12">
        <v>92000</v>
      </c>
      <c r="M5" s="11">
        <f>NETWORKDAYS.INTL(H4,H5,1,feriados!$A$1:$A$193)-1</f>
        <v>0</v>
      </c>
      <c r="N5" s="11" t="str">
        <f>I5&amp;J5&amp;K5&amp;L5</f>
        <v>MARIA JOSE1234567899823492000</v>
      </c>
    </row>
    <row r="6" spans="1:14" x14ac:dyDescent="0.25">
      <c r="A6" s="11" t="s">
        <v>15</v>
      </c>
      <c r="B6" s="11" t="s">
        <v>36</v>
      </c>
      <c r="C6" s="11" t="s">
        <v>36</v>
      </c>
      <c r="D6" s="11" t="s">
        <v>21</v>
      </c>
      <c r="E6" s="11" t="s">
        <v>43</v>
      </c>
      <c r="F6" s="11">
        <v>1234</v>
      </c>
      <c r="G6" s="11" t="s">
        <v>20</v>
      </c>
      <c r="H6" s="11" t="s">
        <v>21</v>
      </c>
      <c r="I6" s="11" t="s">
        <v>38</v>
      </c>
      <c r="J6" s="11">
        <v>12345678998</v>
      </c>
      <c r="K6" s="11">
        <v>234</v>
      </c>
      <c r="L6" s="12">
        <v>92000</v>
      </c>
      <c r="M6" s="11">
        <f>NETWORKDAYS.INTL(H5,H6,1,feriados!$A$1:$A$193)-1</f>
        <v>0</v>
      </c>
      <c r="N6" s="11" t="str">
        <f>I6&amp;J6&amp;K6&amp;L6</f>
        <v>MARIA JOSE1234567899823492000</v>
      </c>
    </row>
    <row r="7" spans="1:14" x14ac:dyDescent="0.25">
      <c r="A7" s="11" t="s">
        <v>15</v>
      </c>
      <c r="B7" s="11" t="s">
        <v>13</v>
      </c>
      <c r="C7" s="11" t="s">
        <v>48</v>
      </c>
      <c r="D7" s="11" t="s">
        <v>25</v>
      </c>
      <c r="E7" s="11" t="s">
        <v>40</v>
      </c>
      <c r="F7" s="11">
        <v>3421</v>
      </c>
      <c r="G7" s="11" t="s">
        <v>26</v>
      </c>
      <c r="H7" s="11" t="s">
        <v>27</v>
      </c>
      <c r="I7" s="11" t="s">
        <v>39</v>
      </c>
      <c r="J7" s="11">
        <v>12345678999</v>
      </c>
      <c r="K7" s="11">
        <v>456</v>
      </c>
      <c r="L7" s="12">
        <v>50000</v>
      </c>
      <c r="M7" s="11">
        <f>NETWORKDAYS.INTL(H6,H7,1,feriados!$A$1:$A$193)-1</f>
        <v>1</v>
      </c>
      <c r="N7" s="11" t="str">
        <f>I7&amp;J7&amp;K7&amp;L7</f>
        <v>JOSE MARIA1234567899945650000</v>
      </c>
    </row>
    <row r="8" spans="1:14" x14ac:dyDescent="0.25">
      <c r="A8" s="11" t="s">
        <v>15</v>
      </c>
      <c r="B8" s="11" t="s">
        <v>14</v>
      </c>
      <c r="C8" s="11" t="s">
        <v>48</v>
      </c>
      <c r="D8" s="11" t="s">
        <v>28</v>
      </c>
      <c r="E8" s="11" t="s">
        <v>41</v>
      </c>
      <c r="F8" s="11">
        <v>3421</v>
      </c>
      <c r="G8" s="11" t="s">
        <v>26</v>
      </c>
      <c r="H8" s="11" t="s">
        <v>27</v>
      </c>
      <c r="I8" s="11" t="s">
        <v>39</v>
      </c>
      <c r="J8" s="11">
        <v>12345678999</v>
      </c>
      <c r="K8" s="11">
        <v>456</v>
      </c>
      <c r="L8" s="12">
        <v>50000</v>
      </c>
      <c r="M8" s="11">
        <f>NETWORKDAYS.INTL(H7,H8,1,feriados!$A$1:$A$193)-1</f>
        <v>0</v>
      </c>
      <c r="N8" s="11" t="str">
        <f>I8&amp;J8&amp;K8&amp;L8</f>
        <v>JOSE MARIA1234567899945650000</v>
      </c>
    </row>
    <row r="9" spans="1:14" x14ac:dyDescent="0.25">
      <c r="A9" s="11" t="s">
        <v>15</v>
      </c>
      <c r="B9" s="11" t="s">
        <v>12</v>
      </c>
      <c r="C9" s="11" t="s">
        <v>12</v>
      </c>
      <c r="D9" s="11" t="s">
        <v>29</v>
      </c>
      <c r="E9" s="11" t="s">
        <v>42</v>
      </c>
      <c r="F9" s="11">
        <v>3421</v>
      </c>
      <c r="G9" s="11" t="s">
        <v>26</v>
      </c>
      <c r="H9" s="11" t="s">
        <v>27</v>
      </c>
      <c r="I9" s="11" t="s">
        <v>39</v>
      </c>
      <c r="J9" s="11">
        <v>12345678999</v>
      </c>
      <c r="K9" s="11">
        <v>456</v>
      </c>
      <c r="L9" s="12">
        <v>50000</v>
      </c>
      <c r="M9" s="11">
        <f>NETWORKDAYS.INTL(H8,H9,1,feriados!$A$1:$A$193)-1</f>
        <v>0</v>
      </c>
      <c r="N9" s="11" t="str">
        <f>I9&amp;J9&amp;K9&amp;L9</f>
        <v>JOSE MARIA1234567899945650000</v>
      </c>
    </row>
    <row r="10" spans="1:14" x14ac:dyDescent="0.25">
      <c r="A10" s="11" t="s">
        <v>15</v>
      </c>
      <c r="B10" s="11" t="s">
        <v>37</v>
      </c>
      <c r="C10" s="11" t="s">
        <v>49</v>
      </c>
      <c r="D10" s="11" t="s">
        <v>30</v>
      </c>
      <c r="E10" s="11" t="s">
        <v>43</v>
      </c>
      <c r="F10" s="11">
        <v>3421</v>
      </c>
      <c r="G10" s="11" t="s">
        <v>26</v>
      </c>
      <c r="H10" s="11" t="s">
        <v>27</v>
      </c>
      <c r="I10" s="11" t="s">
        <v>39</v>
      </c>
      <c r="J10" s="11">
        <v>12345678999</v>
      </c>
      <c r="K10" s="11">
        <v>456</v>
      </c>
      <c r="L10" s="12">
        <v>50000</v>
      </c>
      <c r="M10" s="11">
        <f>NETWORKDAYS.INTL(H9,H10,1,feriados!$A$1:$A$193)-1</f>
        <v>0</v>
      </c>
      <c r="N10" s="11" t="str">
        <f>I10&amp;J10&amp;K10&amp;L10</f>
        <v>JOSE MARIA1234567899945650000</v>
      </c>
    </row>
    <row r="11" spans="1:14" x14ac:dyDescent="0.25">
      <c r="A11" s="11" t="s">
        <v>15</v>
      </c>
      <c r="B11" s="11" t="s">
        <v>13</v>
      </c>
      <c r="C11" s="11" t="s">
        <v>48</v>
      </c>
      <c r="D11" s="11" t="s">
        <v>17</v>
      </c>
      <c r="E11" s="11" t="s">
        <v>40</v>
      </c>
      <c r="F11" s="11">
        <v>3421</v>
      </c>
      <c r="G11" s="11" t="s">
        <v>26</v>
      </c>
      <c r="H11" s="11" t="s">
        <v>27</v>
      </c>
      <c r="I11" s="11" t="s">
        <v>39</v>
      </c>
      <c r="J11" s="11">
        <v>12345678999</v>
      </c>
      <c r="K11" s="11">
        <v>456</v>
      </c>
      <c r="L11" s="12">
        <v>50000</v>
      </c>
      <c r="M11" s="11">
        <f>NETWORKDAYS.INTL(H10,H11,1,feriados!$A$1:$A$193)-1</f>
        <v>0</v>
      </c>
      <c r="N11" s="11" t="str">
        <f>I11&amp;J11&amp;K11&amp;L11</f>
        <v>JOSE MARIA1234567899945650000</v>
      </c>
    </row>
    <row r="12" spans="1:14" x14ac:dyDescent="0.25">
      <c r="A12" s="11" t="s">
        <v>15</v>
      </c>
      <c r="B12" s="11" t="s">
        <v>14</v>
      </c>
      <c r="C12" s="11" t="s">
        <v>48</v>
      </c>
      <c r="D12" s="11" t="s">
        <v>31</v>
      </c>
      <c r="E12" s="11" t="s">
        <v>44</v>
      </c>
      <c r="F12" s="11">
        <v>3421</v>
      </c>
      <c r="G12" s="11" t="s">
        <v>26</v>
      </c>
      <c r="H12" s="11" t="s">
        <v>27</v>
      </c>
      <c r="I12" s="11" t="s">
        <v>39</v>
      </c>
      <c r="J12" s="11">
        <v>12345678999</v>
      </c>
      <c r="K12" s="11">
        <v>456</v>
      </c>
      <c r="L12" s="12">
        <v>50000</v>
      </c>
      <c r="M12" s="11">
        <f>NETWORKDAYS.INTL(H11,H12,1,feriados!$A$1:$A$193)-1</f>
        <v>0</v>
      </c>
      <c r="N12" s="11" t="str">
        <f>I12&amp;J12&amp;K12&amp;L12</f>
        <v>JOSE MARIA1234567899945650000</v>
      </c>
    </row>
    <row r="13" spans="1:14" x14ac:dyDescent="0.25">
      <c r="A13" s="11" t="s">
        <v>15</v>
      </c>
      <c r="B13" s="11" t="s">
        <v>12</v>
      </c>
      <c r="C13" s="11" t="s">
        <v>12</v>
      </c>
      <c r="D13" s="11" t="s">
        <v>16</v>
      </c>
      <c r="E13" s="11" t="s">
        <v>42</v>
      </c>
      <c r="F13" s="11">
        <v>3421</v>
      </c>
      <c r="G13" s="11" t="s">
        <v>26</v>
      </c>
      <c r="H13" s="11" t="s">
        <v>27</v>
      </c>
      <c r="I13" s="11" t="s">
        <v>39</v>
      </c>
      <c r="J13" s="11">
        <v>12345678999</v>
      </c>
      <c r="K13" s="11">
        <v>456</v>
      </c>
      <c r="L13" s="12">
        <v>50000</v>
      </c>
      <c r="M13" s="11">
        <f>NETWORKDAYS.INTL(H12,H13,1,feriados!$A$1:$A$193)-1</f>
        <v>0</v>
      </c>
      <c r="N13" s="11" t="str">
        <f>I13&amp;J13&amp;K13&amp;L13</f>
        <v>JOSE MARIA1234567899945650000</v>
      </c>
    </row>
    <row r="14" spans="1:14" x14ac:dyDescent="0.25">
      <c r="A14" s="11" t="s">
        <v>15</v>
      </c>
      <c r="B14" s="11" t="s">
        <v>37</v>
      </c>
      <c r="C14" s="11" t="s">
        <v>49</v>
      </c>
      <c r="D14" s="11" t="s">
        <v>27</v>
      </c>
      <c r="E14" s="11" t="s">
        <v>43</v>
      </c>
      <c r="F14" s="11">
        <v>3421</v>
      </c>
      <c r="G14" s="11" t="s">
        <v>26</v>
      </c>
      <c r="H14" s="11" t="s">
        <v>27</v>
      </c>
      <c r="I14" s="11" t="s">
        <v>39</v>
      </c>
      <c r="J14" s="11">
        <v>12345678999</v>
      </c>
      <c r="K14" s="11">
        <v>456</v>
      </c>
      <c r="L14" s="12">
        <v>50000</v>
      </c>
      <c r="M14" s="11">
        <f>NETWORKDAYS.INTL(H13,H14,1,feriados!$A$1:$A$193)-1</f>
        <v>0</v>
      </c>
      <c r="N14" s="11" t="str">
        <f>I14&amp;J14&amp;K14&amp;L14</f>
        <v>JOSE MARIA1234567899945650000</v>
      </c>
    </row>
    <row r="15" spans="1:14" x14ac:dyDescent="0.25">
      <c r="A15" s="11" t="s">
        <v>15</v>
      </c>
      <c r="B15" s="11" t="s">
        <v>36</v>
      </c>
      <c r="C15" s="11" t="s">
        <v>36</v>
      </c>
      <c r="D15" s="11" t="s">
        <v>27</v>
      </c>
      <c r="E15" s="11" t="s">
        <v>43</v>
      </c>
      <c r="F15" s="11">
        <v>3421</v>
      </c>
      <c r="G15" s="11" t="s">
        <v>26</v>
      </c>
      <c r="H15" s="11" t="s">
        <v>27</v>
      </c>
      <c r="I15" s="11" t="s">
        <v>39</v>
      </c>
      <c r="J15" s="11">
        <v>12345678999</v>
      </c>
      <c r="K15" s="11">
        <v>456</v>
      </c>
      <c r="L15" s="12">
        <v>50000</v>
      </c>
      <c r="M15" s="11">
        <f>NETWORKDAYS.INTL(H14,H15,1,feriados!$A$1:$A$193)-1</f>
        <v>0</v>
      </c>
      <c r="N15" s="11" t="str">
        <f>I15&amp;J15&amp;K15&amp;L15</f>
        <v>JOSE MARIA1234567899945650000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3"/>
  <sheetViews>
    <sheetView showGridLines="0" tabSelected="1" workbookViewId="0">
      <selection activeCell="B1" sqref="B1"/>
    </sheetView>
  </sheetViews>
  <sheetFormatPr defaultRowHeight="15" x14ac:dyDescent="0.25"/>
  <cols>
    <col min="1" max="1" width="35" customWidth="1"/>
    <col min="2" max="2" width="22.7109375" customWidth="1"/>
    <col min="3" max="3" width="43.85546875" bestFit="1" customWidth="1"/>
  </cols>
  <sheetData>
    <row r="1" spans="1:3" x14ac:dyDescent="0.25">
      <c r="A1" s="14" t="s">
        <v>8</v>
      </c>
      <c r="B1" s="15" t="s">
        <v>48</v>
      </c>
      <c r="C1" s="16" t="s">
        <v>45</v>
      </c>
    </row>
    <row r="2" spans="1:3" x14ac:dyDescent="0.25">
      <c r="A2" s="17" t="s">
        <v>38</v>
      </c>
      <c r="B2" s="13">
        <f>COUNTIFS(Tabela1[NOME DO CLIENTE],resumo!A2,Tabela1[Etapa Atividade Realizada],resumo!$B$1)</f>
        <v>2</v>
      </c>
      <c r="C2" s="13"/>
    </row>
    <row r="3" spans="1:3" x14ac:dyDescent="0.25">
      <c r="A3" s="17" t="s">
        <v>39</v>
      </c>
      <c r="B3" s="13">
        <f>COUNTIFS(Tabela1[NOME DO CLIENTE],resumo!A3,Tabela1[Etapa Atividade Realizada],resumo!$B$1)</f>
        <v>4</v>
      </c>
      <c r="C3" s="1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I36"/>
  <sheetViews>
    <sheetView showGridLines="0" workbookViewId="0">
      <selection sqref="A1:I5"/>
    </sheetView>
  </sheetViews>
  <sheetFormatPr defaultRowHeight="15" x14ac:dyDescent="0.25"/>
  <cols>
    <col min="1" max="1" width="12.28515625" customWidth="1"/>
    <col min="2" max="2" width="19.42578125" customWidth="1"/>
  </cols>
  <sheetData>
    <row r="1" spans="1:9" x14ac:dyDescent="0.25">
      <c r="A1" s="10"/>
      <c r="B1" s="10"/>
      <c r="C1" s="10"/>
      <c r="D1" s="10"/>
      <c r="E1" s="10"/>
      <c r="F1" s="10"/>
      <c r="G1" s="10"/>
      <c r="H1" s="10"/>
      <c r="I1" s="10"/>
    </row>
    <row r="2" spans="1:9" x14ac:dyDescent="0.25">
      <c r="A2" s="10"/>
      <c r="B2" s="10"/>
      <c r="C2" s="10"/>
      <c r="D2" s="10"/>
      <c r="E2" s="10"/>
      <c r="F2" s="10"/>
      <c r="G2" s="10"/>
      <c r="H2" s="10"/>
      <c r="I2" s="10"/>
    </row>
    <row r="3" spans="1:9" x14ac:dyDescent="0.25">
      <c r="A3" s="10"/>
      <c r="B3" s="10"/>
      <c r="C3" s="10"/>
      <c r="D3" s="10"/>
      <c r="E3" s="10"/>
      <c r="F3" s="10"/>
      <c r="G3" s="10"/>
      <c r="H3" s="10"/>
      <c r="I3" s="10"/>
    </row>
    <row r="4" spans="1:9" x14ac:dyDescent="0.25">
      <c r="A4" s="10"/>
      <c r="B4" s="10"/>
      <c r="C4" s="10"/>
      <c r="D4" s="10"/>
      <c r="E4" s="10"/>
      <c r="F4" s="10"/>
      <c r="G4" s="10"/>
      <c r="H4" s="10"/>
      <c r="I4" s="10"/>
    </row>
    <row r="5" spans="1:9" x14ac:dyDescent="0.25">
      <c r="A5" s="10"/>
      <c r="B5" s="10"/>
      <c r="C5" s="10"/>
      <c r="D5" s="10"/>
      <c r="E5" s="10"/>
      <c r="F5" s="10"/>
      <c r="G5" s="10"/>
      <c r="H5" s="10"/>
      <c r="I5" s="10"/>
    </row>
    <row r="7" spans="1:9" ht="6.75" customHeight="1" x14ac:dyDescent="0.25"/>
    <row r="8" spans="1:9" ht="27" customHeight="1" x14ac:dyDescent="0.35">
      <c r="A8" s="8" t="s">
        <v>34</v>
      </c>
      <c r="B8" s="8"/>
    </row>
    <row r="9" spans="1:9" ht="51" x14ac:dyDescent="0.25">
      <c r="A9" s="6" t="s">
        <v>32</v>
      </c>
      <c r="B9" s="5" t="s">
        <v>35</v>
      </c>
    </row>
    <row r="10" spans="1:9" x14ac:dyDescent="0.25">
      <c r="A10" s="3">
        <v>0</v>
      </c>
      <c r="B10" s="4"/>
    </row>
    <row r="11" spans="1:9" x14ac:dyDescent="0.25">
      <c r="A11" s="3">
        <v>1</v>
      </c>
      <c r="B11" s="4"/>
    </row>
    <row r="12" spans="1:9" x14ac:dyDescent="0.25">
      <c r="A12" s="3">
        <v>2</v>
      </c>
      <c r="B12" s="4"/>
    </row>
    <row r="13" spans="1:9" x14ac:dyDescent="0.25">
      <c r="A13" s="3">
        <v>3</v>
      </c>
      <c r="B13" s="4"/>
    </row>
    <row r="14" spans="1:9" x14ac:dyDescent="0.25">
      <c r="A14" s="3">
        <v>4</v>
      </c>
      <c r="B14" s="4"/>
    </row>
    <row r="15" spans="1:9" x14ac:dyDescent="0.25">
      <c r="A15" s="3">
        <v>5</v>
      </c>
      <c r="B15" s="4"/>
    </row>
    <row r="16" spans="1:9" x14ac:dyDescent="0.25">
      <c r="A16" s="3">
        <v>6</v>
      </c>
      <c r="B16" s="4"/>
    </row>
    <row r="17" spans="1:2" x14ac:dyDescent="0.25">
      <c r="A17" s="3">
        <v>7</v>
      </c>
      <c r="B17" s="4"/>
    </row>
    <row r="18" spans="1:2" x14ac:dyDescent="0.25">
      <c r="A18" s="7" t="s">
        <v>33</v>
      </c>
      <c r="B18" s="7"/>
    </row>
    <row r="34" spans="1:1" ht="39" customHeight="1" x14ac:dyDescent="0.25"/>
    <row r="36" spans="1:1" x14ac:dyDescent="0.25">
      <c r="A36" s="2" t="s">
        <v>18</v>
      </c>
    </row>
  </sheetData>
  <mergeCells count="1">
    <mergeCell ref="A1:I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feriados</vt:lpstr>
      <vt:lpstr>basedados</vt:lpstr>
      <vt:lpstr>resumo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2018-03-21T15:35:49Z</dcterms:modified>
</cp:coreProperties>
</file>