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unior&amp;Cris\Desktop\"/>
    </mc:Choice>
  </mc:AlternateContent>
  <bookViews>
    <workbookView showHorizontalScroll="0" showVerticalScroll="0" xWindow="0" yWindow="2400" windowWidth="7470" windowHeight="6825" firstSheet="1" activeTab="2" xr2:uid="{9B884EF6-D682-44D5-93F1-455B9026D6F3}"/>
  </bookViews>
  <sheets>
    <sheet name="Planilha1" sheetId="3" state="hidden" r:id="rId1"/>
    <sheet name="tbJogos" sheetId="1" r:id="rId2"/>
    <sheet name="sApoio" sheetId="2" r:id="rId3"/>
  </sheets>
  <functionGroups builtInGroupCount="19"/>
  <definedNames>
    <definedName name="Category">sApoio!$I$2:$I$1048576</definedName>
    <definedName name="Game">sApoio!$G$2:$G$1048576</definedName>
    <definedName name="Local">sApoio!$H$2:$H$1048576</definedName>
  </definedNames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2" l="1"/>
  <c r="I9" i="2"/>
  <c r="G15" i="2"/>
  <c r="H20" i="2"/>
  <c r="I25" i="2"/>
  <c r="G31" i="2"/>
  <c r="H36" i="2"/>
  <c r="I41" i="2"/>
  <c r="G47" i="2"/>
  <c r="H52" i="2"/>
  <c r="I57" i="2"/>
  <c r="G63" i="2"/>
  <c r="H68" i="2"/>
  <c r="I73" i="2"/>
  <c r="G79" i="2"/>
  <c r="H84" i="2"/>
  <c r="I89" i="2"/>
  <c r="G95" i="2"/>
  <c r="H100" i="2"/>
  <c r="I100" i="2"/>
  <c r="H14" i="2"/>
  <c r="G25" i="2"/>
  <c r="H34" i="2"/>
  <c r="I43" i="2"/>
  <c r="H54" i="2"/>
  <c r="G65" i="2"/>
  <c r="I75" i="2"/>
  <c r="H86" i="2"/>
  <c r="I95" i="2"/>
  <c r="H9" i="2"/>
  <c r="I18" i="2"/>
  <c r="G28" i="2"/>
  <c r="G6" i="2"/>
  <c r="H11" i="2"/>
  <c r="I16" i="2"/>
  <c r="G22" i="2"/>
  <c r="H27" i="2"/>
  <c r="I32" i="2"/>
  <c r="G38" i="2"/>
  <c r="H43" i="2"/>
  <c r="I48" i="2"/>
  <c r="G54" i="2"/>
  <c r="H59" i="2"/>
  <c r="I64" i="2"/>
  <c r="G70" i="2"/>
  <c r="H75" i="2"/>
  <c r="I80" i="2"/>
  <c r="G86" i="2"/>
  <c r="H91" i="2"/>
  <c r="H99" i="2"/>
  <c r="H10" i="2"/>
  <c r="G21" i="2"/>
  <c r="G33" i="2"/>
  <c r="G45" i="2"/>
  <c r="I55" i="2"/>
  <c r="H66" i="2"/>
  <c r="G77" i="2"/>
  <c r="I87" i="2"/>
  <c r="I99" i="2"/>
  <c r="I10" i="2"/>
  <c r="I22" i="2"/>
  <c r="H33" i="2"/>
  <c r="I54" i="2"/>
  <c r="G76" i="2"/>
  <c r="H97" i="2"/>
  <c r="I50" i="2"/>
  <c r="G72" i="2"/>
  <c r="H93" i="2"/>
  <c r="I46" i="2"/>
  <c r="G68" i="2"/>
  <c r="H89" i="2"/>
  <c r="I42" i="2"/>
  <c r="G64" i="2"/>
  <c r="H85" i="2"/>
  <c r="H2" i="2"/>
  <c r="G11" i="2"/>
  <c r="H16" i="2"/>
  <c r="I21" i="2"/>
  <c r="G27" i="2"/>
  <c r="H32" i="2"/>
  <c r="I37" i="2"/>
  <c r="G43" i="2"/>
  <c r="H48" i="2"/>
  <c r="I53" i="2"/>
  <c r="G59" i="2"/>
  <c r="H64" i="2"/>
  <c r="I69" i="2"/>
  <c r="G75" i="2"/>
  <c r="H80" i="2"/>
  <c r="I85" i="2"/>
  <c r="G91" i="2"/>
  <c r="H96" i="2"/>
  <c r="I101" i="2"/>
  <c r="G5" i="2"/>
  <c r="G17" i="2"/>
  <c r="H26" i="2"/>
  <c r="G37" i="2"/>
  <c r="H46" i="2"/>
  <c r="G57" i="2"/>
  <c r="I67" i="2"/>
  <c r="H78" i="2"/>
  <c r="G89" i="2"/>
  <c r="H98" i="2"/>
  <c r="G12" i="2"/>
  <c r="H21" i="2"/>
  <c r="I30" i="2"/>
  <c r="H7" i="2"/>
  <c r="I12" i="2"/>
  <c r="G18" i="2"/>
  <c r="H23" i="2"/>
  <c r="I28" i="2"/>
  <c r="G34" i="2"/>
  <c r="H39" i="2"/>
  <c r="I44" i="2"/>
  <c r="G50" i="2"/>
  <c r="H55" i="2"/>
  <c r="I60" i="2"/>
  <c r="G66" i="2"/>
  <c r="H71" i="2"/>
  <c r="I76" i="2"/>
  <c r="G82" i="2"/>
  <c r="H87" i="2"/>
  <c r="I92" i="2"/>
  <c r="I3" i="2"/>
  <c r="G13" i="2"/>
  <c r="I23" i="2"/>
  <c r="I35" i="2"/>
  <c r="I5" i="2"/>
  <c r="G7" i="2"/>
  <c r="H12" i="2"/>
  <c r="I17" i="2"/>
  <c r="G23" i="2"/>
  <c r="H28" i="2"/>
  <c r="I33" i="2"/>
  <c r="G39" i="2"/>
  <c r="H44" i="2"/>
  <c r="I49" i="2"/>
  <c r="G55" i="2"/>
  <c r="H60" i="2"/>
  <c r="I65" i="2"/>
  <c r="G71" i="2"/>
  <c r="H76" i="2"/>
  <c r="I81" i="2"/>
  <c r="G87" i="2"/>
  <c r="H92" i="2"/>
  <c r="I97" i="2"/>
  <c r="H95" i="2"/>
  <c r="G9" i="2"/>
  <c r="I19" i="2"/>
  <c r="G29" i="2"/>
  <c r="I39" i="2"/>
  <c r="G49" i="2"/>
  <c r="I59" i="2"/>
  <c r="H70" i="2"/>
  <c r="G81" i="2"/>
  <c r="H90" i="2"/>
  <c r="G101" i="2"/>
  <c r="H13" i="2"/>
  <c r="G24" i="2"/>
  <c r="H3" i="2"/>
  <c r="I8" i="2"/>
  <c r="G14" i="2"/>
  <c r="H19" i="2"/>
  <c r="I24" i="2"/>
  <c r="G30" i="2"/>
  <c r="H35" i="2"/>
  <c r="I40" i="2"/>
  <c r="G46" i="2"/>
  <c r="H51" i="2"/>
  <c r="I56" i="2"/>
  <c r="G62" i="2"/>
  <c r="H67" i="2"/>
  <c r="I72" i="2"/>
  <c r="G78" i="2"/>
  <c r="H83" i="2"/>
  <c r="I88" i="2"/>
  <c r="G94" i="2"/>
  <c r="H6" i="2"/>
  <c r="I15" i="2"/>
  <c r="I27" i="2"/>
  <c r="H38" i="2"/>
  <c r="H50" i="2"/>
  <c r="G61" i="2"/>
  <c r="I71" i="2"/>
  <c r="H82" i="2"/>
  <c r="H94" i="2"/>
  <c r="I6" i="2"/>
  <c r="H17" i="2"/>
  <c r="H29" i="2"/>
  <c r="G44" i="2"/>
  <c r="H65" i="2"/>
  <c r="I86" i="2"/>
  <c r="G40" i="2"/>
  <c r="H61" i="2"/>
  <c r="I82" i="2"/>
  <c r="G36" i="2"/>
  <c r="H57" i="2"/>
  <c r="I78" i="2"/>
  <c r="G100" i="2"/>
  <c r="H53" i="2"/>
  <c r="I74" i="2"/>
  <c r="G96" i="2"/>
  <c r="G2" i="2"/>
  <c r="G3" i="2"/>
  <c r="H8" i="2"/>
  <c r="I13" i="2"/>
  <c r="G19" i="2"/>
  <c r="H24" i="2"/>
  <c r="I29" i="2"/>
  <c r="G35" i="2"/>
  <c r="H40" i="2"/>
  <c r="I45" i="2"/>
  <c r="G51" i="2"/>
  <c r="H56" i="2"/>
  <c r="I61" i="2"/>
  <c r="G67" i="2"/>
  <c r="H72" i="2"/>
  <c r="I77" i="2"/>
  <c r="G83" i="2"/>
  <c r="H88" i="2"/>
  <c r="I93" i="2"/>
  <c r="G99" i="2"/>
  <c r="G98" i="2"/>
  <c r="I11" i="2"/>
  <c r="H22" i="2"/>
  <c r="I31" i="2"/>
  <c r="H42" i="2"/>
  <c r="I51" i="2"/>
  <c r="H62" i="2"/>
  <c r="G73" i="2"/>
  <c r="I83" i="2"/>
  <c r="G93" i="2"/>
  <c r="H5" i="2"/>
  <c r="G16" i="2"/>
  <c r="H25" i="2"/>
  <c r="I4" i="2"/>
  <c r="G10" i="2"/>
  <c r="H15" i="2"/>
  <c r="I20" i="2"/>
  <c r="G26" i="2"/>
  <c r="H31" i="2"/>
  <c r="I36" i="2"/>
  <c r="G58" i="2"/>
  <c r="H79" i="2"/>
  <c r="I7" i="2"/>
  <c r="I47" i="2"/>
  <c r="G69" i="2"/>
  <c r="I91" i="2"/>
  <c r="I14" i="2"/>
  <c r="I38" i="2"/>
  <c r="H81" i="2"/>
  <c r="G56" i="2"/>
  <c r="I98" i="2"/>
  <c r="H73" i="2"/>
  <c r="G48" i="2"/>
  <c r="I90" i="2"/>
  <c r="H47" i="2"/>
  <c r="G90" i="2"/>
  <c r="H58" i="2"/>
  <c r="G4" i="2"/>
  <c r="G60" i="2"/>
  <c r="H77" i="2"/>
  <c r="I94" i="2"/>
  <c r="I2" i="2"/>
  <c r="G74" i="2"/>
  <c r="G41" i="2"/>
  <c r="G85" i="2"/>
  <c r="G32" i="2"/>
  <c r="H45" i="2"/>
  <c r="I62" i="2"/>
  <c r="G80" i="2"/>
  <c r="G42" i="2"/>
  <c r="H63" i="2"/>
  <c r="I84" i="2"/>
  <c r="H18" i="2"/>
  <c r="G53" i="2"/>
  <c r="H74" i="2"/>
  <c r="G97" i="2"/>
  <c r="G20" i="2"/>
  <c r="H49" i="2"/>
  <c r="G92" i="2"/>
  <c r="I66" i="2"/>
  <c r="H41" i="2"/>
  <c r="G84" i="2"/>
  <c r="I58" i="2"/>
  <c r="H101" i="2"/>
  <c r="I68" i="2"/>
  <c r="H30" i="2"/>
  <c r="I79" i="2"/>
  <c r="I26" i="2"/>
  <c r="I34" i="2"/>
  <c r="G52" i="2"/>
  <c r="H69" i="2"/>
  <c r="I52" i="2"/>
  <c r="I96" i="2"/>
  <c r="I63" i="2"/>
  <c r="G8" i="2"/>
  <c r="I70" i="2"/>
  <c r="G88" i="2"/>
  <c r="H37" i="2"/>
  <c r="T5" i="2" l="1"/>
  <c r="U5" i="2" s="1"/>
  <c r="T2" i="2"/>
  <c r="U2" i="2" s="1"/>
  <c r="T4" i="2"/>
  <c r="U4" i="2" s="1"/>
  <c r="T3" i="2"/>
  <c r="U3" i="2" s="1"/>
  <c r="T6" i="2"/>
  <c r="U6" i="2" s="1"/>
  <c r="L3" i="2"/>
  <c r="M3" i="2" s="1"/>
  <c r="L6" i="2"/>
  <c r="M6" i="2" s="1"/>
  <c r="L2" i="2"/>
  <c r="M2" i="2" s="1"/>
  <c r="L4" i="2"/>
  <c r="M4" i="2" s="1"/>
  <c r="L5" i="2"/>
  <c r="M5" i="2" s="1"/>
  <c r="P29" i="2"/>
  <c r="Q29" i="2" s="1"/>
  <c r="P30" i="2"/>
  <c r="Q30" i="2" s="1"/>
  <c r="P6" i="2"/>
  <c r="Q6" i="2" s="1"/>
  <c r="P4" i="2"/>
  <c r="Q4" i="2" s="1"/>
  <c r="P21" i="2"/>
  <c r="Q21" i="2" s="1"/>
  <c r="P25" i="2"/>
  <c r="Q25" i="2" s="1"/>
  <c r="P26" i="2"/>
  <c r="Q26" i="2" s="1"/>
  <c r="P24" i="2"/>
  <c r="Q24" i="2" s="1"/>
  <c r="P18" i="2"/>
  <c r="Q18" i="2" s="1"/>
  <c r="P16" i="2"/>
  <c r="Q16" i="2" s="1"/>
  <c r="P14" i="2"/>
  <c r="Q14" i="2" s="1"/>
  <c r="P7" i="2"/>
  <c r="Q7" i="2" s="1"/>
  <c r="P9" i="2"/>
  <c r="Q9" i="2" s="1"/>
  <c r="P10" i="2"/>
  <c r="Q10" i="2" s="1"/>
  <c r="P27" i="2"/>
  <c r="Q27" i="2" s="1"/>
  <c r="P8" i="2"/>
  <c r="Q8" i="2" s="1"/>
  <c r="P28" i="2"/>
  <c r="Q28" i="2" s="1"/>
  <c r="P2" i="2"/>
  <c r="Q2" i="2" s="1"/>
  <c r="P12" i="2"/>
  <c r="Q12" i="2" s="1"/>
  <c r="P19" i="2"/>
  <c r="Q19" i="2" s="1"/>
  <c r="P23" i="2"/>
  <c r="Q23" i="2" s="1"/>
  <c r="P3" i="2"/>
  <c r="Q3" i="2" s="1"/>
  <c r="P17" i="2"/>
  <c r="Q17" i="2" s="1"/>
  <c r="P15" i="2"/>
  <c r="Q15" i="2" s="1"/>
  <c r="P11" i="2"/>
  <c r="Q11" i="2" s="1"/>
  <c r="P13" i="2"/>
  <c r="Q13" i="2" s="1"/>
  <c r="P5" i="2"/>
  <c r="Q5" i="2" s="1"/>
  <c r="P20" i="2"/>
  <c r="Q20" i="2" s="1"/>
  <c r="P22" i="2"/>
  <c r="Q22" i="2" s="1"/>
  <c r="Q31" i="2" l="1"/>
  <c r="K11" i="2" s="1"/>
  <c r="M7" i="2"/>
  <c r="K10" i="2" s="1"/>
  <c r="U7" i="2"/>
  <c r="K12" i="2" s="1"/>
</calcChain>
</file>

<file path=xl/sharedStrings.xml><?xml version="1.0" encoding="utf-8"?>
<sst xmlns="http://schemas.openxmlformats.org/spreadsheetml/2006/main" count="533" uniqueCount="58">
  <si>
    <t>LOCAL</t>
  </si>
  <si>
    <t>CATEGORIA</t>
  </si>
  <si>
    <t>CLÁSSICO</t>
  </si>
  <si>
    <t>DUELO</t>
  </si>
  <si>
    <t>ELIMINAÇÃO</t>
  </si>
  <si>
    <t>NOCAUTE</t>
  </si>
  <si>
    <t>INFECÇÃO</t>
  </si>
  <si>
    <t>NEVADA</t>
  </si>
  <si>
    <t>ISLÂNDIA</t>
  </si>
  <si>
    <t>TÓQUIO</t>
  </si>
  <si>
    <t>GUIANA FRANCESA</t>
  </si>
  <si>
    <t>LONDRES</t>
  </si>
  <si>
    <t>WESTMINTER BRIDGE</t>
  </si>
  <si>
    <t>THE LONDON EYE</t>
  </si>
  <si>
    <t>BARCELONA</t>
  </si>
  <si>
    <t>ALPES</t>
  </si>
  <si>
    <t>VENEZA</t>
  </si>
  <si>
    <t>RIVIERA FRANCESA</t>
  </si>
  <si>
    <t>GRANDE MURALHA</t>
  </si>
  <si>
    <t>A TOCA DO DRAGÃO</t>
  </si>
  <si>
    <t>O TEMPLO</t>
  </si>
  <si>
    <t>DUBAI</t>
  </si>
  <si>
    <t>A ROSA DO DESERTO</t>
  </si>
  <si>
    <t>NEVADA (INVERTIDO)</t>
  </si>
  <si>
    <t>ISLÂNDIA (INV)</t>
  </si>
  <si>
    <t>TÓQUIO (INVERTIDO)</t>
  </si>
  <si>
    <t>GUIANA F. (INV)</t>
  </si>
  <si>
    <t>BARCELONA (INVERTIDO)</t>
  </si>
  <si>
    <t>ALPES (INVERTIDO)</t>
  </si>
  <si>
    <t>VENEZA (INVERTIDO)</t>
  </si>
  <si>
    <t>RIVIERA FRANCESA (INVERTIDO)</t>
  </si>
  <si>
    <t>MURALHA (INV)</t>
  </si>
  <si>
    <t>ENSINAMENTO DE BUDA</t>
  </si>
  <si>
    <t>ESCALA DO MURO</t>
  </si>
  <si>
    <t>DUBAI (INVERTIDO)</t>
  </si>
  <si>
    <t>A MIRAGEM</t>
  </si>
  <si>
    <t>D</t>
  </si>
  <si>
    <t>S</t>
  </si>
  <si>
    <t>C</t>
  </si>
  <si>
    <t>B</t>
  </si>
  <si>
    <t>A</t>
  </si>
  <si>
    <t>DATA</t>
  </si>
  <si>
    <t>VENCEDOR (A)</t>
  </si>
  <si>
    <t>MISSINHA</t>
  </si>
  <si>
    <t>MISSINHO</t>
  </si>
  <si>
    <t>TIPO_JOGO</t>
  </si>
  <si>
    <t>Game</t>
  </si>
  <si>
    <t>Local</t>
  </si>
  <si>
    <t>Category</t>
  </si>
  <si>
    <t>Probabilidade Game</t>
  </si>
  <si>
    <t>Probabilidade Local</t>
  </si>
  <si>
    <t>Probabilidade Categoria</t>
  </si>
  <si>
    <t>LOCATION</t>
  </si>
  <si>
    <t>CATEGORY</t>
  </si>
  <si>
    <t>GAME</t>
  </si>
  <si>
    <t>JOGO</t>
  </si>
  <si>
    <t>QTD</t>
  </si>
  <si>
    <t>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</si>
</sst>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0">
    <xf numFmtId="0" fontId="0" fillId="0" borderId="0" xfId="0"/>
    <xf numFmtId="0" fontId="1" fillId="0" borderId="0" xfId="0" applyFont="1" applyAlignment="1">
      <alignment horizontal="center"/>
    </xf>
    <xf numFmtId="10" fontId="1" fillId="0" borderId="0" xfId="0" applyNumberFormat="1" applyFont="1" applyAlignment="1">
      <alignment horizontal="center" vertical="center"/>
    </xf>
    <xf numFmtId="14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</cellXfs>
  <cellStyles count="2">
    <cellStyle name="Normal" xfId="0" builtinId="0"/>
    <cellStyle name="Porcentagem" xfId="1" builtinId="5"/>
  </cellStyles>
  <dxfs count="12">
    <dxf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numFmt numFmtId="164" formatCode="m/d/yyyy"/>
      <alignment horizontal="center" vertical="bottom" textRotation="0" wrapText="0" indent="0" justifyLastLine="0" shrinkToFit="0" readingOrder="0"/>
    </dxf>
    <dxf>
      <font>
        <b val="0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479716</xdr:colOff>
      <xdr:row>1</xdr:row>
      <xdr:rowOff>140276</xdr:rowOff>
    </xdr:from>
    <xdr:to>
      <xdr:col>11</xdr:col>
      <xdr:colOff>266701</xdr:colOff>
      <xdr:row>3</xdr:row>
      <xdr:rowOff>149801</xdr:rowOff>
    </xdr:to>
    <xdr:sp macro="[0]!InsertNewGame" textlink="">
      <xdr:nvSpPr>
        <xdr:cNvPr id="6" name="Retângulo 5">
          <a:extLst>
            <a:ext uri="{FF2B5EF4-FFF2-40B4-BE49-F238E27FC236}">
              <a16:creationId xmlns:a16="http://schemas.microsoft.com/office/drawing/2014/main" id="{5EE59411-796A-4103-B8AD-C2E7FBB14C00}"/>
            </a:ext>
          </a:extLst>
        </xdr:cNvPr>
        <xdr:cNvSpPr/>
      </xdr:nvSpPr>
      <xdr:spPr>
        <a:xfrm>
          <a:off x="6728116" y="330776"/>
          <a:ext cx="2539710" cy="390525"/>
        </a:xfrm>
        <a:prstGeom prst="rect">
          <a:avLst/>
        </a:prstGeom>
        <a:solidFill>
          <a:srgbClr val="C00000"/>
        </a:solidFill>
        <a:ln w="57150">
          <a:solidFill>
            <a:sysClr val="windowText" lastClr="000000"/>
          </a:solidFill>
        </a:ln>
        <a:effectLst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>
              <a:latin typeface="Segoe UI" panose="020B0502040204020203" pitchFamily="34" charset="0"/>
              <a:cs typeface="Segoe UI" panose="020B0502040204020203" pitchFamily="34" charset="0"/>
            </a:rPr>
            <a:t>Nova</a:t>
          </a:r>
          <a:r>
            <a:rPr lang="pt-BR" sz="1500" b="1" baseline="0">
              <a:latin typeface="Segoe UI" panose="020B0502040204020203" pitchFamily="34" charset="0"/>
              <a:cs typeface="Segoe UI" panose="020B0502040204020203" pitchFamily="34" charset="0"/>
            </a:rPr>
            <a:t> Partida</a:t>
          </a:r>
          <a:endParaRPr lang="pt-BR" sz="15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115167</xdr:colOff>
      <xdr:row>0</xdr:row>
      <xdr:rowOff>0</xdr:rowOff>
    </xdr:from>
    <xdr:to>
      <xdr:col>8</xdr:col>
      <xdr:colOff>243321</xdr:colOff>
      <xdr:row>5</xdr:row>
      <xdr:rowOff>104775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ADAA01F0-7E6C-4024-AEC1-DD5AA9A5848F}"/>
            </a:ext>
          </a:extLst>
        </xdr:cNvPr>
        <xdr:cNvGrpSpPr/>
      </xdr:nvGrpSpPr>
      <xdr:grpSpPr>
        <a:xfrm>
          <a:off x="3772767" y="0"/>
          <a:ext cx="2718954" cy="1057275"/>
          <a:chOff x="800967" y="0"/>
          <a:chExt cx="2718954" cy="1057275"/>
        </a:xfrm>
      </xdr:grpSpPr>
      <xdr:pic>
        <xdr:nvPicPr>
          <xdr:cNvPr id="8" name="Imagem 7">
            <a:extLst>
              <a:ext uri="{FF2B5EF4-FFF2-40B4-BE49-F238E27FC236}">
                <a16:creationId xmlns:a16="http://schemas.microsoft.com/office/drawing/2014/main" id="{C8CCB5B6-BAFF-4091-89CD-F145DEAD38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0967" y="0"/>
            <a:ext cx="1858242" cy="1057275"/>
          </a:xfrm>
          <a:prstGeom prst="rect">
            <a:avLst/>
          </a:prstGeom>
        </xdr:spPr>
      </xdr:pic>
      <xdr:pic>
        <xdr:nvPicPr>
          <xdr:cNvPr id="10" name="Imagem 9">
            <a:extLst>
              <a:ext uri="{FF2B5EF4-FFF2-40B4-BE49-F238E27FC236}">
                <a16:creationId xmlns:a16="http://schemas.microsoft.com/office/drawing/2014/main" id="{E35FF382-4A1F-495F-842F-CBF4B08CE1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14625" y="0"/>
            <a:ext cx="805296" cy="801833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F2950E-E87F-47EF-9AEE-DEC5FDED0892}" name="tb_partidas" displayName="tb_partidas" ref="G7:K8" insertRow="1" headerRowDxfId="11" dataDxfId="10">
  <tableColumns count="5">
    <tableColumn id="1" xr3:uid="{F837988D-8E49-43F0-A8B4-538A182E1AF5}" name="DATA" dataDxfId="9" totalsRowDxfId="8"/>
    <tableColumn id="2" xr3:uid="{D00DD682-FF1F-472F-A850-B598CCB47873}" name="TIPO_JOGO" dataDxfId="7" totalsRowDxfId="6"/>
    <tableColumn id="3" xr3:uid="{55EFB1BD-0759-4451-A245-EB5D62890478}" name="LOCAL" dataDxfId="5" totalsRowDxfId="4"/>
    <tableColumn id="4" xr3:uid="{36E2C4C4-50D8-418D-9E1E-1B62D8EE1429}" name="CATEGORIA" dataDxfId="3" totalsRowDxfId="2"/>
    <tableColumn id="5" xr3:uid="{F5FC0379-0043-4358-B275-27F8C2D13068}" name="VENCEDOR (A)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83494-192D-49FA-BC59-D05BAF5CEFF3}">
  <sheetPr codeName="Planilha1"/>
  <dimension ref="A1:E108"/>
  <sheetViews>
    <sheetView workbookViewId="0"/>
  </sheetViews>
  <sheetFormatPr defaultRowHeight="15" x14ac:dyDescent="0.25"/>
  <sheetData>
    <row r="1" spans="1:5" x14ac:dyDescent="0.25">
      <c r="A1">
        <v>42982</v>
      </c>
      <c r="B1" t="s">
        <v>5</v>
      </c>
      <c r="C1" t="s">
        <v>22</v>
      </c>
      <c r="D1" t="s">
        <v>37</v>
      </c>
      <c r="E1" t="s">
        <v>44</v>
      </c>
    </row>
    <row r="2" spans="1:5" x14ac:dyDescent="0.25">
      <c r="A2">
        <v>42982</v>
      </c>
      <c r="B2" t="s">
        <v>6</v>
      </c>
      <c r="C2" t="s">
        <v>13</v>
      </c>
      <c r="D2" t="s">
        <v>37</v>
      </c>
      <c r="E2" t="s">
        <v>43</v>
      </c>
    </row>
    <row r="3" spans="1:5" x14ac:dyDescent="0.25">
      <c r="A3">
        <v>42982</v>
      </c>
      <c r="B3" t="s">
        <v>4</v>
      </c>
      <c r="C3" t="s">
        <v>33</v>
      </c>
      <c r="D3" t="s">
        <v>38</v>
      </c>
      <c r="E3" t="s">
        <v>44</v>
      </c>
    </row>
    <row r="4" spans="1:5" x14ac:dyDescent="0.25">
      <c r="A4">
        <v>42982</v>
      </c>
      <c r="B4" t="s">
        <v>3</v>
      </c>
      <c r="C4" t="s">
        <v>32</v>
      </c>
      <c r="D4" t="s">
        <v>38</v>
      </c>
      <c r="E4" t="s">
        <v>44</v>
      </c>
    </row>
    <row r="5" spans="1:5" x14ac:dyDescent="0.25">
      <c r="A5">
        <v>42982</v>
      </c>
      <c r="B5" t="s">
        <v>3</v>
      </c>
      <c r="C5" t="s">
        <v>35</v>
      </c>
      <c r="D5" t="s">
        <v>38</v>
      </c>
      <c r="E5" t="s">
        <v>44</v>
      </c>
    </row>
    <row r="6" spans="1:5" x14ac:dyDescent="0.25">
      <c r="A6">
        <v>42982</v>
      </c>
      <c r="B6" t="s">
        <v>3</v>
      </c>
      <c r="C6" t="s">
        <v>30</v>
      </c>
      <c r="D6" t="s">
        <v>36</v>
      </c>
      <c r="E6" t="s">
        <v>44</v>
      </c>
    </row>
    <row r="7" spans="1:5" x14ac:dyDescent="0.25">
      <c r="A7">
        <v>42982</v>
      </c>
      <c r="B7" t="s">
        <v>5</v>
      </c>
      <c r="C7" t="s">
        <v>7</v>
      </c>
      <c r="D7" t="s">
        <v>36</v>
      </c>
      <c r="E7" t="s">
        <v>44</v>
      </c>
    </row>
    <row r="8" spans="1:5" x14ac:dyDescent="0.25">
      <c r="A8">
        <v>42982</v>
      </c>
      <c r="B8" t="s">
        <v>2</v>
      </c>
      <c r="C8" t="s">
        <v>13</v>
      </c>
      <c r="D8" t="s">
        <v>36</v>
      </c>
      <c r="E8" t="s">
        <v>43</v>
      </c>
    </row>
    <row r="9" spans="1:5" x14ac:dyDescent="0.25">
      <c r="A9">
        <v>42982</v>
      </c>
      <c r="B9" t="s">
        <v>3</v>
      </c>
      <c r="C9" t="s">
        <v>12</v>
      </c>
      <c r="D9" t="s">
        <v>39</v>
      </c>
      <c r="E9" t="s">
        <v>44</v>
      </c>
    </row>
    <row r="10" spans="1:5" x14ac:dyDescent="0.25">
      <c r="A10">
        <v>42983</v>
      </c>
      <c r="B10" t="s">
        <v>6</v>
      </c>
      <c r="C10" t="s">
        <v>12</v>
      </c>
      <c r="D10" t="s">
        <v>39</v>
      </c>
      <c r="E10" t="s">
        <v>44</v>
      </c>
    </row>
    <row r="11" spans="1:5" x14ac:dyDescent="0.25">
      <c r="A11">
        <v>42983</v>
      </c>
      <c r="B11" t="s">
        <v>3</v>
      </c>
      <c r="C11" t="s">
        <v>35</v>
      </c>
      <c r="D11" t="s">
        <v>37</v>
      </c>
      <c r="E11" t="s">
        <v>43</v>
      </c>
    </row>
    <row r="12" spans="1:5" x14ac:dyDescent="0.25">
      <c r="A12">
        <v>42983</v>
      </c>
      <c r="B12" t="s">
        <v>6</v>
      </c>
      <c r="C12" t="s">
        <v>29</v>
      </c>
      <c r="D12" t="s">
        <v>40</v>
      </c>
      <c r="E12" t="s">
        <v>44</v>
      </c>
    </row>
    <row r="13" spans="1:5" x14ac:dyDescent="0.25">
      <c r="A13">
        <v>42983</v>
      </c>
      <c r="B13" t="s">
        <v>3</v>
      </c>
      <c r="C13" t="s">
        <v>13</v>
      </c>
      <c r="D13" t="s">
        <v>36</v>
      </c>
      <c r="E13" t="s">
        <v>43</v>
      </c>
    </row>
    <row r="14" spans="1:5" x14ac:dyDescent="0.25">
      <c r="A14">
        <v>42983</v>
      </c>
      <c r="B14" t="s">
        <v>5</v>
      </c>
      <c r="C14" t="s">
        <v>10</v>
      </c>
      <c r="D14" t="s">
        <v>40</v>
      </c>
      <c r="E14" t="s">
        <v>43</v>
      </c>
    </row>
    <row r="15" spans="1:5" x14ac:dyDescent="0.25">
      <c r="A15">
        <v>42984</v>
      </c>
      <c r="B15" t="s">
        <v>3</v>
      </c>
      <c r="C15" t="s">
        <v>16</v>
      </c>
      <c r="D15" t="s">
        <v>38</v>
      </c>
      <c r="E15" t="s">
        <v>43</v>
      </c>
    </row>
    <row r="16" spans="1:5" x14ac:dyDescent="0.25">
      <c r="A16">
        <v>42984</v>
      </c>
      <c r="B16" t="s">
        <v>2</v>
      </c>
      <c r="C16" t="s">
        <v>17</v>
      </c>
      <c r="D16" t="s">
        <v>40</v>
      </c>
      <c r="E16" t="s">
        <v>44</v>
      </c>
    </row>
    <row r="17" spans="1:5" x14ac:dyDescent="0.25">
      <c r="A17">
        <v>42984</v>
      </c>
      <c r="B17" t="s">
        <v>4</v>
      </c>
      <c r="C17" t="s">
        <v>27</v>
      </c>
      <c r="D17" t="s">
        <v>39</v>
      </c>
      <c r="E17" t="s">
        <v>43</v>
      </c>
    </row>
    <row r="18" spans="1:5" x14ac:dyDescent="0.25">
      <c r="A18">
        <v>42984</v>
      </c>
      <c r="B18" t="s">
        <v>4</v>
      </c>
      <c r="C18" t="s">
        <v>28</v>
      </c>
      <c r="D18" t="s">
        <v>36</v>
      </c>
      <c r="E18" t="s">
        <v>43</v>
      </c>
    </row>
    <row r="19" spans="1:5" x14ac:dyDescent="0.25">
      <c r="A19">
        <v>42984</v>
      </c>
      <c r="B19" t="s">
        <v>2</v>
      </c>
      <c r="C19" t="s">
        <v>10</v>
      </c>
      <c r="D19" t="s">
        <v>40</v>
      </c>
      <c r="E19" t="s">
        <v>43</v>
      </c>
    </row>
    <row r="20" spans="1:5" x14ac:dyDescent="0.25">
      <c r="A20">
        <v>42984</v>
      </c>
      <c r="B20" t="s">
        <v>5</v>
      </c>
      <c r="C20" t="s">
        <v>14</v>
      </c>
      <c r="D20" t="s">
        <v>40</v>
      </c>
      <c r="E20" t="s">
        <v>43</v>
      </c>
    </row>
    <row r="21" spans="1:5" x14ac:dyDescent="0.25">
      <c r="A21">
        <v>42984</v>
      </c>
      <c r="B21" t="s">
        <v>5</v>
      </c>
      <c r="C21" t="s">
        <v>7</v>
      </c>
      <c r="D21" t="s">
        <v>40</v>
      </c>
      <c r="E21" t="s">
        <v>43</v>
      </c>
    </row>
    <row r="22" spans="1:5" x14ac:dyDescent="0.25">
      <c r="A22">
        <v>42984</v>
      </c>
      <c r="B22" t="s">
        <v>5</v>
      </c>
      <c r="C22" t="s">
        <v>9</v>
      </c>
      <c r="D22" t="s">
        <v>38</v>
      </c>
      <c r="E22" t="s">
        <v>44</v>
      </c>
    </row>
    <row r="23" spans="1:5" x14ac:dyDescent="0.25">
      <c r="A23">
        <v>42984</v>
      </c>
      <c r="B23" t="s">
        <v>3</v>
      </c>
      <c r="C23" t="s">
        <v>9</v>
      </c>
      <c r="D23" t="s">
        <v>38</v>
      </c>
      <c r="E23" t="s">
        <v>44</v>
      </c>
    </row>
    <row r="24" spans="1:5" x14ac:dyDescent="0.25">
      <c r="A24">
        <v>42984</v>
      </c>
      <c r="B24" t="s">
        <v>2</v>
      </c>
      <c r="C24" t="s">
        <v>15</v>
      </c>
      <c r="D24" t="s">
        <v>36</v>
      </c>
      <c r="E24" t="s">
        <v>44</v>
      </c>
    </row>
    <row r="25" spans="1:5" x14ac:dyDescent="0.25">
      <c r="A25">
        <v>42984</v>
      </c>
      <c r="B25" t="s">
        <v>2</v>
      </c>
      <c r="C25" t="s">
        <v>34</v>
      </c>
      <c r="D25" t="s">
        <v>36</v>
      </c>
      <c r="E25" t="s">
        <v>44</v>
      </c>
    </row>
    <row r="26" spans="1:5" x14ac:dyDescent="0.25">
      <c r="A26">
        <v>42984</v>
      </c>
      <c r="B26" t="s">
        <v>4</v>
      </c>
      <c r="C26" t="s">
        <v>16</v>
      </c>
      <c r="D26" t="s">
        <v>38</v>
      </c>
      <c r="E26" t="s">
        <v>44</v>
      </c>
    </row>
    <row r="27" spans="1:5" x14ac:dyDescent="0.25">
      <c r="A27">
        <v>42984</v>
      </c>
      <c r="B27" t="s">
        <v>3</v>
      </c>
      <c r="C27" t="s">
        <v>14</v>
      </c>
      <c r="D27" t="s">
        <v>36</v>
      </c>
      <c r="E27" t="s">
        <v>44</v>
      </c>
    </row>
    <row r="28" spans="1:5" x14ac:dyDescent="0.25">
      <c r="A28">
        <v>42985</v>
      </c>
      <c r="B28" t="s">
        <v>3</v>
      </c>
      <c r="C28" t="s">
        <v>14</v>
      </c>
      <c r="D28" t="s">
        <v>39</v>
      </c>
      <c r="E28" t="s">
        <v>44</v>
      </c>
    </row>
    <row r="29" spans="1:5" x14ac:dyDescent="0.25">
      <c r="A29">
        <v>42985</v>
      </c>
      <c r="B29" t="s">
        <v>2</v>
      </c>
      <c r="C29" t="s">
        <v>23</v>
      </c>
      <c r="D29" t="s">
        <v>37</v>
      </c>
      <c r="E29" t="s">
        <v>43</v>
      </c>
    </row>
    <row r="30" spans="1:5" x14ac:dyDescent="0.25">
      <c r="A30">
        <v>42985</v>
      </c>
      <c r="B30" t="s">
        <v>3</v>
      </c>
      <c r="C30" t="s">
        <v>35</v>
      </c>
      <c r="D30" t="s">
        <v>39</v>
      </c>
      <c r="E30" t="s">
        <v>43</v>
      </c>
    </row>
    <row r="31" spans="1:5" x14ac:dyDescent="0.25">
      <c r="A31">
        <v>42985</v>
      </c>
      <c r="B31" t="s">
        <v>2</v>
      </c>
      <c r="C31" t="s">
        <v>8</v>
      </c>
      <c r="D31" t="s">
        <v>40</v>
      </c>
      <c r="E31" t="s">
        <v>43</v>
      </c>
    </row>
    <row r="32" spans="1:5" x14ac:dyDescent="0.25">
      <c r="A32">
        <v>42985</v>
      </c>
      <c r="B32" t="s">
        <v>2</v>
      </c>
      <c r="C32" t="s">
        <v>9</v>
      </c>
      <c r="D32" t="s">
        <v>40</v>
      </c>
      <c r="E32" t="s">
        <v>44</v>
      </c>
    </row>
    <row r="33" spans="1:5" x14ac:dyDescent="0.25">
      <c r="A33">
        <v>42985</v>
      </c>
      <c r="B33" t="s">
        <v>3</v>
      </c>
      <c r="C33" t="s">
        <v>7</v>
      </c>
      <c r="D33" t="s">
        <v>39</v>
      </c>
      <c r="E33" t="s">
        <v>44</v>
      </c>
    </row>
    <row r="34" spans="1:5" x14ac:dyDescent="0.25">
      <c r="A34">
        <v>42985</v>
      </c>
      <c r="B34" t="s">
        <v>2</v>
      </c>
      <c r="C34" t="s">
        <v>28</v>
      </c>
      <c r="D34" t="s">
        <v>40</v>
      </c>
      <c r="E34" t="s">
        <v>43</v>
      </c>
    </row>
    <row r="35" spans="1:5" x14ac:dyDescent="0.25">
      <c r="A35">
        <v>42985</v>
      </c>
      <c r="B35" t="s">
        <v>3</v>
      </c>
      <c r="C35" t="s">
        <v>33</v>
      </c>
      <c r="D35" t="s">
        <v>37</v>
      </c>
      <c r="E35" t="s">
        <v>44</v>
      </c>
    </row>
    <row r="36" spans="1:5" x14ac:dyDescent="0.25">
      <c r="A36">
        <v>42985</v>
      </c>
      <c r="B36" t="s">
        <v>3</v>
      </c>
      <c r="C36" t="s">
        <v>11</v>
      </c>
      <c r="D36" t="s">
        <v>36</v>
      </c>
      <c r="E36" t="s">
        <v>44</v>
      </c>
    </row>
    <row r="37" spans="1:5" x14ac:dyDescent="0.25">
      <c r="A37">
        <v>42985</v>
      </c>
      <c r="B37" t="s">
        <v>3</v>
      </c>
      <c r="C37" t="s">
        <v>28</v>
      </c>
      <c r="D37" t="s">
        <v>36</v>
      </c>
      <c r="E37" t="s">
        <v>43</v>
      </c>
    </row>
    <row r="38" spans="1:5" x14ac:dyDescent="0.25">
      <c r="A38">
        <v>42985</v>
      </c>
      <c r="B38" t="s">
        <v>6</v>
      </c>
      <c r="C38" t="s">
        <v>29</v>
      </c>
      <c r="D38" t="s">
        <v>38</v>
      </c>
      <c r="E38" t="s">
        <v>44</v>
      </c>
    </row>
    <row r="39" spans="1:5" x14ac:dyDescent="0.25">
      <c r="A39">
        <v>42985</v>
      </c>
      <c r="B39" t="s">
        <v>4</v>
      </c>
      <c r="C39" t="s">
        <v>33</v>
      </c>
      <c r="D39" t="s">
        <v>36</v>
      </c>
      <c r="E39" t="s">
        <v>44</v>
      </c>
    </row>
    <row r="40" spans="1:5" x14ac:dyDescent="0.25">
      <c r="A40">
        <v>42985</v>
      </c>
      <c r="B40" t="s">
        <v>6</v>
      </c>
      <c r="C40" t="s">
        <v>19</v>
      </c>
      <c r="D40" t="s">
        <v>38</v>
      </c>
      <c r="E40" t="s">
        <v>43</v>
      </c>
    </row>
    <row r="41" spans="1:5" x14ac:dyDescent="0.25">
      <c r="A41">
        <v>42985</v>
      </c>
      <c r="B41" t="s">
        <v>2</v>
      </c>
      <c r="C41" t="s">
        <v>34</v>
      </c>
      <c r="D41" t="s">
        <v>40</v>
      </c>
      <c r="E41" t="s">
        <v>44</v>
      </c>
    </row>
    <row r="42" spans="1:5" x14ac:dyDescent="0.25">
      <c r="A42">
        <v>42985</v>
      </c>
      <c r="B42" t="s">
        <v>2</v>
      </c>
      <c r="C42" t="s">
        <v>10</v>
      </c>
      <c r="D42" t="s">
        <v>39</v>
      </c>
      <c r="E42" t="s">
        <v>43</v>
      </c>
    </row>
    <row r="43" spans="1:5" x14ac:dyDescent="0.25">
      <c r="A43">
        <v>42985</v>
      </c>
      <c r="B43" t="s">
        <v>2</v>
      </c>
      <c r="C43" t="s">
        <v>28</v>
      </c>
      <c r="D43" t="s">
        <v>36</v>
      </c>
      <c r="E43" t="s">
        <v>44</v>
      </c>
    </row>
    <row r="44" spans="1:5" x14ac:dyDescent="0.25">
      <c r="A44">
        <v>42985</v>
      </c>
      <c r="B44" t="s">
        <v>5</v>
      </c>
      <c r="C44" t="s">
        <v>33</v>
      </c>
      <c r="D44" t="s">
        <v>40</v>
      </c>
      <c r="E44" t="s">
        <v>44</v>
      </c>
    </row>
    <row r="45" spans="1:5" x14ac:dyDescent="0.25">
      <c r="A45">
        <v>42985</v>
      </c>
      <c r="B45" t="s">
        <v>6</v>
      </c>
      <c r="C45" t="s">
        <v>33</v>
      </c>
      <c r="D45" t="s">
        <v>37</v>
      </c>
      <c r="E45" t="s">
        <v>44</v>
      </c>
    </row>
    <row r="46" spans="1:5" x14ac:dyDescent="0.25">
      <c r="A46">
        <v>42985</v>
      </c>
      <c r="B46" t="s">
        <v>4</v>
      </c>
      <c r="C46" t="s">
        <v>29</v>
      </c>
      <c r="D46" t="s">
        <v>40</v>
      </c>
      <c r="E46" t="s">
        <v>43</v>
      </c>
    </row>
    <row r="47" spans="1:5" x14ac:dyDescent="0.25">
      <c r="A47">
        <v>42985</v>
      </c>
      <c r="B47" t="s">
        <v>5</v>
      </c>
      <c r="C47" t="s">
        <v>8</v>
      </c>
      <c r="D47" t="s">
        <v>38</v>
      </c>
      <c r="E47" t="s">
        <v>43</v>
      </c>
    </row>
    <row r="48" spans="1:5" x14ac:dyDescent="0.25">
      <c r="A48">
        <v>42985</v>
      </c>
      <c r="B48" t="s">
        <v>3</v>
      </c>
      <c r="C48" t="s">
        <v>33</v>
      </c>
      <c r="D48" t="s">
        <v>40</v>
      </c>
      <c r="E48" t="s">
        <v>44</v>
      </c>
    </row>
    <row r="49" spans="1:5" x14ac:dyDescent="0.25">
      <c r="A49">
        <v>42985</v>
      </c>
      <c r="B49" t="s">
        <v>2</v>
      </c>
      <c r="C49" t="s">
        <v>25</v>
      </c>
      <c r="D49" t="s">
        <v>37</v>
      </c>
      <c r="E49" t="s">
        <v>44</v>
      </c>
    </row>
    <row r="50" spans="1:5" x14ac:dyDescent="0.25">
      <c r="A50">
        <v>42985</v>
      </c>
      <c r="B50" t="s">
        <v>6</v>
      </c>
      <c r="C50" t="s">
        <v>29</v>
      </c>
      <c r="D50" t="s">
        <v>39</v>
      </c>
      <c r="E50" t="s">
        <v>43</v>
      </c>
    </row>
    <row r="51" spans="1:5" x14ac:dyDescent="0.25">
      <c r="A51">
        <v>42985</v>
      </c>
      <c r="B51" t="s">
        <v>2</v>
      </c>
      <c r="C51" t="s">
        <v>10</v>
      </c>
      <c r="D51" t="s">
        <v>36</v>
      </c>
      <c r="E51" t="s">
        <v>43</v>
      </c>
    </row>
    <row r="52" spans="1:5" x14ac:dyDescent="0.25">
      <c r="A52">
        <v>42985</v>
      </c>
      <c r="B52" t="s">
        <v>5</v>
      </c>
      <c r="C52" t="s">
        <v>7</v>
      </c>
      <c r="D52" t="s">
        <v>40</v>
      </c>
      <c r="E52" t="s">
        <v>44</v>
      </c>
    </row>
    <row r="53" spans="1:5" x14ac:dyDescent="0.25">
      <c r="A53">
        <v>42985</v>
      </c>
      <c r="B53" t="s">
        <v>5</v>
      </c>
      <c r="C53" t="s">
        <v>29</v>
      </c>
      <c r="D53" t="s">
        <v>38</v>
      </c>
      <c r="E53" t="s">
        <v>44</v>
      </c>
    </row>
    <row r="54" spans="1:5" x14ac:dyDescent="0.25">
      <c r="A54">
        <v>42986</v>
      </c>
      <c r="B54" t="s">
        <v>6</v>
      </c>
      <c r="C54" t="s">
        <v>13</v>
      </c>
      <c r="D54" t="s">
        <v>36</v>
      </c>
      <c r="E54" t="s">
        <v>44</v>
      </c>
    </row>
    <row r="55" spans="1:5" x14ac:dyDescent="0.25">
      <c r="A55">
        <v>42986</v>
      </c>
      <c r="B55" t="s">
        <v>3</v>
      </c>
      <c r="C55" t="s">
        <v>16</v>
      </c>
      <c r="D55" t="s">
        <v>37</v>
      </c>
      <c r="E55" t="s">
        <v>43</v>
      </c>
    </row>
    <row r="56" spans="1:5" x14ac:dyDescent="0.25">
      <c r="A56">
        <v>42986</v>
      </c>
      <c r="B56" t="s">
        <v>4</v>
      </c>
      <c r="C56" t="s">
        <v>31</v>
      </c>
      <c r="D56" t="s">
        <v>39</v>
      </c>
      <c r="E56" t="s">
        <v>44</v>
      </c>
    </row>
    <row r="57" spans="1:5" x14ac:dyDescent="0.25">
      <c r="A57">
        <v>42986</v>
      </c>
      <c r="B57" t="s">
        <v>6</v>
      </c>
      <c r="C57" t="s">
        <v>23</v>
      </c>
      <c r="D57" t="s">
        <v>36</v>
      </c>
      <c r="E57" t="s">
        <v>43</v>
      </c>
    </row>
    <row r="58" spans="1:5" x14ac:dyDescent="0.25">
      <c r="A58">
        <v>42986</v>
      </c>
      <c r="B58" t="s">
        <v>5</v>
      </c>
      <c r="C58" t="s">
        <v>17</v>
      </c>
      <c r="D58" t="s">
        <v>38</v>
      </c>
      <c r="E58" t="s">
        <v>43</v>
      </c>
    </row>
    <row r="59" spans="1:5" x14ac:dyDescent="0.25">
      <c r="A59">
        <v>42986</v>
      </c>
      <c r="B59" t="s">
        <v>5</v>
      </c>
      <c r="C59" t="s">
        <v>11</v>
      </c>
      <c r="D59" t="s">
        <v>40</v>
      </c>
      <c r="E59" t="s">
        <v>44</v>
      </c>
    </row>
    <row r="60" spans="1:5" x14ac:dyDescent="0.25">
      <c r="A60">
        <v>42986</v>
      </c>
      <c r="B60" t="s">
        <v>5</v>
      </c>
      <c r="C60" t="s">
        <v>26</v>
      </c>
      <c r="D60" t="s">
        <v>36</v>
      </c>
      <c r="E60" t="s">
        <v>43</v>
      </c>
    </row>
    <row r="61" spans="1:5" x14ac:dyDescent="0.25">
      <c r="A61">
        <v>42986</v>
      </c>
      <c r="B61" t="s">
        <v>5</v>
      </c>
      <c r="C61" t="s">
        <v>32</v>
      </c>
      <c r="D61" t="s">
        <v>37</v>
      </c>
      <c r="E61" t="s">
        <v>43</v>
      </c>
    </row>
    <row r="62" spans="1:5" x14ac:dyDescent="0.25">
      <c r="A62">
        <v>42986</v>
      </c>
      <c r="B62" t="s">
        <v>2</v>
      </c>
      <c r="C62" t="s">
        <v>27</v>
      </c>
      <c r="D62" t="s">
        <v>40</v>
      </c>
      <c r="E62" t="s">
        <v>43</v>
      </c>
    </row>
    <row r="63" spans="1:5" x14ac:dyDescent="0.25">
      <c r="A63">
        <v>42986</v>
      </c>
      <c r="B63" t="s">
        <v>5</v>
      </c>
      <c r="C63" t="s">
        <v>9</v>
      </c>
      <c r="D63" t="s">
        <v>38</v>
      </c>
      <c r="E63" t="s">
        <v>43</v>
      </c>
    </row>
    <row r="64" spans="1:5" x14ac:dyDescent="0.25">
      <c r="A64">
        <v>42986</v>
      </c>
      <c r="B64" t="s">
        <v>4</v>
      </c>
      <c r="C64" t="s">
        <v>27</v>
      </c>
      <c r="D64" t="s">
        <v>36</v>
      </c>
      <c r="E64" t="s">
        <v>44</v>
      </c>
    </row>
    <row r="65" spans="1:5" x14ac:dyDescent="0.25">
      <c r="A65">
        <v>42987</v>
      </c>
      <c r="B65" t="s">
        <v>2</v>
      </c>
      <c r="C65" t="s">
        <v>31</v>
      </c>
      <c r="D65" t="s">
        <v>37</v>
      </c>
      <c r="E65" t="s">
        <v>44</v>
      </c>
    </row>
    <row r="66" spans="1:5" x14ac:dyDescent="0.25">
      <c r="A66">
        <v>42987</v>
      </c>
      <c r="B66" t="s">
        <v>2</v>
      </c>
      <c r="C66" t="s">
        <v>9</v>
      </c>
      <c r="D66" t="s">
        <v>39</v>
      </c>
      <c r="E66" t="s">
        <v>43</v>
      </c>
    </row>
    <row r="67" spans="1:5" x14ac:dyDescent="0.25">
      <c r="A67">
        <v>42987</v>
      </c>
      <c r="B67" t="s">
        <v>3</v>
      </c>
      <c r="C67" t="s">
        <v>14</v>
      </c>
      <c r="D67" t="s">
        <v>37</v>
      </c>
      <c r="E67" t="s">
        <v>43</v>
      </c>
    </row>
    <row r="68" spans="1:5" x14ac:dyDescent="0.25">
      <c r="A68">
        <v>42987</v>
      </c>
      <c r="B68" t="s">
        <v>6</v>
      </c>
      <c r="C68" t="s">
        <v>28</v>
      </c>
      <c r="D68" t="s">
        <v>36</v>
      </c>
      <c r="E68" t="s">
        <v>44</v>
      </c>
    </row>
    <row r="69" spans="1:5" x14ac:dyDescent="0.25">
      <c r="A69">
        <v>42987</v>
      </c>
      <c r="B69" t="s">
        <v>6</v>
      </c>
      <c r="C69" t="s">
        <v>21</v>
      </c>
      <c r="D69" t="s">
        <v>36</v>
      </c>
      <c r="E69" t="s">
        <v>43</v>
      </c>
    </row>
    <row r="70" spans="1:5" x14ac:dyDescent="0.25">
      <c r="A70">
        <v>42987</v>
      </c>
      <c r="B70" t="s">
        <v>5</v>
      </c>
      <c r="C70" t="s">
        <v>9</v>
      </c>
      <c r="D70" t="s">
        <v>38</v>
      </c>
      <c r="E70" t="s">
        <v>44</v>
      </c>
    </row>
    <row r="71" spans="1:5" x14ac:dyDescent="0.25">
      <c r="A71">
        <v>42987</v>
      </c>
      <c r="B71" t="s">
        <v>6</v>
      </c>
      <c r="C71" t="s">
        <v>15</v>
      </c>
      <c r="D71" t="s">
        <v>39</v>
      </c>
      <c r="E71" t="s">
        <v>43</v>
      </c>
    </row>
    <row r="72" spans="1:5" x14ac:dyDescent="0.25">
      <c r="A72">
        <v>42987</v>
      </c>
      <c r="B72" t="s">
        <v>5</v>
      </c>
      <c r="C72" t="s">
        <v>25</v>
      </c>
      <c r="D72" t="s">
        <v>37</v>
      </c>
      <c r="E72" t="s">
        <v>43</v>
      </c>
    </row>
    <row r="73" spans="1:5" x14ac:dyDescent="0.25">
      <c r="A73">
        <v>42987</v>
      </c>
      <c r="B73" t="s">
        <v>3</v>
      </c>
      <c r="C73" t="s">
        <v>11</v>
      </c>
      <c r="D73" t="s">
        <v>37</v>
      </c>
      <c r="E73" t="s">
        <v>44</v>
      </c>
    </row>
    <row r="74" spans="1:5" x14ac:dyDescent="0.25">
      <c r="A74">
        <v>42987</v>
      </c>
      <c r="B74" t="s">
        <v>6</v>
      </c>
      <c r="C74" t="s">
        <v>14</v>
      </c>
      <c r="D74" t="s">
        <v>37</v>
      </c>
      <c r="E74" t="s">
        <v>44</v>
      </c>
    </row>
    <row r="75" spans="1:5" x14ac:dyDescent="0.25">
      <c r="A75">
        <v>42987</v>
      </c>
      <c r="B75" t="s">
        <v>4</v>
      </c>
      <c r="C75" t="s">
        <v>33</v>
      </c>
      <c r="D75" t="s">
        <v>39</v>
      </c>
      <c r="E75" t="s">
        <v>43</v>
      </c>
    </row>
    <row r="76" spans="1:5" x14ac:dyDescent="0.25">
      <c r="A76">
        <v>42987</v>
      </c>
      <c r="B76" t="s">
        <v>6</v>
      </c>
      <c r="C76" t="s">
        <v>16</v>
      </c>
      <c r="D76" t="s">
        <v>39</v>
      </c>
      <c r="E76" t="s">
        <v>44</v>
      </c>
    </row>
    <row r="77" spans="1:5" x14ac:dyDescent="0.25">
      <c r="A77">
        <v>42987</v>
      </c>
      <c r="B77" t="s">
        <v>4</v>
      </c>
      <c r="C77" t="s">
        <v>30</v>
      </c>
      <c r="D77" t="s">
        <v>38</v>
      </c>
      <c r="E77" t="s">
        <v>44</v>
      </c>
    </row>
    <row r="78" spans="1:5" x14ac:dyDescent="0.25">
      <c r="A78">
        <v>42987</v>
      </c>
      <c r="B78" t="s">
        <v>2</v>
      </c>
      <c r="C78" t="s">
        <v>29</v>
      </c>
      <c r="D78" t="s">
        <v>40</v>
      </c>
      <c r="E78" t="s">
        <v>43</v>
      </c>
    </row>
    <row r="79" spans="1:5" x14ac:dyDescent="0.25">
      <c r="A79">
        <v>43054</v>
      </c>
      <c r="B79" t="s">
        <v>5</v>
      </c>
      <c r="C79" t="s">
        <v>25</v>
      </c>
      <c r="D79" t="s">
        <v>36</v>
      </c>
      <c r="E79" t="s">
        <v>44</v>
      </c>
    </row>
    <row r="80" spans="1:5" x14ac:dyDescent="0.25">
      <c r="A80">
        <v>43054</v>
      </c>
      <c r="B80" t="s">
        <v>2</v>
      </c>
      <c r="C80" t="s">
        <v>18</v>
      </c>
      <c r="D80" t="s">
        <v>37</v>
      </c>
      <c r="E80" t="s">
        <v>43</v>
      </c>
    </row>
    <row r="81" spans="1:5" x14ac:dyDescent="0.25">
      <c r="A81">
        <v>43057</v>
      </c>
      <c r="B81" t="s">
        <v>6</v>
      </c>
      <c r="C81" t="s">
        <v>7</v>
      </c>
      <c r="D81" t="s">
        <v>37</v>
      </c>
      <c r="E81" t="s">
        <v>44</v>
      </c>
    </row>
    <row r="82" spans="1:5" x14ac:dyDescent="0.25">
      <c r="A82">
        <v>43057</v>
      </c>
      <c r="B82" t="s">
        <v>3</v>
      </c>
      <c r="C82" t="s">
        <v>35</v>
      </c>
      <c r="D82" t="s">
        <v>39</v>
      </c>
      <c r="E82" t="s">
        <v>44</v>
      </c>
    </row>
    <row r="83" spans="1:5" x14ac:dyDescent="0.25">
      <c r="A83">
        <v>43057</v>
      </c>
      <c r="B83" t="s">
        <v>3</v>
      </c>
      <c r="C83" t="s">
        <v>28</v>
      </c>
      <c r="D83" t="s">
        <v>38</v>
      </c>
      <c r="E83" t="s">
        <v>43</v>
      </c>
    </row>
    <row r="84" spans="1:5" x14ac:dyDescent="0.25">
      <c r="A84">
        <v>43058</v>
      </c>
      <c r="B84" t="s">
        <v>3</v>
      </c>
      <c r="C84" t="s">
        <v>28</v>
      </c>
      <c r="D84" t="s">
        <v>37</v>
      </c>
      <c r="E84" t="s">
        <v>43</v>
      </c>
    </row>
    <row r="85" spans="1:5" x14ac:dyDescent="0.25">
      <c r="A85">
        <v>43058</v>
      </c>
      <c r="B85" t="s">
        <v>4</v>
      </c>
      <c r="C85" t="s">
        <v>27</v>
      </c>
      <c r="D85" t="s">
        <v>38</v>
      </c>
      <c r="E85" t="s">
        <v>43</v>
      </c>
    </row>
    <row r="86" spans="1:5" x14ac:dyDescent="0.25">
      <c r="A86">
        <v>43058</v>
      </c>
      <c r="B86" t="s">
        <v>6</v>
      </c>
      <c r="C86" t="s">
        <v>29</v>
      </c>
      <c r="D86" t="s">
        <v>39</v>
      </c>
      <c r="E86" t="s">
        <v>43</v>
      </c>
    </row>
    <row r="87" spans="1:5" x14ac:dyDescent="0.25">
      <c r="A87">
        <v>43058</v>
      </c>
      <c r="B87" t="s">
        <v>6</v>
      </c>
      <c r="C87" t="s">
        <v>24</v>
      </c>
      <c r="D87" t="s">
        <v>39</v>
      </c>
      <c r="E87" t="s">
        <v>43</v>
      </c>
    </row>
    <row r="88" spans="1:5" x14ac:dyDescent="0.25">
      <c r="A88">
        <v>43058</v>
      </c>
      <c r="B88" t="s">
        <v>2</v>
      </c>
      <c r="C88" t="s">
        <v>8</v>
      </c>
      <c r="D88" t="s">
        <v>37</v>
      </c>
      <c r="E88" t="s">
        <v>44</v>
      </c>
    </row>
    <row r="89" spans="1:5" x14ac:dyDescent="0.25">
      <c r="A89">
        <v>43058</v>
      </c>
      <c r="B89" t="s">
        <v>3</v>
      </c>
      <c r="C89" t="s">
        <v>10</v>
      </c>
      <c r="D89" t="s">
        <v>36</v>
      </c>
      <c r="E89" t="s">
        <v>44</v>
      </c>
    </row>
    <row r="90" spans="1:5" x14ac:dyDescent="0.25">
      <c r="A90">
        <v>43058</v>
      </c>
      <c r="B90" t="s">
        <v>2</v>
      </c>
      <c r="C90" t="s">
        <v>27</v>
      </c>
      <c r="D90" t="s">
        <v>39</v>
      </c>
      <c r="E90" t="s">
        <v>44</v>
      </c>
    </row>
    <row r="91" spans="1:5" x14ac:dyDescent="0.25">
      <c r="A91">
        <v>43058</v>
      </c>
      <c r="B91" t="s">
        <v>4</v>
      </c>
      <c r="C91" t="s">
        <v>21</v>
      </c>
      <c r="D91" t="s">
        <v>38</v>
      </c>
      <c r="E91" t="s">
        <v>43</v>
      </c>
    </row>
    <row r="92" spans="1:5" x14ac:dyDescent="0.25">
      <c r="A92">
        <v>43058</v>
      </c>
      <c r="B92" t="s">
        <v>3</v>
      </c>
      <c r="C92" t="s">
        <v>11</v>
      </c>
      <c r="D92" t="s">
        <v>39</v>
      </c>
      <c r="E92" t="s">
        <v>43</v>
      </c>
    </row>
    <row r="93" spans="1:5" x14ac:dyDescent="0.25">
      <c r="A93">
        <v>43058</v>
      </c>
      <c r="B93" t="s">
        <v>6</v>
      </c>
      <c r="C93" t="s">
        <v>13</v>
      </c>
      <c r="D93" t="s">
        <v>38</v>
      </c>
      <c r="E93" t="s">
        <v>43</v>
      </c>
    </row>
    <row r="94" spans="1:5" x14ac:dyDescent="0.25">
      <c r="A94">
        <v>43058</v>
      </c>
      <c r="B94" t="s">
        <v>6</v>
      </c>
      <c r="C94" t="s">
        <v>23</v>
      </c>
      <c r="D94" t="s">
        <v>39</v>
      </c>
      <c r="E94" t="s">
        <v>43</v>
      </c>
    </row>
    <row r="95" spans="1:5" x14ac:dyDescent="0.25">
      <c r="A95">
        <v>43058</v>
      </c>
      <c r="B95" t="s">
        <v>4</v>
      </c>
      <c r="C95" t="s">
        <v>11</v>
      </c>
      <c r="D95" t="s">
        <v>40</v>
      </c>
      <c r="E95" t="s">
        <v>43</v>
      </c>
    </row>
    <row r="96" spans="1:5" x14ac:dyDescent="0.25">
      <c r="A96">
        <v>43058</v>
      </c>
      <c r="B96" t="s">
        <v>2</v>
      </c>
      <c r="C96" t="s">
        <v>21</v>
      </c>
      <c r="D96" t="s">
        <v>40</v>
      </c>
      <c r="E96" t="s">
        <v>43</v>
      </c>
    </row>
    <row r="97" spans="1:5" x14ac:dyDescent="0.25">
      <c r="A97">
        <v>43058</v>
      </c>
      <c r="B97" t="s">
        <v>5</v>
      </c>
      <c r="C97" t="s">
        <v>34</v>
      </c>
      <c r="D97" t="s">
        <v>38</v>
      </c>
      <c r="E97" t="s">
        <v>43</v>
      </c>
    </row>
    <row r="98" spans="1:5" x14ac:dyDescent="0.25">
      <c r="A98">
        <v>43058</v>
      </c>
      <c r="B98" t="s">
        <v>4</v>
      </c>
      <c r="C98" t="s">
        <v>19</v>
      </c>
      <c r="D98" t="s">
        <v>40</v>
      </c>
      <c r="E98" t="s">
        <v>43</v>
      </c>
    </row>
    <row r="99" spans="1:5" x14ac:dyDescent="0.25">
      <c r="A99">
        <v>43058</v>
      </c>
      <c r="B99" t="s">
        <v>4</v>
      </c>
      <c r="C99" t="s">
        <v>21</v>
      </c>
      <c r="D99" t="s">
        <v>37</v>
      </c>
      <c r="E99" t="s">
        <v>44</v>
      </c>
    </row>
    <row r="100" spans="1:5" x14ac:dyDescent="0.25">
      <c r="A100">
        <v>43058</v>
      </c>
      <c r="B100" t="s">
        <v>4</v>
      </c>
      <c r="C100" t="s">
        <v>21</v>
      </c>
      <c r="D100" t="s">
        <v>36</v>
      </c>
      <c r="E100" t="s">
        <v>44</v>
      </c>
    </row>
    <row r="101" spans="1:5" x14ac:dyDescent="0.25">
      <c r="A101">
        <v>43064</v>
      </c>
      <c r="B101" t="s">
        <v>5</v>
      </c>
      <c r="C101" t="s">
        <v>20</v>
      </c>
      <c r="D101" t="s">
        <v>40</v>
      </c>
      <c r="E101" t="s">
        <v>43</v>
      </c>
    </row>
    <row r="102" spans="1:5" x14ac:dyDescent="0.25">
      <c r="A102">
        <v>43064</v>
      </c>
      <c r="B102" t="s">
        <v>2</v>
      </c>
      <c r="C102" t="s">
        <v>30</v>
      </c>
      <c r="D102" t="s">
        <v>37</v>
      </c>
      <c r="E102" t="s">
        <v>44</v>
      </c>
    </row>
    <row r="103" spans="1:5" x14ac:dyDescent="0.25">
      <c r="A103">
        <v>43064</v>
      </c>
      <c r="B103" t="s">
        <v>6</v>
      </c>
      <c r="C103" t="s">
        <v>19</v>
      </c>
      <c r="D103" t="s">
        <v>37</v>
      </c>
      <c r="E103" t="s">
        <v>44</v>
      </c>
    </row>
    <row r="104" spans="1:5" x14ac:dyDescent="0.25">
      <c r="A104">
        <v>43064</v>
      </c>
      <c r="B104" t="s">
        <v>6</v>
      </c>
      <c r="C104" t="s">
        <v>27</v>
      </c>
      <c r="D104" t="s">
        <v>39</v>
      </c>
      <c r="E104" t="s">
        <v>44</v>
      </c>
    </row>
    <row r="105" spans="1:5" x14ac:dyDescent="0.25">
      <c r="A105">
        <v>43064</v>
      </c>
      <c r="B105" t="s">
        <v>2</v>
      </c>
      <c r="C105" t="s">
        <v>22</v>
      </c>
      <c r="D105" t="s">
        <v>36</v>
      </c>
      <c r="E105" t="s">
        <v>43</v>
      </c>
    </row>
    <row r="106" spans="1:5" x14ac:dyDescent="0.25">
      <c r="A106">
        <v>43064</v>
      </c>
      <c r="B106" t="s">
        <v>2</v>
      </c>
      <c r="C106" t="s">
        <v>18</v>
      </c>
      <c r="D106" t="s">
        <v>37</v>
      </c>
      <c r="E106" t="s">
        <v>44</v>
      </c>
    </row>
    <row r="107" spans="1:5" x14ac:dyDescent="0.25">
      <c r="A107">
        <v>43064</v>
      </c>
      <c r="B107" t="s">
        <v>4</v>
      </c>
      <c r="C107" t="s">
        <v>16</v>
      </c>
      <c r="D107" t="s">
        <v>39</v>
      </c>
      <c r="E107" t="s">
        <v>44</v>
      </c>
    </row>
    <row r="108" spans="1:5" x14ac:dyDescent="0.25">
      <c r="A108">
        <v>43064</v>
      </c>
      <c r="B108" t="s">
        <v>2</v>
      </c>
      <c r="C108" t="s">
        <v>21</v>
      </c>
      <c r="D108" t="s">
        <v>40</v>
      </c>
      <c r="E108" t="s">
        <v>43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8EE31-7628-48FB-8518-A2B086F0D53A}">
  <sheetPr codeName="shJogos"/>
  <dimension ref="G7:K8"/>
  <sheetViews>
    <sheetView showGridLines="0" topLeftCell="B1" zoomScaleNormal="100" workbookViewId="0">
      <pane xSplit="5" ySplit="7" topLeftCell="G8" activePane="bottomRight" state="frozen"/>
      <selection activeCell="B1" sqref="B1"/>
      <selection pane="topRight" activeCell="C1" sqref="C1"/>
      <selection pane="bottomLeft" activeCell="B8" sqref="B8"/>
      <selection pane="bottomRight" activeCell="G7" sqref="G7"/>
    </sheetView>
  </sheetViews>
  <sheetFormatPr defaultRowHeight="15" x14ac:dyDescent="0.25"/>
  <cols>
    <col min="7" max="7" width="24.28515625" customWidth="1"/>
    <col min="8" max="8" width="14.5703125" bestFit="1" customWidth="1"/>
    <col min="9" max="9" width="30" bestFit="1" customWidth="1"/>
    <col min="10" max="10" width="11.28515625" bestFit="1" customWidth="1"/>
    <col min="11" max="11" width="14" hidden="1" customWidth="1"/>
  </cols>
  <sheetData>
    <row r="7" spans="7:11" x14ac:dyDescent="0.25">
      <c r="G7" s="1" t="s">
        <v>41</v>
      </c>
      <c r="H7" s="1" t="s">
        <v>45</v>
      </c>
      <c r="I7" s="1" t="s">
        <v>0</v>
      </c>
      <c r="J7" s="1" t="s">
        <v>1</v>
      </c>
      <c r="K7" s="1" t="s">
        <v>42</v>
      </c>
    </row>
    <row r="8" spans="7:11" x14ac:dyDescent="0.25">
      <c r="G8" s="3"/>
      <c r="H8" s="4"/>
      <c r="I8" s="4"/>
      <c r="J8" s="4"/>
      <c r="K8" s="4"/>
    </row>
  </sheetData>
  <dataConsolidate/>
  <dataValidations count="1">
    <dataValidation type="list" allowBlank="1" showInputMessage="1" showErrorMessage="1" sqref="M23 K8" xr:uid="{CD26344F-1081-4716-A1CF-5F6B9CE2B96F}">
      <formula1>"MISSINHA,MISSINHO"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2D696-2D6D-44CC-8DB8-3BE38AE7FC84}">
  <sheetPr codeName="shListas"/>
  <dimension ref="A1:V101"/>
  <sheetViews>
    <sheetView showGridLines="0" tabSelected="1" workbookViewId="0"/>
  </sheetViews>
  <sheetFormatPr defaultRowHeight="15" outlineLevelCol="1" x14ac:dyDescent="0.25"/>
  <cols>
    <col min="1" max="1" width="13.28515625" style="6" bestFit="1" customWidth="1"/>
    <col min="2" max="2" width="30" style="6" bestFit="1" customWidth="1"/>
    <col min="3" max="3" width="11.140625" style="6" bestFit="1" customWidth="1"/>
    <col min="4" max="5" width="9.140625" style="6"/>
    <col min="6" max="6" width="0" style="6" hidden="1" customWidth="1"/>
    <col min="7" max="7" width="18.140625" style="6" hidden="1" customWidth="1" outlineLevel="1"/>
    <col min="8" max="8" width="30" style="6" hidden="1" customWidth="1" outlineLevel="1"/>
    <col min="9" max="9" width="16.28515625" style="6" hidden="1" customWidth="1" outlineLevel="1"/>
    <col min="10" max="10" width="22.7109375" style="6" hidden="1" customWidth="1" outlineLevel="1"/>
    <col min="11" max="11" width="12.28515625" style="6" hidden="1" customWidth="1" outlineLevel="1"/>
    <col min="12" max="18" width="9.140625" style="6" hidden="1" customWidth="1" outlineLevel="1"/>
    <col min="19" max="19" width="10.5703125" style="6" hidden="1" customWidth="1" outlineLevel="1"/>
    <col min="20" max="21" width="9.140625" style="6" hidden="1" customWidth="1" outlineLevel="1"/>
    <col min="22" max="22" width="9.140625" style="6" collapsed="1"/>
    <col min="23" max="16384" width="9.140625" style="6"/>
  </cols>
  <sheetData>
    <row r="1" spans="1:21" x14ac:dyDescent="0.25">
      <c r="A1" s="5" t="s">
        <v>54</v>
      </c>
      <c r="B1" s="5" t="s">
        <v>52</v>
      </c>
      <c r="C1" s="5" t="s">
        <v>53</v>
      </c>
      <c r="G1" s="5" t="s">
        <v>46</v>
      </c>
      <c r="H1" s="5" t="s">
        <v>47</v>
      </c>
      <c r="I1" s="5" t="s">
        <v>48</v>
      </c>
      <c r="K1" s="5" t="s">
        <v>55</v>
      </c>
      <c r="L1" s="5" t="s">
        <v>56</v>
      </c>
      <c r="M1" s="5" t="s">
        <v>57</v>
      </c>
      <c r="O1" s="5" t="s">
        <v>0</v>
      </c>
      <c r="P1" s="5" t="s">
        <v>56</v>
      </c>
      <c r="Q1" s="5" t="s">
        <v>57</v>
      </c>
      <c r="S1" s="5" t="s">
        <v>53</v>
      </c>
      <c r="T1" s="5" t="s">
        <v>56</v>
      </c>
      <c r="U1" s="5" t="s">
        <v>57</v>
      </c>
    </row>
    <row r="2" spans="1:21" x14ac:dyDescent="0.25">
      <c r="A2" s="6" t="s">
        <v>2</v>
      </c>
      <c r="B2" s="6" t="s">
        <v>7</v>
      </c>
      <c r="C2" s="6" t="s">
        <v>36</v>
      </c>
      <c r="G2" s="6" t="str">
        <f t="shared" ref="G2:I21" ca="1" si="0">RandomValue(MATCH(G$1,$G$1:$I$1,0))</f>
        <v>CLÁSSICO</v>
      </c>
      <c r="H2" s="6" t="str">
        <f t="shared" ca="1" si="0"/>
        <v>ALPES</v>
      </c>
      <c r="I2" s="6" t="str">
        <f t="shared" ca="1" si="0"/>
        <v>C</v>
      </c>
      <c r="K2" s="6" t="s">
        <v>2</v>
      </c>
      <c r="L2" s="6">
        <f ca="1">COUNTIF(Game,K2)</f>
        <v>26</v>
      </c>
      <c r="M2" s="7">
        <f ca="1">L2/100</f>
        <v>0.26</v>
      </c>
      <c r="O2" s="6" t="s">
        <v>7</v>
      </c>
      <c r="P2" s="6">
        <f t="shared" ref="P2:P30" ca="1" si="1">COUNTIF(Local,O2)</f>
        <v>3</v>
      </c>
      <c r="Q2" s="7">
        <f ca="1">P2/100</f>
        <v>0.03</v>
      </c>
      <c r="S2" s="6" t="s">
        <v>36</v>
      </c>
      <c r="T2" s="6">
        <f ca="1">COUNTIF(Category,S2)</f>
        <v>23</v>
      </c>
      <c r="U2" s="7">
        <f t="shared" ref="U2:U6" ca="1" si="2">T2/ROWS($G$2:$G$101)</f>
        <v>0.23</v>
      </c>
    </row>
    <row r="3" spans="1:21" x14ac:dyDescent="0.25">
      <c r="A3" s="6" t="s">
        <v>3</v>
      </c>
      <c r="B3" s="6" t="s">
        <v>8</v>
      </c>
      <c r="C3" s="6" t="s">
        <v>38</v>
      </c>
      <c r="G3" s="6" t="str">
        <f t="shared" ca="1" si="0"/>
        <v>DUELO</v>
      </c>
      <c r="H3" s="6" t="str">
        <f t="shared" ca="1" si="0"/>
        <v>VENEZA (INVERTIDO)</v>
      </c>
      <c r="I3" s="6" t="str">
        <f t="shared" ca="1" si="0"/>
        <v>D</v>
      </c>
      <c r="K3" s="6" t="s">
        <v>3</v>
      </c>
      <c r="L3" s="6">
        <f ca="1">COUNTIF(Game,K3)</f>
        <v>28</v>
      </c>
      <c r="M3" s="7">
        <f t="shared" ref="M3:M6" ca="1" si="3">L3/100</f>
        <v>0.28000000000000003</v>
      </c>
      <c r="O3" s="6" t="s">
        <v>8</v>
      </c>
      <c r="P3" s="6">
        <f t="shared" ca="1" si="1"/>
        <v>2</v>
      </c>
      <c r="Q3" s="7">
        <f t="shared" ref="Q3:Q30" ca="1" si="4">P3/100</f>
        <v>0.02</v>
      </c>
      <c r="S3" s="6" t="s">
        <v>38</v>
      </c>
      <c r="T3" s="6">
        <f ca="1">COUNTIF(Category,S3)</f>
        <v>14</v>
      </c>
      <c r="U3" s="7">
        <f t="shared" ca="1" si="2"/>
        <v>0.14000000000000001</v>
      </c>
    </row>
    <row r="4" spans="1:21" x14ac:dyDescent="0.25">
      <c r="A4" s="6" t="s">
        <v>4</v>
      </c>
      <c r="B4" s="6" t="s">
        <v>9</v>
      </c>
      <c r="C4" s="6" t="s">
        <v>39</v>
      </c>
      <c r="G4" s="6" t="str">
        <f t="shared" ca="1" si="0"/>
        <v>DUELO</v>
      </c>
      <c r="H4" s="6" t="str">
        <f t="shared" ca="1" si="0"/>
        <v>RIVIERA FRANCESA</v>
      </c>
      <c r="I4" s="6" t="str">
        <f t="shared" ca="1" si="0"/>
        <v>A</v>
      </c>
      <c r="K4" s="6" t="s">
        <v>4</v>
      </c>
      <c r="L4" s="6">
        <f ca="1">COUNTIF(Game,K4)</f>
        <v>13</v>
      </c>
      <c r="M4" s="7">
        <f t="shared" ca="1" si="3"/>
        <v>0.13</v>
      </c>
      <c r="O4" s="6" t="s">
        <v>9</v>
      </c>
      <c r="P4" s="6">
        <f t="shared" ca="1" si="1"/>
        <v>2</v>
      </c>
      <c r="Q4" s="7">
        <f t="shared" ca="1" si="4"/>
        <v>0.02</v>
      </c>
      <c r="S4" s="6" t="s">
        <v>39</v>
      </c>
      <c r="T4" s="6">
        <f ca="1">COUNTIF(Category,S4)</f>
        <v>18</v>
      </c>
      <c r="U4" s="7">
        <f t="shared" ca="1" si="2"/>
        <v>0.18</v>
      </c>
    </row>
    <row r="5" spans="1:21" x14ac:dyDescent="0.25">
      <c r="A5" s="6" t="s">
        <v>5</v>
      </c>
      <c r="B5" s="6" t="s">
        <v>10</v>
      </c>
      <c r="C5" s="6" t="s">
        <v>40</v>
      </c>
      <c r="F5" s="8"/>
      <c r="G5" s="6" t="str">
        <f t="shared" ca="1" si="0"/>
        <v>INFECÇÃO</v>
      </c>
      <c r="H5" s="6" t="str">
        <f t="shared" ca="1" si="0"/>
        <v>TÓQUIO (INVERTIDO)</v>
      </c>
      <c r="I5" s="6" t="str">
        <f t="shared" ca="1" si="0"/>
        <v>A</v>
      </c>
      <c r="K5" s="6" t="s">
        <v>5</v>
      </c>
      <c r="L5" s="6">
        <f ca="1">COUNTIF(Game,K5)</f>
        <v>14</v>
      </c>
      <c r="M5" s="7">
        <f t="shared" ca="1" si="3"/>
        <v>0.14000000000000001</v>
      </c>
      <c r="O5" s="6" t="s">
        <v>10</v>
      </c>
      <c r="P5" s="6">
        <f t="shared" ca="1" si="1"/>
        <v>4</v>
      </c>
      <c r="Q5" s="7">
        <f t="shared" ca="1" si="4"/>
        <v>0.04</v>
      </c>
      <c r="S5" s="6" t="s">
        <v>40</v>
      </c>
      <c r="T5" s="6">
        <f ca="1">COUNTIF(Category,S5)</f>
        <v>23</v>
      </c>
      <c r="U5" s="7">
        <f t="shared" ca="1" si="2"/>
        <v>0.23</v>
      </c>
    </row>
    <row r="6" spans="1:21" x14ac:dyDescent="0.25">
      <c r="A6" s="6" t="s">
        <v>6</v>
      </c>
      <c r="B6" s="6" t="s">
        <v>11</v>
      </c>
      <c r="C6" s="6" t="s">
        <v>37</v>
      </c>
      <c r="F6" s="8"/>
      <c r="G6" s="6" t="str">
        <f t="shared" ca="1" si="0"/>
        <v>NOCAUTE</v>
      </c>
      <c r="H6" s="6" t="str">
        <f t="shared" ca="1" si="0"/>
        <v>BARCELONA</v>
      </c>
      <c r="I6" s="6" t="str">
        <f t="shared" ca="1" si="0"/>
        <v>D</v>
      </c>
      <c r="K6" s="6" t="s">
        <v>6</v>
      </c>
      <c r="L6" s="6">
        <f ca="1">COUNTIF(Game,K6)</f>
        <v>19</v>
      </c>
      <c r="M6" s="7">
        <f t="shared" ca="1" si="3"/>
        <v>0.19</v>
      </c>
      <c r="O6" s="6" t="s">
        <v>11</v>
      </c>
      <c r="P6" s="6">
        <f t="shared" ca="1" si="1"/>
        <v>4</v>
      </c>
      <c r="Q6" s="7">
        <f t="shared" ca="1" si="4"/>
        <v>0.04</v>
      </c>
      <c r="S6" s="6" t="s">
        <v>37</v>
      </c>
      <c r="T6" s="6">
        <f ca="1">COUNTIF(Category,S6)</f>
        <v>22</v>
      </c>
      <c r="U6" s="7">
        <f t="shared" ca="1" si="2"/>
        <v>0.22</v>
      </c>
    </row>
    <row r="7" spans="1:21" x14ac:dyDescent="0.25">
      <c r="B7" s="6" t="s">
        <v>12</v>
      </c>
      <c r="F7" s="8"/>
      <c r="G7" s="6" t="str">
        <f t="shared" ca="1" si="0"/>
        <v>DUELO</v>
      </c>
      <c r="H7" s="6" t="str">
        <f t="shared" ca="1" si="0"/>
        <v>THE LONDON EYE</v>
      </c>
      <c r="I7" s="6" t="str">
        <f t="shared" ca="1" si="0"/>
        <v>C</v>
      </c>
      <c r="M7" s="9">
        <f ca="1">AVERAGE(M2:M6)</f>
        <v>0.2</v>
      </c>
      <c r="O7" s="6" t="s">
        <v>12</v>
      </c>
      <c r="P7" s="6">
        <f t="shared" ca="1" si="1"/>
        <v>5</v>
      </c>
      <c r="Q7" s="7">
        <f t="shared" ca="1" si="4"/>
        <v>0.05</v>
      </c>
      <c r="U7" s="7">
        <f ca="1">AVERAGE(U2:U6)</f>
        <v>0.2</v>
      </c>
    </row>
    <row r="8" spans="1:21" x14ac:dyDescent="0.25">
      <c r="B8" s="6" t="s">
        <v>13</v>
      </c>
      <c r="F8" s="8"/>
      <c r="G8" s="6" t="str">
        <f t="shared" ca="1" si="0"/>
        <v>DUELO</v>
      </c>
      <c r="H8" s="6" t="str">
        <f t="shared" ca="1" si="0"/>
        <v>ENSINAMENTO DE BUDA</v>
      </c>
      <c r="I8" s="6" t="str">
        <f t="shared" ca="1" si="0"/>
        <v>B</v>
      </c>
      <c r="O8" s="6" t="s">
        <v>13</v>
      </c>
      <c r="P8" s="6">
        <f t="shared" ca="1" si="1"/>
        <v>3</v>
      </c>
      <c r="Q8" s="7">
        <f t="shared" ca="1" si="4"/>
        <v>0.03</v>
      </c>
      <c r="U8" s="7"/>
    </row>
    <row r="9" spans="1:21" x14ac:dyDescent="0.25">
      <c r="B9" s="6" t="s">
        <v>14</v>
      </c>
      <c r="F9" s="8"/>
      <c r="G9" s="6" t="str">
        <f t="shared" ca="1" si="0"/>
        <v>ELIMINAÇÃO</v>
      </c>
      <c r="H9" s="6" t="str">
        <f t="shared" ca="1" si="0"/>
        <v>A ROSA DO DESERTO</v>
      </c>
      <c r="I9" s="6" t="str">
        <f t="shared" ca="1" si="0"/>
        <v>B</v>
      </c>
      <c r="O9" s="6" t="s">
        <v>14</v>
      </c>
      <c r="P9" s="6">
        <f t="shared" ca="1" si="1"/>
        <v>3</v>
      </c>
      <c r="Q9" s="7">
        <f t="shared" ca="1" si="4"/>
        <v>0.03</v>
      </c>
    </row>
    <row r="10" spans="1:21" x14ac:dyDescent="0.25">
      <c r="B10" s="6" t="s">
        <v>15</v>
      </c>
      <c r="G10" s="6" t="str">
        <f t="shared" ca="1" si="0"/>
        <v>NOCAUTE</v>
      </c>
      <c r="H10" s="6" t="str">
        <f t="shared" ca="1" si="0"/>
        <v>LONDRES</v>
      </c>
      <c r="I10" s="6" t="str">
        <f t="shared" ca="1" si="0"/>
        <v>B</v>
      </c>
      <c r="J10" s="5" t="s">
        <v>49</v>
      </c>
      <c r="K10" s="2">
        <f ca="1">M7</f>
        <v>0.2</v>
      </c>
      <c r="O10" s="6" t="s">
        <v>15</v>
      </c>
      <c r="P10" s="6">
        <f t="shared" ca="1" si="1"/>
        <v>4</v>
      </c>
      <c r="Q10" s="7">
        <f t="shared" ca="1" si="4"/>
        <v>0.04</v>
      </c>
    </row>
    <row r="11" spans="1:21" x14ac:dyDescent="0.25">
      <c r="B11" s="6" t="s">
        <v>16</v>
      </c>
      <c r="G11" s="6" t="str">
        <f t="shared" ca="1" si="0"/>
        <v>DUELO</v>
      </c>
      <c r="H11" s="6" t="str">
        <f t="shared" ca="1" si="0"/>
        <v>VENEZA</v>
      </c>
      <c r="I11" s="6" t="str">
        <f t="shared" ca="1" si="0"/>
        <v>A</v>
      </c>
      <c r="J11" s="5" t="s">
        <v>50</v>
      </c>
      <c r="K11" s="2">
        <f ca="1">Q31</f>
        <v>3.4482758620689669E-2</v>
      </c>
      <c r="O11" s="6" t="s">
        <v>16</v>
      </c>
      <c r="P11" s="6">
        <f t="shared" ca="1" si="1"/>
        <v>3</v>
      </c>
      <c r="Q11" s="7">
        <f t="shared" ca="1" si="4"/>
        <v>0.03</v>
      </c>
    </row>
    <row r="12" spans="1:21" x14ac:dyDescent="0.25">
      <c r="B12" s="6" t="s">
        <v>17</v>
      </c>
      <c r="G12" s="6" t="str">
        <f t="shared" ca="1" si="0"/>
        <v>CLÁSSICO</v>
      </c>
      <c r="H12" s="6" t="str">
        <f t="shared" ca="1" si="0"/>
        <v>DUBAI (INVERTIDO)</v>
      </c>
      <c r="I12" s="6" t="str">
        <f t="shared" ca="1" si="0"/>
        <v>S</v>
      </c>
      <c r="J12" s="5" t="s">
        <v>51</v>
      </c>
      <c r="K12" s="2">
        <f ca="1">U7</f>
        <v>0.2</v>
      </c>
      <c r="O12" s="6" t="s">
        <v>17</v>
      </c>
      <c r="P12" s="6">
        <f t="shared" ca="1" si="1"/>
        <v>4</v>
      </c>
      <c r="Q12" s="7">
        <f t="shared" ca="1" si="4"/>
        <v>0.04</v>
      </c>
    </row>
    <row r="13" spans="1:21" x14ac:dyDescent="0.25">
      <c r="B13" s="6" t="s">
        <v>18</v>
      </c>
      <c r="G13" s="6" t="str">
        <f t="shared" ca="1" si="0"/>
        <v>CLÁSSICO</v>
      </c>
      <c r="H13" s="6" t="str">
        <f t="shared" ca="1" si="0"/>
        <v>O TEMPLO</v>
      </c>
      <c r="I13" s="6" t="str">
        <f t="shared" ca="1" si="0"/>
        <v>S</v>
      </c>
      <c r="O13" s="6" t="s">
        <v>18</v>
      </c>
      <c r="P13" s="6">
        <f t="shared" ca="1" si="1"/>
        <v>8</v>
      </c>
      <c r="Q13" s="7">
        <f t="shared" ca="1" si="4"/>
        <v>0.08</v>
      </c>
    </row>
    <row r="14" spans="1:21" x14ac:dyDescent="0.25">
      <c r="B14" s="6" t="s">
        <v>19</v>
      </c>
      <c r="G14" s="6" t="str">
        <f t="shared" ca="1" si="0"/>
        <v>INFECÇÃO</v>
      </c>
      <c r="H14" s="6" t="str">
        <f t="shared" ca="1" si="0"/>
        <v>GRANDE MURALHA</v>
      </c>
      <c r="I14" s="6" t="str">
        <f t="shared" ca="1" si="0"/>
        <v>A</v>
      </c>
      <c r="O14" s="6" t="s">
        <v>19</v>
      </c>
      <c r="P14" s="6">
        <f t="shared" ca="1" si="1"/>
        <v>1</v>
      </c>
      <c r="Q14" s="7">
        <f t="shared" ca="1" si="4"/>
        <v>0.01</v>
      </c>
    </row>
    <row r="15" spans="1:21" x14ac:dyDescent="0.25">
      <c r="B15" s="6" t="s">
        <v>20</v>
      </c>
      <c r="G15" s="6" t="str">
        <f t="shared" ca="1" si="0"/>
        <v>CLÁSSICO</v>
      </c>
      <c r="H15" s="6" t="str">
        <f t="shared" ca="1" si="0"/>
        <v>ISLÂNDIA (INV)</v>
      </c>
      <c r="I15" s="6" t="str">
        <f t="shared" ca="1" si="0"/>
        <v>S</v>
      </c>
      <c r="O15" s="6" t="s">
        <v>20</v>
      </c>
      <c r="P15" s="6">
        <f t="shared" ca="1" si="1"/>
        <v>5</v>
      </c>
      <c r="Q15" s="7">
        <f t="shared" ca="1" si="4"/>
        <v>0.05</v>
      </c>
    </row>
    <row r="16" spans="1:21" x14ac:dyDescent="0.25">
      <c r="B16" s="6" t="s">
        <v>21</v>
      </c>
      <c r="G16" s="6" t="str">
        <f t="shared" ca="1" si="0"/>
        <v>CLÁSSICO</v>
      </c>
      <c r="H16" s="6" t="str">
        <f t="shared" ca="1" si="0"/>
        <v>ALPES</v>
      </c>
      <c r="I16" s="6" t="str">
        <f t="shared" ca="1" si="0"/>
        <v>D</v>
      </c>
      <c r="O16" s="6" t="s">
        <v>21</v>
      </c>
      <c r="P16" s="6">
        <f t="shared" ca="1" si="1"/>
        <v>2</v>
      </c>
      <c r="Q16" s="7">
        <f t="shared" ca="1" si="4"/>
        <v>0.02</v>
      </c>
    </row>
    <row r="17" spans="2:17" x14ac:dyDescent="0.25">
      <c r="B17" s="6" t="s">
        <v>22</v>
      </c>
      <c r="G17" s="6" t="str">
        <f t="shared" ca="1" si="0"/>
        <v>NOCAUTE</v>
      </c>
      <c r="H17" s="6" t="str">
        <f t="shared" ca="1" si="0"/>
        <v>GRANDE MURALHA</v>
      </c>
      <c r="I17" s="6" t="str">
        <f t="shared" ca="1" si="0"/>
        <v>B</v>
      </c>
      <c r="O17" s="6" t="s">
        <v>22</v>
      </c>
      <c r="P17" s="6">
        <f t="shared" ca="1" si="1"/>
        <v>4</v>
      </c>
      <c r="Q17" s="7">
        <f t="shared" ca="1" si="4"/>
        <v>0.04</v>
      </c>
    </row>
    <row r="18" spans="2:17" x14ac:dyDescent="0.25">
      <c r="B18" s="6" t="s">
        <v>23</v>
      </c>
      <c r="G18" s="6" t="str">
        <f t="shared" ca="1" si="0"/>
        <v>DUELO</v>
      </c>
      <c r="H18" s="6" t="str">
        <f t="shared" ca="1" si="0"/>
        <v>WESTMINTER BRIDGE</v>
      </c>
      <c r="I18" s="6" t="str">
        <f t="shared" ca="1" si="0"/>
        <v>D</v>
      </c>
      <c r="O18" s="6" t="s">
        <v>23</v>
      </c>
      <c r="P18" s="6">
        <f t="shared" ca="1" si="1"/>
        <v>3</v>
      </c>
      <c r="Q18" s="7">
        <f t="shared" ca="1" si="4"/>
        <v>0.03</v>
      </c>
    </row>
    <row r="19" spans="2:17" x14ac:dyDescent="0.25">
      <c r="B19" s="6" t="s">
        <v>24</v>
      </c>
      <c r="G19" s="6" t="str">
        <f t="shared" ca="1" si="0"/>
        <v>CLÁSSICO</v>
      </c>
      <c r="H19" s="6" t="str">
        <f t="shared" ca="1" si="0"/>
        <v>TÓQUIO</v>
      </c>
      <c r="I19" s="6" t="str">
        <f t="shared" ca="1" si="0"/>
        <v>S</v>
      </c>
      <c r="O19" s="6" t="s">
        <v>24</v>
      </c>
      <c r="P19" s="6">
        <f t="shared" ca="1" si="1"/>
        <v>4</v>
      </c>
      <c r="Q19" s="7">
        <f t="shared" ca="1" si="4"/>
        <v>0.04</v>
      </c>
    </row>
    <row r="20" spans="2:17" x14ac:dyDescent="0.25">
      <c r="B20" s="6" t="s">
        <v>25</v>
      </c>
      <c r="G20" s="6" t="str">
        <f t="shared" ca="1" si="0"/>
        <v>CLÁSSICO</v>
      </c>
      <c r="H20" s="6" t="str">
        <f t="shared" ca="1" si="0"/>
        <v>GUIANA F. (INV)</v>
      </c>
      <c r="I20" s="6" t="str">
        <f t="shared" ca="1" si="0"/>
        <v>A</v>
      </c>
      <c r="O20" s="6" t="s">
        <v>25</v>
      </c>
      <c r="P20" s="6">
        <f t="shared" ca="1" si="1"/>
        <v>4</v>
      </c>
      <c r="Q20" s="7">
        <f t="shared" ca="1" si="4"/>
        <v>0.04</v>
      </c>
    </row>
    <row r="21" spans="2:17" x14ac:dyDescent="0.25">
      <c r="B21" s="6" t="s">
        <v>26</v>
      </c>
      <c r="G21" s="6" t="str">
        <f t="shared" ca="1" si="0"/>
        <v>INFECÇÃO</v>
      </c>
      <c r="H21" s="6" t="str">
        <f t="shared" ca="1" si="0"/>
        <v>O TEMPLO</v>
      </c>
      <c r="I21" s="6" t="str">
        <f t="shared" ca="1" si="0"/>
        <v>B</v>
      </c>
      <c r="O21" s="6" t="s">
        <v>26</v>
      </c>
      <c r="P21" s="6">
        <f t="shared" ca="1" si="1"/>
        <v>4</v>
      </c>
      <c r="Q21" s="7">
        <f t="shared" ca="1" si="4"/>
        <v>0.04</v>
      </c>
    </row>
    <row r="22" spans="2:17" x14ac:dyDescent="0.25">
      <c r="B22" s="6" t="s">
        <v>27</v>
      </c>
      <c r="G22" s="6" t="str">
        <f t="shared" ref="G22:I85" ca="1" si="5">RandomValue(MATCH(G$1,$G$1:$I$1,0))</f>
        <v>INFECÇÃO</v>
      </c>
      <c r="H22" s="6" t="str">
        <f t="shared" ca="1" si="5"/>
        <v>WESTMINTER BRIDGE</v>
      </c>
      <c r="I22" s="6" t="str">
        <f t="shared" ca="1" si="5"/>
        <v>B</v>
      </c>
      <c r="O22" s="6" t="s">
        <v>27</v>
      </c>
      <c r="P22" s="6">
        <f t="shared" ca="1" si="1"/>
        <v>4</v>
      </c>
      <c r="Q22" s="7">
        <f t="shared" ca="1" si="4"/>
        <v>0.04</v>
      </c>
    </row>
    <row r="23" spans="2:17" x14ac:dyDescent="0.25">
      <c r="B23" s="6" t="s">
        <v>28</v>
      </c>
      <c r="G23" s="6" t="str">
        <f t="shared" ca="1" si="5"/>
        <v>INFECÇÃO</v>
      </c>
      <c r="H23" s="6" t="str">
        <f t="shared" ca="1" si="5"/>
        <v>O TEMPLO</v>
      </c>
      <c r="I23" s="6" t="str">
        <f t="shared" ca="1" si="5"/>
        <v>A</v>
      </c>
      <c r="O23" s="6" t="s">
        <v>28</v>
      </c>
      <c r="P23" s="6">
        <f t="shared" ca="1" si="1"/>
        <v>2</v>
      </c>
      <c r="Q23" s="7">
        <f t="shared" ca="1" si="4"/>
        <v>0.02</v>
      </c>
    </row>
    <row r="24" spans="2:17" x14ac:dyDescent="0.25">
      <c r="B24" s="6" t="s">
        <v>29</v>
      </c>
      <c r="G24" s="6" t="str">
        <f t="shared" ca="1" si="5"/>
        <v>CLÁSSICO</v>
      </c>
      <c r="H24" s="6" t="str">
        <f t="shared" ca="1" si="5"/>
        <v>ISLÂNDIA (INV)</v>
      </c>
      <c r="I24" s="6" t="str">
        <f t="shared" ca="1" si="5"/>
        <v>S</v>
      </c>
      <c r="O24" s="6" t="s">
        <v>29</v>
      </c>
      <c r="P24" s="6">
        <f t="shared" ca="1" si="1"/>
        <v>6</v>
      </c>
      <c r="Q24" s="7">
        <f t="shared" ca="1" si="4"/>
        <v>0.06</v>
      </c>
    </row>
    <row r="25" spans="2:17" x14ac:dyDescent="0.25">
      <c r="B25" s="6" t="s">
        <v>30</v>
      </c>
      <c r="G25" s="6" t="str">
        <f t="shared" ca="1" si="5"/>
        <v>NOCAUTE</v>
      </c>
      <c r="H25" s="6" t="str">
        <f t="shared" ca="1" si="5"/>
        <v>ALPES</v>
      </c>
      <c r="I25" s="6" t="str">
        <f t="shared" ca="1" si="5"/>
        <v>A</v>
      </c>
      <c r="O25" s="6" t="s">
        <v>30</v>
      </c>
      <c r="P25" s="6">
        <f t="shared" ca="1" si="1"/>
        <v>2</v>
      </c>
      <c r="Q25" s="7">
        <f t="shared" ca="1" si="4"/>
        <v>0.02</v>
      </c>
    </row>
    <row r="26" spans="2:17" x14ac:dyDescent="0.25">
      <c r="B26" s="6" t="s">
        <v>31</v>
      </c>
      <c r="G26" s="6" t="str">
        <f t="shared" ca="1" si="5"/>
        <v>DUELO</v>
      </c>
      <c r="H26" s="6" t="str">
        <f t="shared" ca="1" si="5"/>
        <v>BARCELONA</v>
      </c>
      <c r="I26" s="6" t="str">
        <f t="shared" ca="1" si="5"/>
        <v>A</v>
      </c>
      <c r="O26" s="6" t="s">
        <v>31</v>
      </c>
      <c r="P26" s="6">
        <f t="shared" ca="1" si="1"/>
        <v>2</v>
      </c>
      <c r="Q26" s="7">
        <f t="shared" ca="1" si="4"/>
        <v>0.02</v>
      </c>
    </row>
    <row r="27" spans="2:17" x14ac:dyDescent="0.25">
      <c r="B27" s="6" t="s">
        <v>32</v>
      </c>
      <c r="G27" s="6" t="str">
        <f t="shared" ca="1" si="5"/>
        <v>ELIMINAÇÃO</v>
      </c>
      <c r="H27" s="6" t="str">
        <f t="shared" ca="1" si="5"/>
        <v>A MIRAGEM</v>
      </c>
      <c r="I27" s="6" t="str">
        <f t="shared" ca="1" si="5"/>
        <v>D</v>
      </c>
      <c r="O27" s="6" t="s">
        <v>32</v>
      </c>
      <c r="P27" s="6">
        <f t="shared" ca="1" si="1"/>
        <v>2</v>
      </c>
      <c r="Q27" s="7">
        <f t="shared" ca="1" si="4"/>
        <v>0.02</v>
      </c>
    </row>
    <row r="28" spans="2:17" x14ac:dyDescent="0.25">
      <c r="B28" s="6" t="s">
        <v>33</v>
      </c>
      <c r="G28" s="6" t="str">
        <f t="shared" ca="1" si="5"/>
        <v>NOCAUTE</v>
      </c>
      <c r="H28" s="6" t="str">
        <f t="shared" ca="1" si="5"/>
        <v>GUIANA F. (INV)</v>
      </c>
      <c r="I28" s="6" t="str">
        <f t="shared" ca="1" si="5"/>
        <v>A</v>
      </c>
      <c r="O28" s="6" t="s">
        <v>33</v>
      </c>
      <c r="P28" s="6">
        <f t="shared" ca="1" si="1"/>
        <v>3</v>
      </c>
      <c r="Q28" s="7">
        <f t="shared" ca="1" si="4"/>
        <v>0.03</v>
      </c>
    </row>
    <row r="29" spans="2:17" x14ac:dyDescent="0.25">
      <c r="B29" s="6" t="s">
        <v>34</v>
      </c>
      <c r="G29" s="6" t="str">
        <f t="shared" ca="1" si="5"/>
        <v>CLÁSSICO</v>
      </c>
      <c r="H29" s="6" t="str">
        <f t="shared" ca="1" si="5"/>
        <v>NEVADA (INVERTIDO)</v>
      </c>
      <c r="I29" s="6" t="str">
        <f t="shared" ca="1" si="5"/>
        <v>A</v>
      </c>
      <c r="O29" s="6" t="s">
        <v>34</v>
      </c>
      <c r="P29" s="6">
        <f t="shared" ca="1" si="1"/>
        <v>1</v>
      </c>
      <c r="Q29" s="7">
        <f t="shared" ca="1" si="4"/>
        <v>0.01</v>
      </c>
    </row>
    <row r="30" spans="2:17" x14ac:dyDescent="0.25">
      <c r="B30" s="6" t="s">
        <v>35</v>
      </c>
      <c r="G30" s="6" t="str">
        <f t="shared" ca="1" si="5"/>
        <v>NOCAUTE</v>
      </c>
      <c r="H30" s="6" t="str">
        <f t="shared" ca="1" si="5"/>
        <v>GUIANA FRANCESA</v>
      </c>
      <c r="I30" s="6" t="str">
        <f t="shared" ca="1" si="5"/>
        <v>B</v>
      </c>
      <c r="O30" s="6" t="s">
        <v>35</v>
      </c>
      <c r="P30" s="6">
        <f t="shared" ca="1" si="1"/>
        <v>6</v>
      </c>
      <c r="Q30" s="7">
        <f t="shared" ca="1" si="4"/>
        <v>0.06</v>
      </c>
    </row>
    <row r="31" spans="2:17" x14ac:dyDescent="0.25">
      <c r="G31" s="6" t="str">
        <f t="shared" ca="1" si="5"/>
        <v>ELIMINAÇÃO</v>
      </c>
      <c r="H31" s="6" t="str">
        <f t="shared" ca="1" si="5"/>
        <v>BARCELONA (INVERTIDO)</v>
      </c>
      <c r="I31" s="6" t="str">
        <f t="shared" ca="1" si="5"/>
        <v>A</v>
      </c>
      <c r="Q31" s="9">
        <f ca="1">AVERAGE(Q2:Q30)</f>
        <v>3.4482758620689669E-2</v>
      </c>
    </row>
    <row r="32" spans="2:17" x14ac:dyDescent="0.25">
      <c r="G32" s="6" t="str">
        <f t="shared" ca="1" si="5"/>
        <v>DUELO</v>
      </c>
      <c r="H32" s="6" t="str">
        <f t="shared" ca="1" si="5"/>
        <v>ALPES (INVERTIDO)</v>
      </c>
      <c r="I32" s="6" t="str">
        <f t="shared" ca="1" si="5"/>
        <v>C</v>
      </c>
    </row>
    <row r="33" spans="7:9" x14ac:dyDescent="0.25">
      <c r="G33" s="6" t="str">
        <f t="shared" ca="1" si="5"/>
        <v>NOCAUTE</v>
      </c>
      <c r="H33" s="6" t="str">
        <f t="shared" ca="1" si="5"/>
        <v>GRANDE MURALHA</v>
      </c>
      <c r="I33" s="6" t="str">
        <f t="shared" ca="1" si="5"/>
        <v>D</v>
      </c>
    </row>
    <row r="34" spans="7:9" x14ac:dyDescent="0.25">
      <c r="G34" s="6" t="str">
        <f t="shared" ca="1" si="5"/>
        <v>INFECÇÃO</v>
      </c>
      <c r="H34" s="6" t="str">
        <f t="shared" ca="1" si="5"/>
        <v>GUIANA FRANCESA</v>
      </c>
      <c r="I34" s="6" t="str">
        <f t="shared" ca="1" si="5"/>
        <v>B</v>
      </c>
    </row>
    <row r="35" spans="7:9" x14ac:dyDescent="0.25">
      <c r="G35" s="6" t="str">
        <f t="shared" ca="1" si="5"/>
        <v>CLÁSSICO</v>
      </c>
      <c r="H35" s="6" t="str">
        <f t="shared" ca="1" si="5"/>
        <v>GRANDE MURALHA</v>
      </c>
      <c r="I35" s="6" t="str">
        <f t="shared" ca="1" si="5"/>
        <v>C</v>
      </c>
    </row>
    <row r="36" spans="7:9" x14ac:dyDescent="0.25">
      <c r="G36" s="6" t="str">
        <f t="shared" ca="1" si="5"/>
        <v>DUELO</v>
      </c>
      <c r="H36" s="6" t="str">
        <f t="shared" ca="1" si="5"/>
        <v>A MIRAGEM</v>
      </c>
      <c r="I36" s="6" t="str">
        <f t="shared" ca="1" si="5"/>
        <v>S</v>
      </c>
    </row>
    <row r="37" spans="7:9" x14ac:dyDescent="0.25">
      <c r="G37" s="6" t="str">
        <f t="shared" ca="1" si="5"/>
        <v>DUELO</v>
      </c>
      <c r="H37" s="6" t="str">
        <f t="shared" ca="1" si="5"/>
        <v>GUIANA F. (INV)</v>
      </c>
      <c r="I37" s="6" t="str">
        <f t="shared" ca="1" si="5"/>
        <v>C</v>
      </c>
    </row>
    <row r="38" spans="7:9" x14ac:dyDescent="0.25">
      <c r="G38" s="6" t="str">
        <f t="shared" ca="1" si="5"/>
        <v>NOCAUTE</v>
      </c>
      <c r="H38" s="6" t="str">
        <f t="shared" ca="1" si="5"/>
        <v>GUIANA F. (INV)</v>
      </c>
      <c r="I38" s="6" t="str">
        <f t="shared" ca="1" si="5"/>
        <v>B</v>
      </c>
    </row>
    <row r="39" spans="7:9" x14ac:dyDescent="0.25">
      <c r="G39" s="6" t="str">
        <f t="shared" ca="1" si="5"/>
        <v>CLÁSSICO</v>
      </c>
      <c r="H39" s="6" t="str">
        <f t="shared" ca="1" si="5"/>
        <v>A ROSA DO DESERTO</v>
      </c>
      <c r="I39" s="6" t="str">
        <f t="shared" ca="1" si="5"/>
        <v>B</v>
      </c>
    </row>
    <row r="40" spans="7:9" x14ac:dyDescent="0.25">
      <c r="G40" s="6" t="str">
        <f t="shared" ca="1" si="5"/>
        <v>DUELO</v>
      </c>
      <c r="H40" s="6" t="str">
        <f t="shared" ca="1" si="5"/>
        <v>RIVIERA FRANCESA (INVERTIDO)</v>
      </c>
      <c r="I40" s="6" t="str">
        <f t="shared" ca="1" si="5"/>
        <v>A</v>
      </c>
    </row>
    <row r="41" spans="7:9" x14ac:dyDescent="0.25">
      <c r="G41" s="6" t="str">
        <f t="shared" ca="1" si="5"/>
        <v>DUELO</v>
      </c>
      <c r="H41" s="6" t="str">
        <f t="shared" ca="1" si="5"/>
        <v>VENEZA</v>
      </c>
      <c r="I41" s="6" t="str">
        <f t="shared" ca="1" si="5"/>
        <v>C</v>
      </c>
    </row>
    <row r="42" spans="7:9" x14ac:dyDescent="0.25">
      <c r="G42" s="6" t="str">
        <f t="shared" ca="1" si="5"/>
        <v>NOCAUTE</v>
      </c>
      <c r="H42" s="6" t="str">
        <f t="shared" ca="1" si="5"/>
        <v>A ROSA DO DESERTO</v>
      </c>
      <c r="I42" s="6" t="str">
        <f t="shared" ca="1" si="5"/>
        <v>D</v>
      </c>
    </row>
    <row r="43" spans="7:9" x14ac:dyDescent="0.25">
      <c r="G43" s="6" t="str">
        <f t="shared" ca="1" si="5"/>
        <v>NOCAUTE</v>
      </c>
      <c r="H43" s="6" t="str">
        <f t="shared" ca="1" si="5"/>
        <v>MURALHA (INV)</v>
      </c>
      <c r="I43" s="6" t="str">
        <f t="shared" ca="1" si="5"/>
        <v>S</v>
      </c>
    </row>
    <row r="44" spans="7:9" x14ac:dyDescent="0.25">
      <c r="G44" s="6" t="str">
        <f t="shared" ca="1" si="5"/>
        <v>CLÁSSICO</v>
      </c>
      <c r="H44" s="6" t="str">
        <f t="shared" ca="1" si="5"/>
        <v>RIVIERA FRANCESA</v>
      </c>
      <c r="I44" s="6" t="str">
        <f t="shared" ca="1" si="5"/>
        <v>B</v>
      </c>
    </row>
    <row r="45" spans="7:9" x14ac:dyDescent="0.25">
      <c r="G45" s="6" t="str">
        <f t="shared" ca="1" si="5"/>
        <v>NOCAUTE</v>
      </c>
      <c r="H45" s="6" t="str">
        <f t="shared" ca="1" si="5"/>
        <v>VENEZA</v>
      </c>
      <c r="I45" s="6" t="str">
        <f t="shared" ca="1" si="5"/>
        <v>S</v>
      </c>
    </row>
    <row r="46" spans="7:9" x14ac:dyDescent="0.25">
      <c r="G46" s="6" t="str">
        <f t="shared" ca="1" si="5"/>
        <v>INFECÇÃO</v>
      </c>
      <c r="H46" s="6" t="str">
        <f t="shared" ca="1" si="5"/>
        <v>GUIANA FRANCESA</v>
      </c>
      <c r="I46" s="6" t="str">
        <f t="shared" ca="1" si="5"/>
        <v>B</v>
      </c>
    </row>
    <row r="47" spans="7:9" x14ac:dyDescent="0.25">
      <c r="G47" s="6" t="str">
        <f t="shared" ca="1" si="5"/>
        <v>CLÁSSICO</v>
      </c>
      <c r="H47" s="6" t="str">
        <f t="shared" ca="1" si="5"/>
        <v>NEVADA (INVERTIDO)</v>
      </c>
      <c r="I47" s="6" t="str">
        <f t="shared" ca="1" si="5"/>
        <v>A</v>
      </c>
    </row>
    <row r="48" spans="7:9" x14ac:dyDescent="0.25">
      <c r="G48" s="6" t="str">
        <f t="shared" ca="1" si="5"/>
        <v>INFECÇÃO</v>
      </c>
      <c r="H48" s="6" t="str">
        <f t="shared" ca="1" si="5"/>
        <v>ISLÂNDIA (INV)</v>
      </c>
      <c r="I48" s="6" t="str">
        <f t="shared" ca="1" si="5"/>
        <v>S</v>
      </c>
    </row>
    <row r="49" spans="7:9" x14ac:dyDescent="0.25">
      <c r="G49" s="6" t="str">
        <f t="shared" ca="1" si="5"/>
        <v>ELIMINAÇÃO</v>
      </c>
      <c r="H49" s="6" t="str">
        <f t="shared" ca="1" si="5"/>
        <v>BARCELONA (INVERTIDO)</v>
      </c>
      <c r="I49" s="6" t="str">
        <f t="shared" ca="1" si="5"/>
        <v>B</v>
      </c>
    </row>
    <row r="50" spans="7:9" x14ac:dyDescent="0.25">
      <c r="G50" s="6" t="str">
        <f t="shared" ca="1" si="5"/>
        <v>CLÁSSICO</v>
      </c>
      <c r="H50" s="6" t="str">
        <f t="shared" ca="1" si="5"/>
        <v>NEVADA</v>
      </c>
      <c r="I50" s="6" t="str">
        <f t="shared" ca="1" si="5"/>
        <v>S</v>
      </c>
    </row>
    <row r="51" spans="7:9" x14ac:dyDescent="0.25">
      <c r="G51" s="6" t="str">
        <f t="shared" ca="1" si="5"/>
        <v>INFECÇÃO</v>
      </c>
      <c r="H51" s="6" t="str">
        <f t="shared" ca="1" si="5"/>
        <v>DUBAI</v>
      </c>
      <c r="I51" s="6" t="str">
        <f t="shared" ca="1" si="5"/>
        <v>D</v>
      </c>
    </row>
    <row r="52" spans="7:9" x14ac:dyDescent="0.25">
      <c r="G52" s="6" t="str">
        <f t="shared" ca="1" si="5"/>
        <v>INFECÇÃO</v>
      </c>
      <c r="H52" s="6" t="str">
        <f t="shared" ca="1" si="5"/>
        <v>WESTMINTER BRIDGE</v>
      </c>
      <c r="I52" s="6" t="str">
        <f t="shared" ca="1" si="5"/>
        <v>S</v>
      </c>
    </row>
    <row r="53" spans="7:9" x14ac:dyDescent="0.25">
      <c r="G53" s="6" t="str">
        <f t="shared" ca="1" si="5"/>
        <v>CLÁSSICO</v>
      </c>
      <c r="H53" s="6" t="str">
        <f t="shared" ca="1" si="5"/>
        <v>GRANDE MURALHA</v>
      </c>
      <c r="I53" s="6" t="str">
        <f t="shared" ca="1" si="5"/>
        <v>C</v>
      </c>
    </row>
    <row r="54" spans="7:9" x14ac:dyDescent="0.25">
      <c r="G54" s="6" t="str">
        <f t="shared" ca="1" si="5"/>
        <v>DUELO</v>
      </c>
      <c r="H54" s="6" t="str">
        <f t="shared" ca="1" si="5"/>
        <v>GRANDE MURALHA</v>
      </c>
      <c r="I54" s="6" t="str">
        <f t="shared" ca="1" si="5"/>
        <v>A</v>
      </c>
    </row>
    <row r="55" spans="7:9" x14ac:dyDescent="0.25">
      <c r="G55" s="6" t="str">
        <f t="shared" ca="1" si="5"/>
        <v>INFECÇÃO</v>
      </c>
      <c r="H55" s="6" t="str">
        <f t="shared" ca="1" si="5"/>
        <v>A MIRAGEM</v>
      </c>
      <c r="I55" s="6" t="str">
        <f t="shared" ca="1" si="5"/>
        <v>A</v>
      </c>
    </row>
    <row r="56" spans="7:9" x14ac:dyDescent="0.25">
      <c r="G56" s="6" t="str">
        <f t="shared" ca="1" si="5"/>
        <v>DUELO</v>
      </c>
      <c r="H56" s="6" t="str">
        <f t="shared" ca="1" si="5"/>
        <v>ESCALA DO MURO</v>
      </c>
      <c r="I56" s="6" t="str">
        <f t="shared" ca="1" si="5"/>
        <v>S</v>
      </c>
    </row>
    <row r="57" spans="7:9" x14ac:dyDescent="0.25">
      <c r="G57" s="6" t="str">
        <f t="shared" ca="1" si="5"/>
        <v>NOCAUTE</v>
      </c>
      <c r="H57" s="6" t="str">
        <f t="shared" ca="1" si="5"/>
        <v>TÓQUIO (INVERTIDO)</v>
      </c>
      <c r="I57" s="6" t="str">
        <f t="shared" ca="1" si="5"/>
        <v>C</v>
      </c>
    </row>
    <row r="58" spans="7:9" x14ac:dyDescent="0.25">
      <c r="G58" s="6" t="str">
        <f t="shared" ca="1" si="5"/>
        <v>NOCAUTE</v>
      </c>
      <c r="H58" s="6" t="str">
        <f t="shared" ca="1" si="5"/>
        <v>TÓQUIO</v>
      </c>
      <c r="I58" s="6" t="str">
        <f t="shared" ca="1" si="5"/>
        <v>S</v>
      </c>
    </row>
    <row r="59" spans="7:9" x14ac:dyDescent="0.25">
      <c r="G59" s="6" t="str">
        <f t="shared" ca="1" si="5"/>
        <v>DUELO</v>
      </c>
      <c r="H59" s="6" t="str">
        <f t="shared" ca="1" si="5"/>
        <v>LONDRES</v>
      </c>
      <c r="I59" s="6" t="str">
        <f t="shared" ca="1" si="5"/>
        <v>D</v>
      </c>
    </row>
    <row r="60" spans="7:9" x14ac:dyDescent="0.25">
      <c r="G60" s="6" t="str">
        <f t="shared" ca="1" si="5"/>
        <v>CLÁSSICO</v>
      </c>
      <c r="H60" s="6" t="str">
        <f t="shared" ca="1" si="5"/>
        <v>RIVIERA FRANCESA</v>
      </c>
      <c r="I60" s="6" t="str">
        <f t="shared" ca="1" si="5"/>
        <v>S</v>
      </c>
    </row>
    <row r="61" spans="7:9" x14ac:dyDescent="0.25">
      <c r="G61" s="6" t="str">
        <f t="shared" ca="1" si="5"/>
        <v>CLÁSSICO</v>
      </c>
      <c r="H61" s="6" t="str">
        <f t="shared" ca="1" si="5"/>
        <v>ISLÂNDIA (INV)</v>
      </c>
      <c r="I61" s="6" t="str">
        <f t="shared" ca="1" si="5"/>
        <v>D</v>
      </c>
    </row>
    <row r="62" spans="7:9" x14ac:dyDescent="0.25">
      <c r="G62" s="6" t="str">
        <f t="shared" ca="1" si="5"/>
        <v>DUELO</v>
      </c>
      <c r="H62" s="6" t="str">
        <f t="shared" ca="1" si="5"/>
        <v>VENEZA (INVERTIDO)</v>
      </c>
      <c r="I62" s="6" t="str">
        <f t="shared" ca="1" si="5"/>
        <v>B</v>
      </c>
    </row>
    <row r="63" spans="7:9" x14ac:dyDescent="0.25">
      <c r="G63" s="6" t="str">
        <f t="shared" ca="1" si="5"/>
        <v>INFECÇÃO</v>
      </c>
      <c r="H63" s="6" t="str">
        <f t="shared" ca="1" si="5"/>
        <v>A TOCA DO DRAGÃO</v>
      </c>
      <c r="I63" s="6" t="str">
        <f t="shared" ca="1" si="5"/>
        <v>S</v>
      </c>
    </row>
    <row r="64" spans="7:9" x14ac:dyDescent="0.25">
      <c r="G64" s="6" t="str">
        <f t="shared" ca="1" si="5"/>
        <v>DUELO</v>
      </c>
      <c r="H64" s="6" t="str">
        <f t="shared" ca="1" si="5"/>
        <v>ISLÂNDIA</v>
      </c>
      <c r="I64" s="6" t="str">
        <f t="shared" ca="1" si="5"/>
        <v>C</v>
      </c>
    </row>
    <row r="65" spans="7:9" x14ac:dyDescent="0.25">
      <c r="G65" s="6" t="str">
        <f t="shared" ca="1" si="5"/>
        <v>ELIMINAÇÃO</v>
      </c>
      <c r="H65" s="6" t="str">
        <f t="shared" ca="1" si="5"/>
        <v>A MIRAGEM</v>
      </c>
      <c r="I65" s="6" t="str">
        <f t="shared" ca="1" si="5"/>
        <v>D</v>
      </c>
    </row>
    <row r="66" spans="7:9" x14ac:dyDescent="0.25">
      <c r="G66" s="6" t="str">
        <f t="shared" ca="1" si="5"/>
        <v>NOCAUTE</v>
      </c>
      <c r="H66" s="6" t="str">
        <f t="shared" ca="1" si="5"/>
        <v>A MIRAGEM</v>
      </c>
      <c r="I66" s="6" t="str">
        <f t="shared" ca="1" si="5"/>
        <v>S</v>
      </c>
    </row>
    <row r="67" spans="7:9" x14ac:dyDescent="0.25">
      <c r="G67" s="6" t="str">
        <f t="shared" ca="1" si="5"/>
        <v>CLÁSSICO</v>
      </c>
      <c r="H67" s="6" t="str">
        <f t="shared" ca="1" si="5"/>
        <v>O TEMPLO</v>
      </c>
      <c r="I67" s="6" t="str">
        <f t="shared" ca="1" si="5"/>
        <v>A</v>
      </c>
    </row>
    <row r="68" spans="7:9" x14ac:dyDescent="0.25">
      <c r="G68" s="6" t="str">
        <f t="shared" ca="1" si="5"/>
        <v>CLÁSSICO</v>
      </c>
      <c r="H68" s="6" t="str">
        <f t="shared" ca="1" si="5"/>
        <v>VENEZA (INVERTIDO)</v>
      </c>
      <c r="I68" s="6" t="str">
        <f t="shared" ca="1" si="5"/>
        <v>D</v>
      </c>
    </row>
    <row r="69" spans="7:9" x14ac:dyDescent="0.25">
      <c r="G69" s="6" t="str">
        <f t="shared" ca="1" si="5"/>
        <v>CLÁSSICO</v>
      </c>
      <c r="H69" s="6" t="str">
        <f t="shared" ca="1" si="5"/>
        <v>WESTMINTER BRIDGE</v>
      </c>
      <c r="I69" s="6" t="str">
        <f t="shared" ca="1" si="5"/>
        <v>C</v>
      </c>
    </row>
    <row r="70" spans="7:9" x14ac:dyDescent="0.25">
      <c r="G70" s="6" t="str">
        <f t="shared" ca="1" si="5"/>
        <v>DUELO</v>
      </c>
      <c r="H70" s="6" t="str">
        <f t="shared" ca="1" si="5"/>
        <v>LONDRES</v>
      </c>
      <c r="I70" s="6" t="str">
        <f t="shared" ca="1" si="5"/>
        <v>A</v>
      </c>
    </row>
    <row r="71" spans="7:9" x14ac:dyDescent="0.25">
      <c r="G71" s="6" t="str">
        <f t="shared" ca="1" si="5"/>
        <v>CLÁSSICO</v>
      </c>
      <c r="H71" s="6" t="str">
        <f t="shared" ca="1" si="5"/>
        <v>MURALHA (INV)</v>
      </c>
      <c r="I71" s="6" t="str">
        <f t="shared" ca="1" si="5"/>
        <v>D</v>
      </c>
    </row>
    <row r="72" spans="7:9" x14ac:dyDescent="0.25">
      <c r="G72" s="6" t="str">
        <f t="shared" ca="1" si="5"/>
        <v>ELIMINAÇÃO</v>
      </c>
      <c r="H72" s="6" t="str">
        <f t="shared" ca="1" si="5"/>
        <v>A MIRAGEM</v>
      </c>
      <c r="I72" s="6" t="str">
        <f t="shared" ca="1" si="5"/>
        <v>C</v>
      </c>
    </row>
    <row r="73" spans="7:9" x14ac:dyDescent="0.25">
      <c r="G73" s="6" t="str">
        <f t="shared" ca="1" si="5"/>
        <v>DUELO</v>
      </c>
      <c r="H73" s="6" t="str">
        <f t="shared" ca="1" si="5"/>
        <v>ALPES (INVERTIDO)</v>
      </c>
      <c r="I73" s="6" t="str">
        <f t="shared" ca="1" si="5"/>
        <v>D</v>
      </c>
    </row>
    <row r="74" spans="7:9" x14ac:dyDescent="0.25">
      <c r="G74" s="6" t="str">
        <f t="shared" ca="1" si="5"/>
        <v>DUELO</v>
      </c>
      <c r="H74" s="6" t="str">
        <f t="shared" ca="1" si="5"/>
        <v>ALPES</v>
      </c>
      <c r="I74" s="6" t="str">
        <f t="shared" ca="1" si="5"/>
        <v>S</v>
      </c>
    </row>
    <row r="75" spans="7:9" x14ac:dyDescent="0.25">
      <c r="G75" s="6" t="str">
        <f t="shared" ca="1" si="5"/>
        <v>ELIMINAÇÃO</v>
      </c>
      <c r="H75" s="6" t="str">
        <f t="shared" ca="1" si="5"/>
        <v>GRANDE MURALHA</v>
      </c>
      <c r="I75" s="6" t="str">
        <f t="shared" ca="1" si="5"/>
        <v>D</v>
      </c>
    </row>
    <row r="76" spans="7:9" x14ac:dyDescent="0.25">
      <c r="G76" s="6" t="str">
        <f t="shared" ca="1" si="5"/>
        <v>INFECÇÃO</v>
      </c>
      <c r="H76" s="6" t="str">
        <f t="shared" ca="1" si="5"/>
        <v>VENEZA (INVERTIDO)</v>
      </c>
      <c r="I76" s="6" t="str">
        <f t="shared" ca="1" si="5"/>
        <v>D</v>
      </c>
    </row>
    <row r="77" spans="7:9" x14ac:dyDescent="0.25">
      <c r="G77" s="6" t="str">
        <f t="shared" ca="1" si="5"/>
        <v>CLÁSSICO</v>
      </c>
      <c r="H77" s="6" t="str">
        <f t="shared" ca="1" si="5"/>
        <v>VENEZA (INVERTIDO)</v>
      </c>
      <c r="I77" s="6" t="str">
        <f t="shared" ca="1" si="5"/>
        <v>A</v>
      </c>
    </row>
    <row r="78" spans="7:9" x14ac:dyDescent="0.25">
      <c r="G78" s="6" t="str">
        <f t="shared" ca="1" si="5"/>
        <v>CLÁSSICO</v>
      </c>
      <c r="H78" s="6" t="str">
        <f t="shared" ca="1" si="5"/>
        <v>ESCALA DO MURO</v>
      </c>
      <c r="I78" s="6" t="str">
        <f t="shared" ca="1" si="5"/>
        <v>A</v>
      </c>
    </row>
    <row r="79" spans="7:9" x14ac:dyDescent="0.25">
      <c r="G79" s="6" t="str">
        <f t="shared" ca="1" si="5"/>
        <v>CLÁSSICO</v>
      </c>
      <c r="H79" s="6" t="str">
        <f t="shared" ca="1" si="5"/>
        <v>DUBAI</v>
      </c>
      <c r="I79" s="6" t="str">
        <f t="shared" ca="1" si="5"/>
        <v>A</v>
      </c>
    </row>
    <row r="80" spans="7:9" x14ac:dyDescent="0.25">
      <c r="G80" s="6" t="str">
        <f t="shared" ca="1" si="5"/>
        <v>DUELO</v>
      </c>
      <c r="H80" s="6" t="str">
        <f t="shared" ca="1" si="5"/>
        <v>THE LONDON EYE</v>
      </c>
      <c r="I80" s="6" t="str">
        <f t="shared" ca="1" si="5"/>
        <v>S</v>
      </c>
    </row>
    <row r="81" spans="7:9" x14ac:dyDescent="0.25">
      <c r="G81" s="6" t="str">
        <f t="shared" ca="1" si="5"/>
        <v>DUELO</v>
      </c>
      <c r="H81" s="6" t="str">
        <f t="shared" ca="1" si="5"/>
        <v>TÓQUIO (INVERTIDO)</v>
      </c>
      <c r="I81" s="6" t="str">
        <f t="shared" ca="1" si="5"/>
        <v>C</v>
      </c>
    </row>
    <row r="82" spans="7:9" x14ac:dyDescent="0.25">
      <c r="G82" s="6" t="str">
        <f t="shared" ca="1" si="5"/>
        <v>INFECÇÃO</v>
      </c>
      <c r="H82" s="6" t="str">
        <f t="shared" ca="1" si="5"/>
        <v>ENSINAMENTO DE BUDA</v>
      </c>
      <c r="I82" s="6" t="str">
        <f t="shared" ca="1" si="5"/>
        <v>D</v>
      </c>
    </row>
    <row r="83" spans="7:9" x14ac:dyDescent="0.25">
      <c r="G83" s="6" t="str">
        <f t="shared" ca="1" si="5"/>
        <v>ELIMINAÇÃO</v>
      </c>
      <c r="H83" s="6" t="str">
        <f t="shared" ca="1" si="5"/>
        <v>THE LONDON EYE</v>
      </c>
      <c r="I83" s="6" t="str">
        <f t="shared" ca="1" si="5"/>
        <v>S</v>
      </c>
    </row>
    <row r="84" spans="7:9" x14ac:dyDescent="0.25">
      <c r="G84" s="6" t="str">
        <f t="shared" ca="1" si="5"/>
        <v>ELIMINAÇÃO</v>
      </c>
      <c r="H84" s="6" t="str">
        <f t="shared" ca="1" si="5"/>
        <v>NEVADA</v>
      </c>
      <c r="I84" s="6" t="str">
        <f t="shared" ca="1" si="5"/>
        <v>D</v>
      </c>
    </row>
    <row r="85" spans="7:9" x14ac:dyDescent="0.25">
      <c r="G85" s="6" t="str">
        <f t="shared" ca="1" si="5"/>
        <v>CLÁSSICO</v>
      </c>
      <c r="H85" s="6" t="str">
        <f t="shared" ca="1" si="5"/>
        <v>A ROSA DO DESERTO</v>
      </c>
      <c r="I85" s="6" t="str">
        <f t="shared" ca="1" si="5"/>
        <v>C</v>
      </c>
    </row>
    <row r="86" spans="7:9" x14ac:dyDescent="0.25">
      <c r="G86" s="6" t="str">
        <f t="shared" ref="G86:I101" ca="1" si="6">RandomValue(MATCH(G$1,$G$1:$I$1,0))</f>
        <v>DUELO</v>
      </c>
      <c r="H86" s="6" t="str">
        <f t="shared" ca="1" si="6"/>
        <v>LONDRES</v>
      </c>
      <c r="I86" s="6" t="str">
        <f t="shared" ca="1" si="6"/>
        <v>B</v>
      </c>
    </row>
    <row r="87" spans="7:9" x14ac:dyDescent="0.25">
      <c r="G87" s="6" t="str">
        <f t="shared" ca="1" si="6"/>
        <v>INFECÇÃO</v>
      </c>
      <c r="H87" s="6" t="str">
        <f t="shared" ca="1" si="6"/>
        <v>TÓQUIO (INVERTIDO)</v>
      </c>
      <c r="I87" s="6" t="str">
        <f t="shared" ca="1" si="6"/>
        <v>B</v>
      </c>
    </row>
    <row r="88" spans="7:9" x14ac:dyDescent="0.25">
      <c r="G88" s="6" t="str">
        <f t="shared" ca="1" si="6"/>
        <v>DUELO</v>
      </c>
      <c r="H88" s="6" t="str">
        <f t="shared" ca="1" si="6"/>
        <v>RIVIERA FRANCESA</v>
      </c>
      <c r="I88" s="6" t="str">
        <f t="shared" ca="1" si="6"/>
        <v>A</v>
      </c>
    </row>
    <row r="89" spans="7:9" x14ac:dyDescent="0.25">
      <c r="G89" s="6" t="str">
        <f t="shared" ca="1" si="6"/>
        <v>CLÁSSICO</v>
      </c>
      <c r="H89" s="6" t="str">
        <f t="shared" ca="1" si="6"/>
        <v>VENEZA (INVERTIDO)</v>
      </c>
      <c r="I89" s="6" t="str">
        <f t="shared" ca="1" si="6"/>
        <v>D</v>
      </c>
    </row>
    <row r="90" spans="7:9" x14ac:dyDescent="0.25">
      <c r="G90" s="6" t="str">
        <f t="shared" ca="1" si="6"/>
        <v>DUELO</v>
      </c>
      <c r="H90" s="6" t="str">
        <f t="shared" ca="1" si="6"/>
        <v>ISLÂNDIA</v>
      </c>
      <c r="I90" s="6" t="str">
        <f t="shared" ca="1" si="6"/>
        <v>S</v>
      </c>
    </row>
    <row r="91" spans="7:9" x14ac:dyDescent="0.25">
      <c r="G91" s="6" t="str">
        <f t="shared" ca="1" si="6"/>
        <v>ELIMINAÇÃO</v>
      </c>
      <c r="H91" s="6" t="str">
        <f t="shared" ca="1" si="6"/>
        <v>NEVADA (INVERTIDO)</v>
      </c>
      <c r="I91" s="6" t="str">
        <f t="shared" ca="1" si="6"/>
        <v>D</v>
      </c>
    </row>
    <row r="92" spans="7:9" x14ac:dyDescent="0.25">
      <c r="G92" s="6" t="str">
        <f t="shared" ca="1" si="6"/>
        <v>INFECÇÃO</v>
      </c>
      <c r="H92" s="6" t="str">
        <f t="shared" ca="1" si="6"/>
        <v>BARCELONA (INVERTIDO)</v>
      </c>
      <c r="I92" s="6" t="str">
        <f t="shared" ca="1" si="6"/>
        <v>C</v>
      </c>
    </row>
    <row r="93" spans="7:9" x14ac:dyDescent="0.25">
      <c r="G93" s="6" t="str">
        <f t="shared" ca="1" si="6"/>
        <v>DUELO</v>
      </c>
      <c r="H93" s="6" t="str">
        <f t="shared" ca="1" si="6"/>
        <v>GUIANA FRANCESA</v>
      </c>
      <c r="I93" s="6" t="str">
        <f t="shared" ca="1" si="6"/>
        <v>A</v>
      </c>
    </row>
    <row r="94" spans="7:9" x14ac:dyDescent="0.25">
      <c r="G94" s="6" t="str">
        <f t="shared" ca="1" si="6"/>
        <v>INFECÇÃO</v>
      </c>
      <c r="H94" s="6" t="str">
        <f t="shared" ca="1" si="6"/>
        <v>GRANDE MURALHA</v>
      </c>
      <c r="I94" s="6" t="str">
        <f t="shared" ca="1" si="6"/>
        <v>B</v>
      </c>
    </row>
    <row r="95" spans="7:9" x14ac:dyDescent="0.25">
      <c r="G95" s="6" t="str">
        <f t="shared" ca="1" si="6"/>
        <v>ELIMINAÇÃO</v>
      </c>
      <c r="H95" s="6" t="str">
        <f t="shared" ca="1" si="6"/>
        <v>WESTMINTER BRIDGE</v>
      </c>
      <c r="I95" s="6" t="str">
        <f t="shared" ca="1" si="6"/>
        <v>D</v>
      </c>
    </row>
    <row r="96" spans="7:9" x14ac:dyDescent="0.25">
      <c r="G96" s="6" t="str">
        <f t="shared" ca="1" si="6"/>
        <v>INFECÇÃO</v>
      </c>
      <c r="H96" s="6" t="str">
        <f t="shared" ca="1" si="6"/>
        <v>BARCELONA (INVERTIDO)</v>
      </c>
      <c r="I96" s="6" t="str">
        <f t="shared" ca="1" si="6"/>
        <v>D</v>
      </c>
    </row>
    <row r="97" spans="7:9" x14ac:dyDescent="0.25">
      <c r="G97" s="6" t="str">
        <f t="shared" ca="1" si="6"/>
        <v>DUELO</v>
      </c>
      <c r="H97" s="6" t="str">
        <f t="shared" ca="1" si="6"/>
        <v>NEVADA</v>
      </c>
      <c r="I97" s="6" t="str">
        <f t="shared" ca="1" si="6"/>
        <v>S</v>
      </c>
    </row>
    <row r="98" spans="7:9" x14ac:dyDescent="0.25">
      <c r="G98" s="6" t="str">
        <f t="shared" ca="1" si="6"/>
        <v>DUELO</v>
      </c>
      <c r="H98" s="6" t="str">
        <f t="shared" ca="1" si="6"/>
        <v>BARCELONA</v>
      </c>
      <c r="I98" s="6" t="str">
        <f t="shared" ca="1" si="6"/>
        <v>S</v>
      </c>
    </row>
    <row r="99" spans="7:9" x14ac:dyDescent="0.25">
      <c r="G99" s="6" t="str">
        <f t="shared" ca="1" si="6"/>
        <v>INFECÇÃO</v>
      </c>
      <c r="H99" s="6" t="str">
        <f t="shared" ca="1" si="6"/>
        <v>ESCALA DO MURO</v>
      </c>
      <c r="I99" s="6" t="str">
        <f t="shared" ca="1" si="6"/>
        <v>A</v>
      </c>
    </row>
    <row r="100" spans="7:9" x14ac:dyDescent="0.25">
      <c r="G100" s="6" t="str">
        <f t="shared" ca="1" si="6"/>
        <v>ELIMINAÇÃO</v>
      </c>
      <c r="H100" s="6" t="str">
        <f t="shared" ca="1" si="6"/>
        <v>RIVIERA FRANCESA (INVERTIDO)</v>
      </c>
      <c r="I100" s="6" t="str">
        <f t="shared" ca="1" si="6"/>
        <v>D</v>
      </c>
    </row>
    <row r="101" spans="7:9" x14ac:dyDescent="0.25">
      <c r="G101" s="6" t="str">
        <f t="shared" ca="1" si="6"/>
        <v>ELIMINAÇÃO</v>
      </c>
      <c r="H101" s="6" t="str">
        <f t="shared" ca="1" si="6"/>
        <v>O TEMPLO</v>
      </c>
      <c r="I101" s="6" t="str">
        <f t="shared" ca="1" si="6"/>
        <v>B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Planilha1</vt:lpstr>
      <vt:lpstr>tbJogos</vt:lpstr>
      <vt:lpstr>sApoio</vt:lpstr>
      <vt:lpstr>Category</vt:lpstr>
      <vt:lpstr>Game</vt:lpstr>
      <vt:lpstr>Local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Ivanildo Junior</dc:creator>
  <cp:lastModifiedBy>Ivanildo Junior</cp:lastModifiedBy>
  <dcterms:created xsi:type="dcterms:W3CDTF">2017-09-04T22:45:04Z</dcterms:created>
  <dcterms:modified xsi:type="dcterms:W3CDTF">2018-01-27T20:59:20Z</dcterms:modified>
</cp:coreProperties>
</file>