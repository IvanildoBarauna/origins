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625" codeName="{EAAD5824-E589-9196-6FC8-2F1B51211585}"/>
  <workbookPr codeName="EstaPasta_de_trabalho" defaultThemeVersion="124226"/>
  <mc:AlternateContent xmlns:mc="http://schemas.openxmlformats.org/markup-compatibility/2006">
    <mc:Choice Requires="x15">
      <x15ac:absPath xmlns:x15ac="http://schemas.microsoft.com/office/spreadsheetml/2010/11/ac" url="C:\Users\Junior&amp;Cris\Desktop\"/>
    </mc:Choice>
  </mc:AlternateContent>
  <bookViews>
    <workbookView xWindow="240" yWindow="735" windowWidth="20115" windowHeight="7935" xr2:uid="{00000000-000D-0000-FFFF-FFFF00000000}"/>
  </bookViews>
  <sheets>
    <sheet name="Planilha" sheetId="1" r:id="rId1"/>
    <sheet name="Referencia" sheetId="2" r:id="rId2"/>
    <sheet name="Dashboard" sheetId="8" r:id="rId3"/>
    <sheet name="BD" sheetId="3" r:id="rId4"/>
  </sheets>
  <definedNames>
    <definedName name="Ataque">Referencia!$N$1:$N$17</definedName>
    <definedName name="ATDados">Planilha!$A$59:$I$68</definedName>
    <definedName name="ATTT">BD!$A$59:$H$68</definedName>
    <definedName name="Bomb">Planilha!$I$59:$I$68</definedName>
    <definedName name="Defesa">Referencia!$O$1:$O$17</definedName>
    <definedName name="Limpar">Planilha!$C$4:$G$6,Planilha!$B$3:$C$3,Planilha!$E$3,Planilha!$I$3,Planilha!$L$3,Planilha!$J$4:$N$6,Planilha!$O$5</definedName>
    <definedName name="Mapa1">Referencia!$A$12:$A$15</definedName>
    <definedName name="Mapa10">Referencia!$A$12:$A$15</definedName>
    <definedName name="Mapa11">Referencia!$B$12:$B$15</definedName>
    <definedName name="Mapa12">Referencia!$C$12:$C$15</definedName>
    <definedName name="Mapa13">Referencia!$D$12:$D$15</definedName>
    <definedName name="Mapa14">Referencia!$E$12:$E$15</definedName>
    <definedName name="Mapa15">Referencia!$F$12:$F$15</definedName>
    <definedName name="Mapa16">Referencia!$G$12:$G$15</definedName>
    <definedName name="Mapa17">Referencia!$H$12:$H$15</definedName>
    <definedName name="Mapa18">Referencia!$I$12:$I$15</definedName>
    <definedName name="Mapa2">Referencia!$B$12:$B$15</definedName>
    <definedName name="Mapa3">Referencia!$C$12:$C$15</definedName>
    <definedName name="Mapa4">Referencia!$D$12:$D$15</definedName>
    <definedName name="Mapa5">Referencia!$E$12:$E$15</definedName>
    <definedName name="Mapa6">Referencia!$F$12:$F$15</definedName>
    <definedName name="Mapa7">Referencia!$G$12:$G$15</definedName>
    <definedName name="Mapa8">Referencia!$H$12:$H$15</definedName>
    <definedName name="Mapa9">Referencia!$I$12:$I$15</definedName>
    <definedName name="SegmentaçãodeDados_Equipe1">#N/A</definedName>
    <definedName name="SegmentaçãodeDados_Operador1">#N/A</definedName>
    <definedName name="SegmentaçãodeDados_Player1">#N/A</definedName>
    <definedName name="SegmentaçãodeDados_Posição1">#N/A</definedName>
    <definedName name="SegmentaçãodeDados_Vitória">#N/A</definedName>
    <definedName name="Team1">Referencia!$A$2:$A$7</definedName>
    <definedName name="Team2">Referencia!$B$2:$B$7</definedName>
    <definedName name="Team3">Referencia!$C$2:$C$7</definedName>
    <definedName name="Team4">Referencia!$D$2:$D$7</definedName>
    <definedName name="Team5">Referencia!$E$2:$E$7</definedName>
    <definedName name="Team6">Referencia!$F$2:$F$7</definedName>
    <definedName name="Team7">Referencia!$G$2:$G$7</definedName>
    <definedName name="Team8">Referencia!$H$2:$H$7</definedName>
  </definedNames>
  <calcPr calcId="171027"/>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M18" i="8" l="1"/>
  <c r="M17" i="8"/>
  <c r="O16" i="8"/>
  <c r="P16" i="8"/>
  <c r="Q16" i="8"/>
  <c r="R16" i="8"/>
  <c r="S16" i="8"/>
  <c r="T16" i="8"/>
  <c r="U16" i="8"/>
  <c r="V16" i="8"/>
  <c r="W16" i="8"/>
  <c r="O17" i="8"/>
  <c r="P17" i="8"/>
  <c r="Q17" i="8"/>
  <c r="R17" i="8"/>
  <c r="S17" i="8"/>
  <c r="T17" i="8"/>
  <c r="U17" i="8"/>
  <c r="V17" i="8"/>
  <c r="W17" i="8"/>
  <c r="O18" i="8"/>
  <c r="P18" i="8"/>
  <c r="Q18" i="8"/>
  <c r="R18" i="8"/>
  <c r="S18" i="8"/>
  <c r="T18" i="8"/>
  <c r="U18" i="8"/>
  <c r="V18" i="8"/>
  <c r="W18" i="8"/>
  <c r="N17" i="8"/>
  <c r="N18" i="8"/>
  <c r="U54" i="1" l="1"/>
  <c r="U49" i="1"/>
  <c r="U44" i="1"/>
  <c r="U39" i="1"/>
  <c r="U34" i="1"/>
  <c r="U29" i="1"/>
  <c r="U24" i="1"/>
  <c r="U19" i="1"/>
  <c r="U14" i="1"/>
  <c r="U9" i="1"/>
  <c r="U4" i="1"/>
  <c r="U55" i="1" l="1"/>
  <c r="S55" i="1"/>
  <c r="R54" i="1"/>
  <c r="Q54" i="1"/>
  <c r="T56" i="1" s="1"/>
  <c r="J53" i="1"/>
  <c r="U50" i="1"/>
  <c r="R48" i="1" s="1"/>
  <c r="S50" i="1"/>
  <c r="R49" i="1"/>
  <c r="Q49" i="1"/>
  <c r="S51" i="1" s="1"/>
  <c r="J48" i="1"/>
  <c r="U45" i="1"/>
  <c r="R43" i="1" s="1"/>
  <c r="S45" i="1"/>
  <c r="R44" i="1"/>
  <c r="Q44" i="1"/>
  <c r="S46" i="1" s="1"/>
  <c r="J43" i="1"/>
  <c r="U40" i="1"/>
  <c r="S40" i="1"/>
  <c r="R39" i="1"/>
  <c r="Q39" i="1"/>
  <c r="T41" i="1" s="1"/>
  <c r="J38" i="1"/>
  <c r="V35" i="1"/>
  <c r="U35" i="1"/>
  <c r="R33" i="1" s="1"/>
  <c r="S35" i="1"/>
  <c r="Q33" i="1" s="1"/>
  <c r="T34" i="1"/>
  <c r="R34" i="1"/>
  <c r="Q34" i="1"/>
  <c r="S36" i="1" s="1"/>
  <c r="J33" i="1"/>
  <c r="U30" i="1"/>
  <c r="S30" i="1"/>
  <c r="R29" i="1"/>
  <c r="Q29" i="1"/>
  <c r="S29" i="1" s="1"/>
  <c r="J28" i="1"/>
  <c r="U25" i="1"/>
  <c r="V25" i="1" s="1"/>
  <c r="S25" i="1"/>
  <c r="T25" i="1" s="1"/>
  <c r="R24" i="1"/>
  <c r="Q24" i="1"/>
  <c r="T26" i="1" s="1"/>
  <c r="J23" i="1"/>
  <c r="U20" i="1"/>
  <c r="R18" i="1" s="1"/>
  <c r="S20" i="1"/>
  <c r="Q18" i="1" s="1"/>
  <c r="R19" i="1"/>
  <c r="Q19" i="1"/>
  <c r="S21" i="1" s="1"/>
  <c r="J18" i="1"/>
  <c r="U15" i="1"/>
  <c r="S15" i="1"/>
  <c r="R14" i="1"/>
  <c r="Q14" i="1"/>
  <c r="T16" i="1" s="1"/>
  <c r="J13" i="1"/>
  <c r="R9" i="1"/>
  <c r="U10" i="1"/>
  <c r="S10" i="1"/>
  <c r="Q9" i="1"/>
  <c r="T11" i="1" s="1"/>
  <c r="J8" i="1"/>
  <c r="Q4" i="1"/>
  <c r="T6" i="1" s="1"/>
  <c r="J3" i="1"/>
  <c r="U5" i="1"/>
  <c r="S5" i="1"/>
  <c r="T5" i="1" s="1"/>
  <c r="V30" i="1" l="1"/>
  <c r="R28" i="1"/>
  <c r="T36" i="1"/>
  <c r="V45" i="1"/>
  <c r="V50" i="1"/>
  <c r="T35" i="1"/>
  <c r="V40" i="1"/>
  <c r="R38" i="1"/>
  <c r="T44" i="1"/>
  <c r="T46" i="1"/>
  <c r="T49" i="1"/>
  <c r="T51" i="1"/>
  <c r="T55" i="1"/>
  <c r="Q53" i="1"/>
  <c r="T50" i="1"/>
  <c r="Q48" i="1"/>
  <c r="V55" i="1"/>
  <c r="R53" i="1"/>
  <c r="T30" i="1"/>
  <c r="Q28" i="1"/>
  <c r="T40" i="1"/>
  <c r="Q38" i="1"/>
  <c r="T45" i="1"/>
  <c r="Q43" i="1"/>
  <c r="V15" i="1"/>
  <c r="R13" i="1"/>
  <c r="V20" i="1"/>
  <c r="T20" i="1"/>
  <c r="T15" i="1"/>
  <c r="Q13" i="1"/>
  <c r="T21" i="1"/>
  <c r="T19" i="1"/>
  <c r="T10" i="1"/>
  <c r="Q8" i="1"/>
  <c r="V5" i="1"/>
  <c r="R3" i="1"/>
  <c r="V10" i="1"/>
  <c r="R8" i="1"/>
  <c r="Q3" i="1"/>
  <c r="S54" i="1"/>
  <c r="S56" i="1"/>
  <c r="S49" i="1"/>
  <c r="T54" i="1"/>
  <c r="S31" i="1"/>
  <c r="S39" i="1"/>
  <c r="S41" i="1"/>
  <c r="T29" i="1"/>
  <c r="T31" i="1"/>
  <c r="S34" i="1"/>
  <c r="T39" i="1"/>
  <c r="S44" i="1"/>
  <c r="S24" i="1"/>
  <c r="S26" i="1"/>
  <c r="S19" i="1"/>
  <c r="T24" i="1"/>
  <c r="S9" i="1"/>
  <c r="S14" i="1"/>
  <c r="S16" i="1"/>
  <c r="T14" i="1"/>
  <c r="S11" i="1"/>
  <c r="T9" i="1"/>
  <c r="T4" i="1"/>
  <c r="S6" i="1"/>
  <c r="S4" i="1"/>
</calcChain>
</file>

<file path=xl/sharedStrings.xml><?xml version="1.0" encoding="utf-8"?>
<sst xmlns="http://schemas.openxmlformats.org/spreadsheetml/2006/main" count="2928" uniqueCount="183">
  <si>
    <t>BRK</t>
  </si>
  <si>
    <t>Nesk</t>
  </si>
  <si>
    <t>Zig</t>
  </si>
  <si>
    <t>One</t>
  </si>
  <si>
    <t>Bullet</t>
  </si>
  <si>
    <t>Yuuk</t>
  </si>
  <si>
    <t>MG</t>
  </si>
  <si>
    <t>Intact</t>
  </si>
  <si>
    <t>Px</t>
  </si>
  <si>
    <t>Novys</t>
  </si>
  <si>
    <t>Cyber</t>
  </si>
  <si>
    <t>Bor</t>
  </si>
  <si>
    <t>Bomb</t>
  </si>
  <si>
    <t>Operador</t>
  </si>
  <si>
    <t>Kills</t>
  </si>
  <si>
    <t>Ela</t>
  </si>
  <si>
    <t>Pulse</t>
  </si>
  <si>
    <t>Mira</t>
  </si>
  <si>
    <t>Smoke</t>
  </si>
  <si>
    <t>Buck</t>
  </si>
  <si>
    <t>Hibana</t>
  </si>
  <si>
    <t>Ash</t>
  </si>
  <si>
    <t>Jackal</t>
  </si>
  <si>
    <t>Glaz</t>
  </si>
  <si>
    <t>Player</t>
  </si>
  <si>
    <t>Fontt</t>
  </si>
  <si>
    <t>BD</t>
  </si>
  <si>
    <t>Arranha-Céu</t>
  </si>
  <si>
    <t>Sala de chá e Karaokê</t>
  </si>
  <si>
    <t>Escritório e Exibição</t>
  </si>
  <si>
    <t>Churrasco e Cozinha</t>
  </si>
  <si>
    <t>Quarto e Banheiro</t>
  </si>
  <si>
    <t>Banco</t>
  </si>
  <si>
    <t>Escritório do CEO e Sala dos Executivos</t>
  </si>
  <si>
    <t>Área Aberta e Sala dos Empregados</t>
  </si>
  <si>
    <t>Escritório dos Caixas e Arquivos</t>
  </si>
  <si>
    <t>Sala de CCTV e Armários</t>
  </si>
  <si>
    <t>Chalé</t>
  </si>
  <si>
    <t>Escritório e Suite</t>
  </si>
  <si>
    <t>Sala de Jogos e Bar</t>
  </si>
  <si>
    <t>Adega e Garagem de Snowmobile</t>
  </si>
  <si>
    <t>Cozinha e Sala de Troféus</t>
  </si>
  <si>
    <t>Casa de Campo</t>
  </si>
  <si>
    <t>Quarto e Academia</t>
  </si>
  <si>
    <t>Sala do Dinheiro e Sala do CCTV</t>
  </si>
  <si>
    <t>Bar e Sala de Mantimentos</t>
  </si>
  <si>
    <t>Templo e Sala do Arsenal</t>
  </si>
  <si>
    <t>Consulado</t>
  </si>
  <si>
    <t>Sala de Reuniões e Sala do Consulado</t>
  </si>
  <si>
    <t>Sala de Imprensa e Lobby</t>
  </si>
  <si>
    <t>Garagem e Cafeteria</t>
  </si>
  <si>
    <t>Fronteira</t>
  </si>
  <si>
    <t>Sala de Suprimentos e Alfandega</t>
  </si>
  <si>
    <t>Oficina e Sala de Ventilação</t>
  </si>
  <si>
    <t>WC e Atendentes</t>
  </si>
  <si>
    <t>Sala de Armas e Arquivos</t>
  </si>
  <si>
    <t>Kafe</t>
  </si>
  <si>
    <t>Bar e Cocktail</t>
  </si>
  <si>
    <t>Sala de Mineiração e Lareira</t>
  </si>
  <si>
    <t>Padaria e Grelhas</t>
  </si>
  <si>
    <t>Litoral</t>
  </si>
  <si>
    <t>Home Teather e Cobertura</t>
  </si>
  <si>
    <t>Cozinha e Entrada de Serviços</t>
  </si>
  <si>
    <t>Bar Azul e Bar do Sol</t>
  </si>
  <si>
    <t>Salão de Jogos e Salão</t>
  </si>
  <si>
    <t>Oregon</t>
  </si>
  <si>
    <t>Corredor do Quarto e Quarto Infantil</t>
  </si>
  <si>
    <t>Refeitorio e Cozinha</t>
  </si>
  <si>
    <t>Lavanderia e Sala de Suprimentos</t>
  </si>
  <si>
    <t>Escadaria da Torre</t>
  </si>
  <si>
    <t>Encore</t>
  </si>
  <si>
    <t>NoX</t>
  </si>
  <si>
    <t>Pain</t>
  </si>
  <si>
    <t>INTZ</t>
  </si>
  <si>
    <t>Gohan</t>
  </si>
  <si>
    <t>Astro</t>
  </si>
  <si>
    <t>Mav</t>
  </si>
  <si>
    <t>Muringa</t>
  </si>
  <si>
    <t>Camera</t>
  </si>
  <si>
    <t>PZD</t>
  </si>
  <si>
    <t>Julio</t>
  </si>
  <si>
    <t>Kamikaze</t>
  </si>
  <si>
    <t>Psychoo</t>
  </si>
  <si>
    <t>Wag</t>
  </si>
  <si>
    <t>Panico</t>
  </si>
  <si>
    <t>Valvreis</t>
  </si>
  <si>
    <t>Vision</t>
  </si>
  <si>
    <t>Blackz</t>
  </si>
  <si>
    <t>Velvet</t>
  </si>
  <si>
    <t>Cherry</t>
  </si>
  <si>
    <t>Snarfx</t>
  </si>
  <si>
    <t>Moody</t>
  </si>
  <si>
    <t>Seiya</t>
  </si>
  <si>
    <t>Sexy Cake</t>
  </si>
  <si>
    <t>Lipezord</t>
  </si>
  <si>
    <t>Hugozord</t>
  </si>
  <si>
    <t>GZN</t>
  </si>
  <si>
    <t>King</t>
  </si>
  <si>
    <t>Revoltz</t>
  </si>
  <si>
    <t>Yoona</t>
  </si>
  <si>
    <t>Spawn</t>
  </si>
  <si>
    <t>Gere</t>
  </si>
  <si>
    <t>PSK</t>
  </si>
  <si>
    <t>Silence</t>
  </si>
  <si>
    <t>Lenda</t>
  </si>
  <si>
    <t>FK</t>
  </si>
  <si>
    <t>Niinja</t>
  </si>
  <si>
    <t>GCR</t>
  </si>
  <si>
    <t>Mapa</t>
  </si>
  <si>
    <t>Sledge</t>
  </si>
  <si>
    <t>Capitão</t>
  </si>
  <si>
    <t>Blackbeard</t>
  </si>
  <si>
    <t>Twitch</t>
  </si>
  <si>
    <t>Thermite</t>
  </si>
  <si>
    <t>Ying</t>
  </si>
  <si>
    <t>Montagne</t>
  </si>
  <si>
    <t>Blitz</t>
  </si>
  <si>
    <t>Thatcher</t>
  </si>
  <si>
    <t>Kapkan</t>
  </si>
  <si>
    <t>Lesion</t>
  </si>
  <si>
    <t>Bandit</t>
  </si>
  <si>
    <t>Jager</t>
  </si>
  <si>
    <t>Valkyrie</t>
  </si>
  <si>
    <t>Caveira</t>
  </si>
  <si>
    <t>Tatchanka</t>
  </si>
  <si>
    <t>IQ</t>
  </si>
  <si>
    <t>Fuze</t>
  </si>
  <si>
    <t>Rook</t>
  </si>
  <si>
    <t>Doc</t>
  </si>
  <si>
    <t>Castle</t>
  </si>
  <si>
    <t>Mute</t>
  </si>
  <si>
    <t>Frost</t>
  </si>
  <si>
    <t>Echo</t>
  </si>
  <si>
    <t>Zofia</t>
  </si>
  <si>
    <t>Defesa</t>
  </si>
  <si>
    <t>Mapa1</t>
  </si>
  <si>
    <t>Mapa2</t>
  </si>
  <si>
    <t>Mapa3</t>
  </si>
  <si>
    <t>Mapa4</t>
  </si>
  <si>
    <t>Mapa5</t>
  </si>
  <si>
    <t>Mapa6</t>
  </si>
  <si>
    <t>Mapa7</t>
  </si>
  <si>
    <t>Mapa8</t>
  </si>
  <si>
    <t>Mapa9</t>
  </si>
  <si>
    <t>Mapa10</t>
  </si>
  <si>
    <t>Mapa11</t>
  </si>
  <si>
    <t>Mapa12</t>
  </si>
  <si>
    <t>Mapa13</t>
  </si>
  <si>
    <t>Mapa14</t>
  </si>
  <si>
    <t>Mapa15</t>
  </si>
  <si>
    <t>Mapa16</t>
  </si>
  <si>
    <t>Mapa17</t>
  </si>
  <si>
    <t>Mapa18</t>
  </si>
  <si>
    <t>round 1</t>
  </si>
  <si>
    <t>Team1</t>
  </si>
  <si>
    <t>Team2</t>
  </si>
  <si>
    <t>Team3</t>
  </si>
  <si>
    <t>Team4</t>
  </si>
  <si>
    <t>Team5</t>
  </si>
  <si>
    <t>Team6</t>
  </si>
  <si>
    <t>Team7</t>
  </si>
  <si>
    <t>Team8</t>
  </si>
  <si>
    <t>ataq</t>
  </si>
  <si>
    <t>def</t>
  </si>
  <si>
    <t>Ataque</t>
  </si>
  <si>
    <t>Vitória</t>
  </si>
  <si>
    <t>round 2</t>
  </si>
  <si>
    <t>round 3</t>
  </si>
  <si>
    <t>round 4</t>
  </si>
  <si>
    <t>round 5</t>
  </si>
  <si>
    <t>round 6</t>
  </si>
  <si>
    <t>round 7</t>
  </si>
  <si>
    <t>round 8</t>
  </si>
  <si>
    <t>round 9</t>
  </si>
  <si>
    <t>round 10</t>
  </si>
  <si>
    <t>round 11</t>
  </si>
  <si>
    <t>(Tudo)</t>
  </si>
  <si>
    <t xml:space="preserve">Round </t>
  </si>
  <si>
    <t>Equipe</t>
  </si>
  <si>
    <t>Posição</t>
  </si>
  <si>
    <t>Kill</t>
  </si>
  <si>
    <t>Soma de Kill</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</si>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</sst>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1"/>
      <color theme="0"/>
      <name val="Calibri"/>
      <family val="2"/>
      <scheme val="minor"/>
    </font>
    <font>
      <b/>
      <sz val="11"/>
      <color theme="1"/>
      <name val="Calibri"/>
      <family val="2"/>
      <scheme val="minor"/>
    </font>
    <font>
      <sz val="11"/>
      <name val="Calibri"/>
      <family val="2"/>
      <scheme val="minor"/>
    </font>
    <font>
      <sz val="11"/>
      <color theme="9" tint="0.59999389629810485"/>
      <name val="Calibri"/>
      <family val="2"/>
      <scheme val="minor"/>
    </font>
    <font>
      <sz val="11"/>
      <color theme="6" tint="0.59999389629810485"/>
      <name val="Calibri"/>
      <family val="2"/>
      <scheme val="minor"/>
    </font>
    <font>
      <b/>
      <sz val="11"/>
      <color theme="1"/>
      <name val="Tahoma"/>
      <family val="2"/>
    </font>
    <font>
      <i/>
      <sz val="11"/>
      <color theme="3" tint="-0.499984740745262"/>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9" tint="0.59999389629810485"/>
        <bgColor indexed="64"/>
      </patternFill>
    </fill>
    <fill>
      <gradientFill>
        <stop position="0">
          <color theme="9" tint="0.40000610370189521"/>
        </stop>
        <stop position="1">
          <color theme="6" tint="-0.25098422193060094"/>
        </stop>
      </gradientFill>
    </fill>
    <fill>
      <patternFill patternType="solid">
        <fgColor theme="0" tint="-0.149998474074526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bottom style="thin">
        <color indexed="64"/>
      </bottom>
      <diagonal/>
    </border>
  </borders>
  <cellStyleXfs count="1">
    <xf numFmtId="0" fontId="0" fillId="0" borderId="0"/>
  </cellStyleXfs>
  <cellXfs count="42">
    <xf numFmtId="0" fontId="0" fillId="0" borderId="0" xfId="0"/>
    <xf numFmtId="0" fontId="0" fillId="0" borderId="1" xfId="0" applyBorder="1"/>
    <xf numFmtId="0" fontId="0" fillId="0" borderId="0" xfId="0" applyAlignment="1">
      <alignment vertical="center"/>
    </xf>
    <xf numFmtId="0" fontId="0" fillId="0" borderId="0" xfId="0" applyBorder="1"/>
    <xf numFmtId="0" fontId="0" fillId="0" borderId="1" xfId="0" applyFill="1" applyBorder="1"/>
    <xf numFmtId="0" fontId="3" fillId="0" borderId="0" xfId="0" applyFont="1" applyAlignment="1">
      <alignment vertical="center"/>
    </xf>
    <xf numFmtId="0" fontId="3" fillId="0" borderId="0" xfId="0" applyFont="1"/>
    <xf numFmtId="0" fontId="3" fillId="0" borderId="0" xfId="0" applyFont="1" applyAlignment="1">
      <alignment horizontal="center" vertical="center"/>
    </xf>
    <xf numFmtId="0" fontId="3" fillId="0" borderId="0" xfId="0" applyFont="1" applyAlignment="1" applyProtection="1">
      <alignment horizontal="left" vertical="center"/>
      <protection locked="0"/>
    </xf>
    <xf numFmtId="0" fontId="0" fillId="0" borderId="0" xfId="0" applyBorder="1" applyAlignment="1">
      <alignment vertical="center" textRotation="90"/>
    </xf>
    <xf numFmtId="0" fontId="0" fillId="0" borderId="4" xfId="0" applyBorder="1" applyAlignment="1">
      <alignment vertical="center"/>
    </xf>
    <xf numFmtId="0" fontId="3" fillId="0" borderId="0" xfId="0" applyFont="1" applyAlignment="1" applyProtection="1">
      <alignment horizontal="center" vertical="center"/>
      <protection locked="0"/>
    </xf>
    <xf numFmtId="0" fontId="0" fillId="5" borderId="3" xfId="0" applyFill="1" applyBorder="1" applyAlignment="1">
      <alignment horizontal="right" vertical="center" indent="1"/>
    </xf>
    <xf numFmtId="0" fontId="0" fillId="5" borderId="1" xfId="0" applyFill="1" applyBorder="1" applyAlignment="1">
      <alignment horizontal="right" vertical="center" indent="1"/>
    </xf>
    <xf numFmtId="0" fontId="0" fillId="6" borderId="9" xfId="0" applyFill="1" applyBorder="1" applyAlignment="1">
      <alignment horizontal="right" vertical="center" indent="1"/>
    </xf>
    <xf numFmtId="0" fontId="0" fillId="6" borderId="1" xfId="0" applyFill="1" applyBorder="1" applyAlignment="1">
      <alignment horizontal="right" vertical="center" indent="1"/>
    </xf>
    <xf numFmtId="0" fontId="0" fillId="3" borderId="3" xfId="0" applyFill="1" applyBorder="1" applyAlignment="1" applyProtection="1">
      <alignment horizontal="left" vertical="center" indent="1"/>
      <protection locked="0"/>
    </xf>
    <xf numFmtId="0" fontId="0" fillId="4" borderId="3" xfId="0" applyFill="1" applyBorder="1" applyAlignment="1" applyProtection="1">
      <alignment horizontal="left" vertical="center" indent="1"/>
      <protection locked="0"/>
    </xf>
    <xf numFmtId="0" fontId="0" fillId="3" borderId="1" xfId="0" applyFill="1" applyBorder="1" applyAlignment="1" applyProtection="1">
      <alignment horizontal="left" vertical="center" indent="1"/>
      <protection locked="0"/>
    </xf>
    <xf numFmtId="0" fontId="0" fillId="4" borderId="1" xfId="0" applyFill="1" applyBorder="1" applyAlignment="1" applyProtection="1">
      <alignment horizontal="left" vertical="center" indent="1"/>
      <protection locked="0"/>
    </xf>
    <xf numFmtId="0" fontId="0" fillId="4" borderId="1" xfId="0"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5" fillId="7" borderId="5" xfId="0" applyFont="1" applyFill="1" applyBorder="1" applyAlignment="1">
      <alignment horizontal="right" indent="1"/>
    </xf>
    <xf numFmtId="0" fontId="3" fillId="0" borderId="0" xfId="0" applyFont="1" applyBorder="1" applyAlignment="1" applyProtection="1">
      <alignment vertical="center"/>
      <protection locked="0"/>
    </xf>
    <xf numFmtId="0" fontId="4" fillId="8" borderId="5" xfId="0" applyFont="1" applyFill="1" applyBorder="1" applyAlignment="1">
      <alignment horizontal="right" indent="1"/>
    </xf>
    <xf numFmtId="0" fontId="0" fillId="8" borderId="8" xfId="0" applyFill="1" applyBorder="1" applyAlignment="1" applyProtection="1">
      <alignment vertical="center"/>
      <protection locked="0"/>
    </xf>
    <xf numFmtId="0" fontId="0" fillId="0" borderId="7" xfId="0" applyFill="1" applyBorder="1" applyProtection="1">
      <protection locked="0"/>
    </xf>
    <xf numFmtId="0" fontId="0" fillId="10" borderId="1" xfId="0"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2" fillId="0" borderId="0" xfId="0" applyFont="1"/>
    <xf numFmtId="0" fontId="0" fillId="7" borderId="8" xfId="0" applyFill="1" applyBorder="1" applyAlignment="1" applyProtection="1">
      <alignment vertical="center"/>
    </xf>
    <xf numFmtId="0" fontId="0" fillId="0" borderId="0" xfId="0" pivotButton="1"/>
    <xf numFmtId="0" fontId="0" fillId="0" borderId="0" xfId="0" applyNumberFormat="1"/>
    <xf numFmtId="0" fontId="0" fillId="0" borderId="0" xfId="0" applyProtection="1">
      <protection locked="0"/>
    </xf>
    <xf numFmtId="0" fontId="0" fillId="0" borderId="0" xfId="0" applyProtection="1"/>
    <xf numFmtId="0" fontId="0" fillId="0" borderId="0" xfId="0" applyProtection="1">
      <protection locked="0" hidden="1"/>
    </xf>
    <xf numFmtId="0" fontId="7" fillId="0" borderId="0" xfId="0" applyFont="1" applyAlignment="1">
      <alignment horizontal="center" vertical="center"/>
    </xf>
    <xf numFmtId="0" fontId="2" fillId="0" borderId="0" xfId="0" applyFont="1" applyAlignment="1">
      <alignment horizontal="right" vertical="center"/>
    </xf>
    <xf numFmtId="0" fontId="1" fillId="0" borderId="8" xfId="0" applyFont="1" applyBorder="1" applyAlignment="1" applyProtection="1">
      <alignment horizontal="center" vertical="center" wrapText="1"/>
      <protection locked="0"/>
    </xf>
    <xf numFmtId="0" fontId="1" fillId="0" borderId="6" xfId="0" applyFont="1" applyBorder="1" applyAlignment="1" applyProtection="1">
      <alignment horizontal="center" vertical="center" wrapText="1"/>
      <protection locked="0"/>
    </xf>
    <xf numFmtId="0" fontId="1" fillId="0" borderId="5" xfId="0" applyFont="1" applyBorder="1" applyAlignment="1" applyProtection="1">
      <alignment horizontal="center" vertical="center" wrapText="1"/>
      <protection locked="0"/>
    </xf>
    <xf numFmtId="0" fontId="6" fillId="9" borderId="2" xfId="0" applyFont="1" applyFill="1" applyBorder="1" applyAlignment="1">
      <alignment horizontal="center" vertical="center" textRotation="75"/>
    </xf>
  </cellXfs>
  <cellStyles count="1">
    <cellStyle name="Normal" xfId="0" builtinId="0"/>
  </cellStyles>
  <dxfs count="57">
    <dxf>
      <font>
        <color auto="1"/>
      </font>
    </dxf>
    <dxf>
      <font>
        <color auto="1"/>
      </font>
    </dxf>
    <dxf>
      <font>
        <color auto="1"/>
      </font>
    </dxf>
    <dxf>
      <font>
        <color auto="1"/>
      </font>
    </dxf>
    <dxf>
      <font>
        <color auto="1"/>
      </font>
    </dxf>
    <dxf>
      <font>
        <color auto="1"/>
      </font>
    </dxf>
    <dxf>
      <font>
        <color auto="1"/>
      </font>
    </dxf>
    <dxf>
      <font>
        <color auto="1"/>
      </font>
    </dxf>
    <dxf>
      <font>
        <color auto="1"/>
      </font>
    </dxf>
    <dxf>
      <font>
        <color theme="0"/>
      </font>
      <fill>
        <patternFill>
          <bgColor theme="1"/>
        </patternFill>
      </fill>
    </dxf>
    <dxf>
      <font>
        <color theme="0"/>
      </font>
      <fill>
        <patternFill>
          <bgColor theme="1"/>
        </patternFill>
      </fill>
    </dxf>
    <dxf>
      <font>
        <color auto="1"/>
      </font>
    </dxf>
    <dxf>
      <font>
        <color theme="0"/>
      </font>
      <fill>
        <patternFill>
          <bgColor theme="1"/>
        </patternFill>
      </fill>
    </dxf>
    <dxf>
      <font>
        <color auto="1"/>
      </font>
    </dxf>
    <dxf>
      <font>
        <color auto="1"/>
      </font>
    </dxf>
    <dxf>
      <font>
        <color theme="0"/>
      </font>
      <fill>
        <patternFill>
          <bgColor theme="1"/>
        </patternFill>
      </fill>
    </dxf>
    <dxf>
      <font>
        <color auto="1"/>
      </font>
    </dxf>
    <dxf>
      <font>
        <color auto="1"/>
      </font>
    </dxf>
    <dxf>
      <font>
        <color auto="1"/>
      </font>
    </dxf>
    <dxf>
      <font>
        <color auto="1"/>
      </font>
    </dxf>
    <dxf>
      <font>
        <color auto="1"/>
      </font>
    </dxf>
    <dxf>
      <font>
        <color theme="0"/>
      </font>
      <fill>
        <patternFill>
          <bgColor theme="1"/>
        </patternFill>
      </fill>
    </dxf>
    <dxf>
      <font>
        <color auto="1"/>
      </font>
    </dxf>
    <dxf>
      <font>
        <color auto="1"/>
      </font>
    </dxf>
    <dxf>
      <font>
        <color auto="1"/>
      </font>
    </dxf>
    <dxf>
      <font>
        <color auto="1"/>
      </font>
    </dxf>
    <dxf>
      <font>
        <color auto="1"/>
      </font>
    </dxf>
    <dxf>
      <font>
        <color auto="1"/>
      </font>
    </dxf>
    <dxf>
      <font>
        <color theme="0"/>
      </font>
      <fill>
        <patternFill>
          <bgColor theme="1"/>
        </patternFill>
      </fill>
    </dxf>
    <dxf>
      <font>
        <color auto="1"/>
      </font>
    </dxf>
    <dxf>
      <font>
        <color auto="1"/>
      </font>
    </dxf>
    <dxf>
      <font>
        <color auto="1"/>
      </font>
    </dxf>
    <dxf>
      <font>
        <color auto="1"/>
      </font>
    </dxf>
    <dxf>
      <font>
        <color auto="1"/>
      </font>
    </dxf>
    <dxf>
      <font>
        <color theme="0"/>
      </font>
      <fill>
        <patternFill>
          <bgColor theme="1"/>
        </patternFill>
      </fill>
    </dxf>
    <dxf>
      <font>
        <color auto="1"/>
      </font>
    </dxf>
    <dxf>
      <font>
        <color theme="0"/>
      </font>
      <fill>
        <patternFill>
          <bgColor theme="1"/>
        </patternFill>
      </fill>
    </dxf>
    <dxf>
      <font>
        <color auto="1"/>
      </font>
    </dxf>
    <dxf>
      <font>
        <color auto="1"/>
      </font>
    </dxf>
    <dxf>
      <font>
        <color auto="1"/>
      </font>
    </dxf>
    <dxf>
      <font>
        <color auto="1"/>
      </font>
    </dxf>
    <dxf>
      <font>
        <color auto="1"/>
      </font>
    </dxf>
    <dxf>
      <font>
        <color theme="0"/>
      </font>
      <fill>
        <patternFill>
          <bgColor theme="1"/>
        </patternFill>
      </fill>
    </dxf>
    <dxf>
      <font>
        <color auto="1"/>
      </font>
    </dxf>
    <dxf>
      <font>
        <color theme="0"/>
      </font>
      <fill>
        <patternFill>
          <bgColor theme="1"/>
        </patternFill>
      </fill>
    </dxf>
    <dxf>
      <font>
        <color auto="1"/>
      </font>
    </dxf>
    <dxf>
      <font>
        <color auto="1"/>
      </font>
    </dxf>
    <dxf>
      <font>
        <color auto="1"/>
      </font>
    </dxf>
    <dxf>
      <font>
        <color auto="1"/>
      </font>
    </dxf>
    <dxf>
      <font>
        <color auto="1"/>
      </font>
    </dxf>
    <dxf>
      <font>
        <color auto="1"/>
      </font>
    </dxf>
    <dxf>
      <font>
        <color theme="0"/>
      </font>
      <fill>
        <patternFill>
          <bgColor theme="1"/>
        </patternFill>
      </fill>
    </dxf>
    <dxf>
      <font>
        <color theme="0"/>
      </font>
      <fill>
        <patternFill>
          <bgColor theme="1"/>
        </patternFill>
      </fill>
    </dxf>
    <dxf>
      <font>
        <color auto="1"/>
      </font>
    </dxf>
    <dxf>
      <font>
        <color theme="0"/>
      </font>
      <fill>
        <patternFill>
          <bgColor theme="1"/>
        </patternFill>
      </fill>
    </dxf>
    <dxf>
      <font>
        <color auto="1"/>
      </font>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trlProps/ctrlProp1.xml><?xml version="1.0" encoding="utf-8"?>
<formControlPr xmlns="http://schemas.microsoft.com/office/spreadsheetml/2009/9/main" objectType="Drop" dropStyle="combo" dx="16" fmlaLink="$R$4" fmlaRange="Referencia!$J$11:$J$19" noThreeD="1" sel="8"/>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1</xdr:row>
          <xdr:rowOff>38100</xdr:rowOff>
        </xdr:from>
        <xdr:to>
          <xdr:col>4</xdr:col>
          <xdr:colOff>0</xdr:colOff>
          <xdr:row>1</xdr:row>
          <xdr:rowOff>238125</xdr:rowOff>
        </xdr:to>
        <xdr:sp macro="" textlink="">
          <xdr:nvSpPr>
            <xdr:cNvPr id="1035" name="Mapa"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790575</xdr:colOff>
      <xdr:row>0</xdr:row>
      <xdr:rowOff>180975</xdr:rowOff>
    </xdr:from>
    <xdr:to>
      <xdr:col>9</xdr:col>
      <xdr:colOff>581025</xdr:colOff>
      <xdr:row>1</xdr:row>
      <xdr:rowOff>133350</xdr:rowOff>
    </xdr:to>
    <xdr:sp macro="[0]!AreaTransfer1" textlink="">
      <xdr:nvSpPr>
        <xdr:cNvPr id="2" name="Retângulo de cantos arredondados 1">
          <a:extLst>
            <a:ext uri="{FF2B5EF4-FFF2-40B4-BE49-F238E27FC236}">
              <a16:creationId xmlns:a16="http://schemas.microsoft.com/office/drawing/2014/main" id="{00000000-0008-0000-0000-000002000000}"/>
            </a:ext>
          </a:extLst>
        </xdr:cNvPr>
        <xdr:cNvSpPr/>
      </xdr:nvSpPr>
      <xdr:spPr>
        <a:xfrm>
          <a:off x="5076825" y="180975"/>
          <a:ext cx="1733550"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t>Atualizar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13</xdr:col>
      <xdr:colOff>228600</xdr:colOff>
      <xdr:row>0</xdr:row>
      <xdr:rowOff>28574</xdr:rowOff>
    </xdr:from>
    <xdr:to>
      <xdr:col>16</xdr:col>
      <xdr:colOff>228600</xdr:colOff>
      <xdr:row>16</xdr:row>
      <xdr:rowOff>19050</xdr:rowOff>
    </xdr:to>
    <mc:AlternateContent xmlns:mc="http://schemas.openxmlformats.org/markup-compatibility/2006" xmlns:a14="http://schemas.microsoft.com/office/drawing/2010/main">
      <mc:Choice Requires="a14">
        <xdr:graphicFrame macro="">
          <xdr:nvGraphicFramePr>
            <xdr:cNvPr id="2" name="Player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Player 1"/>
            </a:graphicData>
          </a:graphic>
        </xdr:graphicFrame>
      </mc:Choice>
      <mc:Fallback xmlns="">
        <xdr:sp macro="" textlink="">
          <xdr:nvSpPr>
            <xdr:cNvPr id="0" name=""/>
            <xdr:cNvSpPr>
              <a:spLocks noTextEdit="1"/>
            </xdr:cNvSpPr>
          </xdr:nvSpPr>
          <xdr:spPr>
            <a:xfrm>
              <a:off x="6553200" y="28574"/>
              <a:ext cx="1828800" cy="3038476"/>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19</xdr:col>
      <xdr:colOff>390525</xdr:colOff>
      <xdr:row>5</xdr:row>
      <xdr:rowOff>142875</xdr:rowOff>
    </xdr:from>
    <xdr:to>
      <xdr:col>22</xdr:col>
      <xdr:colOff>390525</xdr:colOff>
      <xdr:row>10</xdr:row>
      <xdr:rowOff>114300</xdr:rowOff>
    </xdr:to>
    <mc:AlternateContent xmlns:mc="http://schemas.openxmlformats.org/markup-compatibility/2006" xmlns:a14="http://schemas.microsoft.com/office/drawing/2010/main">
      <mc:Choice Requires="a14">
        <xdr:graphicFrame macro="">
          <xdr:nvGraphicFramePr>
            <xdr:cNvPr id="6" name="Posição 1">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Posição 1"/>
            </a:graphicData>
          </a:graphic>
        </xdr:graphicFrame>
      </mc:Choice>
      <mc:Fallback xmlns="">
        <xdr:sp macro="" textlink="">
          <xdr:nvSpPr>
            <xdr:cNvPr id="0" name=""/>
            <xdr:cNvSpPr>
              <a:spLocks noTextEdit="1"/>
            </xdr:cNvSpPr>
          </xdr:nvSpPr>
          <xdr:spPr>
            <a:xfrm>
              <a:off x="10372725" y="1095375"/>
              <a:ext cx="1828800" cy="923925"/>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19</xdr:col>
      <xdr:colOff>381000</xdr:colOff>
      <xdr:row>0</xdr:row>
      <xdr:rowOff>66675</xdr:rowOff>
    </xdr:from>
    <xdr:to>
      <xdr:col>22</xdr:col>
      <xdr:colOff>381000</xdr:colOff>
      <xdr:row>5</xdr:row>
      <xdr:rowOff>28575</xdr:rowOff>
    </xdr:to>
    <mc:AlternateContent xmlns:mc="http://schemas.openxmlformats.org/markup-compatibility/2006" xmlns:a14="http://schemas.microsoft.com/office/drawing/2010/main">
      <mc:Choice Requires="a14">
        <xdr:graphicFrame macro="">
          <xdr:nvGraphicFramePr>
            <xdr:cNvPr id="8" name="Equipe 1">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microsoft.com/office/drawing/2010/slicer">
              <sle:slicer xmlns:sle="http://schemas.microsoft.com/office/drawing/2010/slicer" name="Equipe 1"/>
            </a:graphicData>
          </a:graphic>
        </xdr:graphicFrame>
      </mc:Choice>
      <mc:Fallback xmlns="">
        <xdr:sp macro="" textlink="">
          <xdr:nvSpPr>
            <xdr:cNvPr id="0" name=""/>
            <xdr:cNvSpPr>
              <a:spLocks noTextEdit="1"/>
            </xdr:cNvSpPr>
          </xdr:nvSpPr>
          <xdr:spPr>
            <a:xfrm>
              <a:off x="10363200" y="66675"/>
              <a:ext cx="1828800" cy="9144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16</xdr:col>
      <xdr:colOff>304800</xdr:colOff>
      <xdr:row>0</xdr:row>
      <xdr:rowOff>28574</xdr:rowOff>
    </xdr:from>
    <xdr:to>
      <xdr:col>19</xdr:col>
      <xdr:colOff>304800</xdr:colOff>
      <xdr:row>16</xdr:row>
      <xdr:rowOff>19050</xdr:rowOff>
    </xdr:to>
    <mc:AlternateContent xmlns:mc="http://schemas.openxmlformats.org/markup-compatibility/2006" xmlns:a14="http://schemas.microsoft.com/office/drawing/2010/main">
      <mc:Choice Requires="a14">
        <xdr:graphicFrame macro="">
          <xdr:nvGraphicFramePr>
            <xdr:cNvPr id="9" name="Operador 1">
              <a:extLst>
                <a:ext uri="{FF2B5EF4-FFF2-40B4-BE49-F238E27FC236}">
                  <a16:creationId xmlns:a16="http://schemas.microsoft.com/office/drawing/2014/main" id="{00000000-0008-0000-0200-000009000000}"/>
                </a:ext>
              </a:extLst>
            </xdr:cNvPr>
            <xdr:cNvGraphicFramePr/>
          </xdr:nvGraphicFramePr>
          <xdr:xfrm>
            <a:off x="0" y="0"/>
            <a:ext cx="0" cy="0"/>
          </xdr:xfrm>
          <a:graphic>
            <a:graphicData uri="http://schemas.microsoft.com/office/drawing/2010/slicer">
              <sle:slicer xmlns:sle="http://schemas.microsoft.com/office/drawing/2010/slicer" name="Operador 1"/>
            </a:graphicData>
          </a:graphic>
        </xdr:graphicFrame>
      </mc:Choice>
      <mc:Fallback xmlns="">
        <xdr:sp macro="" textlink="">
          <xdr:nvSpPr>
            <xdr:cNvPr id="0" name=""/>
            <xdr:cNvSpPr>
              <a:spLocks noTextEdit="1"/>
            </xdr:cNvSpPr>
          </xdr:nvSpPr>
          <xdr:spPr>
            <a:xfrm>
              <a:off x="8458200" y="28574"/>
              <a:ext cx="1828800" cy="3038476"/>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19</xdr:col>
      <xdr:colOff>390525</xdr:colOff>
      <xdr:row>11</xdr:row>
      <xdr:rowOff>38100</xdr:rowOff>
    </xdr:from>
    <xdr:to>
      <xdr:col>22</xdr:col>
      <xdr:colOff>390525</xdr:colOff>
      <xdr:row>16</xdr:row>
      <xdr:rowOff>19050</xdr:rowOff>
    </xdr:to>
    <mc:AlternateContent xmlns:mc="http://schemas.openxmlformats.org/markup-compatibility/2006" xmlns:a14="http://schemas.microsoft.com/office/drawing/2010/main">
      <mc:Choice Requires="a14">
        <xdr:graphicFrame macro="">
          <xdr:nvGraphicFramePr>
            <xdr:cNvPr id="10" name="Vitória">
              <a:extLst>
                <a:ext uri="{FF2B5EF4-FFF2-40B4-BE49-F238E27FC236}">
                  <a16:creationId xmlns:a16="http://schemas.microsoft.com/office/drawing/2014/main" id="{00000000-0008-0000-0200-00000A000000}"/>
                </a:ext>
              </a:extLst>
            </xdr:cNvPr>
            <xdr:cNvGraphicFramePr/>
          </xdr:nvGraphicFramePr>
          <xdr:xfrm>
            <a:off x="0" y="0"/>
            <a:ext cx="0" cy="0"/>
          </xdr:xfrm>
          <a:graphic>
            <a:graphicData uri="http://schemas.microsoft.com/office/drawing/2010/slicer">
              <sle:slicer xmlns:sle="http://schemas.microsoft.com/office/drawing/2010/slicer" name="Vitória"/>
            </a:graphicData>
          </a:graphic>
        </xdr:graphicFrame>
      </mc:Choice>
      <mc:Fallback xmlns="">
        <xdr:sp macro="" textlink="">
          <xdr:nvSpPr>
            <xdr:cNvPr id="0" name=""/>
            <xdr:cNvSpPr>
              <a:spLocks noTextEdit="1"/>
            </xdr:cNvSpPr>
          </xdr:nvSpPr>
          <xdr:spPr>
            <a:xfrm>
              <a:off x="10372725" y="2133600"/>
              <a:ext cx="1828800" cy="9334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Veras" refreshedDate="43063.416472337965" createdVersion="4" refreshedVersion="4" minRefreshableVersion="3" recordCount="260" xr:uid="{00000000-000A-0000-FFFF-FFFF1E000000}">
  <cacheSource type="worksheet">
    <worksheetSource ref="A1:I261" sheet="BD"/>
  </cacheSource>
  <cacheFields count="9">
    <cacheField name="Round " numFmtId="0">
      <sharedItems count="5">
        <s v="round 1"/>
        <s v="round 2"/>
        <s v="round 3"/>
        <s v="round 4"/>
        <s v="round 5"/>
      </sharedItems>
    </cacheField>
    <cacheField name="Mapa" numFmtId="0">
      <sharedItems count="1">
        <s v="Chalé"/>
      </sharedItems>
    </cacheField>
    <cacheField name="Vitória" numFmtId="0">
      <sharedItems count="1">
        <s v="MG"/>
      </sharedItems>
    </cacheField>
    <cacheField name="Equipe" numFmtId="0">
      <sharedItems count="2">
        <s v="BRK"/>
        <s v="MG"/>
      </sharedItems>
    </cacheField>
    <cacheField name="Posição" numFmtId="0">
      <sharedItems count="2">
        <s v="Defesa"/>
        <s v="Ataque"/>
      </sharedItems>
    </cacheField>
    <cacheField name="Player" numFmtId="0">
      <sharedItems count="10">
        <s v="Nesk"/>
        <s v="Zig"/>
        <s v="One"/>
        <s v="Bullet"/>
        <s v="Yuuk"/>
        <s v="Intact"/>
        <s v="Px"/>
        <s v="Novys"/>
        <s v="Cyber"/>
        <s v="Bor"/>
      </sharedItems>
    </cacheField>
    <cacheField name="Operador" numFmtId="0">
      <sharedItems count="13">
        <s v="Valkyrie"/>
        <s v="Mira"/>
        <s v="Pulse"/>
        <s v="Kapkan"/>
        <s v="Lesion"/>
        <s v="Hibana"/>
        <s v="Sledge"/>
        <s v="Ash"/>
        <s v="Twitch"/>
        <s v="Glaz"/>
        <s v="Smoke"/>
        <s v="Ela"/>
        <s v="Mute"/>
      </sharedItems>
    </cacheField>
    <cacheField name="Kill" numFmtId="0">
      <sharedItems containsSemiMixedTypes="0" containsString="0" containsNumber="1" containsInteger="1" minValue="0" maxValue="3"/>
    </cacheField>
    <cacheField name="Bomb" numFmtId="0">
      <sharedItems count="1">
        <s v="Adega e Garagem de Snowmobile"/>
      </sharedItems>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260">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1"/>
    <x v="0"/>
    <x v="0"/>
    <x v="0"/>
    <x v="1"/>
    <x v="0"/>
    <x v="7"/>
    <n v="3"/>
    <x v="0"/>
  </r>
  <r>
    <x v="1"/>
    <x v="0"/>
    <x v="0"/>
    <x v="0"/>
    <x v="1"/>
    <x v="1"/>
    <x v="5"/>
    <n v="1"/>
    <x v="0"/>
  </r>
  <r>
    <x v="1"/>
    <x v="0"/>
    <x v="0"/>
    <x v="0"/>
    <x v="1"/>
    <x v="2"/>
    <x v="6"/>
    <n v="1"/>
    <x v="0"/>
  </r>
  <r>
    <x v="1"/>
    <x v="0"/>
    <x v="0"/>
    <x v="0"/>
    <x v="1"/>
    <x v="3"/>
    <x v="8"/>
    <n v="0"/>
    <x v="0"/>
  </r>
  <r>
    <x v="1"/>
    <x v="0"/>
    <x v="0"/>
    <x v="0"/>
    <x v="1"/>
    <x v="4"/>
    <x v="9"/>
    <n v="0"/>
    <x v="0"/>
  </r>
  <r>
    <x v="1"/>
    <x v="0"/>
    <x v="0"/>
    <x v="1"/>
    <x v="0"/>
    <x v="5"/>
    <x v="10"/>
    <n v="1"/>
    <x v="0"/>
  </r>
  <r>
    <x v="1"/>
    <x v="0"/>
    <x v="0"/>
    <x v="1"/>
    <x v="0"/>
    <x v="6"/>
    <x v="1"/>
    <n v="0"/>
    <x v="0"/>
  </r>
  <r>
    <x v="1"/>
    <x v="0"/>
    <x v="0"/>
    <x v="1"/>
    <x v="0"/>
    <x v="7"/>
    <x v="11"/>
    <n v="2"/>
    <x v="0"/>
  </r>
  <r>
    <x v="1"/>
    <x v="0"/>
    <x v="0"/>
    <x v="1"/>
    <x v="0"/>
    <x v="8"/>
    <x v="0"/>
    <n v="0"/>
    <x v="0"/>
  </r>
  <r>
    <x v="1"/>
    <x v="0"/>
    <x v="0"/>
    <x v="1"/>
    <x v="0"/>
    <x v="9"/>
    <x v="12"/>
    <n v="2"/>
    <x v="0"/>
  </r>
  <r>
    <x v="2"/>
    <x v="0"/>
    <x v="0"/>
    <x v="0"/>
    <x v="0"/>
    <x v="0"/>
    <x v="11"/>
    <n v="2"/>
    <x v="0"/>
  </r>
  <r>
    <x v="2"/>
    <x v="0"/>
    <x v="0"/>
    <x v="0"/>
    <x v="0"/>
    <x v="1"/>
    <x v="2"/>
    <n v="0"/>
    <x v="0"/>
  </r>
  <r>
    <x v="2"/>
    <x v="0"/>
    <x v="0"/>
    <x v="0"/>
    <x v="0"/>
    <x v="2"/>
    <x v="1"/>
    <n v="2"/>
    <x v="0"/>
  </r>
  <r>
    <x v="2"/>
    <x v="0"/>
    <x v="0"/>
    <x v="0"/>
    <x v="0"/>
    <x v="3"/>
    <x v="0"/>
    <n v="0"/>
    <x v="0"/>
  </r>
  <r>
    <x v="2"/>
    <x v="0"/>
    <x v="0"/>
    <x v="0"/>
    <x v="0"/>
    <x v="4"/>
    <x v="10"/>
    <n v="0"/>
    <x v="0"/>
  </r>
  <r>
    <x v="2"/>
    <x v="0"/>
    <x v="0"/>
    <x v="1"/>
    <x v="1"/>
    <x v="5"/>
    <x v="5"/>
    <n v="1"/>
    <x v="0"/>
  </r>
  <r>
    <x v="2"/>
    <x v="0"/>
    <x v="0"/>
    <x v="1"/>
    <x v="1"/>
    <x v="6"/>
    <x v="6"/>
    <n v="0"/>
    <x v="0"/>
  </r>
  <r>
    <x v="2"/>
    <x v="0"/>
    <x v="0"/>
    <x v="1"/>
    <x v="1"/>
    <x v="7"/>
    <x v="7"/>
    <n v="3"/>
    <x v="0"/>
  </r>
  <r>
    <x v="2"/>
    <x v="0"/>
    <x v="0"/>
    <x v="1"/>
    <x v="1"/>
    <x v="8"/>
    <x v="8"/>
    <n v="1"/>
    <x v="0"/>
  </r>
  <r>
    <x v="2"/>
    <x v="0"/>
    <x v="0"/>
    <x v="1"/>
    <x v="1"/>
    <x v="9"/>
    <x v="9"/>
    <n v="0"/>
    <x v="0"/>
  </r>
  <r>
    <x v="3"/>
    <x v="0"/>
    <x v="0"/>
    <x v="0"/>
    <x v="1"/>
    <x v="0"/>
    <x v="7"/>
    <n v="3"/>
    <x v="0"/>
  </r>
  <r>
    <x v="3"/>
    <x v="0"/>
    <x v="0"/>
    <x v="0"/>
    <x v="1"/>
    <x v="1"/>
    <x v="5"/>
    <n v="1"/>
    <x v="0"/>
  </r>
  <r>
    <x v="3"/>
    <x v="0"/>
    <x v="0"/>
    <x v="0"/>
    <x v="1"/>
    <x v="2"/>
    <x v="6"/>
    <n v="0"/>
    <x v="0"/>
  </r>
  <r>
    <x v="3"/>
    <x v="0"/>
    <x v="0"/>
    <x v="0"/>
    <x v="1"/>
    <x v="3"/>
    <x v="8"/>
    <n v="0"/>
    <x v="0"/>
  </r>
  <r>
    <x v="3"/>
    <x v="0"/>
    <x v="0"/>
    <x v="0"/>
    <x v="1"/>
    <x v="4"/>
    <x v="9"/>
    <n v="0"/>
    <x v="0"/>
  </r>
  <r>
    <x v="3"/>
    <x v="0"/>
    <x v="0"/>
    <x v="1"/>
    <x v="0"/>
    <x v="5"/>
    <x v="10"/>
    <n v="1"/>
    <x v="0"/>
  </r>
  <r>
    <x v="3"/>
    <x v="0"/>
    <x v="0"/>
    <x v="1"/>
    <x v="0"/>
    <x v="6"/>
    <x v="1"/>
    <n v="0"/>
    <x v="0"/>
  </r>
  <r>
    <x v="3"/>
    <x v="0"/>
    <x v="0"/>
    <x v="1"/>
    <x v="0"/>
    <x v="7"/>
    <x v="11"/>
    <n v="2"/>
    <x v="0"/>
  </r>
  <r>
    <x v="3"/>
    <x v="0"/>
    <x v="0"/>
    <x v="1"/>
    <x v="0"/>
    <x v="8"/>
    <x v="0"/>
    <n v="1"/>
    <x v="0"/>
  </r>
  <r>
    <x v="3"/>
    <x v="0"/>
    <x v="0"/>
    <x v="1"/>
    <x v="0"/>
    <x v="9"/>
    <x v="12"/>
    <n v="1"/>
    <x v="0"/>
  </r>
  <r>
    <x v="4"/>
    <x v="0"/>
    <x v="0"/>
    <x v="0"/>
    <x v="0"/>
    <x v="0"/>
    <x v="11"/>
    <n v="1"/>
    <x v="0"/>
  </r>
  <r>
    <x v="4"/>
    <x v="0"/>
    <x v="0"/>
    <x v="0"/>
    <x v="0"/>
    <x v="1"/>
    <x v="2"/>
    <n v="0"/>
    <x v="0"/>
  </r>
  <r>
    <x v="4"/>
    <x v="0"/>
    <x v="0"/>
    <x v="0"/>
    <x v="0"/>
    <x v="2"/>
    <x v="1"/>
    <n v="0"/>
    <x v="0"/>
  </r>
  <r>
    <x v="4"/>
    <x v="0"/>
    <x v="0"/>
    <x v="0"/>
    <x v="0"/>
    <x v="3"/>
    <x v="0"/>
    <n v="1"/>
    <x v="0"/>
  </r>
  <r>
    <x v="4"/>
    <x v="0"/>
    <x v="0"/>
    <x v="0"/>
    <x v="0"/>
    <x v="4"/>
    <x v="10"/>
    <n v="2"/>
    <x v="0"/>
  </r>
  <r>
    <x v="4"/>
    <x v="0"/>
    <x v="0"/>
    <x v="1"/>
    <x v="1"/>
    <x v="5"/>
    <x v="5"/>
    <n v="1"/>
    <x v="0"/>
  </r>
  <r>
    <x v="4"/>
    <x v="0"/>
    <x v="0"/>
    <x v="1"/>
    <x v="1"/>
    <x v="6"/>
    <x v="6"/>
    <n v="1"/>
    <x v="0"/>
  </r>
  <r>
    <x v="4"/>
    <x v="0"/>
    <x v="0"/>
    <x v="1"/>
    <x v="1"/>
    <x v="7"/>
    <x v="7"/>
    <n v="2"/>
    <x v="0"/>
  </r>
  <r>
    <x v="4"/>
    <x v="0"/>
    <x v="0"/>
    <x v="1"/>
    <x v="1"/>
    <x v="8"/>
    <x v="8"/>
    <n v="0"/>
    <x v="0"/>
  </r>
  <r>
    <x v="4"/>
    <x v="0"/>
    <x v="0"/>
    <x v="1"/>
    <x v="1"/>
    <x v="9"/>
    <x v="9"/>
    <n v="1"/>
    <x v="0"/>
  </r>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1"/>
    <x v="0"/>
    <x v="0"/>
    <x v="0"/>
    <x v="1"/>
    <x v="0"/>
    <x v="7"/>
    <n v="3"/>
    <x v="0"/>
  </r>
  <r>
    <x v="1"/>
    <x v="0"/>
    <x v="0"/>
    <x v="0"/>
    <x v="1"/>
    <x v="1"/>
    <x v="5"/>
    <n v="1"/>
    <x v="0"/>
  </r>
  <r>
    <x v="1"/>
    <x v="0"/>
    <x v="0"/>
    <x v="0"/>
    <x v="1"/>
    <x v="2"/>
    <x v="6"/>
    <n v="1"/>
    <x v="0"/>
  </r>
  <r>
    <x v="1"/>
    <x v="0"/>
    <x v="0"/>
    <x v="0"/>
    <x v="1"/>
    <x v="3"/>
    <x v="8"/>
    <n v="0"/>
    <x v="0"/>
  </r>
  <r>
    <x v="1"/>
    <x v="0"/>
    <x v="0"/>
    <x v="0"/>
    <x v="1"/>
    <x v="4"/>
    <x v="9"/>
    <n v="0"/>
    <x v="0"/>
  </r>
  <r>
    <x v="1"/>
    <x v="0"/>
    <x v="0"/>
    <x v="1"/>
    <x v="0"/>
    <x v="5"/>
    <x v="10"/>
    <n v="1"/>
    <x v="0"/>
  </r>
  <r>
    <x v="1"/>
    <x v="0"/>
    <x v="0"/>
    <x v="1"/>
    <x v="0"/>
    <x v="6"/>
    <x v="1"/>
    <n v="0"/>
    <x v="0"/>
  </r>
  <r>
    <x v="1"/>
    <x v="0"/>
    <x v="0"/>
    <x v="1"/>
    <x v="0"/>
    <x v="7"/>
    <x v="11"/>
    <n v="2"/>
    <x v="0"/>
  </r>
  <r>
    <x v="1"/>
    <x v="0"/>
    <x v="0"/>
    <x v="1"/>
    <x v="0"/>
    <x v="8"/>
    <x v="0"/>
    <n v="0"/>
    <x v="0"/>
  </r>
  <r>
    <x v="1"/>
    <x v="0"/>
    <x v="0"/>
    <x v="1"/>
    <x v="0"/>
    <x v="9"/>
    <x v="12"/>
    <n v="2"/>
    <x v="0"/>
  </r>
  <r>
    <x v="2"/>
    <x v="0"/>
    <x v="0"/>
    <x v="0"/>
    <x v="0"/>
    <x v="0"/>
    <x v="11"/>
    <n v="2"/>
    <x v="0"/>
  </r>
  <r>
    <x v="2"/>
    <x v="0"/>
    <x v="0"/>
    <x v="0"/>
    <x v="0"/>
    <x v="1"/>
    <x v="2"/>
    <n v="0"/>
    <x v="0"/>
  </r>
  <r>
    <x v="2"/>
    <x v="0"/>
    <x v="0"/>
    <x v="0"/>
    <x v="0"/>
    <x v="2"/>
    <x v="1"/>
    <n v="2"/>
    <x v="0"/>
  </r>
  <r>
    <x v="2"/>
    <x v="0"/>
    <x v="0"/>
    <x v="0"/>
    <x v="0"/>
    <x v="3"/>
    <x v="0"/>
    <n v="0"/>
    <x v="0"/>
  </r>
  <r>
    <x v="2"/>
    <x v="0"/>
    <x v="0"/>
    <x v="0"/>
    <x v="0"/>
    <x v="4"/>
    <x v="10"/>
    <n v="0"/>
    <x v="0"/>
  </r>
  <r>
    <x v="2"/>
    <x v="0"/>
    <x v="0"/>
    <x v="1"/>
    <x v="1"/>
    <x v="5"/>
    <x v="5"/>
    <n v="1"/>
    <x v="0"/>
  </r>
  <r>
    <x v="2"/>
    <x v="0"/>
    <x v="0"/>
    <x v="1"/>
    <x v="1"/>
    <x v="6"/>
    <x v="6"/>
    <n v="0"/>
    <x v="0"/>
  </r>
  <r>
    <x v="2"/>
    <x v="0"/>
    <x v="0"/>
    <x v="1"/>
    <x v="1"/>
    <x v="7"/>
    <x v="7"/>
    <n v="3"/>
    <x v="0"/>
  </r>
  <r>
    <x v="2"/>
    <x v="0"/>
    <x v="0"/>
    <x v="1"/>
    <x v="1"/>
    <x v="8"/>
    <x v="8"/>
    <n v="1"/>
    <x v="0"/>
  </r>
  <r>
    <x v="2"/>
    <x v="0"/>
    <x v="0"/>
    <x v="1"/>
    <x v="1"/>
    <x v="9"/>
    <x v="9"/>
    <n v="0"/>
    <x v="0"/>
  </r>
  <r>
    <x v="3"/>
    <x v="0"/>
    <x v="0"/>
    <x v="0"/>
    <x v="1"/>
    <x v="0"/>
    <x v="7"/>
    <n v="3"/>
    <x v="0"/>
  </r>
  <r>
    <x v="3"/>
    <x v="0"/>
    <x v="0"/>
    <x v="0"/>
    <x v="1"/>
    <x v="1"/>
    <x v="5"/>
    <n v="1"/>
    <x v="0"/>
  </r>
  <r>
    <x v="3"/>
    <x v="0"/>
    <x v="0"/>
    <x v="0"/>
    <x v="1"/>
    <x v="2"/>
    <x v="6"/>
    <n v="0"/>
    <x v="0"/>
  </r>
  <r>
    <x v="3"/>
    <x v="0"/>
    <x v="0"/>
    <x v="0"/>
    <x v="1"/>
    <x v="3"/>
    <x v="8"/>
    <n v="0"/>
    <x v="0"/>
  </r>
  <r>
    <x v="3"/>
    <x v="0"/>
    <x v="0"/>
    <x v="0"/>
    <x v="1"/>
    <x v="4"/>
    <x v="9"/>
    <n v="0"/>
    <x v="0"/>
  </r>
  <r>
    <x v="3"/>
    <x v="0"/>
    <x v="0"/>
    <x v="1"/>
    <x v="0"/>
    <x v="5"/>
    <x v="10"/>
    <n v="1"/>
    <x v="0"/>
  </r>
  <r>
    <x v="3"/>
    <x v="0"/>
    <x v="0"/>
    <x v="1"/>
    <x v="0"/>
    <x v="6"/>
    <x v="1"/>
    <n v="0"/>
    <x v="0"/>
  </r>
  <r>
    <x v="3"/>
    <x v="0"/>
    <x v="0"/>
    <x v="1"/>
    <x v="0"/>
    <x v="7"/>
    <x v="11"/>
    <n v="2"/>
    <x v="0"/>
  </r>
  <r>
    <x v="3"/>
    <x v="0"/>
    <x v="0"/>
    <x v="1"/>
    <x v="0"/>
    <x v="8"/>
    <x v="0"/>
    <n v="1"/>
    <x v="0"/>
  </r>
  <r>
    <x v="3"/>
    <x v="0"/>
    <x v="0"/>
    <x v="1"/>
    <x v="0"/>
    <x v="9"/>
    <x v="12"/>
    <n v="1"/>
    <x v="0"/>
  </r>
  <r>
    <x v="4"/>
    <x v="0"/>
    <x v="0"/>
    <x v="0"/>
    <x v="0"/>
    <x v="0"/>
    <x v="11"/>
    <n v="1"/>
    <x v="0"/>
  </r>
  <r>
    <x v="4"/>
    <x v="0"/>
    <x v="0"/>
    <x v="0"/>
    <x v="0"/>
    <x v="1"/>
    <x v="2"/>
    <n v="0"/>
    <x v="0"/>
  </r>
  <r>
    <x v="4"/>
    <x v="0"/>
    <x v="0"/>
    <x v="0"/>
    <x v="0"/>
    <x v="2"/>
    <x v="1"/>
    <n v="0"/>
    <x v="0"/>
  </r>
  <r>
    <x v="4"/>
    <x v="0"/>
    <x v="0"/>
    <x v="0"/>
    <x v="0"/>
    <x v="3"/>
    <x v="0"/>
    <n v="1"/>
    <x v="0"/>
  </r>
  <r>
    <x v="4"/>
    <x v="0"/>
    <x v="0"/>
    <x v="0"/>
    <x v="0"/>
    <x v="4"/>
    <x v="10"/>
    <n v="2"/>
    <x v="0"/>
  </r>
  <r>
    <x v="4"/>
    <x v="0"/>
    <x v="0"/>
    <x v="1"/>
    <x v="1"/>
    <x v="5"/>
    <x v="5"/>
    <n v="1"/>
    <x v="0"/>
  </r>
  <r>
    <x v="4"/>
    <x v="0"/>
    <x v="0"/>
    <x v="1"/>
    <x v="1"/>
    <x v="6"/>
    <x v="6"/>
    <n v="1"/>
    <x v="0"/>
  </r>
  <r>
    <x v="4"/>
    <x v="0"/>
    <x v="0"/>
    <x v="1"/>
    <x v="1"/>
    <x v="7"/>
    <x v="7"/>
    <n v="2"/>
    <x v="0"/>
  </r>
  <r>
    <x v="4"/>
    <x v="0"/>
    <x v="0"/>
    <x v="1"/>
    <x v="1"/>
    <x v="8"/>
    <x v="8"/>
    <n v="0"/>
    <x v="0"/>
  </r>
  <r>
    <x v="4"/>
    <x v="0"/>
    <x v="0"/>
    <x v="1"/>
    <x v="1"/>
    <x v="9"/>
    <x v="9"/>
    <n v="1"/>
    <x v="0"/>
  </r>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1"/>
    <x v="0"/>
    <x v="0"/>
    <x v="0"/>
    <x v="1"/>
    <x v="0"/>
    <x v="7"/>
    <n v="3"/>
    <x v="0"/>
  </r>
  <r>
    <x v="1"/>
    <x v="0"/>
    <x v="0"/>
    <x v="0"/>
    <x v="1"/>
    <x v="1"/>
    <x v="5"/>
    <n v="1"/>
    <x v="0"/>
  </r>
  <r>
    <x v="1"/>
    <x v="0"/>
    <x v="0"/>
    <x v="0"/>
    <x v="1"/>
    <x v="2"/>
    <x v="6"/>
    <n v="1"/>
    <x v="0"/>
  </r>
  <r>
    <x v="1"/>
    <x v="0"/>
    <x v="0"/>
    <x v="0"/>
    <x v="1"/>
    <x v="3"/>
    <x v="8"/>
    <n v="0"/>
    <x v="0"/>
  </r>
  <r>
    <x v="1"/>
    <x v="0"/>
    <x v="0"/>
    <x v="0"/>
    <x v="1"/>
    <x v="4"/>
    <x v="9"/>
    <n v="0"/>
    <x v="0"/>
  </r>
  <r>
    <x v="1"/>
    <x v="0"/>
    <x v="0"/>
    <x v="1"/>
    <x v="0"/>
    <x v="5"/>
    <x v="10"/>
    <n v="1"/>
    <x v="0"/>
  </r>
  <r>
    <x v="1"/>
    <x v="0"/>
    <x v="0"/>
    <x v="1"/>
    <x v="0"/>
    <x v="6"/>
    <x v="1"/>
    <n v="0"/>
    <x v="0"/>
  </r>
  <r>
    <x v="1"/>
    <x v="0"/>
    <x v="0"/>
    <x v="1"/>
    <x v="0"/>
    <x v="7"/>
    <x v="11"/>
    <n v="2"/>
    <x v="0"/>
  </r>
  <r>
    <x v="1"/>
    <x v="0"/>
    <x v="0"/>
    <x v="1"/>
    <x v="0"/>
    <x v="8"/>
    <x v="0"/>
    <n v="0"/>
    <x v="0"/>
  </r>
  <r>
    <x v="1"/>
    <x v="0"/>
    <x v="0"/>
    <x v="1"/>
    <x v="0"/>
    <x v="9"/>
    <x v="12"/>
    <n v="2"/>
    <x v="0"/>
  </r>
  <r>
    <x v="2"/>
    <x v="0"/>
    <x v="0"/>
    <x v="0"/>
    <x v="0"/>
    <x v="0"/>
    <x v="11"/>
    <n v="2"/>
    <x v="0"/>
  </r>
  <r>
    <x v="2"/>
    <x v="0"/>
    <x v="0"/>
    <x v="0"/>
    <x v="0"/>
    <x v="1"/>
    <x v="2"/>
    <n v="0"/>
    <x v="0"/>
  </r>
  <r>
    <x v="2"/>
    <x v="0"/>
    <x v="0"/>
    <x v="0"/>
    <x v="0"/>
    <x v="2"/>
    <x v="1"/>
    <n v="2"/>
    <x v="0"/>
  </r>
  <r>
    <x v="2"/>
    <x v="0"/>
    <x v="0"/>
    <x v="0"/>
    <x v="0"/>
    <x v="3"/>
    <x v="0"/>
    <n v="0"/>
    <x v="0"/>
  </r>
  <r>
    <x v="2"/>
    <x v="0"/>
    <x v="0"/>
    <x v="0"/>
    <x v="0"/>
    <x v="4"/>
    <x v="10"/>
    <n v="0"/>
    <x v="0"/>
  </r>
  <r>
    <x v="2"/>
    <x v="0"/>
    <x v="0"/>
    <x v="1"/>
    <x v="1"/>
    <x v="5"/>
    <x v="5"/>
    <n v="1"/>
    <x v="0"/>
  </r>
  <r>
    <x v="2"/>
    <x v="0"/>
    <x v="0"/>
    <x v="1"/>
    <x v="1"/>
    <x v="6"/>
    <x v="6"/>
    <n v="0"/>
    <x v="0"/>
  </r>
  <r>
    <x v="2"/>
    <x v="0"/>
    <x v="0"/>
    <x v="1"/>
    <x v="1"/>
    <x v="7"/>
    <x v="7"/>
    <n v="3"/>
    <x v="0"/>
  </r>
  <r>
    <x v="2"/>
    <x v="0"/>
    <x v="0"/>
    <x v="1"/>
    <x v="1"/>
    <x v="8"/>
    <x v="8"/>
    <n v="1"/>
    <x v="0"/>
  </r>
  <r>
    <x v="2"/>
    <x v="0"/>
    <x v="0"/>
    <x v="1"/>
    <x v="1"/>
    <x v="9"/>
    <x v="9"/>
    <n v="0"/>
    <x v="0"/>
  </r>
  <r>
    <x v="3"/>
    <x v="0"/>
    <x v="0"/>
    <x v="0"/>
    <x v="1"/>
    <x v="0"/>
    <x v="7"/>
    <n v="3"/>
    <x v="0"/>
  </r>
  <r>
    <x v="3"/>
    <x v="0"/>
    <x v="0"/>
    <x v="0"/>
    <x v="1"/>
    <x v="1"/>
    <x v="5"/>
    <n v="1"/>
    <x v="0"/>
  </r>
  <r>
    <x v="3"/>
    <x v="0"/>
    <x v="0"/>
    <x v="0"/>
    <x v="1"/>
    <x v="2"/>
    <x v="6"/>
    <n v="0"/>
    <x v="0"/>
  </r>
  <r>
    <x v="3"/>
    <x v="0"/>
    <x v="0"/>
    <x v="0"/>
    <x v="1"/>
    <x v="3"/>
    <x v="8"/>
    <n v="0"/>
    <x v="0"/>
  </r>
  <r>
    <x v="3"/>
    <x v="0"/>
    <x v="0"/>
    <x v="0"/>
    <x v="1"/>
    <x v="4"/>
    <x v="9"/>
    <n v="0"/>
    <x v="0"/>
  </r>
  <r>
    <x v="3"/>
    <x v="0"/>
    <x v="0"/>
    <x v="1"/>
    <x v="0"/>
    <x v="5"/>
    <x v="10"/>
    <n v="1"/>
    <x v="0"/>
  </r>
  <r>
    <x v="3"/>
    <x v="0"/>
    <x v="0"/>
    <x v="1"/>
    <x v="0"/>
    <x v="6"/>
    <x v="1"/>
    <n v="0"/>
    <x v="0"/>
  </r>
  <r>
    <x v="3"/>
    <x v="0"/>
    <x v="0"/>
    <x v="1"/>
    <x v="0"/>
    <x v="7"/>
    <x v="11"/>
    <n v="2"/>
    <x v="0"/>
  </r>
  <r>
    <x v="3"/>
    <x v="0"/>
    <x v="0"/>
    <x v="1"/>
    <x v="0"/>
    <x v="8"/>
    <x v="0"/>
    <n v="1"/>
    <x v="0"/>
  </r>
  <r>
    <x v="3"/>
    <x v="0"/>
    <x v="0"/>
    <x v="1"/>
    <x v="0"/>
    <x v="9"/>
    <x v="12"/>
    <n v="1"/>
    <x v="0"/>
  </r>
  <r>
    <x v="4"/>
    <x v="0"/>
    <x v="0"/>
    <x v="0"/>
    <x v="0"/>
    <x v="0"/>
    <x v="11"/>
    <n v="1"/>
    <x v="0"/>
  </r>
  <r>
    <x v="4"/>
    <x v="0"/>
    <x v="0"/>
    <x v="0"/>
    <x v="0"/>
    <x v="1"/>
    <x v="2"/>
    <n v="0"/>
    <x v="0"/>
  </r>
  <r>
    <x v="4"/>
    <x v="0"/>
    <x v="0"/>
    <x v="0"/>
    <x v="0"/>
    <x v="2"/>
    <x v="1"/>
    <n v="0"/>
    <x v="0"/>
  </r>
  <r>
    <x v="4"/>
    <x v="0"/>
    <x v="0"/>
    <x v="0"/>
    <x v="0"/>
    <x v="3"/>
    <x v="0"/>
    <n v="1"/>
    <x v="0"/>
  </r>
  <r>
    <x v="4"/>
    <x v="0"/>
    <x v="0"/>
    <x v="0"/>
    <x v="0"/>
    <x v="4"/>
    <x v="10"/>
    <n v="2"/>
    <x v="0"/>
  </r>
  <r>
    <x v="4"/>
    <x v="0"/>
    <x v="0"/>
    <x v="1"/>
    <x v="1"/>
    <x v="5"/>
    <x v="5"/>
    <n v="1"/>
    <x v="0"/>
  </r>
  <r>
    <x v="4"/>
    <x v="0"/>
    <x v="0"/>
    <x v="1"/>
    <x v="1"/>
    <x v="6"/>
    <x v="6"/>
    <n v="1"/>
    <x v="0"/>
  </r>
  <r>
    <x v="4"/>
    <x v="0"/>
    <x v="0"/>
    <x v="1"/>
    <x v="1"/>
    <x v="7"/>
    <x v="7"/>
    <n v="2"/>
    <x v="0"/>
  </r>
  <r>
    <x v="4"/>
    <x v="0"/>
    <x v="0"/>
    <x v="1"/>
    <x v="1"/>
    <x v="8"/>
    <x v="8"/>
    <n v="0"/>
    <x v="0"/>
  </r>
  <r>
    <x v="4"/>
    <x v="0"/>
    <x v="0"/>
    <x v="1"/>
    <x v="1"/>
    <x v="9"/>
    <x v="9"/>
    <n v="1"/>
    <x v="0"/>
  </r>
  <r>
    <x v="0"/>
    <x v="0"/>
    <x v="0"/>
    <x v="0"/>
    <x v="0"/>
    <x v="0"/>
    <x v="0"/>
    <n v="1"/>
    <x v="0"/>
  </r>
  <r>
    <x v="0"/>
    <x v="0"/>
    <x v="0"/>
    <x v="0"/>
    <x v="0"/>
    <x v="1"/>
    <x v="1"/>
    <n v="1"/>
    <x v="0"/>
  </r>
  <r>
    <x v="0"/>
    <x v="0"/>
    <x v="0"/>
    <x v="0"/>
    <x v="0"/>
    <x v="2"/>
    <x v="2"/>
    <n v="0"/>
    <x v="0"/>
  </r>
  <r>
    <x v="0"/>
    <x v="0"/>
    <x v="0"/>
    <x v="0"/>
    <x v="0"/>
    <x v="3"/>
    <x v="3"/>
    <n v="0"/>
    <x v="0"/>
  </r>
  <r>
    <x v="0"/>
    <x v="0"/>
    <x v="0"/>
    <x v="0"/>
    <x v="0"/>
    <x v="4"/>
    <x v="4"/>
    <n v="1"/>
    <x v="0"/>
  </r>
  <r>
    <x v="0"/>
    <x v="0"/>
    <x v="0"/>
    <x v="1"/>
    <x v="1"/>
    <x v="5"/>
    <x v="5"/>
    <n v="2"/>
    <x v="0"/>
  </r>
  <r>
    <x v="0"/>
    <x v="0"/>
    <x v="0"/>
    <x v="1"/>
    <x v="1"/>
    <x v="6"/>
    <x v="6"/>
    <n v="1"/>
    <x v="0"/>
  </r>
  <r>
    <x v="0"/>
    <x v="0"/>
    <x v="0"/>
    <x v="1"/>
    <x v="1"/>
    <x v="7"/>
    <x v="7"/>
    <n v="1"/>
    <x v="0"/>
  </r>
  <r>
    <x v="0"/>
    <x v="0"/>
    <x v="0"/>
    <x v="1"/>
    <x v="1"/>
    <x v="8"/>
    <x v="8"/>
    <n v="1"/>
    <x v="0"/>
  </r>
  <r>
    <x v="0"/>
    <x v="0"/>
    <x v="0"/>
    <x v="1"/>
    <x v="1"/>
    <x v="9"/>
    <x v="9"/>
    <n v="0"/>
    <x v="0"/>
  </r>
  <r>
    <x v="1"/>
    <x v="0"/>
    <x v="0"/>
    <x v="0"/>
    <x v="1"/>
    <x v="0"/>
    <x v="7"/>
    <n v="3"/>
    <x v="0"/>
  </r>
  <r>
    <x v="1"/>
    <x v="0"/>
    <x v="0"/>
    <x v="0"/>
    <x v="1"/>
    <x v="1"/>
    <x v="5"/>
    <n v="1"/>
    <x v="0"/>
  </r>
  <r>
    <x v="1"/>
    <x v="0"/>
    <x v="0"/>
    <x v="0"/>
    <x v="1"/>
    <x v="2"/>
    <x v="6"/>
    <n v="1"/>
    <x v="0"/>
  </r>
  <r>
    <x v="1"/>
    <x v="0"/>
    <x v="0"/>
    <x v="0"/>
    <x v="1"/>
    <x v="3"/>
    <x v="8"/>
    <n v="0"/>
    <x v="0"/>
  </r>
  <r>
    <x v="1"/>
    <x v="0"/>
    <x v="0"/>
    <x v="0"/>
    <x v="1"/>
    <x v="4"/>
    <x v="9"/>
    <n v="0"/>
    <x v="0"/>
  </r>
  <r>
    <x v="1"/>
    <x v="0"/>
    <x v="0"/>
    <x v="1"/>
    <x v="0"/>
    <x v="5"/>
    <x v="10"/>
    <n v="1"/>
    <x v="0"/>
  </r>
  <r>
    <x v="1"/>
    <x v="0"/>
    <x v="0"/>
    <x v="1"/>
    <x v="0"/>
    <x v="6"/>
    <x v="1"/>
    <n v="0"/>
    <x v="0"/>
  </r>
  <r>
    <x v="1"/>
    <x v="0"/>
    <x v="0"/>
    <x v="1"/>
    <x v="0"/>
    <x v="7"/>
    <x v="11"/>
    <n v="2"/>
    <x v="0"/>
  </r>
  <r>
    <x v="1"/>
    <x v="0"/>
    <x v="0"/>
    <x v="1"/>
    <x v="0"/>
    <x v="8"/>
    <x v="0"/>
    <n v="0"/>
    <x v="0"/>
  </r>
  <r>
    <x v="1"/>
    <x v="0"/>
    <x v="0"/>
    <x v="1"/>
    <x v="0"/>
    <x v="9"/>
    <x v="12"/>
    <n v="2"/>
    <x v="0"/>
  </r>
  <r>
    <x v="2"/>
    <x v="0"/>
    <x v="0"/>
    <x v="0"/>
    <x v="0"/>
    <x v="0"/>
    <x v="11"/>
    <n v="2"/>
    <x v="0"/>
  </r>
  <r>
    <x v="2"/>
    <x v="0"/>
    <x v="0"/>
    <x v="0"/>
    <x v="0"/>
    <x v="1"/>
    <x v="2"/>
    <n v="0"/>
    <x v="0"/>
  </r>
  <r>
    <x v="2"/>
    <x v="0"/>
    <x v="0"/>
    <x v="0"/>
    <x v="0"/>
    <x v="2"/>
    <x v="1"/>
    <n v="2"/>
    <x v="0"/>
  </r>
  <r>
    <x v="2"/>
    <x v="0"/>
    <x v="0"/>
    <x v="0"/>
    <x v="0"/>
    <x v="3"/>
    <x v="0"/>
    <n v="0"/>
    <x v="0"/>
  </r>
  <r>
    <x v="2"/>
    <x v="0"/>
    <x v="0"/>
    <x v="0"/>
    <x v="0"/>
    <x v="4"/>
    <x v="10"/>
    <n v="0"/>
    <x v="0"/>
  </r>
  <r>
    <x v="2"/>
    <x v="0"/>
    <x v="0"/>
    <x v="1"/>
    <x v="1"/>
    <x v="5"/>
    <x v="5"/>
    <n v="1"/>
    <x v="0"/>
  </r>
  <r>
    <x v="2"/>
    <x v="0"/>
    <x v="0"/>
    <x v="1"/>
    <x v="1"/>
    <x v="6"/>
    <x v="6"/>
    <n v="0"/>
    <x v="0"/>
  </r>
  <r>
    <x v="2"/>
    <x v="0"/>
    <x v="0"/>
    <x v="1"/>
    <x v="1"/>
    <x v="7"/>
    <x v="7"/>
    <n v="3"/>
    <x v="0"/>
  </r>
  <r>
    <x v="2"/>
    <x v="0"/>
    <x v="0"/>
    <x v="1"/>
    <x v="1"/>
    <x v="8"/>
    <x v="8"/>
    <n v="1"/>
    <x v="0"/>
  </r>
  <r>
    <x v="2"/>
    <x v="0"/>
    <x v="0"/>
    <x v="1"/>
    <x v="1"/>
    <x v="9"/>
    <x v="9"/>
    <n v="0"/>
    <x v="0"/>
  </r>
  <r>
    <x v="3"/>
    <x v="0"/>
    <x v="0"/>
    <x v="0"/>
    <x v="1"/>
    <x v="0"/>
    <x v="7"/>
    <n v="3"/>
    <x v="0"/>
  </r>
  <r>
    <x v="3"/>
    <x v="0"/>
    <x v="0"/>
    <x v="0"/>
    <x v="1"/>
    <x v="1"/>
    <x v="5"/>
    <n v="1"/>
    <x v="0"/>
  </r>
  <r>
    <x v="3"/>
    <x v="0"/>
    <x v="0"/>
    <x v="0"/>
    <x v="1"/>
    <x v="2"/>
    <x v="6"/>
    <n v="0"/>
    <x v="0"/>
  </r>
  <r>
    <x v="3"/>
    <x v="0"/>
    <x v="0"/>
    <x v="0"/>
    <x v="1"/>
    <x v="3"/>
    <x v="8"/>
    <n v="0"/>
    <x v="0"/>
  </r>
  <r>
    <x v="3"/>
    <x v="0"/>
    <x v="0"/>
    <x v="0"/>
    <x v="1"/>
    <x v="4"/>
    <x v="9"/>
    <n v="0"/>
    <x v="0"/>
  </r>
  <r>
    <x v="3"/>
    <x v="0"/>
    <x v="0"/>
    <x v="1"/>
    <x v="0"/>
    <x v="5"/>
    <x v="10"/>
    <n v="1"/>
    <x v="0"/>
  </r>
  <r>
    <x v="3"/>
    <x v="0"/>
    <x v="0"/>
    <x v="1"/>
    <x v="0"/>
    <x v="6"/>
    <x v="1"/>
    <n v="0"/>
    <x v="0"/>
  </r>
  <r>
    <x v="3"/>
    <x v="0"/>
    <x v="0"/>
    <x v="1"/>
    <x v="0"/>
    <x v="7"/>
    <x v="11"/>
    <n v="2"/>
    <x v="0"/>
  </r>
  <r>
    <x v="3"/>
    <x v="0"/>
    <x v="0"/>
    <x v="1"/>
    <x v="0"/>
    <x v="8"/>
    <x v="0"/>
    <n v="1"/>
    <x v="0"/>
  </r>
  <r>
    <x v="3"/>
    <x v="0"/>
    <x v="0"/>
    <x v="1"/>
    <x v="0"/>
    <x v="9"/>
    <x v="12"/>
    <n v="1"/>
    <x v="0"/>
  </r>
  <r>
    <x v="4"/>
    <x v="0"/>
    <x v="0"/>
    <x v="0"/>
    <x v="0"/>
    <x v="0"/>
    <x v="11"/>
    <n v="1"/>
    <x v="0"/>
  </r>
  <r>
    <x v="4"/>
    <x v="0"/>
    <x v="0"/>
    <x v="0"/>
    <x v="0"/>
    <x v="1"/>
    <x v="2"/>
    <n v="0"/>
    <x v="0"/>
  </r>
  <r>
    <x v="4"/>
    <x v="0"/>
    <x v="0"/>
    <x v="0"/>
    <x v="0"/>
    <x v="2"/>
    <x v="1"/>
    <n v="0"/>
    <x v="0"/>
  </r>
  <r>
    <x v="4"/>
    <x v="0"/>
    <x v="0"/>
    <x v="0"/>
    <x v="0"/>
    <x v="3"/>
    <x v="0"/>
    <n v="1"/>
    <x v="0"/>
  </r>
  <r>
    <x v="4"/>
    <x v="0"/>
    <x v="0"/>
    <x v="0"/>
    <x v="0"/>
    <x v="4"/>
    <x v="10"/>
    <n v="2"/>
    <x v="0"/>
  </r>
  <r>
    <x v="4"/>
    <x v="0"/>
    <x v="0"/>
    <x v="1"/>
    <x v="1"/>
    <x v="5"/>
    <x v="5"/>
    <n v="1"/>
    <x v="0"/>
  </r>
  <r>
    <x v="4"/>
    <x v="0"/>
    <x v="0"/>
    <x v="1"/>
    <x v="1"/>
    <x v="6"/>
    <x v="6"/>
    <n v="1"/>
    <x v="0"/>
  </r>
  <r>
    <x v="4"/>
    <x v="0"/>
    <x v="0"/>
    <x v="1"/>
    <x v="1"/>
    <x v="7"/>
    <x v="7"/>
    <n v="2"/>
    <x v="0"/>
  </r>
  <r>
    <x v="4"/>
    <x v="0"/>
    <x v="0"/>
    <x v="1"/>
    <x v="1"/>
    <x v="8"/>
    <x v="8"/>
    <n v="0"/>
    <x v="0"/>
  </r>
  <r>
    <x v="4"/>
    <x v="0"/>
    <x v="0"/>
    <x v="1"/>
    <x v="1"/>
    <x v="9"/>
    <x v="9"/>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ela dinâmica2" cacheId="0" applyNumberFormats="0" applyBorderFormats="0" applyFontFormats="0" applyPatternFormats="0" applyAlignmentFormats="0" applyWidthHeightFormats="1" dataCaption="Valores" updatedVersion="4" minRefreshableVersion="3" useAutoFormatting="1" rowGrandTotals="0" colGrandTotals="0" itemPrintTitles="1" createdVersion="4" indent="0" compact="0" compactData="0" multipleFieldFilters="0" colHeaderCaption="Player">
  <location ref="A7:L10" firstHeaderRow="1" firstDataRow="2" firstDataCol="2" rowPageCount="5" colPageCount="1"/>
  <pivotFields count="9">
    <pivotField axis="axisPage" compact="0" outline="0" subtotalTop="0" showAll="0" defaultSubtotal="0">
      <items count="5">
        <item x="0"/>
        <item x="1"/>
        <item x="2"/>
        <item x="3"/>
        <item x="4"/>
      </items>
    </pivotField>
    <pivotField axis="axisPage" compact="0" outline="0" subtotalTop="0" showAll="0" defaultSubtotal="0">
      <items count="1">
        <item x="0"/>
      </items>
    </pivotField>
    <pivotField axis="axisPage" compact="0" outline="0" subtotalTop="0" showAll="0" defaultSubtotal="0">
      <items count="1">
        <item x="0"/>
      </items>
    </pivotField>
    <pivotField axis="axisPage" compact="0" outline="0" subtotalTop="0" showAll="0" defaultSubtotal="0">
      <items count="2">
        <item x="0"/>
        <item x="1"/>
      </items>
    </pivotField>
    <pivotField axis="axisRow" compact="0" outline="0" subtotalTop="0" showAll="0" defaultSubtotal="0">
      <items count="2">
        <item sd="0" x="1"/>
        <item sd="0" x="0"/>
      </items>
    </pivotField>
    <pivotField axis="axisCol" compact="0" outline="0" subtotalTop="0" showAll="0" defaultSubtotal="0">
      <items count="10">
        <item x="9"/>
        <item x="3"/>
        <item x="8"/>
        <item x="5"/>
        <item x="0"/>
        <item x="7"/>
        <item x="2"/>
        <item x="6"/>
        <item x="4"/>
        <item x="1"/>
      </items>
    </pivotField>
    <pivotField axis="axisRow" compact="0" outline="0" subtotalTop="0" showAll="0" defaultSubtotal="0">
      <items count="13">
        <item x="7"/>
        <item x="11"/>
        <item x="9"/>
        <item x="5"/>
        <item x="3"/>
        <item x="4"/>
        <item x="1"/>
        <item x="12"/>
        <item x="2"/>
        <item x="6"/>
        <item x="10"/>
        <item x="8"/>
        <item x="0"/>
      </items>
    </pivotField>
    <pivotField dataField="1" compact="0" outline="0" subtotalTop="0" showAll="0" defaultSubtotal="0"/>
    <pivotField axis="axisPage" compact="0" outline="0" subtotalTop="0" showAll="0" defaultSubtotal="0">
      <items count="1">
        <item x="0"/>
      </items>
    </pivotField>
  </pivotFields>
  <rowFields count="2">
    <field x="4"/>
    <field x="6"/>
  </rowFields>
  <rowItems count="2">
    <i>
      <x/>
    </i>
    <i>
      <x v="1"/>
    </i>
  </rowItems>
  <colFields count="1">
    <field x="5"/>
  </colFields>
  <colItems count="10">
    <i>
      <x/>
    </i>
    <i>
      <x v="1"/>
    </i>
    <i>
      <x v="2"/>
    </i>
    <i>
      <x v="3"/>
    </i>
    <i>
      <x v="4"/>
    </i>
    <i>
      <x v="5"/>
    </i>
    <i>
      <x v="6"/>
    </i>
    <i>
      <x v="7"/>
    </i>
    <i>
      <x v="8"/>
    </i>
    <i>
      <x v="9"/>
    </i>
  </colItems>
  <pageFields count="5">
    <pageField fld="1" item="0" hier="-1"/>
    <pageField fld="8" hier="-1"/>
    <pageField fld="0" hier="-1"/>
    <pageField fld="3" hier="-1"/>
    <pageField fld="2" hier="-1"/>
  </pageFields>
  <dataFields count="1">
    <dataField name="Soma de Kill"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layer1" xr10:uid="{00000000-0013-0000-FFFF-FFFF01000000}" sourceName="Player">
  <pivotTables>
    <pivotTable tabId="8" name="Tabela dinâmica2"/>
  </pivotTables>
  <data>
    <tabular pivotCacheId="3">
      <items count="10">
        <i x="9" s="1"/>
        <i x="3" s="1"/>
        <i x="8" s="1"/>
        <i x="5" s="1"/>
        <i x="0" s="1"/>
        <i x="7" s="1"/>
        <i x="2" s="1"/>
        <i x="6" s="1"/>
        <i x="4"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osição1" xr10:uid="{00000000-0013-0000-FFFF-FFFF02000000}" sourceName="Posição">
  <pivotTables>
    <pivotTable tabId="8" name="Tabela dinâmica2"/>
  </pivotTables>
  <data>
    <tabular pivotCacheId="3">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Equipe1" xr10:uid="{00000000-0013-0000-FFFF-FFFF03000000}" sourceName="Equipe">
  <pivotTables>
    <pivotTable tabId="8" name="Tabela dinâmica2"/>
  </pivotTables>
  <data>
    <tabular pivotCacheId="3">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Operador1" xr10:uid="{00000000-0013-0000-FFFF-FFFF04000000}" sourceName="Operador">
  <pivotTables>
    <pivotTable tabId="8" name="Tabela dinâmica2"/>
  </pivotTables>
  <data>
    <tabular pivotCacheId="3">
      <items count="13">
        <i x="7" s="1"/>
        <i x="11" s="1"/>
        <i x="9" s="1"/>
        <i x="5" s="1"/>
        <i x="3" s="1"/>
        <i x="4" s="1"/>
        <i x="1" s="1"/>
        <i x="12" s="1"/>
        <i x="2" s="1"/>
        <i x="6" s="1"/>
        <i x="10" s="1"/>
        <i x="8"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Vitória" xr10:uid="{00000000-0013-0000-FFFF-FFFF05000000}" sourceName="Vitória">
  <pivotTables>
    <pivotTable tabId="8" name="Tabela dinâmica2"/>
  </pivotTables>
  <data>
    <tabular pivotCacheId="3">
      <items count="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1" xr10:uid="{00000000-0014-0000-FFFF-FFFF01000000}" cache="SegmentaçãodeDados_Player1" caption="Player" rowHeight="241300"/>
  <slicer name="Posição 1" xr10:uid="{00000000-0014-0000-FFFF-FFFF02000000}" cache="SegmentaçãodeDados_Posição1" caption="Posição" rowHeight="241300"/>
  <slicer name="Equipe 1" xr10:uid="{00000000-0014-0000-FFFF-FFFF03000000}" cache="SegmentaçãodeDados_Equipe1" caption="Equipe" rowHeight="241300"/>
  <slicer name="Operador 1" xr10:uid="{00000000-0014-0000-FFFF-FFFF04000000}" cache="SegmentaçãodeDados_Operador1" caption="Operador" rowHeight="241300"/>
  <slicer name="Vitória" xr10:uid="{00000000-0014-0000-FFFF-FFFF05000000}" cache="SegmentaçãodeDados_Vitória" caption="Vitória" rowHeight="241300"/>
</slic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zPlanilha"/>
  <dimension ref="A1:W69"/>
  <sheetViews>
    <sheetView showGridLines="0" tabSelected="1" topLeftCell="A2" workbookViewId="0">
      <selection activeCell="B5" sqref="B5"/>
    </sheetView>
  </sheetViews>
  <sheetFormatPr defaultColWidth="0" defaultRowHeight="15" zeroHeight="1" x14ac:dyDescent="0.25"/>
  <cols>
    <col min="1" max="1" width="2.7109375" customWidth="1"/>
    <col min="2" max="2" width="10.7109375" customWidth="1"/>
    <col min="3" max="7" width="12.7109375" customWidth="1"/>
    <col min="8" max="8" width="5.7109375" customWidth="1"/>
    <col min="9" max="9" width="10.7109375" customWidth="1"/>
    <col min="10" max="14" width="12.7109375" customWidth="1"/>
    <col min="15" max="15" width="9.140625" customWidth="1"/>
    <col min="16" max="16" width="2.7109375" customWidth="1"/>
    <col min="17" max="23" width="9.140625" customWidth="1"/>
    <col min="24" max="16384" width="9.140625" hidden="1"/>
  </cols>
  <sheetData>
    <row r="1" spans="2:22" ht="24" customHeight="1" x14ac:dyDescent="0.25"/>
    <row r="2" spans="2:22" ht="24" customHeight="1" x14ac:dyDescent="0.25">
      <c r="J2" s="2"/>
      <c r="K2" s="2"/>
      <c r="L2" s="2"/>
      <c r="M2" s="2"/>
      <c r="N2" s="2"/>
      <c r="O2" s="2"/>
      <c r="P2" s="2"/>
    </row>
    <row r="3" spans="2:22" ht="15" customHeight="1" thickBot="1" x14ac:dyDescent="0.3">
      <c r="B3" s="26" t="s">
        <v>0</v>
      </c>
      <c r="C3" s="25" t="s">
        <v>134</v>
      </c>
      <c r="D3" s="24" t="s">
        <v>12</v>
      </c>
      <c r="E3" s="38" t="s">
        <v>40</v>
      </c>
      <c r="F3" s="39"/>
      <c r="G3" s="40"/>
      <c r="H3" s="41" t="s">
        <v>153</v>
      </c>
      <c r="I3" s="26" t="s">
        <v>6</v>
      </c>
      <c r="J3" s="30" t="str">
        <f>IF(C3="Defesa","Ataque",IF(C3="Ataque","Defesa",""))</f>
        <v>Ataque</v>
      </c>
      <c r="K3" s="22" t="s">
        <v>12</v>
      </c>
      <c r="L3" s="38"/>
      <c r="M3" s="39"/>
      <c r="N3" s="40"/>
      <c r="Q3" s="5" t="str">
        <f>IFERROR(INDEX(Referencia!I$1:I$8,S5),"")</f>
        <v>BRK</v>
      </c>
      <c r="R3" s="5" t="str">
        <f>IFERROR(INDEX(Referencia!I$1:I$8,U5),"")</f>
        <v>MG</v>
      </c>
      <c r="S3" s="6"/>
      <c r="T3" s="6"/>
      <c r="U3" s="6"/>
      <c r="V3" s="6"/>
    </row>
    <row r="4" spans="2:22" ht="15" customHeight="1" thickTop="1" x14ac:dyDescent="0.25">
      <c r="B4" s="12" t="s">
        <v>24</v>
      </c>
      <c r="C4" s="17" t="s">
        <v>1</v>
      </c>
      <c r="D4" s="17" t="s">
        <v>2</v>
      </c>
      <c r="E4" s="17" t="s">
        <v>3</v>
      </c>
      <c r="F4" s="17" t="s">
        <v>4</v>
      </c>
      <c r="G4" s="17" t="s">
        <v>5</v>
      </c>
      <c r="H4" s="41"/>
      <c r="I4" s="14" t="s">
        <v>24</v>
      </c>
      <c r="J4" s="16" t="s">
        <v>7</v>
      </c>
      <c r="K4" s="16" t="s">
        <v>8</v>
      </c>
      <c r="L4" s="16" t="s">
        <v>9</v>
      </c>
      <c r="M4" s="16" t="s">
        <v>10</v>
      </c>
      <c r="N4" s="16" t="s">
        <v>11</v>
      </c>
      <c r="O4" s="27" t="s">
        <v>165</v>
      </c>
      <c r="Q4" s="23">
        <f>IF(C3="","",IF(C3="Defesa",1,2))</f>
        <v>1</v>
      </c>
      <c r="R4" s="11">
        <v>8</v>
      </c>
      <c r="S4" s="7" t="str">
        <f>IF(Q4=1,INDEX(Referencia!K$11:K$19,R$4),"")</f>
        <v>Mapa8</v>
      </c>
      <c r="T4" s="7" t="str">
        <f>IF(Q4=2,INDEX(Referencia!L$11:L$19,R$4),"")</f>
        <v/>
      </c>
      <c r="U4" s="7" t="str">
        <f>IFERROR(INDEX(Referencia!J$11:J$19,R$4),"")</f>
        <v>Litoral</v>
      </c>
      <c r="V4" s="6"/>
    </row>
    <row r="5" spans="2:22" x14ac:dyDescent="0.25">
      <c r="B5" s="13" t="s">
        <v>13</v>
      </c>
      <c r="C5" s="19" t="s">
        <v>122</v>
      </c>
      <c r="D5" s="19" t="s">
        <v>17</v>
      </c>
      <c r="E5" s="19" t="s">
        <v>16</v>
      </c>
      <c r="F5" s="19" t="s">
        <v>118</v>
      </c>
      <c r="G5" s="19" t="s">
        <v>119</v>
      </c>
      <c r="H5" s="41"/>
      <c r="I5" s="15" t="s">
        <v>13</v>
      </c>
      <c r="J5" s="18" t="s">
        <v>20</v>
      </c>
      <c r="K5" s="18" t="s">
        <v>109</v>
      </c>
      <c r="L5" s="18" t="s">
        <v>21</v>
      </c>
      <c r="M5" s="18" t="s">
        <v>112</v>
      </c>
      <c r="N5" s="18" t="s">
        <v>23</v>
      </c>
      <c r="O5" s="28" t="s">
        <v>6</v>
      </c>
      <c r="Q5" s="5"/>
      <c r="R5" s="8"/>
      <c r="S5" s="6">
        <f>IF(B3&lt;&gt;"",MATCH(B3,Referencia!I$1:I$8,0),"")</f>
        <v>1</v>
      </c>
      <c r="T5" s="6" t="str">
        <f>IF(S5&lt;&gt;"",INDEX(Referencia!J$1:J$8,S5),"")</f>
        <v>Team1</v>
      </c>
      <c r="U5" s="6">
        <f>IF(I3&lt;&gt;"",MATCH(I3,Referencia!I$1:I$8,0),"")</f>
        <v>2</v>
      </c>
      <c r="V5" s="6" t="str">
        <f>IF(U5&lt;&gt;"",INDEX(Referencia!J$1:J$8,U5),"")</f>
        <v>Team2</v>
      </c>
    </row>
    <row r="6" spans="2:22" x14ac:dyDescent="0.25">
      <c r="B6" s="13" t="s">
        <v>14</v>
      </c>
      <c r="C6" s="20">
        <v>1</v>
      </c>
      <c r="D6" s="20">
        <v>1</v>
      </c>
      <c r="E6" s="20">
        <v>0</v>
      </c>
      <c r="F6" s="20">
        <v>0</v>
      </c>
      <c r="G6" s="20">
        <v>1</v>
      </c>
      <c r="H6" s="41"/>
      <c r="I6" s="15" t="s">
        <v>14</v>
      </c>
      <c r="J6" s="21">
        <v>2</v>
      </c>
      <c r="K6" s="21">
        <v>1</v>
      </c>
      <c r="L6" s="21">
        <v>1</v>
      </c>
      <c r="M6" s="21">
        <v>1</v>
      </c>
      <c r="N6" s="21">
        <v>0</v>
      </c>
      <c r="O6" s="10"/>
      <c r="Q6" s="5"/>
      <c r="S6" s="6" t="str">
        <f>IFERROR(IF(Q4=1,"Defesa","Ataque"),"")</f>
        <v>Defesa</v>
      </c>
      <c r="T6" s="6" t="str">
        <f>IFERROR(IF(Q4=2,"Defesa","Ataque"),"")</f>
        <v>Ataque</v>
      </c>
      <c r="U6" s="6"/>
      <c r="V6" s="6"/>
    </row>
    <row r="7" spans="2:22" x14ac:dyDescent="0.25">
      <c r="R7" s="6"/>
      <c r="S7" s="6"/>
      <c r="T7" s="6"/>
      <c r="U7" s="6"/>
    </row>
    <row r="8" spans="2:22" ht="15.75" customHeight="1" thickBot="1" x14ac:dyDescent="0.3">
      <c r="B8" s="26" t="s">
        <v>0</v>
      </c>
      <c r="C8" s="25" t="s">
        <v>164</v>
      </c>
      <c r="D8" s="24" t="s">
        <v>12</v>
      </c>
      <c r="E8" s="38"/>
      <c r="F8" s="39"/>
      <c r="G8" s="40"/>
      <c r="H8" s="41" t="s">
        <v>166</v>
      </c>
      <c r="I8" s="26" t="s">
        <v>6</v>
      </c>
      <c r="J8" s="30" t="str">
        <f>IF(C8="Defesa","Ataque",IF(C8="Ataque","Defesa",""))</f>
        <v>Defesa</v>
      </c>
      <c r="K8" s="22" t="s">
        <v>12</v>
      </c>
      <c r="L8" s="38" t="s">
        <v>40</v>
      </c>
      <c r="M8" s="39"/>
      <c r="N8" s="40"/>
      <c r="Q8" s="5" t="str">
        <f>IFERROR(INDEX(Referencia!I$1:I$8,S10),"")</f>
        <v>BRK</v>
      </c>
      <c r="R8" s="5" t="str">
        <f>IFERROR(INDEX(Referencia!I$1:I$8,U10),"")</f>
        <v>MG</v>
      </c>
      <c r="S8" s="6"/>
      <c r="T8" s="6"/>
      <c r="U8" s="6"/>
      <c r="V8" s="6"/>
    </row>
    <row r="9" spans="2:22" ht="15.75" thickTop="1" x14ac:dyDescent="0.25">
      <c r="B9" s="12" t="s">
        <v>24</v>
      </c>
      <c r="C9" s="17" t="s">
        <v>1</v>
      </c>
      <c r="D9" s="17" t="s">
        <v>2</v>
      </c>
      <c r="E9" s="17" t="s">
        <v>3</v>
      </c>
      <c r="F9" s="17" t="s">
        <v>4</v>
      </c>
      <c r="G9" s="17" t="s">
        <v>5</v>
      </c>
      <c r="H9" s="41"/>
      <c r="I9" s="14" t="s">
        <v>24</v>
      </c>
      <c r="J9" s="16" t="s">
        <v>7</v>
      </c>
      <c r="K9" s="16" t="s">
        <v>8</v>
      </c>
      <c r="L9" s="16" t="s">
        <v>9</v>
      </c>
      <c r="M9" s="16" t="s">
        <v>10</v>
      </c>
      <c r="N9" s="16" t="s">
        <v>11</v>
      </c>
      <c r="O9" s="27" t="s">
        <v>165</v>
      </c>
      <c r="Q9" s="23">
        <f>IF(C8="","",IF(C8="Defesa",1,2))</f>
        <v>2</v>
      </c>
      <c r="R9" s="11">
        <f>R$4</f>
        <v>8</v>
      </c>
      <c r="S9" s="7" t="str">
        <f>IF(Q9=1,INDEX(Referencia!K$11:K$19,R$4),"")</f>
        <v/>
      </c>
      <c r="T9" s="7" t="str">
        <f>IF(Q9=2,INDEX(Referencia!L$11:L$19,R$4),"")</f>
        <v>Mapa17</v>
      </c>
      <c r="U9" s="7" t="str">
        <f>IFERROR(INDEX(Referencia!J$11:J$19,R$4),"")</f>
        <v>Litoral</v>
      </c>
      <c r="V9" s="6"/>
    </row>
    <row r="10" spans="2:22" x14ac:dyDescent="0.25">
      <c r="B10" s="13" t="s">
        <v>13</v>
      </c>
      <c r="C10" s="19" t="s">
        <v>21</v>
      </c>
      <c r="D10" s="19" t="s">
        <v>20</v>
      </c>
      <c r="E10" s="19" t="s">
        <v>109</v>
      </c>
      <c r="F10" s="19" t="s">
        <v>112</v>
      </c>
      <c r="G10" s="19" t="s">
        <v>23</v>
      </c>
      <c r="H10" s="41"/>
      <c r="I10" s="15" t="s">
        <v>13</v>
      </c>
      <c r="J10" s="18" t="s">
        <v>18</v>
      </c>
      <c r="K10" s="18" t="s">
        <v>17</v>
      </c>
      <c r="L10" s="18" t="s">
        <v>15</v>
      </c>
      <c r="M10" s="18" t="s">
        <v>122</v>
      </c>
      <c r="N10" s="18" t="s">
        <v>130</v>
      </c>
      <c r="O10" s="28" t="s">
        <v>6</v>
      </c>
      <c r="Q10" s="5"/>
      <c r="R10" s="8"/>
      <c r="S10" s="6">
        <f>IF(B8&lt;&gt;"",MATCH(B8,Referencia!I$1:I$8,0),"")</f>
        <v>1</v>
      </c>
      <c r="T10" s="6" t="str">
        <f>IF(S10&lt;&gt;"",INDEX(Referencia!J$1:J$8,S10),"")</f>
        <v>Team1</v>
      </c>
      <c r="U10" s="6">
        <f>IF(I8&lt;&gt;"",MATCH(I8,Referencia!I$1:I$8,0),"")</f>
        <v>2</v>
      </c>
      <c r="V10" s="6" t="str">
        <f>IF(U10&lt;&gt;"",INDEX(Referencia!J$1:J$8,U10),"")</f>
        <v>Team2</v>
      </c>
    </row>
    <row r="11" spans="2:22" x14ac:dyDescent="0.25">
      <c r="B11" s="13" t="s">
        <v>14</v>
      </c>
      <c r="C11" s="20">
        <v>3</v>
      </c>
      <c r="D11" s="20">
        <v>1</v>
      </c>
      <c r="E11" s="20">
        <v>1</v>
      </c>
      <c r="F11" s="20">
        <v>0</v>
      </c>
      <c r="G11" s="20">
        <v>0</v>
      </c>
      <c r="H11" s="41"/>
      <c r="I11" s="15" t="s">
        <v>14</v>
      </c>
      <c r="J11" s="21">
        <v>1</v>
      </c>
      <c r="K11" s="21">
        <v>0</v>
      </c>
      <c r="L11" s="21">
        <v>2</v>
      </c>
      <c r="M11" s="21">
        <v>0</v>
      </c>
      <c r="N11" s="21">
        <v>2</v>
      </c>
      <c r="O11" s="10"/>
      <c r="Q11" s="5"/>
      <c r="S11" s="6" t="str">
        <f>IFERROR(IF(Q9=1,"Defesa","Ataque"),"")</f>
        <v>Ataque</v>
      </c>
      <c r="T11" s="6" t="str">
        <f>IFERROR(IF(Q9=2,"Defesa","Ataque"),"")</f>
        <v>Defesa</v>
      </c>
      <c r="U11" s="6"/>
      <c r="V11" s="6"/>
    </row>
    <row r="12" spans="2:22" x14ac:dyDescent="0.25">
      <c r="H12" s="29"/>
    </row>
    <row r="13" spans="2:22" ht="15.75" customHeight="1" thickBot="1" x14ac:dyDescent="0.3">
      <c r="B13" s="26" t="s">
        <v>0</v>
      </c>
      <c r="C13" s="25" t="s">
        <v>134</v>
      </c>
      <c r="D13" s="24" t="s">
        <v>12</v>
      </c>
      <c r="E13" s="38" t="s">
        <v>40</v>
      </c>
      <c r="F13" s="39"/>
      <c r="G13" s="40"/>
      <c r="H13" s="41" t="s">
        <v>167</v>
      </c>
      <c r="I13" s="26" t="s">
        <v>6</v>
      </c>
      <c r="J13" s="30" t="str">
        <f>IF(C13="Defesa","Ataque",IF(C13="Ataque","Defesa",""))</f>
        <v>Ataque</v>
      </c>
      <c r="K13" s="22" t="s">
        <v>12</v>
      </c>
      <c r="L13" s="38"/>
      <c r="M13" s="39"/>
      <c r="N13" s="40"/>
      <c r="Q13" s="5" t="str">
        <f>IFERROR(INDEX(Referencia!I$1:I$8,S15),"")</f>
        <v>BRK</v>
      </c>
      <c r="R13" s="5" t="str">
        <f>IFERROR(INDEX(Referencia!I$1:I$8,U15),"")</f>
        <v>MG</v>
      </c>
      <c r="S13" s="6"/>
      <c r="T13" s="6"/>
      <c r="U13" s="6"/>
      <c r="V13" s="6"/>
    </row>
    <row r="14" spans="2:22" ht="15.75" thickTop="1" x14ac:dyDescent="0.25">
      <c r="B14" s="12" t="s">
        <v>24</v>
      </c>
      <c r="C14" s="17" t="s">
        <v>1</v>
      </c>
      <c r="D14" s="17" t="s">
        <v>2</v>
      </c>
      <c r="E14" s="17" t="s">
        <v>3</v>
      </c>
      <c r="F14" s="17" t="s">
        <v>4</v>
      </c>
      <c r="G14" s="17" t="s">
        <v>5</v>
      </c>
      <c r="H14" s="41"/>
      <c r="I14" s="14" t="s">
        <v>24</v>
      </c>
      <c r="J14" s="16" t="s">
        <v>7</v>
      </c>
      <c r="K14" s="16" t="s">
        <v>8</v>
      </c>
      <c r="L14" s="16" t="s">
        <v>9</v>
      </c>
      <c r="M14" s="16" t="s">
        <v>10</v>
      </c>
      <c r="N14" s="16" t="s">
        <v>11</v>
      </c>
      <c r="O14" s="27" t="s">
        <v>165</v>
      </c>
      <c r="Q14" s="23">
        <f>IF(C13="","",IF(C13="Defesa",1,2))</f>
        <v>1</v>
      </c>
      <c r="R14" s="11">
        <f>R$4</f>
        <v>8</v>
      </c>
      <c r="S14" s="7" t="str">
        <f>IF(Q14=1,INDEX(Referencia!K$11:K$19,R$4),"")</f>
        <v>Mapa8</v>
      </c>
      <c r="T14" s="7" t="str">
        <f>IF(Q14=2,INDEX(Referencia!L$11:L$19,R$4),"")</f>
        <v/>
      </c>
      <c r="U14" s="7" t="str">
        <f>IFERROR(INDEX(Referencia!J$11:J$19,R$4),"")</f>
        <v>Litoral</v>
      </c>
      <c r="V14" s="6"/>
    </row>
    <row r="15" spans="2:22" x14ac:dyDescent="0.25">
      <c r="B15" s="13" t="s">
        <v>13</v>
      </c>
      <c r="C15" s="19" t="s">
        <v>15</v>
      </c>
      <c r="D15" s="19" t="s">
        <v>16</v>
      </c>
      <c r="E15" s="19" t="s">
        <v>17</v>
      </c>
      <c r="F15" s="19" t="s">
        <v>122</v>
      </c>
      <c r="G15" s="19" t="s">
        <v>18</v>
      </c>
      <c r="H15" s="41"/>
      <c r="I15" s="15" t="s">
        <v>13</v>
      </c>
      <c r="J15" s="18" t="s">
        <v>20</v>
      </c>
      <c r="K15" s="18" t="s">
        <v>109</v>
      </c>
      <c r="L15" s="18" t="s">
        <v>21</v>
      </c>
      <c r="M15" s="18" t="s">
        <v>112</v>
      </c>
      <c r="N15" s="18" t="s">
        <v>23</v>
      </c>
      <c r="O15" s="28" t="s">
        <v>6</v>
      </c>
      <c r="Q15" s="5"/>
      <c r="R15" s="8"/>
      <c r="S15" s="6">
        <f>IF(B13&lt;&gt;"",MATCH(B13,Referencia!I$1:I$8,0),"")</f>
        <v>1</v>
      </c>
      <c r="T15" s="6" t="str">
        <f>IF(S15&lt;&gt;"",INDEX(Referencia!J$1:J$8,S15),"")</f>
        <v>Team1</v>
      </c>
      <c r="U15" s="6">
        <f>IF(I13&lt;&gt;"",MATCH(I13,Referencia!I$1:I$8,0),"")</f>
        <v>2</v>
      </c>
      <c r="V15" s="6" t="str">
        <f>IF(U15&lt;&gt;"",INDEX(Referencia!J$1:J$8,U15),"")</f>
        <v>Team2</v>
      </c>
    </row>
    <row r="16" spans="2:22" x14ac:dyDescent="0.25">
      <c r="B16" s="13" t="s">
        <v>14</v>
      </c>
      <c r="C16" s="20">
        <v>2</v>
      </c>
      <c r="D16" s="20">
        <v>0</v>
      </c>
      <c r="E16" s="20">
        <v>2</v>
      </c>
      <c r="F16" s="20">
        <v>0</v>
      </c>
      <c r="G16" s="20">
        <v>0</v>
      </c>
      <c r="H16" s="41"/>
      <c r="I16" s="15" t="s">
        <v>14</v>
      </c>
      <c r="J16" s="21">
        <v>1</v>
      </c>
      <c r="K16" s="21">
        <v>0</v>
      </c>
      <c r="L16" s="21">
        <v>3</v>
      </c>
      <c r="M16" s="21">
        <v>1</v>
      </c>
      <c r="N16" s="21">
        <v>0</v>
      </c>
      <c r="O16" s="10"/>
      <c r="Q16" s="5"/>
      <c r="S16" s="6" t="str">
        <f>IFERROR(IF(Q14=1,"Defesa","Ataque"),"")</f>
        <v>Defesa</v>
      </c>
      <c r="T16" s="6" t="str">
        <f>IFERROR(IF(Q14=2,"Defesa","Ataque"),"")</f>
        <v>Ataque</v>
      </c>
      <c r="U16" s="6"/>
      <c r="V16" s="6"/>
    </row>
    <row r="17" spans="1:22" x14ac:dyDescent="0.25">
      <c r="H17" s="29"/>
    </row>
    <row r="18" spans="1:22" ht="15.75" customHeight="1" thickBot="1" x14ac:dyDescent="0.3">
      <c r="B18" s="26" t="s">
        <v>0</v>
      </c>
      <c r="C18" s="25" t="s">
        <v>164</v>
      </c>
      <c r="D18" s="24" t="s">
        <v>12</v>
      </c>
      <c r="E18" s="38"/>
      <c r="F18" s="39"/>
      <c r="G18" s="40"/>
      <c r="H18" s="41" t="s">
        <v>168</v>
      </c>
      <c r="I18" s="26" t="s">
        <v>6</v>
      </c>
      <c r="J18" s="30" t="str">
        <f>IF(C18="Defesa","Ataque",IF(C18="Ataque","Defesa",""))</f>
        <v>Defesa</v>
      </c>
      <c r="K18" s="22" t="s">
        <v>12</v>
      </c>
      <c r="L18" s="38" t="s">
        <v>40</v>
      </c>
      <c r="M18" s="39"/>
      <c r="N18" s="40"/>
      <c r="Q18" s="5" t="str">
        <f>IFERROR(INDEX(Referencia!I$1:I$8,S20),"")</f>
        <v>BRK</v>
      </c>
      <c r="R18" s="5" t="str">
        <f>IFERROR(INDEX(Referencia!I$1:I$8,U20),"")</f>
        <v>MG</v>
      </c>
      <c r="S18" s="6"/>
      <c r="T18" s="6"/>
      <c r="U18" s="6"/>
      <c r="V18" s="6"/>
    </row>
    <row r="19" spans="1:22" ht="15.75" thickTop="1" x14ac:dyDescent="0.25">
      <c r="B19" s="12" t="s">
        <v>24</v>
      </c>
      <c r="C19" s="17" t="s">
        <v>1</v>
      </c>
      <c r="D19" s="17" t="s">
        <v>2</v>
      </c>
      <c r="E19" s="17" t="s">
        <v>3</v>
      </c>
      <c r="F19" s="17" t="s">
        <v>4</v>
      </c>
      <c r="G19" s="17" t="s">
        <v>5</v>
      </c>
      <c r="H19" s="41"/>
      <c r="I19" s="14" t="s">
        <v>24</v>
      </c>
      <c r="J19" s="16" t="s">
        <v>7</v>
      </c>
      <c r="K19" s="16" t="s">
        <v>8</v>
      </c>
      <c r="L19" s="16" t="s">
        <v>9</v>
      </c>
      <c r="M19" s="16" t="s">
        <v>10</v>
      </c>
      <c r="N19" s="16" t="s">
        <v>11</v>
      </c>
      <c r="O19" s="27" t="s">
        <v>165</v>
      </c>
      <c r="Q19" s="23">
        <f>IF(C18="","",IF(C18="Defesa",1,2))</f>
        <v>2</v>
      </c>
      <c r="R19" s="11">
        <f>R$4</f>
        <v>8</v>
      </c>
      <c r="S19" s="7" t="str">
        <f>IF(Q19=1,INDEX(Referencia!K$11:K$19,R$4),"")</f>
        <v/>
      </c>
      <c r="T19" s="7" t="str">
        <f>IF(Q19=2,INDEX(Referencia!L$11:L$19,R$4),"")</f>
        <v>Mapa17</v>
      </c>
      <c r="U19" s="7" t="str">
        <f>IFERROR(INDEX(Referencia!J$11:J$19,R$4),"")</f>
        <v>Litoral</v>
      </c>
      <c r="V19" s="6"/>
    </row>
    <row r="20" spans="1:22" x14ac:dyDescent="0.25">
      <c r="B20" s="13" t="s">
        <v>13</v>
      </c>
      <c r="C20" s="19" t="s">
        <v>21</v>
      </c>
      <c r="D20" s="19" t="s">
        <v>20</v>
      </c>
      <c r="E20" s="19" t="s">
        <v>109</v>
      </c>
      <c r="F20" s="19" t="s">
        <v>112</v>
      </c>
      <c r="G20" s="19" t="s">
        <v>23</v>
      </c>
      <c r="H20" s="41"/>
      <c r="I20" s="15" t="s">
        <v>13</v>
      </c>
      <c r="J20" s="18" t="s">
        <v>18</v>
      </c>
      <c r="K20" s="18" t="s">
        <v>17</v>
      </c>
      <c r="L20" s="18" t="s">
        <v>15</v>
      </c>
      <c r="M20" s="18" t="s">
        <v>122</v>
      </c>
      <c r="N20" s="18" t="s">
        <v>130</v>
      </c>
      <c r="O20" s="28" t="s">
        <v>6</v>
      </c>
      <c r="Q20" s="5"/>
      <c r="R20" s="8"/>
      <c r="S20" s="6">
        <f>IF(B18&lt;&gt;"",MATCH(B18,Referencia!I$1:I$8,0),"")</f>
        <v>1</v>
      </c>
      <c r="T20" s="6" t="str">
        <f>IF(S20&lt;&gt;"",INDEX(Referencia!J$1:J$8,S20),"")</f>
        <v>Team1</v>
      </c>
      <c r="U20" s="6">
        <f>IF(I18&lt;&gt;"",MATCH(I18,Referencia!I$1:I$8,0),"")</f>
        <v>2</v>
      </c>
      <c r="V20" s="6" t="str">
        <f>IF(U20&lt;&gt;"",INDEX(Referencia!J$1:J$8,U20),"")</f>
        <v>Team2</v>
      </c>
    </row>
    <row r="21" spans="1:22" x14ac:dyDescent="0.25">
      <c r="B21" s="13" t="s">
        <v>14</v>
      </c>
      <c r="C21" s="20">
        <v>3</v>
      </c>
      <c r="D21" s="20">
        <v>1</v>
      </c>
      <c r="E21" s="20">
        <v>0</v>
      </c>
      <c r="F21" s="20">
        <v>0</v>
      </c>
      <c r="G21" s="20">
        <v>0</v>
      </c>
      <c r="H21" s="41"/>
      <c r="I21" s="15" t="s">
        <v>14</v>
      </c>
      <c r="J21" s="21">
        <v>1</v>
      </c>
      <c r="K21" s="21">
        <v>0</v>
      </c>
      <c r="L21" s="21">
        <v>2</v>
      </c>
      <c r="M21" s="21">
        <v>1</v>
      </c>
      <c r="N21" s="21">
        <v>1</v>
      </c>
      <c r="O21" s="10"/>
      <c r="Q21" s="5"/>
      <c r="S21" s="6" t="str">
        <f>IFERROR(IF(Q19=1,"Defesa","Ataque"),"")</f>
        <v>Ataque</v>
      </c>
      <c r="T21" s="6" t="str">
        <f>IFERROR(IF(Q19=2,"Defesa","Ataque"),"")</f>
        <v>Defesa</v>
      </c>
      <c r="U21" s="6"/>
      <c r="V21" s="6"/>
    </row>
    <row r="22" spans="1:22" x14ac:dyDescent="0.25">
      <c r="H22" s="29"/>
    </row>
    <row r="23" spans="1:22" ht="15.75" thickBot="1" x14ac:dyDescent="0.3">
      <c r="B23" s="26" t="s">
        <v>0</v>
      </c>
      <c r="C23" s="25" t="s">
        <v>134</v>
      </c>
      <c r="D23" s="24" t="s">
        <v>12</v>
      </c>
      <c r="E23" s="38" t="s">
        <v>40</v>
      </c>
      <c r="F23" s="39"/>
      <c r="G23" s="40"/>
      <c r="H23" s="41" t="s">
        <v>169</v>
      </c>
      <c r="I23" s="26" t="s">
        <v>6</v>
      </c>
      <c r="J23" s="30" t="str">
        <f>IF(C23="Defesa","Ataque",IF(C23="Ataque","Defesa",""))</f>
        <v>Ataque</v>
      </c>
      <c r="K23" s="22" t="s">
        <v>12</v>
      </c>
      <c r="L23" s="38"/>
      <c r="M23" s="39"/>
      <c r="N23" s="40"/>
      <c r="Q23" s="5" t="s">
        <v>182</v>
      </c>
      <c r="R23" s="5" t="s">
        <v>182</v>
      </c>
      <c r="S23" s="6"/>
      <c r="T23" s="6"/>
      <c r="U23" s="6"/>
      <c r="V23" s="6"/>
    </row>
    <row r="24" spans="1:22" ht="15.75" thickTop="1" x14ac:dyDescent="0.25">
      <c r="B24" s="12" t="s">
        <v>24</v>
      </c>
      <c r="C24" s="17" t="s">
        <v>1</v>
      </c>
      <c r="D24" s="17" t="s">
        <v>2</v>
      </c>
      <c r="E24" s="17" t="s">
        <v>3</v>
      </c>
      <c r="F24" s="17" t="s">
        <v>4</v>
      </c>
      <c r="G24" s="17" t="s">
        <v>5</v>
      </c>
      <c r="H24" s="41"/>
      <c r="I24" s="14" t="s">
        <v>24</v>
      </c>
      <c r="J24" s="16" t="s">
        <v>7</v>
      </c>
      <c r="K24" s="16" t="s">
        <v>8</v>
      </c>
      <c r="L24" s="16" t="s">
        <v>9</v>
      </c>
      <c r="M24" s="16" t="s">
        <v>10</v>
      </c>
      <c r="N24" s="16" t="s">
        <v>11</v>
      </c>
      <c r="O24" s="27" t="s">
        <v>165</v>
      </c>
      <c r="Q24" s="23">
        <f>IF(C23="","",IF(C23="Defesa",1,2))</f>
        <v>1</v>
      </c>
      <c r="R24" s="11">
        <f>R$4</f>
        <v>8</v>
      </c>
      <c r="S24" s="7" t="str">
        <f>IF(Q24=1,INDEX(Referencia!K$11:K$19,R$4),"")</f>
        <v>Mapa8</v>
      </c>
      <c r="T24" s="7" t="str">
        <f>IF(Q24=2,INDEX(Referencia!L$11:L$19,R$4),"")</f>
        <v/>
      </c>
      <c r="U24" s="7" t="str">
        <f>IFERROR(INDEX(Referencia!J$11:J$19,R$4),"")</f>
        <v>Litoral</v>
      </c>
      <c r="V24" s="6"/>
    </row>
    <row r="25" spans="1:22" x14ac:dyDescent="0.25">
      <c r="B25" s="13" t="s">
        <v>13</v>
      </c>
      <c r="C25" s="19" t="s">
        <v>15</v>
      </c>
      <c r="D25" s="19" t="s">
        <v>16</v>
      </c>
      <c r="E25" s="19" t="s">
        <v>17</v>
      </c>
      <c r="F25" s="19" t="s">
        <v>122</v>
      </c>
      <c r="G25" s="19" t="s">
        <v>18</v>
      </c>
      <c r="H25" s="41"/>
      <c r="I25" s="15" t="s">
        <v>13</v>
      </c>
      <c r="J25" s="18" t="s">
        <v>20</v>
      </c>
      <c r="K25" s="18" t="s">
        <v>109</v>
      </c>
      <c r="L25" s="18" t="s">
        <v>21</v>
      </c>
      <c r="M25" s="18" t="s">
        <v>112</v>
      </c>
      <c r="N25" s="18" t="s">
        <v>23</v>
      </c>
      <c r="O25" s="28" t="s">
        <v>6</v>
      </c>
      <c r="Q25" s="5"/>
      <c r="R25" s="8"/>
      <c r="S25" s="6">
        <f>IF(B23&lt;&gt;"",MATCH(B23,Referencia!I$1:I$8,0),"")</f>
        <v>1</v>
      </c>
      <c r="T25" s="6" t="str">
        <f>IF(S25&lt;&gt;"",INDEX(Referencia!J$1:J$8,S25),"")</f>
        <v>Team1</v>
      </c>
      <c r="U25" s="6">
        <f>IF(I23&lt;&gt;"",MATCH(I23,Referencia!I$1:I$8,0),"")</f>
        <v>2</v>
      </c>
      <c r="V25" s="6" t="str">
        <f>IF(U25&lt;&gt;"",INDEX(Referencia!J$1:J$8,U25),"")</f>
        <v>Team2</v>
      </c>
    </row>
    <row r="26" spans="1:22" x14ac:dyDescent="0.25">
      <c r="B26" s="13" t="s">
        <v>14</v>
      </c>
      <c r="C26" s="20">
        <v>1</v>
      </c>
      <c r="D26" s="20">
        <v>0</v>
      </c>
      <c r="E26" s="20">
        <v>0</v>
      </c>
      <c r="F26" s="20">
        <v>1</v>
      </c>
      <c r="G26" s="20">
        <v>2</v>
      </c>
      <c r="H26" s="41"/>
      <c r="I26" s="15" t="s">
        <v>14</v>
      </c>
      <c r="J26" s="21">
        <v>1</v>
      </c>
      <c r="K26" s="21">
        <v>1</v>
      </c>
      <c r="L26" s="21">
        <v>2</v>
      </c>
      <c r="M26" s="21">
        <v>0</v>
      </c>
      <c r="N26" s="21">
        <v>1</v>
      </c>
      <c r="O26" s="10"/>
      <c r="Q26" s="5"/>
      <c r="S26" s="6" t="str">
        <f>IFERROR(IF(Q24=1,"Defesa","Ataque"),"")</f>
        <v>Defesa</v>
      </c>
      <c r="T26" s="6" t="str">
        <f>IFERROR(IF(Q24=2,"Defesa","Ataque"),"")</f>
        <v>Ataque</v>
      </c>
      <c r="U26" s="6"/>
      <c r="V26" s="6"/>
    </row>
    <row r="27" spans="1:22" x14ac:dyDescent="0.25">
      <c r="A27" s="9"/>
      <c r="H27" s="29"/>
      <c r="R27" s="6"/>
      <c r="S27" s="6"/>
      <c r="T27" s="6"/>
      <c r="U27" s="6"/>
    </row>
    <row r="28" spans="1:22" ht="15.75" thickBot="1" x14ac:dyDescent="0.3">
      <c r="B28" s="26"/>
      <c r="C28" s="25"/>
      <c r="D28" s="24" t="s">
        <v>12</v>
      </c>
      <c r="E28" s="38"/>
      <c r="F28" s="39"/>
      <c r="G28" s="40"/>
      <c r="H28" s="41" t="s">
        <v>170</v>
      </c>
      <c r="I28" s="26"/>
      <c r="J28" s="30" t="str">
        <f>IF(C28="Defesa","Ataque",IF(C28="Ataque","Defesa",""))</f>
        <v/>
      </c>
      <c r="K28" s="22" t="s">
        <v>12</v>
      </c>
      <c r="L28" s="38"/>
      <c r="M28" s="39"/>
      <c r="N28" s="40"/>
      <c r="Q28" s="5" t="str">
        <f>IFERROR(INDEX(Referencia!I$1:I$8,S30),"")</f>
        <v/>
      </c>
      <c r="R28" s="5" t="str">
        <f>IFERROR(INDEX(Referencia!I$1:I$8,U30),"")</f>
        <v/>
      </c>
      <c r="S28" s="6"/>
      <c r="T28" s="6"/>
      <c r="U28" s="6"/>
      <c r="V28" s="6"/>
    </row>
    <row r="29" spans="1:22" ht="15.75" thickTop="1" x14ac:dyDescent="0.25">
      <c r="B29" s="12" t="s">
        <v>24</v>
      </c>
      <c r="C29" s="17"/>
      <c r="D29" s="17"/>
      <c r="E29" s="17"/>
      <c r="F29" s="17"/>
      <c r="G29" s="17"/>
      <c r="H29" s="41"/>
      <c r="I29" s="14" t="s">
        <v>24</v>
      </c>
      <c r="J29" s="16"/>
      <c r="K29" s="16"/>
      <c r="L29" s="16"/>
      <c r="M29" s="16"/>
      <c r="N29" s="16"/>
      <c r="O29" s="27" t="s">
        <v>165</v>
      </c>
      <c r="Q29" s="23" t="str">
        <f>IF(C28="","",IF(C28="Defesa",1,2))</f>
        <v/>
      </c>
      <c r="R29" s="11">
        <f>R$4</f>
        <v>8</v>
      </c>
      <c r="S29" s="7" t="str">
        <f>IF(Q29=1,INDEX(Referencia!K$11:K$19,R$4),"")</f>
        <v/>
      </c>
      <c r="T29" s="7" t="str">
        <f>IF(Q29=2,INDEX(Referencia!L$11:L$19,R$4),"")</f>
        <v/>
      </c>
      <c r="U29" s="7" t="str">
        <f>IFERROR(INDEX(Referencia!J$11:J$19,R$4),"")</f>
        <v>Litoral</v>
      </c>
      <c r="V29" s="6"/>
    </row>
    <row r="30" spans="1:22" x14ac:dyDescent="0.25">
      <c r="B30" s="13" t="s">
        <v>13</v>
      </c>
      <c r="C30" s="19"/>
      <c r="D30" s="19"/>
      <c r="E30" s="19"/>
      <c r="F30" s="19"/>
      <c r="G30" s="19"/>
      <c r="H30" s="41"/>
      <c r="I30" s="15" t="s">
        <v>13</v>
      </c>
      <c r="J30" s="18"/>
      <c r="K30" s="18"/>
      <c r="L30" s="18"/>
      <c r="M30" s="18"/>
      <c r="N30" s="18"/>
      <c r="O30" s="28"/>
      <c r="Q30" s="5"/>
      <c r="R30" s="8"/>
      <c r="S30" s="6" t="str">
        <f>IF(B28&lt;&gt;"",MATCH(B28,Referencia!I$1:I$8,0),"")</f>
        <v/>
      </c>
      <c r="T30" s="6" t="str">
        <f>IF(S30&lt;&gt;"",INDEX(Referencia!J$1:J$8,S30),"")</f>
        <v/>
      </c>
      <c r="U30" s="6" t="str">
        <f>IF(I28&lt;&gt;"",MATCH(I28,Referencia!I$1:I$8,0),"")</f>
        <v/>
      </c>
      <c r="V30" s="6" t="str">
        <f>IF(U30&lt;&gt;"",INDEX(Referencia!J$1:J$8,U30),"")</f>
        <v/>
      </c>
    </row>
    <row r="31" spans="1:22" x14ac:dyDescent="0.25">
      <c r="B31" s="13" t="s">
        <v>14</v>
      </c>
      <c r="C31" s="20"/>
      <c r="D31" s="20"/>
      <c r="E31" s="20"/>
      <c r="F31" s="20"/>
      <c r="G31" s="20"/>
      <c r="H31" s="41"/>
      <c r="I31" s="15" t="s">
        <v>14</v>
      </c>
      <c r="J31" s="21"/>
      <c r="K31" s="21"/>
      <c r="L31" s="21"/>
      <c r="M31" s="21"/>
      <c r="N31" s="21"/>
      <c r="O31" s="10"/>
      <c r="Q31" s="5"/>
      <c r="S31" s="6" t="str">
        <f>IFERROR(IF(Q29=1,"Defesa","Ataque"),"")</f>
        <v>Ataque</v>
      </c>
      <c r="T31" s="6" t="str">
        <f>IFERROR(IF(Q29=2,"Defesa","Ataque"),"")</f>
        <v>Ataque</v>
      </c>
      <c r="U31" s="6"/>
      <c r="V31" s="6"/>
    </row>
    <row r="32" spans="1:22" x14ac:dyDescent="0.25">
      <c r="H32" s="29"/>
    </row>
    <row r="33" spans="2:22" ht="15.75" thickBot="1" x14ac:dyDescent="0.3">
      <c r="B33" s="26"/>
      <c r="C33" s="25"/>
      <c r="D33" s="24" t="s">
        <v>12</v>
      </c>
      <c r="E33" s="38"/>
      <c r="F33" s="39"/>
      <c r="G33" s="40"/>
      <c r="H33" s="41" t="s">
        <v>171</v>
      </c>
      <c r="I33" s="26"/>
      <c r="J33" s="30" t="str">
        <f>IF(C33="Defesa","Ataque",IF(C33="Ataque","Defesa",""))</f>
        <v/>
      </c>
      <c r="K33" s="22" t="s">
        <v>12</v>
      </c>
      <c r="L33" s="38"/>
      <c r="M33" s="39"/>
      <c r="N33" s="40"/>
      <c r="Q33" s="5" t="str">
        <f>IFERROR(INDEX(Referencia!I$1:I$8,S35),"")</f>
        <v/>
      </c>
      <c r="R33" s="5" t="str">
        <f>IFERROR(INDEX(Referencia!I$1:I$8,U35),"")</f>
        <v/>
      </c>
      <c r="S33" s="6"/>
      <c r="T33" s="6"/>
      <c r="U33" s="6"/>
      <c r="V33" s="6"/>
    </row>
    <row r="34" spans="2:22" ht="15.75" thickTop="1" x14ac:dyDescent="0.25">
      <c r="B34" s="12" t="s">
        <v>24</v>
      </c>
      <c r="C34" s="17"/>
      <c r="D34" s="17"/>
      <c r="E34" s="17"/>
      <c r="F34" s="17"/>
      <c r="G34" s="17"/>
      <c r="H34" s="41"/>
      <c r="I34" s="14" t="s">
        <v>24</v>
      </c>
      <c r="J34" s="16"/>
      <c r="K34" s="16"/>
      <c r="L34" s="16"/>
      <c r="M34" s="16"/>
      <c r="N34" s="16"/>
      <c r="O34" s="27" t="s">
        <v>165</v>
      </c>
      <c r="Q34" s="23" t="str">
        <f>IF(C33="","",IF(C33="Defesa",1,2))</f>
        <v/>
      </c>
      <c r="R34" s="11">
        <f>R$4</f>
        <v>8</v>
      </c>
      <c r="S34" s="7" t="str">
        <f>IF(Q34=1,INDEX(Referencia!K$11:K$19,R$4),"")</f>
        <v/>
      </c>
      <c r="T34" s="7" t="str">
        <f>IF(Q34=2,INDEX(Referencia!L$11:L$19,R$4),"")</f>
        <v/>
      </c>
      <c r="U34" s="7" t="str">
        <f>IFERROR(INDEX(Referencia!J$11:J$19,R$4),"")</f>
        <v>Litoral</v>
      </c>
      <c r="V34" s="6"/>
    </row>
    <row r="35" spans="2:22" x14ac:dyDescent="0.25">
      <c r="B35" s="13" t="s">
        <v>13</v>
      </c>
      <c r="C35" s="19"/>
      <c r="D35" s="19"/>
      <c r="E35" s="19"/>
      <c r="F35" s="19"/>
      <c r="G35" s="19"/>
      <c r="H35" s="41"/>
      <c r="I35" s="15" t="s">
        <v>13</v>
      </c>
      <c r="J35" s="18"/>
      <c r="K35" s="18"/>
      <c r="L35" s="18"/>
      <c r="M35" s="18"/>
      <c r="N35" s="18"/>
      <c r="O35" s="28"/>
      <c r="Q35" s="5"/>
      <c r="R35" s="8"/>
      <c r="S35" s="6" t="str">
        <f>IF(B33&lt;&gt;"",MATCH(B33,Referencia!I$1:I$8,0),"")</f>
        <v/>
      </c>
      <c r="T35" s="6" t="str">
        <f>IF(S35&lt;&gt;"",INDEX(Referencia!J$1:J$8,S35),"")</f>
        <v/>
      </c>
      <c r="U35" s="6" t="str">
        <f>IF(I33&lt;&gt;"",MATCH(I33,Referencia!I$1:I$8,0),"")</f>
        <v/>
      </c>
      <c r="V35" s="6" t="str">
        <f>IF(U35&lt;&gt;"",INDEX(Referencia!J$1:J$8,U35),"")</f>
        <v/>
      </c>
    </row>
    <row r="36" spans="2:22" x14ac:dyDescent="0.25">
      <c r="B36" s="13" t="s">
        <v>14</v>
      </c>
      <c r="C36" s="20"/>
      <c r="D36" s="20"/>
      <c r="E36" s="20"/>
      <c r="F36" s="20"/>
      <c r="G36" s="20"/>
      <c r="H36" s="41"/>
      <c r="I36" s="15" t="s">
        <v>14</v>
      </c>
      <c r="J36" s="21"/>
      <c r="K36" s="21"/>
      <c r="L36" s="21"/>
      <c r="M36" s="21"/>
      <c r="N36" s="21"/>
      <c r="O36" s="10"/>
      <c r="Q36" s="5"/>
      <c r="S36" s="6" t="str">
        <f>IFERROR(IF(Q34=1,"Defesa","Ataque"),"")</f>
        <v>Ataque</v>
      </c>
      <c r="T36" s="6" t="str">
        <f>IFERROR(IF(Q34=2,"Defesa","Ataque"),"")</f>
        <v>Ataque</v>
      </c>
      <c r="U36" s="6"/>
      <c r="V36" s="6"/>
    </row>
    <row r="37" spans="2:22" x14ac:dyDescent="0.25">
      <c r="H37" s="29"/>
    </row>
    <row r="38" spans="2:22" ht="15.75" thickBot="1" x14ac:dyDescent="0.3">
      <c r="B38" s="26"/>
      <c r="C38" s="25"/>
      <c r="D38" s="24" t="s">
        <v>12</v>
      </c>
      <c r="E38" s="38"/>
      <c r="F38" s="39"/>
      <c r="G38" s="40"/>
      <c r="H38" s="41" t="s">
        <v>172</v>
      </c>
      <c r="I38" s="26"/>
      <c r="J38" s="30" t="str">
        <f>IF(C38="Defesa","Ataque",IF(C38="Ataque","Defesa",""))</f>
        <v/>
      </c>
      <c r="K38" s="22" t="s">
        <v>12</v>
      </c>
      <c r="L38" s="38"/>
      <c r="M38" s="39"/>
      <c r="N38" s="40"/>
      <c r="Q38" s="5" t="str">
        <f>IFERROR(INDEX(Referencia!I$1:I$8,S40),"")</f>
        <v/>
      </c>
      <c r="R38" s="5" t="str">
        <f>IFERROR(INDEX(Referencia!I$1:I$8,U40),"")</f>
        <v/>
      </c>
      <c r="S38" s="6"/>
      <c r="T38" s="6"/>
      <c r="U38" s="6"/>
      <c r="V38" s="6"/>
    </row>
    <row r="39" spans="2:22" ht="15.75" thickTop="1" x14ac:dyDescent="0.25">
      <c r="B39" s="12" t="s">
        <v>24</v>
      </c>
      <c r="C39" s="17"/>
      <c r="D39" s="17"/>
      <c r="E39" s="17"/>
      <c r="F39" s="17"/>
      <c r="G39" s="17"/>
      <c r="H39" s="41"/>
      <c r="I39" s="14" t="s">
        <v>24</v>
      </c>
      <c r="J39" s="16"/>
      <c r="K39" s="16"/>
      <c r="L39" s="16"/>
      <c r="M39" s="16"/>
      <c r="N39" s="16"/>
      <c r="O39" s="27" t="s">
        <v>165</v>
      </c>
      <c r="Q39" s="23" t="str">
        <f>IF(C38="","",IF(C38="Defesa",1,2))</f>
        <v/>
      </c>
      <c r="R39" s="11">
        <f>R$4</f>
        <v>8</v>
      </c>
      <c r="S39" s="7" t="str">
        <f>IF(Q39=1,INDEX(Referencia!K$11:K$19,R$4),"")</f>
        <v/>
      </c>
      <c r="T39" s="7" t="str">
        <f>IF(Q39=2,INDEX(Referencia!L$11:L$19,R$4),"")</f>
        <v/>
      </c>
      <c r="U39" s="7" t="str">
        <f>IFERROR(INDEX(Referencia!J$11:J$19,R$4),"")</f>
        <v>Litoral</v>
      </c>
      <c r="V39" s="6"/>
    </row>
    <row r="40" spans="2:22" x14ac:dyDescent="0.25">
      <c r="B40" s="13" t="s">
        <v>13</v>
      </c>
      <c r="C40" s="19"/>
      <c r="D40" s="19"/>
      <c r="E40" s="19"/>
      <c r="F40" s="19"/>
      <c r="G40" s="19"/>
      <c r="H40" s="41"/>
      <c r="I40" s="15" t="s">
        <v>13</v>
      </c>
      <c r="J40" s="18"/>
      <c r="K40" s="18"/>
      <c r="L40" s="18"/>
      <c r="M40" s="18"/>
      <c r="N40" s="18"/>
      <c r="O40" s="28"/>
      <c r="Q40" s="5"/>
      <c r="R40" s="8"/>
      <c r="S40" s="6" t="str">
        <f>IF(B38&lt;&gt;"",MATCH(B38,Referencia!I$1:I$8,0),"")</f>
        <v/>
      </c>
      <c r="T40" s="6" t="str">
        <f>IF(S40&lt;&gt;"",INDEX(Referencia!J$1:J$8,S40),"")</f>
        <v/>
      </c>
      <c r="U40" s="6" t="str">
        <f>IF(I38&lt;&gt;"",MATCH(I38,Referencia!I$1:I$8,0),"")</f>
        <v/>
      </c>
      <c r="V40" s="6" t="str">
        <f>IF(U40&lt;&gt;"",INDEX(Referencia!J$1:J$8,U40),"")</f>
        <v/>
      </c>
    </row>
    <row r="41" spans="2:22" x14ac:dyDescent="0.25">
      <c r="B41" s="13" t="s">
        <v>14</v>
      </c>
      <c r="C41" s="20"/>
      <c r="D41" s="20"/>
      <c r="E41" s="20"/>
      <c r="F41" s="20"/>
      <c r="G41" s="20"/>
      <c r="H41" s="41"/>
      <c r="I41" s="15" t="s">
        <v>14</v>
      </c>
      <c r="J41" s="21"/>
      <c r="K41" s="21"/>
      <c r="L41" s="21"/>
      <c r="M41" s="21"/>
      <c r="N41" s="21"/>
      <c r="O41" s="10"/>
      <c r="Q41" s="5"/>
      <c r="S41" s="6" t="str">
        <f>IFERROR(IF(Q39=1,"Defesa","Ataque"),"")</f>
        <v>Ataque</v>
      </c>
      <c r="T41" s="6" t="str">
        <f>IFERROR(IF(Q39=2,"Defesa","Ataque"),"")</f>
        <v>Ataque</v>
      </c>
      <c r="U41" s="6"/>
      <c r="V41" s="6"/>
    </row>
    <row r="42" spans="2:22" x14ac:dyDescent="0.25">
      <c r="H42" s="29"/>
    </row>
    <row r="43" spans="2:22" ht="15.75" thickBot="1" x14ac:dyDescent="0.3">
      <c r="B43" s="26"/>
      <c r="C43" s="25"/>
      <c r="D43" s="24" t="s">
        <v>12</v>
      </c>
      <c r="E43" s="38"/>
      <c r="F43" s="39"/>
      <c r="G43" s="40"/>
      <c r="H43" s="41" t="s">
        <v>173</v>
      </c>
      <c r="I43" s="26"/>
      <c r="J43" s="30" t="str">
        <f>IF(C43="Defesa","Ataque",IF(C43="Ataque","Defesa",""))</f>
        <v/>
      </c>
      <c r="K43" s="22" t="s">
        <v>12</v>
      </c>
      <c r="L43" s="38"/>
      <c r="M43" s="39"/>
      <c r="N43" s="40"/>
      <c r="Q43" s="5" t="str">
        <f>IFERROR(INDEX(Referencia!I$1:I$8,S45),"")</f>
        <v/>
      </c>
      <c r="R43" s="5" t="str">
        <f>IFERROR(INDEX(Referencia!I$1:I$8,U45),"")</f>
        <v/>
      </c>
      <c r="S43" s="6"/>
      <c r="T43" s="6"/>
      <c r="U43" s="6"/>
      <c r="V43" s="6"/>
    </row>
    <row r="44" spans="2:22" ht="15.75" thickTop="1" x14ac:dyDescent="0.25">
      <c r="B44" s="12" t="s">
        <v>24</v>
      </c>
      <c r="C44" s="17"/>
      <c r="D44" s="17"/>
      <c r="E44" s="17"/>
      <c r="F44" s="17"/>
      <c r="G44" s="17"/>
      <c r="H44" s="41"/>
      <c r="I44" s="14" t="s">
        <v>24</v>
      </c>
      <c r="J44" s="16"/>
      <c r="K44" s="16"/>
      <c r="L44" s="16"/>
      <c r="M44" s="16"/>
      <c r="N44" s="16"/>
      <c r="O44" s="27" t="s">
        <v>165</v>
      </c>
      <c r="Q44" s="23" t="str">
        <f>IF(C43="","",IF(C43="Defesa",1,2))</f>
        <v/>
      </c>
      <c r="R44" s="11">
        <f>R$4</f>
        <v>8</v>
      </c>
      <c r="S44" s="7" t="str">
        <f>IF(Q44=1,INDEX(Referencia!K$11:K$19,R$4),"")</f>
        <v/>
      </c>
      <c r="T44" s="7" t="str">
        <f>IF(Q44=2,INDEX(Referencia!L$11:L$19,R$4),"")</f>
        <v/>
      </c>
      <c r="U44" s="7" t="str">
        <f>IFERROR(INDEX(Referencia!J$11:J$19,R$4),"")</f>
        <v>Litoral</v>
      </c>
      <c r="V44" s="6"/>
    </row>
    <row r="45" spans="2:22" x14ac:dyDescent="0.25">
      <c r="B45" s="13" t="s">
        <v>13</v>
      </c>
      <c r="C45" s="19"/>
      <c r="D45" s="19"/>
      <c r="E45" s="19"/>
      <c r="F45" s="19"/>
      <c r="G45" s="19"/>
      <c r="H45" s="41"/>
      <c r="I45" s="15" t="s">
        <v>13</v>
      </c>
      <c r="J45" s="18"/>
      <c r="K45" s="18"/>
      <c r="L45" s="18"/>
      <c r="M45" s="18"/>
      <c r="N45" s="18"/>
      <c r="O45" s="28"/>
      <c r="Q45" s="5"/>
      <c r="R45" s="8"/>
      <c r="S45" s="6" t="str">
        <f>IF(B43&lt;&gt;"",MATCH(B43,Referencia!I$1:I$8,0),"")</f>
        <v/>
      </c>
      <c r="T45" s="6" t="str">
        <f>IF(S45&lt;&gt;"",INDEX(Referencia!J$1:J$8,S45),"")</f>
        <v/>
      </c>
      <c r="U45" s="6" t="str">
        <f>IF(I43&lt;&gt;"",MATCH(I43,Referencia!I$1:I$8,0),"")</f>
        <v/>
      </c>
      <c r="V45" s="6" t="str">
        <f>IF(U45&lt;&gt;"",INDEX(Referencia!J$1:J$8,U45),"")</f>
        <v/>
      </c>
    </row>
    <row r="46" spans="2:22" x14ac:dyDescent="0.25">
      <c r="B46" s="13" t="s">
        <v>14</v>
      </c>
      <c r="C46" s="20"/>
      <c r="D46" s="20"/>
      <c r="E46" s="20"/>
      <c r="F46" s="20"/>
      <c r="G46" s="20"/>
      <c r="H46" s="41"/>
      <c r="I46" s="15" t="s">
        <v>14</v>
      </c>
      <c r="J46" s="21"/>
      <c r="K46" s="21"/>
      <c r="L46" s="21"/>
      <c r="M46" s="21"/>
      <c r="N46" s="21"/>
      <c r="O46" s="10"/>
      <c r="Q46" s="5"/>
      <c r="S46" s="6" t="str">
        <f>IFERROR(IF(Q44=1,"Defesa","Ataque"),"")</f>
        <v>Ataque</v>
      </c>
      <c r="T46" s="6" t="str">
        <f>IFERROR(IF(Q44=2,"Defesa","Ataque"),"")</f>
        <v>Ataque</v>
      </c>
      <c r="U46" s="6"/>
      <c r="V46" s="6"/>
    </row>
    <row r="47" spans="2:22" x14ac:dyDescent="0.25">
      <c r="H47" s="29"/>
    </row>
    <row r="48" spans="2:22" ht="15.75" thickBot="1" x14ac:dyDescent="0.3">
      <c r="B48" s="26"/>
      <c r="C48" s="25"/>
      <c r="D48" s="24" t="s">
        <v>12</v>
      </c>
      <c r="E48" s="38"/>
      <c r="F48" s="39"/>
      <c r="G48" s="40"/>
      <c r="H48" s="41" t="s">
        <v>174</v>
      </c>
      <c r="I48" s="26"/>
      <c r="J48" s="30" t="str">
        <f>IF(C48="Defesa","Ataque",IF(C48="Ataque","Defesa",""))</f>
        <v/>
      </c>
      <c r="K48" s="22" t="s">
        <v>12</v>
      </c>
      <c r="L48" s="38"/>
      <c r="M48" s="39"/>
      <c r="N48" s="40"/>
      <c r="Q48" s="5" t="str">
        <f>IFERROR(INDEX(Referencia!I$1:I$8,S50),"")</f>
        <v/>
      </c>
      <c r="R48" s="5" t="str">
        <f>IFERROR(INDEX(Referencia!I$1:I$8,U50),"")</f>
        <v/>
      </c>
      <c r="S48" s="6"/>
      <c r="T48" s="6"/>
      <c r="U48" s="6"/>
      <c r="V48" s="6"/>
    </row>
    <row r="49" spans="1:23" ht="15.75" thickTop="1" x14ac:dyDescent="0.25">
      <c r="B49" s="12" t="s">
        <v>24</v>
      </c>
      <c r="C49" s="17"/>
      <c r="D49" s="17"/>
      <c r="E49" s="17"/>
      <c r="F49" s="17"/>
      <c r="G49" s="17"/>
      <c r="H49" s="41"/>
      <c r="I49" s="14" t="s">
        <v>24</v>
      </c>
      <c r="J49" s="16"/>
      <c r="K49" s="16"/>
      <c r="L49" s="16"/>
      <c r="M49" s="16"/>
      <c r="N49" s="16"/>
      <c r="O49" s="27" t="s">
        <v>165</v>
      </c>
      <c r="Q49" s="23" t="str">
        <f>IF(C48="","",IF(C48="Defesa",1,2))</f>
        <v/>
      </c>
      <c r="R49" s="11">
        <f>R$4</f>
        <v>8</v>
      </c>
      <c r="S49" s="7" t="str">
        <f>IF(Q49=1,INDEX(Referencia!K$11:K$19,R$4),"")</f>
        <v/>
      </c>
      <c r="T49" s="7" t="str">
        <f>IF(Q49=2,INDEX(Referencia!L$11:L$19,R$4),"")</f>
        <v/>
      </c>
      <c r="U49" s="7" t="str">
        <f>IFERROR(INDEX(Referencia!J$11:J$19,R$4),"")</f>
        <v>Litoral</v>
      </c>
      <c r="V49" s="6"/>
    </row>
    <row r="50" spans="1:23" x14ac:dyDescent="0.25">
      <c r="B50" s="13" t="s">
        <v>13</v>
      </c>
      <c r="C50" s="19"/>
      <c r="D50" s="19"/>
      <c r="E50" s="19"/>
      <c r="F50" s="19"/>
      <c r="G50" s="19"/>
      <c r="H50" s="41"/>
      <c r="I50" s="15" t="s">
        <v>13</v>
      </c>
      <c r="J50" s="18"/>
      <c r="K50" s="18"/>
      <c r="L50" s="18"/>
      <c r="M50" s="18"/>
      <c r="N50" s="18"/>
      <c r="O50" s="28"/>
      <c r="Q50" s="5"/>
      <c r="R50" s="8"/>
      <c r="S50" s="6" t="str">
        <f>IF(B48&lt;&gt;"",MATCH(B48,Referencia!I$1:I$8,0),"")</f>
        <v/>
      </c>
      <c r="T50" s="6" t="str">
        <f>IF(S50&lt;&gt;"",INDEX(Referencia!J$1:J$8,S50),"")</f>
        <v/>
      </c>
      <c r="U50" s="6" t="str">
        <f>IF(I48&lt;&gt;"",MATCH(I48,Referencia!I$1:I$8,0),"")</f>
        <v/>
      </c>
      <c r="V50" s="6" t="str">
        <f>IF(U50&lt;&gt;"",INDEX(Referencia!J$1:J$8,U50),"")</f>
        <v/>
      </c>
    </row>
    <row r="51" spans="1:23" x14ac:dyDescent="0.25">
      <c r="B51" s="13" t="s">
        <v>14</v>
      </c>
      <c r="C51" s="20"/>
      <c r="D51" s="20"/>
      <c r="E51" s="20"/>
      <c r="F51" s="20"/>
      <c r="G51" s="20"/>
      <c r="H51" s="41"/>
      <c r="I51" s="15" t="s">
        <v>14</v>
      </c>
      <c r="J51" s="21"/>
      <c r="K51" s="21"/>
      <c r="L51" s="21"/>
      <c r="M51" s="21"/>
      <c r="N51" s="21"/>
      <c r="O51" s="10"/>
      <c r="Q51" s="5"/>
      <c r="S51" s="6" t="str">
        <f>IFERROR(IF(Q49=1,"Defesa","Ataque"),"")</f>
        <v>Ataque</v>
      </c>
      <c r="T51" s="6" t="str">
        <f>IFERROR(IF(Q49=2,"Defesa","Ataque"),"")</f>
        <v>Ataque</v>
      </c>
      <c r="U51" s="6"/>
      <c r="V51" s="6"/>
    </row>
    <row r="52" spans="1:23" x14ac:dyDescent="0.25">
      <c r="H52" s="29"/>
    </row>
    <row r="53" spans="1:23" ht="15.75" thickBot="1" x14ac:dyDescent="0.3">
      <c r="B53" s="26"/>
      <c r="C53" s="25"/>
      <c r="D53" s="24" t="s">
        <v>12</v>
      </c>
      <c r="E53" s="38"/>
      <c r="F53" s="39"/>
      <c r="G53" s="40"/>
      <c r="H53" s="41" t="s">
        <v>175</v>
      </c>
      <c r="I53" s="26"/>
      <c r="J53" s="30" t="str">
        <f>IF(C53="Defesa","Ataque",IF(C53="Ataque","Defesa",""))</f>
        <v/>
      </c>
      <c r="K53" s="22" t="s">
        <v>12</v>
      </c>
      <c r="L53" s="38"/>
      <c r="M53" s="39"/>
      <c r="N53" s="40"/>
      <c r="Q53" s="5" t="str">
        <f>IFERROR(INDEX(Referencia!I$1:I$8,S55),"")</f>
        <v/>
      </c>
      <c r="R53" s="5" t="str">
        <f>IFERROR(INDEX(Referencia!I$1:I$8,U55),"")</f>
        <v/>
      </c>
      <c r="S53" s="6"/>
      <c r="T53" s="6"/>
      <c r="U53" s="6"/>
      <c r="V53" s="6"/>
    </row>
    <row r="54" spans="1:23" ht="15.75" thickTop="1" x14ac:dyDescent="0.25">
      <c r="B54" s="12" t="s">
        <v>24</v>
      </c>
      <c r="C54" s="17"/>
      <c r="D54" s="17"/>
      <c r="E54" s="17"/>
      <c r="F54" s="17"/>
      <c r="G54" s="17"/>
      <c r="H54" s="41"/>
      <c r="I54" s="14" t="s">
        <v>24</v>
      </c>
      <c r="J54" s="16"/>
      <c r="K54" s="16"/>
      <c r="L54" s="16"/>
      <c r="M54" s="16"/>
      <c r="N54" s="16"/>
      <c r="O54" s="27" t="s">
        <v>165</v>
      </c>
      <c r="Q54" s="23" t="str">
        <f>IF(C53="","",IF(C53="Defesa",1,2))</f>
        <v/>
      </c>
      <c r="R54" s="11">
        <f>R$4</f>
        <v>8</v>
      </c>
      <c r="S54" s="7" t="str">
        <f>IF(Q54=1,INDEX(Referencia!K$11:K$19,R$4),"")</f>
        <v/>
      </c>
      <c r="T54" s="7" t="str">
        <f>IF(Q54=2,INDEX(Referencia!L$11:L$19,R$4),"")</f>
        <v/>
      </c>
      <c r="U54" s="7" t="str">
        <f>IFERROR(INDEX(Referencia!J$11:J$19,R$4),"")</f>
        <v>Litoral</v>
      </c>
      <c r="V54" s="6"/>
    </row>
    <row r="55" spans="1:23" x14ac:dyDescent="0.25">
      <c r="B55" s="13" t="s">
        <v>13</v>
      </c>
      <c r="C55" s="19"/>
      <c r="D55" s="19"/>
      <c r="E55" s="19"/>
      <c r="F55" s="19"/>
      <c r="G55" s="19"/>
      <c r="H55" s="41"/>
      <c r="I55" s="15" t="s">
        <v>13</v>
      </c>
      <c r="J55" s="18"/>
      <c r="K55" s="18"/>
      <c r="L55" s="18"/>
      <c r="M55" s="18"/>
      <c r="N55" s="18"/>
      <c r="O55" s="28"/>
      <c r="Q55" s="5"/>
      <c r="R55" s="8"/>
      <c r="S55" s="6" t="str">
        <f>IF(B53&lt;&gt;"",MATCH(B53,Referencia!I$1:I$8,0),"")</f>
        <v/>
      </c>
      <c r="T55" s="6" t="str">
        <f>IF(S55&lt;&gt;"",INDEX(Referencia!J$1:J$8,S55),"")</f>
        <v/>
      </c>
      <c r="U55" s="6" t="str">
        <f>IF(I53&lt;&gt;"",MATCH(I53,Referencia!I$1:I$8,0),"")</f>
        <v/>
      </c>
      <c r="V55" s="6" t="str">
        <f>IF(U55&lt;&gt;"",INDEX(Referencia!J$1:J$8,U55),"")</f>
        <v/>
      </c>
    </row>
    <row r="56" spans="1:23" x14ac:dyDescent="0.25">
      <c r="B56" s="13" t="s">
        <v>14</v>
      </c>
      <c r="C56" s="20"/>
      <c r="D56" s="20"/>
      <c r="E56" s="20"/>
      <c r="F56" s="20"/>
      <c r="G56" s="20"/>
      <c r="H56" s="41"/>
      <c r="I56" s="15" t="s">
        <v>14</v>
      </c>
      <c r="J56" s="21"/>
      <c r="K56" s="21"/>
      <c r="L56" s="21"/>
      <c r="M56" s="21"/>
      <c r="N56" s="21"/>
      <c r="O56" s="10"/>
      <c r="Q56" s="5"/>
      <c r="S56" s="6" t="str">
        <f>IFERROR(IF(Q54=1,"Defesa","Ataque"),"")</f>
        <v>Ataque</v>
      </c>
      <c r="T56" s="6" t="str">
        <f>IFERROR(IF(Q54=2,"Defesa","Ataque"),"")</f>
        <v>Ataque</v>
      </c>
      <c r="U56" s="6"/>
      <c r="V56" s="6"/>
    </row>
    <row r="57" spans="1:23" x14ac:dyDescent="0.25"/>
    <row r="58" spans="1:23" x14ac:dyDescent="0.25">
      <c r="A58" s="34"/>
      <c r="B58" s="33"/>
      <c r="C58" s="33"/>
      <c r="D58" s="33"/>
      <c r="E58" s="33"/>
      <c r="F58" s="34"/>
      <c r="G58" s="34"/>
      <c r="H58" s="34"/>
      <c r="I58" s="34"/>
      <c r="J58" s="34"/>
      <c r="K58" s="34"/>
      <c r="L58" s="34"/>
      <c r="M58" s="34"/>
      <c r="N58" s="34"/>
      <c r="O58" s="34"/>
      <c r="P58" s="34"/>
      <c r="Q58" s="34"/>
    </row>
    <row r="59" spans="1:23" x14ac:dyDescent="0.25">
      <c r="A59" s="33"/>
      <c r="B59" s="33"/>
      <c r="C59" s="33"/>
      <c r="D59" s="33"/>
      <c r="E59" s="33"/>
      <c r="F59" s="33"/>
      <c r="G59" s="33"/>
      <c r="H59" s="33"/>
      <c r="I59" s="33"/>
      <c r="J59" s="34"/>
      <c r="K59" s="34"/>
      <c r="L59" s="34"/>
      <c r="M59" s="34"/>
      <c r="N59" s="34"/>
      <c r="O59" s="34"/>
      <c r="P59" s="34"/>
      <c r="Q59" s="34"/>
      <c r="R59" s="34"/>
      <c r="S59" s="34"/>
      <c r="T59" s="34"/>
      <c r="U59" s="34"/>
      <c r="V59" s="34"/>
      <c r="W59" s="34"/>
    </row>
    <row r="60" spans="1:23" x14ac:dyDescent="0.25">
      <c r="A60" s="33"/>
      <c r="B60" s="33"/>
      <c r="C60" s="33"/>
      <c r="D60" s="33"/>
      <c r="E60" s="33"/>
      <c r="F60" s="33"/>
      <c r="G60" s="33"/>
      <c r="H60" s="33"/>
      <c r="I60" s="33"/>
      <c r="J60" s="34"/>
      <c r="K60" s="34"/>
      <c r="L60" s="34"/>
      <c r="M60" s="34"/>
      <c r="N60" s="34"/>
      <c r="O60" s="34"/>
      <c r="P60" s="34"/>
      <c r="Q60" s="34"/>
      <c r="R60" s="34"/>
      <c r="S60" s="34"/>
      <c r="T60" s="34"/>
      <c r="U60" s="34"/>
      <c r="V60" s="34"/>
      <c r="W60" s="34"/>
    </row>
    <row r="61" spans="1:23" x14ac:dyDescent="0.25">
      <c r="A61" s="33"/>
      <c r="B61" s="33"/>
      <c r="C61" s="33"/>
      <c r="D61" s="33"/>
      <c r="E61" s="33"/>
      <c r="F61" s="33"/>
      <c r="G61" s="33"/>
      <c r="H61" s="33"/>
      <c r="I61" s="33"/>
      <c r="J61" s="34"/>
      <c r="K61" s="34"/>
      <c r="L61" s="34"/>
      <c r="M61" s="34"/>
      <c r="N61" s="34"/>
      <c r="O61" s="34"/>
      <c r="P61" s="34"/>
      <c r="Q61" s="34"/>
      <c r="R61" s="34"/>
      <c r="S61" s="34"/>
      <c r="T61" s="34"/>
      <c r="U61" s="34"/>
      <c r="V61" s="34"/>
      <c r="W61" s="34"/>
    </row>
    <row r="62" spans="1:23" x14ac:dyDescent="0.25">
      <c r="A62" s="33"/>
      <c r="B62" s="33"/>
      <c r="C62" s="33"/>
      <c r="D62" s="33"/>
      <c r="E62" s="33"/>
      <c r="F62" s="33"/>
      <c r="G62" s="33"/>
      <c r="H62" s="33"/>
      <c r="I62" s="33"/>
      <c r="J62" s="34"/>
      <c r="K62" s="34"/>
      <c r="L62" s="34"/>
      <c r="M62" s="34"/>
      <c r="N62" s="34"/>
      <c r="O62" s="34"/>
      <c r="P62" s="34"/>
      <c r="Q62" s="34"/>
      <c r="R62" s="34"/>
      <c r="S62" s="34"/>
      <c r="T62" s="34"/>
      <c r="U62" s="34"/>
      <c r="V62" s="34"/>
      <c r="W62" s="34"/>
    </row>
    <row r="63" spans="1:23" x14ac:dyDescent="0.25">
      <c r="A63" s="33"/>
      <c r="B63" s="33"/>
      <c r="C63" s="33"/>
      <c r="D63" s="33"/>
      <c r="E63" s="33"/>
      <c r="F63" s="33"/>
      <c r="G63" s="33"/>
      <c r="H63" s="33"/>
      <c r="I63" s="33"/>
      <c r="J63" s="34"/>
      <c r="K63" s="34"/>
      <c r="L63" s="34"/>
      <c r="M63" s="34"/>
      <c r="N63" s="34"/>
      <c r="O63" s="34"/>
      <c r="P63" s="34"/>
      <c r="Q63" s="34"/>
      <c r="R63" s="34"/>
      <c r="S63" s="34"/>
      <c r="T63" s="34"/>
      <c r="U63" s="34"/>
      <c r="V63" s="34"/>
      <c r="W63" s="34"/>
    </row>
    <row r="64" spans="1:23" x14ac:dyDescent="0.25">
      <c r="A64" s="33"/>
      <c r="B64" s="33"/>
      <c r="C64" s="33"/>
      <c r="D64" s="33"/>
      <c r="E64" s="33"/>
      <c r="F64" s="33"/>
      <c r="G64" s="33"/>
      <c r="H64" s="33"/>
      <c r="I64" s="33"/>
      <c r="J64" s="34"/>
      <c r="K64" s="34"/>
      <c r="L64" s="34"/>
      <c r="M64" s="34"/>
      <c r="N64" s="34"/>
      <c r="O64" s="34"/>
      <c r="P64" s="34"/>
      <c r="Q64" s="34"/>
      <c r="R64" s="34"/>
      <c r="S64" s="34"/>
      <c r="T64" s="34"/>
      <c r="U64" s="34"/>
      <c r="V64" s="34"/>
      <c r="W64" s="34"/>
    </row>
    <row r="65" spans="1:23" x14ac:dyDescent="0.25">
      <c r="A65" s="33"/>
      <c r="B65" s="33"/>
      <c r="C65" s="33"/>
      <c r="D65" s="33"/>
      <c r="E65" s="33"/>
      <c r="F65" s="33"/>
      <c r="G65" s="33"/>
      <c r="H65" s="33"/>
      <c r="I65" s="33"/>
      <c r="J65" s="34"/>
      <c r="K65" s="34"/>
      <c r="L65" s="34"/>
      <c r="M65" s="34"/>
      <c r="N65" s="34"/>
      <c r="O65" s="34"/>
      <c r="P65" s="34"/>
      <c r="Q65" s="34"/>
      <c r="R65" s="34"/>
      <c r="S65" s="34"/>
      <c r="T65" s="34"/>
      <c r="U65" s="34"/>
      <c r="V65" s="34"/>
      <c r="W65" s="34"/>
    </row>
    <row r="66" spans="1:23" x14ac:dyDescent="0.25">
      <c r="A66" s="33"/>
      <c r="B66" s="33"/>
      <c r="C66" s="33"/>
      <c r="D66" s="33"/>
      <c r="E66" s="33"/>
      <c r="F66" s="33"/>
      <c r="G66" s="33"/>
      <c r="H66" s="33"/>
      <c r="I66" s="33"/>
      <c r="J66" s="34"/>
      <c r="K66" s="34"/>
      <c r="L66" s="34"/>
      <c r="M66" s="34"/>
      <c r="N66" s="34"/>
      <c r="O66" s="34"/>
      <c r="P66" s="34"/>
      <c r="Q66" s="34"/>
      <c r="R66" s="34"/>
      <c r="S66" s="34"/>
      <c r="T66" s="34"/>
      <c r="U66" s="34"/>
      <c r="V66" s="34"/>
      <c r="W66" s="34"/>
    </row>
    <row r="67" spans="1:23" x14ac:dyDescent="0.25">
      <c r="A67" s="33"/>
      <c r="B67" s="33"/>
      <c r="C67" s="33"/>
      <c r="D67" s="33"/>
      <c r="E67" s="33"/>
      <c r="F67" s="33"/>
      <c r="G67" s="33"/>
      <c r="H67" s="33"/>
      <c r="I67" s="33"/>
      <c r="J67" s="34"/>
      <c r="K67" s="34"/>
      <c r="L67" s="34"/>
      <c r="M67" s="34"/>
      <c r="N67" s="34"/>
      <c r="O67" s="34"/>
      <c r="P67" s="34"/>
      <c r="Q67" s="34"/>
      <c r="R67" s="34"/>
      <c r="S67" s="34"/>
      <c r="T67" s="34"/>
      <c r="U67" s="34"/>
      <c r="V67" s="34"/>
      <c r="W67" s="34"/>
    </row>
    <row r="68" spans="1:23" x14ac:dyDescent="0.25">
      <c r="A68" s="33"/>
      <c r="B68" s="33"/>
      <c r="C68" s="33"/>
      <c r="D68" s="33"/>
      <c r="E68" s="33"/>
      <c r="F68" s="33"/>
      <c r="G68" s="33"/>
      <c r="H68" s="33"/>
      <c r="I68" s="33"/>
      <c r="J68" s="34"/>
      <c r="K68" s="34"/>
      <c r="L68" s="34"/>
      <c r="M68" s="34"/>
      <c r="N68" s="34"/>
      <c r="O68" s="34"/>
      <c r="P68" s="34"/>
      <c r="Q68" s="34"/>
      <c r="R68" s="34"/>
      <c r="S68" s="34"/>
      <c r="T68" s="34"/>
      <c r="U68" s="34"/>
      <c r="V68" s="34"/>
      <c r="W68" s="34"/>
    </row>
    <row r="69" spans="1:23" x14ac:dyDescent="0.25">
      <c r="A69" s="33"/>
      <c r="B69" s="33"/>
      <c r="C69" s="33"/>
      <c r="D69" s="33"/>
      <c r="E69" s="33"/>
      <c r="F69" s="33"/>
      <c r="G69" s="33"/>
      <c r="H69" s="33"/>
      <c r="I69" s="34"/>
      <c r="J69" s="34"/>
      <c r="K69" s="34"/>
      <c r="L69" s="34"/>
      <c r="M69" s="34"/>
      <c r="N69" s="34"/>
      <c r="O69" s="34"/>
      <c r="P69" s="34"/>
      <c r="Q69" s="34"/>
      <c r="R69" s="34"/>
      <c r="S69" s="34"/>
      <c r="T69" s="34"/>
      <c r="U69" s="34"/>
      <c r="V69" s="34"/>
      <c r="W69" s="34"/>
    </row>
  </sheetData>
  <mergeCells count="33">
    <mergeCell ref="E48:G48"/>
    <mergeCell ref="H48:H51"/>
    <mergeCell ref="L48:N48"/>
    <mergeCell ref="E53:G53"/>
    <mergeCell ref="H53:H56"/>
    <mergeCell ref="L53:N53"/>
    <mergeCell ref="E43:G43"/>
    <mergeCell ref="H43:H46"/>
    <mergeCell ref="L43:N43"/>
    <mergeCell ref="E33:G33"/>
    <mergeCell ref="H33:H36"/>
    <mergeCell ref="L33:N33"/>
    <mergeCell ref="E38:G38"/>
    <mergeCell ref="H38:H41"/>
    <mergeCell ref="L38:N38"/>
    <mergeCell ref="E23:G23"/>
    <mergeCell ref="H23:H26"/>
    <mergeCell ref="L23:N23"/>
    <mergeCell ref="E28:G28"/>
    <mergeCell ref="H28:H31"/>
    <mergeCell ref="L28:N28"/>
    <mergeCell ref="E13:G13"/>
    <mergeCell ref="H13:H16"/>
    <mergeCell ref="L13:N13"/>
    <mergeCell ref="E18:G18"/>
    <mergeCell ref="H18:H21"/>
    <mergeCell ref="L18:N18"/>
    <mergeCell ref="L3:N3"/>
    <mergeCell ref="E3:G3"/>
    <mergeCell ref="E8:G8"/>
    <mergeCell ref="H8:H11"/>
    <mergeCell ref="L8:N8"/>
    <mergeCell ref="H3:H6"/>
  </mergeCells>
  <conditionalFormatting sqref="L3">
    <cfRule type="expression" dxfId="56" priority="98">
      <formula>$Q$4=2</formula>
    </cfRule>
  </conditionalFormatting>
  <conditionalFormatting sqref="K3">
    <cfRule type="expression" dxfId="55" priority="92">
      <formula>$Q4=2</formula>
    </cfRule>
  </conditionalFormatting>
  <conditionalFormatting sqref="B18 B28 B38 B43 B48 B53">
    <cfRule type="expression" dxfId="54" priority="83">
      <formula>$O20=$B18</formula>
    </cfRule>
  </conditionalFormatting>
  <conditionalFormatting sqref="E13">
    <cfRule type="expression" dxfId="53" priority="79">
      <formula>$Q$4=1</formula>
    </cfRule>
  </conditionalFormatting>
  <conditionalFormatting sqref="I13 I23 I33 I43 I53">
    <cfRule type="expression" dxfId="52" priority="76">
      <formula>$O15=$I13</formula>
    </cfRule>
  </conditionalFormatting>
  <conditionalFormatting sqref="B13">
    <cfRule type="expression" dxfId="51" priority="75">
      <formula>$O15=B13</formula>
    </cfRule>
  </conditionalFormatting>
  <conditionalFormatting sqref="D13">
    <cfRule type="expression" dxfId="50" priority="73">
      <formula>$Q14=1</formula>
    </cfRule>
  </conditionalFormatting>
  <conditionalFormatting sqref="K8">
    <cfRule type="expression" dxfId="49" priority="72">
      <formula>$Q9=2</formula>
    </cfRule>
  </conditionalFormatting>
  <conditionalFormatting sqref="K13">
    <cfRule type="expression" dxfId="48" priority="71">
      <formula>$Q14=2</formula>
    </cfRule>
  </conditionalFormatting>
  <conditionalFormatting sqref="L8">
    <cfRule type="expression" dxfId="47" priority="70">
      <formula>$Q9=2</formula>
    </cfRule>
  </conditionalFormatting>
  <conditionalFormatting sqref="E18">
    <cfRule type="expression" dxfId="46" priority="68">
      <formula>$Q$4=1</formula>
    </cfRule>
  </conditionalFormatting>
  <conditionalFormatting sqref="D18">
    <cfRule type="expression" dxfId="45" priority="67">
      <formula>$Q19=1</formula>
    </cfRule>
  </conditionalFormatting>
  <conditionalFormatting sqref="I18">
    <cfRule type="expression" dxfId="44" priority="66">
      <formula>$O20=I18</formula>
    </cfRule>
  </conditionalFormatting>
  <conditionalFormatting sqref="E23">
    <cfRule type="expression" dxfId="43" priority="64">
      <formula>$Q$4=1</formula>
    </cfRule>
  </conditionalFormatting>
  <conditionalFormatting sqref="B23">
    <cfRule type="expression" dxfId="42" priority="62">
      <formula>$O25=B23</formula>
    </cfRule>
  </conditionalFormatting>
  <conditionalFormatting sqref="D23">
    <cfRule type="expression" dxfId="41" priority="61">
      <formula>$Q24=1</formula>
    </cfRule>
  </conditionalFormatting>
  <conditionalFormatting sqref="K18">
    <cfRule type="expression" dxfId="40" priority="60">
      <formula>$Q19=2</formula>
    </cfRule>
  </conditionalFormatting>
  <conditionalFormatting sqref="K23">
    <cfRule type="expression" dxfId="39" priority="59">
      <formula>$Q24=2</formula>
    </cfRule>
  </conditionalFormatting>
  <conditionalFormatting sqref="E28">
    <cfRule type="expression" dxfId="38" priority="56">
      <formula>$Q$4=1</formula>
    </cfRule>
  </conditionalFormatting>
  <conditionalFormatting sqref="D28">
    <cfRule type="expression" dxfId="37" priority="55">
      <formula>$Q29=1</formula>
    </cfRule>
  </conditionalFormatting>
  <conditionalFormatting sqref="I28">
    <cfRule type="expression" dxfId="36" priority="54">
      <formula>$O30=I28</formula>
    </cfRule>
  </conditionalFormatting>
  <conditionalFormatting sqref="E33">
    <cfRule type="expression" dxfId="35" priority="52">
      <formula>$Q$4=1</formula>
    </cfRule>
  </conditionalFormatting>
  <conditionalFormatting sqref="B33">
    <cfRule type="expression" dxfId="34" priority="50">
      <formula>$O35=B33</formula>
    </cfRule>
  </conditionalFormatting>
  <conditionalFormatting sqref="D33">
    <cfRule type="expression" dxfId="33" priority="49">
      <formula>$Q34=1</formula>
    </cfRule>
  </conditionalFormatting>
  <conditionalFormatting sqref="K28">
    <cfRule type="expression" dxfId="32" priority="48">
      <formula>$Q29=2</formula>
    </cfRule>
  </conditionalFormatting>
  <conditionalFormatting sqref="K33">
    <cfRule type="expression" dxfId="31" priority="47">
      <formula>$Q34=2</formula>
    </cfRule>
  </conditionalFormatting>
  <conditionalFormatting sqref="E38">
    <cfRule type="expression" dxfId="30" priority="44">
      <formula>$Q$4=1</formula>
    </cfRule>
  </conditionalFormatting>
  <conditionalFormatting sqref="D38">
    <cfRule type="expression" dxfId="29" priority="43">
      <formula>$Q39=1</formula>
    </cfRule>
  </conditionalFormatting>
  <conditionalFormatting sqref="I38">
    <cfRule type="expression" dxfId="28" priority="42">
      <formula>$O40=I38</formula>
    </cfRule>
  </conditionalFormatting>
  <conditionalFormatting sqref="E43">
    <cfRule type="expression" dxfId="27" priority="40">
      <formula>$Q$4=1</formula>
    </cfRule>
  </conditionalFormatting>
  <conditionalFormatting sqref="D43">
    <cfRule type="expression" dxfId="26" priority="37">
      <formula>$Q44=1</formula>
    </cfRule>
  </conditionalFormatting>
  <conditionalFormatting sqref="K38">
    <cfRule type="expression" dxfId="25" priority="36">
      <formula>$Q39=2</formula>
    </cfRule>
  </conditionalFormatting>
  <conditionalFormatting sqref="K43">
    <cfRule type="expression" dxfId="24" priority="35">
      <formula>$Q44=2</formula>
    </cfRule>
  </conditionalFormatting>
  <conditionalFormatting sqref="E48">
    <cfRule type="expression" dxfId="23" priority="32">
      <formula>$Q$4=1</formula>
    </cfRule>
  </conditionalFormatting>
  <conditionalFormatting sqref="D48">
    <cfRule type="expression" dxfId="22" priority="31">
      <formula>$Q49=1</formula>
    </cfRule>
  </conditionalFormatting>
  <conditionalFormatting sqref="I48">
    <cfRule type="expression" dxfId="21" priority="30">
      <formula>$O50=I48</formula>
    </cfRule>
  </conditionalFormatting>
  <conditionalFormatting sqref="E53">
    <cfRule type="expression" dxfId="20" priority="28">
      <formula>$Q$4=1</formula>
    </cfRule>
  </conditionalFormatting>
  <conditionalFormatting sqref="D53">
    <cfRule type="expression" dxfId="19" priority="25">
      <formula>$Q54=1</formula>
    </cfRule>
  </conditionalFormatting>
  <conditionalFormatting sqref="K48">
    <cfRule type="expression" dxfId="18" priority="24">
      <formula>$Q49=2</formula>
    </cfRule>
  </conditionalFormatting>
  <conditionalFormatting sqref="K53">
    <cfRule type="expression" dxfId="17" priority="23">
      <formula>$Q54=2</formula>
    </cfRule>
  </conditionalFormatting>
  <conditionalFormatting sqref="E3">
    <cfRule type="expression" dxfId="16" priority="17">
      <formula>$Q$4=1</formula>
    </cfRule>
  </conditionalFormatting>
  <conditionalFormatting sqref="B3">
    <cfRule type="expression" dxfId="15" priority="16">
      <formula>$O5=B3</formula>
    </cfRule>
  </conditionalFormatting>
  <conditionalFormatting sqref="D3">
    <cfRule type="expression" dxfId="14" priority="15">
      <formula>$Q4=1</formula>
    </cfRule>
  </conditionalFormatting>
  <conditionalFormatting sqref="E8">
    <cfRule type="expression" dxfId="13" priority="14">
      <formula>$Q$4=1</formula>
    </cfRule>
  </conditionalFormatting>
  <conditionalFormatting sqref="B8">
    <cfRule type="expression" dxfId="12" priority="13">
      <formula>$O10=B8</formula>
    </cfRule>
  </conditionalFormatting>
  <conditionalFormatting sqref="D8">
    <cfRule type="expression" dxfId="11" priority="12">
      <formula>$Q9=1</formula>
    </cfRule>
  </conditionalFormatting>
  <conditionalFormatting sqref="I8">
    <cfRule type="expression" dxfId="10" priority="11">
      <formula>$O10=$I8</formula>
    </cfRule>
  </conditionalFormatting>
  <conditionalFormatting sqref="I3">
    <cfRule type="expression" dxfId="9" priority="10">
      <formula>$O5=$I3</formula>
    </cfRule>
  </conditionalFormatting>
  <conditionalFormatting sqref="L13">
    <cfRule type="expression" dxfId="8" priority="9">
      <formula>$Q14=2</formula>
    </cfRule>
  </conditionalFormatting>
  <conditionalFormatting sqref="L18">
    <cfRule type="expression" dxfId="7" priority="8">
      <formula>$Q19=2</formula>
    </cfRule>
  </conditionalFormatting>
  <conditionalFormatting sqref="L23">
    <cfRule type="expression" dxfId="6" priority="7">
      <formula>$Q24=2</formula>
    </cfRule>
  </conditionalFormatting>
  <conditionalFormatting sqref="L28">
    <cfRule type="expression" dxfId="5" priority="6">
      <formula>$Q29=2</formula>
    </cfRule>
  </conditionalFormatting>
  <conditionalFormatting sqref="L33">
    <cfRule type="expression" dxfId="4" priority="5">
      <formula>$Q34=2</formula>
    </cfRule>
  </conditionalFormatting>
  <conditionalFormatting sqref="L38">
    <cfRule type="expression" dxfId="3" priority="4">
      <formula>$Q39=2</formula>
    </cfRule>
  </conditionalFormatting>
  <conditionalFormatting sqref="L43">
    <cfRule type="expression" dxfId="2" priority="3">
      <formula>$Q44=2</formula>
    </cfRule>
  </conditionalFormatting>
  <conditionalFormatting sqref="L48">
    <cfRule type="expression" dxfId="1" priority="2">
      <formula>$Q49=2</formula>
    </cfRule>
  </conditionalFormatting>
  <conditionalFormatting sqref="L53">
    <cfRule type="expression" dxfId="0" priority="1">
      <formula>$Q54=2</formula>
    </cfRule>
  </conditionalFormatting>
  <dataValidations count="7">
    <dataValidation type="list" allowBlank="1" showInputMessage="1" showErrorMessage="1" sqref="O5 O10 O15 B8 I8 B13 I13 O20 O25 I18 B18 B23 I23 O30 O35 I28 B28 B33 I33 O40 O45 I38 B38 I53 I43 O50 O55 I48 B43 B48 B53" xr:uid="{00000000-0002-0000-0000-000000000000}">
      <formula1>$Q$3:$R$3</formula1>
    </dataValidation>
    <dataValidation type="list" allowBlank="1" showInputMessage="1" showErrorMessage="1" sqref="C54:G54 C4:G4 C14:G14 C19:G19 C24:G24 C29:G29 C34:G34 C39:G39 C44:G44 C49:G49 C9:G9" xr:uid="{00000000-0002-0000-0000-000001000000}">
      <formula1>INDIRECT($T$5)</formula1>
    </dataValidation>
    <dataValidation type="list" allowBlank="1" showInputMessage="1" showErrorMessage="1" sqref="J5:N5 J10:N10 J15:N15 J20:N20 J25:N25 J30:N30 J35:N35 J40:N40 J45:N45 J50:N50 J55:N55" xr:uid="{00000000-0002-0000-0000-000002000000}">
      <formula1>INDIRECT($J3)</formula1>
    </dataValidation>
    <dataValidation type="list" allowBlank="1" showInputMessage="1" showErrorMessage="1" sqref="J4:N4 J9:N9 J14:N14 J19:N19 J24:N24 J29:N29 J34:N34 J39:N39 J44:N44 J49:N49 J54:N54" xr:uid="{00000000-0002-0000-0000-000003000000}">
      <formula1>INDIRECT($V5)</formula1>
    </dataValidation>
    <dataValidation type="list" allowBlank="1" showInputMessage="1" showErrorMessage="1" sqref="E3:G3 E18:G18 E28:G28 E38:G38 E48:G48 E13:G13 E23:G23 E33:G33 E43:G43 E53:G53 E8:G8" xr:uid="{00000000-0002-0000-0000-000004000000}">
      <formula1>INDIRECT($S4)</formula1>
    </dataValidation>
    <dataValidation type="list" allowBlank="1" showInputMessage="1" showErrorMessage="1" sqref="L3:N3 L8:N8 L48:N48 L13:N13 L18:N18 L23:N23 L28:N28 L33:N33 L38:N38 L43:N43 L53:N53" xr:uid="{00000000-0002-0000-0000-000005000000}">
      <formula1>INDIRECT($T4)</formula1>
    </dataValidation>
    <dataValidation type="list" allowBlank="1" showInputMessage="1" showErrorMessage="1" sqref="C5:G5 C15:G15 C20:G20 C25:G25 C30:G30 C35:G35 C40:G40 C45:G45 C50:G50 C55:G55 C10:G10" xr:uid="{00000000-0002-0000-0000-000006000000}">
      <formula1>INDIRECT($C3)</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5" r:id="rId4" name="Mapa">
              <controlPr defaultSize="0" autoLine="0" autoPict="0">
                <anchor moveWithCells="1">
                  <from>
                    <xdr:col>2</xdr:col>
                    <xdr:colOff>38100</xdr:colOff>
                    <xdr:row>1</xdr:row>
                    <xdr:rowOff>38100</xdr:rowOff>
                  </from>
                  <to>
                    <xdr:col>4</xdr:col>
                    <xdr:colOff>0</xdr:colOff>
                    <xdr:row>1</xdr:row>
                    <xdr:rowOff>238125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7000000}">
          <x14:formula1>
            <xm:f>Referencia!$I$1:$I$8</xm:f>
          </x14:formula1>
          <xm:sqref>B3 I3</xm:sqref>
        </x14:dataValidation>
        <x14:dataValidation type="list" allowBlank="1" showInputMessage="1" showErrorMessage="1" xr:uid="{00000000-0002-0000-0000-000008000000}">
          <x14:formula1>
            <xm:f>Referencia!$M$1:$M$2</xm:f>
          </x14:formula1>
          <xm:sqref>C53 C3 C13 C18 C23 C28 C33 C38 C43 C48 C8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zReferencia"/>
  <dimension ref="A1:O22"/>
  <sheetViews>
    <sheetView workbookViewId="0">
      <selection activeCell="H11" sqref="H11"/>
    </sheetView>
  </sheetViews>
  <sheetFormatPr defaultRowHeight="15" x14ac:dyDescent="0.25"/>
  <cols>
    <col min="1" max="1" width="9.85546875" customWidth="1"/>
    <col min="14" max="14" width="10.5703125" customWidth="1"/>
  </cols>
  <sheetData>
    <row r="1" spans="1:15" x14ac:dyDescent="0.25">
      <c r="A1" s="1" t="s">
        <v>0</v>
      </c>
      <c r="B1" s="1" t="s">
        <v>6</v>
      </c>
      <c r="C1" s="1" t="s">
        <v>25</v>
      </c>
      <c r="D1" s="1" t="s">
        <v>26</v>
      </c>
      <c r="E1" s="1" t="s">
        <v>70</v>
      </c>
      <c r="F1" s="1" t="s">
        <v>71</v>
      </c>
      <c r="G1" s="1" t="s">
        <v>72</v>
      </c>
      <c r="H1" s="1" t="s">
        <v>73</v>
      </c>
      <c r="I1" s="1" t="s">
        <v>0</v>
      </c>
      <c r="J1" s="1" t="s">
        <v>154</v>
      </c>
      <c r="M1" s="1" t="s">
        <v>164</v>
      </c>
      <c r="N1" s="1" t="s">
        <v>109</v>
      </c>
      <c r="O1" s="1" t="s">
        <v>122</v>
      </c>
    </row>
    <row r="2" spans="1:15" x14ac:dyDescent="0.25">
      <c r="A2" s="1" t="s">
        <v>1</v>
      </c>
      <c r="B2" s="1" t="s">
        <v>7</v>
      </c>
      <c r="C2" s="1" t="s">
        <v>74</v>
      </c>
      <c r="D2" s="1" t="s">
        <v>79</v>
      </c>
      <c r="E2" s="1" t="s">
        <v>84</v>
      </c>
      <c r="F2" s="1" t="s">
        <v>92</v>
      </c>
      <c r="G2" s="1" t="s">
        <v>98</v>
      </c>
      <c r="H2" s="1" t="s">
        <v>103</v>
      </c>
      <c r="I2" s="1" t="s">
        <v>6</v>
      </c>
      <c r="J2" s="1" t="s">
        <v>155</v>
      </c>
      <c r="M2" s="1" t="s">
        <v>134</v>
      </c>
      <c r="N2" s="1" t="s">
        <v>21</v>
      </c>
      <c r="O2" s="1" t="s">
        <v>17</v>
      </c>
    </row>
    <row r="3" spans="1:15" x14ac:dyDescent="0.25">
      <c r="A3" s="1" t="s">
        <v>2</v>
      </c>
      <c r="B3" s="1" t="s">
        <v>8</v>
      </c>
      <c r="C3" s="1" t="s">
        <v>75</v>
      </c>
      <c r="D3" s="1" t="s">
        <v>80</v>
      </c>
      <c r="E3" s="1" t="s">
        <v>93</v>
      </c>
      <c r="F3" s="1" t="s">
        <v>94</v>
      </c>
      <c r="G3" s="1" t="s">
        <v>99</v>
      </c>
      <c r="H3" s="1" t="s">
        <v>104</v>
      </c>
      <c r="I3" s="1" t="s">
        <v>25</v>
      </c>
      <c r="J3" s="1" t="s">
        <v>156</v>
      </c>
      <c r="N3" s="1" t="s">
        <v>110</v>
      </c>
      <c r="O3" s="1" t="s">
        <v>16</v>
      </c>
    </row>
    <row r="4" spans="1:15" x14ac:dyDescent="0.25">
      <c r="A4" s="1" t="s">
        <v>3</v>
      </c>
      <c r="B4" s="1" t="s">
        <v>9</v>
      </c>
      <c r="C4" s="1" t="s">
        <v>76</v>
      </c>
      <c r="D4" s="1" t="s">
        <v>81</v>
      </c>
      <c r="E4" s="1" t="s">
        <v>85</v>
      </c>
      <c r="F4" s="1" t="s">
        <v>96</v>
      </c>
      <c r="G4" s="1" t="s">
        <v>100</v>
      </c>
      <c r="H4" s="1" t="s">
        <v>105</v>
      </c>
      <c r="I4" s="1" t="s">
        <v>26</v>
      </c>
      <c r="J4" s="1" t="s">
        <v>157</v>
      </c>
      <c r="N4" s="1" t="s">
        <v>111</v>
      </c>
      <c r="O4" s="1" t="s">
        <v>118</v>
      </c>
    </row>
    <row r="5" spans="1:15" x14ac:dyDescent="0.25">
      <c r="A5" s="1" t="s">
        <v>4</v>
      </c>
      <c r="B5" s="1" t="s">
        <v>10</v>
      </c>
      <c r="C5" s="1" t="s">
        <v>77</v>
      </c>
      <c r="D5" s="1" t="s">
        <v>82</v>
      </c>
      <c r="E5" s="1" t="s">
        <v>86</v>
      </c>
      <c r="F5" s="1" t="s">
        <v>95</v>
      </c>
      <c r="G5" s="1" t="s">
        <v>101</v>
      </c>
      <c r="H5" s="1" t="s">
        <v>106</v>
      </c>
      <c r="I5" s="1" t="s">
        <v>70</v>
      </c>
      <c r="J5" s="1" t="s">
        <v>158</v>
      </c>
      <c r="N5" s="1" t="s">
        <v>23</v>
      </c>
      <c r="O5" s="1" t="s">
        <v>119</v>
      </c>
    </row>
    <row r="6" spans="1:15" x14ac:dyDescent="0.25">
      <c r="A6" s="1" t="s">
        <v>5</v>
      </c>
      <c r="B6" s="1" t="s">
        <v>11</v>
      </c>
      <c r="C6" s="1" t="s">
        <v>78</v>
      </c>
      <c r="D6" s="1" t="s">
        <v>83</v>
      </c>
      <c r="E6" s="1" t="s">
        <v>87</v>
      </c>
      <c r="F6" s="1" t="s">
        <v>97</v>
      </c>
      <c r="G6" s="1" t="s">
        <v>102</v>
      </c>
      <c r="H6" s="1" t="s">
        <v>107</v>
      </c>
      <c r="I6" s="1" t="s">
        <v>71</v>
      </c>
      <c r="J6" s="1" t="s">
        <v>159</v>
      </c>
      <c r="N6" s="1" t="s">
        <v>19</v>
      </c>
      <c r="O6" s="1" t="s">
        <v>15</v>
      </c>
    </row>
    <row r="7" spans="1:15" x14ac:dyDescent="0.25">
      <c r="A7" s="1"/>
      <c r="B7" s="1"/>
      <c r="C7" s="1" t="s">
        <v>90</v>
      </c>
      <c r="D7" s="1" t="s">
        <v>89</v>
      </c>
      <c r="E7" s="1" t="s">
        <v>88</v>
      </c>
      <c r="F7" s="1" t="s">
        <v>91</v>
      </c>
      <c r="G7" s="1"/>
      <c r="H7" s="1"/>
      <c r="I7" s="1" t="s">
        <v>72</v>
      </c>
      <c r="J7" s="1" t="s">
        <v>160</v>
      </c>
      <c r="N7" s="1" t="s">
        <v>112</v>
      </c>
      <c r="O7" s="1" t="s">
        <v>18</v>
      </c>
    </row>
    <row r="8" spans="1:15" x14ac:dyDescent="0.25">
      <c r="A8" s="3"/>
      <c r="B8" s="3"/>
      <c r="C8" s="3"/>
      <c r="D8" s="3"/>
      <c r="E8" s="3"/>
      <c r="F8" s="3"/>
      <c r="G8" s="3"/>
      <c r="H8" s="3"/>
      <c r="I8" s="1" t="s">
        <v>73</v>
      </c>
      <c r="J8" s="1" t="s">
        <v>161</v>
      </c>
      <c r="N8" s="1" t="s">
        <v>20</v>
      </c>
      <c r="O8" s="1" t="s">
        <v>120</v>
      </c>
    </row>
    <row r="9" spans="1:15" x14ac:dyDescent="0.25">
      <c r="A9" s="3"/>
      <c r="B9" s="3"/>
      <c r="C9" s="3"/>
      <c r="D9" s="3"/>
      <c r="E9" s="3"/>
      <c r="F9" s="3"/>
      <c r="G9" s="3"/>
      <c r="H9" s="3"/>
      <c r="N9" s="1" t="s">
        <v>113</v>
      </c>
      <c r="O9" s="1" t="s">
        <v>121</v>
      </c>
    </row>
    <row r="10" spans="1:15" x14ac:dyDescent="0.25">
      <c r="N10" s="1" t="s">
        <v>22</v>
      </c>
      <c r="O10" s="1" t="s">
        <v>123</v>
      </c>
    </row>
    <row r="11" spans="1:15" x14ac:dyDescent="0.25">
      <c r="A11" s="1" t="s">
        <v>27</v>
      </c>
      <c r="B11" s="1" t="s">
        <v>32</v>
      </c>
      <c r="C11" s="1" t="s">
        <v>37</v>
      </c>
      <c r="D11" s="1" t="s">
        <v>42</v>
      </c>
      <c r="E11" s="1" t="s">
        <v>47</v>
      </c>
      <c r="F11" s="1" t="s">
        <v>51</v>
      </c>
      <c r="G11" s="1" t="s">
        <v>56</v>
      </c>
      <c r="H11" s="1" t="s">
        <v>60</v>
      </c>
      <c r="I11" s="1" t="s">
        <v>65</v>
      </c>
      <c r="J11" s="1" t="s">
        <v>27</v>
      </c>
      <c r="K11" s="4" t="s">
        <v>135</v>
      </c>
      <c r="L11" s="4" t="s">
        <v>144</v>
      </c>
      <c r="N11" s="1" t="s">
        <v>114</v>
      </c>
      <c r="O11" s="1" t="s">
        <v>124</v>
      </c>
    </row>
    <row r="12" spans="1:15" x14ac:dyDescent="0.25">
      <c r="A12" s="1" t="s">
        <v>28</v>
      </c>
      <c r="B12" s="1" t="s">
        <v>33</v>
      </c>
      <c r="C12" s="1" t="s">
        <v>38</v>
      </c>
      <c r="D12" s="1" t="s">
        <v>43</v>
      </c>
      <c r="E12" s="1" t="s">
        <v>48</v>
      </c>
      <c r="F12" s="1" t="s">
        <v>52</v>
      </c>
      <c r="G12" s="1" t="s">
        <v>57</v>
      </c>
      <c r="H12" s="1" t="s">
        <v>64</v>
      </c>
      <c r="I12" s="1" t="s">
        <v>66</v>
      </c>
      <c r="J12" s="1" t="s">
        <v>32</v>
      </c>
      <c r="K12" s="4" t="s">
        <v>136</v>
      </c>
      <c r="L12" s="4" t="s">
        <v>145</v>
      </c>
      <c r="N12" s="1" t="s">
        <v>115</v>
      </c>
      <c r="O12" s="1" t="s">
        <v>127</v>
      </c>
    </row>
    <row r="13" spans="1:15" x14ac:dyDescent="0.25">
      <c r="A13" s="1" t="s">
        <v>29</v>
      </c>
      <c r="B13" s="1" t="s">
        <v>34</v>
      </c>
      <c r="C13" s="1" t="s">
        <v>39</v>
      </c>
      <c r="D13" s="1" t="s">
        <v>44</v>
      </c>
      <c r="E13" s="1" t="s">
        <v>49</v>
      </c>
      <c r="F13" s="1" t="s">
        <v>53</v>
      </c>
      <c r="G13" s="1" t="s">
        <v>58</v>
      </c>
      <c r="H13" s="1" t="s">
        <v>61</v>
      </c>
      <c r="I13" s="1" t="s">
        <v>67</v>
      </c>
      <c r="J13" s="1" t="s">
        <v>37</v>
      </c>
      <c r="K13" s="4" t="s">
        <v>137</v>
      </c>
      <c r="L13" s="4" t="s">
        <v>146</v>
      </c>
      <c r="N13" s="1" t="s">
        <v>116</v>
      </c>
      <c r="O13" s="1" t="s">
        <v>128</v>
      </c>
    </row>
    <row r="14" spans="1:15" x14ac:dyDescent="0.25">
      <c r="A14" s="1" t="s">
        <v>30</v>
      </c>
      <c r="B14" s="1" t="s">
        <v>35</v>
      </c>
      <c r="C14" s="1" t="s">
        <v>40</v>
      </c>
      <c r="D14" s="1" t="s">
        <v>45</v>
      </c>
      <c r="E14" s="1" t="s">
        <v>50</v>
      </c>
      <c r="F14" s="1" t="s">
        <v>54</v>
      </c>
      <c r="G14" s="1" t="s">
        <v>59</v>
      </c>
      <c r="H14" s="1" t="s">
        <v>62</v>
      </c>
      <c r="I14" s="1" t="s">
        <v>68</v>
      </c>
      <c r="J14" s="1" t="s">
        <v>42</v>
      </c>
      <c r="K14" s="4" t="s">
        <v>138</v>
      </c>
      <c r="L14" s="4" t="s">
        <v>147</v>
      </c>
      <c r="N14" s="1" t="s">
        <v>117</v>
      </c>
      <c r="O14" s="1" t="s">
        <v>129</v>
      </c>
    </row>
    <row r="15" spans="1:15" x14ac:dyDescent="0.25">
      <c r="A15" s="1" t="s">
        <v>31</v>
      </c>
      <c r="B15" s="1" t="s">
        <v>36</v>
      </c>
      <c r="C15" s="1" t="s">
        <v>41</v>
      </c>
      <c r="D15" s="1" t="s">
        <v>46</v>
      </c>
      <c r="E15" s="1"/>
      <c r="F15" s="1" t="s">
        <v>55</v>
      </c>
      <c r="G15" s="1"/>
      <c r="H15" s="1" t="s">
        <v>63</v>
      </c>
      <c r="I15" s="1" t="s">
        <v>69</v>
      </c>
      <c r="J15" s="1" t="s">
        <v>47</v>
      </c>
      <c r="K15" s="4" t="s">
        <v>139</v>
      </c>
      <c r="L15" s="4" t="s">
        <v>148</v>
      </c>
      <c r="N15" s="1" t="s">
        <v>125</v>
      </c>
      <c r="O15" s="1" t="s">
        <v>130</v>
      </c>
    </row>
    <row r="16" spans="1:15" x14ac:dyDescent="0.25">
      <c r="J16" s="1" t="s">
        <v>51</v>
      </c>
      <c r="K16" s="4" t="s">
        <v>140</v>
      </c>
      <c r="L16" s="4" t="s">
        <v>149</v>
      </c>
      <c r="N16" s="1" t="s">
        <v>126</v>
      </c>
      <c r="O16" s="1" t="s">
        <v>131</v>
      </c>
    </row>
    <row r="17" spans="10:15" x14ac:dyDescent="0.25">
      <c r="J17" s="1" t="s">
        <v>56</v>
      </c>
      <c r="K17" s="4" t="s">
        <v>141</v>
      </c>
      <c r="L17" s="4" t="s">
        <v>150</v>
      </c>
      <c r="N17" s="1" t="s">
        <v>133</v>
      </c>
      <c r="O17" s="1" t="s">
        <v>132</v>
      </c>
    </row>
    <row r="18" spans="10:15" x14ac:dyDescent="0.25">
      <c r="J18" s="1" t="s">
        <v>60</v>
      </c>
      <c r="K18" s="4" t="s">
        <v>142</v>
      </c>
      <c r="L18" s="4" t="s">
        <v>151</v>
      </c>
    </row>
    <row r="19" spans="10:15" x14ac:dyDescent="0.25">
      <c r="J19" s="1" t="s">
        <v>65</v>
      </c>
      <c r="K19" s="4" t="s">
        <v>143</v>
      </c>
      <c r="L19" s="4" t="s">
        <v>152</v>
      </c>
    </row>
    <row r="22" spans="10:15" x14ac:dyDescent="0.25">
      <c r="N22" t="s">
        <v>162</v>
      </c>
      <c r="O22" t="s">
        <v>163</v>
      </c>
    </row>
  </sheetData>
  <pageMargins left="0.511811024" right="0.511811024" top="0.78740157499999996" bottom="0.78740157499999996" header="0.31496062000000002" footer="0.3149606200000000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2"/>
  <dimension ref="A1:W18"/>
  <sheetViews>
    <sheetView showGridLines="0" showRowColHeaders="0" topLeftCell="M1" workbookViewId="0">
      <selection activeCell="S18" sqref="S18"/>
    </sheetView>
  </sheetViews>
  <sheetFormatPr defaultRowHeight="15" x14ac:dyDescent="0.25"/>
  <cols>
    <col min="1" max="1" width="18" customWidth="1"/>
    <col min="2" max="2" width="11.7109375" customWidth="1"/>
    <col min="3" max="3" width="8.85546875" customWidth="1"/>
    <col min="4" max="4" width="6.28515625" customWidth="1"/>
    <col min="5" max="5" width="6.140625" customWidth="1"/>
    <col min="6" max="6" width="6" customWidth="1"/>
    <col min="7" max="7" width="5.42578125" customWidth="1"/>
    <col min="8" max="8" width="6.42578125" customWidth="1"/>
    <col min="9" max="9" width="4.7109375" customWidth="1"/>
    <col min="10" max="10" width="3.140625" customWidth="1"/>
    <col min="11" max="11" width="5.42578125" customWidth="1"/>
    <col min="12" max="12" width="3.5703125" customWidth="1"/>
  </cols>
  <sheetData>
    <row r="1" spans="1:23" x14ac:dyDescent="0.25">
      <c r="A1" s="31" t="s">
        <v>108</v>
      </c>
      <c r="B1" t="s">
        <v>37</v>
      </c>
    </row>
    <row r="2" spans="1:23" x14ac:dyDescent="0.25">
      <c r="A2" s="31" t="s">
        <v>12</v>
      </c>
      <c r="B2" t="s">
        <v>176</v>
      </c>
    </row>
    <row r="3" spans="1:23" x14ac:dyDescent="0.25">
      <c r="A3" s="31" t="s">
        <v>177</v>
      </c>
      <c r="B3" t="s">
        <v>176</v>
      </c>
    </row>
    <row r="4" spans="1:23" x14ac:dyDescent="0.25">
      <c r="A4" s="31" t="s">
        <v>178</v>
      </c>
      <c r="B4" t="s">
        <v>176</v>
      </c>
    </row>
    <row r="5" spans="1:23" x14ac:dyDescent="0.25">
      <c r="A5" s="31" t="s">
        <v>165</v>
      </c>
      <c r="B5" t="s">
        <v>176</v>
      </c>
    </row>
    <row r="7" spans="1:23" x14ac:dyDescent="0.25">
      <c r="A7" s="31" t="s">
        <v>181</v>
      </c>
      <c r="C7" s="31" t="s">
        <v>24</v>
      </c>
    </row>
    <row r="8" spans="1:23" x14ac:dyDescent="0.25">
      <c r="A8" s="31" t="s">
        <v>179</v>
      </c>
      <c r="B8" s="31" t="s">
        <v>13</v>
      </c>
      <c r="C8" t="s">
        <v>11</v>
      </c>
      <c r="D8" t="s">
        <v>4</v>
      </c>
      <c r="E8" t="s">
        <v>10</v>
      </c>
      <c r="F8" t="s">
        <v>7</v>
      </c>
      <c r="G8" t="s">
        <v>1</v>
      </c>
      <c r="H8" t="s">
        <v>9</v>
      </c>
      <c r="I8" t="s">
        <v>3</v>
      </c>
      <c r="J8" t="s">
        <v>8</v>
      </c>
      <c r="K8" t="s">
        <v>5</v>
      </c>
      <c r="L8" t="s">
        <v>2</v>
      </c>
    </row>
    <row r="9" spans="1:23" x14ac:dyDescent="0.25">
      <c r="A9" t="s">
        <v>164</v>
      </c>
      <c r="C9" s="32">
        <v>4</v>
      </c>
      <c r="D9" s="32">
        <v>0</v>
      </c>
      <c r="E9" s="32">
        <v>14</v>
      </c>
      <c r="F9" s="32">
        <v>28</v>
      </c>
      <c r="G9" s="32">
        <v>24</v>
      </c>
      <c r="H9" s="32">
        <v>30</v>
      </c>
      <c r="I9" s="32">
        <v>4</v>
      </c>
      <c r="J9" s="32">
        <v>14</v>
      </c>
      <c r="K9" s="32">
        <v>0</v>
      </c>
      <c r="L9" s="32">
        <v>8</v>
      </c>
    </row>
    <row r="10" spans="1:23" x14ac:dyDescent="0.25">
      <c r="A10" t="s">
        <v>134</v>
      </c>
      <c r="C10" s="32">
        <v>12</v>
      </c>
      <c r="D10" s="32">
        <v>4</v>
      </c>
      <c r="E10" s="32">
        <v>4</v>
      </c>
      <c r="F10" s="32">
        <v>8</v>
      </c>
      <c r="G10" s="32">
        <v>22</v>
      </c>
      <c r="H10" s="32">
        <v>16</v>
      </c>
      <c r="I10" s="32">
        <v>8</v>
      </c>
      <c r="J10" s="32">
        <v>0</v>
      </c>
      <c r="K10" s="32">
        <v>18</v>
      </c>
      <c r="L10" s="32">
        <v>10</v>
      </c>
    </row>
    <row r="16" spans="1:23" x14ac:dyDescent="0.25">
      <c r="N16" s="29"/>
      <c r="O16" t="str">
        <f t="shared" ref="O16:W18" si="0">IF(D7=0,"",D7)</f>
        <v/>
      </c>
      <c r="P16" t="str">
        <f t="shared" si="0"/>
        <v/>
      </c>
      <c r="Q16" t="str">
        <f t="shared" si="0"/>
        <v/>
      </c>
      <c r="R16" t="str">
        <f t="shared" si="0"/>
        <v/>
      </c>
      <c r="S16" t="str">
        <f t="shared" si="0"/>
        <v/>
      </c>
      <c r="T16" t="str">
        <f t="shared" si="0"/>
        <v/>
      </c>
      <c r="U16" t="str">
        <f t="shared" si="0"/>
        <v/>
      </c>
      <c r="V16" t="str">
        <f t="shared" si="0"/>
        <v/>
      </c>
      <c r="W16" t="str">
        <f t="shared" si="0"/>
        <v/>
      </c>
    </row>
    <row r="17" spans="13:23" x14ac:dyDescent="0.25">
      <c r="M17" s="37" t="str">
        <f>IF(A9=0,"",A9)</f>
        <v>Ataque</v>
      </c>
      <c r="N17" s="36" t="str">
        <f t="shared" ref="N17:N18" si="1">IF(C8=0,"",C8)</f>
        <v>Bor</v>
      </c>
      <c r="O17" s="36" t="str">
        <f t="shared" si="0"/>
        <v>Bullet</v>
      </c>
      <c r="P17" s="36" t="str">
        <f t="shared" si="0"/>
        <v>Cyber</v>
      </c>
      <c r="Q17" s="36" t="str">
        <f t="shared" si="0"/>
        <v>Intact</v>
      </c>
      <c r="R17" s="36" t="str">
        <f t="shared" si="0"/>
        <v>Nesk</v>
      </c>
      <c r="S17" s="36" t="str">
        <f t="shared" si="0"/>
        <v>Novys</v>
      </c>
      <c r="T17" s="36" t="str">
        <f t="shared" si="0"/>
        <v>One</v>
      </c>
      <c r="U17" s="36" t="str">
        <f t="shared" si="0"/>
        <v>Px</v>
      </c>
      <c r="V17" s="36" t="str">
        <f t="shared" si="0"/>
        <v>Yuuk</v>
      </c>
      <c r="W17" s="36" t="str">
        <f t="shared" si="0"/>
        <v>Zig</v>
      </c>
    </row>
    <row r="18" spans="13:23" x14ac:dyDescent="0.25">
      <c r="M18" s="37" t="str">
        <f>IF(A10=0,"",A10)</f>
        <v>Defesa</v>
      </c>
      <c r="N18" s="36">
        <f t="shared" si="1"/>
        <v>4</v>
      </c>
      <c r="O18" s="36" t="str">
        <f t="shared" si="0"/>
        <v/>
      </c>
      <c r="P18" s="36">
        <f t="shared" si="0"/>
        <v>14</v>
      </c>
      <c r="Q18" s="36">
        <f t="shared" si="0"/>
        <v>28</v>
      </c>
      <c r="R18" s="36">
        <f t="shared" si="0"/>
        <v>24</v>
      </c>
      <c r="S18" s="36">
        <f t="shared" si="0"/>
        <v>30</v>
      </c>
      <c r="T18" s="36">
        <f t="shared" si="0"/>
        <v>4</v>
      </c>
      <c r="U18" s="36">
        <f t="shared" si="0"/>
        <v>14</v>
      </c>
      <c r="V18" s="36" t="str">
        <f t="shared" si="0"/>
        <v/>
      </c>
      <c r="W18" s="36">
        <f t="shared" si="0"/>
        <v>8</v>
      </c>
    </row>
  </sheetData>
  <pageMargins left="0.511811024" right="0.511811024" top="0.78740157499999996" bottom="0.78740157499999996" header="0.31496062000000002" footer="0.31496062000000002"/>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zBD"/>
  <dimension ref="A1:I311"/>
  <sheetViews>
    <sheetView workbookViewId="0"/>
  </sheetViews>
  <sheetFormatPr defaultRowHeight="15" x14ac:dyDescent="0.25"/>
  <cols>
    <col min="8" max="8" width="9.42578125" customWidth="1"/>
    <col min="9" max="9" width="10.85546875" customWidth="1"/>
    <col min="10" max="10" width="9.140625" customWidth="1"/>
  </cols>
  <sheetData>
    <row r="1" spans="1:9" x14ac:dyDescent="0.25">
      <c r="A1" t="s">
        <v>177</v>
      </c>
      <c r="B1" t="s">
        <v>108</v>
      </c>
      <c r="C1" t="s">
        <v>165</v>
      </c>
      <c r="D1" t="s">
        <v>178</v>
      </c>
      <c r="E1" t="s">
        <v>179</v>
      </c>
      <c r="F1" t="s">
        <v>24</v>
      </c>
      <c r="G1" t="s">
        <v>13</v>
      </c>
      <c r="H1" t="s">
        <v>180</v>
      </c>
      <c r="I1" t="s">
        <v>12</v>
      </c>
    </row>
    <row r="2" spans="1:9" x14ac:dyDescent="0.25">
      <c r="A2" t="s">
        <v>153</v>
      </c>
      <c r="B2" t="s">
        <v>37</v>
      </c>
      <c r="C2" t="s">
        <v>6</v>
      </c>
      <c r="D2" t="s">
        <v>0</v>
      </c>
      <c r="E2" t="s">
        <v>134</v>
      </c>
      <c r="F2" t="s">
        <v>1</v>
      </c>
      <c r="G2" t="s">
        <v>122</v>
      </c>
      <c r="H2">
        <v>1</v>
      </c>
      <c r="I2" t="s">
        <v>40</v>
      </c>
    </row>
    <row r="3" spans="1:9" x14ac:dyDescent="0.25">
      <c r="A3" t="s">
        <v>153</v>
      </c>
      <c r="B3" t="s">
        <v>37</v>
      </c>
      <c r="C3" t="s">
        <v>6</v>
      </c>
      <c r="D3" t="s">
        <v>0</v>
      </c>
      <c r="E3" t="s">
        <v>134</v>
      </c>
      <c r="F3" t="s">
        <v>2</v>
      </c>
      <c r="G3" t="s">
        <v>17</v>
      </c>
      <c r="H3">
        <v>1</v>
      </c>
      <c r="I3" t="s">
        <v>40</v>
      </c>
    </row>
    <row r="4" spans="1:9" x14ac:dyDescent="0.25">
      <c r="A4" t="s">
        <v>153</v>
      </c>
      <c r="B4" t="s">
        <v>37</v>
      </c>
      <c r="C4" t="s">
        <v>6</v>
      </c>
      <c r="D4" t="s">
        <v>0</v>
      </c>
      <c r="E4" t="s">
        <v>134</v>
      </c>
      <c r="F4" t="s">
        <v>3</v>
      </c>
      <c r="G4" t="s">
        <v>16</v>
      </c>
      <c r="H4">
        <v>0</v>
      </c>
      <c r="I4" t="s">
        <v>40</v>
      </c>
    </row>
    <row r="5" spans="1:9" x14ac:dyDescent="0.25">
      <c r="A5" t="s">
        <v>153</v>
      </c>
      <c r="B5" t="s">
        <v>37</v>
      </c>
      <c r="C5" t="s">
        <v>6</v>
      </c>
      <c r="D5" t="s">
        <v>0</v>
      </c>
      <c r="E5" t="s">
        <v>134</v>
      </c>
      <c r="F5" t="s">
        <v>4</v>
      </c>
      <c r="G5" t="s">
        <v>118</v>
      </c>
      <c r="H5">
        <v>0</v>
      </c>
      <c r="I5" t="s">
        <v>40</v>
      </c>
    </row>
    <row r="6" spans="1:9" x14ac:dyDescent="0.25">
      <c r="A6" t="s">
        <v>153</v>
      </c>
      <c r="B6" t="s">
        <v>37</v>
      </c>
      <c r="C6" t="s">
        <v>6</v>
      </c>
      <c r="D6" t="s">
        <v>0</v>
      </c>
      <c r="E6" t="s">
        <v>134</v>
      </c>
      <c r="F6" t="s">
        <v>5</v>
      </c>
      <c r="G6" t="s">
        <v>119</v>
      </c>
      <c r="H6">
        <v>1</v>
      </c>
      <c r="I6" t="s">
        <v>40</v>
      </c>
    </row>
    <row r="7" spans="1:9" x14ac:dyDescent="0.25">
      <c r="A7" t="s">
        <v>153</v>
      </c>
      <c r="B7" t="s">
        <v>37</v>
      </c>
      <c r="C7" t="s">
        <v>6</v>
      </c>
      <c r="D7" t="s">
        <v>6</v>
      </c>
      <c r="E7" t="s">
        <v>164</v>
      </c>
      <c r="F7" t="s">
        <v>7</v>
      </c>
      <c r="G7" t="s">
        <v>20</v>
      </c>
      <c r="H7">
        <v>2</v>
      </c>
      <c r="I7" t="s">
        <v>40</v>
      </c>
    </row>
    <row r="8" spans="1:9" x14ac:dyDescent="0.25">
      <c r="A8" t="s">
        <v>153</v>
      </c>
      <c r="B8" t="s">
        <v>37</v>
      </c>
      <c r="C8" t="s">
        <v>6</v>
      </c>
      <c r="D8" t="s">
        <v>6</v>
      </c>
      <c r="E8" t="s">
        <v>164</v>
      </c>
      <c r="F8" t="s">
        <v>8</v>
      </c>
      <c r="G8" t="s">
        <v>109</v>
      </c>
      <c r="H8">
        <v>1</v>
      </c>
      <c r="I8" t="s">
        <v>40</v>
      </c>
    </row>
    <row r="9" spans="1:9" x14ac:dyDescent="0.25">
      <c r="A9" t="s">
        <v>153</v>
      </c>
      <c r="B9" t="s">
        <v>37</v>
      </c>
      <c r="C9" t="s">
        <v>6</v>
      </c>
      <c r="D9" t="s">
        <v>6</v>
      </c>
      <c r="E9" t="s">
        <v>164</v>
      </c>
      <c r="F9" t="s">
        <v>9</v>
      </c>
      <c r="G9" t="s">
        <v>21</v>
      </c>
      <c r="H9">
        <v>1</v>
      </c>
      <c r="I9" t="s">
        <v>40</v>
      </c>
    </row>
    <row r="10" spans="1:9" x14ac:dyDescent="0.25">
      <c r="A10" t="s">
        <v>153</v>
      </c>
      <c r="B10" t="s">
        <v>37</v>
      </c>
      <c r="C10" t="s">
        <v>6</v>
      </c>
      <c r="D10" t="s">
        <v>6</v>
      </c>
      <c r="E10" t="s">
        <v>164</v>
      </c>
      <c r="F10" t="s">
        <v>10</v>
      </c>
      <c r="G10" t="s">
        <v>112</v>
      </c>
      <c r="H10">
        <v>1</v>
      </c>
      <c r="I10" t="s">
        <v>40</v>
      </c>
    </row>
    <row r="11" spans="1:9" x14ac:dyDescent="0.25">
      <c r="A11" t="s">
        <v>153</v>
      </c>
      <c r="B11" t="s">
        <v>37</v>
      </c>
      <c r="C11" t="s">
        <v>6</v>
      </c>
      <c r="D11" t="s">
        <v>6</v>
      </c>
      <c r="E11" t="s">
        <v>164</v>
      </c>
      <c r="F11" t="s">
        <v>11</v>
      </c>
      <c r="G11" t="s">
        <v>23</v>
      </c>
      <c r="H11">
        <v>0</v>
      </c>
      <c r="I11" t="s">
        <v>40</v>
      </c>
    </row>
    <row r="12" spans="1:9" x14ac:dyDescent="0.25">
      <c r="A12" t="s">
        <v>166</v>
      </c>
      <c r="B12" t="s">
        <v>37</v>
      </c>
      <c r="C12" t="s">
        <v>6</v>
      </c>
      <c r="D12" t="s">
        <v>0</v>
      </c>
      <c r="E12" t="s">
        <v>164</v>
      </c>
      <c r="F12" t="s">
        <v>1</v>
      </c>
      <c r="G12" t="s">
        <v>21</v>
      </c>
      <c r="H12">
        <v>3</v>
      </c>
      <c r="I12" t="s">
        <v>40</v>
      </c>
    </row>
    <row r="13" spans="1:9" x14ac:dyDescent="0.25">
      <c r="A13" t="s">
        <v>166</v>
      </c>
      <c r="B13" t="s">
        <v>37</v>
      </c>
      <c r="C13" t="s">
        <v>6</v>
      </c>
      <c r="D13" t="s">
        <v>0</v>
      </c>
      <c r="E13" t="s">
        <v>164</v>
      </c>
      <c r="F13" t="s">
        <v>2</v>
      </c>
      <c r="G13" t="s">
        <v>20</v>
      </c>
      <c r="H13">
        <v>1</v>
      </c>
      <c r="I13" t="s">
        <v>40</v>
      </c>
    </row>
    <row r="14" spans="1:9" x14ac:dyDescent="0.25">
      <c r="A14" t="s">
        <v>166</v>
      </c>
      <c r="B14" t="s">
        <v>37</v>
      </c>
      <c r="C14" t="s">
        <v>6</v>
      </c>
      <c r="D14" t="s">
        <v>0</v>
      </c>
      <c r="E14" t="s">
        <v>164</v>
      </c>
      <c r="F14" t="s">
        <v>3</v>
      </c>
      <c r="G14" t="s">
        <v>109</v>
      </c>
      <c r="H14">
        <v>1</v>
      </c>
      <c r="I14" t="s">
        <v>40</v>
      </c>
    </row>
    <row r="15" spans="1:9" x14ac:dyDescent="0.25">
      <c r="A15" t="s">
        <v>166</v>
      </c>
      <c r="B15" t="s">
        <v>37</v>
      </c>
      <c r="C15" t="s">
        <v>6</v>
      </c>
      <c r="D15" t="s">
        <v>0</v>
      </c>
      <c r="E15" t="s">
        <v>164</v>
      </c>
      <c r="F15" t="s">
        <v>4</v>
      </c>
      <c r="G15" t="s">
        <v>112</v>
      </c>
      <c r="H15">
        <v>0</v>
      </c>
      <c r="I15" t="s">
        <v>40</v>
      </c>
    </row>
    <row r="16" spans="1:9" x14ac:dyDescent="0.25">
      <c r="A16" t="s">
        <v>166</v>
      </c>
      <c r="B16" t="s">
        <v>37</v>
      </c>
      <c r="C16" t="s">
        <v>6</v>
      </c>
      <c r="D16" t="s">
        <v>0</v>
      </c>
      <c r="E16" t="s">
        <v>164</v>
      </c>
      <c r="F16" t="s">
        <v>5</v>
      </c>
      <c r="G16" t="s">
        <v>23</v>
      </c>
      <c r="H16">
        <v>0</v>
      </c>
      <c r="I16" t="s">
        <v>40</v>
      </c>
    </row>
    <row r="17" spans="1:9" x14ac:dyDescent="0.25">
      <c r="A17" t="s">
        <v>166</v>
      </c>
      <c r="B17" t="s">
        <v>37</v>
      </c>
      <c r="C17" t="s">
        <v>6</v>
      </c>
      <c r="D17" t="s">
        <v>6</v>
      </c>
      <c r="E17" t="s">
        <v>134</v>
      </c>
      <c r="F17" t="s">
        <v>7</v>
      </c>
      <c r="G17" t="s">
        <v>18</v>
      </c>
      <c r="H17">
        <v>1</v>
      </c>
      <c r="I17" t="s">
        <v>40</v>
      </c>
    </row>
    <row r="18" spans="1:9" x14ac:dyDescent="0.25">
      <c r="A18" t="s">
        <v>166</v>
      </c>
      <c r="B18" t="s">
        <v>37</v>
      </c>
      <c r="C18" t="s">
        <v>6</v>
      </c>
      <c r="D18" t="s">
        <v>6</v>
      </c>
      <c r="E18" t="s">
        <v>134</v>
      </c>
      <c r="F18" t="s">
        <v>8</v>
      </c>
      <c r="G18" t="s">
        <v>17</v>
      </c>
      <c r="H18">
        <v>0</v>
      </c>
      <c r="I18" t="s">
        <v>40</v>
      </c>
    </row>
    <row r="19" spans="1:9" x14ac:dyDescent="0.25">
      <c r="A19" t="s">
        <v>166</v>
      </c>
      <c r="B19" t="s">
        <v>37</v>
      </c>
      <c r="C19" t="s">
        <v>6</v>
      </c>
      <c r="D19" t="s">
        <v>6</v>
      </c>
      <c r="E19" t="s">
        <v>134</v>
      </c>
      <c r="F19" t="s">
        <v>9</v>
      </c>
      <c r="G19" t="s">
        <v>15</v>
      </c>
      <c r="H19">
        <v>2</v>
      </c>
      <c r="I19" t="s">
        <v>40</v>
      </c>
    </row>
    <row r="20" spans="1:9" x14ac:dyDescent="0.25">
      <c r="A20" t="s">
        <v>166</v>
      </c>
      <c r="B20" t="s">
        <v>37</v>
      </c>
      <c r="C20" t="s">
        <v>6</v>
      </c>
      <c r="D20" t="s">
        <v>6</v>
      </c>
      <c r="E20" t="s">
        <v>134</v>
      </c>
      <c r="F20" t="s">
        <v>10</v>
      </c>
      <c r="G20" t="s">
        <v>122</v>
      </c>
      <c r="H20">
        <v>0</v>
      </c>
      <c r="I20" t="s">
        <v>40</v>
      </c>
    </row>
    <row r="21" spans="1:9" x14ac:dyDescent="0.25">
      <c r="A21" t="s">
        <v>166</v>
      </c>
      <c r="B21" t="s">
        <v>37</v>
      </c>
      <c r="C21" t="s">
        <v>6</v>
      </c>
      <c r="D21" t="s">
        <v>6</v>
      </c>
      <c r="E21" t="s">
        <v>134</v>
      </c>
      <c r="F21" t="s">
        <v>11</v>
      </c>
      <c r="G21" t="s">
        <v>130</v>
      </c>
      <c r="H21">
        <v>2</v>
      </c>
      <c r="I21" t="s">
        <v>40</v>
      </c>
    </row>
    <row r="22" spans="1:9" x14ac:dyDescent="0.25">
      <c r="A22" t="s">
        <v>167</v>
      </c>
      <c r="B22" t="s">
        <v>37</v>
      </c>
      <c r="C22" t="s">
        <v>6</v>
      </c>
      <c r="D22" t="s">
        <v>0</v>
      </c>
      <c r="E22" t="s">
        <v>134</v>
      </c>
      <c r="F22" t="s">
        <v>1</v>
      </c>
      <c r="G22" t="s">
        <v>15</v>
      </c>
      <c r="H22">
        <v>2</v>
      </c>
      <c r="I22" t="s">
        <v>40</v>
      </c>
    </row>
    <row r="23" spans="1:9" x14ac:dyDescent="0.25">
      <c r="A23" t="s">
        <v>167</v>
      </c>
      <c r="B23" t="s">
        <v>37</v>
      </c>
      <c r="C23" t="s">
        <v>6</v>
      </c>
      <c r="D23" t="s">
        <v>0</v>
      </c>
      <c r="E23" t="s">
        <v>134</v>
      </c>
      <c r="F23" t="s">
        <v>2</v>
      </c>
      <c r="G23" t="s">
        <v>16</v>
      </c>
      <c r="H23">
        <v>0</v>
      </c>
      <c r="I23" t="s">
        <v>40</v>
      </c>
    </row>
    <row r="24" spans="1:9" x14ac:dyDescent="0.25">
      <c r="A24" t="s">
        <v>167</v>
      </c>
      <c r="B24" t="s">
        <v>37</v>
      </c>
      <c r="C24" t="s">
        <v>6</v>
      </c>
      <c r="D24" t="s">
        <v>0</v>
      </c>
      <c r="E24" t="s">
        <v>134</v>
      </c>
      <c r="F24" t="s">
        <v>3</v>
      </c>
      <c r="G24" t="s">
        <v>17</v>
      </c>
      <c r="H24">
        <v>2</v>
      </c>
      <c r="I24" t="s">
        <v>40</v>
      </c>
    </row>
    <row r="25" spans="1:9" x14ac:dyDescent="0.25">
      <c r="A25" t="s">
        <v>167</v>
      </c>
      <c r="B25" t="s">
        <v>37</v>
      </c>
      <c r="C25" t="s">
        <v>6</v>
      </c>
      <c r="D25" t="s">
        <v>0</v>
      </c>
      <c r="E25" t="s">
        <v>134</v>
      </c>
      <c r="F25" t="s">
        <v>4</v>
      </c>
      <c r="G25" t="s">
        <v>122</v>
      </c>
      <c r="H25">
        <v>0</v>
      </c>
      <c r="I25" t="s">
        <v>40</v>
      </c>
    </row>
    <row r="26" spans="1:9" x14ac:dyDescent="0.25">
      <c r="A26" t="s">
        <v>167</v>
      </c>
      <c r="B26" t="s">
        <v>37</v>
      </c>
      <c r="C26" t="s">
        <v>6</v>
      </c>
      <c r="D26" t="s">
        <v>0</v>
      </c>
      <c r="E26" t="s">
        <v>134</v>
      </c>
      <c r="F26" t="s">
        <v>5</v>
      </c>
      <c r="G26" t="s">
        <v>18</v>
      </c>
      <c r="H26">
        <v>0</v>
      </c>
      <c r="I26" t="s">
        <v>40</v>
      </c>
    </row>
    <row r="27" spans="1:9" x14ac:dyDescent="0.25">
      <c r="A27" t="s">
        <v>167</v>
      </c>
      <c r="B27" t="s">
        <v>37</v>
      </c>
      <c r="C27" t="s">
        <v>6</v>
      </c>
      <c r="D27" t="s">
        <v>6</v>
      </c>
      <c r="E27" t="s">
        <v>164</v>
      </c>
      <c r="F27" t="s">
        <v>7</v>
      </c>
      <c r="G27" t="s">
        <v>20</v>
      </c>
      <c r="H27">
        <v>1</v>
      </c>
      <c r="I27" t="s">
        <v>40</v>
      </c>
    </row>
    <row r="28" spans="1:9" x14ac:dyDescent="0.25">
      <c r="A28" t="s">
        <v>167</v>
      </c>
      <c r="B28" t="s">
        <v>37</v>
      </c>
      <c r="C28" t="s">
        <v>6</v>
      </c>
      <c r="D28" t="s">
        <v>6</v>
      </c>
      <c r="E28" t="s">
        <v>164</v>
      </c>
      <c r="F28" t="s">
        <v>8</v>
      </c>
      <c r="G28" t="s">
        <v>109</v>
      </c>
      <c r="H28">
        <v>0</v>
      </c>
      <c r="I28" t="s">
        <v>40</v>
      </c>
    </row>
    <row r="29" spans="1:9" x14ac:dyDescent="0.25">
      <c r="A29" t="s">
        <v>167</v>
      </c>
      <c r="B29" t="s">
        <v>37</v>
      </c>
      <c r="C29" t="s">
        <v>6</v>
      </c>
      <c r="D29" t="s">
        <v>6</v>
      </c>
      <c r="E29" t="s">
        <v>164</v>
      </c>
      <c r="F29" t="s">
        <v>9</v>
      </c>
      <c r="G29" t="s">
        <v>21</v>
      </c>
      <c r="H29">
        <v>3</v>
      </c>
      <c r="I29" t="s">
        <v>40</v>
      </c>
    </row>
    <row r="30" spans="1:9" x14ac:dyDescent="0.25">
      <c r="A30" t="s">
        <v>167</v>
      </c>
      <c r="B30" t="s">
        <v>37</v>
      </c>
      <c r="C30" t="s">
        <v>6</v>
      </c>
      <c r="D30" t="s">
        <v>6</v>
      </c>
      <c r="E30" t="s">
        <v>164</v>
      </c>
      <c r="F30" t="s">
        <v>10</v>
      </c>
      <c r="G30" t="s">
        <v>112</v>
      </c>
      <c r="H30">
        <v>1</v>
      </c>
      <c r="I30" t="s">
        <v>40</v>
      </c>
    </row>
    <row r="31" spans="1:9" x14ac:dyDescent="0.25">
      <c r="A31" t="s">
        <v>167</v>
      </c>
      <c r="B31" t="s">
        <v>37</v>
      </c>
      <c r="C31" t="s">
        <v>6</v>
      </c>
      <c r="D31" t="s">
        <v>6</v>
      </c>
      <c r="E31" t="s">
        <v>164</v>
      </c>
      <c r="F31" t="s">
        <v>11</v>
      </c>
      <c r="G31" t="s">
        <v>23</v>
      </c>
      <c r="H31">
        <v>0</v>
      </c>
      <c r="I31" t="s">
        <v>40</v>
      </c>
    </row>
    <row r="32" spans="1:9" x14ac:dyDescent="0.25">
      <c r="A32" t="s">
        <v>168</v>
      </c>
      <c r="B32" t="s">
        <v>37</v>
      </c>
      <c r="C32" t="s">
        <v>6</v>
      </c>
      <c r="D32" t="s">
        <v>0</v>
      </c>
      <c r="E32" t="s">
        <v>164</v>
      </c>
      <c r="F32" t="s">
        <v>1</v>
      </c>
      <c r="G32" t="s">
        <v>21</v>
      </c>
      <c r="H32">
        <v>3</v>
      </c>
      <c r="I32" t="s">
        <v>40</v>
      </c>
    </row>
    <row r="33" spans="1:9" x14ac:dyDescent="0.25">
      <c r="A33" t="s">
        <v>168</v>
      </c>
      <c r="B33" t="s">
        <v>37</v>
      </c>
      <c r="C33" t="s">
        <v>6</v>
      </c>
      <c r="D33" t="s">
        <v>0</v>
      </c>
      <c r="E33" t="s">
        <v>164</v>
      </c>
      <c r="F33" t="s">
        <v>2</v>
      </c>
      <c r="G33" t="s">
        <v>20</v>
      </c>
      <c r="H33">
        <v>1</v>
      </c>
      <c r="I33" t="s">
        <v>40</v>
      </c>
    </row>
    <row r="34" spans="1:9" x14ac:dyDescent="0.25">
      <c r="A34" t="s">
        <v>168</v>
      </c>
      <c r="B34" t="s">
        <v>37</v>
      </c>
      <c r="C34" t="s">
        <v>6</v>
      </c>
      <c r="D34" t="s">
        <v>0</v>
      </c>
      <c r="E34" t="s">
        <v>164</v>
      </c>
      <c r="F34" t="s">
        <v>3</v>
      </c>
      <c r="G34" t="s">
        <v>109</v>
      </c>
      <c r="H34">
        <v>0</v>
      </c>
      <c r="I34" t="s">
        <v>40</v>
      </c>
    </row>
    <row r="35" spans="1:9" x14ac:dyDescent="0.25">
      <c r="A35" t="s">
        <v>168</v>
      </c>
      <c r="B35" t="s">
        <v>37</v>
      </c>
      <c r="C35" t="s">
        <v>6</v>
      </c>
      <c r="D35" t="s">
        <v>0</v>
      </c>
      <c r="E35" t="s">
        <v>164</v>
      </c>
      <c r="F35" t="s">
        <v>4</v>
      </c>
      <c r="G35" t="s">
        <v>112</v>
      </c>
      <c r="H35">
        <v>0</v>
      </c>
      <c r="I35" t="s">
        <v>40</v>
      </c>
    </row>
    <row r="36" spans="1:9" x14ac:dyDescent="0.25">
      <c r="A36" t="s">
        <v>168</v>
      </c>
      <c r="B36" t="s">
        <v>37</v>
      </c>
      <c r="C36" t="s">
        <v>6</v>
      </c>
      <c r="D36" t="s">
        <v>0</v>
      </c>
      <c r="E36" t="s">
        <v>164</v>
      </c>
      <c r="F36" t="s">
        <v>5</v>
      </c>
      <c r="G36" t="s">
        <v>23</v>
      </c>
      <c r="H36">
        <v>0</v>
      </c>
      <c r="I36" t="s">
        <v>40</v>
      </c>
    </row>
    <row r="37" spans="1:9" x14ac:dyDescent="0.25">
      <c r="A37" t="s">
        <v>168</v>
      </c>
      <c r="B37" t="s">
        <v>37</v>
      </c>
      <c r="C37" t="s">
        <v>6</v>
      </c>
      <c r="D37" t="s">
        <v>6</v>
      </c>
      <c r="E37" t="s">
        <v>134</v>
      </c>
      <c r="F37" t="s">
        <v>7</v>
      </c>
      <c r="G37" t="s">
        <v>18</v>
      </c>
      <c r="H37">
        <v>1</v>
      </c>
      <c r="I37" t="s">
        <v>40</v>
      </c>
    </row>
    <row r="38" spans="1:9" x14ac:dyDescent="0.25">
      <c r="A38" t="s">
        <v>168</v>
      </c>
      <c r="B38" t="s">
        <v>37</v>
      </c>
      <c r="C38" t="s">
        <v>6</v>
      </c>
      <c r="D38" t="s">
        <v>6</v>
      </c>
      <c r="E38" t="s">
        <v>134</v>
      </c>
      <c r="F38" t="s">
        <v>8</v>
      </c>
      <c r="G38" t="s">
        <v>17</v>
      </c>
      <c r="H38">
        <v>0</v>
      </c>
      <c r="I38" t="s">
        <v>40</v>
      </c>
    </row>
    <row r="39" spans="1:9" x14ac:dyDescent="0.25">
      <c r="A39" t="s">
        <v>168</v>
      </c>
      <c r="B39" t="s">
        <v>37</v>
      </c>
      <c r="C39" t="s">
        <v>6</v>
      </c>
      <c r="D39" t="s">
        <v>6</v>
      </c>
      <c r="E39" t="s">
        <v>134</v>
      </c>
      <c r="F39" t="s">
        <v>9</v>
      </c>
      <c r="G39" t="s">
        <v>15</v>
      </c>
      <c r="H39">
        <v>2</v>
      </c>
      <c r="I39" t="s">
        <v>40</v>
      </c>
    </row>
    <row r="40" spans="1:9" x14ac:dyDescent="0.25">
      <c r="A40" t="s">
        <v>168</v>
      </c>
      <c r="B40" t="s">
        <v>37</v>
      </c>
      <c r="C40" t="s">
        <v>6</v>
      </c>
      <c r="D40" t="s">
        <v>6</v>
      </c>
      <c r="E40" t="s">
        <v>134</v>
      </c>
      <c r="F40" t="s">
        <v>10</v>
      </c>
      <c r="G40" t="s">
        <v>122</v>
      </c>
      <c r="H40">
        <v>1</v>
      </c>
      <c r="I40" t="s">
        <v>40</v>
      </c>
    </row>
    <row r="41" spans="1:9" x14ac:dyDescent="0.25">
      <c r="A41" t="s">
        <v>168</v>
      </c>
      <c r="B41" t="s">
        <v>37</v>
      </c>
      <c r="C41" t="s">
        <v>6</v>
      </c>
      <c r="D41" t="s">
        <v>6</v>
      </c>
      <c r="E41" t="s">
        <v>134</v>
      </c>
      <c r="F41" t="s">
        <v>11</v>
      </c>
      <c r="G41" t="s">
        <v>130</v>
      </c>
      <c r="H41">
        <v>1</v>
      </c>
      <c r="I41" t="s">
        <v>40</v>
      </c>
    </row>
    <row r="42" spans="1:9" x14ac:dyDescent="0.25">
      <c r="A42" t="s">
        <v>169</v>
      </c>
      <c r="B42" t="s">
        <v>37</v>
      </c>
      <c r="C42" t="s">
        <v>6</v>
      </c>
      <c r="D42" t="s">
        <v>0</v>
      </c>
      <c r="E42" t="s">
        <v>134</v>
      </c>
      <c r="F42" t="s">
        <v>1</v>
      </c>
      <c r="G42" t="s">
        <v>15</v>
      </c>
      <c r="H42">
        <v>1</v>
      </c>
      <c r="I42" t="s">
        <v>40</v>
      </c>
    </row>
    <row r="43" spans="1:9" x14ac:dyDescent="0.25">
      <c r="A43" t="s">
        <v>169</v>
      </c>
      <c r="B43" t="s">
        <v>37</v>
      </c>
      <c r="C43" t="s">
        <v>6</v>
      </c>
      <c r="D43" t="s">
        <v>0</v>
      </c>
      <c r="E43" t="s">
        <v>134</v>
      </c>
      <c r="F43" t="s">
        <v>2</v>
      </c>
      <c r="G43" t="s">
        <v>16</v>
      </c>
      <c r="H43">
        <v>0</v>
      </c>
      <c r="I43" t="s">
        <v>40</v>
      </c>
    </row>
    <row r="44" spans="1:9" x14ac:dyDescent="0.25">
      <c r="A44" t="s">
        <v>169</v>
      </c>
      <c r="B44" t="s">
        <v>37</v>
      </c>
      <c r="C44" t="s">
        <v>6</v>
      </c>
      <c r="D44" t="s">
        <v>0</v>
      </c>
      <c r="E44" t="s">
        <v>134</v>
      </c>
      <c r="F44" t="s">
        <v>3</v>
      </c>
      <c r="G44" t="s">
        <v>17</v>
      </c>
      <c r="H44">
        <v>0</v>
      </c>
      <c r="I44" t="s">
        <v>40</v>
      </c>
    </row>
    <row r="45" spans="1:9" x14ac:dyDescent="0.25">
      <c r="A45" t="s">
        <v>169</v>
      </c>
      <c r="B45" t="s">
        <v>37</v>
      </c>
      <c r="C45" t="s">
        <v>6</v>
      </c>
      <c r="D45" t="s">
        <v>0</v>
      </c>
      <c r="E45" t="s">
        <v>134</v>
      </c>
      <c r="F45" t="s">
        <v>4</v>
      </c>
      <c r="G45" t="s">
        <v>122</v>
      </c>
      <c r="H45">
        <v>1</v>
      </c>
      <c r="I45" t="s">
        <v>40</v>
      </c>
    </row>
    <row r="46" spans="1:9" x14ac:dyDescent="0.25">
      <c r="A46" t="s">
        <v>169</v>
      </c>
      <c r="B46" t="s">
        <v>37</v>
      </c>
      <c r="C46" t="s">
        <v>6</v>
      </c>
      <c r="D46" t="s">
        <v>0</v>
      </c>
      <c r="E46" t="s">
        <v>134</v>
      </c>
      <c r="F46" t="s">
        <v>5</v>
      </c>
      <c r="G46" t="s">
        <v>18</v>
      </c>
      <c r="H46">
        <v>2</v>
      </c>
      <c r="I46" t="s">
        <v>40</v>
      </c>
    </row>
    <row r="47" spans="1:9" x14ac:dyDescent="0.25">
      <c r="A47" t="s">
        <v>169</v>
      </c>
      <c r="B47" t="s">
        <v>37</v>
      </c>
      <c r="C47" t="s">
        <v>6</v>
      </c>
      <c r="D47" t="s">
        <v>6</v>
      </c>
      <c r="E47" t="s">
        <v>164</v>
      </c>
      <c r="F47" t="s">
        <v>7</v>
      </c>
      <c r="G47" t="s">
        <v>20</v>
      </c>
      <c r="H47">
        <v>1</v>
      </c>
      <c r="I47" t="s">
        <v>40</v>
      </c>
    </row>
    <row r="48" spans="1:9" x14ac:dyDescent="0.25">
      <c r="A48" t="s">
        <v>169</v>
      </c>
      <c r="B48" t="s">
        <v>37</v>
      </c>
      <c r="C48" t="s">
        <v>6</v>
      </c>
      <c r="D48" t="s">
        <v>6</v>
      </c>
      <c r="E48" t="s">
        <v>164</v>
      </c>
      <c r="F48" t="s">
        <v>8</v>
      </c>
      <c r="G48" t="s">
        <v>109</v>
      </c>
      <c r="H48">
        <v>1</v>
      </c>
      <c r="I48" t="s">
        <v>40</v>
      </c>
    </row>
    <row r="49" spans="1:9" x14ac:dyDescent="0.25">
      <c r="A49" t="s">
        <v>169</v>
      </c>
      <c r="B49" t="s">
        <v>37</v>
      </c>
      <c r="C49" t="s">
        <v>6</v>
      </c>
      <c r="D49" t="s">
        <v>6</v>
      </c>
      <c r="E49" t="s">
        <v>164</v>
      </c>
      <c r="F49" t="s">
        <v>9</v>
      </c>
      <c r="G49" t="s">
        <v>21</v>
      </c>
      <c r="H49">
        <v>2</v>
      </c>
      <c r="I49" t="s">
        <v>40</v>
      </c>
    </row>
    <row r="50" spans="1:9" x14ac:dyDescent="0.25">
      <c r="A50" t="s">
        <v>169</v>
      </c>
      <c r="B50" t="s">
        <v>37</v>
      </c>
      <c r="C50" t="s">
        <v>6</v>
      </c>
      <c r="D50" t="s">
        <v>6</v>
      </c>
      <c r="E50" t="s">
        <v>164</v>
      </c>
      <c r="F50" t="s">
        <v>10</v>
      </c>
      <c r="G50" t="s">
        <v>112</v>
      </c>
      <c r="H50">
        <v>0</v>
      </c>
      <c r="I50" t="s">
        <v>40</v>
      </c>
    </row>
    <row r="51" spans="1:9" x14ac:dyDescent="0.25">
      <c r="A51" t="s">
        <v>169</v>
      </c>
      <c r="B51" t="s">
        <v>37</v>
      </c>
      <c r="C51" t="s">
        <v>6</v>
      </c>
      <c r="D51" t="s">
        <v>6</v>
      </c>
      <c r="E51" t="s">
        <v>164</v>
      </c>
      <c r="F51" t="s">
        <v>11</v>
      </c>
      <c r="G51" t="s">
        <v>23</v>
      </c>
      <c r="H51">
        <v>1</v>
      </c>
      <c r="I51" t="s">
        <v>40</v>
      </c>
    </row>
    <row r="52" spans="1:9" x14ac:dyDescent="0.25">
      <c r="A52" t="s">
        <v>153</v>
      </c>
      <c r="B52" t="s">
        <v>37</v>
      </c>
      <c r="C52" t="s">
        <v>6</v>
      </c>
      <c r="D52" t="s">
        <v>0</v>
      </c>
      <c r="E52" t="s">
        <v>134</v>
      </c>
      <c r="F52" t="s">
        <v>1</v>
      </c>
      <c r="G52" t="s">
        <v>122</v>
      </c>
      <c r="H52">
        <v>1</v>
      </c>
      <c r="I52" t="s">
        <v>40</v>
      </c>
    </row>
    <row r="53" spans="1:9" x14ac:dyDescent="0.25">
      <c r="A53" t="s">
        <v>153</v>
      </c>
      <c r="B53" t="s">
        <v>37</v>
      </c>
      <c r="C53" t="s">
        <v>6</v>
      </c>
      <c r="D53" t="s">
        <v>0</v>
      </c>
      <c r="E53" t="s">
        <v>134</v>
      </c>
      <c r="F53" t="s">
        <v>2</v>
      </c>
      <c r="G53" t="s">
        <v>17</v>
      </c>
      <c r="H53">
        <v>1</v>
      </c>
      <c r="I53" t="s">
        <v>40</v>
      </c>
    </row>
    <row r="54" spans="1:9" x14ac:dyDescent="0.25">
      <c r="A54" t="s">
        <v>153</v>
      </c>
      <c r="B54" t="s">
        <v>37</v>
      </c>
      <c r="C54" t="s">
        <v>6</v>
      </c>
      <c r="D54" t="s">
        <v>0</v>
      </c>
      <c r="E54" t="s">
        <v>134</v>
      </c>
      <c r="F54" t="s">
        <v>3</v>
      </c>
      <c r="G54" t="s">
        <v>16</v>
      </c>
      <c r="H54">
        <v>0</v>
      </c>
      <c r="I54" t="s">
        <v>40</v>
      </c>
    </row>
    <row r="55" spans="1:9" x14ac:dyDescent="0.25">
      <c r="A55" t="s">
        <v>153</v>
      </c>
      <c r="B55" t="s">
        <v>37</v>
      </c>
      <c r="C55" t="s">
        <v>6</v>
      </c>
      <c r="D55" t="s">
        <v>0</v>
      </c>
      <c r="E55" t="s">
        <v>134</v>
      </c>
      <c r="F55" t="s">
        <v>4</v>
      </c>
      <c r="G55" t="s">
        <v>118</v>
      </c>
      <c r="H55">
        <v>0</v>
      </c>
      <c r="I55" t="s">
        <v>40</v>
      </c>
    </row>
    <row r="56" spans="1:9" x14ac:dyDescent="0.25">
      <c r="A56" t="s">
        <v>153</v>
      </c>
      <c r="B56" t="s">
        <v>37</v>
      </c>
      <c r="C56" t="s">
        <v>6</v>
      </c>
      <c r="D56" t="s">
        <v>0</v>
      </c>
      <c r="E56" t="s">
        <v>134</v>
      </c>
      <c r="F56" t="s">
        <v>5</v>
      </c>
      <c r="G56" t="s">
        <v>119</v>
      </c>
      <c r="H56">
        <v>1</v>
      </c>
      <c r="I56" t="s">
        <v>40</v>
      </c>
    </row>
    <row r="57" spans="1:9" x14ac:dyDescent="0.25">
      <c r="A57" t="s">
        <v>153</v>
      </c>
      <c r="B57" t="s">
        <v>37</v>
      </c>
      <c r="C57" t="s">
        <v>6</v>
      </c>
      <c r="D57" t="s">
        <v>6</v>
      </c>
      <c r="E57" t="s">
        <v>164</v>
      </c>
      <c r="F57" t="s">
        <v>7</v>
      </c>
      <c r="G57" t="s">
        <v>20</v>
      </c>
      <c r="H57">
        <v>2</v>
      </c>
      <c r="I57" t="s">
        <v>40</v>
      </c>
    </row>
    <row r="58" spans="1:9" x14ac:dyDescent="0.25">
      <c r="A58" t="s">
        <v>153</v>
      </c>
      <c r="B58" t="s">
        <v>37</v>
      </c>
      <c r="C58" t="s">
        <v>6</v>
      </c>
      <c r="D58" t="s">
        <v>6</v>
      </c>
      <c r="E58" t="s">
        <v>164</v>
      </c>
      <c r="F58" t="s">
        <v>8</v>
      </c>
      <c r="G58" t="s">
        <v>109</v>
      </c>
      <c r="H58">
        <v>1</v>
      </c>
      <c r="I58" t="s">
        <v>40</v>
      </c>
    </row>
    <row r="59" spans="1:9" x14ac:dyDescent="0.25">
      <c r="A59" t="s">
        <v>153</v>
      </c>
      <c r="B59" t="s">
        <v>37</v>
      </c>
      <c r="C59" t="s">
        <v>6</v>
      </c>
      <c r="D59" t="s">
        <v>6</v>
      </c>
      <c r="E59" t="s">
        <v>164</v>
      </c>
      <c r="F59" t="s">
        <v>9</v>
      </c>
      <c r="G59" t="s">
        <v>21</v>
      </c>
      <c r="H59">
        <v>1</v>
      </c>
      <c r="I59" t="s">
        <v>40</v>
      </c>
    </row>
    <row r="60" spans="1:9" x14ac:dyDescent="0.25">
      <c r="A60" t="s">
        <v>153</v>
      </c>
      <c r="B60" t="s">
        <v>37</v>
      </c>
      <c r="C60" t="s">
        <v>6</v>
      </c>
      <c r="D60" t="s">
        <v>6</v>
      </c>
      <c r="E60" t="s">
        <v>164</v>
      </c>
      <c r="F60" t="s">
        <v>10</v>
      </c>
      <c r="G60" t="s">
        <v>112</v>
      </c>
      <c r="H60">
        <v>1</v>
      </c>
      <c r="I60" t="s">
        <v>40</v>
      </c>
    </row>
    <row r="61" spans="1:9" x14ac:dyDescent="0.25">
      <c r="A61" t="s">
        <v>153</v>
      </c>
      <c r="B61" t="s">
        <v>37</v>
      </c>
      <c r="C61" t="s">
        <v>6</v>
      </c>
      <c r="D61" t="s">
        <v>6</v>
      </c>
      <c r="E61" t="s">
        <v>164</v>
      </c>
      <c r="F61" t="s">
        <v>11</v>
      </c>
      <c r="G61" t="s">
        <v>23</v>
      </c>
      <c r="H61">
        <v>0</v>
      </c>
      <c r="I61" t="s">
        <v>40</v>
      </c>
    </row>
    <row r="62" spans="1:9" x14ac:dyDescent="0.25">
      <c r="A62" t="s">
        <v>166</v>
      </c>
      <c r="B62" t="s">
        <v>37</v>
      </c>
      <c r="C62" t="s">
        <v>6</v>
      </c>
      <c r="D62" t="s">
        <v>0</v>
      </c>
      <c r="E62" t="s">
        <v>164</v>
      </c>
      <c r="F62" t="s">
        <v>1</v>
      </c>
      <c r="G62" t="s">
        <v>21</v>
      </c>
      <c r="H62">
        <v>3</v>
      </c>
      <c r="I62" t="s">
        <v>40</v>
      </c>
    </row>
    <row r="63" spans="1:9" x14ac:dyDescent="0.25">
      <c r="A63" t="s">
        <v>166</v>
      </c>
      <c r="B63" t="s">
        <v>37</v>
      </c>
      <c r="C63" t="s">
        <v>6</v>
      </c>
      <c r="D63" t="s">
        <v>0</v>
      </c>
      <c r="E63" t="s">
        <v>164</v>
      </c>
      <c r="F63" t="s">
        <v>2</v>
      </c>
      <c r="G63" t="s">
        <v>20</v>
      </c>
      <c r="H63">
        <v>1</v>
      </c>
      <c r="I63" t="s">
        <v>40</v>
      </c>
    </row>
    <row r="64" spans="1:9" x14ac:dyDescent="0.25">
      <c r="A64" t="s">
        <v>166</v>
      </c>
      <c r="B64" t="s">
        <v>37</v>
      </c>
      <c r="C64" t="s">
        <v>6</v>
      </c>
      <c r="D64" t="s">
        <v>0</v>
      </c>
      <c r="E64" t="s">
        <v>164</v>
      </c>
      <c r="F64" t="s">
        <v>3</v>
      </c>
      <c r="G64" t="s">
        <v>109</v>
      </c>
      <c r="H64">
        <v>1</v>
      </c>
      <c r="I64" t="s">
        <v>40</v>
      </c>
    </row>
    <row r="65" spans="1:9" x14ac:dyDescent="0.25">
      <c r="A65" t="s">
        <v>166</v>
      </c>
      <c r="B65" t="s">
        <v>37</v>
      </c>
      <c r="C65" t="s">
        <v>6</v>
      </c>
      <c r="D65" t="s">
        <v>0</v>
      </c>
      <c r="E65" t="s">
        <v>164</v>
      </c>
      <c r="F65" t="s">
        <v>4</v>
      </c>
      <c r="G65" t="s">
        <v>112</v>
      </c>
      <c r="H65">
        <v>0</v>
      </c>
      <c r="I65" t="s">
        <v>40</v>
      </c>
    </row>
    <row r="66" spans="1:9" x14ac:dyDescent="0.25">
      <c r="A66" t="s">
        <v>166</v>
      </c>
      <c r="B66" t="s">
        <v>37</v>
      </c>
      <c r="C66" t="s">
        <v>6</v>
      </c>
      <c r="D66" t="s">
        <v>0</v>
      </c>
      <c r="E66" t="s">
        <v>164</v>
      </c>
      <c r="F66" t="s">
        <v>5</v>
      </c>
      <c r="G66" t="s">
        <v>23</v>
      </c>
      <c r="H66">
        <v>0</v>
      </c>
      <c r="I66" t="s">
        <v>40</v>
      </c>
    </row>
    <row r="67" spans="1:9" x14ac:dyDescent="0.25">
      <c r="A67" t="s">
        <v>166</v>
      </c>
      <c r="B67" t="s">
        <v>37</v>
      </c>
      <c r="C67" t="s">
        <v>6</v>
      </c>
      <c r="D67" t="s">
        <v>6</v>
      </c>
      <c r="E67" t="s">
        <v>134</v>
      </c>
      <c r="F67" t="s">
        <v>7</v>
      </c>
      <c r="G67" t="s">
        <v>18</v>
      </c>
      <c r="H67">
        <v>1</v>
      </c>
      <c r="I67" t="s">
        <v>40</v>
      </c>
    </row>
    <row r="68" spans="1:9" x14ac:dyDescent="0.25">
      <c r="A68" t="s">
        <v>166</v>
      </c>
      <c r="B68" t="s">
        <v>37</v>
      </c>
      <c r="C68" t="s">
        <v>6</v>
      </c>
      <c r="D68" t="s">
        <v>6</v>
      </c>
      <c r="E68" t="s">
        <v>134</v>
      </c>
      <c r="F68" t="s">
        <v>8</v>
      </c>
      <c r="G68" t="s">
        <v>17</v>
      </c>
      <c r="H68">
        <v>0</v>
      </c>
      <c r="I68" t="s">
        <v>40</v>
      </c>
    </row>
    <row r="69" spans="1:9" x14ac:dyDescent="0.25">
      <c r="A69" t="s">
        <v>166</v>
      </c>
      <c r="B69" t="s">
        <v>37</v>
      </c>
      <c r="C69" t="s">
        <v>6</v>
      </c>
      <c r="D69" t="s">
        <v>6</v>
      </c>
      <c r="E69" t="s">
        <v>134</v>
      </c>
      <c r="F69" t="s">
        <v>9</v>
      </c>
      <c r="G69" t="s">
        <v>15</v>
      </c>
      <c r="H69">
        <v>2</v>
      </c>
      <c r="I69" t="s">
        <v>40</v>
      </c>
    </row>
    <row r="70" spans="1:9" x14ac:dyDescent="0.25">
      <c r="A70" t="s">
        <v>166</v>
      </c>
      <c r="B70" t="s">
        <v>37</v>
      </c>
      <c r="C70" t="s">
        <v>6</v>
      </c>
      <c r="D70" t="s">
        <v>6</v>
      </c>
      <c r="E70" t="s">
        <v>134</v>
      </c>
      <c r="F70" t="s">
        <v>10</v>
      </c>
      <c r="G70" t="s">
        <v>122</v>
      </c>
      <c r="H70">
        <v>0</v>
      </c>
      <c r="I70" t="s">
        <v>40</v>
      </c>
    </row>
    <row r="71" spans="1:9" x14ac:dyDescent="0.25">
      <c r="A71" t="s">
        <v>166</v>
      </c>
      <c r="B71" t="s">
        <v>37</v>
      </c>
      <c r="C71" t="s">
        <v>6</v>
      </c>
      <c r="D71" t="s">
        <v>6</v>
      </c>
      <c r="E71" t="s">
        <v>134</v>
      </c>
      <c r="F71" t="s">
        <v>11</v>
      </c>
      <c r="G71" t="s">
        <v>130</v>
      </c>
      <c r="H71">
        <v>2</v>
      </c>
      <c r="I71" t="s">
        <v>40</v>
      </c>
    </row>
    <row r="72" spans="1:9" x14ac:dyDescent="0.25">
      <c r="A72" t="s">
        <v>167</v>
      </c>
      <c r="B72" t="s">
        <v>37</v>
      </c>
      <c r="C72" t="s">
        <v>6</v>
      </c>
      <c r="D72" t="s">
        <v>0</v>
      </c>
      <c r="E72" t="s">
        <v>134</v>
      </c>
      <c r="F72" t="s">
        <v>1</v>
      </c>
      <c r="G72" t="s">
        <v>15</v>
      </c>
      <c r="H72">
        <v>2</v>
      </c>
      <c r="I72" t="s">
        <v>40</v>
      </c>
    </row>
    <row r="73" spans="1:9" x14ac:dyDescent="0.25">
      <c r="A73" t="s">
        <v>167</v>
      </c>
      <c r="B73" t="s">
        <v>37</v>
      </c>
      <c r="C73" t="s">
        <v>6</v>
      </c>
      <c r="D73" t="s">
        <v>0</v>
      </c>
      <c r="E73" t="s">
        <v>134</v>
      </c>
      <c r="F73" t="s">
        <v>2</v>
      </c>
      <c r="G73" t="s">
        <v>16</v>
      </c>
      <c r="H73">
        <v>0</v>
      </c>
      <c r="I73" t="s">
        <v>40</v>
      </c>
    </row>
    <row r="74" spans="1:9" x14ac:dyDescent="0.25">
      <c r="A74" t="s">
        <v>167</v>
      </c>
      <c r="B74" t="s">
        <v>37</v>
      </c>
      <c r="C74" t="s">
        <v>6</v>
      </c>
      <c r="D74" t="s">
        <v>0</v>
      </c>
      <c r="E74" t="s">
        <v>134</v>
      </c>
      <c r="F74" t="s">
        <v>3</v>
      </c>
      <c r="G74" t="s">
        <v>17</v>
      </c>
      <c r="H74">
        <v>2</v>
      </c>
      <c r="I74" t="s">
        <v>40</v>
      </c>
    </row>
    <row r="75" spans="1:9" x14ac:dyDescent="0.25">
      <c r="A75" t="s">
        <v>167</v>
      </c>
      <c r="B75" t="s">
        <v>37</v>
      </c>
      <c r="C75" t="s">
        <v>6</v>
      </c>
      <c r="D75" t="s">
        <v>0</v>
      </c>
      <c r="E75" t="s">
        <v>134</v>
      </c>
      <c r="F75" t="s">
        <v>4</v>
      </c>
      <c r="G75" t="s">
        <v>122</v>
      </c>
      <c r="H75">
        <v>0</v>
      </c>
      <c r="I75" t="s">
        <v>40</v>
      </c>
    </row>
    <row r="76" spans="1:9" x14ac:dyDescent="0.25">
      <c r="A76" t="s">
        <v>167</v>
      </c>
      <c r="B76" t="s">
        <v>37</v>
      </c>
      <c r="C76" t="s">
        <v>6</v>
      </c>
      <c r="D76" t="s">
        <v>0</v>
      </c>
      <c r="E76" t="s">
        <v>134</v>
      </c>
      <c r="F76" t="s">
        <v>5</v>
      </c>
      <c r="G76" t="s">
        <v>18</v>
      </c>
      <c r="H76">
        <v>0</v>
      </c>
      <c r="I76" t="s">
        <v>40</v>
      </c>
    </row>
    <row r="77" spans="1:9" x14ac:dyDescent="0.25">
      <c r="A77" t="s">
        <v>167</v>
      </c>
      <c r="B77" t="s">
        <v>37</v>
      </c>
      <c r="C77" t="s">
        <v>6</v>
      </c>
      <c r="D77" t="s">
        <v>6</v>
      </c>
      <c r="E77" t="s">
        <v>164</v>
      </c>
      <c r="F77" t="s">
        <v>7</v>
      </c>
      <c r="G77" t="s">
        <v>20</v>
      </c>
      <c r="H77">
        <v>1</v>
      </c>
      <c r="I77" t="s">
        <v>40</v>
      </c>
    </row>
    <row r="78" spans="1:9" x14ac:dyDescent="0.25">
      <c r="A78" t="s">
        <v>167</v>
      </c>
      <c r="B78" t="s">
        <v>37</v>
      </c>
      <c r="C78" t="s">
        <v>6</v>
      </c>
      <c r="D78" t="s">
        <v>6</v>
      </c>
      <c r="E78" t="s">
        <v>164</v>
      </c>
      <c r="F78" t="s">
        <v>8</v>
      </c>
      <c r="G78" t="s">
        <v>109</v>
      </c>
      <c r="H78">
        <v>0</v>
      </c>
      <c r="I78" t="s">
        <v>40</v>
      </c>
    </row>
    <row r="79" spans="1:9" x14ac:dyDescent="0.25">
      <c r="A79" t="s">
        <v>167</v>
      </c>
      <c r="B79" t="s">
        <v>37</v>
      </c>
      <c r="C79" t="s">
        <v>6</v>
      </c>
      <c r="D79" t="s">
        <v>6</v>
      </c>
      <c r="E79" t="s">
        <v>164</v>
      </c>
      <c r="F79" t="s">
        <v>9</v>
      </c>
      <c r="G79" t="s">
        <v>21</v>
      </c>
      <c r="H79">
        <v>3</v>
      </c>
      <c r="I79" t="s">
        <v>40</v>
      </c>
    </row>
    <row r="80" spans="1:9" x14ac:dyDescent="0.25">
      <c r="A80" t="s">
        <v>167</v>
      </c>
      <c r="B80" t="s">
        <v>37</v>
      </c>
      <c r="C80" t="s">
        <v>6</v>
      </c>
      <c r="D80" t="s">
        <v>6</v>
      </c>
      <c r="E80" t="s">
        <v>164</v>
      </c>
      <c r="F80" t="s">
        <v>10</v>
      </c>
      <c r="G80" t="s">
        <v>112</v>
      </c>
      <c r="H80">
        <v>1</v>
      </c>
      <c r="I80" t="s">
        <v>40</v>
      </c>
    </row>
    <row r="81" spans="1:9" x14ac:dyDescent="0.25">
      <c r="A81" t="s">
        <v>167</v>
      </c>
      <c r="B81" t="s">
        <v>37</v>
      </c>
      <c r="C81" t="s">
        <v>6</v>
      </c>
      <c r="D81" t="s">
        <v>6</v>
      </c>
      <c r="E81" t="s">
        <v>164</v>
      </c>
      <c r="F81" t="s">
        <v>11</v>
      </c>
      <c r="G81" t="s">
        <v>23</v>
      </c>
      <c r="H81">
        <v>0</v>
      </c>
      <c r="I81" t="s">
        <v>40</v>
      </c>
    </row>
    <row r="82" spans="1:9" x14ac:dyDescent="0.25">
      <c r="A82" t="s">
        <v>168</v>
      </c>
      <c r="B82" t="s">
        <v>37</v>
      </c>
      <c r="C82" t="s">
        <v>6</v>
      </c>
      <c r="D82" t="s">
        <v>0</v>
      </c>
      <c r="E82" t="s">
        <v>164</v>
      </c>
      <c r="F82" t="s">
        <v>1</v>
      </c>
      <c r="G82" t="s">
        <v>21</v>
      </c>
      <c r="H82">
        <v>3</v>
      </c>
      <c r="I82" t="s">
        <v>40</v>
      </c>
    </row>
    <row r="83" spans="1:9" x14ac:dyDescent="0.25">
      <c r="A83" t="s">
        <v>168</v>
      </c>
      <c r="B83" t="s">
        <v>37</v>
      </c>
      <c r="C83" t="s">
        <v>6</v>
      </c>
      <c r="D83" t="s">
        <v>0</v>
      </c>
      <c r="E83" t="s">
        <v>164</v>
      </c>
      <c r="F83" t="s">
        <v>2</v>
      </c>
      <c r="G83" t="s">
        <v>20</v>
      </c>
      <c r="H83">
        <v>1</v>
      </c>
      <c r="I83" t="s">
        <v>40</v>
      </c>
    </row>
    <row r="84" spans="1:9" x14ac:dyDescent="0.25">
      <c r="A84" t="s">
        <v>168</v>
      </c>
      <c r="B84" t="s">
        <v>37</v>
      </c>
      <c r="C84" t="s">
        <v>6</v>
      </c>
      <c r="D84" t="s">
        <v>0</v>
      </c>
      <c r="E84" t="s">
        <v>164</v>
      </c>
      <c r="F84" t="s">
        <v>3</v>
      </c>
      <c r="G84" t="s">
        <v>109</v>
      </c>
      <c r="H84">
        <v>0</v>
      </c>
      <c r="I84" t="s">
        <v>40</v>
      </c>
    </row>
    <row r="85" spans="1:9" x14ac:dyDescent="0.25">
      <c r="A85" t="s">
        <v>168</v>
      </c>
      <c r="B85" t="s">
        <v>37</v>
      </c>
      <c r="C85" t="s">
        <v>6</v>
      </c>
      <c r="D85" t="s">
        <v>0</v>
      </c>
      <c r="E85" t="s">
        <v>164</v>
      </c>
      <c r="F85" t="s">
        <v>4</v>
      </c>
      <c r="G85" t="s">
        <v>112</v>
      </c>
      <c r="H85">
        <v>0</v>
      </c>
      <c r="I85" t="s">
        <v>40</v>
      </c>
    </row>
    <row r="86" spans="1:9" x14ac:dyDescent="0.25">
      <c r="A86" t="s">
        <v>168</v>
      </c>
      <c r="B86" t="s">
        <v>37</v>
      </c>
      <c r="C86" t="s">
        <v>6</v>
      </c>
      <c r="D86" t="s">
        <v>0</v>
      </c>
      <c r="E86" t="s">
        <v>164</v>
      </c>
      <c r="F86" t="s">
        <v>5</v>
      </c>
      <c r="G86" t="s">
        <v>23</v>
      </c>
      <c r="H86">
        <v>0</v>
      </c>
      <c r="I86" t="s">
        <v>40</v>
      </c>
    </row>
    <row r="87" spans="1:9" x14ac:dyDescent="0.25">
      <c r="A87" t="s">
        <v>168</v>
      </c>
      <c r="B87" t="s">
        <v>37</v>
      </c>
      <c r="C87" t="s">
        <v>6</v>
      </c>
      <c r="D87" t="s">
        <v>6</v>
      </c>
      <c r="E87" t="s">
        <v>134</v>
      </c>
      <c r="F87" t="s">
        <v>7</v>
      </c>
      <c r="G87" t="s">
        <v>18</v>
      </c>
      <c r="H87">
        <v>1</v>
      </c>
      <c r="I87" t="s">
        <v>40</v>
      </c>
    </row>
    <row r="88" spans="1:9" x14ac:dyDescent="0.25">
      <c r="A88" t="s">
        <v>168</v>
      </c>
      <c r="B88" t="s">
        <v>37</v>
      </c>
      <c r="C88" t="s">
        <v>6</v>
      </c>
      <c r="D88" t="s">
        <v>6</v>
      </c>
      <c r="E88" t="s">
        <v>134</v>
      </c>
      <c r="F88" t="s">
        <v>8</v>
      </c>
      <c r="G88" t="s">
        <v>17</v>
      </c>
      <c r="H88">
        <v>0</v>
      </c>
      <c r="I88" t="s">
        <v>40</v>
      </c>
    </row>
    <row r="89" spans="1:9" x14ac:dyDescent="0.25">
      <c r="A89" t="s">
        <v>168</v>
      </c>
      <c r="B89" t="s">
        <v>37</v>
      </c>
      <c r="C89" t="s">
        <v>6</v>
      </c>
      <c r="D89" t="s">
        <v>6</v>
      </c>
      <c r="E89" t="s">
        <v>134</v>
      </c>
      <c r="F89" t="s">
        <v>9</v>
      </c>
      <c r="G89" t="s">
        <v>15</v>
      </c>
      <c r="H89">
        <v>2</v>
      </c>
      <c r="I89" t="s">
        <v>40</v>
      </c>
    </row>
    <row r="90" spans="1:9" x14ac:dyDescent="0.25">
      <c r="A90" t="s">
        <v>168</v>
      </c>
      <c r="B90" t="s">
        <v>37</v>
      </c>
      <c r="C90" t="s">
        <v>6</v>
      </c>
      <c r="D90" t="s">
        <v>6</v>
      </c>
      <c r="E90" t="s">
        <v>134</v>
      </c>
      <c r="F90" t="s">
        <v>10</v>
      </c>
      <c r="G90" t="s">
        <v>122</v>
      </c>
      <c r="H90">
        <v>1</v>
      </c>
      <c r="I90" t="s">
        <v>40</v>
      </c>
    </row>
    <row r="91" spans="1:9" x14ac:dyDescent="0.25">
      <c r="A91" t="s">
        <v>168</v>
      </c>
      <c r="B91" t="s">
        <v>37</v>
      </c>
      <c r="C91" t="s">
        <v>6</v>
      </c>
      <c r="D91" t="s">
        <v>6</v>
      </c>
      <c r="E91" t="s">
        <v>134</v>
      </c>
      <c r="F91" t="s">
        <v>11</v>
      </c>
      <c r="G91" t="s">
        <v>130</v>
      </c>
      <c r="H91">
        <v>1</v>
      </c>
      <c r="I91" t="s">
        <v>40</v>
      </c>
    </row>
    <row r="92" spans="1:9" x14ac:dyDescent="0.25">
      <c r="A92" t="s">
        <v>169</v>
      </c>
      <c r="B92" t="s">
        <v>37</v>
      </c>
      <c r="C92" t="s">
        <v>6</v>
      </c>
      <c r="D92" t="s">
        <v>0</v>
      </c>
      <c r="E92" t="s">
        <v>134</v>
      </c>
      <c r="F92" t="s">
        <v>1</v>
      </c>
      <c r="G92" t="s">
        <v>15</v>
      </c>
      <c r="H92">
        <v>1</v>
      </c>
      <c r="I92" t="s">
        <v>40</v>
      </c>
    </row>
    <row r="93" spans="1:9" x14ac:dyDescent="0.25">
      <c r="A93" t="s">
        <v>169</v>
      </c>
      <c r="B93" t="s">
        <v>37</v>
      </c>
      <c r="C93" t="s">
        <v>6</v>
      </c>
      <c r="D93" t="s">
        <v>0</v>
      </c>
      <c r="E93" t="s">
        <v>134</v>
      </c>
      <c r="F93" t="s">
        <v>2</v>
      </c>
      <c r="G93" t="s">
        <v>16</v>
      </c>
      <c r="H93">
        <v>0</v>
      </c>
      <c r="I93" t="s">
        <v>40</v>
      </c>
    </row>
    <row r="94" spans="1:9" x14ac:dyDescent="0.25">
      <c r="A94" t="s">
        <v>169</v>
      </c>
      <c r="B94" t="s">
        <v>37</v>
      </c>
      <c r="C94" t="s">
        <v>6</v>
      </c>
      <c r="D94" t="s">
        <v>0</v>
      </c>
      <c r="E94" t="s">
        <v>134</v>
      </c>
      <c r="F94" t="s">
        <v>3</v>
      </c>
      <c r="G94" t="s">
        <v>17</v>
      </c>
      <c r="H94">
        <v>0</v>
      </c>
      <c r="I94" t="s">
        <v>40</v>
      </c>
    </row>
    <row r="95" spans="1:9" x14ac:dyDescent="0.25">
      <c r="A95" t="s">
        <v>169</v>
      </c>
      <c r="B95" t="s">
        <v>37</v>
      </c>
      <c r="C95" t="s">
        <v>6</v>
      </c>
      <c r="D95" t="s">
        <v>0</v>
      </c>
      <c r="E95" t="s">
        <v>134</v>
      </c>
      <c r="F95" t="s">
        <v>4</v>
      </c>
      <c r="G95" t="s">
        <v>122</v>
      </c>
      <c r="H95">
        <v>1</v>
      </c>
      <c r="I95" t="s">
        <v>40</v>
      </c>
    </row>
    <row r="96" spans="1:9" x14ac:dyDescent="0.25">
      <c r="A96" t="s">
        <v>169</v>
      </c>
      <c r="B96" t="s">
        <v>37</v>
      </c>
      <c r="C96" t="s">
        <v>6</v>
      </c>
      <c r="D96" t="s">
        <v>0</v>
      </c>
      <c r="E96" t="s">
        <v>134</v>
      </c>
      <c r="F96" t="s">
        <v>5</v>
      </c>
      <c r="G96" t="s">
        <v>18</v>
      </c>
      <c r="H96">
        <v>2</v>
      </c>
      <c r="I96" t="s">
        <v>40</v>
      </c>
    </row>
    <row r="97" spans="1:9" x14ac:dyDescent="0.25">
      <c r="A97" t="s">
        <v>169</v>
      </c>
      <c r="B97" t="s">
        <v>37</v>
      </c>
      <c r="C97" t="s">
        <v>6</v>
      </c>
      <c r="D97" t="s">
        <v>6</v>
      </c>
      <c r="E97" t="s">
        <v>164</v>
      </c>
      <c r="F97" t="s">
        <v>7</v>
      </c>
      <c r="G97" t="s">
        <v>20</v>
      </c>
      <c r="H97">
        <v>1</v>
      </c>
      <c r="I97" t="s">
        <v>40</v>
      </c>
    </row>
    <row r="98" spans="1:9" x14ac:dyDescent="0.25">
      <c r="A98" t="s">
        <v>169</v>
      </c>
      <c r="B98" t="s">
        <v>37</v>
      </c>
      <c r="C98" t="s">
        <v>6</v>
      </c>
      <c r="D98" t="s">
        <v>6</v>
      </c>
      <c r="E98" t="s">
        <v>164</v>
      </c>
      <c r="F98" t="s">
        <v>8</v>
      </c>
      <c r="G98" t="s">
        <v>109</v>
      </c>
      <c r="H98">
        <v>1</v>
      </c>
      <c r="I98" t="s">
        <v>40</v>
      </c>
    </row>
    <row r="99" spans="1:9" x14ac:dyDescent="0.25">
      <c r="A99" t="s">
        <v>169</v>
      </c>
      <c r="B99" t="s">
        <v>37</v>
      </c>
      <c r="C99" t="s">
        <v>6</v>
      </c>
      <c r="D99" t="s">
        <v>6</v>
      </c>
      <c r="E99" t="s">
        <v>164</v>
      </c>
      <c r="F99" t="s">
        <v>9</v>
      </c>
      <c r="G99" t="s">
        <v>21</v>
      </c>
      <c r="H99">
        <v>2</v>
      </c>
      <c r="I99" t="s">
        <v>40</v>
      </c>
    </row>
    <row r="100" spans="1:9" x14ac:dyDescent="0.25">
      <c r="A100" t="s">
        <v>169</v>
      </c>
      <c r="B100" t="s">
        <v>37</v>
      </c>
      <c r="C100" t="s">
        <v>6</v>
      </c>
      <c r="D100" t="s">
        <v>6</v>
      </c>
      <c r="E100" t="s">
        <v>164</v>
      </c>
      <c r="F100" t="s">
        <v>10</v>
      </c>
      <c r="G100" t="s">
        <v>112</v>
      </c>
      <c r="H100">
        <v>0</v>
      </c>
      <c r="I100" t="s">
        <v>40</v>
      </c>
    </row>
    <row r="101" spans="1:9" x14ac:dyDescent="0.25">
      <c r="A101" t="s">
        <v>169</v>
      </c>
      <c r="B101" t="s">
        <v>37</v>
      </c>
      <c r="C101" t="s">
        <v>6</v>
      </c>
      <c r="D101" t="s">
        <v>6</v>
      </c>
      <c r="E101" t="s">
        <v>164</v>
      </c>
      <c r="F101" t="s">
        <v>11</v>
      </c>
      <c r="G101" t="s">
        <v>23</v>
      </c>
      <c r="H101">
        <v>1</v>
      </c>
      <c r="I101" t="s">
        <v>40</v>
      </c>
    </row>
    <row r="102" spans="1:9" x14ac:dyDescent="0.25">
      <c r="A102" s="33" t="s">
        <v>153</v>
      </c>
      <c r="B102" s="33" t="s">
        <v>37</v>
      </c>
      <c r="C102" s="33" t="s">
        <v>6</v>
      </c>
      <c r="D102" s="33" t="s">
        <v>0</v>
      </c>
      <c r="E102" s="33" t="s">
        <v>134</v>
      </c>
      <c r="F102" s="33" t="s">
        <v>1</v>
      </c>
      <c r="G102" s="33" t="s">
        <v>122</v>
      </c>
      <c r="H102" s="33">
        <v>1</v>
      </c>
      <c r="I102" s="33" t="s">
        <v>40</v>
      </c>
    </row>
    <row r="103" spans="1:9" x14ac:dyDescent="0.25">
      <c r="A103" s="33" t="s">
        <v>153</v>
      </c>
      <c r="B103" s="33" t="s">
        <v>37</v>
      </c>
      <c r="C103" s="33" t="s">
        <v>6</v>
      </c>
      <c r="D103" s="33" t="s">
        <v>0</v>
      </c>
      <c r="E103" s="33" t="s">
        <v>134</v>
      </c>
      <c r="F103" s="33" t="s">
        <v>2</v>
      </c>
      <c r="G103" s="33" t="s">
        <v>17</v>
      </c>
      <c r="H103" s="33">
        <v>1</v>
      </c>
      <c r="I103" s="33" t="s">
        <v>40</v>
      </c>
    </row>
    <row r="104" spans="1:9" x14ac:dyDescent="0.25">
      <c r="A104" s="33" t="s">
        <v>153</v>
      </c>
      <c r="B104" s="33" t="s">
        <v>37</v>
      </c>
      <c r="C104" s="33" t="s">
        <v>6</v>
      </c>
      <c r="D104" s="33" t="s">
        <v>0</v>
      </c>
      <c r="E104" s="33" t="s">
        <v>134</v>
      </c>
      <c r="F104" s="33" t="s">
        <v>3</v>
      </c>
      <c r="G104" s="33" t="s">
        <v>16</v>
      </c>
      <c r="H104" s="33">
        <v>0</v>
      </c>
      <c r="I104" s="33" t="s">
        <v>40</v>
      </c>
    </row>
    <row r="105" spans="1:9" x14ac:dyDescent="0.25">
      <c r="A105" s="33" t="s">
        <v>153</v>
      </c>
      <c r="B105" s="33" t="s">
        <v>37</v>
      </c>
      <c r="C105" s="33" t="s">
        <v>6</v>
      </c>
      <c r="D105" s="33" t="s">
        <v>0</v>
      </c>
      <c r="E105" s="33" t="s">
        <v>134</v>
      </c>
      <c r="F105" s="33" t="s">
        <v>4</v>
      </c>
      <c r="G105" s="33" t="s">
        <v>118</v>
      </c>
      <c r="H105" s="33">
        <v>0</v>
      </c>
      <c r="I105" s="33" t="s">
        <v>40</v>
      </c>
    </row>
    <row r="106" spans="1:9" x14ac:dyDescent="0.25">
      <c r="A106" s="33" t="s">
        <v>153</v>
      </c>
      <c r="B106" s="33" t="s">
        <v>37</v>
      </c>
      <c r="C106" s="33" t="s">
        <v>6</v>
      </c>
      <c r="D106" s="33" t="s">
        <v>0</v>
      </c>
      <c r="E106" s="33" t="s">
        <v>134</v>
      </c>
      <c r="F106" s="33" t="s">
        <v>5</v>
      </c>
      <c r="G106" s="33" t="s">
        <v>119</v>
      </c>
      <c r="H106" s="33">
        <v>1</v>
      </c>
      <c r="I106" s="33" t="s">
        <v>40</v>
      </c>
    </row>
    <row r="107" spans="1:9" x14ac:dyDescent="0.25">
      <c r="A107" s="33" t="s">
        <v>153</v>
      </c>
      <c r="B107" s="33" t="s">
        <v>37</v>
      </c>
      <c r="C107" s="33" t="s">
        <v>6</v>
      </c>
      <c r="D107" s="33" t="s">
        <v>6</v>
      </c>
      <c r="E107" s="33" t="s">
        <v>164</v>
      </c>
      <c r="F107" s="33" t="s">
        <v>7</v>
      </c>
      <c r="G107" s="33" t="s">
        <v>20</v>
      </c>
      <c r="H107" s="33">
        <v>2</v>
      </c>
      <c r="I107" s="33" t="s">
        <v>40</v>
      </c>
    </row>
    <row r="108" spans="1:9" x14ac:dyDescent="0.25">
      <c r="A108" s="33" t="s">
        <v>153</v>
      </c>
      <c r="B108" s="33" t="s">
        <v>37</v>
      </c>
      <c r="C108" s="33" t="s">
        <v>6</v>
      </c>
      <c r="D108" s="33" t="s">
        <v>6</v>
      </c>
      <c r="E108" s="33" t="s">
        <v>164</v>
      </c>
      <c r="F108" s="33" t="s">
        <v>8</v>
      </c>
      <c r="G108" s="33" t="s">
        <v>109</v>
      </c>
      <c r="H108" s="33">
        <v>1</v>
      </c>
      <c r="I108" s="33" t="s">
        <v>40</v>
      </c>
    </row>
    <row r="109" spans="1:9" x14ac:dyDescent="0.25">
      <c r="A109" s="33" t="s">
        <v>153</v>
      </c>
      <c r="B109" s="33" t="s">
        <v>37</v>
      </c>
      <c r="C109" s="33" t="s">
        <v>6</v>
      </c>
      <c r="D109" s="33" t="s">
        <v>6</v>
      </c>
      <c r="E109" s="33" t="s">
        <v>164</v>
      </c>
      <c r="F109" s="33" t="s">
        <v>9</v>
      </c>
      <c r="G109" s="33" t="s">
        <v>21</v>
      </c>
      <c r="H109" s="33">
        <v>1</v>
      </c>
      <c r="I109" s="33" t="s">
        <v>40</v>
      </c>
    </row>
    <row r="110" spans="1:9" x14ac:dyDescent="0.25">
      <c r="A110" s="33" t="s">
        <v>153</v>
      </c>
      <c r="B110" s="33" t="s">
        <v>37</v>
      </c>
      <c r="C110" s="33" t="s">
        <v>6</v>
      </c>
      <c r="D110" s="33" t="s">
        <v>6</v>
      </c>
      <c r="E110" s="33" t="s">
        <v>164</v>
      </c>
      <c r="F110" s="33" t="s">
        <v>10</v>
      </c>
      <c r="G110" s="33" t="s">
        <v>112</v>
      </c>
      <c r="H110" s="33">
        <v>1</v>
      </c>
      <c r="I110" s="33" t="s">
        <v>40</v>
      </c>
    </row>
    <row r="111" spans="1:9" x14ac:dyDescent="0.25">
      <c r="A111" s="33" t="s">
        <v>153</v>
      </c>
      <c r="B111" s="33" t="s">
        <v>37</v>
      </c>
      <c r="C111" s="33" t="s">
        <v>6</v>
      </c>
      <c r="D111" s="33" t="s">
        <v>6</v>
      </c>
      <c r="E111" s="33" t="s">
        <v>164</v>
      </c>
      <c r="F111" s="33" t="s">
        <v>11</v>
      </c>
      <c r="G111" s="33" t="s">
        <v>23</v>
      </c>
      <c r="H111" s="33">
        <v>0</v>
      </c>
      <c r="I111" s="33" t="s">
        <v>40</v>
      </c>
    </row>
    <row r="112" spans="1:9" x14ac:dyDescent="0.25">
      <c r="A112" s="33" t="s">
        <v>153</v>
      </c>
      <c r="B112" s="33" t="s">
        <v>37</v>
      </c>
      <c r="C112" s="33" t="s">
        <v>6</v>
      </c>
      <c r="D112" s="33" t="s">
        <v>0</v>
      </c>
      <c r="E112" s="33" t="s">
        <v>134</v>
      </c>
      <c r="F112" s="33" t="s">
        <v>1</v>
      </c>
      <c r="G112" s="33" t="s">
        <v>122</v>
      </c>
      <c r="H112" s="33">
        <v>1</v>
      </c>
      <c r="I112" s="33" t="s">
        <v>40</v>
      </c>
    </row>
    <row r="113" spans="1:9" x14ac:dyDescent="0.25">
      <c r="A113" s="33" t="s">
        <v>153</v>
      </c>
      <c r="B113" s="33" t="s">
        <v>37</v>
      </c>
      <c r="C113" s="33" t="s">
        <v>6</v>
      </c>
      <c r="D113" s="33" t="s">
        <v>0</v>
      </c>
      <c r="E113" s="33" t="s">
        <v>134</v>
      </c>
      <c r="F113" s="33" t="s">
        <v>2</v>
      </c>
      <c r="G113" s="33" t="s">
        <v>17</v>
      </c>
      <c r="H113" s="33">
        <v>1</v>
      </c>
      <c r="I113" s="33" t="s">
        <v>40</v>
      </c>
    </row>
    <row r="114" spans="1:9" x14ac:dyDescent="0.25">
      <c r="A114" s="33" t="s">
        <v>153</v>
      </c>
      <c r="B114" s="33" t="s">
        <v>37</v>
      </c>
      <c r="C114" s="33" t="s">
        <v>6</v>
      </c>
      <c r="D114" s="33" t="s">
        <v>0</v>
      </c>
      <c r="E114" s="33" t="s">
        <v>134</v>
      </c>
      <c r="F114" s="33" t="s">
        <v>3</v>
      </c>
      <c r="G114" s="33" t="s">
        <v>16</v>
      </c>
      <c r="H114" s="33">
        <v>0</v>
      </c>
      <c r="I114" s="33" t="s">
        <v>40</v>
      </c>
    </row>
    <row r="115" spans="1:9" x14ac:dyDescent="0.25">
      <c r="A115" s="33" t="s">
        <v>153</v>
      </c>
      <c r="B115" s="33" t="s">
        <v>37</v>
      </c>
      <c r="C115" s="33" t="s">
        <v>6</v>
      </c>
      <c r="D115" s="33" t="s">
        <v>0</v>
      </c>
      <c r="E115" s="33" t="s">
        <v>134</v>
      </c>
      <c r="F115" s="33" t="s">
        <v>4</v>
      </c>
      <c r="G115" s="33" t="s">
        <v>118</v>
      </c>
      <c r="H115" s="33">
        <v>0</v>
      </c>
      <c r="I115" s="33" t="s">
        <v>40</v>
      </c>
    </row>
    <row r="116" spans="1:9" x14ac:dyDescent="0.25">
      <c r="A116" s="33" t="s">
        <v>153</v>
      </c>
      <c r="B116" s="33" t="s">
        <v>37</v>
      </c>
      <c r="C116" s="33" t="s">
        <v>6</v>
      </c>
      <c r="D116" s="33" t="s">
        <v>0</v>
      </c>
      <c r="E116" s="33" t="s">
        <v>134</v>
      </c>
      <c r="F116" s="33" t="s">
        <v>5</v>
      </c>
      <c r="G116" s="33" t="s">
        <v>119</v>
      </c>
      <c r="H116" s="33">
        <v>1</v>
      </c>
      <c r="I116" s="33" t="s">
        <v>40</v>
      </c>
    </row>
    <row r="117" spans="1:9" x14ac:dyDescent="0.25">
      <c r="A117" s="33" t="s">
        <v>153</v>
      </c>
      <c r="B117" s="33" t="s">
        <v>37</v>
      </c>
      <c r="C117" s="33" t="s">
        <v>6</v>
      </c>
      <c r="D117" s="33" t="s">
        <v>6</v>
      </c>
      <c r="E117" s="33" t="s">
        <v>164</v>
      </c>
      <c r="F117" s="33" t="s">
        <v>7</v>
      </c>
      <c r="G117" s="33" t="s">
        <v>20</v>
      </c>
      <c r="H117" s="33">
        <v>2</v>
      </c>
      <c r="I117" s="33" t="s">
        <v>40</v>
      </c>
    </row>
    <row r="118" spans="1:9" x14ac:dyDescent="0.25">
      <c r="A118" s="33" t="s">
        <v>153</v>
      </c>
      <c r="B118" s="33" t="s">
        <v>37</v>
      </c>
      <c r="C118" s="33" t="s">
        <v>6</v>
      </c>
      <c r="D118" s="33" t="s">
        <v>6</v>
      </c>
      <c r="E118" s="33" t="s">
        <v>164</v>
      </c>
      <c r="F118" s="33" t="s">
        <v>8</v>
      </c>
      <c r="G118" s="33" t="s">
        <v>109</v>
      </c>
      <c r="H118" s="33">
        <v>1</v>
      </c>
      <c r="I118" s="33" t="s">
        <v>40</v>
      </c>
    </row>
    <row r="119" spans="1:9" x14ac:dyDescent="0.25">
      <c r="A119" s="33" t="s">
        <v>153</v>
      </c>
      <c r="B119" s="33" t="s">
        <v>37</v>
      </c>
      <c r="C119" s="33" t="s">
        <v>6</v>
      </c>
      <c r="D119" s="33" t="s">
        <v>6</v>
      </c>
      <c r="E119" s="33" t="s">
        <v>164</v>
      </c>
      <c r="F119" s="33" t="s">
        <v>9</v>
      </c>
      <c r="G119" s="33" t="s">
        <v>21</v>
      </c>
      <c r="H119" s="33">
        <v>1</v>
      </c>
      <c r="I119" s="33" t="s">
        <v>40</v>
      </c>
    </row>
    <row r="120" spans="1:9" x14ac:dyDescent="0.25">
      <c r="A120" s="33" t="s">
        <v>153</v>
      </c>
      <c r="B120" s="33" t="s">
        <v>37</v>
      </c>
      <c r="C120" s="33" t="s">
        <v>6</v>
      </c>
      <c r="D120" s="33" t="s">
        <v>6</v>
      </c>
      <c r="E120" s="33" t="s">
        <v>164</v>
      </c>
      <c r="F120" s="33" t="s">
        <v>10</v>
      </c>
      <c r="G120" s="33" t="s">
        <v>112</v>
      </c>
      <c r="H120" s="33">
        <v>1</v>
      </c>
      <c r="I120" s="33" t="s">
        <v>40</v>
      </c>
    </row>
    <row r="121" spans="1:9" x14ac:dyDescent="0.25">
      <c r="A121" s="33" t="s">
        <v>153</v>
      </c>
      <c r="B121" s="33" t="s">
        <v>37</v>
      </c>
      <c r="C121" s="33" t="s">
        <v>6</v>
      </c>
      <c r="D121" s="33" t="s">
        <v>6</v>
      </c>
      <c r="E121" s="33" t="s">
        <v>164</v>
      </c>
      <c r="F121" s="33" t="s">
        <v>11</v>
      </c>
      <c r="G121" s="33" t="s">
        <v>23</v>
      </c>
      <c r="H121" s="33">
        <v>0</v>
      </c>
      <c r="I121" s="33" t="s">
        <v>40</v>
      </c>
    </row>
    <row r="122" spans="1:9" x14ac:dyDescent="0.25">
      <c r="A122" s="35" t="s">
        <v>153</v>
      </c>
      <c r="B122" s="35" t="s">
        <v>37</v>
      </c>
      <c r="C122" s="35" t="s">
        <v>6</v>
      </c>
      <c r="D122" s="35" t="s">
        <v>0</v>
      </c>
      <c r="E122" s="35" t="s">
        <v>134</v>
      </c>
      <c r="F122" s="35" t="s">
        <v>1</v>
      </c>
      <c r="G122" s="35" t="s">
        <v>122</v>
      </c>
      <c r="H122" s="35">
        <v>1</v>
      </c>
      <c r="I122" s="35" t="s">
        <v>40</v>
      </c>
    </row>
    <row r="123" spans="1:9" x14ac:dyDescent="0.25">
      <c r="A123" s="35" t="s">
        <v>153</v>
      </c>
      <c r="B123" s="35" t="s">
        <v>37</v>
      </c>
      <c r="C123" s="35" t="s">
        <v>6</v>
      </c>
      <c r="D123" s="35" t="s">
        <v>0</v>
      </c>
      <c r="E123" s="35" t="s">
        <v>134</v>
      </c>
      <c r="F123" s="35" t="s">
        <v>2</v>
      </c>
      <c r="G123" s="35" t="s">
        <v>17</v>
      </c>
      <c r="H123" s="35">
        <v>1</v>
      </c>
      <c r="I123" s="35" t="s">
        <v>40</v>
      </c>
    </row>
    <row r="124" spans="1:9" x14ac:dyDescent="0.25">
      <c r="A124" s="35" t="s">
        <v>153</v>
      </c>
      <c r="B124" s="35" t="s">
        <v>37</v>
      </c>
      <c r="C124" s="35" t="s">
        <v>6</v>
      </c>
      <c r="D124" s="35" t="s">
        <v>0</v>
      </c>
      <c r="E124" s="35" t="s">
        <v>134</v>
      </c>
      <c r="F124" s="35" t="s">
        <v>3</v>
      </c>
      <c r="G124" s="35" t="s">
        <v>16</v>
      </c>
      <c r="H124" s="35">
        <v>0</v>
      </c>
      <c r="I124" s="35" t="s">
        <v>40</v>
      </c>
    </row>
    <row r="125" spans="1:9" x14ac:dyDescent="0.25">
      <c r="A125" s="35" t="s">
        <v>153</v>
      </c>
      <c r="B125" s="35" t="s">
        <v>37</v>
      </c>
      <c r="C125" s="35" t="s">
        <v>6</v>
      </c>
      <c r="D125" s="35" t="s">
        <v>0</v>
      </c>
      <c r="E125" s="35" t="s">
        <v>134</v>
      </c>
      <c r="F125" s="35" t="s">
        <v>4</v>
      </c>
      <c r="G125" s="35" t="s">
        <v>118</v>
      </c>
      <c r="H125" s="35">
        <v>0</v>
      </c>
      <c r="I125" s="35" t="s">
        <v>40</v>
      </c>
    </row>
    <row r="126" spans="1:9" x14ac:dyDescent="0.25">
      <c r="A126" s="35" t="s">
        <v>153</v>
      </c>
      <c r="B126" s="35" t="s">
        <v>37</v>
      </c>
      <c r="C126" s="35" t="s">
        <v>6</v>
      </c>
      <c r="D126" s="35" t="s">
        <v>0</v>
      </c>
      <c r="E126" s="35" t="s">
        <v>134</v>
      </c>
      <c r="F126" s="35" t="s">
        <v>5</v>
      </c>
      <c r="G126" s="35" t="s">
        <v>119</v>
      </c>
      <c r="H126" s="35">
        <v>1</v>
      </c>
      <c r="I126" s="35" t="s">
        <v>40</v>
      </c>
    </row>
    <row r="127" spans="1:9" x14ac:dyDescent="0.25">
      <c r="A127" s="35" t="s">
        <v>153</v>
      </c>
      <c r="B127" s="35" t="s">
        <v>37</v>
      </c>
      <c r="C127" s="35" t="s">
        <v>6</v>
      </c>
      <c r="D127" s="35" t="s">
        <v>6</v>
      </c>
      <c r="E127" s="35" t="s">
        <v>164</v>
      </c>
      <c r="F127" s="35" t="s">
        <v>7</v>
      </c>
      <c r="G127" s="35" t="s">
        <v>20</v>
      </c>
      <c r="H127" s="35">
        <v>2</v>
      </c>
      <c r="I127" s="35" t="s">
        <v>40</v>
      </c>
    </row>
    <row r="128" spans="1:9" x14ac:dyDescent="0.25">
      <c r="A128" s="35" t="s">
        <v>153</v>
      </c>
      <c r="B128" s="35" t="s">
        <v>37</v>
      </c>
      <c r="C128" s="35" t="s">
        <v>6</v>
      </c>
      <c r="D128" s="35" t="s">
        <v>6</v>
      </c>
      <c r="E128" s="35" t="s">
        <v>164</v>
      </c>
      <c r="F128" s="35" t="s">
        <v>8</v>
      </c>
      <c r="G128" s="35" t="s">
        <v>109</v>
      </c>
      <c r="H128" s="35">
        <v>1</v>
      </c>
      <c r="I128" s="35" t="s">
        <v>40</v>
      </c>
    </row>
    <row r="129" spans="1:9" x14ac:dyDescent="0.25">
      <c r="A129" s="35" t="s">
        <v>153</v>
      </c>
      <c r="B129" s="35" t="s">
        <v>37</v>
      </c>
      <c r="C129" s="35" t="s">
        <v>6</v>
      </c>
      <c r="D129" s="35" t="s">
        <v>6</v>
      </c>
      <c r="E129" s="35" t="s">
        <v>164</v>
      </c>
      <c r="F129" s="35" t="s">
        <v>9</v>
      </c>
      <c r="G129" s="35" t="s">
        <v>21</v>
      </c>
      <c r="H129" s="35">
        <v>1</v>
      </c>
      <c r="I129" s="35" t="s">
        <v>40</v>
      </c>
    </row>
    <row r="130" spans="1:9" x14ac:dyDescent="0.25">
      <c r="A130" s="35" t="s">
        <v>153</v>
      </c>
      <c r="B130" s="35" t="s">
        <v>37</v>
      </c>
      <c r="C130" s="35" t="s">
        <v>6</v>
      </c>
      <c r="D130" s="35" t="s">
        <v>6</v>
      </c>
      <c r="E130" s="35" t="s">
        <v>164</v>
      </c>
      <c r="F130" s="35" t="s">
        <v>10</v>
      </c>
      <c r="G130" s="35" t="s">
        <v>112</v>
      </c>
      <c r="H130" s="35">
        <v>1</v>
      </c>
      <c r="I130" s="35" t="s">
        <v>40</v>
      </c>
    </row>
    <row r="131" spans="1:9" x14ac:dyDescent="0.25">
      <c r="A131" s="35" t="s">
        <v>153</v>
      </c>
      <c r="B131" s="35" t="s">
        <v>37</v>
      </c>
      <c r="C131" s="35" t="s">
        <v>6</v>
      </c>
      <c r="D131" s="35" t="s">
        <v>6</v>
      </c>
      <c r="E131" s="35" t="s">
        <v>164</v>
      </c>
      <c r="F131" s="35" t="s">
        <v>11</v>
      </c>
      <c r="G131" s="35" t="s">
        <v>23</v>
      </c>
      <c r="H131" s="35">
        <v>0</v>
      </c>
      <c r="I131" s="35" t="s">
        <v>40</v>
      </c>
    </row>
    <row r="132" spans="1:9" x14ac:dyDescent="0.25">
      <c r="A132" s="33" t="s">
        <v>153</v>
      </c>
      <c r="B132" s="33" t="s">
        <v>37</v>
      </c>
      <c r="C132" s="33" t="s">
        <v>6</v>
      </c>
      <c r="D132" s="33" t="s">
        <v>0</v>
      </c>
      <c r="E132" s="33" t="s">
        <v>134</v>
      </c>
      <c r="F132" s="33" t="s">
        <v>1</v>
      </c>
      <c r="G132" s="33" t="s">
        <v>122</v>
      </c>
      <c r="H132" s="33">
        <v>1</v>
      </c>
      <c r="I132" s="33" t="s">
        <v>40</v>
      </c>
    </row>
    <row r="133" spans="1:9" x14ac:dyDescent="0.25">
      <c r="A133" s="33" t="s">
        <v>153</v>
      </c>
      <c r="B133" s="33" t="s">
        <v>37</v>
      </c>
      <c r="C133" s="33" t="s">
        <v>6</v>
      </c>
      <c r="D133" s="33" t="s">
        <v>0</v>
      </c>
      <c r="E133" s="33" t="s">
        <v>134</v>
      </c>
      <c r="F133" s="33" t="s">
        <v>2</v>
      </c>
      <c r="G133" s="33" t="s">
        <v>17</v>
      </c>
      <c r="H133" s="33">
        <v>1</v>
      </c>
      <c r="I133" s="33" t="s">
        <v>40</v>
      </c>
    </row>
    <row r="134" spans="1:9" x14ac:dyDescent="0.25">
      <c r="A134" s="33" t="s">
        <v>153</v>
      </c>
      <c r="B134" s="33" t="s">
        <v>37</v>
      </c>
      <c r="C134" s="33" t="s">
        <v>6</v>
      </c>
      <c r="D134" s="33" t="s">
        <v>0</v>
      </c>
      <c r="E134" s="33" t="s">
        <v>134</v>
      </c>
      <c r="F134" s="33" t="s">
        <v>3</v>
      </c>
      <c r="G134" s="33" t="s">
        <v>16</v>
      </c>
      <c r="H134" s="33">
        <v>0</v>
      </c>
      <c r="I134" s="33" t="s">
        <v>40</v>
      </c>
    </row>
    <row r="135" spans="1:9" x14ac:dyDescent="0.25">
      <c r="A135" s="33" t="s">
        <v>153</v>
      </c>
      <c r="B135" s="33" t="s">
        <v>37</v>
      </c>
      <c r="C135" s="33" t="s">
        <v>6</v>
      </c>
      <c r="D135" s="33" t="s">
        <v>0</v>
      </c>
      <c r="E135" s="33" t="s">
        <v>134</v>
      </c>
      <c r="F135" s="33" t="s">
        <v>4</v>
      </c>
      <c r="G135" s="33" t="s">
        <v>118</v>
      </c>
      <c r="H135" s="33">
        <v>0</v>
      </c>
      <c r="I135" s="33" t="s">
        <v>40</v>
      </c>
    </row>
    <row r="136" spans="1:9" x14ac:dyDescent="0.25">
      <c r="A136" s="33" t="s">
        <v>153</v>
      </c>
      <c r="B136" s="33" t="s">
        <v>37</v>
      </c>
      <c r="C136" s="33" t="s">
        <v>6</v>
      </c>
      <c r="D136" s="33" t="s">
        <v>0</v>
      </c>
      <c r="E136" s="33" t="s">
        <v>134</v>
      </c>
      <c r="F136" s="33" t="s">
        <v>5</v>
      </c>
      <c r="G136" s="33" t="s">
        <v>119</v>
      </c>
      <c r="H136" s="33">
        <v>1</v>
      </c>
      <c r="I136" s="33" t="s">
        <v>40</v>
      </c>
    </row>
    <row r="137" spans="1:9" x14ac:dyDescent="0.25">
      <c r="A137" s="33" t="s">
        <v>153</v>
      </c>
      <c r="B137" s="33" t="s">
        <v>37</v>
      </c>
      <c r="C137" s="33" t="s">
        <v>6</v>
      </c>
      <c r="D137" s="33" t="s">
        <v>6</v>
      </c>
      <c r="E137" s="33" t="s">
        <v>164</v>
      </c>
      <c r="F137" s="33" t="s">
        <v>7</v>
      </c>
      <c r="G137" s="33" t="s">
        <v>20</v>
      </c>
      <c r="H137" s="33">
        <v>2</v>
      </c>
      <c r="I137" s="33" t="s">
        <v>40</v>
      </c>
    </row>
    <row r="138" spans="1:9" x14ac:dyDescent="0.25">
      <c r="A138" s="33" t="s">
        <v>153</v>
      </c>
      <c r="B138" s="33" t="s">
        <v>37</v>
      </c>
      <c r="C138" s="33" t="s">
        <v>6</v>
      </c>
      <c r="D138" s="33" t="s">
        <v>6</v>
      </c>
      <c r="E138" s="33" t="s">
        <v>164</v>
      </c>
      <c r="F138" s="33" t="s">
        <v>8</v>
      </c>
      <c r="G138" s="33" t="s">
        <v>109</v>
      </c>
      <c r="H138" s="33">
        <v>1</v>
      </c>
      <c r="I138" s="33" t="s">
        <v>40</v>
      </c>
    </row>
    <row r="139" spans="1:9" x14ac:dyDescent="0.25">
      <c r="A139" s="33" t="s">
        <v>153</v>
      </c>
      <c r="B139" s="33" t="s">
        <v>37</v>
      </c>
      <c r="C139" s="33" t="s">
        <v>6</v>
      </c>
      <c r="D139" s="33" t="s">
        <v>6</v>
      </c>
      <c r="E139" s="33" t="s">
        <v>164</v>
      </c>
      <c r="F139" s="33" t="s">
        <v>9</v>
      </c>
      <c r="G139" s="33" t="s">
        <v>21</v>
      </c>
      <c r="H139" s="33">
        <v>1</v>
      </c>
      <c r="I139" s="33" t="s">
        <v>40</v>
      </c>
    </row>
    <row r="140" spans="1:9" x14ac:dyDescent="0.25">
      <c r="A140" s="33" t="s">
        <v>153</v>
      </c>
      <c r="B140" s="33" t="s">
        <v>37</v>
      </c>
      <c r="C140" s="33" t="s">
        <v>6</v>
      </c>
      <c r="D140" s="33" t="s">
        <v>6</v>
      </c>
      <c r="E140" s="33" t="s">
        <v>164</v>
      </c>
      <c r="F140" s="33" t="s">
        <v>10</v>
      </c>
      <c r="G140" s="33" t="s">
        <v>112</v>
      </c>
      <c r="H140" s="33">
        <v>1</v>
      </c>
      <c r="I140" s="33" t="s">
        <v>40</v>
      </c>
    </row>
    <row r="141" spans="1:9" x14ac:dyDescent="0.25">
      <c r="A141" s="33" t="s">
        <v>153</v>
      </c>
      <c r="B141" s="33" t="s">
        <v>37</v>
      </c>
      <c r="C141" s="33" t="s">
        <v>6</v>
      </c>
      <c r="D141" s="33" t="s">
        <v>6</v>
      </c>
      <c r="E141" s="33" t="s">
        <v>164</v>
      </c>
      <c r="F141" s="33" t="s">
        <v>11</v>
      </c>
      <c r="G141" s="33" t="s">
        <v>23</v>
      </c>
      <c r="H141" s="33">
        <v>0</v>
      </c>
      <c r="I141" s="33" t="s">
        <v>40</v>
      </c>
    </row>
    <row r="142" spans="1:9" x14ac:dyDescent="0.25">
      <c r="A142" s="33" t="s">
        <v>153</v>
      </c>
      <c r="B142" s="33" t="s">
        <v>37</v>
      </c>
      <c r="C142" s="33" t="s">
        <v>6</v>
      </c>
      <c r="D142" s="33" t="s">
        <v>0</v>
      </c>
      <c r="E142" s="33" t="s">
        <v>134</v>
      </c>
      <c r="F142" s="33" t="s">
        <v>1</v>
      </c>
      <c r="G142" s="33" t="s">
        <v>122</v>
      </c>
      <c r="H142" s="33">
        <v>1</v>
      </c>
      <c r="I142" s="33" t="s">
        <v>40</v>
      </c>
    </row>
    <row r="143" spans="1:9" x14ac:dyDescent="0.25">
      <c r="A143" s="33" t="s">
        <v>153</v>
      </c>
      <c r="B143" s="33" t="s">
        <v>37</v>
      </c>
      <c r="C143" s="33" t="s">
        <v>6</v>
      </c>
      <c r="D143" s="33" t="s">
        <v>0</v>
      </c>
      <c r="E143" s="33" t="s">
        <v>134</v>
      </c>
      <c r="F143" s="33" t="s">
        <v>2</v>
      </c>
      <c r="G143" s="33" t="s">
        <v>17</v>
      </c>
      <c r="H143" s="33">
        <v>1</v>
      </c>
      <c r="I143" s="33" t="s">
        <v>40</v>
      </c>
    </row>
    <row r="144" spans="1:9" x14ac:dyDescent="0.25">
      <c r="A144" s="33" t="s">
        <v>153</v>
      </c>
      <c r="B144" s="33" t="s">
        <v>37</v>
      </c>
      <c r="C144" s="33" t="s">
        <v>6</v>
      </c>
      <c r="D144" s="33" t="s">
        <v>0</v>
      </c>
      <c r="E144" s="33" t="s">
        <v>134</v>
      </c>
      <c r="F144" s="33" t="s">
        <v>3</v>
      </c>
      <c r="G144" s="33" t="s">
        <v>16</v>
      </c>
      <c r="H144" s="33">
        <v>0</v>
      </c>
      <c r="I144" s="33" t="s">
        <v>40</v>
      </c>
    </row>
    <row r="145" spans="1:9" x14ac:dyDescent="0.25">
      <c r="A145" s="33" t="s">
        <v>153</v>
      </c>
      <c r="B145" s="33" t="s">
        <v>37</v>
      </c>
      <c r="C145" s="33" t="s">
        <v>6</v>
      </c>
      <c r="D145" s="33" t="s">
        <v>0</v>
      </c>
      <c r="E145" s="33" t="s">
        <v>134</v>
      </c>
      <c r="F145" s="33" t="s">
        <v>4</v>
      </c>
      <c r="G145" s="33" t="s">
        <v>118</v>
      </c>
      <c r="H145" s="33">
        <v>0</v>
      </c>
      <c r="I145" s="33" t="s">
        <v>40</v>
      </c>
    </row>
    <row r="146" spans="1:9" x14ac:dyDescent="0.25">
      <c r="A146" s="33" t="s">
        <v>153</v>
      </c>
      <c r="B146" s="33" t="s">
        <v>37</v>
      </c>
      <c r="C146" s="33" t="s">
        <v>6</v>
      </c>
      <c r="D146" s="33" t="s">
        <v>0</v>
      </c>
      <c r="E146" s="33" t="s">
        <v>134</v>
      </c>
      <c r="F146" s="33" t="s">
        <v>5</v>
      </c>
      <c r="G146" s="33" t="s">
        <v>119</v>
      </c>
      <c r="H146" s="33">
        <v>1</v>
      </c>
      <c r="I146" s="33" t="s">
        <v>40</v>
      </c>
    </row>
    <row r="147" spans="1:9" x14ac:dyDescent="0.25">
      <c r="A147" s="33" t="s">
        <v>153</v>
      </c>
      <c r="B147" s="33" t="s">
        <v>37</v>
      </c>
      <c r="C147" s="33" t="s">
        <v>6</v>
      </c>
      <c r="D147" s="33" t="s">
        <v>6</v>
      </c>
      <c r="E147" s="33" t="s">
        <v>164</v>
      </c>
      <c r="F147" s="33" t="s">
        <v>7</v>
      </c>
      <c r="G147" s="33" t="s">
        <v>20</v>
      </c>
      <c r="H147" s="33">
        <v>2</v>
      </c>
      <c r="I147" s="33" t="s">
        <v>40</v>
      </c>
    </row>
    <row r="148" spans="1:9" x14ac:dyDescent="0.25">
      <c r="A148" s="33" t="s">
        <v>153</v>
      </c>
      <c r="B148" s="33" t="s">
        <v>37</v>
      </c>
      <c r="C148" s="33" t="s">
        <v>6</v>
      </c>
      <c r="D148" s="33" t="s">
        <v>6</v>
      </c>
      <c r="E148" s="33" t="s">
        <v>164</v>
      </c>
      <c r="F148" s="33" t="s">
        <v>8</v>
      </c>
      <c r="G148" s="33" t="s">
        <v>109</v>
      </c>
      <c r="H148" s="33">
        <v>1</v>
      </c>
      <c r="I148" s="33" t="s">
        <v>40</v>
      </c>
    </row>
    <row r="149" spans="1:9" x14ac:dyDescent="0.25">
      <c r="A149" s="33" t="s">
        <v>153</v>
      </c>
      <c r="B149" s="33" t="s">
        <v>37</v>
      </c>
      <c r="C149" s="33" t="s">
        <v>6</v>
      </c>
      <c r="D149" s="33" t="s">
        <v>6</v>
      </c>
      <c r="E149" s="33" t="s">
        <v>164</v>
      </c>
      <c r="F149" s="33" t="s">
        <v>9</v>
      </c>
      <c r="G149" s="33" t="s">
        <v>21</v>
      </c>
      <c r="H149" s="33">
        <v>1</v>
      </c>
      <c r="I149" s="33" t="s">
        <v>40</v>
      </c>
    </row>
    <row r="150" spans="1:9" x14ac:dyDescent="0.25">
      <c r="A150" s="33" t="s">
        <v>153</v>
      </c>
      <c r="B150" s="33" t="s">
        <v>37</v>
      </c>
      <c r="C150" s="33" t="s">
        <v>6</v>
      </c>
      <c r="D150" s="33" t="s">
        <v>6</v>
      </c>
      <c r="E150" s="33" t="s">
        <v>164</v>
      </c>
      <c r="F150" s="33" t="s">
        <v>10</v>
      </c>
      <c r="G150" s="33" t="s">
        <v>112</v>
      </c>
      <c r="H150" s="33">
        <v>1</v>
      </c>
      <c r="I150" s="33" t="s">
        <v>40</v>
      </c>
    </row>
    <row r="151" spans="1:9" x14ac:dyDescent="0.25">
      <c r="A151" s="33" t="s">
        <v>153</v>
      </c>
      <c r="B151" s="33" t="s">
        <v>37</v>
      </c>
      <c r="C151" s="33" t="s">
        <v>6</v>
      </c>
      <c r="D151" s="33" t="s">
        <v>6</v>
      </c>
      <c r="E151" s="33" t="s">
        <v>164</v>
      </c>
      <c r="F151" s="33" t="s">
        <v>11</v>
      </c>
      <c r="G151" s="33" t="s">
        <v>23</v>
      </c>
      <c r="H151" s="33">
        <v>0</v>
      </c>
      <c r="I151" s="33" t="s">
        <v>40</v>
      </c>
    </row>
    <row r="152" spans="1:9" x14ac:dyDescent="0.25">
      <c r="A152" s="33" t="s">
        <v>153</v>
      </c>
      <c r="B152" s="33" t="s">
        <v>37</v>
      </c>
      <c r="C152" s="33" t="s">
        <v>6</v>
      </c>
      <c r="D152" s="33" t="s">
        <v>0</v>
      </c>
      <c r="E152" s="33" t="s">
        <v>134</v>
      </c>
      <c r="F152" s="33" t="s">
        <v>1</v>
      </c>
      <c r="G152" s="33" t="s">
        <v>122</v>
      </c>
      <c r="H152" s="33">
        <v>1</v>
      </c>
      <c r="I152" s="33" t="s">
        <v>40</v>
      </c>
    </row>
    <row r="153" spans="1:9" x14ac:dyDescent="0.25">
      <c r="A153" s="33" t="s">
        <v>153</v>
      </c>
      <c r="B153" s="33" t="s">
        <v>37</v>
      </c>
      <c r="C153" s="33" t="s">
        <v>6</v>
      </c>
      <c r="D153" s="33" t="s">
        <v>0</v>
      </c>
      <c r="E153" s="33" t="s">
        <v>134</v>
      </c>
      <c r="F153" s="33" t="s">
        <v>2</v>
      </c>
      <c r="G153" s="33" t="s">
        <v>17</v>
      </c>
      <c r="H153" s="33">
        <v>1</v>
      </c>
      <c r="I153" s="33" t="s">
        <v>40</v>
      </c>
    </row>
    <row r="154" spans="1:9" x14ac:dyDescent="0.25">
      <c r="A154" s="33" t="s">
        <v>153</v>
      </c>
      <c r="B154" s="33" t="s">
        <v>37</v>
      </c>
      <c r="C154" s="33" t="s">
        <v>6</v>
      </c>
      <c r="D154" s="33" t="s">
        <v>0</v>
      </c>
      <c r="E154" s="33" t="s">
        <v>134</v>
      </c>
      <c r="F154" s="33" t="s">
        <v>3</v>
      </c>
      <c r="G154" s="33" t="s">
        <v>16</v>
      </c>
      <c r="H154" s="33">
        <v>0</v>
      </c>
      <c r="I154" s="33" t="s">
        <v>40</v>
      </c>
    </row>
    <row r="155" spans="1:9" x14ac:dyDescent="0.25">
      <c r="A155" s="33" t="s">
        <v>153</v>
      </c>
      <c r="B155" s="33" t="s">
        <v>37</v>
      </c>
      <c r="C155" s="33" t="s">
        <v>6</v>
      </c>
      <c r="D155" s="33" t="s">
        <v>0</v>
      </c>
      <c r="E155" s="33" t="s">
        <v>134</v>
      </c>
      <c r="F155" s="33" t="s">
        <v>4</v>
      </c>
      <c r="G155" s="33" t="s">
        <v>118</v>
      </c>
      <c r="H155" s="33">
        <v>0</v>
      </c>
      <c r="I155" s="33" t="s">
        <v>40</v>
      </c>
    </row>
    <row r="156" spans="1:9" x14ac:dyDescent="0.25">
      <c r="A156" s="33" t="s">
        <v>153</v>
      </c>
      <c r="B156" s="33" t="s">
        <v>37</v>
      </c>
      <c r="C156" s="33" t="s">
        <v>6</v>
      </c>
      <c r="D156" s="33" t="s">
        <v>0</v>
      </c>
      <c r="E156" s="33" t="s">
        <v>134</v>
      </c>
      <c r="F156" s="33" t="s">
        <v>5</v>
      </c>
      <c r="G156" s="33" t="s">
        <v>119</v>
      </c>
      <c r="H156" s="33">
        <v>1</v>
      </c>
      <c r="I156" s="33" t="s">
        <v>40</v>
      </c>
    </row>
    <row r="157" spans="1:9" x14ac:dyDescent="0.25">
      <c r="A157" s="33" t="s">
        <v>153</v>
      </c>
      <c r="B157" s="33" t="s">
        <v>37</v>
      </c>
      <c r="C157" s="33" t="s">
        <v>6</v>
      </c>
      <c r="D157" s="33" t="s">
        <v>6</v>
      </c>
      <c r="E157" s="33" t="s">
        <v>164</v>
      </c>
      <c r="F157" s="33" t="s">
        <v>7</v>
      </c>
      <c r="G157" s="33" t="s">
        <v>20</v>
      </c>
      <c r="H157" s="33">
        <v>2</v>
      </c>
      <c r="I157" s="33" t="s">
        <v>40</v>
      </c>
    </row>
    <row r="158" spans="1:9" x14ac:dyDescent="0.25">
      <c r="A158" s="33" t="s">
        <v>153</v>
      </c>
      <c r="B158" s="33" t="s">
        <v>37</v>
      </c>
      <c r="C158" s="33" t="s">
        <v>6</v>
      </c>
      <c r="D158" s="33" t="s">
        <v>6</v>
      </c>
      <c r="E158" s="33" t="s">
        <v>164</v>
      </c>
      <c r="F158" s="33" t="s">
        <v>8</v>
      </c>
      <c r="G158" s="33" t="s">
        <v>109</v>
      </c>
      <c r="H158" s="33">
        <v>1</v>
      </c>
      <c r="I158" s="33" t="s">
        <v>40</v>
      </c>
    </row>
    <row r="159" spans="1:9" x14ac:dyDescent="0.25">
      <c r="A159" s="33" t="s">
        <v>153</v>
      </c>
      <c r="B159" s="33" t="s">
        <v>37</v>
      </c>
      <c r="C159" s="33" t="s">
        <v>6</v>
      </c>
      <c r="D159" s="33" t="s">
        <v>6</v>
      </c>
      <c r="E159" s="33" t="s">
        <v>164</v>
      </c>
      <c r="F159" s="33" t="s">
        <v>9</v>
      </c>
      <c r="G159" s="33" t="s">
        <v>21</v>
      </c>
      <c r="H159" s="33">
        <v>1</v>
      </c>
      <c r="I159" s="33" t="s">
        <v>40</v>
      </c>
    </row>
    <row r="160" spans="1:9" x14ac:dyDescent="0.25">
      <c r="A160" s="33" t="s">
        <v>153</v>
      </c>
      <c r="B160" s="33" t="s">
        <v>37</v>
      </c>
      <c r="C160" s="33" t="s">
        <v>6</v>
      </c>
      <c r="D160" s="33" t="s">
        <v>6</v>
      </c>
      <c r="E160" s="33" t="s">
        <v>164</v>
      </c>
      <c r="F160" s="33" t="s">
        <v>10</v>
      </c>
      <c r="G160" s="33" t="s">
        <v>112</v>
      </c>
      <c r="H160" s="33">
        <v>1</v>
      </c>
      <c r="I160" s="33" t="s">
        <v>40</v>
      </c>
    </row>
    <row r="161" spans="1:9" x14ac:dyDescent="0.25">
      <c r="A161" s="33" t="s">
        <v>153</v>
      </c>
      <c r="B161" s="33" t="s">
        <v>37</v>
      </c>
      <c r="C161" s="33" t="s">
        <v>6</v>
      </c>
      <c r="D161" s="33" t="s">
        <v>6</v>
      </c>
      <c r="E161" s="33" t="s">
        <v>164</v>
      </c>
      <c r="F161" s="33" t="s">
        <v>11</v>
      </c>
      <c r="G161" s="33" t="s">
        <v>23</v>
      </c>
      <c r="H161" s="33">
        <v>0</v>
      </c>
      <c r="I161" s="33" t="s">
        <v>40</v>
      </c>
    </row>
    <row r="162" spans="1:9" x14ac:dyDescent="0.25">
      <c r="A162" s="33" t="s">
        <v>153</v>
      </c>
      <c r="B162" s="33" t="s">
        <v>37</v>
      </c>
      <c r="C162" s="33" t="s">
        <v>6</v>
      </c>
      <c r="D162" s="33" t="s">
        <v>0</v>
      </c>
      <c r="E162" s="33" t="s">
        <v>134</v>
      </c>
      <c r="F162" s="33" t="s">
        <v>1</v>
      </c>
      <c r="G162" s="33" t="s">
        <v>122</v>
      </c>
      <c r="H162" s="33">
        <v>1</v>
      </c>
      <c r="I162" s="33" t="s">
        <v>40</v>
      </c>
    </row>
    <row r="163" spans="1:9" x14ac:dyDescent="0.25">
      <c r="A163" s="33" t="s">
        <v>153</v>
      </c>
      <c r="B163" s="33" t="s">
        <v>37</v>
      </c>
      <c r="C163" s="33" t="s">
        <v>6</v>
      </c>
      <c r="D163" s="33" t="s">
        <v>0</v>
      </c>
      <c r="E163" s="33" t="s">
        <v>134</v>
      </c>
      <c r="F163" s="33" t="s">
        <v>2</v>
      </c>
      <c r="G163" s="33" t="s">
        <v>17</v>
      </c>
      <c r="H163" s="33">
        <v>1</v>
      </c>
      <c r="I163" s="33" t="s">
        <v>40</v>
      </c>
    </row>
    <row r="164" spans="1:9" x14ac:dyDescent="0.25">
      <c r="A164" s="33" t="s">
        <v>153</v>
      </c>
      <c r="B164" s="33" t="s">
        <v>37</v>
      </c>
      <c r="C164" s="33" t="s">
        <v>6</v>
      </c>
      <c r="D164" s="33" t="s">
        <v>0</v>
      </c>
      <c r="E164" s="33" t="s">
        <v>134</v>
      </c>
      <c r="F164" s="33" t="s">
        <v>3</v>
      </c>
      <c r="G164" s="33" t="s">
        <v>16</v>
      </c>
      <c r="H164" s="33">
        <v>0</v>
      </c>
      <c r="I164" s="33" t="s">
        <v>40</v>
      </c>
    </row>
    <row r="165" spans="1:9" x14ac:dyDescent="0.25">
      <c r="A165" s="33" t="s">
        <v>153</v>
      </c>
      <c r="B165" s="33" t="s">
        <v>37</v>
      </c>
      <c r="C165" s="33" t="s">
        <v>6</v>
      </c>
      <c r="D165" s="33" t="s">
        <v>0</v>
      </c>
      <c r="E165" s="33" t="s">
        <v>134</v>
      </c>
      <c r="F165" s="33" t="s">
        <v>4</v>
      </c>
      <c r="G165" s="33" t="s">
        <v>118</v>
      </c>
      <c r="H165" s="33">
        <v>0</v>
      </c>
      <c r="I165" s="33" t="s">
        <v>40</v>
      </c>
    </row>
    <row r="166" spans="1:9" x14ac:dyDescent="0.25">
      <c r="A166" s="33" t="s">
        <v>153</v>
      </c>
      <c r="B166" s="33" t="s">
        <v>37</v>
      </c>
      <c r="C166" s="33" t="s">
        <v>6</v>
      </c>
      <c r="D166" s="33" t="s">
        <v>0</v>
      </c>
      <c r="E166" s="33" t="s">
        <v>134</v>
      </c>
      <c r="F166" s="33" t="s">
        <v>5</v>
      </c>
      <c r="G166" s="33" t="s">
        <v>119</v>
      </c>
      <c r="H166" s="33">
        <v>1</v>
      </c>
      <c r="I166" s="33" t="s">
        <v>40</v>
      </c>
    </row>
    <row r="167" spans="1:9" x14ac:dyDescent="0.25">
      <c r="A167" s="33" t="s">
        <v>153</v>
      </c>
      <c r="B167" s="33" t="s">
        <v>37</v>
      </c>
      <c r="C167" s="33" t="s">
        <v>6</v>
      </c>
      <c r="D167" s="33" t="s">
        <v>6</v>
      </c>
      <c r="E167" s="33" t="s">
        <v>164</v>
      </c>
      <c r="F167" s="33" t="s">
        <v>7</v>
      </c>
      <c r="G167" s="33" t="s">
        <v>20</v>
      </c>
      <c r="H167" s="33">
        <v>2</v>
      </c>
      <c r="I167" s="33" t="s">
        <v>40</v>
      </c>
    </row>
    <row r="168" spans="1:9" x14ac:dyDescent="0.25">
      <c r="A168" s="33" t="s">
        <v>153</v>
      </c>
      <c r="B168" s="33" t="s">
        <v>37</v>
      </c>
      <c r="C168" s="33" t="s">
        <v>6</v>
      </c>
      <c r="D168" s="33" t="s">
        <v>6</v>
      </c>
      <c r="E168" s="33" t="s">
        <v>164</v>
      </c>
      <c r="F168" s="33" t="s">
        <v>8</v>
      </c>
      <c r="G168" s="33" t="s">
        <v>109</v>
      </c>
      <c r="H168" s="33">
        <v>1</v>
      </c>
      <c r="I168" s="33" t="s">
        <v>40</v>
      </c>
    </row>
    <row r="169" spans="1:9" x14ac:dyDescent="0.25">
      <c r="A169" s="33" t="s">
        <v>153</v>
      </c>
      <c r="B169" s="33" t="s">
        <v>37</v>
      </c>
      <c r="C169" s="33" t="s">
        <v>6</v>
      </c>
      <c r="D169" s="33" t="s">
        <v>6</v>
      </c>
      <c r="E169" s="33" t="s">
        <v>164</v>
      </c>
      <c r="F169" s="33" t="s">
        <v>9</v>
      </c>
      <c r="G169" s="33" t="s">
        <v>21</v>
      </c>
      <c r="H169" s="33">
        <v>1</v>
      </c>
      <c r="I169" s="33" t="s">
        <v>40</v>
      </c>
    </row>
    <row r="170" spans="1:9" x14ac:dyDescent="0.25">
      <c r="A170" s="33" t="s">
        <v>153</v>
      </c>
      <c r="B170" s="33" t="s">
        <v>37</v>
      </c>
      <c r="C170" s="33" t="s">
        <v>6</v>
      </c>
      <c r="D170" s="33" t="s">
        <v>6</v>
      </c>
      <c r="E170" s="33" t="s">
        <v>164</v>
      </c>
      <c r="F170" s="33" t="s">
        <v>10</v>
      </c>
      <c r="G170" s="33" t="s">
        <v>112</v>
      </c>
      <c r="H170" s="33">
        <v>1</v>
      </c>
      <c r="I170" s="33" t="s">
        <v>40</v>
      </c>
    </row>
    <row r="171" spans="1:9" x14ac:dyDescent="0.25">
      <c r="A171" s="33" t="s">
        <v>153</v>
      </c>
      <c r="B171" s="33" t="s">
        <v>37</v>
      </c>
      <c r="C171" s="33" t="s">
        <v>6</v>
      </c>
      <c r="D171" s="33" t="s">
        <v>6</v>
      </c>
      <c r="E171" s="33" t="s">
        <v>164</v>
      </c>
      <c r="F171" s="33" t="s">
        <v>11</v>
      </c>
      <c r="G171" s="33" t="s">
        <v>23</v>
      </c>
      <c r="H171" s="33">
        <v>0</v>
      </c>
      <c r="I171" s="33" t="s">
        <v>40</v>
      </c>
    </row>
    <row r="172" spans="1:9" x14ac:dyDescent="0.25">
      <c r="A172" s="33" t="s">
        <v>166</v>
      </c>
      <c r="B172" s="33" t="s">
        <v>37</v>
      </c>
      <c r="C172" s="33" t="s">
        <v>6</v>
      </c>
      <c r="D172" s="33" t="s">
        <v>0</v>
      </c>
      <c r="E172" s="33" t="s">
        <v>164</v>
      </c>
      <c r="F172" s="33" t="s">
        <v>1</v>
      </c>
      <c r="G172" s="33" t="s">
        <v>21</v>
      </c>
      <c r="H172" s="33">
        <v>3</v>
      </c>
      <c r="I172" s="33" t="s">
        <v>40</v>
      </c>
    </row>
    <row r="173" spans="1:9" x14ac:dyDescent="0.25">
      <c r="A173" s="33" t="s">
        <v>166</v>
      </c>
      <c r="B173" s="33" t="s">
        <v>37</v>
      </c>
      <c r="C173" s="33" t="s">
        <v>6</v>
      </c>
      <c r="D173" s="33" t="s">
        <v>0</v>
      </c>
      <c r="E173" s="33" t="s">
        <v>164</v>
      </c>
      <c r="F173" s="33" t="s">
        <v>2</v>
      </c>
      <c r="G173" s="33" t="s">
        <v>20</v>
      </c>
      <c r="H173" s="33">
        <v>1</v>
      </c>
      <c r="I173" s="33" t="s">
        <v>40</v>
      </c>
    </row>
    <row r="174" spans="1:9" x14ac:dyDescent="0.25">
      <c r="A174" s="33" t="s">
        <v>166</v>
      </c>
      <c r="B174" s="33" t="s">
        <v>37</v>
      </c>
      <c r="C174" s="33" t="s">
        <v>6</v>
      </c>
      <c r="D174" s="33" t="s">
        <v>0</v>
      </c>
      <c r="E174" s="33" t="s">
        <v>164</v>
      </c>
      <c r="F174" s="33" t="s">
        <v>3</v>
      </c>
      <c r="G174" s="33" t="s">
        <v>109</v>
      </c>
      <c r="H174" s="33">
        <v>1</v>
      </c>
      <c r="I174" s="33" t="s">
        <v>40</v>
      </c>
    </row>
    <row r="175" spans="1:9" x14ac:dyDescent="0.25">
      <c r="A175" s="33" t="s">
        <v>166</v>
      </c>
      <c r="B175" s="33" t="s">
        <v>37</v>
      </c>
      <c r="C175" s="33" t="s">
        <v>6</v>
      </c>
      <c r="D175" s="33" t="s">
        <v>0</v>
      </c>
      <c r="E175" s="33" t="s">
        <v>164</v>
      </c>
      <c r="F175" s="33" t="s">
        <v>4</v>
      </c>
      <c r="G175" s="33" t="s">
        <v>112</v>
      </c>
      <c r="H175" s="33">
        <v>0</v>
      </c>
      <c r="I175" s="33" t="s">
        <v>40</v>
      </c>
    </row>
    <row r="176" spans="1:9" x14ac:dyDescent="0.25">
      <c r="A176" s="33" t="s">
        <v>166</v>
      </c>
      <c r="B176" s="33" t="s">
        <v>37</v>
      </c>
      <c r="C176" s="33" t="s">
        <v>6</v>
      </c>
      <c r="D176" s="33" t="s">
        <v>0</v>
      </c>
      <c r="E176" s="33" t="s">
        <v>164</v>
      </c>
      <c r="F176" s="33" t="s">
        <v>5</v>
      </c>
      <c r="G176" s="33" t="s">
        <v>23</v>
      </c>
      <c r="H176" s="33">
        <v>0</v>
      </c>
      <c r="I176" s="33" t="s">
        <v>40</v>
      </c>
    </row>
    <row r="177" spans="1:9" x14ac:dyDescent="0.25">
      <c r="A177" s="33" t="s">
        <v>166</v>
      </c>
      <c r="B177" s="33" t="s">
        <v>37</v>
      </c>
      <c r="C177" s="33" t="s">
        <v>6</v>
      </c>
      <c r="D177" s="33" t="s">
        <v>6</v>
      </c>
      <c r="E177" s="33" t="s">
        <v>134</v>
      </c>
      <c r="F177" s="33" t="s">
        <v>7</v>
      </c>
      <c r="G177" s="33" t="s">
        <v>18</v>
      </c>
      <c r="H177" s="33">
        <v>1</v>
      </c>
      <c r="I177" s="33" t="s">
        <v>40</v>
      </c>
    </row>
    <row r="178" spans="1:9" x14ac:dyDescent="0.25">
      <c r="A178" s="33" t="s">
        <v>166</v>
      </c>
      <c r="B178" s="33" t="s">
        <v>37</v>
      </c>
      <c r="C178" s="33" t="s">
        <v>6</v>
      </c>
      <c r="D178" s="33" t="s">
        <v>6</v>
      </c>
      <c r="E178" s="33" t="s">
        <v>134</v>
      </c>
      <c r="F178" s="33" t="s">
        <v>8</v>
      </c>
      <c r="G178" s="33" t="s">
        <v>17</v>
      </c>
      <c r="H178" s="33">
        <v>0</v>
      </c>
      <c r="I178" s="33" t="s">
        <v>40</v>
      </c>
    </row>
    <row r="179" spans="1:9" x14ac:dyDescent="0.25">
      <c r="A179" s="33" t="s">
        <v>166</v>
      </c>
      <c r="B179" s="33" t="s">
        <v>37</v>
      </c>
      <c r="C179" s="33" t="s">
        <v>6</v>
      </c>
      <c r="D179" s="33" t="s">
        <v>6</v>
      </c>
      <c r="E179" s="33" t="s">
        <v>134</v>
      </c>
      <c r="F179" s="33" t="s">
        <v>9</v>
      </c>
      <c r="G179" s="33" t="s">
        <v>15</v>
      </c>
      <c r="H179" s="33">
        <v>2</v>
      </c>
      <c r="I179" s="33" t="s">
        <v>40</v>
      </c>
    </row>
    <row r="180" spans="1:9" x14ac:dyDescent="0.25">
      <c r="A180" s="33" t="s">
        <v>166</v>
      </c>
      <c r="B180" s="33" t="s">
        <v>37</v>
      </c>
      <c r="C180" s="33" t="s">
        <v>6</v>
      </c>
      <c r="D180" s="33" t="s">
        <v>6</v>
      </c>
      <c r="E180" s="33" t="s">
        <v>134</v>
      </c>
      <c r="F180" s="33" t="s">
        <v>10</v>
      </c>
      <c r="G180" s="33" t="s">
        <v>122</v>
      </c>
      <c r="H180" s="33">
        <v>0</v>
      </c>
      <c r="I180" s="33" t="s">
        <v>40</v>
      </c>
    </row>
    <row r="181" spans="1:9" x14ac:dyDescent="0.25">
      <c r="A181" s="33" t="s">
        <v>166</v>
      </c>
      <c r="B181" s="33" t="s">
        <v>37</v>
      </c>
      <c r="C181" s="33" t="s">
        <v>6</v>
      </c>
      <c r="D181" s="33" t="s">
        <v>6</v>
      </c>
      <c r="E181" s="33" t="s">
        <v>134</v>
      </c>
      <c r="F181" s="33" t="s">
        <v>11</v>
      </c>
      <c r="G181" s="33" t="s">
        <v>130</v>
      </c>
      <c r="H181" s="33">
        <v>2</v>
      </c>
      <c r="I181" s="33" t="s">
        <v>40</v>
      </c>
    </row>
    <row r="182" spans="1:9" x14ac:dyDescent="0.25">
      <c r="A182" s="33" t="s">
        <v>167</v>
      </c>
      <c r="B182" s="33" t="s">
        <v>37</v>
      </c>
      <c r="C182" s="33" t="s">
        <v>6</v>
      </c>
      <c r="D182" s="33" t="s">
        <v>0</v>
      </c>
      <c r="E182" s="33" t="s">
        <v>134</v>
      </c>
      <c r="F182" s="33" t="s">
        <v>1</v>
      </c>
      <c r="G182" s="33" t="s">
        <v>15</v>
      </c>
      <c r="H182" s="33">
        <v>2</v>
      </c>
      <c r="I182" s="33" t="s">
        <v>40</v>
      </c>
    </row>
    <row r="183" spans="1:9" x14ac:dyDescent="0.25">
      <c r="A183" s="33" t="s">
        <v>167</v>
      </c>
      <c r="B183" s="33" t="s">
        <v>37</v>
      </c>
      <c r="C183" s="33" t="s">
        <v>6</v>
      </c>
      <c r="D183" s="33" t="s">
        <v>0</v>
      </c>
      <c r="E183" s="33" t="s">
        <v>134</v>
      </c>
      <c r="F183" s="33" t="s">
        <v>2</v>
      </c>
      <c r="G183" s="33" t="s">
        <v>16</v>
      </c>
      <c r="H183" s="33">
        <v>0</v>
      </c>
      <c r="I183" s="33" t="s">
        <v>40</v>
      </c>
    </row>
    <row r="184" spans="1:9" x14ac:dyDescent="0.25">
      <c r="A184" s="33" t="s">
        <v>167</v>
      </c>
      <c r="B184" s="33" t="s">
        <v>37</v>
      </c>
      <c r="C184" s="33" t="s">
        <v>6</v>
      </c>
      <c r="D184" s="33" t="s">
        <v>0</v>
      </c>
      <c r="E184" s="33" t="s">
        <v>134</v>
      </c>
      <c r="F184" s="33" t="s">
        <v>3</v>
      </c>
      <c r="G184" s="33" t="s">
        <v>17</v>
      </c>
      <c r="H184" s="33">
        <v>2</v>
      </c>
      <c r="I184" s="33" t="s">
        <v>40</v>
      </c>
    </row>
    <row r="185" spans="1:9" x14ac:dyDescent="0.25">
      <c r="A185" s="33" t="s">
        <v>167</v>
      </c>
      <c r="B185" s="33" t="s">
        <v>37</v>
      </c>
      <c r="C185" s="33" t="s">
        <v>6</v>
      </c>
      <c r="D185" s="33" t="s">
        <v>0</v>
      </c>
      <c r="E185" s="33" t="s">
        <v>134</v>
      </c>
      <c r="F185" s="33" t="s">
        <v>4</v>
      </c>
      <c r="G185" s="33" t="s">
        <v>122</v>
      </c>
      <c r="H185" s="33">
        <v>0</v>
      </c>
      <c r="I185" s="33" t="s">
        <v>40</v>
      </c>
    </row>
    <row r="186" spans="1:9" x14ac:dyDescent="0.25">
      <c r="A186" s="33" t="s">
        <v>167</v>
      </c>
      <c r="B186" s="33" t="s">
        <v>37</v>
      </c>
      <c r="C186" s="33" t="s">
        <v>6</v>
      </c>
      <c r="D186" s="33" t="s">
        <v>0</v>
      </c>
      <c r="E186" s="33" t="s">
        <v>134</v>
      </c>
      <c r="F186" s="33" t="s">
        <v>5</v>
      </c>
      <c r="G186" s="33" t="s">
        <v>18</v>
      </c>
      <c r="H186" s="33">
        <v>0</v>
      </c>
      <c r="I186" s="33" t="s">
        <v>40</v>
      </c>
    </row>
    <row r="187" spans="1:9" x14ac:dyDescent="0.25">
      <c r="A187" s="33" t="s">
        <v>167</v>
      </c>
      <c r="B187" s="33" t="s">
        <v>37</v>
      </c>
      <c r="C187" s="33" t="s">
        <v>6</v>
      </c>
      <c r="D187" s="33" t="s">
        <v>6</v>
      </c>
      <c r="E187" s="33" t="s">
        <v>164</v>
      </c>
      <c r="F187" s="33" t="s">
        <v>7</v>
      </c>
      <c r="G187" s="33" t="s">
        <v>20</v>
      </c>
      <c r="H187" s="33">
        <v>1</v>
      </c>
      <c r="I187" s="33" t="s">
        <v>40</v>
      </c>
    </row>
    <row r="188" spans="1:9" x14ac:dyDescent="0.25">
      <c r="A188" s="33" t="s">
        <v>167</v>
      </c>
      <c r="B188" s="33" t="s">
        <v>37</v>
      </c>
      <c r="C188" s="33" t="s">
        <v>6</v>
      </c>
      <c r="D188" s="33" t="s">
        <v>6</v>
      </c>
      <c r="E188" s="33" t="s">
        <v>164</v>
      </c>
      <c r="F188" s="33" t="s">
        <v>8</v>
      </c>
      <c r="G188" s="33" t="s">
        <v>109</v>
      </c>
      <c r="H188" s="33">
        <v>0</v>
      </c>
      <c r="I188" s="33" t="s">
        <v>40</v>
      </c>
    </row>
    <row r="189" spans="1:9" x14ac:dyDescent="0.25">
      <c r="A189" s="33" t="s">
        <v>167</v>
      </c>
      <c r="B189" s="33" t="s">
        <v>37</v>
      </c>
      <c r="C189" s="33" t="s">
        <v>6</v>
      </c>
      <c r="D189" s="33" t="s">
        <v>6</v>
      </c>
      <c r="E189" s="33" t="s">
        <v>164</v>
      </c>
      <c r="F189" s="33" t="s">
        <v>9</v>
      </c>
      <c r="G189" s="33" t="s">
        <v>21</v>
      </c>
      <c r="H189" s="33">
        <v>3</v>
      </c>
      <c r="I189" s="33" t="s">
        <v>40</v>
      </c>
    </row>
    <row r="190" spans="1:9" x14ac:dyDescent="0.25">
      <c r="A190" s="33" t="s">
        <v>167</v>
      </c>
      <c r="B190" s="33" t="s">
        <v>37</v>
      </c>
      <c r="C190" s="33" t="s">
        <v>6</v>
      </c>
      <c r="D190" s="33" t="s">
        <v>6</v>
      </c>
      <c r="E190" s="33" t="s">
        <v>164</v>
      </c>
      <c r="F190" s="33" t="s">
        <v>10</v>
      </c>
      <c r="G190" s="33" t="s">
        <v>112</v>
      </c>
      <c r="H190" s="33">
        <v>1</v>
      </c>
      <c r="I190" s="33" t="s">
        <v>40</v>
      </c>
    </row>
    <row r="191" spans="1:9" x14ac:dyDescent="0.25">
      <c r="A191" s="33" t="s">
        <v>167</v>
      </c>
      <c r="B191" s="33" t="s">
        <v>37</v>
      </c>
      <c r="C191" s="33" t="s">
        <v>6</v>
      </c>
      <c r="D191" s="33" t="s">
        <v>6</v>
      </c>
      <c r="E191" s="33" t="s">
        <v>164</v>
      </c>
      <c r="F191" s="33" t="s">
        <v>11</v>
      </c>
      <c r="G191" s="33" t="s">
        <v>23</v>
      </c>
      <c r="H191" s="33">
        <v>0</v>
      </c>
      <c r="I191" s="33" t="s">
        <v>40</v>
      </c>
    </row>
    <row r="192" spans="1:9" x14ac:dyDescent="0.25">
      <c r="A192" s="33" t="s">
        <v>168</v>
      </c>
      <c r="B192" s="33" t="s">
        <v>37</v>
      </c>
      <c r="C192" s="33" t="s">
        <v>6</v>
      </c>
      <c r="D192" s="33" t="s">
        <v>0</v>
      </c>
      <c r="E192" s="33" t="s">
        <v>164</v>
      </c>
      <c r="F192" s="33" t="s">
        <v>1</v>
      </c>
      <c r="G192" s="33" t="s">
        <v>21</v>
      </c>
      <c r="H192" s="33">
        <v>3</v>
      </c>
      <c r="I192" s="33" t="s">
        <v>40</v>
      </c>
    </row>
    <row r="193" spans="1:9" x14ac:dyDescent="0.25">
      <c r="A193" s="33" t="s">
        <v>168</v>
      </c>
      <c r="B193" s="33" t="s">
        <v>37</v>
      </c>
      <c r="C193" s="33" t="s">
        <v>6</v>
      </c>
      <c r="D193" s="33" t="s">
        <v>0</v>
      </c>
      <c r="E193" s="33" t="s">
        <v>164</v>
      </c>
      <c r="F193" s="33" t="s">
        <v>2</v>
      </c>
      <c r="G193" s="33" t="s">
        <v>20</v>
      </c>
      <c r="H193" s="33">
        <v>1</v>
      </c>
      <c r="I193" s="33" t="s">
        <v>40</v>
      </c>
    </row>
    <row r="194" spans="1:9" x14ac:dyDescent="0.25">
      <c r="A194" s="33" t="s">
        <v>168</v>
      </c>
      <c r="B194" s="33" t="s">
        <v>37</v>
      </c>
      <c r="C194" s="33" t="s">
        <v>6</v>
      </c>
      <c r="D194" s="33" t="s">
        <v>0</v>
      </c>
      <c r="E194" s="33" t="s">
        <v>164</v>
      </c>
      <c r="F194" s="33" t="s">
        <v>3</v>
      </c>
      <c r="G194" s="33" t="s">
        <v>109</v>
      </c>
      <c r="H194" s="33">
        <v>0</v>
      </c>
      <c r="I194" s="33" t="s">
        <v>40</v>
      </c>
    </row>
    <row r="195" spans="1:9" x14ac:dyDescent="0.25">
      <c r="A195" s="33" t="s">
        <v>168</v>
      </c>
      <c r="B195" s="33" t="s">
        <v>37</v>
      </c>
      <c r="C195" s="33" t="s">
        <v>6</v>
      </c>
      <c r="D195" s="33" t="s">
        <v>0</v>
      </c>
      <c r="E195" s="33" t="s">
        <v>164</v>
      </c>
      <c r="F195" s="33" t="s">
        <v>4</v>
      </c>
      <c r="G195" s="33" t="s">
        <v>112</v>
      </c>
      <c r="H195" s="33">
        <v>0</v>
      </c>
      <c r="I195" s="33" t="s">
        <v>40</v>
      </c>
    </row>
    <row r="196" spans="1:9" x14ac:dyDescent="0.25">
      <c r="A196" s="33" t="s">
        <v>168</v>
      </c>
      <c r="B196" s="33" t="s">
        <v>37</v>
      </c>
      <c r="C196" s="33" t="s">
        <v>6</v>
      </c>
      <c r="D196" s="33" t="s">
        <v>0</v>
      </c>
      <c r="E196" s="33" t="s">
        <v>164</v>
      </c>
      <c r="F196" s="33" t="s">
        <v>5</v>
      </c>
      <c r="G196" s="33" t="s">
        <v>23</v>
      </c>
      <c r="H196" s="33">
        <v>0</v>
      </c>
      <c r="I196" s="33" t="s">
        <v>40</v>
      </c>
    </row>
    <row r="197" spans="1:9" x14ac:dyDescent="0.25">
      <c r="A197" s="33" t="s">
        <v>168</v>
      </c>
      <c r="B197" s="33" t="s">
        <v>37</v>
      </c>
      <c r="C197" s="33" t="s">
        <v>6</v>
      </c>
      <c r="D197" s="33" t="s">
        <v>6</v>
      </c>
      <c r="E197" s="33" t="s">
        <v>134</v>
      </c>
      <c r="F197" s="33" t="s">
        <v>7</v>
      </c>
      <c r="G197" s="33" t="s">
        <v>18</v>
      </c>
      <c r="H197" s="33">
        <v>1</v>
      </c>
      <c r="I197" s="33" t="s">
        <v>40</v>
      </c>
    </row>
    <row r="198" spans="1:9" x14ac:dyDescent="0.25">
      <c r="A198" s="33" t="s">
        <v>168</v>
      </c>
      <c r="B198" s="33" t="s">
        <v>37</v>
      </c>
      <c r="C198" s="33" t="s">
        <v>6</v>
      </c>
      <c r="D198" s="33" t="s">
        <v>6</v>
      </c>
      <c r="E198" s="33" t="s">
        <v>134</v>
      </c>
      <c r="F198" s="33" t="s">
        <v>8</v>
      </c>
      <c r="G198" s="33" t="s">
        <v>17</v>
      </c>
      <c r="H198" s="33">
        <v>0</v>
      </c>
      <c r="I198" s="33" t="s">
        <v>40</v>
      </c>
    </row>
    <row r="199" spans="1:9" x14ac:dyDescent="0.25">
      <c r="A199" s="33" t="s">
        <v>168</v>
      </c>
      <c r="B199" s="33" t="s">
        <v>37</v>
      </c>
      <c r="C199" s="33" t="s">
        <v>6</v>
      </c>
      <c r="D199" s="33" t="s">
        <v>6</v>
      </c>
      <c r="E199" s="33" t="s">
        <v>134</v>
      </c>
      <c r="F199" s="33" t="s">
        <v>9</v>
      </c>
      <c r="G199" s="33" t="s">
        <v>15</v>
      </c>
      <c r="H199" s="33">
        <v>2</v>
      </c>
      <c r="I199" s="33" t="s">
        <v>40</v>
      </c>
    </row>
    <row r="200" spans="1:9" x14ac:dyDescent="0.25">
      <c r="A200" s="33" t="s">
        <v>168</v>
      </c>
      <c r="B200" s="33" t="s">
        <v>37</v>
      </c>
      <c r="C200" s="33" t="s">
        <v>6</v>
      </c>
      <c r="D200" s="33" t="s">
        <v>6</v>
      </c>
      <c r="E200" s="33" t="s">
        <v>134</v>
      </c>
      <c r="F200" s="33" t="s">
        <v>10</v>
      </c>
      <c r="G200" s="33" t="s">
        <v>122</v>
      </c>
      <c r="H200" s="33">
        <v>1</v>
      </c>
      <c r="I200" s="33" t="s">
        <v>40</v>
      </c>
    </row>
    <row r="201" spans="1:9" x14ac:dyDescent="0.25">
      <c r="A201" s="33" t="s">
        <v>168</v>
      </c>
      <c r="B201" s="33" t="s">
        <v>37</v>
      </c>
      <c r="C201" s="33" t="s">
        <v>6</v>
      </c>
      <c r="D201" s="33" t="s">
        <v>6</v>
      </c>
      <c r="E201" s="33" t="s">
        <v>134</v>
      </c>
      <c r="F201" s="33" t="s">
        <v>11</v>
      </c>
      <c r="G201" s="33" t="s">
        <v>130</v>
      </c>
      <c r="H201" s="33">
        <v>1</v>
      </c>
      <c r="I201" s="33" t="s">
        <v>40</v>
      </c>
    </row>
    <row r="202" spans="1:9" x14ac:dyDescent="0.25">
      <c r="A202" s="33" t="s">
        <v>169</v>
      </c>
      <c r="B202" s="33" t="s">
        <v>37</v>
      </c>
      <c r="C202" s="33" t="s">
        <v>6</v>
      </c>
      <c r="D202" s="33" t="s">
        <v>0</v>
      </c>
      <c r="E202" s="33" t="s">
        <v>134</v>
      </c>
      <c r="F202" s="33" t="s">
        <v>1</v>
      </c>
      <c r="G202" s="33" t="s">
        <v>15</v>
      </c>
      <c r="H202" s="33">
        <v>1</v>
      </c>
      <c r="I202" s="33" t="s">
        <v>40</v>
      </c>
    </row>
    <row r="203" spans="1:9" x14ac:dyDescent="0.25">
      <c r="A203" s="33" t="s">
        <v>169</v>
      </c>
      <c r="B203" s="33" t="s">
        <v>37</v>
      </c>
      <c r="C203" s="33" t="s">
        <v>6</v>
      </c>
      <c r="D203" s="33" t="s">
        <v>0</v>
      </c>
      <c r="E203" s="33" t="s">
        <v>134</v>
      </c>
      <c r="F203" s="33" t="s">
        <v>2</v>
      </c>
      <c r="G203" s="33" t="s">
        <v>16</v>
      </c>
      <c r="H203" s="33">
        <v>0</v>
      </c>
      <c r="I203" s="33" t="s">
        <v>40</v>
      </c>
    </row>
    <row r="204" spans="1:9" x14ac:dyDescent="0.25">
      <c r="A204" s="33" t="s">
        <v>169</v>
      </c>
      <c r="B204" s="33" t="s">
        <v>37</v>
      </c>
      <c r="C204" s="33" t="s">
        <v>6</v>
      </c>
      <c r="D204" s="33" t="s">
        <v>0</v>
      </c>
      <c r="E204" s="33" t="s">
        <v>134</v>
      </c>
      <c r="F204" s="33" t="s">
        <v>3</v>
      </c>
      <c r="G204" s="33" t="s">
        <v>17</v>
      </c>
      <c r="H204" s="33">
        <v>0</v>
      </c>
      <c r="I204" s="33" t="s">
        <v>40</v>
      </c>
    </row>
    <row r="205" spans="1:9" x14ac:dyDescent="0.25">
      <c r="A205" s="33" t="s">
        <v>169</v>
      </c>
      <c r="B205" s="33" t="s">
        <v>37</v>
      </c>
      <c r="C205" s="33" t="s">
        <v>6</v>
      </c>
      <c r="D205" s="33" t="s">
        <v>0</v>
      </c>
      <c r="E205" s="33" t="s">
        <v>134</v>
      </c>
      <c r="F205" s="33" t="s">
        <v>4</v>
      </c>
      <c r="G205" s="33" t="s">
        <v>122</v>
      </c>
      <c r="H205" s="33">
        <v>1</v>
      </c>
      <c r="I205" s="33" t="s">
        <v>40</v>
      </c>
    </row>
    <row r="206" spans="1:9" x14ac:dyDescent="0.25">
      <c r="A206" s="33" t="s">
        <v>169</v>
      </c>
      <c r="B206" s="33" t="s">
        <v>37</v>
      </c>
      <c r="C206" s="33" t="s">
        <v>6</v>
      </c>
      <c r="D206" s="33" t="s">
        <v>0</v>
      </c>
      <c r="E206" s="33" t="s">
        <v>134</v>
      </c>
      <c r="F206" s="33" t="s">
        <v>5</v>
      </c>
      <c r="G206" s="33" t="s">
        <v>18</v>
      </c>
      <c r="H206" s="33">
        <v>2</v>
      </c>
      <c r="I206" s="33" t="s">
        <v>40</v>
      </c>
    </row>
    <row r="207" spans="1:9" x14ac:dyDescent="0.25">
      <c r="A207" s="33" t="s">
        <v>169</v>
      </c>
      <c r="B207" s="33" t="s">
        <v>37</v>
      </c>
      <c r="C207" s="33" t="s">
        <v>6</v>
      </c>
      <c r="D207" s="33" t="s">
        <v>6</v>
      </c>
      <c r="E207" s="33" t="s">
        <v>164</v>
      </c>
      <c r="F207" s="33" t="s">
        <v>7</v>
      </c>
      <c r="G207" s="33" t="s">
        <v>20</v>
      </c>
      <c r="H207" s="33">
        <v>1</v>
      </c>
      <c r="I207" s="33" t="s">
        <v>40</v>
      </c>
    </row>
    <row r="208" spans="1:9" x14ac:dyDescent="0.25">
      <c r="A208" s="33" t="s">
        <v>169</v>
      </c>
      <c r="B208" s="33" t="s">
        <v>37</v>
      </c>
      <c r="C208" s="33" t="s">
        <v>6</v>
      </c>
      <c r="D208" s="33" t="s">
        <v>6</v>
      </c>
      <c r="E208" s="33" t="s">
        <v>164</v>
      </c>
      <c r="F208" s="33" t="s">
        <v>8</v>
      </c>
      <c r="G208" s="33" t="s">
        <v>109</v>
      </c>
      <c r="H208" s="33">
        <v>1</v>
      </c>
      <c r="I208" s="33" t="s">
        <v>40</v>
      </c>
    </row>
    <row r="209" spans="1:9" x14ac:dyDescent="0.25">
      <c r="A209" s="33" t="s">
        <v>169</v>
      </c>
      <c r="B209" s="33" t="s">
        <v>37</v>
      </c>
      <c r="C209" s="33" t="s">
        <v>6</v>
      </c>
      <c r="D209" s="33" t="s">
        <v>6</v>
      </c>
      <c r="E209" s="33" t="s">
        <v>164</v>
      </c>
      <c r="F209" s="33" t="s">
        <v>9</v>
      </c>
      <c r="G209" s="33" t="s">
        <v>21</v>
      </c>
      <c r="H209" s="33">
        <v>2</v>
      </c>
      <c r="I209" s="33" t="s">
        <v>40</v>
      </c>
    </row>
    <row r="210" spans="1:9" x14ac:dyDescent="0.25">
      <c r="A210" s="33" t="s">
        <v>169</v>
      </c>
      <c r="B210" s="33" t="s">
        <v>37</v>
      </c>
      <c r="C210" s="33" t="s">
        <v>6</v>
      </c>
      <c r="D210" s="33" t="s">
        <v>6</v>
      </c>
      <c r="E210" s="33" t="s">
        <v>164</v>
      </c>
      <c r="F210" s="33" t="s">
        <v>10</v>
      </c>
      <c r="G210" s="33" t="s">
        <v>112</v>
      </c>
      <c r="H210" s="33">
        <v>0</v>
      </c>
      <c r="I210" s="33" t="s">
        <v>40</v>
      </c>
    </row>
    <row r="211" spans="1:9" x14ac:dyDescent="0.25">
      <c r="A211" s="33" t="s">
        <v>169</v>
      </c>
      <c r="B211" s="33" t="s">
        <v>37</v>
      </c>
      <c r="C211" s="33" t="s">
        <v>6</v>
      </c>
      <c r="D211" s="33" t="s">
        <v>6</v>
      </c>
      <c r="E211" s="33" t="s">
        <v>164</v>
      </c>
      <c r="F211" s="33" t="s">
        <v>11</v>
      </c>
      <c r="G211" s="33" t="s">
        <v>23</v>
      </c>
      <c r="H211" s="33">
        <v>1</v>
      </c>
      <c r="I211" s="33" t="s">
        <v>40</v>
      </c>
    </row>
    <row r="212" spans="1:9" x14ac:dyDescent="0.25">
      <c r="A212" s="33" t="s">
        <v>153</v>
      </c>
      <c r="B212" s="33" t="s">
        <v>37</v>
      </c>
      <c r="C212" s="33" t="s">
        <v>6</v>
      </c>
      <c r="D212" s="33" t="s">
        <v>0</v>
      </c>
      <c r="E212" s="33" t="s">
        <v>134</v>
      </c>
      <c r="F212" s="33" t="s">
        <v>1</v>
      </c>
      <c r="G212" s="33" t="s">
        <v>122</v>
      </c>
      <c r="H212" s="33">
        <v>1</v>
      </c>
      <c r="I212" s="33" t="s">
        <v>40</v>
      </c>
    </row>
    <row r="213" spans="1:9" x14ac:dyDescent="0.25">
      <c r="A213" s="33" t="s">
        <v>153</v>
      </c>
      <c r="B213" s="33" t="s">
        <v>37</v>
      </c>
      <c r="C213" s="33" t="s">
        <v>6</v>
      </c>
      <c r="D213" s="33" t="s">
        <v>0</v>
      </c>
      <c r="E213" s="33" t="s">
        <v>134</v>
      </c>
      <c r="F213" s="33" t="s">
        <v>2</v>
      </c>
      <c r="G213" s="33" t="s">
        <v>17</v>
      </c>
      <c r="H213" s="33">
        <v>1</v>
      </c>
      <c r="I213" s="33" t="s">
        <v>40</v>
      </c>
    </row>
    <row r="214" spans="1:9" x14ac:dyDescent="0.25">
      <c r="A214" s="33" t="s">
        <v>153</v>
      </c>
      <c r="B214" s="33" t="s">
        <v>37</v>
      </c>
      <c r="C214" s="33" t="s">
        <v>6</v>
      </c>
      <c r="D214" s="33" t="s">
        <v>0</v>
      </c>
      <c r="E214" s="33" t="s">
        <v>134</v>
      </c>
      <c r="F214" s="33" t="s">
        <v>3</v>
      </c>
      <c r="G214" s="33" t="s">
        <v>16</v>
      </c>
      <c r="H214" s="33">
        <v>0</v>
      </c>
      <c r="I214" s="33" t="s">
        <v>40</v>
      </c>
    </row>
    <row r="215" spans="1:9" x14ac:dyDescent="0.25">
      <c r="A215" s="33" t="s">
        <v>153</v>
      </c>
      <c r="B215" s="33" t="s">
        <v>37</v>
      </c>
      <c r="C215" s="33" t="s">
        <v>6</v>
      </c>
      <c r="D215" s="33" t="s">
        <v>0</v>
      </c>
      <c r="E215" s="33" t="s">
        <v>134</v>
      </c>
      <c r="F215" s="33" t="s">
        <v>4</v>
      </c>
      <c r="G215" s="33" t="s">
        <v>118</v>
      </c>
      <c r="H215" s="33">
        <v>0</v>
      </c>
      <c r="I215" s="33" t="s">
        <v>40</v>
      </c>
    </row>
    <row r="216" spans="1:9" x14ac:dyDescent="0.25">
      <c r="A216" s="33" t="s">
        <v>153</v>
      </c>
      <c r="B216" s="33" t="s">
        <v>37</v>
      </c>
      <c r="C216" s="33" t="s">
        <v>6</v>
      </c>
      <c r="D216" s="33" t="s">
        <v>0</v>
      </c>
      <c r="E216" s="33" t="s">
        <v>134</v>
      </c>
      <c r="F216" s="33" t="s">
        <v>5</v>
      </c>
      <c r="G216" s="33" t="s">
        <v>119</v>
      </c>
      <c r="H216" s="33">
        <v>1</v>
      </c>
      <c r="I216" s="33" t="s">
        <v>40</v>
      </c>
    </row>
    <row r="217" spans="1:9" x14ac:dyDescent="0.25">
      <c r="A217" s="33" t="s">
        <v>153</v>
      </c>
      <c r="B217" s="33" t="s">
        <v>37</v>
      </c>
      <c r="C217" s="33" t="s">
        <v>6</v>
      </c>
      <c r="D217" s="33" t="s">
        <v>6</v>
      </c>
      <c r="E217" s="33" t="s">
        <v>164</v>
      </c>
      <c r="F217" s="33" t="s">
        <v>7</v>
      </c>
      <c r="G217" s="33" t="s">
        <v>20</v>
      </c>
      <c r="H217" s="33">
        <v>2</v>
      </c>
      <c r="I217" s="33" t="s">
        <v>40</v>
      </c>
    </row>
    <row r="218" spans="1:9" x14ac:dyDescent="0.25">
      <c r="A218" s="33" t="s">
        <v>153</v>
      </c>
      <c r="B218" s="33" t="s">
        <v>37</v>
      </c>
      <c r="C218" s="33" t="s">
        <v>6</v>
      </c>
      <c r="D218" s="33" t="s">
        <v>6</v>
      </c>
      <c r="E218" s="33" t="s">
        <v>164</v>
      </c>
      <c r="F218" s="33" t="s">
        <v>8</v>
      </c>
      <c r="G218" s="33" t="s">
        <v>109</v>
      </c>
      <c r="H218" s="33">
        <v>1</v>
      </c>
      <c r="I218" s="33" t="s">
        <v>40</v>
      </c>
    </row>
    <row r="219" spans="1:9" x14ac:dyDescent="0.25">
      <c r="A219" s="33" t="s">
        <v>153</v>
      </c>
      <c r="B219" s="33" t="s">
        <v>37</v>
      </c>
      <c r="C219" s="33" t="s">
        <v>6</v>
      </c>
      <c r="D219" s="33" t="s">
        <v>6</v>
      </c>
      <c r="E219" s="33" t="s">
        <v>164</v>
      </c>
      <c r="F219" s="33" t="s">
        <v>9</v>
      </c>
      <c r="G219" s="33" t="s">
        <v>21</v>
      </c>
      <c r="H219" s="33">
        <v>1</v>
      </c>
      <c r="I219" s="33" t="s">
        <v>40</v>
      </c>
    </row>
    <row r="220" spans="1:9" x14ac:dyDescent="0.25">
      <c r="A220" s="33" t="s">
        <v>153</v>
      </c>
      <c r="B220" s="33" t="s">
        <v>37</v>
      </c>
      <c r="C220" s="33" t="s">
        <v>6</v>
      </c>
      <c r="D220" s="33" t="s">
        <v>6</v>
      </c>
      <c r="E220" s="33" t="s">
        <v>164</v>
      </c>
      <c r="F220" s="33" t="s">
        <v>10</v>
      </c>
      <c r="G220" s="33" t="s">
        <v>112</v>
      </c>
      <c r="H220" s="33">
        <v>1</v>
      </c>
      <c r="I220" s="33" t="s">
        <v>40</v>
      </c>
    </row>
    <row r="221" spans="1:9" x14ac:dyDescent="0.25">
      <c r="A221" s="33" t="s">
        <v>153</v>
      </c>
      <c r="B221" s="33" t="s">
        <v>37</v>
      </c>
      <c r="C221" s="33" t="s">
        <v>6</v>
      </c>
      <c r="D221" s="33" t="s">
        <v>6</v>
      </c>
      <c r="E221" s="33" t="s">
        <v>164</v>
      </c>
      <c r="F221" s="33" t="s">
        <v>11</v>
      </c>
      <c r="G221" s="33" t="s">
        <v>23</v>
      </c>
      <c r="H221" s="33">
        <v>0</v>
      </c>
      <c r="I221" s="33" t="s">
        <v>40</v>
      </c>
    </row>
    <row r="222" spans="1:9" x14ac:dyDescent="0.25">
      <c r="A222" s="33" t="s">
        <v>166</v>
      </c>
      <c r="B222" s="33" t="s">
        <v>37</v>
      </c>
      <c r="C222" s="33" t="s">
        <v>6</v>
      </c>
      <c r="D222" s="33" t="s">
        <v>0</v>
      </c>
      <c r="E222" s="33" t="s">
        <v>164</v>
      </c>
      <c r="F222" s="33" t="s">
        <v>1</v>
      </c>
      <c r="G222" s="33" t="s">
        <v>21</v>
      </c>
      <c r="H222" s="33">
        <v>3</v>
      </c>
      <c r="I222" s="33" t="s">
        <v>40</v>
      </c>
    </row>
    <row r="223" spans="1:9" x14ac:dyDescent="0.25">
      <c r="A223" s="33" t="s">
        <v>166</v>
      </c>
      <c r="B223" s="33" t="s">
        <v>37</v>
      </c>
      <c r="C223" s="33" t="s">
        <v>6</v>
      </c>
      <c r="D223" s="33" t="s">
        <v>0</v>
      </c>
      <c r="E223" s="33" t="s">
        <v>164</v>
      </c>
      <c r="F223" s="33" t="s">
        <v>2</v>
      </c>
      <c r="G223" s="33" t="s">
        <v>20</v>
      </c>
      <c r="H223" s="33">
        <v>1</v>
      </c>
      <c r="I223" s="33" t="s">
        <v>40</v>
      </c>
    </row>
    <row r="224" spans="1:9" x14ac:dyDescent="0.25">
      <c r="A224" s="33" t="s">
        <v>166</v>
      </c>
      <c r="B224" s="33" t="s">
        <v>37</v>
      </c>
      <c r="C224" s="33" t="s">
        <v>6</v>
      </c>
      <c r="D224" s="33" t="s">
        <v>0</v>
      </c>
      <c r="E224" s="33" t="s">
        <v>164</v>
      </c>
      <c r="F224" s="33" t="s">
        <v>3</v>
      </c>
      <c r="G224" s="33" t="s">
        <v>109</v>
      </c>
      <c r="H224" s="33">
        <v>1</v>
      </c>
      <c r="I224" s="33" t="s">
        <v>40</v>
      </c>
    </row>
    <row r="225" spans="1:9" x14ac:dyDescent="0.25">
      <c r="A225" s="33" t="s">
        <v>166</v>
      </c>
      <c r="B225" s="33" t="s">
        <v>37</v>
      </c>
      <c r="C225" s="33" t="s">
        <v>6</v>
      </c>
      <c r="D225" s="33" t="s">
        <v>0</v>
      </c>
      <c r="E225" s="33" t="s">
        <v>164</v>
      </c>
      <c r="F225" s="33" t="s">
        <v>4</v>
      </c>
      <c r="G225" s="33" t="s">
        <v>112</v>
      </c>
      <c r="H225" s="33">
        <v>0</v>
      </c>
      <c r="I225" s="33" t="s">
        <v>40</v>
      </c>
    </row>
    <row r="226" spans="1:9" x14ac:dyDescent="0.25">
      <c r="A226" s="33" t="s">
        <v>166</v>
      </c>
      <c r="B226" s="33" t="s">
        <v>37</v>
      </c>
      <c r="C226" s="33" t="s">
        <v>6</v>
      </c>
      <c r="D226" s="33" t="s">
        <v>0</v>
      </c>
      <c r="E226" s="33" t="s">
        <v>164</v>
      </c>
      <c r="F226" s="33" t="s">
        <v>5</v>
      </c>
      <c r="G226" s="33" t="s">
        <v>23</v>
      </c>
      <c r="H226" s="33">
        <v>0</v>
      </c>
      <c r="I226" s="33" t="s">
        <v>40</v>
      </c>
    </row>
    <row r="227" spans="1:9" x14ac:dyDescent="0.25">
      <c r="A227" s="33" t="s">
        <v>166</v>
      </c>
      <c r="B227" s="33" t="s">
        <v>37</v>
      </c>
      <c r="C227" s="33" t="s">
        <v>6</v>
      </c>
      <c r="D227" s="33" t="s">
        <v>6</v>
      </c>
      <c r="E227" s="33" t="s">
        <v>134</v>
      </c>
      <c r="F227" s="33" t="s">
        <v>7</v>
      </c>
      <c r="G227" s="33" t="s">
        <v>18</v>
      </c>
      <c r="H227" s="33">
        <v>1</v>
      </c>
      <c r="I227" s="33" t="s">
        <v>40</v>
      </c>
    </row>
    <row r="228" spans="1:9" x14ac:dyDescent="0.25">
      <c r="A228" s="33" t="s">
        <v>166</v>
      </c>
      <c r="B228" s="33" t="s">
        <v>37</v>
      </c>
      <c r="C228" s="33" t="s">
        <v>6</v>
      </c>
      <c r="D228" s="33" t="s">
        <v>6</v>
      </c>
      <c r="E228" s="33" t="s">
        <v>134</v>
      </c>
      <c r="F228" s="33" t="s">
        <v>8</v>
      </c>
      <c r="G228" s="33" t="s">
        <v>17</v>
      </c>
      <c r="H228" s="33">
        <v>0</v>
      </c>
      <c r="I228" s="33" t="s">
        <v>40</v>
      </c>
    </row>
    <row r="229" spans="1:9" x14ac:dyDescent="0.25">
      <c r="A229" s="33" t="s">
        <v>166</v>
      </c>
      <c r="B229" s="33" t="s">
        <v>37</v>
      </c>
      <c r="C229" s="33" t="s">
        <v>6</v>
      </c>
      <c r="D229" s="33" t="s">
        <v>6</v>
      </c>
      <c r="E229" s="33" t="s">
        <v>134</v>
      </c>
      <c r="F229" s="33" t="s">
        <v>9</v>
      </c>
      <c r="G229" s="33" t="s">
        <v>15</v>
      </c>
      <c r="H229" s="33">
        <v>2</v>
      </c>
      <c r="I229" s="33" t="s">
        <v>40</v>
      </c>
    </row>
    <row r="230" spans="1:9" x14ac:dyDescent="0.25">
      <c r="A230" s="33" t="s">
        <v>166</v>
      </c>
      <c r="B230" s="33" t="s">
        <v>37</v>
      </c>
      <c r="C230" s="33" t="s">
        <v>6</v>
      </c>
      <c r="D230" s="33" t="s">
        <v>6</v>
      </c>
      <c r="E230" s="33" t="s">
        <v>134</v>
      </c>
      <c r="F230" s="33" t="s">
        <v>10</v>
      </c>
      <c r="G230" s="33" t="s">
        <v>122</v>
      </c>
      <c r="H230" s="33">
        <v>0</v>
      </c>
      <c r="I230" s="33" t="s">
        <v>40</v>
      </c>
    </row>
    <row r="231" spans="1:9" x14ac:dyDescent="0.25">
      <c r="A231" s="33" t="s">
        <v>166</v>
      </c>
      <c r="B231" s="33" t="s">
        <v>37</v>
      </c>
      <c r="C231" s="33" t="s">
        <v>6</v>
      </c>
      <c r="D231" s="33" t="s">
        <v>6</v>
      </c>
      <c r="E231" s="33" t="s">
        <v>134</v>
      </c>
      <c r="F231" s="33" t="s">
        <v>11</v>
      </c>
      <c r="G231" s="33" t="s">
        <v>130</v>
      </c>
      <c r="H231" s="33">
        <v>2</v>
      </c>
      <c r="I231" s="33" t="s">
        <v>40</v>
      </c>
    </row>
    <row r="232" spans="1:9" x14ac:dyDescent="0.25">
      <c r="A232" s="33" t="s">
        <v>167</v>
      </c>
      <c r="B232" s="33" t="s">
        <v>37</v>
      </c>
      <c r="C232" s="33" t="s">
        <v>6</v>
      </c>
      <c r="D232" s="33" t="s">
        <v>0</v>
      </c>
      <c r="E232" s="33" t="s">
        <v>134</v>
      </c>
      <c r="F232" s="33" t="s">
        <v>1</v>
      </c>
      <c r="G232" s="33" t="s">
        <v>15</v>
      </c>
      <c r="H232" s="33">
        <v>2</v>
      </c>
      <c r="I232" s="33" t="s">
        <v>40</v>
      </c>
    </row>
    <row r="233" spans="1:9" x14ac:dyDescent="0.25">
      <c r="A233" s="33" t="s">
        <v>167</v>
      </c>
      <c r="B233" s="33" t="s">
        <v>37</v>
      </c>
      <c r="C233" s="33" t="s">
        <v>6</v>
      </c>
      <c r="D233" s="33" t="s">
        <v>0</v>
      </c>
      <c r="E233" s="33" t="s">
        <v>134</v>
      </c>
      <c r="F233" s="33" t="s">
        <v>2</v>
      </c>
      <c r="G233" s="33" t="s">
        <v>16</v>
      </c>
      <c r="H233" s="33">
        <v>0</v>
      </c>
      <c r="I233" s="33" t="s">
        <v>40</v>
      </c>
    </row>
    <row r="234" spans="1:9" x14ac:dyDescent="0.25">
      <c r="A234" s="33" t="s">
        <v>167</v>
      </c>
      <c r="B234" s="33" t="s">
        <v>37</v>
      </c>
      <c r="C234" s="33" t="s">
        <v>6</v>
      </c>
      <c r="D234" s="33" t="s">
        <v>0</v>
      </c>
      <c r="E234" s="33" t="s">
        <v>134</v>
      </c>
      <c r="F234" s="33" t="s">
        <v>3</v>
      </c>
      <c r="G234" s="33" t="s">
        <v>17</v>
      </c>
      <c r="H234" s="33">
        <v>2</v>
      </c>
      <c r="I234" s="33" t="s">
        <v>40</v>
      </c>
    </row>
    <row r="235" spans="1:9" x14ac:dyDescent="0.25">
      <c r="A235" s="33" t="s">
        <v>167</v>
      </c>
      <c r="B235" s="33" t="s">
        <v>37</v>
      </c>
      <c r="C235" s="33" t="s">
        <v>6</v>
      </c>
      <c r="D235" s="33" t="s">
        <v>0</v>
      </c>
      <c r="E235" s="33" t="s">
        <v>134</v>
      </c>
      <c r="F235" s="33" t="s">
        <v>4</v>
      </c>
      <c r="G235" s="33" t="s">
        <v>122</v>
      </c>
      <c r="H235" s="33">
        <v>0</v>
      </c>
      <c r="I235" s="33" t="s">
        <v>40</v>
      </c>
    </row>
    <row r="236" spans="1:9" x14ac:dyDescent="0.25">
      <c r="A236" s="33" t="s">
        <v>167</v>
      </c>
      <c r="B236" s="33" t="s">
        <v>37</v>
      </c>
      <c r="C236" s="33" t="s">
        <v>6</v>
      </c>
      <c r="D236" s="33" t="s">
        <v>0</v>
      </c>
      <c r="E236" s="33" t="s">
        <v>134</v>
      </c>
      <c r="F236" s="33" t="s">
        <v>5</v>
      </c>
      <c r="G236" s="33" t="s">
        <v>18</v>
      </c>
      <c r="H236" s="33">
        <v>0</v>
      </c>
      <c r="I236" s="33" t="s">
        <v>40</v>
      </c>
    </row>
    <row r="237" spans="1:9" x14ac:dyDescent="0.25">
      <c r="A237" s="33" t="s">
        <v>167</v>
      </c>
      <c r="B237" s="33" t="s">
        <v>37</v>
      </c>
      <c r="C237" s="33" t="s">
        <v>6</v>
      </c>
      <c r="D237" s="33" t="s">
        <v>6</v>
      </c>
      <c r="E237" s="33" t="s">
        <v>164</v>
      </c>
      <c r="F237" s="33" t="s">
        <v>7</v>
      </c>
      <c r="G237" s="33" t="s">
        <v>20</v>
      </c>
      <c r="H237" s="33">
        <v>1</v>
      </c>
      <c r="I237" s="33" t="s">
        <v>40</v>
      </c>
    </row>
    <row r="238" spans="1:9" x14ac:dyDescent="0.25">
      <c r="A238" s="33" t="s">
        <v>167</v>
      </c>
      <c r="B238" s="33" t="s">
        <v>37</v>
      </c>
      <c r="C238" s="33" t="s">
        <v>6</v>
      </c>
      <c r="D238" s="33" t="s">
        <v>6</v>
      </c>
      <c r="E238" s="33" t="s">
        <v>164</v>
      </c>
      <c r="F238" s="33" t="s">
        <v>8</v>
      </c>
      <c r="G238" s="33" t="s">
        <v>109</v>
      </c>
      <c r="H238" s="33">
        <v>0</v>
      </c>
      <c r="I238" s="33" t="s">
        <v>40</v>
      </c>
    </row>
    <row r="239" spans="1:9" x14ac:dyDescent="0.25">
      <c r="A239" s="33" t="s">
        <v>167</v>
      </c>
      <c r="B239" s="33" t="s">
        <v>37</v>
      </c>
      <c r="C239" s="33" t="s">
        <v>6</v>
      </c>
      <c r="D239" s="33" t="s">
        <v>6</v>
      </c>
      <c r="E239" s="33" t="s">
        <v>164</v>
      </c>
      <c r="F239" s="33" t="s">
        <v>9</v>
      </c>
      <c r="G239" s="33" t="s">
        <v>21</v>
      </c>
      <c r="H239" s="33">
        <v>3</v>
      </c>
      <c r="I239" s="33" t="s">
        <v>40</v>
      </c>
    </row>
    <row r="240" spans="1:9" x14ac:dyDescent="0.25">
      <c r="A240" s="33" t="s">
        <v>167</v>
      </c>
      <c r="B240" s="33" t="s">
        <v>37</v>
      </c>
      <c r="C240" s="33" t="s">
        <v>6</v>
      </c>
      <c r="D240" s="33" t="s">
        <v>6</v>
      </c>
      <c r="E240" s="33" t="s">
        <v>164</v>
      </c>
      <c r="F240" s="33" t="s">
        <v>10</v>
      </c>
      <c r="G240" s="33" t="s">
        <v>112</v>
      </c>
      <c r="H240" s="33">
        <v>1</v>
      </c>
      <c r="I240" s="33" t="s">
        <v>40</v>
      </c>
    </row>
    <row r="241" spans="1:9" x14ac:dyDescent="0.25">
      <c r="A241" s="33" t="s">
        <v>167</v>
      </c>
      <c r="B241" s="33" t="s">
        <v>37</v>
      </c>
      <c r="C241" s="33" t="s">
        <v>6</v>
      </c>
      <c r="D241" s="33" t="s">
        <v>6</v>
      </c>
      <c r="E241" s="33" t="s">
        <v>164</v>
      </c>
      <c r="F241" s="33" t="s">
        <v>11</v>
      </c>
      <c r="G241" s="33" t="s">
        <v>23</v>
      </c>
      <c r="H241" s="33">
        <v>0</v>
      </c>
      <c r="I241" s="33" t="s">
        <v>40</v>
      </c>
    </row>
    <row r="242" spans="1:9" x14ac:dyDescent="0.25">
      <c r="A242" s="33" t="s">
        <v>168</v>
      </c>
      <c r="B242" s="33" t="s">
        <v>37</v>
      </c>
      <c r="C242" s="33" t="s">
        <v>6</v>
      </c>
      <c r="D242" s="33" t="s">
        <v>0</v>
      </c>
      <c r="E242" s="33" t="s">
        <v>164</v>
      </c>
      <c r="F242" s="33" t="s">
        <v>1</v>
      </c>
      <c r="G242" s="33" t="s">
        <v>21</v>
      </c>
      <c r="H242" s="33">
        <v>3</v>
      </c>
      <c r="I242" s="33" t="s">
        <v>40</v>
      </c>
    </row>
    <row r="243" spans="1:9" x14ac:dyDescent="0.25">
      <c r="A243" s="33" t="s">
        <v>168</v>
      </c>
      <c r="B243" s="33" t="s">
        <v>37</v>
      </c>
      <c r="C243" s="33" t="s">
        <v>6</v>
      </c>
      <c r="D243" s="33" t="s">
        <v>0</v>
      </c>
      <c r="E243" s="33" t="s">
        <v>164</v>
      </c>
      <c r="F243" s="33" t="s">
        <v>2</v>
      </c>
      <c r="G243" s="33" t="s">
        <v>20</v>
      </c>
      <c r="H243" s="33">
        <v>1</v>
      </c>
      <c r="I243" s="33" t="s">
        <v>40</v>
      </c>
    </row>
    <row r="244" spans="1:9" x14ac:dyDescent="0.25">
      <c r="A244" s="33" t="s">
        <v>168</v>
      </c>
      <c r="B244" s="33" t="s">
        <v>37</v>
      </c>
      <c r="C244" s="33" t="s">
        <v>6</v>
      </c>
      <c r="D244" s="33" t="s">
        <v>0</v>
      </c>
      <c r="E244" s="33" t="s">
        <v>164</v>
      </c>
      <c r="F244" s="33" t="s">
        <v>3</v>
      </c>
      <c r="G244" s="33" t="s">
        <v>109</v>
      </c>
      <c r="H244" s="33">
        <v>0</v>
      </c>
      <c r="I244" s="33" t="s">
        <v>40</v>
      </c>
    </row>
    <row r="245" spans="1:9" x14ac:dyDescent="0.25">
      <c r="A245" s="33" t="s">
        <v>168</v>
      </c>
      <c r="B245" s="33" t="s">
        <v>37</v>
      </c>
      <c r="C245" s="33" t="s">
        <v>6</v>
      </c>
      <c r="D245" s="33" t="s">
        <v>0</v>
      </c>
      <c r="E245" s="33" t="s">
        <v>164</v>
      </c>
      <c r="F245" s="33" t="s">
        <v>4</v>
      </c>
      <c r="G245" s="33" t="s">
        <v>112</v>
      </c>
      <c r="H245" s="33">
        <v>0</v>
      </c>
      <c r="I245" s="33" t="s">
        <v>40</v>
      </c>
    </row>
    <row r="246" spans="1:9" x14ac:dyDescent="0.25">
      <c r="A246" s="33" t="s">
        <v>168</v>
      </c>
      <c r="B246" s="33" t="s">
        <v>37</v>
      </c>
      <c r="C246" s="33" t="s">
        <v>6</v>
      </c>
      <c r="D246" s="33" t="s">
        <v>0</v>
      </c>
      <c r="E246" s="33" t="s">
        <v>164</v>
      </c>
      <c r="F246" s="33" t="s">
        <v>5</v>
      </c>
      <c r="G246" s="33" t="s">
        <v>23</v>
      </c>
      <c r="H246" s="33">
        <v>0</v>
      </c>
      <c r="I246" s="33" t="s">
        <v>40</v>
      </c>
    </row>
    <row r="247" spans="1:9" x14ac:dyDescent="0.25">
      <c r="A247" s="33" t="s">
        <v>168</v>
      </c>
      <c r="B247" s="33" t="s">
        <v>37</v>
      </c>
      <c r="C247" s="33" t="s">
        <v>6</v>
      </c>
      <c r="D247" s="33" t="s">
        <v>6</v>
      </c>
      <c r="E247" s="33" t="s">
        <v>134</v>
      </c>
      <c r="F247" s="33" t="s">
        <v>7</v>
      </c>
      <c r="G247" s="33" t="s">
        <v>18</v>
      </c>
      <c r="H247" s="33">
        <v>1</v>
      </c>
      <c r="I247" s="33" t="s">
        <v>40</v>
      </c>
    </row>
    <row r="248" spans="1:9" x14ac:dyDescent="0.25">
      <c r="A248" s="33" t="s">
        <v>168</v>
      </c>
      <c r="B248" s="33" t="s">
        <v>37</v>
      </c>
      <c r="C248" s="33" t="s">
        <v>6</v>
      </c>
      <c r="D248" s="33" t="s">
        <v>6</v>
      </c>
      <c r="E248" s="33" t="s">
        <v>134</v>
      </c>
      <c r="F248" s="33" t="s">
        <v>8</v>
      </c>
      <c r="G248" s="33" t="s">
        <v>17</v>
      </c>
      <c r="H248" s="33">
        <v>0</v>
      </c>
      <c r="I248" s="33" t="s">
        <v>40</v>
      </c>
    </row>
    <row r="249" spans="1:9" x14ac:dyDescent="0.25">
      <c r="A249" s="33" t="s">
        <v>168</v>
      </c>
      <c r="B249" s="33" t="s">
        <v>37</v>
      </c>
      <c r="C249" s="33" t="s">
        <v>6</v>
      </c>
      <c r="D249" s="33" t="s">
        <v>6</v>
      </c>
      <c r="E249" s="33" t="s">
        <v>134</v>
      </c>
      <c r="F249" s="33" t="s">
        <v>9</v>
      </c>
      <c r="G249" s="33" t="s">
        <v>15</v>
      </c>
      <c r="H249" s="33">
        <v>2</v>
      </c>
      <c r="I249" s="33" t="s">
        <v>40</v>
      </c>
    </row>
    <row r="250" spans="1:9" x14ac:dyDescent="0.25">
      <c r="A250" s="33" t="s">
        <v>168</v>
      </c>
      <c r="B250" s="33" t="s">
        <v>37</v>
      </c>
      <c r="C250" s="33" t="s">
        <v>6</v>
      </c>
      <c r="D250" s="33" t="s">
        <v>6</v>
      </c>
      <c r="E250" s="33" t="s">
        <v>134</v>
      </c>
      <c r="F250" s="33" t="s">
        <v>10</v>
      </c>
      <c r="G250" s="33" t="s">
        <v>122</v>
      </c>
      <c r="H250" s="33">
        <v>1</v>
      </c>
      <c r="I250" s="33" t="s">
        <v>40</v>
      </c>
    </row>
    <row r="251" spans="1:9" x14ac:dyDescent="0.25">
      <c r="A251" s="33" t="s">
        <v>168</v>
      </c>
      <c r="B251" s="33" t="s">
        <v>37</v>
      </c>
      <c r="C251" s="33" t="s">
        <v>6</v>
      </c>
      <c r="D251" s="33" t="s">
        <v>6</v>
      </c>
      <c r="E251" s="33" t="s">
        <v>134</v>
      </c>
      <c r="F251" s="33" t="s">
        <v>11</v>
      </c>
      <c r="G251" s="33" t="s">
        <v>130</v>
      </c>
      <c r="H251" s="33">
        <v>1</v>
      </c>
      <c r="I251" s="33" t="s">
        <v>40</v>
      </c>
    </row>
    <row r="252" spans="1:9" x14ac:dyDescent="0.25">
      <c r="A252" s="33" t="s">
        <v>169</v>
      </c>
      <c r="B252" s="33" t="s">
        <v>37</v>
      </c>
      <c r="C252" s="33" t="s">
        <v>6</v>
      </c>
      <c r="D252" s="33" t="s">
        <v>0</v>
      </c>
      <c r="E252" s="33" t="s">
        <v>134</v>
      </c>
      <c r="F252" s="33" t="s">
        <v>1</v>
      </c>
      <c r="G252" s="33" t="s">
        <v>15</v>
      </c>
      <c r="H252" s="33">
        <v>1</v>
      </c>
      <c r="I252" s="33" t="s">
        <v>40</v>
      </c>
    </row>
    <row r="253" spans="1:9" x14ac:dyDescent="0.25">
      <c r="A253" s="33" t="s">
        <v>169</v>
      </c>
      <c r="B253" s="33" t="s">
        <v>37</v>
      </c>
      <c r="C253" s="33" t="s">
        <v>6</v>
      </c>
      <c r="D253" s="33" t="s">
        <v>0</v>
      </c>
      <c r="E253" s="33" t="s">
        <v>134</v>
      </c>
      <c r="F253" s="33" t="s">
        <v>2</v>
      </c>
      <c r="G253" s="33" t="s">
        <v>16</v>
      </c>
      <c r="H253" s="33">
        <v>0</v>
      </c>
      <c r="I253" s="33" t="s">
        <v>40</v>
      </c>
    </row>
    <row r="254" spans="1:9" x14ac:dyDescent="0.25">
      <c r="A254" s="33" t="s">
        <v>169</v>
      </c>
      <c r="B254" s="33" t="s">
        <v>37</v>
      </c>
      <c r="C254" s="33" t="s">
        <v>6</v>
      </c>
      <c r="D254" s="33" t="s">
        <v>0</v>
      </c>
      <c r="E254" s="33" t="s">
        <v>134</v>
      </c>
      <c r="F254" s="33" t="s">
        <v>3</v>
      </c>
      <c r="G254" s="33" t="s">
        <v>17</v>
      </c>
      <c r="H254" s="33">
        <v>0</v>
      </c>
      <c r="I254" s="33" t="s">
        <v>40</v>
      </c>
    </row>
    <row r="255" spans="1:9" x14ac:dyDescent="0.25">
      <c r="A255" s="33" t="s">
        <v>169</v>
      </c>
      <c r="B255" s="33" t="s">
        <v>37</v>
      </c>
      <c r="C255" s="33" t="s">
        <v>6</v>
      </c>
      <c r="D255" s="33" t="s">
        <v>0</v>
      </c>
      <c r="E255" s="33" t="s">
        <v>134</v>
      </c>
      <c r="F255" s="33" t="s">
        <v>4</v>
      </c>
      <c r="G255" s="33" t="s">
        <v>122</v>
      </c>
      <c r="H255" s="33">
        <v>1</v>
      </c>
      <c r="I255" s="33" t="s">
        <v>40</v>
      </c>
    </row>
    <row r="256" spans="1:9" x14ac:dyDescent="0.25">
      <c r="A256" s="33" t="s">
        <v>169</v>
      </c>
      <c r="B256" s="33" t="s">
        <v>37</v>
      </c>
      <c r="C256" s="33" t="s">
        <v>6</v>
      </c>
      <c r="D256" s="33" t="s">
        <v>0</v>
      </c>
      <c r="E256" s="33" t="s">
        <v>134</v>
      </c>
      <c r="F256" s="33" t="s">
        <v>5</v>
      </c>
      <c r="G256" s="33" t="s">
        <v>18</v>
      </c>
      <c r="H256" s="33">
        <v>2</v>
      </c>
      <c r="I256" s="33" t="s">
        <v>40</v>
      </c>
    </row>
    <row r="257" spans="1:9" x14ac:dyDescent="0.25">
      <c r="A257" s="33" t="s">
        <v>169</v>
      </c>
      <c r="B257" s="33" t="s">
        <v>37</v>
      </c>
      <c r="C257" s="33" t="s">
        <v>6</v>
      </c>
      <c r="D257" s="33" t="s">
        <v>6</v>
      </c>
      <c r="E257" s="33" t="s">
        <v>164</v>
      </c>
      <c r="F257" s="33" t="s">
        <v>7</v>
      </c>
      <c r="G257" s="33" t="s">
        <v>20</v>
      </c>
      <c r="H257" s="33">
        <v>1</v>
      </c>
      <c r="I257" s="33" t="s">
        <v>40</v>
      </c>
    </row>
    <row r="258" spans="1:9" x14ac:dyDescent="0.25">
      <c r="A258" s="33" t="s">
        <v>169</v>
      </c>
      <c r="B258" s="33" t="s">
        <v>37</v>
      </c>
      <c r="C258" s="33" t="s">
        <v>6</v>
      </c>
      <c r="D258" s="33" t="s">
        <v>6</v>
      </c>
      <c r="E258" s="33" t="s">
        <v>164</v>
      </c>
      <c r="F258" s="33" t="s">
        <v>8</v>
      </c>
      <c r="G258" s="33" t="s">
        <v>109</v>
      </c>
      <c r="H258" s="33">
        <v>1</v>
      </c>
      <c r="I258" s="33" t="s">
        <v>40</v>
      </c>
    </row>
    <row r="259" spans="1:9" x14ac:dyDescent="0.25">
      <c r="A259" s="33" t="s">
        <v>169</v>
      </c>
      <c r="B259" s="33" t="s">
        <v>37</v>
      </c>
      <c r="C259" s="33" t="s">
        <v>6</v>
      </c>
      <c r="D259" s="33" t="s">
        <v>6</v>
      </c>
      <c r="E259" s="33" t="s">
        <v>164</v>
      </c>
      <c r="F259" s="33" t="s">
        <v>9</v>
      </c>
      <c r="G259" s="33" t="s">
        <v>21</v>
      </c>
      <c r="H259" s="33">
        <v>2</v>
      </c>
      <c r="I259" s="33" t="s">
        <v>40</v>
      </c>
    </row>
    <row r="260" spans="1:9" x14ac:dyDescent="0.25">
      <c r="A260" s="33" t="s">
        <v>169</v>
      </c>
      <c r="B260" s="33" t="s">
        <v>37</v>
      </c>
      <c r="C260" s="33" t="s">
        <v>6</v>
      </c>
      <c r="D260" s="33" t="s">
        <v>6</v>
      </c>
      <c r="E260" s="33" t="s">
        <v>164</v>
      </c>
      <c r="F260" s="33" t="s">
        <v>10</v>
      </c>
      <c r="G260" s="33" t="s">
        <v>112</v>
      </c>
      <c r="H260" s="33">
        <v>0</v>
      </c>
      <c r="I260" s="33" t="s">
        <v>40</v>
      </c>
    </row>
    <row r="261" spans="1:9" x14ac:dyDescent="0.25">
      <c r="A261" s="33" t="s">
        <v>169</v>
      </c>
      <c r="B261" s="33" t="s">
        <v>37</v>
      </c>
      <c r="C261" s="33" t="s">
        <v>6</v>
      </c>
      <c r="D261" s="33" t="s">
        <v>6</v>
      </c>
      <c r="E261" s="33" t="s">
        <v>164</v>
      </c>
      <c r="F261" s="33" t="s">
        <v>11</v>
      </c>
      <c r="G261" s="33" t="s">
        <v>23</v>
      </c>
      <c r="H261" s="33">
        <v>1</v>
      </c>
      <c r="I261" s="33" t="s">
        <v>40</v>
      </c>
    </row>
    <row r="262" spans="1:9" x14ac:dyDescent="0.25">
      <c r="A262" s="33" t="s">
        <v>153</v>
      </c>
      <c r="B262" s="33" t="s">
        <v>37</v>
      </c>
      <c r="C262" s="33" t="s">
        <v>6</v>
      </c>
      <c r="D262" s="33" t="s">
        <v>0</v>
      </c>
      <c r="E262" s="33" t="s">
        <v>134</v>
      </c>
      <c r="F262" s="33" t="s">
        <v>1</v>
      </c>
      <c r="G262" s="33" t="s">
        <v>122</v>
      </c>
      <c r="H262" s="33">
        <v>1</v>
      </c>
      <c r="I262" s="33" t="s">
        <v>40</v>
      </c>
    </row>
    <row r="263" spans="1:9" x14ac:dyDescent="0.25">
      <c r="A263" s="33" t="s">
        <v>153</v>
      </c>
      <c r="B263" s="33" t="s">
        <v>37</v>
      </c>
      <c r="C263" s="33" t="s">
        <v>6</v>
      </c>
      <c r="D263" s="33" t="s">
        <v>0</v>
      </c>
      <c r="E263" s="33" t="s">
        <v>134</v>
      </c>
      <c r="F263" s="33" t="s">
        <v>2</v>
      </c>
      <c r="G263" s="33" t="s">
        <v>17</v>
      </c>
      <c r="H263" s="33">
        <v>1</v>
      </c>
      <c r="I263" s="33" t="s">
        <v>40</v>
      </c>
    </row>
    <row r="264" spans="1:9" x14ac:dyDescent="0.25">
      <c r="A264" s="33" t="s">
        <v>153</v>
      </c>
      <c r="B264" s="33" t="s">
        <v>37</v>
      </c>
      <c r="C264" s="33" t="s">
        <v>6</v>
      </c>
      <c r="D264" s="33" t="s">
        <v>0</v>
      </c>
      <c r="E264" s="33" t="s">
        <v>134</v>
      </c>
      <c r="F264" s="33" t="s">
        <v>3</v>
      </c>
      <c r="G264" s="33" t="s">
        <v>16</v>
      </c>
      <c r="H264" s="33">
        <v>0</v>
      </c>
      <c r="I264" s="33" t="s">
        <v>40</v>
      </c>
    </row>
    <row r="265" spans="1:9" x14ac:dyDescent="0.25">
      <c r="A265" s="33" t="s">
        <v>153</v>
      </c>
      <c r="B265" s="33" t="s">
        <v>37</v>
      </c>
      <c r="C265" s="33" t="s">
        <v>6</v>
      </c>
      <c r="D265" s="33" t="s">
        <v>0</v>
      </c>
      <c r="E265" s="33" t="s">
        <v>134</v>
      </c>
      <c r="F265" s="33" t="s">
        <v>4</v>
      </c>
      <c r="G265" s="33" t="s">
        <v>118</v>
      </c>
      <c r="H265" s="33">
        <v>0</v>
      </c>
      <c r="I265" s="33" t="s">
        <v>40</v>
      </c>
    </row>
    <row r="266" spans="1:9" x14ac:dyDescent="0.25">
      <c r="A266" s="33" t="s">
        <v>153</v>
      </c>
      <c r="B266" s="33" t="s">
        <v>37</v>
      </c>
      <c r="C266" s="33" t="s">
        <v>6</v>
      </c>
      <c r="D266" s="33" t="s">
        <v>0</v>
      </c>
      <c r="E266" s="33" t="s">
        <v>134</v>
      </c>
      <c r="F266" s="33" t="s">
        <v>5</v>
      </c>
      <c r="G266" s="33" t="s">
        <v>119</v>
      </c>
      <c r="H266" s="33">
        <v>1</v>
      </c>
      <c r="I266" s="33" t="s">
        <v>40</v>
      </c>
    </row>
    <row r="267" spans="1:9" x14ac:dyDescent="0.25">
      <c r="A267" s="33" t="s">
        <v>153</v>
      </c>
      <c r="B267" s="33" t="s">
        <v>37</v>
      </c>
      <c r="C267" s="33" t="s">
        <v>6</v>
      </c>
      <c r="D267" s="33" t="s">
        <v>6</v>
      </c>
      <c r="E267" s="33" t="s">
        <v>164</v>
      </c>
      <c r="F267" s="33" t="s">
        <v>7</v>
      </c>
      <c r="G267" s="33" t="s">
        <v>20</v>
      </c>
      <c r="H267" s="33">
        <v>2</v>
      </c>
      <c r="I267" s="33" t="s">
        <v>40</v>
      </c>
    </row>
    <row r="268" spans="1:9" x14ac:dyDescent="0.25">
      <c r="A268" s="33" t="s">
        <v>153</v>
      </c>
      <c r="B268" s="33" t="s">
        <v>37</v>
      </c>
      <c r="C268" s="33" t="s">
        <v>6</v>
      </c>
      <c r="D268" s="33" t="s">
        <v>6</v>
      </c>
      <c r="E268" s="33" t="s">
        <v>164</v>
      </c>
      <c r="F268" s="33" t="s">
        <v>8</v>
      </c>
      <c r="G268" s="33" t="s">
        <v>109</v>
      </c>
      <c r="H268" s="33">
        <v>1</v>
      </c>
      <c r="I268" s="33" t="s">
        <v>40</v>
      </c>
    </row>
    <row r="269" spans="1:9" x14ac:dyDescent="0.25">
      <c r="A269" s="33" t="s">
        <v>153</v>
      </c>
      <c r="B269" s="33" t="s">
        <v>37</v>
      </c>
      <c r="C269" s="33" t="s">
        <v>6</v>
      </c>
      <c r="D269" s="33" t="s">
        <v>6</v>
      </c>
      <c r="E269" s="33" t="s">
        <v>164</v>
      </c>
      <c r="F269" s="33" t="s">
        <v>9</v>
      </c>
      <c r="G269" s="33" t="s">
        <v>21</v>
      </c>
      <c r="H269" s="33">
        <v>1</v>
      </c>
      <c r="I269" s="33" t="s">
        <v>40</v>
      </c>
    </row>
    <row r="270" spans="1:9" x14ac:dyDescent="0.25">
      <c r="A270" s="33" t="s">
        <v>153</v>
      </c>
      <c r="B270" s="33" t="s">
        <v>37</v>
      </c>
      <c r="C270" s="33" t="s">
        <v>6</v>
      </c>
      <c r="D270" s="33" t="s">
        <v>6</v>
      </c>
      <c r="E270" s="33" t="s">
        <v>164</v>
      </c>
      <c r="F270" s="33" t="s">
        <v>10</v>
      </c>
      <c r="G270" s="33" t="s">
        <v>112</v>
      </c>
      <c r="H270" s="33">
        <v>1</v>
      </c>
      <c r="I270" s="33" t="s">
        <v>40</v>
      </c>
    </row>
    <row r="271" spans="1:9" x14ac:dyDescent="0.25">
      <c r="A271" s="33" t="s">
        <v>153</v>
      </c>
      <c r="B271" s="33" t="s">
        <v>37</v>
      </c>
      <c r="C271" s="33" t="s">
        <v>6</v>
      </c>
      <c r="D271" s="33" t="s">
        <v>6</v>
      </c>
      <c r="E271" s="33" t="s">
        <v>164</v>
      </c>
      <c r="F271" s="33" t="s">
        <v>11</v>
      </c>
      <c r="G271" s="33" t="s">
        <v>23</v>
      </c>
      <c r="H271" s="33">
        <v>0</v>
      </c>
      <c r="I271" s="33" t="s">
        <v>40</v>
      </c>
    </row>
    <row r="272" spans="1:9" x14ac:dyDescent="0.25">
      <c r="A272" s="33" t="s">
        <v>166</v>
      </c>
      <c r="B272" s="33" t="s">
        <v>37</v>
      </c>
      <c r="C272" s="33" t="s">
        <v>6</v>
      </c>
      <c r="D272" s="33" t="s">
        <v>0</v>
      </c>
      <c r="E272" s="33" t="s">
        <v>164</v>
      </c>
      <c r="F272" s="33" t="s">
        <v>1</v>
      </c>
      <c r="G272" s="33" t="s">
        <v>21</v>
      </c>
      <c r="H272" s="33">
        <v>3</v>
      </c>
      <c r="I272" s="33" t="s">
        <v>40</v>
      </c>
    </row>
    <row r="273" spans="1:9" x14ac:dyDescent="0.25">
      <c r="A273" s="33" t="s">
        <v>166</v>
      </c>
      <c r="B273" s="33" t="s">
        <v>37</v>
      </c>
      <c r="C273" s="33" t="s">
        <v>6</v>
      </c>
      <c r="D273" s="33" t="s">
        <v>0</v>
      </c>
      <c r="E273" s="33" t="s">
        <v>164</v>
      </c>
      <c r="F273" s="33" t="s">
        <v>2</v>
      </c>
      <c r="G273" s="33" t="s">
        <v>20</v>
      </c>
      <c r="H273" s="33">
        <v>1</v>
      </c>
      <c r="I273" s="33" t="s">
        <v>40</v>
      </c>
    </row>
    <row r="274" spans="1:9" x14ac:dyDescent="0.25">
      <c r="A274" s="33" t="s">
        <v>166</v>
      </c>
      <c r="B274" s="33" t="s">
        <v>37</v>
      </c>
      <c r="C274" s="33" t="s">
        <v>6</v>
      </c>
      <c r="D274" s="33" t="s">
        <v>0</v>
      </c>
      <c r="E274" s="33" t="s">
        <v>164</v>
      </c>
      <c r="F274" s="33" t="s">
        <v>3</v>
      </c>
      <c r="G274" s="33" t="s">
        <v>109</v>
      </c>
      <c r="H274" s="33">
        <v>1</v>
      </c>
      <c r="I274" s="33" t="s">
        <v>40</v>
      </c>
    </row>
    <row r="275" spans="1:9" x14ac:dyDescent="0.25">
      <c r="A275" s="33" t="s">
        <v>166</v>
      </c>
      <c r="B275" s="33" t="s">
        <v>37</v>
      </c>
      <c r="C275" s="33" t="s">
        <v>6</v>
      </c>
      <c r="D275" s="33" t="s">
        <v>0</v>
      </c>
      <c r="E275" s="33" t="s">
        <v>164</v>
      </c>
      <c r="F275" s="33" t="s">
        <v>4</v>
      </c>
      <c r="G275" s="33" t="s">
        <v>112</v>
      </c>
      <c r="H275" s="33">
        <v>0</v>
      </c>
      <c r="I275" s="33" t="s">
        <v>40</v>
      </c>
    </row>
    <row r="276" spans="1:9" x14ac:dyDescent="0.25">
      <c r="A276" s="33" t="s">
        <v>166</v>
      </c>
      <c r="B276" s="33" t="s">
        <v>37</v>
      </c>
      <c r="C276" s="33" t="s">
        <v>6</v>
      </c>
      <c r="D276" s="33" t="s">
        <v>0</v>
      </c>
      <c r="E276" s="33" t="s">
        <v>164</v>
      </c>
      <c r="F276" s="33" t="s">
        <v>5</v>
      </c>
      <c r="G276" s="33" t="s">
        <v>23</v>
      </c>
      <c r="H276" s="33">
        <v>0</v>
      </c>
      <c r="I276" s="33" t="s">
        <v>40</v>
      </c>
    </row>
    <row r="277" spans="1:9" x14ac:dyDescent="0.25">
      <c r="A277" s="33" t="s">
        <v>166</v>
      </c>
      <c r="B277" s="33" t="s">
        <v>37</v>
      </c>
      <c r="C277" s="33" t="s">
        <v>6</v>
      </c>
      <c r="D277" s="33" t="s">
        <v>6</v>
      </c>
      <c r="E277" s="33" t="s">
        <v>134</v>
      </c>
      <c r="F277" s="33" t="s">
        <v>7</v>
      </c>
      <c r="G277" s="33" t="s">
        <v>18</v>
      </c>
      <c r="H277" s="33">
        <v>1</v>
      </c>
      <c r="I277" s="33" t="s">
        <v>40</v>
      </c>
    </row>
    <row r="278" spans="1:9" x14ac:dyDescent="0.25">
      <c r="A278" s="33" t="s">
        <v>166</v>
      </c>
      <c r="B278" s="33" t="s">
        <v>37</v>
      </c>
      <c r="C278" s="33" t="s">
        <v>6</v>
      </c>
      <c r="D278" s="33" t="s">
        <v>6</v>
      </c>
      <c r="E278" s="33" t="s">
        <v>134</v>
      </c>
      <c r="F278" s="33" t="s">
        <v>8</v>
      </c>
      <c r="G278" s="33" t="s">
        <v>17</v>
      </c>
      <c r="H278" s="33">
        <v>0</v>
      </c>
      <c r="I278" s="33" t="s">
        <v>40</v>
      </c>
    </row>
    <row r="279" spans="1:9" x14ac:dyDescent="0.25">
      <c r="A279" s="33" t="s">
        <v>166</v>
      </c>
      <c r="B279" s="33" t="s">
        <v>37</v>
      </c>
      <c r="C279" s="33" t="s">
        <v>6</v>
      </c>
      <c r="D279" s="33" t="s">
        <v>6</v>
      </c>
      <c r="E279" s="33" t="s">
        <v>134</v>
      </c>
      <c r="F279" s="33" t="s">
        <v>9</v>
      </c>
      <c r="G279" s="33" t="s">
        <v>15</v>
      </c>
      <c r="H279" s="33">
        <v>2</v>
      </c>
      <c r="I279" s="33" t="s">
        <v>40</v>
      </c>
    </row>
    <row r="280" spans="1:9" x14ac:dyDescent="0.25">
      <c r="A280" s="33" t="s">
        <v>166</v>
      </c>
      <c r="B280" s="33" t="s">
        <v>37</v>
      </c>
      <c r="C280" s="33" t="s">
        <v>6</v>
      </c>
      <c r="D280" s="33" t="s">
        <v>6</v>
      </c>
      <c r="E280" s="33" t="s">
        <v>134</v>
      </c>
      <c r="F280" s="33" t="s">
        <v>10</v>
      </c>
      <c r="G280" s="33" t="s">
        <v>122</v>
      </c>
      <c r="H280" s="33">
        <v>0</v>
      </c>
      <c r="I280" s="33" t="s">
        <v>40</v>
      </c>
    </row>
    <row r="281" spans="1:9" x14ac:dyDescent="0.25">
      <c r="A281" s="33" t="s">
        <v>166</v>
      </c>
      <c r="B281" s="33" t="s">
        <v>37</v>
      </c>
      <c r="C281" s="33" t="s">
        <v>6</v>
      </c>
      <c r="D281" s="33" t="s">
        <v>6</v>
      </c>
      <c r="E281" s="33" t="s">
        <v>134</v>
      </c>
      <c r="F281" s="33" t="s">
        <v>11</v>
      </c>
      <c r="G281" s="33" t="s">
        <v>130</v>
      </c>
      <c r="H281" s="33">
        <v>2</v>
      </c>
      <c r="I281" s="33" t="s">
        <v>40</v>
      </c>
    </row>
    <row r="282" spans="1:9" x14ac:dyDescent="0.25">
      <c r="A282" s="33" t="s">
        <v>167</v>
      </c>
      <c r="B282" s="33" t="s">
        <v>37</v>
      </c>
      <c r="C282" s="33" t="s">
        <v>6</v>
      </c>
      <c r="D282" s="33" t="s">
        <v>0</v>
      </c>
      <c r="E282" s="33" t="s">
        <v>134</v>
      </c>
      <c r="F282" s="33" t="s">
        <v>1</v>
      </c>
      <c r="G282" s="33" t="s">
        <v>15</v>
      </c>
      <c r="H282" s="33">
        <v>2</v>
      </c>
      <c r="I282" s="33" t="s">
        <v>40</v>
      </c>
    </row>
    <row r="283" spans="1:9" x14ac:dyDescent="0.25">
      <c r="A283" s="33" t="s">
        <v>167</v>
      </c>
      <c r="B283" s="33" t="s">
        <v>37</v>
      </c>
      <c r="C283" s="33" t="s">
        <v>6</v>
      </c>
      <c r="D283" s="33" t="s">
        <v>0</v>
      </c>
      <c r="E283" s="33" t="s">
        <v>134</v>
      </c>
      <c r="F283" s="33" t="s">
        <v>2</v>
      </c>
      <c r="G283" s="33" t="s">
        <v>16</v>
      </c>
      <c r="H283" s="33">
        <v>0</v>
      </c>
      <c r="I283" s="33" t="s">
        <v>40</v>
      </c>
    </row>
    <row r="284" spans="1:9" x14ac:dyDescent="0.25">
      <c r="A284" s="33" t="s">
        <v>167</v>
      </c>
      <c r="B284" s="33" t="s">
        <v>37</v>
      </c>
      <c r="C284" s="33" t="s">
        <v>6</v>
      </c>
      <c r="D284" s="33" t="s">
        <v>0</v>
      </c>
      <c r="E284" s="33" t="s">
        <v>134</v>
      </c>
      <c r="F284" s="33" t="s">
        <v>3</v>
      </c>
      <c r="G284" s="33" t="s">
        <v>17</v>
      </c>
      <c r="H284" s="33">
        <v>2</v>
      </c>
      <c r="I284" s="33" t="s">
        <v>40</v>
      </c>
    </row>
    <row r="285" spans="1:9" x14ac:dyDescent="0.25">
      <c r="A285" s="33" t="s">
        <v>167</v>
      </c>
      <c r="B285" s="33" t="s">
        <v>37</v>
      </c>
      <c r="C285" s="33" t="s">
        <v>6</v>
      </c>
      <c r="D285" s="33" t="s">
        <v>0</v>
      </c>
      <c r="E285" s="33" t="s">
        <v>134</v>
      </c>
      <c r="F285" s="33" t="s">
        <v>4</v>
      </c>
      <c r="G285" s="33" t="s">
        <v>122</v>
      </c>
      <c r="H285" s="33">
        <v>0</v>
      </c>
      <c r="I285" s="33" t="s">
        <v>40</v>
      </c>
    </row>
    <row r="286" spans="1:9" x14ac:dyDescent="0.25">
      <c r="A286" s="33" t="s">
        <v>167</v>
      </c>
      <c r="B286" s="33" t="s">
        <v>37</v>
      </c>
      <c r="C286" s="33" t="s">
        <v>6</v>
      </c>
      <c r="D286" s="33" t="s">
        <v>0</v>
      </c>
      <c r="E286" s="33" t="s">
        <v>134</v>
      </c>
      <c r="F286" s="33" t="s">
        <v>5</v>
      </c>
      <c r="G286" s="33" t="s">
        <v>18</v>
      </c>
      <c r="H286" s="33">
        <v>0</v>
      </c>
      <c r="I286" s="33" t="s">
        <v>40</v>
      </c>
    </row>
    <row r="287" spans="1:9" x14ac:dyDescent="0.25">
      <c r="A287" s="33" t="s">
        <v>167</v>
      </c>
      <c r="B287" s="33" t="s">
        <v>37</v>
      </c>
      <c r="C287" s="33" t="s">
        <v>6</v>
      </c>
      <c r="D287" s="33" t="s">
        <v>6</v>
      </c>
      <c r="E287" s="33" t="s">
        <v>164</v>
      </c>
      <c r="F287" s="33" t="s">
        <v>7</v>
      </c>
      <c r="G287" s="33" t="s">
        <v>20</v>
      </c>
      <c r="H287" s="33">
        <v>1</v>
      </c>
      <c r="I287" s="33" t="s">
        <v>40</v>
      </c>
    </row>
    <row r="288" spans="1:9" x14ac:dyDescent="0.25">
      <c r="A288" s="33" t="s">
        <v>167</v>
      </c>
      <c r="B288" s="33" t="s">
        <v>37</v>
      </c>
      <c r="C288" s="33" t="s">
        <v>6</v>
      </c>
      <c r="D288" s="33" t="s">
        <v>6</v>
      </c>
      <c r="E288" s="33" t="s">
        <v>164</v>
      </c>
      <c r="F288" s="33" t="s">
        <v>8</v>
      </c>
      <c r="G288" s="33" t="s">
        <v>109</v>
      </c>
      <c r="H288" s="33">
        <v>0</v>
      </c>
      <c r="I288" s="33" t="s">
        <v>40</v>
      </c>
    </row>
    <row r="289" spans="1:9" x14ac:dyDescent="0.25">
      <c r="A289" s="33" t="s">
        <v>167</v>
      </c>
      <c r="B289" s="33" t="s">
        <v>37</v>
      </c>
      <c r="C289" s="33" t="s">
        <v>6</v>
      </c>
      <c r="D289" s="33" t="s">
        <v>6</v>
      </c>
      <c r="E289" s="33" t="s">
        <v>164</v>
      </c>
      <c r="F289" s="33" t="s">
        <v>9</v>
      </c>
      <c r="G289" s="33" t="s">
        <v>21</v>
      </c>
      <c r="H289" s="33">
        <v>3</v>
      </c>
      <c r="I289" s="33" t="s">
        <v>40</v>
      </c>
    </row>
    <row r="290" spans="1:9" x14ac:dyDescent="0.25">
      <c r="A290" s="33" t="s">
        <v>167</v>
      </c>
      <c r="B290" s="33" t="s">
        <v>37</v>
      </c>
      <c r="C290" s="33" t="s">
        <v>6</v>
      </c>
      <c r="D290" s="33" t="s">
        <v>6</v>
      </c>
      <c r="E290" s="33" t="s">
        <v>164</v>
      </c>
      <c r="F290" s="33" t="s">
        <v>10</v>
      </c>
      <c r="G290" s="33" t="s">
        <v>112</v>
      </c>
      <c r="H290" s="33">
        <v>1</v>
      </c>
      <c r="I290" s="33" t="s">
        <v>40</v>
      </c>
    </row>
    <row r="291" spans="1:9" x14ac:dyDescent="0.25">
      <c r="A291" s="33" t="s">
        <v>167</v>
      </c>
      <c r="B291" s="33" t="s">
        <v>37</v>
      </c>
      <c r="C291" s="33" t="s">
        <v>6</v>
      </c>
      <c r="D291" s="33" t="s">
        <v>6</v>
      </c>
      <c r="E291" s="33" t="s">
        <v>164</v>
      </c>
      <c r="F291" s="33" t="s">
        <v>11</v>
      </c>
      <c r="G291" s="33" t="s">
        <v>23</v>
      </c>
      <c r="H291" s="33">
        <v>0</v>
      </c>
      <c r="I291" s="33" t="s">
        <v>40</v>
      </c>
    </row>
    <row r="292" spans="1:9" x14ac:dyDescent="0.25">
      <c r="A292" s="33" t="s">
        <v>168</v>
      </c>
      <c r="B292" s="33" t="s">
        <v>37</v>
      </c>
      <c r="C292" s="33" t="s">
        <v>6</v>
      </c>
      <c r="D292" s="33" t="s">
        <v>0</v>
      </c>
      <c r="E292" s="33" t="s">
        <v>164</v>
      </c>
      <c r="F292" s="33" t="s">
        <v>1</v>
      </c>
      <c r="G292" s="33" t="s">
        <v>21</v>
      </c>
      <c r="H292" s="33">
        <v>3</v>
      </c>
      <c r="I292" s="33" t="s">
        <v>40</v>
      </c>
    </row>
    <row r="293" spans="1:9" x14ac:dyDescent="0.25">
      <c r="A293" s="33" t="s">
        <v>168</v>
      </c>
      <c r="B293" s="33" t="s">
        <v>37</v>
      </c>
      <c r="C293" s="33" t="s">
        <v>6</v>
      </c>
      <c r="D293" s="33" t="s">
        <v>0</v>
      </c>
      <c r="E293" s="33" t="s">
        <v>164</v>
      </c>
      <c r="F293" s="33" t="s">
        <v>2</v>
      </c>
      <c r="G293" s="33" t="s">
        <v>20</v>
      </c>
      <c r="H293" s="33">
        <v>1</v>
      </c>
      <c r="I293" s="33" t="s">
        <v>40</v>
      </c>
    </row>
    <row r="294" spans="1:9" x14ac:dyDescent="0.25">
      <c r="A294" s="33" t="s">
        <v>168</v>
      </c>
      <c r="B294" s="33" t="s">
        <v>37</v>
      </c>
      <c r="C294" s="33" t="s">
        <v>6</v>
      </c>
      <c r="D294" s="33" t="s">
        <v>0</v>
      </c>
      <c r="E294" s="33" t="s">
        <v>164</v>
      </c>
      <c r="F294" s="33" t="s">
        <v>3</v>
      </c>
      <c r="G294" s="33" t="s">
        <v>109</v>
      </c>
      <c r="H294" s="33">
        <v>0</v>
      </c>
      <c r="I294" s="33" t="s">
        <v>40</v>
      </c>
    </row>
    <row r="295" spans="1:9" x14ac:dyDescent="0.25">
      <c r="A295" s="33" t="s">
        <v>168</v>
      </c>
      <c r="B295" s="33" t="s">
        <v>37</v>
      </c>
      <c r="C295" s="33" t="s">
        <v>6</v>
      </c>
      <c r="D295" s="33" t="s">
        <v>0</v>
      </c>
      <c r="E295" s="33" t="s">
        <v>164</v>
      </c>
      <c r="F295" s="33" t="s">
        <v>4</v>
      </c>
      <c r="G295" s="33" t="s">
        <v>112</v>
      </c>
      <c r="H295" s="33">
        <v>0</v>
      </c>
      <c r="I295" s="33" t="s">
        <v>40</v>
      </c>
    </row>
    <row r="296" spans="1:9" x14ac:dyDescent="0.25">
      <c r="A296" s="33" t="s">
        <v>168</v>
      </c>
      <c r="B296" s="33" t="s">
        <v>37</v>
      </c>
      <c r="C296" s="33" t="s">
        <v>6</v>
      </c>
      <c r="D296" s="33" t="s">
        <v>0</v>
      </c>
      <c r="E296" s="33" t="s">
        <v>164</v>
      </c>
      <c r="F296" s="33" t="s">
        <v>5</v>
      </c>
      <c r="G296" s="33" t="s">
        <v>23</v>
      </c>
      <c r="H296" s="33">
        <v>0</v>
      </c>
      <c r="I296" s="33" t="s">
        <v>40</v>
      </c>
    </row>
    <row r="297" spans="1:9" x14ac:dyDescent="0.25">
      <c r="A297" s="33" t="s">
        <v>168</v>
      </c>
      <c r="B297" s="33" t="s">
        <v>37</v>
      </c>
      <c r="C297" s="33" t="s">
        <v>6</v>
      </c>
      <c r="D297" s="33" t="s">
        <v>6</v>
      </c>
      <c r="E297" s="33" t="s">
        <v>134</v>
      </c>
      <c r="F297" s="33" t="s">
        <v>7</v>
      </c>
      <c r="G297" s="33" t="s">
        <v>18</v>
      </c>
      <c r="H297" s="33">
        <v>1</v>
      </c>
      <c r="I297" s="33" t="s">
        <v>40</v>
      </c>
    </row>
    <row r="298" spans="1:9" x14ac:dyDescent="0.25">
      <c r="A298" s="33" t="s">
        <v>168</v>
      </c>
      <c r="B298" s="33" t="s">
        <v>37</v>
      </c>
      <c r="C298" s="33" t="s">
        <v>6</v>
      </c>
      <c r="D298" s="33" t="s">
        <v>6</v>
      </c>
      <c r="E298" s="33" t="s">
        <v>134</v>
      </c>
      <c r="F298" s="33" t="s">
        <v>8</v>
      </c>
      <c r="G298" s="33" t="s">
        <v>17</v>
      </c>
      <c r="H298" s="33">
        <v>0</v>
      </c>
      <c r="I298" s="33" t="s">
        <v>40</v>
      </c>
    </row>
    <row r="299" spans="1:9" x14ac:dyDescent="0.25">
      <c r="A299" s="33" t="s">
        <v>168</v>
      </c>
      <c r="B299" s="33" t="s">
        <v>37</v>
      </c>
      <c r="C299" s="33" t="s">
        <v>6</v>
      </c>
      <c r="D299" s="33" t="s">
        <v>6</v>
      </c>
      <c r="E299" s="33" t="s">
        <v>134</v>
      </c>
      <c r="F299" s="33" t="s">
        <v>9</v>
      </c>
      <c r="G299" s="33" t="s">
        <v>15</v>
      </c>
      <c r="H299" s="33">
        <v>2</v>
      </c>
      <c r="I299" s="33" t="s">
        <v>40</v>
      </c>
    </row>
    <row r="300" spans="1:9" x14ac:dyDescent="0.25">
      <c r="A300" s="33" t="s">
        <v>168</v>
      </c>
      <c r="B300" s="33" t="s">
        <v>37</v>
      </c>
      <c r="C300" s="33" t="s">
        <v>6</v>
      </c>
      <c r="D300" s="33" t="s">
        <v>6</v>
      </c>
      <c r="E300" s="33" t="s">
        <v>134</v>
      </c>
      <c r="F300" s="33" t="s">
        <v>10</v>
      </c>
      <c r="G300" s="33" t="s">
        <v>122</v>
      </c>
      <c r="H300" s="33">
        <v>1</v>
      </c>
      <c r="I300" s="33" t="s">
        <v>40</v>
      </c>
    </row>
    <row r="301" spans="1:9" x14ac:dyDescent="0.25">
      <c r="A301" s="33" t="s">
        <v>168</v>
      </c>
      <c r="B301" s="33" t="s">
        <v>37</v>
      </c>
      <c r="C301" s="33" t="s">
        <v>6</v>
      </c>
      <c r="D301" s="33" t="s">
        <v>6</v>
      </c>
      <c r="E301" s="33" t="s">
        <v>134</v>
      </c>
      <c r="F301" s="33" t="s">
        <v>11</v>
      </c>
      <c r="G301" s="33" t="s">
        <v>130</v>
      </c>
      <c r="H301" s="33">
        <v>1</v>
      </c>
      <c r="I301" s="33" t="s">
        <v>40</v>
      </c>
    </row>
    <row r="302" spans="1:9" x14ac:dyDescent="0.25">
      <c r="A302" s="33" t="s">
        <v>169</v>
      </c>
      <c r="B302" s="33" t="s">
        <v>37</v>
      </c>
      <c r="C302" s="33" t="s">
        <v>6</v>
      </c>
      <c r="D302" s="33" t="s">
        <v>0</v>
      </c>
      <c r="E302" s="33" t="s">
        <v>134</v>
      </c>
      <c r="F302" s="33" t="s">
        <v>1</v>
      </c>
      <c r="G302" s="33" t="s">
        <v>15</v>
      </c>
      <c r="H302" s="33">
        <v>1</v>
      </c>
      <c r="I302" s="33" t="s">
        <v>40</v>
      </c>
    </row>
    <row r="303" spans="1:9" x14ac:dyDescent="0.25">
      <c r="A303" s="33" t="s">
        <v>169</v>
      </c>
      <c r="B303" s="33" t="s">
        <v>37</v>
      </c>
      <c r="C303" s="33" t="s">
        <v>6</v>
      </c>
      <c r="D303" s="33" t="s">
        <v>0</v>
      </c>
      <c r="E303" s="33" t="s">
        <v>134</v>
      </c>
      <c r="F303" s="33" t="s">
        <v>2</v>
      </c>
      <c r="G303" s="33" t="s">
        <v>16</v>
      </c>
      <c r="H303" s="33">
        <v>0</v>
      </c>
      <c r="I303" s="33" t="s">
        <v>40</v>
      </c>
    </row>
    <row r="304" spans="1:9" x14ac:dyDescent="0.25">
      <c r="A304" s="33" t="s">
        <v>169</v>
      </c>
      <c r="B304" s="33" t="s">
        <v>37</v>
      </c>
      <c r="C304" s="33" t="s">
        <v>6</v>
      </c>
      <c r="D304" s="33" t="s">
        <v>0</v>
      </c>
      <c r="E304" s="33" t="s">
        <v>134</v>
      </c>
      <c r="F304" s="33" t="s">
        <v>3</v>
      </c>
      <c r="G304" s="33" t="s">
        <v>17</v>
      </c>
      <c r="H304" s="33">
        <v>0</v>
      </c>
      <c r="I304" s="33" t="s">
        <v>40</v>
      </c>
    </row>
    <row r="305" spans="1:9" x14ac:dyDescent="0.25">
      <c r="A305" s="33" t="s">
        <v>169</v>
      </c>
      <c r="B305" s="33" t="s">
        <v>37</v>
      </c>
      <c r="C305" s="33" t="s">
        <v>6</v>
      </c>
      <c r="D305" s="33" t="s">
        <v>0</v>
      </c>
      <c r="E305" s="33" t="s">
        <v>134</v>
      </c>
      <c r="F305" s="33" t="s">
        <v>4</v>
      </c>
      <c r="G305" s="33" t="s">
        <v>122</v>
      </c>
      <c r="H305" s="33">
        <v>1</v>
      </c>
      <c r="I305" s="33" t="s">
        <v>40</v>
      </c>
    </row>
    <row r="306" spans="1:9" x14ac:dyDescent="0.25">
      <c r="A306" s="33" t="s">
        <v>169</v>
      </c>
      <c r="B306" s="33" t="s">
        <v>37</v>
      </c>
      <c r="C306" s="33" t="s">
        <v>6</v>
      </c>
      <c r="D306" s="33" t="s">
        <v>0</v>
      </c>
      <c r="E306" s="33" t="s">
        <v>134</v>
      </c>
      <c r="F306" s="33" t="s">
        <v>5</v>
      </c>
      <c r="G306" s="33" t="s">
        <v>18</v>
      </c>
      <c r="H306" s="33">
        <v>2</v>
      </c>
      <c r="I306" s="33" t="s">
        <v>40</v>
      </c>
    </row>
    <row r="307" spans="1:9" x14ac:dyDescent="0.25">
      <c r="A307" s="33" t="s">
        <v>169</v>
      </c>
      <c r="B307" s="33" t="s">
        <v>37</v>
      </c>
      <c r="C307" s="33" t="s">
        <v>6</v>
      </c>
      <c r="D307" s="33" t="s">
        <v>6</v>
      </c>
      <c r="E307" s="33" t="s">
        <v>164</v>
      </c>
      <c r="F307" s="33" t="s">
        <v>7</v>
      </c>
      <c r="G307" s="33" t="s">
        <v>20</v>
      </c>
      <c r="H307" s="33">
        <v>1</v>
      </c>
      <c r="I307" s="33" t="s">
        <v>40</v>
      </c>
    </row>
    <row r="308" spans="1:9" x14ac:dyDescent="0.25">
      <c r="A308" s="33" t="s">
        <v>169</v>
      </c>
      <c r="B308" s="33" t="s">
        <v>37</v>
      </c>
      <c r="C308" s="33" t="s">
        <v>6</v>
      </c>
      <c r="D308" s="33" t="s">
        <v>6</v>
      </c>
      <c r="E308" s="33" t="s">
        <v>164</v>
      </c>
      <c r="F308" s="33" t="s">
        <v>8</v>
      </c>
      <c r="G308" s="33" t="s">
        <v>109</v>
      </c>
      <c r="H308" s="33">
        <v>1</v>
      </c>
      <c r="I308" s="33" t="s">
        <v>40</v>
      </c>
    </row>
    <row r="309" spans="1:9" x14ac:dyDescent="0.25">
      <c r="A309" s="33" t="s">
        <v>169</v>
      </c>
      <c r="B309" s="33" t="s">
        <v>37</v>
      </c>
      <c r="C309" s="33" t="s">
        <v>6</v>
      </c>
      <c r="D309" s="33" t="s">
        <v>6</v>
      </c>
      <c r="E309" s="33" t="s">
        <v>164</v>
      </c>
      <c r="F309" s="33" t="s">
        <v>9</v>
      </c>
      <c r="G309" s="33" t="s">
        <v>21</v>
      </c>
      <c r="H309" s="33">
        <v>2</v>
      </c>
      <c r="I309" s="33" t="s">
        <v>40</v>
      </c>
    </row>
    <row r="310" spans="1:9" x14ac:dyDescent="0.25">
      <c r="A310" s="33" t="s">
        <v>169</v>
      </c>
      <c r="B310" s="33" t="s">
        <v>37</v>
      </c>
      <c r="C310" s="33" t="s">
        <v>6</v>
      </c>
      <c r="D310" s="33" t="s">
        <v>6</v>
      </c>
      <c r="E310" s="33" t="s">
        <v>164</v>
      </c>
      <c r="F310" s="33" t="s">
        <v>10</v>
      </c>
      <c r="G310" s="33" t="s">
        <v>112</v>
      </c>
      <c r="H310" s="33">
        <v>0</v>
      </c>
      <c r="I310" s="33" t="s">
        <v>40</v>
      </c>
    </row>
    <row r="311" spans="1:9" x14ac:dyDescent="0.25">
      <c r="A311" s="33" t="s">
        <v>169</v>
      </c>
      <c r="B311" s="33" t="s">
        <v>37</v>
      </c>
      <c r="C311" s="33" t="s">
        <v>6</v>
      </c>
      <c r="D311" s="33" t="s">
        <v>6</v>
      </c>
      <c r="E311" s="33" t="s">
        <v>164</v>
      </c>
      <c r="F311" s="33" t="s">
        <v>11</v>
      </c>
      <c r="G311" s="33" t="s">
        <v>23</v>
      </c>
      <c r="H311" s="33">
        <v>1</v>
      </c>
      <c r="I311" s="33" t="s">
        <v>40</v>
      </c>
    </row>
  </sheetData>
  <pageMargins left="0.39370078740157483" right="0.39370078740157483" top="0.59055118110236227" bottom="0.59055118110236227" header="0.31496062992125984" footer="0.31496062992125984"/>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Intervalos Nomeados</vt:lpstr>
      </vt:variant>
      <vt:variant>
        <vt:i4>32</vt:i4>
      </vt:variant>
    </vt:vector>
  </HeadingPairs>
  <TitlesOfParts>
    <vt:vector size="36" baseType="lpstr">
      <vt:lpstr>Planilha</vt:lpstr>
      <vt:lpstr>Referencia</vt:lpstr>
      <vt:lpstr>Dashboard</vt:lpstr>
      <vt:lpstr>BD</vt:lpstr>
      <vt:lpstr>Ataque</vt:lpstr>
      <vt:lpstr>ATDados</vt:lpstr>
      <vt:lpstr>ATTT</vt:lpstr>
      <vt:lpstr>Bomb</vt:lpstr>
      <vt:lpstr>Defesa</vt:lpstr>
      <vt:lpstr>Limpar</vt:lpstr>
      <vt:lpstr>Mapa1</vt:lpstr>
      <vt:lpstr>Mapa10</vt:lpstr>
      <vt:lpstr>Mapa11</vt:lpstr>
      <vt:lpstr>Mapa12</vt:lpstr>
      <vt:lpstr>Mapa13</vt:lpstr>
      <vt:lpstr>Mapa14</vt:lpstr>
      <vt:lpstr>Mapa15</vt:lpstr>
      <vt:lpstr>Mapa16</vt:lpstr>
      <vt:lpstr>Mapa17</vt:lpstr>
      <vt:lpstr>Mapa18</vt:lpstr>
      <vt:lpstr>Mapa2</vt:lpstr>
      <vt:lpstr>Mapa3</vt:lpstr>
      <vt:lpstr>Mapa4</vt:lpstr>
      <vt:lpstr>Mapa5</vt:lpstr>
      <vt:lpstr>Mapa6</vt:lpstr>
      <vt:lpstr>Mapa7</vt:lpstr>
      <vt:lpstr>Mapa8</vt:lpstr>
      <vt:lpstr>Mapa9</vt:lpstr>
      <vt:lpstr>Team1</vt:lpstr>
      <vt:lpstr>Team2</vt:lpstr>
      <vt:lpstr>Team3</vt:lpstr>
      <vt:lpstr>Team4</vt:lpstr>
      <vt:lpstr>Team5</vt:lpstr>
      <vt:lpstr>Team6</vt:lpstr>
      <vt:lpstr>Team7</vt:lpstr>
      <vt:lpstr>Team8</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DeVeras</dc:creator>
  <cp:lastModifiedBy>Ivanildo Junior</cp:lastModifiedBy>
  <cp:lastPrinted>2017-11-21T13:38:45Z</cp:lastPrinted>
  <dcterms:created xsi:type="dcterms:W3CDTF">2017-11-16T22:08:26Z</dcterms:created>
  <dcterms:modified xsi:type="dcterms:W3CDTF">2017-11-25T00:48:28Z</dcterms:modified>
</cp:coreProperties>
</file>