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vbaBancaVazam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BandaJDVazame\"/>
    </mc:Choice>
  </mc:AlternateContent>
  <xr:revisionPtr revIDLastSave="0" documentId="13_ncr:1_{833F31F2-C9D5-41DE-82B9-51E8A78E78B3}" xr6:coauthVersionLast="40" xr6:coauthVersionMax="40" xr10:uidLastSave="{00000000-0000-0000-0000-000000000000}"/>
  <bookViews>
    <workbookView xWindow="-120" yWindow="-120" windowWidth="20730" windowHeight="11160" tabRatio="682" xr2:uid="{EA5956DD-6E49-4B86-A2EB-9D721A200B08}"/>
  </bookViews>
  <sheets>
    <sheet name="PáginaInicial" sheetId="3" r:id="rId1"/>
    <sheet name="TabelaDados" sheetId="1" r:id="rId2"/>
    <sheet name="RelatórioGerencial" sheetId="2" r:id="rId3"/>
    <sheet name="sPagamentos" sheetId="5" r:id="rId4"/>
  </sheets>
  <calcPr calcId="191029"/>
  <pivotCaches>
    <pivotCache cacheId="0" r:id="rId5"/>
    <pivotCache cacheId="8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G7" i="1"/>
  <c r="H7" i="1"/>
  <c r="I7" i="1"/>
  <c r="C10" i="5" l="1"/>
</calcChain>
</file>

<file path=xl/sharedStrings.xml><?xml version="1.0" encoding="utf-8"?>
<sst xmlns="http://schemas.openxmlformats.org/spreadsheetml/2006/main" count="37" uniqueCount="20">
  <si>
    <t>DATA</t>
  </si>
  <si>
    <t>PRODUTO</t>
  </si>
  <si>
    <t>VALOR</t>
  </si>
  <si>
    <t>ANO</t>
  </si>
  <si>
    <t>MÊS</t>
  </si>
  <si>
    <t>DIA</t>
  </si>
  <si>
    <t>TOTAL</t>
  </si>
  <si>
    <t>DIA_SEMANA</t>
  </si>
  <si>
    <t>Janeiro</t>
  </si>
  <si>
    <t>PERCENTUAL</t>
  </si>
  <si>
    <t>Total Geral</t>
  </si>
  <si>
    <t>TOTAL POR MÊS E ANO</t>
  </si>
  <si>
    <t>ID</t>
  </si>
  <si>
    <t xml:space="preserve"> </t>
  </si>
  <si>
    <t>(Tudo)</t>
  </si>
  <si>
    <t>(vazio)</t>
  </si>
  <si>
    <t>Data</t>
  </si>
  <si>
    <t>Valor</t>
  </si>
  <si>
    <t>NÃO PAGO</t>
  </si>
  <si>
    <t>Valida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</si>
</sst>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R$&quot;* #,##0.00_);_(&quot;R$&quot;* \(#,##0.00\);_(&quot;R$&quot;* &quot;-&quot;??_);_(@_)"/>
    <numFmt numFmtId="165" formatCode="0.0%"/>
    <numFmt numFmtId="166" formatCode="dd/mm/yyyy\ hh:mm:ss"/>
    <numFmt numFmtId="167" formatCode="General\º"/>
  </numFmts>
  <fonts count="5" x14ac:knownFonts="1">
    <font>
      <sz val="10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Segoe UI"/>
      <family val="2"/>
    </font>
    <font>
      <sz val="14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gradientFill degree="90">
        <stop position="0">
          <color rgb="FF660066"/>
        </stop>
        <stop position="0.5">
          <color theme="1" tint="5.0965910824915313E-2"/>
        </stop>
        <stop position="1">
          <color rgb="FF660066"/>
        </stop>
      </gradient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0" fillId="2" borderId="0" xfId="0" applyFont="1" applyFill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4" borderId="0" xfId="0" applyFont="1" applyFill="1"/>
    <xf numFmtId="0" fontId="0" fillId="5" borderId="1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166" fontId="0" fillId="5" borderId="0" xfId="0" applyNumberFormat="1" applyFont="1" applyFill="1" applyBorder="1" applyAlignment="1">
      <alignment horizontal="center" vertical="center"/>
    </xf>
    <xf numFmtId="14" fontId="0" fillId="4" borderId="0" xfId="0" applyNumberFormat="1" applyFont="1" applyFill="1"/>
    <xf numFmtId="0" fontId="4" fillId="4" borderId="0" xfId="0" applyFont="1" applyFill="1"/>
    <xf numFmtId="0" fontId="4" fillId="4" borderId="0" xfId="0" applyFont="1" applyFill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5" fontId="4" fillId="4" borderId="0" xfId="0" applyNumberFormat="1" applyFont="1" applyFill="1" applyAlignment="1">
      <alignment horizontal="center" vertical="center"/>
    </xf>
    <xf numFmtId="0" fontId="4" fillId="0" borderId="0" xfId="0" pivotButton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0" fillId="5" borderId="0" xfId="0" applyNumberFormat="1" applyFont="1" applyFill="1" applyBorder="1" applyAlignment="1">
      <alignment horizontal="center" vertical="center"/>
    </xf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164" fontId="4" fillId="0" borderId="0" xfId="0" applyNumberFormat="1" applyFont="1"/>
    <xf numFmtId="0" fontId="2" fillId="0" borderId="0" xfId="1"/>
    <xf numFmtId="14" fontId="2" fillId="0" borderId="0" xfId="1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1" fillId="0" borderId="0" xfId="0" applyNumberFormat="1" applyFont="1" applyFill="1" applyBorder="1" applyAlignment="1" applyProtection="1">
      <alignment horizontal="center"/>
    </xf>
    <xf numFmtId="14" fontId="1" fillId="0" borderId="0" xfId="0" applyNumberFormat="1" applyFont="1" applyFill="1" applyBorder="1" applyAlignment="1" applyProtection="1">
      <alignment horizontal="center"/>
    </xf>
    <xf numFmtId="164" fontId="1" fillId="0" borderId="0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Normal 2" xfId="1" xr:uid="{C8B4C766-B2BB-44EA-BE0A-722E642DCEC8}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8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General\º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7" formatCode="General\º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6" formatCode="dd/mm/yyyy\ hh:mm:ss"/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fill>
        <gradientFill degree="90">
          <stop position="0">
            <color rgb="FF660066"/>
          </stop>
          <stop position="0.5">
            <color theme="1" tint="5.0965910824915313E-2"/>
          </stop>
          <stop position="1">
            <color rgb="FF660066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  <fill>
        <gradientFill degree="270">
          <stop position="0">
            <color rgb="FF660066"/>
          </stop>
          <stop position="1">
            <color theme="1"/>
          </stop>
        </gradientFill>
      </fill>
    </dxf>
    <dxf>
      <fill>
        <gradientFill degree="270">
          <stop position="0">
            <color rgb="FF660066"/>
          </stop>
          <stop position="1">
            <color theme="1" tint="5.0965910824915313E-2"/>
          </stop>
        </gradient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1"/>
      </font>
      <fill>
        <patternFill patternType="solid">
          <fgColor auto="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auto="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gradientFill degree="90">
          <stop position="0">
            <color theme="1"/>
          </stop>
          <stop position="0.5">
            <color rgb="FF660066"/>
          </stop>
          <stop position="1">
            <color theme="1"/>
          </stop>
        </gradientFill>
      </fill>
    </dxf>
    <dxf>
      <font>
        <color theme="0"/>
      </font>
      <fill>
        <gradientFill degree="90">
          <stop position="0">
            <color theme="1"/>
          </stop>
          <stop position="0.5">
            <color rgb="FF660066"/>
          </stop>
          <stop position="1">
            <color theme="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1"/>
          </stop>
          <stop position="0.5">
            <color rgb="FF660066"/>
          </stop>
          <stop position="1">
            <color theme="1"/>
          </stop>
        </gradientFill>
      </fill>
    </dxf>
    <dxf>
      <font>
        <color theme="0"/>
      </font>
      <fill>
        <gradientFill degree="90">
          <stop position="0">
            <color theme="1"/>
          </stop>
          <stop position="0.5">
            <color rgb="FF660066"/>
          </stop>
          <stop position="1">
            <color theme="1"/>
          </stop>
        </gradientFill>
      </fill>
    </dxf>
    <dxf>
      <font>
        <color theme="0"/>
      </font>
      <fill>
        <gradientFill degree="90">
          <stop position="0">
            <color theme="1" tint="5.0965910824915313E-2"/>
          </stop>
          <stop position="0.5">
            <color rgb="FF660066"/>
          </stop>
          <stop position="1">
            <color theme="1" tint="5.0965910824915313E-2"/>
          </stop>
        </gradientFill>
      </fill>
    </dxf>
  </dxfs>
  <tableStyles count="4" defaultTableStyle="TableStyleMedium2" defaultPivotStyle="PivotStyleLight16">
    <tableStyle name="BancaVazameStyleDyn" table="0" count="6" xr9:uid="{4B48055E-DE30-4F93-9833-2692E179DE70}">
      <tableStyleElement type="wholeTable" dxfId="81"/>
      <tableStyleElement type="headerRow" dxfId="80"/>
      <tableStyleElement type="totalRow" dxfId="79"/>
      <tableStyleElement type="blankRow" dxfId="78"/>
      <tableStyleElement type="pageFieldLabels" dxfId="77"/>
      <tableStyleElement type="pageFieldValues" dxfId="76"/>
    </tableStyle>
    <tableStyle name="Estilo de Tabela 1" pivot="0" count="0" xr9:uid="{61E94D8D-F6DA-4552-9560-9AEABF1156AF}"/>
    <tableStyle name="SlicersBancaVazame" pivot="0" table="0" count="10" xr9:uid="{71B4836D-F62B-4D75-BD0D-71E3E2674735}">
      <tableStyleElement type="wholeTable" dxfId="75"/>
      <tableStyleElement type="headerRow" dxfId="74"/>
    </tableStyle>
    <tableStyle name="TimeLineBancaVazame" pivot="0" table="0" count="8" xr9:uid="{679C7BA1-4568-4B28-974A-C6750675D003}">
      <tableStyleElement type="wholeTable" dxfId="73"/>
      <tableStyleElement type="headerRow" dxfId="72"/>
    </tableStyle>
  </tableStyles>
  <colors>
    <mruColors>
      <color rgb="FFCC66FF"/>
      <color rgb="FF66006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660066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1"/>
              </stop>
              <stop position="1">
                <color rgb="FF660066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BancaVazam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gradientFill degree="270">
              <stop position="0">
                <color theme="0" tint="-0.49803155613879818"/>
              </stop>
              <stop position="1">
                <color theme="0" tint="-0.34900967436750391"/>
              </stop>
            </gradientFill>
          </fill>
        </dxf>
        <dxf>
          <font>
            <sz val="9"/>
            <color theme="0"/>
            <name val="Segoe UI"/>
            <family val="2"/>
            <scheme val="none"/>
          </font>
        </dxf>
        <dxf>
          <font>
            <sz val="10"/>
            <color theme="0"/>
            <name val="Segoe UI"/>
            <family val="2"/>
            <scheme val="none"/>
          </font>
        </dxf>
        <dxf>
          <font>
            <sz val="10"/>
            <color theme="0"/>
            <name val="Segoe UI"/>
            <family val="2"/>
            <scheme val="none"/>
          </font>
        </dxf>
        <dxf>
          <font>
            <b/>
            <i val="0"/>
            <sz val="10"/>
            <color theme="0"/>
            <name val="Segoe UI"/>
            <family val="2"/>
            <scheme val="none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BancaVazame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544410</xdr:colOff>
      <xdr:row>5</xdr:row>
      <xdr:rowOff>146011</xdr:rowOff>
    </xdr:from>
    <xdr:to>
      <xdr:col>6</xdr:col>
      <xdr:colOff>446010</xdr:colOff>
      <xdr:row>10</xdr:row>
      <xdr:rowOff>27376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6166723-F2D6-4F0F-AD87-1952FF639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610" y="1050886"/>
          <a:ext cx="2340000" cy="786240"/>
        </a:xfrm>
        <a:prstGeom prst="rect">
          <a:avLst/>
        </a:prstGeom>
      </xdr:spPr>
    </xdr:pic>
    <xdr:clientData/>
  </xdr:twoCellAnchor>
  <xdr:twoCellAnchor>
    <xdr:from>
      <xdr:col>14</xdr:col>
      <xdr:colOff>325012</xdr:colOff>
      <xdr:row>5</xdr:row>
      <xdr:rowOff>14607</xdr:rowOff>
    </xdr:from>
    <xdr:to>
      <xdr:col>18</xdr:col>
      <xdr:colOff>226612</xdr:colOff>
      <xdr:row>9</xdr:row>
      <xdr:rowOff>113101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8A1F29E-2630-4BF5-B480-DE46B449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9412" y="919482"/>
          <a:ext cx="2340000" cy="822394"/>
        </a:xfrm>
        <a:prstGeom prst="rect">
          <a:avLst/>
        </a:prstGeom>
      </xdr:spPr>
    </xdr:pic>
    <xdr:clientData/>
  </xdr:twoCellAnchor>
  <xdr:twoCellAnchor>
    <xdr:from>
      <xdr:col>3</xdr:col>
      <xdr:colOff>400710</xdr:colOff>
      <xdr:row>10</xdr:row>
      <xdr:rowOff>133349</xdr:rowOff>
    </xdr:from>
    <xdr:to>
      <xdr:col>5</xdr:col>
      <xdr:colOff>513510</xdr:colOff>
      <xdr:row>18</xdr:row>
      <xdr:rowOff>17549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330C0C6-2E16-416A-963F-65B16C92A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9510" y="1943099"/>
          <a:ext cx="1332000" cy="1332000"/>
        </a:xfrm>
        <a:prstGeom prst="rect">
          <a:avLst/>
        </a:prstGeom>
      </xdr:spPr>
    </xdr:pic>
    <xdr:clientData/>
  </xdr:twoCellAnchor>
  <xdr:twoCellAnchor>
    <xdr:from>
      <xdr:col>15</xdr:col>
      <xdr:colOff>286087</xdr:colOff>
      <xdr:row>10</xdr:row>
      <xdr:rowOff>19049</xdr:rowOff>
    </xdr:from>
    <xdr:to>
      <xdr:col>17</xdr:col>
      <xdr:colOff>276225</xdr:colOff>
      <xdr:row>17</xdr:row>
      <xdr:rowOff>41497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5ED88978-4B24-4C58-B94E-607F7DD89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0087" y="1828799"/>
          <a:ext cx="1209338" cy="1289273"/>
        </a:xfrm>
        <a:prstGeom prst="rect">
          <a:avLst/>
        </a:prstGeom>
      </xdr:spPr>
    </xdr:pic>
    <xdr:clientData/>
  </xdr:twoCellAnchor>
  <xdr:twoCellAnchor>
    <xdr:from>
      <xdr:col>8</xdr:col>
      <xdr:colOff>161926</xdr:colOff>
      <xdr:row>6</xdr:row>
      <xdr:rowOff>76200</xdr:rowOff>
    </xdr:from>
    <xdr:to>
      <xdr:col>12</xdr:col>
      <xdr:colOff>485776</xdr:colOff>
      <xdr:row>9</xdr:row>
      <xdr:rowOff>114300</xdr:rowOff>
    </xdr:to>
    <xdr:sp macro="[0]!CallForm" textlink="">
      <xdr:nvSpPr>
        <xdr:cNvPr id="14" name="Retângulo 13">
          <a:extLst>
            <a:ext uri="{FF2B5EF4-FFF2-40B4-BE49-F238E27FC236}">
              <a16:creationId xmlns:a16="http://schemas.microsoft.com/office/drawing/2014/main" id="{4C0E0F46-F597-4726-941A-825F55BD46B6}"/>
            </a:ext>
          </a:extLst>
        </xdr:cNvPr>
        <xdr:cNvSpPr/>
      </xdr:nvSpPr>
      <xdr:spPr>
        <a:xfrm>
          <a:off x="5038726" y="1162050"/>
          <a:ext cx="2762250" cy="581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Lançamentos</a:t>
          </a:r>
          <a:r>
            <a:rPr lang="pt-BR" sz="1400" b="1" baseline="0">
              <a:latin typeface="Segoe UI" panose="020B0502040204020203" pitchFamily="34" charset="0"/>
              <a:cs typeface="Segoe UI" panose="020B0502040204020203" pitchFamily="34" charset="0"/>
            </a:rPr>
            <a:t> de Vendas</a:t>
          </a:r>
          <a:endParaRPr lang="pt-BR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161926</xdr:colOff>
      <xdr:row>10</xdr:row>
      <xdr:rowOff>128588</xdr:rowOff>
    </xdr:from>
    <xdr:to>
      <xdr:col>12</xdr:col>
      <xdr:colOff>485776</xdr:colOff>
      <xdr:row>13</xdr:row>
      <xdr:rowOff>166688</xdr:rowOff>
    </xdr:to>
    <xdr:sp macro="[0]!GoToDados" textlink="">
      <xdr:nvSpPr>
        <xdr:cNvPr id="16" name="Retângulo 15">
          <a:extLst>
            <a:ext uri="{FF2B5EF4-FFF2-40B4-BE49-F238E27FC236}">
              <a16:creationId xmlns:a16="http://schemas.microsoft.com/office/drawing/2014/main" id="{9A30DAE0-D99C-4E25-B097-A20DAFF84490}"/>
            </a:ext>
          </a:extLst>
        </xdr:cNvPr>
        <xdr:cNvSpPr/>
      </xdr:nvSpPr>
      <xdr:spPr>
        <a:xfrm>
          <a:off x="5038726" y="1938338"/>
          <a:ext cx="2762250" cy="581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Relatório de Lançamentos</a:t>
          </a:r>
        </a:p>
      </xdr:txBody>
    </xdr:sp>
    <xdr:clientData/>
  </xdr:twoCellAnchor>
  <xdr:twoCellAnchor>
    <xdr:from>
      <xdr:col>8</xdr:col>
      <xdr:colOff>161926</xdr:colOff>
      <xdr:row>15</xdr:row>
      <xdr:rowOff>0</xdr:rowOff>
    </xdr:from>
    <xdr:to>
      <xdr:col>12</xdr:col>
      <xdr:colOff>485776</xdr:colOff>
      <xdr:row>18</xdr:row>
      <xdr:rowOff>38100</xdr:rowOff>
    </xdr:to>
    <xdr:sp macro="[0]!GoToReport" textlink="">
      <xdr:nvSpPr>
        <xdr:cNvPr id="17" name="Retângulo 16">
          <a:extLst>
            <a:ext uri="{FF2B5EF4-FFF2-40B4-BE49-F238E27FC236}">
              <a16:creationId xmlns:a16="http://schemas.microsoft.com/office/drawing/2014/main" id="{922FFADF-DE60-4745-97E5-068284C6E970}"/>
            </a:ext>
          </a:extLst>
        </xdr:cNvPr>
        <xdr:cNvSpPr/>
      </xdr:nvSpPr>
      <xdr:spPr>
        <a:xfrm>
          <a:off x="5038726" y="2714625"/>
          <a:ext cx="2762250" cy="581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Relatório</a:t>
          </a:r>
          <a:r>
            <a:rPr lang="pt-BR" sz="1400" b="1" baseline="0">
              <a:latin typeface="Segoe UI" panose="020B0502040204020203" pitchFamily="34" charset="0"/>
              <a:cs typeface="Segoe UI" panose="020B0502040204020203" pitchFamily="34" charset="0"/>
            </a:rPr>
            <a:t> Gerencial</a:t>
          </a:r>
          <a:endParaRPr lang="pt-BR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2</xdr:col>
      <xdr:colOff>295275</xdr:colOff>
      <xdr:row>4</xdr:row>
      <xdr:rowOff>19050</xdr:rowOff>
    </xdr:to>
    <xdr:pic macro="[0]!GoToHome">
      <xdr:nvPicPr>
        <xdr:cNvPr id="3" name="Gráfico 2" descr="Seta: curva em U">
          <a:extLst>
            <a:ext uri="{FF2B5EF4-FFF2-40B4-BE49-F238E27FC236}">
              <a16:creationId xmlns:a16="http://schemas.microsoft.com/office/drawing/2014/main" id="{E471DD26-D941-4FE6-97FF-8D635AC2C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0025" y="0"/>
          <a:ext cx="742950" cy="742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324114</xdr:colOff>
      <xdr:row>5</xdr:row>
      <xdr:rowOff>215637</xdr:rowOff>
    </xdr:from>
    <xdr:to>
      <xdr:col>3</xdr:col>
      <xdr:colOff>1467113</xdr:colOff>
      <xdr:row>9</xdr:row>
      <xdr:rowOff>212841</xdr:rowOff>
    </xdr:to>
    <xdr:grpSp>
      <xdr:nvGrpSpPr>
        <xdr:cNvPr id="13" name="AgruparFiltro">
          <a:extLst>
            <a:ext uri="{FF2B5EF4-FFF2-40B4-BE49-F238E27FC236}">
              <a16:creationId xmlns:a16="http://schemas.microsoft.com/office/drawing/2014/main" id="{EC15F2C3-D778-45F9-A380-9A735C1BF3CE}"/>
            </a:ext>
          </a:extLst>
        </xdr:cNvPr>
        <xdr:cNvGrpSpPr/>
      </xdr:nvGrpSpPr>
      <xdr:grpSpPr>
        <a:xfrm>
          <a:off x="4729427" y="1763450"/>
          <a:ext cx="1142999" cy="1092579"/>
          <a:chOff x="518585" y="3397250"/>
          <a:chExt cx="1280583" cy="920750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7FEEE8EB-0A34-4AAF-823E-42E29607D740}"/>
              </a:ext>
            </a:extLst>
          </xdr:cNvPr>
          <xdr:cNvGrpSpPr/>
        </xdr:nvGrpSpPr>
        <xdr:grpSpPr>
          <a:xfrm>
            <a:off x="677333" y="3397250"/>
            <a:ext cx="914400" cy="914400"/>
            <a:chOff x="169333" y="3513667"/>
            <a:chExt cx="914400" cy="914400"/>
          </a:xfrm>
        </xdr:grpSpPr>
        <xdr:pic macro="[0]!ClearAllFiltersInPivotTable">
          <xdr:nvPicPr>
            <xdr:cNvPr id="8" name="GrafFiltro" descr="Filtro">
              <a:extLst>
                <a:ext uri="{FF2B5EF4-FFF2-40B4-BE49-F238E27FC236}">
                  <a16:creationId xmlns:a16="http://schemas.microsoft.com/office/drawing/2014/main" id="{FFF73660-CFF4-4433-92BD-53D23C7B6C0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69333" y="3513667"/>
              <a:ext cx="914400" cy="914400"/>
            </a:xfrm>
            <a:prstGeom prst="rect">
              <a:avLst/>
            </a:prstGeom>
          </xdr:spPr>
        </xdr:pic>
        <xdr:pic macro="[0]!ClearAllFiltersInPivotTable">
          <xdr:nvPicPr>
            <xdr:cNvPr id="10" name="GrafFilters" descr="Fechar">
              <a:extLst>
                <a:ext uri="{FF2B5EF4-FFF2-40B4-BE49-F238E27FC236}">
                  <a16:creationId xmlns:a16="http://schemas.microsoft.com/office/drawing/2014/main" id="{132F9EAB-0F92-428D-896C-740CF70886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509834" y="3663668"/>
              <a:ext cx="199250" cy="199250"/>
            </a:xfrm>
            <a:prstGeom prst="rect">
              <a:avLst/>
            </a:prstGeom>
          </xdr:spPr>
        </xdr:pic>
      </xdr:grpSp>
      <xdr:sp macro="[0]!ClearAllFiltersInPivotTable" textlink="">
        <xdr:nvSpPr>
          <xdr:cNvPr id="12" name="txtFiltro">
            <a:extLst>
              <a:ext uri="{FF2B5EF4-FFF2-40B4-BE49-F238E27FC236}">
                <a16:creationId xmlns:a16="http://schemas.microsoft.com/office/drawing/2014/main" id="{249193C4-3E15-4D28-9EBA-1C669D487D5B}"/>
              </a:ext>
            </a:extLst>
          </xdr:cNvPr>
          <xdr:cNvSpPr txBox="1"/>
        </xdr:nvSpPr>
        <xdr:spPr>
          <a:xfrm>
            <a:off x="518585" y="4053416"/>
            <a:ext cx="1280583" cy="264584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tx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LIMPAR FILTROS</a:t>
            </a:r>
          </a:p>
        </xdr:txBody>
      </xdr:sp>
    </xdr:grpSp>
    <xdr:clientData fLocksWithSheet="0"/>
  </xdr:twoCellAnchor>
  <xdr:twoCellAnchor editAs="absolute">
    <xdr:from>
      <xdr:col>3</xdr:col>
      <xdr:colOff>1404935</xdr:colOff>
      <xdr:row>5</xdr:row>
      <xdr:rowOff>105833</xdr:rowOff>
    </xdr:from>
    <xdr:to>
      <xdr:col>4</xdr:col>
      <xdr:colOff>654843</xdr:colOff>
      <xdr:row>9</xdr:row>
      <xdr:rowOff>206377</xdr:rowOff>
    </xdr:to>
    <xdr:grpSp>
      <xdr:nvGrpSpPr>
        <xdr:cNvPr id="16" name="AgruparVoltar">
          <a:extLst>
            <a:ext uri="{FF2B5EF4-FFF2-40B4-BE49-F238E27FC236}">
              <a16:creationId xmlns:a16="http://schemas.microsoft.com/office/drawing/2014/main" id="{3D64246B-8FB2-48D5-A407-5FA2FBFA63C2}"/>
            </a:ext>
          </a:extLst>
        </xdr:cNvPr>
        <xdr:cNvGrpSpPr/>
      </xdr:nvGrpSpPr>
      <xdr:grpSpPr>
        <a:xfrm>
          <a:off x="5810248" y="1653646"/>
          <a:ext cx="1321595" cy="1195919"/>
          <a:chOff x="2106930" y="3004166"/>
          <a:chExt cx="1269999" cy="1190304"/>
        </a:xfrm>
      </xdr:grpSpPr>
      <xdr:pic macro="[0]!GoToHome">
        <xdr:nvPicPr>
          <xdr:cNvPr id="3" name="SetaVoltar" descr="Seta: curva em U">
            <a:extLst>
              <a:ext uri="{FF2B5EF4-FFF2-40B4-BE49-F238E27FC236}">
                <a16:creationId xmlns:a16="http://schemas.microsoft.com/office/drawing/2014/main" id="{F1C27C65-CDC4-4966-AA5D-D44B8D89A6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247898" y="3004166"/>
            <a:ext cx="895351" cy="1007772"/>
          </a:xfrm>
          <a:prstGeom prst="rect">
            <a:avLst/>
          </a:prstGeom>
        </xdr:spPr>
      </xdr:pic>
      <xdr:sp macro="" textlink="">
        <xdr:nvSpPr>
          <xdr:cNvPr id="14" name="txtVoltar">
            <a:extLst>
              <a:ext uri="{FF2B5EF4-FFF2-40B4-BE49-F238E27FC236}">
                <a16:creationId xmlns:a16="http://schemas.microsoft.com/office/drawing/2014/main" id="{C01CE38B-15BE-44FD-BD48-C732C3B700B4}"/>
              </a:ext>
            </a:extLst>
          </xdr:cNvPr>
          <xdr:cNvSpPr txBox="1"/>
        </xdr:nvSpPr>
        <xdr:spPr>
          <a:xfrm>
            <a:off x="2106930" y="3880848"/>
            <a:ext cx="1269999" cy="313622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VOLTAR</a:t>
            </a:r>
          </a:p>
        </xdr:txBody>
      </xdr:sp>
    </xdr:grpSp>
    <xdr:clientData fLocksWithSheet="0"/>
  </xdr:twoCellAnchor>
  <xdr:twoCellAnchor editAs="absolute">
    <xdr:from>
      <xdr:col>1</xdr:col>
      <xdr:colOff>1381124</xdr:colOff>
      <xdr:row>0</xdr:row>
      <xdr:rowOff>250031</xdr:rowOff>
    </xdr:from>
    <xdr:to>
      <xdr:col>16</xdr:col>
      <xdr:colOff>214312</xdr:colOff>
      <xdr:row>5</xdr:row>
      <xdr:rowOff>95249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072D2C8-EA81-4344-BA2B-29388332355B}"/>
            </a:ext>
          </a:extLst>
        </xdr:cNvPr>
        <xdr:cNvSpPr txBox="1"/>
      </xdr:nvSpPr>
      <xdr:spPr>
        <a:xfrm>
          <a:off x="1547812" y="250031"/>
          <a:ext cx="13358813" cy="1393031"/>
        </a:xfrm>
        <a:prstGeom prst="rect">
          <a:avLst/>
        </a:prstGeom>
        <a:gradFill flip="none" rotWithShape="1">
          <a:gsLst>
            <a:gs pos="10000">
              <a:srgbClr val="660066">
                <a:alpha val="90000"/>
                <a:lumMod val="0"/>
              </a:srgbClr>
            </a:gs>
            <a:gs pos="100000">
              <a:srgbClr val="CC66FF"/>
            </a:gs>
          </a:gsLst>
          <a:lin ang="5400000" scaled="1"/>
          <a:tileRect/>
        </a:gradFill>
        <a:ln w="88900" cmpd="thickThin">
          <a:solidFill>
            <a:schemeClr val="tx1"/>
          </a:solidFill>
        </a:ln>
        <a:effectLst/>
        <a:scene3d>
          <a:camera prst="orthographicFront"/>
          <a:lightRig rig="harsh" dir="t"/>
        </a:scene3d>
        <a:sp3d prstMaterial="dkEdge"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pt-BR" sz="3600" b="1">
              <a:ln>
                <a:solidFill>
                  <a:schemeClr val="tx1"/>
                </a:solidFill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Relatório Gerencial</a:t>
          </a:r>
          <a:r>
            <a:rPr lang="pt-BR" sz="3600" b="1" baseline="0">
              <a:ln>
                <a:solidFill>
                  <a:schemeClr val="tx1"/>
                </a:solidFill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- Banca Jardim Vazame</a:t>
          </a:r>
          <a:endParaRPr lang="pt-BR" sz="3600" b="1">
            <a:ln>
              <a:solidFill>
                <a:schemeClr val="tx1"/>
              </a:solidFill>
            </a:ln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ildo Junior" refreshedDate="43504.984393981482" missingItemsLimit="0" createdVersion="6" refreshedVersion="6" minRefreshableVersion="3" recordCount="1" xr:uid="{CA72EC63-45B8-4F8D-9A9E-7CD7B46BD575}">
  <cacheSource type="worksheet">
    <worksheetSource name="tbDados"/>
  </cacheSource>
  <cacheFields count="8">
    <cacheField name="ID" numFmtId="0">
      <sharedItems containsNonDate="0" containsString="0" containsBlank="1"/>
    </cacheField>
    <cacheField name="DATA" numFmtId="166">
      <sharedItems containsNonDate="0" containsString="0" containsBlank="1"/>
    </cacheField>
    <cacheField name="PRODUTO" numFmtId="0">
      <sharedItems containsNonDate="0" containsString="0" containsBlank="1"/>
    </cacheField>
    <cacheField name="VALOR" numFmtId="164">
      <sharedItems containsNonDate="0" containsString="0" containsBlank="1"/>
    </cacheField>
    <cacheField name="ANO" numFmtId="0">
      <sharedItems containsSemiMixedTypes="0" containsString="0" containsNumber="1" containsInteger="1" minValue="1900" maxValue="1900" count="1">
        <n v="1900"/>
      </sharedItems>
    </cacheField>
    <cacheField name="MÊS" numFmtId="0">
      <sharedItems count="1">
        <s v="Janeiro"/>
      </sharedItems>
    </cacheField>
    <cacheField name="DIA" numFmtId="0">
      <sharedItems containsSemiMixedTypes="0" containsString="0" containsNumber="1" containsInteger="1" minValue="0" maxValue="0"/>
    </cacheField>
    <cacheField name="DIA_SEMANA" numFmtId="0">
      <sharedItems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vanildo Junior" refreshedDate="43504.984579050928" missingItemsLimit="0" createdVersion="6" refreshedVersion="6" minRefreshableVersion="3" recordCount="1" xr:uid="{FD8E877F-D526-498F-81AE-92D881F07C16}">
  <cacheSource type="worksheet">
    <worksheetSource name="tbDados"/>
  </cacheSource>
  <cacheFields count="9">
    <cacheField name="ID" numFmtId="0">
      <sharedItems containsNonDate="0" containsString="0" containsBlank="1"/>
    </cacheField>
    <cacheField name="DATA" numFmtId="166">
      <sharedItems containsNonDate="0" containsString="0" containsBlank="1"/>
    </cacheField>
    <cacheField name="PRODUTO" numFmtId="0">
      <sharedItems containsNonDate="0" containsString="0" containsBlank="1" count="1">
        <m/>
      </sharedItems>
    </cacheField>
    <cacheField name="VALOR" numFmtId="164">
      <sharedItems containsNonDate="0" containsString="0" containsBlank="1"/>
    </cacheField>
    <cacheField name="ANO" numFmtId="0">
      <sharedItems containsSemiMixedTypes="0" containsString="0" containsNumber="1" containsInteger="1" minValue="1900" maxValue="1900" count="1">
        <n v="1900"/>
      </sharedItems>
    </cacheField>
    <cacheField name="MÊS" numFmtId="0">
      <sharedItems count="1">
        <s v="Janeiro"/>
      </sharedItems>
    </cacheField>
    <cacheField name="DIA" numFmtId="0">
      <sharedItems containsSemiMixedTypes="0" containsString="0" containsNumber="1" containsInteger="1" minValue="0" maxValue="0" count="1">
        <n v="0"/>
      </sharedItems>
    </cacheField>
    <cacheField name="DIA_SEMANA" numFmtId="0">
      <sharedItems count="1">
        <s v="Sábado"/>
      </sharedItems>
    </cacheField>
    <cacheField name="Percentualx" numFmtId="0" formula="COUNTA(DATA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x v="0"/>
    <x v="0"/>
    <n v="0"/>
    <s v="Sábad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511F8-CFB1-4CBB-9515-C197217B20E0}" name="tbDyn_ForProduct" cacheId="8" applyNumberFormats="0" applyBorderFormats="0" applyFontFormats="0" applyPatternFormats="0" applyAlignmentFormats="0" applyWidthHeightFormats="1" dataCaption="Valores" grandTotalCaption="TOTAL" errorCaption="0" showError="1" missingCaption="0" updatedVersion="6" minRefreshableVersion="3" showDrill="0" showDataTips="0" enableDrill="0" itemPrintTitles="1" createdVersion="6" indent="0" outline="1" outlineData="1" multipleFieldFilters="0" chartFormat="3" rowHeaderCaption="PRODUTO">
  <location ref="B12:D14" firstHeaderRow="0" firstDataRow="1" firstDataCol="1" rowPageCount="4" colPageCount="1"/>
  <pivotFields count="9">
    <pivotField subtotalTop="0" showAll="0" defaultSubtotal="0"/>
    <pivotField numFmtId="14" showAll="0" defaultSubtotal="0"/>
    <pivotField axis="axisRow" showAll="0" defaultSubtotal="0">
      <items count="1">
        <item x="0"/>
      </items>
    </pivotField>
    <pivotField dataField="1" numFmtId="164" showAll="0" defaultSubtotal="0"/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  <pivotField subtotalTop="0" dragToRow="0" dragToCol="0" dragToPage="0"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4">
    <pageField fld="4" hier="-1"/>
    <pageField fld="5" hier="-1"/>
    <pageField fld="6" hier="-1"/>
    <pageField fld="7" hier="-1"/>
  </pageFields>
  <dataFields count="2">
    <dataField name="TOTAL" fld="3" baseField="4" baseItem="0" numFmtId="164"/>
    <dataField name="PERCENTUAL" fld="3" showDataAs="percentOfTotal" baseField="2" baseItem="0" numFmtId="165"/>
  </dataFields>
  <formats count="30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2" type="button" dataOnly="0" labelOnly="1" outline="0" axis="axisRow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2" type="button" dataOnly="0" labelOnly="1" outline="0" axis="axisRow" fieldPosition="0"/>
    </format>
    <format dxfId="30">
      <pivotArea dataOnly="0" labelOnly="1" fieldPosition="0">
        <references count="1">
          <reference field="2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" type="button" dataOnly="0" labelOnly="1" outline="0" axis="axisRow" fieldPosition="0"/>
    </format>
    <format dxfId="18">
      <pivotArea dataOnly="0" labelOnly="1" fieldPosition="0">
        <references count="1">
          <reference field="2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2" type="button" dataOnly="0" labelOnly="1" outline="0" axis="axisRow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BancaVazameStyleDyn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F5A4B-CA1D-42D1-9175-AE2B0E96DA7D}" name="tbDyn_ForMonth" cacheId="0" applyNumberFormats="0" applyBorderFormats="0" applyFontFormats="0" applyPatternFormats="0" applyAlignmentFormats="0" applyWidthHeightFormats="1" dataCaption="Valores" errorCaption="0" showError="1" missingCaption="0" updatedVersion="6" minRefreshableVersion="3" showDataTips="0" enableDrill="0" colGrandTotals="0" itemPrintTitles="1" createdVersion="6" indent="0" showHeaders="0" outline="1" outlineData="1" multipleFieldFilters="0" chartFormat="1" rowHeaderCaption="MÊS" colHeaderCaption="ANOS">
  <location ref="B19:C22" firstHeaderRow="1" firstDataRow="2" firstDataCol="1"/>
  <pivotFields count="8">
    <pivotField showAll="0"/>
    <pivotField numFmtId="14" showAll="0"/>
    <pivotField showAll="0"/>
    <pivotField dataField="1" numFmtId="164" showAll="0"/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</pivotFields>
  <rowFields count="1">
    <field x="5"/>
  </rowFields>
  <rowItems count="2">
    <i>
      <x/>
    </i>
    <i t="grand">
      <x/>
    </i>
  </rowItems>
  <colFields count="1">
    <field x="4"/>
  </colFields>
  <colItems count="1">
    <i>
      <x/>
    </i>
  </colItems>
  <dataFields count="1">
    <dataField name="TOTAL POR MÊS E ANO" fld="3" baseField="5" baseItem="0" numFmtId="164"/>
  </dataFields>
  <formats count="21"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type="topRight" dataOnly="0" labelOnly="1" outline="0" fieldPosition="0"/>
    </format>
    <format dxfId="56">
      <pivotArea dataOnly="0" labelOnly="1" fieldPosition="0">
        <references count="1">
          <reference field="5" count="0"/>
        </references>
      </pivotArea>
    </format>
    <format dxfId="55">
      <pivotArea dataOnly="0" labelOnly="1" grandRow="1" outline="0" fieldPosition="0"/>
    </format>
    <format dxfId="54">
      <pivotArea dataOnly="0" labelOnly="1" fieldPosition="0">
        <references count="1">
          <reference field="4" count="0"/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type="topRight" dataOnly="0" labelOnly="1" outline="0" fieldPosition="0"/>
    </format>
    <format dxfId="49">
      <pivotArea dataOnly="0" labelOnly="1" fieldPosition="0">
        <references count="1">
          <reference field="5" count="0"/>
        </references>
      </pivotArea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4" count="0"/>
        </references>
      </pivotArea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type="topRight" dataOnly="0" labelOnly="1" outline="0" fieldPosition="0"/>
    </format>
    <format dxfId="42">
      <pivotArea dataOnly="0" labelOnly="1" fieldPosition="0">
        <references count="1">
          <reference field="5" count="0"/>
        </references>
      </pivotArea>
    </format>
    <format dxfId="41">
      <pivotArea dataOnly="0" labelOnly="1" grandRow="1" outline="0" fieldPosition="0"/>
    </format>
    <format dxfId="40">
      <pivotArea dataOnly="0" labelOnly="1" fieldPosition="0">
        <references count="1">
          <reference field="4" count="0"/>
        </references>
      </pivotArea>
    </format>
  </formats>
  <pivotTableStyleInfo name="BancaVazameStyleDyn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F71769-9E3C-4AEF-B1C8-3F5373C5A39F}" name="tbDados" displayName="tbDados" ref="B6:I7" totalsRowShown="0" headerRowDxfId="71" dataDxfId="69" headerRowBorderDxfId="70">
  <sortState ref="B6:I7">
    <sortCondition ref="C6"/>
  </sortState>
  <tableColumns count="8">
    <tableColumn id="4" xr3:uid="{4D5FA069-A320-40F3-9A57-9A873660718F}" name="ID" dataDxfId="68"/>
    <tableColumn id="1" xr3:uid="{D9818360-E5C4-45B7-972D-59EBA0B0A24B}" name="DATA" dataDxfId="67"/>
    <tableColumn id="2" xr3:uid="{4492D6EF-971E-41E7-89F0-42CA53F53E1B}" name="PRODUTO" dataDxfId="66"/>
    <tableColumn id="3" xr3:uid="{A8F7497D-29A4-476F-BB91-FB7E0161AE12}" name="VALOR" dataDxfId="65"/>
    <tableColumn id="7" xr3:uid="{59E1C44D-CC64-4700-A1B3-2CB4FD42C2E7}" name="ANO" dataDxfId="64">
      <calculatedColumnFormula>YEAR(tbDados[[#This Row],[DATA]])</calculatedColumnFormula>
    </tableColumn>
    <tableColumn id="8" xr3:uid="{F58DDFC4-4D96-41D5-96FE-9F4271755DF2}" name="MÊS" dataDxfId="63">
      <calculatedColumnFormula>PROPER(TEXT(tbDados[[#This Row],[DATA]],"MMMM"))</calculatedColumnFormula>
    </tableColumn>
    <tableColumn id="9" xr3:uid="{C354131D-1F79-44D3-998B-CF1FA5821237}" name="DIA" dataDxfId="62">
      <calculatedColumnFormula>DAY(tbDados[[#This Row],[DATA]])</calculatedColumnFormula>
    </tableColumn>
    <tableColumn id="5" xr3:uid="{60CED841-7AF2-4ED2-BBA5-20C2B7A4341F}" name="DIA_SEMANA" dataDxfId="61">
      <calculatedColumnFormula>PROPER(TEXT(tbDados[[#This Row],[DATA]],"dddd"))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F4F0D8-4E64-49F2-97F9-9A4B17552C45}" name="tbPagamentos" displayName="tbPagamentos" ref="A1:D10" totalsRowCount="1" headerRowDxfId="9" dataDxfId="8">
  <tableColumns count="4">
    <tableColumn id="5" xr3:uid="{4B57295D-315D-4E63-A85B-DABA58CB06B5}" name="ID" dataDxfId="7" totalsRowDxfId="6"/>
    <tableColumn id="2" xr3:uid="{22F1F209-698A-4C7D-9A7A-E9B4EB11FEBE}" name="Data" dataDxfId="5" totalsRowDxfId="4"/>
    <tableColumn id="3" xr3:uid="{ACC32796-D6E5-4B18-B3A8-6F3A0766A3E1}" name="Valor" totalsRowFunction="sum" dataDxfId="3" totalsRowDxfId="2"/>
    <tableColumn id="4" xr3:uid="{2241BD09-334D-41DC-BAB5-816545D3C6CC}" name="Valida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ACBA-7606-480D-BB12-B39825BB72BC}">
  <sheetPr codeName="wsHome">
    <tabColor theme="2" tint="-0.89999084444715716"/>
  </sheetPr>
  <dimension ref="A1"/>
  <sheetViews>
    <sheetView showGridLines="0" tabSelected="1" topLeftCell="A2" workbookViewId="0">
      <selection activeCell="L13" sqref="L13"/>
    </sheetView>
  </sheetViews>
  <sheetFormatPr defaultRowHeight="14.25" x14ac:dyDescent="0.25"/>
  <cols>
    <col min="1" max="16384" width="9.140625" style="1"/>
  </cols>
  <sheetData/>
  <sheetProtection algorithmName="SHA-512" hashValue="mBmqdV6PPscBV6xacR2zSA/UQZ29yGu60wNinEk8Ha4LK0HqTyOQZG0IOqaaXFYyNjGEkjtGOZgFawuH8SQ7kg==" saltValue="h+kNFxDLBvaU2G76DKgv5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2CDF-1A6D-4312-8AAA-CFC6EBC6A771}">
  <sheetPr codeName="wsDados">
    <tabColor theme="2" tint="-0.89999084444715716"/>
  </sheetPr>
  <dimension ref="B6:N15"/>
  <sheetViews>
    <sheetView showGridLines="0" workbookViewId="0">
      <selection activeCell="F20" sqref="F20"/>
    </sheetView>
  </sheetViews>
  <sheetFormatPr defaultRowHeight="14.25" x14ac:dyDescent="0.25"/>
  <cols>
    <col min="1" max="1" width="2.140625" customWidth="1"/>
    <col min="2" max="2" width="7.5703125" bestFit="1" customWidth="1"/>
    <col min="3" max="3" width="18.140625" bestFit="1" customWidth="1"/>
    <col min="4" max="4" width="14.5703125" bestFit="1" customWidth="1"/>
    <col min="5" max="5" width="12" bestFit="1" customWidth="1"/>
    <col min="6" max="6" width="9.7109375" customWidth="1"/>
    <col min="7" max="7" width="10" customWidth="1"/>
    <col min="8" max="8" width="8.85546875" customWidth="1"/>
    <col min="9" max="9" width="17.28515625" customWidth="1"/>
    <col min="12" max="12" width="18.140625" bestFit="1" customWidth="1"/>
  </cols>
  <sheetData>
    <row r="6" spans="2:14" ht="15" thickBot="1" x14ac:dyDescent="0.3">
      <c r="B6" s="2" t="s">
        <v>12</v>
      </c>
      <c r="C6" s="3" t="s">
        <v>0</v>
      </c>
      <c r="D6" s="3" t="s">
        <v>1</v>
      </c>
      <c r="E6" s="3" t="s">
        <v>2</v>
      </c>
      <c r="F6" s="3" t="s">
        <v>3</v>
      </c>
      <c r="G6" s="3" t="s">
        <v>4</v>
      </c>
      <c r="H6" s="3" t="s">
        <v>5</v>
      </c>
      <c r="I6" s="4" t="s">
        <v>7</v>
      </c>
    </row>
    <row r="7" spans="2:14" ht="15" thickTop="1" x14ac:dyDescent="0.25">
      <c r="B7" s="6"/>
      <c r="C7" s="10"/>
      <c r="D7" s="20"/>
      <c r="E7" s="8"/>
      <c r="F7" s="7">
        <f>YEAR(tbDados[[#This Row],[DATA]])</f>
        <v>1900</v>
      </c>
      <c r="G7" s="7" t="str">
        <f>PROPER(TEXT(tbDados[[#This Row],[DATA]],"MMMM"))</f>
        <v>Janeiro</v>
      </c>
      <c r="H7" s="7">
        <f>DAY(tbDados[[#This Row],[DATA]])</f>
        <v>0</v>
      </c>
      <c r="I7" s="9" t="str">
        <f>PROPER(TEXT(tbDados[[#This Row],[DATA]],"dddd"))</f>
        <v>Sábado</v>
      </c>
      <c r="N7" s="10"/>
    </row>
    <row r="12" spans="2:14" x14ac:dyDescent="0.25">
      <c r="L12" s="10"/>
    </row>
    <row r="13" spans="2:14" x14ac:dyDescent="0.25">
      <c r="L13" s="10"/>
    </row>
    <row r="14" spans="2:14" x14ac:dyDescent="0.25">
      <c r="L14" s="10"/>
    </row>
    <row r="15" spans="2:14" x14ac:dyDescent="0.25">
      <c r="L15" s="1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31BB-2681-4F62-AC8A-8CF55C06510F}">
  <sheetPr codeName="wsReport">
    <tabColor theme="2" tint="-0.89999084444715716"/>
  </sheetPr>
  <dimension ref="B7:F46"/>
  <sheetViews>
    <sheetView showGridLines="0" zoomScale="80" zoomScaleNormal="80" workbookViewId="0">
      <selection activeCell="B12" sqref="B12"/>
    </sheetView>
  </sheetViews>
  <sheetFormatPr defaultRowHeight="24" customHeight="1" x14ac:dyDescent="0.25"/>
  <cols>
    <col min="1" max="1" width="2.5703125" style="5" customWidth="1"/>
    <col min="2" max="2" width="33.140625" style="5" customWidth="1"/>
    <col min="3" max="3" width="30.28515625" style="5" customWidth="1"/>
    <col min="4" max="4" width="31" style="5" customWidth="1"/>
    <col min="5" max="5" width="22.42578125" style="5" bestFit="1" customWidth="1"/>
    <col min="6" max="6" width="9.5703125" style="5" bestFit="1" customWidth="1"/>
    <col min="7" max="16384" width="9.140625" style="5"/>
  </cols>
  <sheetData>
    <row r="7" spans="2:6" ht="20.25" x14ac:dyDescent="0.35">
      <c r="B7" s="16" t="s">
        <v>3</v>
      </c>
      <c r="C7" s="17" t="s">
        <v>14</v>
      </c>
      <c r="D7" s="12"/>
    </row>
    <row r="8" spans="2:6" ht="20.25" x14ac:dyDescent="0.35">
      <c r="B8" s="16" t="s">
        <v>4</v>
      </c>
      <c r="C8" s="17" t="s">
        <v>14</v>
      </c>
      <c r="D8" s="12"/>
      <c r="E8" s="11"/>
    </row>
    <row r="9" spans="2:6" ht="20.25" x14ac:dyDescent="0.35">
      <c r="B9" s="16" t="s">
        <v>5</v>
      </c>
      <c r="C9" s="17" t="s">
        <v>14</v>
      </c>
      <c r="D9" s="12"/>
    </row>
    <row r="10" spans="2:6" ht="20.25" x14ac:dyDescent="0.35">
      <c r="B10" s="16" t="s">
        <v>7</v>
      </c>
      <c r="C10" s="17" t="s">
        <v>14</v>
      </c>
      <c r="D10" s="12"/>
      <c r="F10" s="5" t="s">
        <v>13</v>
      </c>
    </row>
    <row r="11" spans="2:6" ht="20.25" x14ac:dyDescent="0.35">
      <c r="B11" s="12"/>
      <c r="C11" s="12"/>
      <c r="D11" s="12"/>
    </row>
    <row r="12" spans="2:6" ht="20.25" x14ac:dyDescent="0.25">
      <c r="B12" s="16" t="s">
        <v>1</v>
      </c>
      <c r="C12" s="17" t="s">
        <v>6</v>
      </c>
      <c r="D12" s="17" t="s">
        <v>9</v>
      </c>
    </row>
    <row r="13" spans="2:6" ht="20.25" x14ac:dyDescent="0.25">
      <c r="B13" s="17" t="s">
        <v>15</v>
      </c>
      <c r="C13" s="18">
        <v>0</v>
      </c>
      <c r="D13" s="19">
        <v>0</v>
      </c>
    </row>
    <row r="14" spans="2:6" ht="20.25" x14ac:dyDescent="0.25">
      <c r="B14" s="17" t="s">
        <v>6</v>
      </c>
      <c r="C14" s="18">
        <v>0</v>
      </c>
      <c r="D14" s="19">
        <v>0</v>
      </c>
    </row>
    <row r="15" spans="2:6" ht="14.25" x14ac:dyDescent="0.25">
      <c r="B15"/>
      <c r="C15"/>
      <c r="D15"/>
    </row>
    <row r="16" spans="2:6" ht="14.25" x14ac:dyDescent="0.25">
      <c r="B16"/>
      <c r="C16"/>
      <c r="D16"/>
    </row>
    <row r="17" spans="2:4" ht="14.25" x14ac:dyDescent="0.25">
      <c r="B17"/>
      <c r="C17"/>
      <c r="D17"/>
    </row>
    <row r="18" spans="2:4" ht="20.25" x14ac:dyDescent="0.25">
      <c r="B18" s="13"/>
      <c r="C18" s="14"/>
      <c r="D18" s="15"/>
    </row>
    <row r="19" spans="2:4" ht="20.25" x14ac:dyDescent="0.35">
      <c r="B19" s="21" t="s">
        <v>11</v>
      </c>
      <c r="C19" s="22"/>
      <c r="D19"/>
    </row>
    <row r="20" spans="2:4" ht="20.25" x14ac:dyDescent="0.35">
      <c r="B20" s="22"/>
      <c r="C20" s="22">
        <v>1900</v>
      </c>
      <c r="D20"/>
    </row>
    <row r="21" spans="2:4" ht="20.25" x14ac:dyDescent="0.35">
      <c r="B21" s="23" t="s">
        <v>8</v>
      </c>
      <c r="C21" s="24">
        <v>0</v>
      </c>
      <c r="D21"/>
    </row>
    <row r="22" spans="2:4" ht="20.25" x14ac:dyDescent="0.35">
      <c r="B22" s="23" t="s">
        <v>10</v>
      </c>
      <c r="C22" s="24">
        <v>0</v>
      </c>
      <c r="D22"/>
    </row>
    <row r="23" spans="2:4" ht="14.25" x14ac:dyDescent="0.25">
      <c r="B23"/>
      <c r="C23"/>
      <c r="D23"/>
    </row>
    <row r="24" spans="2:4" ht="14.25" x14ac:dyDescent="0.25">
      <c r="B24"/>
      <c r="C24"/>
      <c r="D24"/>
    </row>
    <row r="25" spans="2:4" ht="14.25" x14ac:dyDescent="0.25">
      <c r="B25"/>
      <c r="C25"/>
      <c r="D25"/>
    </row>
    <row r="26" spans="2:4" ht="14.25" x14ac:dyDescent="0.25">
      <c r="B26"/>
      <c r="C26"/>
      <c r="D26"/>
    </row>
    <row r="27" spans="2:4" ht="14.25" x14ac:dyDescent="0.25">
      <c r="B27"/>
      <c r="C27"/>
      <c r="D27"/>
    </row>
    <row r="28" spans="2:4" ht="14.25" x14ac:dyDescent="0.25">
      <c r="B28"/>
      <c r="C28"/>
      <c r="D28"/>
    </row>
    <row r="29" spans="2:4" ht="14.25" x14ac:dyDescent="0.25">
      <c r="B29"/>
      <c r="C29"/>
      <c r="D29"/>
    </row>
    <row r="30" spans="2:4" ht="14.25" x14ac:dyDescent="0.25">
      <c r="B30"/>
      <c r="C30"/>
      <c r="D30"/>
    </row>
    <row r="31" spans="2:4" ht="14.25" x14ac:dyDescent="0.25">
      <c r="B31"/>
      <c r="C31"/>
      <c r="D31"/>
    </row>
    <row r="32" spans="2:4" ht="14.25" x14ac:dyDescent="0.25">
      <c r="B32"/>
      <c r="C32"/>
      <c r="D32"/>
    </row>
    <row r="33" spans="2:4" ht="14.25" x14ac:dyDescent="0.25">
      <c r="B33"/>
      <c r="C33"/>
      <c r="D33"/>
    </row>
    <row r="34" spans="2:4" ht="14.25" x14ac:dyDescent="0.25"/>
    <row r="35" spans="2:4" ht="14.25" x14ac:dyDescent="0.25"/>
    <row r="36" spans="2:4" ht="14.25" x14ac:dyDescent="0.25"/>
    <row r="37" spans="2:4" ht="14.25" x14ac:dyDescent="0.25"/>
    <row r="38" spans="2:4" ht="14.25" x14ac:dyDescent="0.25"/>
    <row r="39" spans="2:4" ht="14.25" x14ac:dyDescent="0.25"/>
    <row r="40" spans="2:4" ht="14.25" x14ac:dyDescent="0.25"/>
    <row r="41" spans="2:4" ht="14.25" x14ac:dyDescent="0.25"/>
    <row r="42" spans="2:4" ht="14.25" x14ac:dyDescent="0.25"/>
    <row r="43" spans="2:4" ht="14.25" x14ac:dyDescent="0.25"/>
    <row r="44" spans="2:4" ht="14.25" x14ac:dyDescent="0.25"/>
    <row r="45" spans="2:4" ht="14.25" x14ac:dyDescent="0.25"/>
    <row r="46" spans="2:4" ht="14.25" x14ac:dyDescent="0.25"/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2FEE-4835-4134-90A4-C15B20000429}">
  <sheetPr codeName="wsPagamentos"/>
  <dimension ref="A1:E10"/>
  <sheetViews>
    <sheetView showGridLines="0" zoomScale="120" zoomScaleNormal="120" workbookViewId="0">
      <selection activeCell="E19" sqref="E19"/>
    </sheetView>
  </sheetViews>
  <sheetFormatPr defaultRowHeight="15" x14ac:dyDescent="0.25"/>
  <cols>
    <col min="1" max="1" width="5.140625" style="25" customWidth="1"/>
    <col min="2" max="2" width="11.140625" style="25" bestFit="1" customWidth="1"/>
    <col min="3" max="3" width="10.7109375" style="25" bestFit="1" customWidth="1"/>
    <col min="4" max="4" width="10.5703125" style="25" bestFit="1" customWidth="1"/>
    <col min="5" max="5" width="12.7109375" style="25" bestFit="1" customWidth="1"/>
    <col min="6" max="6" width="9.5703125" style="25" bestFit="1" customWidth="1"/>
    <col min="7" max="16384" width="9.140625" style="25"/>
  </cols>
  <sheetData>
    <row r="1" spans="1:5" x14ac:dyDescent="0.25">
      <c r="A1" s="27" t="s">
        <v>12</v>
      </c>
      <c r="B1" s="27" t="s">
        <v>16</v>
      </c>
      <c r="C1" s="27" t="s">
        <v>17</v>
      </c>
      <c r="D1" s="27" t="s">
        <v>19</v>
      </c>
    </row>
    <row r="2" spans="1:5" x14ac:dyDescent="0.25">
      <c r="A2" s="30">
        <v>1</v>
      </c>
      <c r="B2" s="28">
        <v>43171</v>
      </c>
      <c r="C2" s="29">
        <v>100</v>
      </c>
      <c r="D2" s="27" t="s">
        <v>18</v>
      </c>
    </row>
    <row r="3" spans="1:5" x14ac:dyDescent="0.25">
      <c r="A3" s="30">
        <v>2</v>
      </c>
      <c r="B3" s="28">
        <v>43178</v>
      </c>
      <c r="C3" s="29">
        <v>58</v>
      </c>
      <c r="D3" s="27" t="s">
        <v>18</v>
      </c>
    </row>
    <row r="4" spans="1:5" x14ac:dyDescent="0.25">
      <c r="A4" s="30">
        <v>3</v>
      </c>
      <c r="B4" s="28">
        <v>43185</v>
      </c>
      <c r="C4" s="29">
        <v>58</v>
      </c>
      <c r="D4" s="27" t="s">
        <v>18</v>
      </c>
    </row>
    <row r="5" spans="1:5" x14ac:dyDescent="0.25">
      <c r="A5" s="30">
        <v>4</v>
      </c>
      <c r="B5" s="28">
        <v>43192</v>
      </c>
      <c r="C5" s="29">
        <v>58</v>
      </c>
      <c r="D5" s="27" t="s">
        <v>18</v>
      </c>
    </row>
    <row r="6" spans="1:5" x14ac:dyDescent="0.25">
      <c r="A6" s="30">
        <v>5</v>
      </c>
      <c r="B6" s="28">
        <v>43199</v>
      </c>
      <c r="C6" s="29">
        <v>58</v>
      </c>
      <c r="D6" s="27" t="s">
        <v>18</v>
      </c>
    </row>
    <row r="7" spans="1:5" x14ac:dyDescent="0.25">
      <c r="A7" s="30">
        <v>6</v>
      </c>
      <c r="B7" s="28">
        <v>43206</v>
      </c>
      <c r="C7" s="29">
        <v>58</v>
      </c>
      <c r="D7" s="27" t="s">
        <v>18</v>
      </c>
    </row>
    <row r="8" spans="1:5" x14ac:dyDescent="0.25">
      <c r="A8" s="30">
        <v>7</v>
      </c>
      <c r="B8" s="28">
        <v>43213</v>
      </c>
      <c r="C8" s="29">
        <v>58</v>
      </c>
      <c r="D8" s="27" t="s">
        <v>18</v>
      </c>
      <c r="E8" s="26"/>
    </row>
    <row r="9" spans="1:5" x14ac:dyDescent="0.25">
      <c r="A9" s="30">
        <v>8</v>
      </c>
      <c r="B9" s="28">
        <v>43220</v>
      </c>
      <c r="C9" s="29">
        <v>58</v>
      </c>
      <c r="D9" s="27" t="s">
        <v>18</v>
      </c>
    </row>
    <row r="10" spans="1:5" x14ac:dyDescent="0.25">
      <c r="A10" s="31"/>
      <c r="B10" s="32"/>
      <c r="C10" s="33">
        <f>SUBTOTAL(109,tbPagamentos[Valor])</f>
        <v>506</v>
      </c>
      <c r="D10" s="34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PáginaInicial</vt:lpstr>
      <vt:lpstr>TabelaDados</vt:lpstr>
      <vt:lpstr>RelatórioGerencial</vt:lpstr>
      <vt:lpstr>sPagamentos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2018-01-16T00:10:29Z</dcterms:created>
  <dcterms:modified xsi:type="dcterms:W3CDTF">2019-02-09T07:38:51Z</dcterms:modified>
</cp:coreProperties>
</file>