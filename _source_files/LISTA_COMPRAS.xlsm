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"/>
    </mc:Choice>
  </mc:AlternateContent>
  <xr:revisionPtr revIDLastSave="0" documentId="13_ncr:1_{461A895A-31C5-4989-A223-287F073DCF87}" xr6:coauthVersionLast="37" xr6:coauthVersionMax="37" xr10:uidLastSave="{00000000-0000-0000-0000-000000000000}"/>
  <bookViews>
    <workbookView xWindow="0" yWindow="0" windowWidth="20490" windowHeight="7515" xr2:uid="{00000000-000D-0000-FFFF-FFFF00000000}"/>
  </bookViews>
  <sheets>
    <sheet name="ConsolidadoListas" sheetId="1" r:id="rId1"/>
    <sheet name="Apoios" sheetId="3" r:id="rId2"/>
  </sheets>
  <definedNames>
    <definedName name="_xlnm._FilterDatabase" localSheetId="0" hidden="1">ConsolidadoListas!#REF!</definedName>
    <definedName name="_xlcn.WorksheetConnection_LISTA_COMPRAS.xlsmtbCompras" hidden="1">tbCompras[]</definedName>
    <definedName name="_xlcn.WorksheetConnection_LISTA_COMPRAS.xlsmtbCreditos" hidden="1">tbCreditos[]</definedName>
    <definedName name="CATEGORIA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Creditos" name="tbCreditos" connection="WorksheetConnection_LISTA_COMPRAS.xlsm!tbCreditos"/>
          <x15:modelTable id="tbCompras" name="tbCompras" connection="WorksheetConnection_LISTA_COMPRAS.xlsm!tbCompras"/>
        </x15:modelTables>
        <x15:modelRelationships>
          <x15:modelRelationship fromTable="tbCompras" fromColumn="DATA_REF" toTable="tbCreditos" toColumn="Data_Ref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Compras" columnName="DATA_REF" columnId="DATA_REF">
                <x16:calculatedTimeColumn columnName="DATA_REF (Índice de Mês)" columnId="DATA_REF (Índice de Mês)" contentType="monthsindex" isSelected="1"/>
                <x16:calculatedTimeColumn columnName="DATA_REF (Mês)" columnId="DATA_REF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3" l="1"/>
  <c r="E4" i="3" l="1"/>
  <c r="E3" i="3"/>
  <c r="E2" i="3"/>
  <c r="D225" i="1" l="1"/>
  <c r="D223" i="1"/>
  <c r="D216" i="1"/>
  <c r="D217" i="1"/>
  <c r="D219" i="1"/>
  <c r="D221" i="1"/>
  <c r="D222" i="1"/>
  <c r="D224" i="1"/>
  <c r="D226" i="1"/>
  <c r="D227" i="1"/>
  <c r="D228" i="1"/>
  <c r="D229" i="1"/>
  <c r="D230" i="1"/>
  <c r="D231" i="1"/>
  <c r="D232" i="1"/>
  <c r="D233" i="1"/>
  <c r="D234" i="1"/>
  <c r="D235" i="1"/>
  <c r="D208" i="1"/>
  <c r="D209" i="1"/>
  <c r="D210" i="1"/>
  <c r="D211" i="1"/>
  <c r="D213" i="1"/>
  <c r="D212" i="1"/>
  <c r="D214" i="1"/>
  <c r="D215" i="1"/>
  <c r="D218" i="1"/>
  <c r="D220" i="1"/>
  <c r="B1" i="1" l="1"/>
  <c r="B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LISTA_COMPRAS.xlsm!tbCompras" type="102" refreshedVersion="6" minRefreshableVersion="5">
    <extLst>
      <ext xmlns:x15="http://schemas.microsoft.com/office/spreadsheetml/2010/11/main" uri="{DE250136-89BD-433C-8126-D09CA5730AF9}">
        <x15:connection id="tbCompras">
          <x15:rangePr sourceName="_xlcn.WorksheetConnection_LISTA_COMPRAS.xlsmtbCompras"/>
        </x15:connection>
      </ext>
    </extLst>
  </connection>
  <connection id="3" xr16:uid="{00000000-0015-0000-FFFF-FFFF02000000}" name="WorksheetConnection_LISTA_COMPRAS.xlsm!tbCreditos" type="102" refreshedVersion="6" minRefreshableVersion="5">
    <extLst>
      <ext xmlns:x15="http://schemas.microsoft.com/office/spreadsheetml/2010/11/main" uri="{DE250136-89BD-433C-8126-D09CA5730AF9}">
        <x15:connection id="tbCreditos">
          <x15:rangePr sourceName="_xlcn.WorksheetConnection_LISTA_COMPRAS.xlsmtbCreditos"/>
        </x15:connection>
      </ext>
    </extLst>
  </connection>
</connections>
</file>

<file path=xl/sharedStrings.xml><?xml version="1.0" encoding="utf-8"?>
<sst xmlns="http://schemas.openxmlformats.org/spreadsheetml/2006/main" count="1278" uniqueCount="198">
  <si>
    <t>PREÇO</t>
  </si>
  <si>
    <t>SALDO</t>
  </si>
  <si>
    <t>COMPRADO</t>
  </si>
  <si>
    <t>FEIJÃO</t>
  </si>
  <si>
    <t>MOLHO DE TOMATE</t>
  </si>
  <si>
    <t>AÇUCAR</t>
  </si>
  <si>
    <t>SABONETE</t>
  </si>
  <si>
    <t>DETERGENTE</t>
  </si>
  <si>
    <t>VALIDA</t>
  </si>
  <si>
    <t>SESSÃO</t>
  </si>
  <si>
    <t>MARGARINA</t>
  </si>
  <si>
    <t>QTD</t>
  </si>
  <si>
    <t>ITEM</t>
  </si>
  <si>
    <t>SABÃO EM PÓ</t>
  </si>
  <si>
    <t>PAPEL HIGIÊNICO</t>
  </si>
  <si>
    <t>PAPEL ALUMÍNIO</t>
  </si>
  <si>
    <t>DATA_REF</t>
  </si>
  <si>
    <t>LEITE CONDESADO</t>
  </si>
  <si>
    <t>CREME DE LEITE</t>
  </si>
  <si>
    <t>SAL</t>
  </si>
  <si>
    <t>BISNAGA</t>
  </si>
  <si>
    <t>Data_Ref</t>
  </si>
  <si>
    <t>ValorCredito</t>
  </si>
  <si>
    <t>SUBTOTAL</t>
  </si>
  <si>
    <t>REQUEIJÃO</t>
  </si>
  <si>
    <t>MARCA</t>
  </si>
  <si>
    <t>CAMIL</t>
  </si>
  <si>
    <t>UNIÃO</t>
  </si>
  <si>
    <t>ADRIA</t>
  </si>
  <si>
    <t>HEINZ</t>
  </si>
  <si>
    <t>PEPSICO</t>
  </si>
  <si>
    <t>ITALAC</t>
  </si>
  <si>
    <t>LIZA</t>
  </si>
  <si>
    <t>YPÊ</t>
  </si>
  <si>
    <t>QUALY</t>
  </si>
  <si>
    <t>BRILHANTE</t>
  </si>
  <si>
    <t>DUALETTE</t>
  </si>
  <si>
    <t>NESTLÊ</t>
  </si>
  <si>
    <t>CISNE</t>
  </si>
  <si>
    <t>BAUDUCCO</t>
  </si>
  <si>
    <t>PÃO DE FORMA</t>
  </si>
  <si>
    <t>PULMANN</t>
  </si>
  <si>
    <t>KIM</t>
  </si>
  <si>
    <t>BISCOITO SALGADO</t>
  </si>
  <si>
    <t>VIGOR</t>
  </si>
  <si>
    <t>LOREAL</t>
  </si>
  <si>
    <t>ÓLEO DE SOJA</t>
  </si>
  <si>
    <t>ARROZ TIPO1</t>
  </si>
  <si>
    <t>MACARRÃO PARAFUSO</t>
  </si>
  <si>
    <t>MACARRÃO ESPAGUETE</t>
  </si>
  <si>
    <t>TORRADA PCT ECON</t>
  </si>
  <si>
    <t>ACHOLATADO EM PÓ TODDY</t>
  </si>
  <si>
    <t>LEITE INTEGRAL</t>
  </si>
  <si>
    <t>OUTRAS</t>
  </si>
  <si>
    <t>COCO RALADO</t>
  </si>
  <si>
    <t>SOCOCO</t>
  </si>
  <si>
    <t>ALIM P/ GATOS</t>
  </si>
  <si>
    <t>KITECAT</t>
  </si>
  <si>
    <t>ÓLEO DE CÔCO</t>
  </si>
  <si>
    <t>COPRA</t>
  </si>
  <si>
    <t>ESPONJA ESFREBOM</t>
  </si>
  <si>
    <t>FRISKIES</t>
  </si>
  <si>
    <t xml:space="preserve"> KIT SHPOO + COND</t>
  </si>
  <si>
    <t>J &amp; J</t>
  </si>
  <si>
    <t>REXONA</t>
  </si>
  <si>
    <t>LEITE CONDENSADO</t>
  </si>
  <si>
    <t>KETCHUP</t>
  </si>
  <si>
    <t>QUEIJO RALADO</t>
  </si>
  <si>
    <t>LÍDER</t>
  </si>
  <si>
    <t>MILHO</t>
  </si>
  <si>
    <t>QUERO</t>
  </si>
  <si>
    <t>ERVILHA</t>
  </si>
  <si>
    <t>SADIA</t>
  </si>
  <si>
    <t>PRESUNTO FATIADO</t>
  </si>
  <si>
    <t>QUEIJO EM PEÇA/PEDAÇO</t>
  </si>
  <si>
    <t>AURORA</t>
  </si>
  <si>
    <t>LINGUIÇA DE FRANGO</t>
  </si>
  <si>
    <t>HELLMANS</t>
  </si>
  <si>
    <t>NESTON</t>
  </si>
  <si>
    <t>PREFERIDA</t>
  </si>
  <si>
    <t>PURINA</t>
  </si>
  <si>
    <t>DESINFETANTE</t>
  </si>
  <si>
    <t>CASA</t>
  </si>
  <si>
    <t>TORRADA</t>
  </si>
  <si>
    <t>BIS</t>
  </si>
  <si>
    <t>LACTA</t>
  </si>
  <si>
    <t xml:space="preserve">CHOCOLATE </t>
  </si>
  <si>
    <t>SORVETE 1,5L</t>
  </si>
  <si>
    <t>BATATA CONGELADA 1,7KG</t>
  </si>
  <si>
    <t>BISCOITO COOKIE</t>
  </si>
  <si>
    <t>BISCOITO NEGRESCO</t>
  </si>
  <si>
    <t>BISCOITO PASSTEMPO</t>
  </si>
  <si>
    <t>BOMBOM BIS</t>
  </si>
  <si>
    <t>BISCOITO TRAKINAS</t>
  </si>
  <si>
    <t>LEITE</t>
  </si>
  <si>
    <t>CREME DENTAL</t>
  </si>
  <si>
    <t>COLGATE</t>
  </si>
  <si>
    <t>ÓLEO</t>
  </si>
  <si>
    <t>LIMPADOR CIF</t>
  </si>
  <si>
    <t>CIF</t>
  </si>
  <si>
    <t>AMACIANTE</t>
  </si>
  <si>
    <t>ALVEJANTE</t>
  </si>
  <si>
    <t>VANISH</t>
  </si>
  <si>
    <t>IOG GREGO</t>
  </si>
  <si>
    <t>BATAVO</t>
  </si>
  <si>
    <t>IOG FERM</t>
  </si>
  <si>
    <t>COADOR DE PAPEL</t>
  </si>
  <si>
    <t>FILTRA BEM</t>
  </si>
  <si>
    <t>TEIXEIRA</t>
  </si>
  <si>
    <t>ANTISSEP</t>
  </si>
  <si>
    <t>LISTERINE</t>
  </si>
  <si>
    <t>ESFREBOM</t>
  </si>
  <si>
    <t>ESPONJA L. PESADA</t>
  </si>
  <si>
    <t>COMFORT</t>
  </si>
  <si>
    <t>FARINHA LÁCTEA</t>
  </si>
  <si>
    <t>CAFÉ EM PÓ</t>
  </si>
  <si>
    <t>PILÃO</t>
  </si>
  <si>
    <t>PERSONAL VIP</t>
  </si>
  <si>
    <t>CÔCO RALADO</t>
  </si>
  <si>
    <t>AJAX</t>
  </si>
  <si>
    <t>SUCO DE UVA</t>
  </si>
  <si>
    <t>FARINHA DE TRIGO</t>
  </si>
  <si>
    <t>DONA BENTA</t>
  </si>
  <si>
    <t>ROYAL</t>
  </si>
  <si>
    <t>SHEFA</t>
  </si>
  <si>
    <t>MACARRÃO INST.</t>
  </si>
  <si>
    <t>NISSIN</t>
  </si>
  <si>
    <t>MACARRÃO INST. TALHARIM</t>
  </si>
  <si>
    <t>ACHOLATADO EM PÓ</t>
  </si>
  <si>
    <t>TODDY</t>
  </si>
  <si>
    <t>GELÉIA PREMIUM</t>
  </si>
  <si>
    <t>HOMEMADE</t>
  </si>
  <si>
    <t>FERMENTO</t>
  </si>
  <si>
    <t>CHOCOLATE TALENTO</t>
  </si>
  <si>
    <t>GAROTO</t>
  </si>
  <si>
    <t>SALGADINHO DORITOS</t>
  </si>
  <si>
    <t>SCOTH BRITE</t>
  </si>
  <si>
    <t>FILTRO DE PAPEL</t>
  </si>
  <si>
    <t>MELITA</t>
  </si>
  <si>
    <t>CLOSEUP</t>
  </si>
  <si>
    <t>CREME DENTAL PACK4</t>
  </si>
  <si>
    <t>M. BIJOU</t>
  </si>
  <si>
    <t>SABONETE PACK C/6</t>
  </si>
  <si>
    <t>DOVE</t>
  </si>
  <si>
    <t>ESCOVA DE BANHO</t>
  </si>
  <si>
    <t>CONDOR</t>
  </si>
  <si>
    <t>ALCOOL LIQ.</t>
  </si>
  <si>
    <t>LUAR</t>
  </si>
  <si>
    <t>ID</t>
  </si>
  <si>
    <t>Sessão</t>
  </si>
  <si>
    <t>MERCEARIA</t>
  </si>
  <si>
    <t>NÃO COMPRADO</t>
  </si>
  <si>
    <t>MACARRÃO P/ LASANHA</t>
  </si>
  <si>
    <t>CÂNDIDA</t>
  </si>
  <si>
    <t>CANDURA</t>
  </si>
  <si>
    <t>SEARA</t>
  </si>
  <si>
    <t>QUEIJO FATIADO</t>
  </si>
  <si>
    <t>-</t>
  </si>
  <si>
    <t>CARNE MOÍDA</t>
  </si>
  <si>
    <t>CEBOLA</t>
  </si>
  <si>
    <t>ALHO</t>
  </si>
  <si>
    <t>BERINJELA</t>
  </si>
  <si>
    <t>FARINHA DE ROSCA</t>
  </si>
  <si>
    <t>REFRIGERANTE</t>
  </si>
  <si>
    <t>AZEITE DE OLIVA</t>
  </si>
  <si>
    <t>GALLO</t>
  </si>
  <si>
    <t>SUCRILHOS</t>
  </si>
  <si>
    <t>KELOGGS</t>
  </si>
  <si>
    <t>ITUBAINA</t>
  </si>
  <si>
    <t>PAPEL TOALHA</t>
  </si>
  <si>
    <t>HIGIENTE P. &amp; LIMP</t>
  </si>
  <si>
    <t>SANDÁLIA</t>
  </si>
  <si>
    <t>HAVAIANA</t>
  </si>
  <si>
    <t>1.MERCEARIA</t>
  </si>
  <si>
    <t>FARINHA DE MANDIOCA</t>
  </si>
  <si>
    <t>ARROZ</t>
  </si>
  <si>
    <t>2.HIGIENE E LIMPEZA</t>
  </si>
  <si>
    <t>3.FLV</t>
  </si>
  <si>
    <t>N/A</t>
  </si>
  <si>
    <t>AGROLAF</t>
  </si>
  <si>
    <t>AZEITE</t>
  </si>
  <si>
    <t>CAFÉ</t>
  </si>
  <si>
    <t>VERDURA</t>
  </si>
  <si>
    <t>MACARRÃO LASANHA</t>
  </si>
  <si>
    <t>PETYBOM</t>
  </si>
  <si>
    <t>MANTEIGA</t>
  </si>
  <si>
    <t>LEITE EM PÓ</t>
  </si>
  <si>
    <t>NINHO</t>
  </si>
  <si>
    <t>CHINELO</t>
  </si>
  <si>
    <t>4.OUTROS</t>
  </si>
  <si>
    <t>PRESUNTO</t>
  </si>
  <si>
    <t>QUEIJO</t>
  </si>
  <si>
    <t>MON BIJOU/YPÊ</t>
  </si>
  <si>
    <t>DUALLETE</t>
  </si>
  <si>
    <t>PAPEL HIGIÊNICO L24P22</t>
  </si>
  <si>
    <t>TIXAN YPÊ</t>
  </si>
  <si>
    <t>MILHO/ERVILHA</t>
  </si>
  <si>
    <t>CX BOMBOM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</si>
</sst>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0"/>
      <color theme="0"/>
      <name val="Segoe UI"/>
      <family val="2"/>
    </font>
    <font>
      <sz val="12"/>
      <color theme="1"/>
      <name val="Segoe UI"/>
      <family val="2"/>
    </font>
    <font>
      <b/>
      <sz val="12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2D89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Border="1" applyAlignment="1">
      <alignment horizontal="center"/>
    </xf>
    <xf numFmtId="0" fontId="3" fillId="0" borderId="0" xfId="0" applyFont="1"/>
    <xf numFmtId="1" fontId="3" fillId="0" borderId="0" xfId="0" applyNumberFormat="1" applyFont="1"/>
    <xf numFmtId="4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44" fontId="1" fillId="0" borderId="2" xfId="0" applyNumberFormat="1" applyFont="1" applyBorder="1" applyAlignment="1">
      <alignment horizontal="center"/>
    </xf>
    <xf numFmtId="44" fontId="2" fillId="0" borderId="2" xfId="0" applyNumberFormat="1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" fillId="0" borderId="0" xfId="0" applyFont="1" applyAlignment="1">
      <alignment vertical="center"/>
    </xf>
    <xf numFmtId="14" fontId="3" fillId="0" borderId="0" xfId="0" applyNumberFormat="1" applyFont="1"/>
    <xf numFmtId="14" fontId="1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5" fillId="0" borderId="2" xfId="0" applyFont="1" applyBorder="1" applyAlignment="1">
      <alignment horizontal="center" vertical="center"/>
    </xf>
    <xf numFmtId="44" fontId="5" fillId="0" borderId="2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21"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family val="2"/>
        <scheme val="none"/>
      </font>
      <fill>
        <patternFill patternType="solid">
          <fgColor indexed="64"/>
          <bgColor rgb="FF002D89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" Type="http://schemas.openxmlformats.org/officeDocument/2006/relationships/theme" Target="theme/theme1.xml"/><Relationship Id="rId21" Type="http://schemas.openxmlformats.org/officeDocument/2006/relationships/customXml" Target="../customXml/item13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microsoft.com/office/2006/relationships/vbaProject" Target="vbaProject.bin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2</xdr:row>
      <xdr:rowOff>171450</xdr:rowOff>
    </xdr:from>
    <xdr:to>
      <xdr:col>6</xdr:col>
      <xdr:colOff>1057275</xdr:colOff>
      <xdr:row>4</xdr:row>
      <xdr:rowOff>9525</xdr:rowOff>
    </xdr:to>
    <xdr:sp macro="[0]!InsertAndSortListObject" textlink="">
      <xdr:nvSpPr>
        <xdr:cNvPr id="2" name="Retângulo 1">
          <a:extLst>
            <a:ext uri="{FF2B5EF4-FFF2-40B4-BE49-F238E27FC236}">
              <a16:creationId xmlns:a16="http://schemas.microsoft.com/office/drawing/2014/main" id="{A4F3B497-1F3A-4CC2-8250-86A91C6083B1}"/>
            </a:ext>
          </a:extLst>
        </xdr:cNvPr>
        <xdr:cNvSpPr/>
      </xdr:nvSpPr>
      <xdr:spPr>
        <a:xfrm>
          <a:off x="6381750" y="533400"/>
          <a:ext cx="166687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u="none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Cadastrar Item</a:t>
          </a:r>
        </a:p>
      </xdr:txBody>
    </xdr:sp>
    <xdr:clientData/>
  </xdr:twoCellAnchor>
  <xdr:twoCellAnchor>
    <xdr:from>
      <xdr:col>5</xdr:col>
      <xdr:colOff>28575</xdr:colOff>
      <xdr:row>4</xdr:row>
      <xdr:rowOff>28575</xdr:rowOff>
    </xdr:from>
    <xdr:to>
      <xdr:col>6</xdr:col>
      <xdr:colOff>1057275</xdr:colOff>
      <xdr:row>4</xdr:row>
      <xdr:rowOff>276225</xdr:rowOff>
    </xdr:to>
    <xdr:sp macro="[0]!CustomSort" textlink="">
      <xdr:nvSpPr>
        <xdr:cNvPr id="3" name="Retângulo 2">
          <a:extLst>
            <a:ext uri="{FF2B5EF4-FFF2-40B4-BE49-F238E27FC236}">
              <a16:creationId xmlns:a16="http://schemas.microsoft.com/office/drawing/2014/main" id="{E58DDFF5-7BBF-428E-9909-0C1C250A6970}"/>
            </a:ext>
          </a:extLst>
        </xdr:cNvPr>
        <xdr:cNvSpPr/>
      </xdr:nvSpPr>
      <xdr:spPr>
        <a:xfrm>
          <a:off x="6381750" y="857250"/>
          <a:ext cx="1666875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u="none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Classificar Dados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Compras" displayName="tbCompras" ref="A7:G322" headerRowDxfId="18" dataDxfId="16" totalsRowDxfId="15" headerRowBorderDxfId="17">
  <autoFilter ref="A7:G322" xr:uid="{C025526C-A288-4AD8-9FC6-5BB4723519E7}">
    <filterColumn colId="3">
      <filters>
        <dateGroupItem year="2018" month="8" dateTimeGrouping="month"/>
      </filters>
    </filterColumn>
  </autoFilter>
  <sortState ref="A8:G322">
    <sortCondition ref="D8:D322"/>
    <sortCondition ref="C8:C322"/>
    <sortCondition ref="A8:A322"/>
  </sortState>
  <tableColumns count="7">
    <tableColumn id="1" xr3:uid="{00000000-0010-0000-0000-000001000000}" name="ITEM" dataDxfId="14"/>
    <tableColumn id="8" xr3:uid="{6BD61327-76FF-4512-944A-C10E1AA24A5C}" name="MARCA" dataDxfId="13"/>
    <tableColumn id="2" xr3:uid="{00000000-0010-0000-0000-000002000000}" name="SESSÃO" dataDxfId="12"/>
    <tableColumn id="7" xr3:uid="{4615C715-84C7-445C-9690-E8750229D3E9}" name="DATA_REF" dataDxfId="11"/>
    <tableColumn id="3" xr3:uid="{00000000-0010-0000-0000-000003000000}" name="PREÇO" dataDxfId="10"/>
    <tableColumn id="4" xr3:uid="{00000000-0010-0000-0000-000004000000}" name="QTD" dataDxfId="9"/>
    <tableColumn id="6" xr3:uid="{00000000-0010-0000-0000-000006000000}" name="VALIDA" dataDxfId="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1D7922-3F4E-40E8-A309-7EFC8AABBEEB}" name="tbCreditos" displayName="tbCreditos" ref="A1:B9" totalsRowShown="0" headerRowDxfId="7" dataDxfId="6">
  <tableColumns count="2">
    <tableColumn id="1" xr3:uid="{B6796BCB-DB3C-4BFD-A964-F9FF2B053BD5}" name="Data_Ref" dataDxfId="5"/>
    <tableColumn id="2" xr3:uid="{07CBF567-5A66-4668-A41A-52FABDAD27B5}" name="ValorCredito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A0569E-BBFB-44BF-881D-D7EF8A6DF443}" name="tbSessao" displayName="tbSessao" ref="D1:E5" totalsRowShown="0" headerRowDxfId="3" dataDxfId="2">
  <tableColumns count="2">
    <tableColumn id="1" xr3:uid="{0504BD42-76A1-4E38-8E26-4A41066C794F}" name="ID" dataDxfId="1"/>
    <tableColumn id="2" xr3:uid="{A3ECB3C8-D500-431E-B95D-3130B6B222EB}" name="Sess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Consolidado">
    <tabColor theme="4" tint="-0.499984740745262"/>
    <pageSetUpPr autoPageBreaks="0"/>
  </sheetPr>
  <dimension ref="A1:L322"/>
  <sheetViews>
    <sheetView showGridLines="0" tabSelected="1" workbookViewId="0">
      <pane ySplit="7" topLeftCell="A297" activePane="bottomLeft" state="frozen"/>
      <selection pane="bottomLeft" activeCell="A7" sqref="A7"/>
    </sheetView>
  </sheetViews>
  <sheetFormatPr defaultColWidth="9.140625" defaultRowHeight="14.25" outlineLevelCol="1" x14ac:dyDescent="0.25"/>
  <cols>
    <col min="1" max="1" width="28.140625" style="2" bestFit="1" customWidth="1"/>
    <col min="2" max="2" width="21.42578125" style="2" customWidth="1" outlineLevel="1"/>
    <col min="3" max="3" width="22.85546875" style="2" customWidth="1" outlineLevel="1"/>
    <col min="4" max="4" width="14.5703125" style="2" customWidth="1" outlineLevel="1"/>
    <col min="5" max="5" width="11.42578125" style="2" customWidth="1" outlineLevel="1"/>
    <col min="6" max="6" width="9.5703125" style="2" bestFit="1" customWidth="1"/>
    <col min="7" max="8" width="16" style="2" bestFit="1" customWidth="1"/>
    <col min="9" max="9" width="10.7109375" style="2" customWidth="1"/>
    <col min="10" max="10" width="16" style="2" customWidth="1"/>
    <col min="11" max="11" width="10.7109375" style="2" customWidth="1"/>
    <col min="12" max="12" width="12.5703125" style="2" customWidth="1"/>
    <col min="13" max="13" width="10.7109375" style="2" bestFit="1" customWidth="1"/>
    <col min="14" max="16384" width="9.140625" style="2"/>
  </cols>
  <sheetData>
    <row r="1" spans="1:12" x14ac:dyDescent="0.25">
      <c r="A1" s="19" t="s">
        <v>23</v>
      </c>
      <c r="B1" s="17">
        <f ca="1">SUMPRODUCT(N(MONTH(tbCompras[DATA_REF])=MONTH(TODAY()))*N(YEAR(tbCompras[DATA_REF])=YEAR(TODAY())),tbCompras[PREÇO],tbCompras[QTD])</f>
        <v>0</v>
      </c>
      <c r="H1" s="1"/>
      <c r="K1" s="8"/>
    </row>
    <row r="2" spans="1:12" x14ac:dyDescent="0.25">
      <c r="A2" s="19" t="s">
        <v>1</v>
      </c>
      <c r="B2" s="18">
        <f ca="1">SUMPRODUCT(N(YEAR(tbCreditos[Data_Ref])=YEAR(TODAY()))*N(MONTH(tbCreditos[Data_Ref])=MONTH(TODAY())),tbCreditos[ValorCredito]) - B1</f>
        <v>0</v>
      </c>
    </row>
    <row r="4" spans="1:12" ht="22.5" customHeight="1" x14ac:dyDescent="0.25">
      <c r="A4" s="29" t="s">
        <v>12</v>
      </c>
      <c r="B4" s="29" t="s">
        <v>25</v>
      </c>
      <c r="C4" s="29" t="s">
        <v>9</v>
      </c>
      <c r="D4" s="29" t="s">
        <v>0</v>
      </c>
      <c r="E4" s="29" t="s">
        <v>11</v>
      </c>
    </row>
    <row r="5" spans="1:12" ht="22.5" customHeight="1" x14ac:dyDescent="0.25">
      <c r="A5" s="27"/>
      <c r="B5" s="27"/>
      <c r="C5" s="27"/>
      <c r="D5" s="28"/>
      <c r="E5" s="27"/>
    </row>
    <row r="6" spans="1:12" ht="15" thickBot="1" x14ac:dyDescent="0.3">
      <c r="K6" s="5"/>
      <c r="L6" s="5"/>
    </row>
    <row r="7" spans="1:12" x14ac:dyDescent="0.25">
      <c r="A7" s="20" t="s">
        <v>12</v>
      </c>
      <c r="B7" s="20" t="s">
        <v>25</v>
      </c>
      <c r="C7" s="20" t="s">
        <v>9</v>
      </c>
      <c r="D7" s="9" t="s">
        <v>16</v>
      </c>
      <c r="E7" s="9" t="s">
        <v>0</v>
      </c>
      <c r="F7" s="9" t="s">
        <v>11</v>
      </c>
      <c r="G7" s="9" t="s">
        <v>8</v>
      </c>
      <c r="J7" s="5"/>
      <c r="K7" s="5"/>
    </row>
    <row r="8" spans="1:12" hidden="1" x14ac:dyDescent="0.25">
      <c r="A8" s="23" t="s">
        <v>62</v>
      </c>
      <c r="B8" s="23" t="s">
        <v>45</v>
      </c>
      <c r="C8" s="22" t="s">
        <v>170</v>
      </c>
      <c r="D8" s="10">
        <v>43146</v>
      </c>
      <c r="E8" s="15">
        <v>19.989999999999998</v>
      </c>
      <c r="F8" s="16">
        <v>1</v>
      </c>
      <c r="G8" s="14" t="s">
        <v>2</v>
      </c>
    </row>
    <row r="9" spans="1:12" hidden="1" x14ac:dyDescent="0.25">
      <c r="A9" s="22" t="s">
        <v>7</v>
      </c>
      <c r="B9" s="21" t="s">
        <v>33</v>
      </c>
      <c r="C9" s="22" t="s">
        <v>170</v>
      </c>
      <c r="D9" s="10">
        <v>43146</v>
      </c>
      <c r="E9" s="15">
        <v>1.69</v>
      </c>
      <c r="F9" s="16">
        <v>2</v>
      </c>
      <c r="G9" s="14" t="s">
        <v>2</v>
      </c>
      <c r="K9" s="5"/>
    </row>
    <row r="10" spans="1:12" hidden="1" x14ac:dyDescent="0.25">
      <c r="A10" s="23" t="s">
        <v>60</v>
      </c>
      <c r="B10" s="23" t="s">
        <v>53</v>
      </c>
      <c r="C10" s="23" t="s">
        <v>170</v>
      </c>
      <c r="D10" s="10">
        <v>43146</v>
      </c>
      <c r="E10" s="15">
        <v>4.05</v>
      </c>
      <c r="F10" s="16">
        <v>1</v>
      </c>
      <c r="G10" s="14" t="s">
        <v>2</v>
      </c>
    </row>
    <row r="11" spans="1:12" hidden="1" x14ac:dyDescent="0.25">
      <c r="A11" s="22" t="s">
        <v>14</v>
      </c>
      <c r="B11" s="21" t="s">
        <v>36</v>
      </c>
      <c r="C11" s="22" t="s">
        <v>170</v>
      </c>
      <c r="D11" s="10">
        <v>43146</v>
      </c>
      <c r="E11" s="15">
        <v>19.989999999999998</v>
      </c>
      <c r="F11" s="16">
        <v>1</v>
      </c>
      <c r="G11" s="14" t="s">
        <v>2</v>
      </c>
      <c r="K11" s="5"/>
    </row>
    <row r="12" spans="1:12" hidden="1" x14ac:dyDescent="0.25">
      <c r="A12" s="22" t="s">
        <v>13</v>
      </c>
      <c r="B12" s="21" t="s">
        <v>35</v>
      </c>
      <c r="C12" s="22" t="s">
        <v>170</v>
      </c>
      <c r="D12" s="10">
        <v>43146</v>
      </c>
      <c r="E12" s="15">
        <v>13.47</v>
      </c>
      <c r="F12" s="16">
        <v>1</v>
      </c>
      <c r="G12" s="14" t="s">
        <v>2</v>
      </c>
    </row>
    <row r="13" spans="1:12" hidden="1" x14ac:dyDescent="0.25">
      <c r="A13" s="22" t="s">
        <v>6</v>
      </c>
      <c r="B13" s="21" t="s">
        <v>63</v>
      </c>
      <c r="C13" s="22" t="s">
        <v>170</v>
      </c>
      <c r="D13" s="10">
        <v>43146</v>
      </c>
      <c r="E13" s="15">
        <v>0.99</v>
      </c>
      <c r="F13" s="16">
        <v>5</v>
      </c>
      <c r="G13" s="14" t="s">
        <v>2</v>
      </c>
    </row>
    <row r="14" spans="1:12" hidden="1" x14ac:dyDescent="0.25">
      <c r="A14" s="21" t="s">
        <v>51</v>
      </c>
      <c r="B14" s="21" t="s">
        <v>30</v>
      </c>
      <c r="C14" s="22" t="s">
        <v>150</v>
      </c>
      <c r="D14" s="10">
        <v>43146</v>
      </c>
      <c r="E14" s="15">
        <v>9.9</v>
      </c>
      <c r="F14" s="16">
        <v>1</v>
      </c>
      <c r="G14" s="14" t="s">
        <v>2</v>
      </c>
    </row>
    <row r="15" spans="1:12" hidden="1" x14ac:dyDescent="0.25">
      <c r="A15" s="23" t="s">
        <v>5</v>
      </c>
      <c r="B15" s="23" t="s">
        <v>27</v>
      </c>
      <c r="C15" s="22" t="s">
        <v>150</v>
      </c>
      <c r="D15" s="10">
        <v>43146</v>
      </c>
      <c r="E15" s="15">
        <v>2.39</v>
      </c>
      <c r="F15" s="16">
        <v>1</v>
      </c>
      <c r="G15" s="14" t="s">
        <v>2</v>
      </c>
    </row>
    <row r="16" spans="1:12" hidden="1" x14ac:dyDescent="0.25">
      <c r="A16" s="23" t="s">
        <v>56</v>
      </c>
      <c r="B16" s="23" t="s">
        <v>57</v>
      </c>
      <c r="C16" s="22" t="s">
        <v>150</v>
      </c>
      <c r="D16" s="10">
        <v>43146</v>
      </c>
      <c r="E16" s="15">
        <v>1.65</v>
      </c>
      <c r="F16" s="16">
        <v>4</v>
      </c>
      <c r="G16" s="14" t="s">
        <v>2</v>
      </c>
    </row>
    <row r="17" spans="1:8" hidden="1" x14ac:dyDescent="0.25">
      <c r="A17" s="23" t="s">
        <v>56</v>
      </c>
      <c r="B17" s="23" t="s">
        <v>61</v>
      </c>
      <c r="C17" s="22" t="s">
        <v>150</v>
      </c>
      <c r="D17" s="10">
        <v>43146</v>
      </c>
      <c r="E17" s="15">
        <v>1.79</v>
      </c>
      <c r="F17" s="16">
        <v>4</v>
      </c>
      <c r="G17" s="14" t="s">
        <v>2</v>
      </c>
    </row>
    <row r="18" spans="1:8" hidden="1" x14ac:dyDescent="0.25">
      <c r="A18" s="21" t="s">
        <v>47</v>
      </c>
      <c r="B18" s="21" t="s">
        <v>26</v>
      </c>
      <c r="C18" s="22" t="s">
        <v>150</v>
      </c>
      <c r="D18" s="10">
        <v>43146</v>
      </c>
      <c r="E18" s="12">
        <v>11.9</v>
      </c>
      <c r="F18" s="13">
        <v>1</v>
      </c>
      <c r="G18" s="11" t="s">
        <v>2</v>
      </c>
    </row>
    <row r="19" spans="1:8" hidden="1" x14ac:dyDescent="0.25">
      <c r="A19" s="23" t="s">
        <v>43</v>
      </c>
      <c r="B19" s="23" t="s">
        <v>39</v>
      </c>
      <c r="C19" s="22" t="s">
        <v>150</v>
      </c>
      <c r="D19" s="10">
        <v>43146</v>
      </c>
      <c r="E19" s="15">
        <v>2.5499999999999998</v>
      </c>
      <c r="F19" s="16">
        <v>3</v>
      </c>
      <c r="G19" s="14" t="s">
        <v>2</v>
      </c>
    </row>
    <row r="20" spans="1:8" hidden="1" x14ac:dyDescent="0.25">
      <c r="A20" s="23" t="s">
        <v>20</v>
      </c>
      <c r="B20" s="23" t="s">
        <v>42</v>
      </c>
      <c r="C20" s="22" t="s">
        <v>150</v>
      </c>
      <c r="D20" s="10">
        <v>43146</v>
      </c>
      <c r="E20" s="15">
        <v>3.99</v>
      </c>
      <c r="F20" s="16">
        <v>1</v>
      </c>
      <c r="G20" s="14" t="s">
        <v>2</v>
      </c>
    </row>
    <row r="21" spans="1:8" hidden="1" x14ac:dyDescent="0.25">
      <c r="A21" s="23" t="s">
        <v>54</v>
      </c>
      <c r="B21" s="23" t="s">
        <v>55</v>
      </c>
      <c r="C21" s="22" t="s">
        <v>150</v>
      </c>
      <c r="D21" s="10">
        <v>43146</v>
      </c>
      <c r="E21" s="15">
        <v>4.8899999999999997</v>
      </c>
      <c r="F21" s="16">
        <v>1</v>
      </c>
      <c r="G21" s="14" t="s">
        <v>2</v>
      </c>
    </row>
    <row r="22" spans="1:8" hidden="1" x14ac:dyDescent="0.25">
      <c r="A22" s="23" t="s">
        <v>18</v>
      </c>
      <c r="B22" s="23" t="s">
        <v>31</v>
      </c>
      <c r="C22" s="22" t="s">
        <v>150</v>
      </c>
      <c r="D22" s="10">
        <v>43146</v>
      </c>
      <c r="E22" s="15">
        <v>2.29</v>
      </c>
      <c r="F22" s="16">
        <v>1</v>
      </c>
      <c r="G22" s="14" t="s">
        <v>2</v>
      </c>
    </row>
    <row r="23" spans="1:8" hidden="1" x14ac:dyDescent="0.25">
      <c r="A23" s="23" t="s">
        <v>3</v>
      </c>
      <c r="B23" s="23" t="s">
        <v>26</v>
      </c>
      <c r="C23" s="22" t="s">
        <v>150</v>
      </c>
      <c r="D23" s="10">
        <v>43146</v>
      </c>
      <c r="E23" s="15">
        <v>3.39</v>
      </c>
      <c r="F23" s="16">
        <v>3</v>
      </c>
      <c r="G23" s="14" t="s">
        <v>2</v>
      </c>
    </row>
    <row r="24" spans="1:8" hidden="1" x14ac:dyDescent="0.25">
      <c r="A24" s="23" t="s">
        <v>17</v>
      </c>
      <c r="B24" s="23" t="s">
        <v>37</v>
      </c>
      <c r="C24" s="22" t="s">
        <v>150</v>
      </c>
      <c r="D24" s="10">
        <v>43146</v>
      </c>
      <c r="E24" s="15">
        <v>4.8899999999999997</v>
      </c>
      <c r="F24" s="16">
        <v>1</v>
      </c>
      <c r="G24" s="14" t="s">
        <v>2</v>
      </c>
    </row>
    <row r="25" spans="1:8" hidden="1" x14ac:dyDescent="0.25">
      <c r="A25" s="21" t="s">
        <v>52</v>
      </c>
      <c r="B25" s="21" t="s">
        <v>31</v>
      </c>
      <c r="C25" s="22" t="s">
        <v>150</v>
      </c>
      <c r="D25" s="10">
        <v>43146</v>
      </c>
      <c r="E25" s="15">
        <v>1.79</v>
      </c>
      <c r="F25" s="16">
        <v>12</v>
      </c>
      <c r="G25" s="14" t="s">
        <v>2</v>
      </c>
    </row>
    <row r="26" spans="1:8" hidden="1" x14ac:dyDescent="0.25">
      <c r="A26" s="21" t="s">
        <v>49</v>
      </c>
      <c r="B26" s="21" t="s">
        <v>28</v>
      </c>
      <c r="C26" s="22" t="s">
        <v>150</v>
      </c>
      <c r="D26" s="10">
        <v>43146</v>
      </c>
      <c r="E26" s="15">
        <v>1.79</v>
      </c>
      <c r="F26" s="16">
        <v>1</v>
      </c>
      <c r="G26" s="14" t="s">
        <v>2</v>
      </c>
      <c r="H26" s="3"/>
    </row>
    <row r="27" spans="1:8" hidden="1" x14ac:dyDescent="0.25">
      <c r="A27" s="21" t="s">
        <v>48</v>
      </c>
      <c r="B27" s="21" t="s">
        <v>28</v>
      </c>
      <c r="C27" s="22" t="s">
        <v>150</v>
      </c>
      <c r="D27" s="10">
        <v>43146</v>
      </c>
      <c r="E27" s="15">
        <v>1.79</v>
      </c>
      <c r="F27" s="16">
        <v>1</v>
      </c>
      <c r="G27" s="14" t="s">
        <v>2</v>
      </c>
    </row>
    <row r="28" spans="1:8" hidden="1" x14ac:dyDescent="0.25">
      <c r="A28" s="22" t="s">
        <v>10</v>
      </c>
      <c r="B28" s="21" t="s">
        <v>34</v>
      </c>
      <c r="C28" s="22" t="s">
        <v>150</v>
      </c>
      <c r="D28" s="10">
        <v>43146</v>
      </c>
      <c r="E28" s="15">
        <v>3.99</v>
      </c>
      <c r="F28" s="16">
        <v>1</v>
      </c>
      <c r="G28" s="14" t="s">
        <v>2</v>
      </c>
    </row>
    <row r="29" spans="1:8" hidden="1" x14ac:dyDescent="0.25">
      <c r="A29" s="22" t="s">
        <v>4</v>
      </c>
      <c r="B29" s="21" t="s">
        <v>29</v>
      </c>
      <c r="C29" s="22" t="s">
        <v>150</v>
      </c>
      <c r="D29" s="10">
        <v>43146</v>
      </c>
      <c r="E29" s="15">
        <v>1.99</v>
      </c>
      <c r="F29" s="16">
        <v>5</v>
      </c>
      <c r="G29" s="14" t="s">
        <v>2</v>
      </c>
    </row>
    <row r="30" spans="1:8" hidden="1" x14ac:dyDescent="0.25">
      <c r="A30" s="23" t="s">
        <v>58</v>
      </c>
      <c r="B30" s="23" t="s">
        <v>59</v>
      </c>
      <c r="C30" s="22" t="s">
        <v>150</v>
      </c>
      <c r="D30" s="10">
        <v>43146</v>
      </c>
      <c r="E30" s="15">
        <v>21.9</v>
      </c>
      <c r="F30" s="16">
        <v>1</v>
      </c>
      <c r="G30" s="14" t="s">
        <v>2</v>
      </c>
    </row>
    <row r="31" spans="1:8" hidden="1" x14ac:dyDescent="0.25">
      <c r="A31" s="21" t="s">
        <v>46</v>
      </c>
      <c r="B31" s="21" t="s">
        <v>32</v>
      </c>
      <c r="C31" s="22" t="s">
        <v>150</v>
      </c>
      <c r="D31" s="10">
        <v>43146</v>
      </c>
      <c r="E31" s="15">
        <v>3.49</v>
      </c>
      <c r="F31" s="16">
        <v>2</v>
      </c>
      <c r="G31" s="14" t="s">
        <v>2</v>
      </c>
    </row>
    <row r="32" spans="1:8" hidden="1" x14ac:dyDescent="0.25">
      <c r="A32" s="23" t="s">
        <v>40</v>
      </c>
      <c r="B32" s="23" t="s">
        <v>41</v>
      </c>
      <c r="C32" s="22" t="s">
        <v>150</v>
      </c>
      <c r="D32" s="10">
        <v>43146</v>
      </c>
      <c r="E32" s="15">
        <v>5.19</v>
      </c>
      <c r="F32" s="16">
        <v>1</v>
      </c>
      <c r="G32" s="14" t="s">
        <v>2</v>
      </c>
    </row>
    <row r="33" spans="1:9" ht="15" hidden="1" x14ac:dyDescent="0.25">
      <c r="A33" s="23" t="s">
        <v>15</v>
      </c>
      <c r="B33" s="23" t="s">
        <v>53</v>
      </c>
      <c r="C33" s="22" t="s">
        <v>150</v>
      </c>
      <c r="D33" s="10">
        <v>43146</v>
      </c>
      <c r="E33" s="15">
        <v>1.39</v>
      </c>
      <c r="F33" s="16">
        <v>1</v>
      </c>
      <c r="G33" s="14" t="s">
        <v>2</v>
      </c>
      <c r="I33"/>
    </row>
    <row r="34" spans="1:9" ht="15" hidden="1" x14ac:dyDescent="0.25">
      <c r="A34" s="23" t="s">
        <v>24</v>
      </c>
      <c r="B34" s="23" t="s">
        <v>44</v>
      </c>
      <c r="C34" s="22" t="s">
        <v>150</v>
      </c>
      <c r="D34" s="10">
        <v>43146</v>
      </c>
      <c r="E34" s="15">
        <v>3.99</v>
      </c>
      <c r="F34" s="16">
        <v>2</v>
      </c>
      <c r="G34" s="14" t="s">
        <v>2</v>
      </c>
      <c r="I34"/>
    </row>
    <row r="35" spans="1:9" hidden="1" x14ac:dyDescent="0.25">
      <c r="A35" s="23" t="s">
        <v>19</v>
      </c>
      <c r="B35" s="23" t="s">
        <v>38</v>
      </c>
      <c r="C35" s="22" t="s">
        <v>150</v>
      </c>
      <c r="D35" s="10">
        <v>43146</v>
      </c>
      <c r="E35" s="15">
        <v>2.99</v>
      </c>
      <c r="F35" s="16">
        <v>1</v>
      </c>
      <c r="G35" s="14" t="s">
        <v>2</v>
      </c>
    </row>
    <row r="36" spans="1:9" hidden="1" x14ac:dyDescent="0.25">
      <c r="A36" s="23" t="s">
        <v>50</v>
      </c>
      <c r="B36" s="23" t="s">
        <v>39</v>
      </c>
      <c r="C36" s="22" t="s">
        <v>150</v>
      </c>
      <c r="D36" s="10">
        <v>43146</v>
      </c>
      <c r="E36" s="15">
        <v>5.19</v>
      </c>
      <c r="F36" s="16">
        <v>1</v>
      </c>
      <c r="G36" s="14" t="s">
        <v>2</v>
      </c>
    </row>
    <row r="37" spans="1:9" hidden="1" x14ac:dyDescent="0.25">
      <c r="A37" s="23" t="s">
        <v>50</v>
      </c>
      <c r="B37" s="23" t="s">
        <v>39</v>
      </c>
      <c r="C37" s="22" t="s">
        <v>150</v>
      </c>
      <c r="D37" s="10">
        <v>43146</v>
      </c>
      <c r="E37" s="15">
        <v>5.19</v>
      </c>
      <c r="F37" s="16">
        <v>1</v>
      </c>
      <c r="G37" s="14" t="s">
        <v>2</v>
      </c>
    </row>
    <row r="38" spans="1:9" hidden="1" x14ac:dyDescent="0.25">
      <c r="A38" s="23" t="s">
        <v>89</v>
      </c>
      <c r="B38" s="23" t="s">
        <v>39</v>
      </c>
      <c r="C38" s="21" t="s">
        <v>170</v>
      </c>
      <c r="D38" s="10">
        <v>43176</v>
      </c>
      <c r="E38" s="15">
        <v>3.39</v>
      </c>
      <c r="F38" s="16">
        <v>2</v>
      </c>
      <c r="G38" s="14" t="s">
        <v>2</v>
      </c>
    </row>
    <row r="39" spans="1:9" hidden="1" x14ac:dyDescent="0.25">
      <c r="A39" s="23" t="s">
        <v>81</v>
      </c>
      <c r="B39" s="23" t="s">
        <v>82</v>
      </c>
      <c r="C39" s="21" t="s">
        <v>170</v>
      </c>
      <c r="D39" s="10">
        <v>43176</v>
      </c>
      <c r="E39" s="15">
        <v>3.89</v>
      </c>
      <c r="F39" s="16">
        <v>1</v>
      </c>
      <c r="G39" s="14" t="s">
        <v>2</v>
      </c>
    </row>
    <row r="40" spans="1:9" hidden="1" x14ac:dyDescent="0.25">
      <c r="A40" s="21" t="s">
        <v>14</v>
      </c>
      <c r="B40" s="21" t="s">
        <v>36</v>
      </c>
      <c r="C40" s="21" t="s">
        <v>170</v>
      </c>
      <c r="D40" s="10">
        <v>43176</v>
      </c>
      <c r="E40" s="15">
        <v>9.99</v>
      </c>
      <c r="F40" s="16">
        <v>1</v>
      </c>
      <c r="G40" s="14" t="s">
        <v>2</v>
      </c>
    </row>
    <row r="41" spans="1:9" hidden="1" x14ac:dyDescent="0.25">
      <c r="A41" s="21" t="s">
        <v>6</v>
      </c>
      <c r="B41" s="21" t="s">
        <v>64</v>
      </c>
      <c r="C41" s="21" t="s">
        <v>170</v>
      </c>
      <c r="D41" s="10">
        <v>43176</v>
      </c>
      <c r="E41" s="15">
        <v>0.99</v>
      </c>
      <c r="F41" s="16">
        <v>5</v>
      </c>
      <c r="G41" s="14" t="s">
        <v>2</v>
      </c>
    </row>
    <row r="42" spans="1:9" hidden="1" x14ac:dyDescent="0.25">
      <c r="A42" s="21" t="s">
        <v>51</v>
      </c>
      <c r="B42" s="21" t="s">
        <v>30</v>
      </c>
      <c r="C42" s="21" t="s">
        <v>150</v>
      </c>
      <c r="D42" s="10">
        <v>43176</v>
      </c>
      <c r="E42" s="15">
        <v>6.99</v>
      </c>
      <c r="F42" s="16">
        <v>1</v>
      </c>
      <c r="G42" s="14" t="s">
        <v>2</v>
      </c>
    </row>
    <row r="43" spans="1:9" hidden="1" x14ac:dyDescent="0.25">
      <c r="A43" s="23" t="s">
        <v>5</v>
      </c>
      <c r="B43" s="23" t="s">
        <v>27</v>
      </c>
      <c r="C43" s="21" t="s">
        <v>150</v>
      </c>
      <c r="D43" s="10">
        <v>43176</v>
      </c>
      <c r="E43" s="15">
        <v>2.29</v>
      </c>
      <c r="F43" s="16">
        <v>3</v>
      </c>
      <c r="G43" s="14" t="s">
        <v>2</v>
      </c>
    </row>
    <row r="44" spans="1:9" hidden="1" x14ac:dyDescent="0.25">
      <c r="A44" s="23" t="s">
        <v>56</v>
      </c>
      <c r="B44" s="23" t="s">
        <v>80</v>
      </c>
      <c r="C44" s="21" t="s">
        <v>150</v>
      </c>
      <c r="D44" s="10">
        <v>43176</v>
      </c>
      <c r="E44" s="15">
        <v>1.89</v>
      </c>
      <c r="F44" s="16">
        <v>5</v>
      </c>
      <c r="G44" s="14" t="s">
        <v>2</v>
      </c>
    </row>
    <row r="45" spans="1:9" hidden="1" x14ac:dyDescent="0.25">
      <c r="A45" s="21" t="s">
        <v>47</v>
      </c>
      <c r="B45" s="21" t="s">
        <v>26</v>
      </c>
      <c r="C45" s="21" t="s">
        <v>150</v>
      </c>
      <c r="D45" s="10">
        <v>43176</v>
      </c>
      <c r="E45" s="12">
        <v>13.9</v>
      </c>
      <c r="F45" s="13">
        <v>1</v>
      </c>
      <c r="G45" s="11" t="s">
        <v>2</v>
      </c>
    </row>
    <row r="46" spans="1:9" hidden="1" x14ac:dyDescent="0.25">
      <c r="A46" s="23" t="s">
        <v>88</v>
      </c>
      <c r="B46" s="23" t="s">
        <v>79</v>
      </c>
      <c r="C46" s="21" t="s">
        <v>150</v>
      </c>
      <c r="D46" s="10">
        <v>43176</v>
      </c>
      <c r="E46" s="15">
        <v>7.99</v>
      </c>
      <c r="F46" s="16">
        <v>1</v>
      </c>
      <c r="G46" s="14" t="s">
        <v>2</v>
      </c>
    </row>
    <row r="47" spans="1:9" hidden="1" x14ac:dyDescent="0.25">
      <c r="A47" s="23" t="s">
        <v>84</v>
      </c>
      <c r="B47" s="23" t="s">
        <v>85</v>
      </c>
      <c r="C47" s="21" t="s">
        <v>150</v>
      </c>
      <c r="D47" s="10">
        <v>43176</v>
      </c>
      <c r="E47" s="15">
        <v>3.89</v>
      </c>
      <c r="F47" s="16">
        <v>1</v>
      </c>
      <c r="G47" s="14" t="s">
        <v>2</v>
      </c>
    </row>
    <row r="48" spans="1:9" hidden="1" x14ac:dyDescent="0.25">
      <c r="A48" s="23" t="s">
        <v>90</v>
      </c>
      <c r="B48" s="23" t="s">
        <v>53</v>
      </c>
      <c r="C48" s="21" t="s">
        <v>150</v>
      </c>
      <c r="D48" s="10">
        <v>43176</v>
      </c>
      <c r="E48" s="15">
        <v>2.65</v>
      </c>
      <c r="F48" s="16">
        <v>1</v>
      </c>
      <c r="G48" s="14" t="s">
        <v>2</v>
      </c>
    </row>
    <row r="49" spans="1:7" hidden="1" x14ac:dyDescent="0.25">
      <c r="A49" s="23" t="s">
        <v>91</v>
      </c>
      <c r="B49" s="23" t="s">
        <v>53</v>
      </c>
      <c r="C49" s="21" t="s">
        <v>150</v>
      </c>
      <c r="D49" s="10">
        <v>43176</v>
      </c>
      <c r="E49" s="15">
        <v>1.89</v>
      </c>
      <c r="F49" s="16">
        <v>1</v>
      </c>
      <c r="G49" s="14" t="s">
        <v>2</v>
      </c>
    </row>
    <row r="50" spans="1:7" hidden="1" x14ac:dyDescent="0.25">
      <c r="A50" s="23" t="s">
        <v>93</v>
      </c>
      <c r="B50" s="23" t="s">
        <v>53</v>
      </c>
      <c r="C50" s="21" t="s">
        <v>150</v>
      </c>
      <c r="D50" s="10">
        <v>43176</v>
      </c>
      <c r="E50" s="15">
        <v>1.59</v>
      </c>
      <c r="F50" s="16">
        <v>1</v>
      </c>
      <c r="G50" s="14" t="s">
        <v>2</v>
      </c>
    </row>
    <row r="51" spans="1:7" hidden="1" x14ac:dyDescent="0.25">
      <c r="A51" s="23" t="s">
        <v>20</v>
      </c>
      <c r="B51" s="23" t="s">
        <v>42</v>
      </c>
      <c r="C51" s="21" t="s">
        <v>150</v>
      </c>
      <c r="D51" s="10">
        <v>43176</v>
      </c>
      <c r="E51" s="15">
        <v>3.99</v>
      </c>
      <c r="F51" s="16">
        <v>1</v>
      </c>
      <c r="G51" s="14" t="s">
        <v>2</v>
      </c>
    </row>
    <row r="52" spans="1:7" hidden="1" x14ac:dyDescent="0.25">
      <c r="A52" s="23" t="s">
        <v>92</v>
      </c>
      <c r="B52" s="23" t="s">
        <v>85</v>
      </c>
      <c r="C52" s="21" t="s">
        <v>150</v>
      </c>
      <c r="D52" s="10">
        <v>43176</v>
      </c>
      <c r="E52" s="15">
        <v>3.99</v>
      </c>
      <c r="F52" s="16">
        <v>1</v>
      </c>
      <c r="G52" s="14" t="s">
        <v>2</v>
      </c>
    </row>
    <row r="53" spans="1:7" hidden="1" x14ac:dyDescent="0.25">
      <c r="A53" s="23" t="s">
        <v>86</v>
      </c>
      <c r="B53" s="23" t="s">
        <v>85</v>
      </c>
      <c r="C53" s="21" t="s">
        <v>150</v>
      </c>
      <c r="D53" s="10">
        <v>43176</v>
      </c>
      <c r="E53" s="15">
        <v>4.99</v>
      </c>
      <c r="F53" s="16">
        <v>1</v>
      </c>
      <c r="G53" s="14" t="s">
        <v>2</v>
      </c>
    </row>
    <row r="54" spans="1:7" hidden="1" x14ac:dyDescent="0.25">
      <c r="A54" s="23" t="s">
        <v>18</v>
      </c>
      <c r="B54" s="23" t="s">
        <v>68</v>
      </c>
      <c r="C54" s="21" t="s">
        <v>150</v>
      </c>
      <c r="D54" s="10">
        <v>43176</v>
      </c>
      <c r="E54" s="15">
        <v>2.29</v>
      </c>
      <c r="F54" s="16">
        <v>4</v>
      </c>
      <c r="G54" s="14" t="s">
        <v>2</v>
      </c>
    </row>
    <row r="55" spans="1:7" hidden="1" x14ac:dyDescent="0.25">
      <c r="A55" s="23" t="s">
        <v>71</v>
      </c>
      <c r="B55" s="23" t="s">
        <v>70</v>
      </c>
      <c r="C55" s="21" t="s">
        <v>150</v>
      </c>
      <c r="D55" s="10">
        <v>43176</v>
      </c>
      <c r="E55" s="15">
        <v>1.99</v>
      </c>
      <c r="F55" s="16">
        <v>1</v>
      </c>
      <c r="G55" s="14" t="s">
        <v>2</v>
      </c>
    </row>
    <row r="56" spans="1:7" hidden="1" x14ac:dyDescent="0.25">
      <c r="A56" s="23" t="s">
        <v>66</v>
      </c>
      <c r="B56" s="23" t="s">
        <v>77</v>
      </c>
      <c r="C56" s="21" t="s">
        <v>150</v>
      </c>
      <c r="D56" s="10">
        <v>43176</v>
      </c>
      <c r="E56" s="15">
        <v>7.99</v>
      </c>
      <c r="F56" s="16">
        <v>1</v>
      </c>
      <c r="G56" s="14" t="s">
        <v>2</v>
      </c>
    </row>
    <row r="57" spans="1:7" hidden="1" x14ac:dyDescent="0.25">
      <c r="A57" s="23" t="s">
        <v>65</v>
      </c>
      <c r="B57" s="23" t="s">
        <v>37</v>
      </c>
      <c r="C57" s="21" t="s">
        <v>150</v>
      </c>
      <c r="D57" s="10">
        <v>43176</v>
      </c>
      <c r="E57" s="15">
        <v>4.8899999999999997</v>
      </c>
      <c r="F57" s="16">
        <v>2</v>
      </c>
      <c r="G57" s="14" t="s">
        <v>2</v>
      </c>
    </row>
    <row r="58" spans="1:7" hidden="1" x14ac:dyDescent="0.25">
      <c r="A58" s="23" t="s">
        <v>76</v>
      </c>
      <c r="B58" s="23" t="s">
        <v>75</v>
      </c>
      <c r="C58" s="21" t="s">
        <v>150</v>
      </c>
      <c r="D58" s="10">
        <v>43176</v>
      </c>
      <c r="E58" s="15">
        <v>11.16</v>
      </c>
      <c r="F58" s="16">
        <v>1</v>
      </c>
      <c r="G58" s="14" t="s">
        <v>2</v>
      </c>
    </row>
    <row r="59" spans="1:7" hidden="1" x14ac:dyDescent="0.25">
      <c r="A59" s="21" t="s">
        <v>49</v>
      </c>
      <c r="B59" s="21" t="s">
        <v>28</v>
      </c>
      <c r="C59" s="21" t="s">
        <v>150</v>
      </c>
      <c r="D59" s="10">
        <v>43176</v>
      </c>
      <c r="E59" s="15">
        <v>2.4900000000000002</v>
      </c>
      <c r="F59" s="16">
        <v>1</v>
      </c>
      <c r="G59" s="14" t="s">
        <v>2</v>
      </c>
    </row>
    <row r="60" spans="1:7" hidden="1" x14ac:dyDescent="0.25">
      <c r="A60" s="21" t="s">
        <v>10</v>
      </c>
      <c r="B60" s="21" t="s">
        <v>34</v>
      </c>
      <c r="C60" s="21" t="s">
        <v>150</v>
      </c>
      <c r="D60" s="10">
        <v>43176</v>
      </c>
      <c r="E60" s="15">
        <v>4.99</v>
      </c>
      <c r="F60" s="16">
        <v>1</v>
      </c>
      <c r="G60" s="14" t="s">
        <v>2</v>
      </c>
    </row>
    <row r="61" spans="1:7" hidden="1" x14ac:dyDescent="0.25">
      <c r="A61" s="23" t="s">
        <v>69</v>
      </c>
      <c r="B61" s="23" t="s">
        <v>70</v>
      </c>
      <c r="C61" s="21" t="s">
        <v>150</v>
      </c>
      <c r="D61" s="10">
        <v>43176</v>
      </c>
      <c r="E61" s="15">
        <v>1.99</v>
      </c>
      <c r="F61" s="16">
        <v>1</v>
      </c>
      <c r="G61" s="14" t="s">
        <v>2</v>
      </c>
    </row>
    <row r="62" spans="1:7" hidden="1" x14ac:dyDescent="0.25">
      <c r="A62" s="21" t="s">
        <v>4</v>
      </c>
      <c r="B62" s="21" t="s">
        <v>29</v>
      </c>
      <c r="C62" s="21" t="s">
        <v>150</v>
      </c>
      <c r="D62" s="10">
        <v>43176</v>
      </c>
      <c r="E62" s="15">
        <v>1.91</v>
      </c>
      <c r="F62" s="16">
        <v>5</v>
      </c>
      <c r="G62" s="14" t="s">
        <v>2</v>
      </c>
    </row>
    <row r="63" spans="1:7" hidden="1" x14ac:dyDescent="0.25">
      <c r="A63" s="23" t="s">
        <v>78</v>
      </c>
      <c r="B63" s="23" t="s">
        <v>37</v>
      </c>
      <c r="C63" s="21" t="s">
        <v>150</v>
      </c>
      <c r="D63" s="10">
        <v>43176</v>
      </c>
      <c r="E63" s="15">
        <v>7.99</v>
      </c>
      <c r="F63" s="16">
        <v>1</v>
      </c>
      <c r="G63" s="14" t="s">
        <v>2</v>
      </c>
    </row>
    <row r="64" spans="1:7" hidden="1" x14ac:dyDescent="0.25">
      <c r="A64" s="23" t="s">
        <v>40</v>
      </c>
      <c r="B64" s="23" t="s">
        <v>42</v>
      </c>
      <c r="C64" s="21" t="s">
        <v>150</v>
      </c>
      <c r="D64" s="10">
        <v>43176</v>
      </c>
      <c r="E64" s="15">
        <v>3.99</v>
      </c>
      <c r="F64" s="16">
        <v>1</v>
      </c>
      <c r="G64" s="14" t="s">
        <v>2</v>
      </c>
    </row>
    <row r="65" spans="1:7" hidden="1" x14ac:dyDescent="0.25">
      <c r="A65" s="23" t="s">
        <v>73</v>
      </c>
      <c r="B65" s="23" t="s">
        <v>72</v>
      </c>
      <c r="C65" s="21" t="s">
        <v>150</v>
      </c>
      <c r="D65" s="10">
        <v>43176</v>
      </c>
      <c r="E65" s="15">
        <v>1.99</v>
      </c>
      <c r="F65" s="16">
        <v>4.12</v>
      </c>
      <c r="G65" s="14" t="s">
        <v>2</v>
      </c>
    </row>
    <row r="66" spans="1:7" hidden="1" x14ac:dyDescent="0.25">
      <c r="A66" s="23" t="s">
        <v>74</v>
      </c>
      <c r="B66" s="23" t="s">
        <v>53</v>
      </c>
      <c r="C66" s="21" t="s">
        <v>150</v>
      </c>
      <c r="D66" s="10">
        <v>43176</v>
      </c>
      <c r="E66" s="15">
        <v>1.69</v>
      </c>
      <c r="F66" s="16">
        <v>4.32</v>
      </c>
      <c r="G66" s="14" t="s">
        <v>2</v>
      </c>
    </row>
    <row r="67" spans="1:7" hidden="1" x14ac:dyDescent="0.25">
      <c r="A67" s="23" t="s">
        <v>67</v>
      </c>
      <c r="B67" s="23" t="s">
        <v>44</v>
      </c>
      <c r="C67" s="21" t="s">
        <v>150</v>
      </c>
      <c r="D67" s="10">
        <v>43176</v>
      </c>
      <c r="E67" s="15">
        <v>2.79</v>
      </c>
      <c r="F67" s="16">
        <v>2</v>
      </c>
      <c r="G67" s="14" t="s">
        <v>2</v>
      </c>
    </row>
    <row r="68" spans="1:7" hidden="1" x14ac:dyDescent="0.25">
      <c r="A68" s="23" t="s">
        <v>24</v>
      </c>
      <c r="B68" s="23" t="s">
        <v>44</v>
      </c>
      <c r="C68" s="21" t="s">
        <v>150</v>
      </c>
      <c r="D68" s="10">
        <v>43176</v>
      </c>
      <c r="E68" s="15">
        <v>3.99</v>
      </c>
      <c r="F68" s="16">
        <v>2</v>
      </c>
      <c r="G68" s="14" t="s">
        <v>2</v>
      </c>
    </row>
    <row r="69" spans="1:7" hidden="1" x14ac:dyDescent="0.25">
      <c r="A69" s="23" t="s">
        <v>87</v>
      </c>
      <c r="B69" s="23" t="s">
        <v>37</v>
      </c>
      <c r="C69" s="21" t="s">
        <v>150</v>
      </c>
      <c r="D69" s="10">
        <v>43176</v>
      </c>
      <c r="E69" s="15">
        <v>9.9</v>
      </c>
      <c r="F69" s="16">
        <v>2</v>
      </c>
      <c r="G69" s="14" t="s">
        <v>2</v>
      </c>
    </row>
    <row r="70" spans="1:7" hidden="1" x14ac:dyDescent="0.25">
      <c r="A70" s="23" t="s">
        <v>83</v>
      </c>
      <c r="B70" s="23" t="s">
        <v>28</v>
      </c>
      <c r="C70" s="21" t="s">
        <v>150</v>
      </c>
      <c r="D70" s="10">
        <v>43176</v>
      </c>
      <c r="E70" s="15">
        <v>3.19</v>
      </c>
      <c r="F70" s="16">
        <v>2</v>
      </c>
      <c r="G70" s="14" t="s">
        <v>2</v>
      </c>
    </row>
    <row r="71" spans="1:7" hidden="1" x14ac:dyDescent="0.25">
      <c r="A71" s="23" t="s">
        <v>50</v>
      </c>
      <c r="B71" s="23" t="s">
        <v>39</v>
      </c>
      <c r="C71" s="21" t="s">
        <v>150</v>
      </c>
      <c r="D71" s="10">
        <v>43176</v>
      </c>
      <c r="E71" s="15">
        <v>5.19</v>
      </c>
      <c r="F71" s="16">
        <v>1</v>
      </c>
      <c r="G71" s="14" t="s">
        <v>2</v>
      </c>
    </row>
    <row r="72" spans="1:7" hidden="1" x14ac:dyDescent="0.25">
      <c r="A72" s="23" t="s">
        <v>101</v>
      </c>
      <c r="B72" s="23" t="s">
        <v>102</v>
      </c>
      <c r="C72" s="21" t="s">
        <v>170</v>
      </c>
      <c r="D72" s="10">
        <v>43205</v>
      </c>
      <c r="E72" s="15">
        <v>9.2899999999999991</v>
      </c>
      <c r="F72" s="16">
        <v>1</v>
      </c>
      <c r="G72" s="14" t="s">
        <v>2</v>
      </c>
    </row>
    <row r="73" spans="1:7" hidden="1" x14ac:dyDescent="0.25">
      <c r="A73" s="23" t="s">
        <v>101</v>
      </c>
      <c r="B73" s="23" t="s">
        <v>102</v>
      </c>
      <c r="C73" s="23" t="s">
        <v>170</v>
      </c>
      <c r="D73" s="25">
        <v>43205</v>
      </c>
      <c r="E73" s="15">
        <v>9.2899999999999991</v>
      </c>
      <c r="F73" s="16">
        <v>1</v>
      </c>
      <c r="G73" s="14" t="s">
        <v>2</v>
      </c>
    </row>
    <row r="74" spans="1:7" hidden="1" x14ac:dyDescent="0.25">
      <c r="A74" s="23" t="s">
        <v>101</v>
      </c>
      <c r="B74" s="23" t="s">
        <v>102</v>
      </c>
      <c r="C74" s="23" t="s">
        <v>170</v>
      </c>
      <c r="D74" s="25">
        <v>43205</v>
      </c>
      <c r="E74" s="15">
        <v>9.2899999999999991</v>
      </c>
      <c r="F74" s="16">
        <v>1</v>
      </c>
      <c r="G74" s="14" t="s">
        <v>2</v>
      </c>
    </row>
    <row r="75" spans="1:7" hidden="1" x14ac:dyDescent="0.25">
      <c r="A75" s="23" t="s">
        <v>101</v>
      </c>
      <c r="B75" s="23" t="s">
        <v>102</v>
      </c>
      <c r="C75" s="23" t="s">
        <v>170</v>
      </c>
      <c r="D75" s="25">
        <v>43205</v>
      </c>
      <c r="E75" s="15">
        <v>9.2899999999999991</v>
      </c>
      <c r="F75" s="16">
        <v>1</v>
      </c>
      <c r="G75" s="14" t="s">
        <v>2</v>
      </c>
    </row>
    <row r="76" spans="1:7" hidden="1" x14ac:dyDescent="0.25">
      <c r="A76" s="23" t="s">
        <v>100</v>
      </c>
      <c r="B76" s="23" t="s">
        <v>113</v>
      </c>
      <c r="C76" s="21" t="s">
        <v>170</v>
      </c>
      <c r="D76" s="10">
        <v>43205</v>
      </c>
      <c r="E76" s="15">
        <v>10.99</v>
      </c>
      <c r="F76" s="16">
        <v>1</v>
      </c>
      <c r="G76" s="14" t="s">
        <v>2</v>
      </c>
    </row>
    <row r="77" spans="1:7" hidden="1" x14ac:dyDescent="0.25">
      <c r="A77" s="23" t="s">
        <v>100</v>
      </c>
      <c r="B77" s="23" t="s">
        <v>113</v>
      </c>
      <c r="C77" s="23" t="s">
        <v>170</v>
      </c>
      <c r="D77" s="25">
        <v>43205</v>
      </c>
      <c r="E77" s="15">
        <v>10.99</v>
      </c>
      <c r="F77" s="16">
        <v>1</v>
      </c>
      <c r="G77" s="14" t="s">
        <v>2</v>
      </c>
    </row>
    <row r="78" spans="1:7" hidden="1" x14ac:dyDescent="0.25">
      <c r="A78" s="23" t="s">
        <v>100</v>
      </c>
      <c r="B78" s="23" t="s">
        <v>113</v>
      </c>
      <c r="C78" s="23" t="s">
        <v>170</v>
      </c>
      <c r="D78" s="25">
        <v>43205</v>
      </c>
      <c r="E78" s="15">
        <v>10.99</v>
      </c>
      <c r="F78" s="16">
        <v>1</v>
      </c>
      <c r="G78" s="14" t="s">
        <v>2</v>
      </c>
    </row>
    <row r="79" spans="1:7" hidden="1" x14ac:dyDescent="0.25">
      <c r="A79" s="23" t="s">
        <v>100</v>
      </c>
      <c r="B79" s="23" t="s">
        <v>113</v>
      </c>
      <c r="C79" s="23" t="s">
        <v>170</v>
      </c>
      <c r="D79" s="25">
        <v>43205</v>
      </c>
      <c r="E79" s="15">
        <v>10.99</v>
      </c>
      <c r="F79" s="16">
        <v>1</v>
      </c>
      <c r="G79" s="14" t="s">
        <v>2</v>
      </c>
    </row>
    <row r="80" spans="1:7" hidden="1" x14ac:dyDescent="0.25">
      <c r="A80" s="23" t="s">
        <v>109</v>
      </c>
      <c r="B80" s="23" t="s">
        <v>110</v>
      </c>
      <c r="C80" s="21" t="s">
        <v>170</v>
      </c>
      <c r="D80" s="10">
        <v>43205</v>
      </c>
      <c r="E80" s="15">
        <v>14.9</v>
      </c>
      <c r="F80" s="16">
        <v>1</v>
      </c>
      <c r="G80" s="14" t="s">
        <v>2</v>
      </c>
    </row>
    <row r="81" spans="1:7" hidden="1" x14ac:dyDescent="0.25">
      <c r="A81" s="23" t="s">
        <v>109</v>
      </c>
      <c r="B81" s="23" t="s">
        <v>110</v>
      </c>
      <c r="C81" s="23" t="s">
        <v>170</v>
      </c>
      <c r="D81" s="25">
        <v>43205</v>
      </c>
      <c r="E81" s="15">
        <v>14.9</v>
      </c>
      <c r="F81" s="16">
        <v>1</v>
      </c>
      <c r="G81" s="14" t="s">
        <v>2</v>
      </c>
    </row>
    <row r="82" spans="1:7" hidden="1" x14ac:dyDescent="0.25">
      <c r="A82" s="23" t="s">
        <v>109</v>
      </c>
      <c r="B82" s="23" t="s">
        <v>110</v>
      </c>
      <c r="C82" s="23" t="s">
        <v>170</v>
      </c>
      <c r="D82" s="25">
        <v>43205</v>
      </c>
      <c r="E82" s="15">
        <v>14.9</v>
      </c>
      <c r="F82" s="16">
        <v>1</v>
      </c>
      <c r="G82" s="14" t="s">
        <v>2</v>
      </c>
    </row>
    <row r="83" spans="1:7" hidden="1" x14ac:dyDescent="0.25">
      <c r="A83" s="23" t="s">
        <v>109</v>
      </c>
      <c r="B83" s="23" t="s">
        <v>110</v>
      </c>
      <c r="C83" s="23" t="s">
        <v>170</v>
      </c>
      <c r="D83" s="25">
        <v>43205</v>
      </c>
      <c r="E83" s="15">
        <v>14.9</v>
      </c>
      <c r="F83" s="16">
        <v>1</v>
      </c>
      <c r="G83" s="14" t="s">
        <v>2</v>
      </c>
    </row>
    <row r="84" spans="1:7" hidden="1" x14ac:dyDescent="0.25">
      <c r="A84" s="23" t="s">
        <v>106</v>
      </c>
      <c r="B84" s="23" t="s">
        <v>107</v>
      </c>
      <c r="C84" s="21" t="s">
        <v>170</v>
      </c>
      <c r="D84" s="10">
        <v>43205</v>
      </c>
      <c r="E84" s="15">
        <v>2.69</v>
      </c>
      <c r="F84" s="16">
        <v>1</v>
      </c>
      <c r="G84" s="14" t="s">
        <v>2</v>
      </c>
    </row>
    <row r="85" spans="1:7" hidden="1" x14ac:dyDescent="0.25">
      <c r="A85" s="23" t="s">
        <v>106</v>
      </c>
      <c r="B85" s="23" t="s">
        <v>107</v>
      </c>
      <c r="C85" s="23" t="s">
        <v>170</v>
      </c>
      <c r="D85" s="25">
        <v>43205</v>
      </c>
      <c r="E85" s="15">
        <v>2.69</v>
      </c>
      <c r="F85" s="16">
        <v>1</v>
      </c>
      <c r="G85" s="14" t="s">
        <v>2</v>
      </c>
    </row>
    <row r="86" spans="1:7" hidden="1" x14ac:dyDescent="0.25">
      <c r="A86" s="23" t="s">
        <v>106</v>
      </c>
      <c r="B86" s="23" t="s">
        <v>107</v>
      </c>
      <c r="C86" s="23" t="s">
        <v>170</v>
      </c>
      <c r="D86" s="25">
        <v>43205</v>
      </c>
      <c r="E86" s="15">
        <v>2.69</v>
      </c>
      <c r="F86" s="16">
        <v>1</v>
      </c>
      <c r="G86" s="14" t="s">
        <v>2</v>
      </c>
    </row>
    <row r="87" spans="1:7" hidden="1" x14ac:dyDescent="0.25">
      <c r="A87" s="23" t="s">
        <v>106</v>
      </c>
      <c r="B87" s="23" t="s">
        <v>107</v>
      </c>
      <c r="C87" s="23" t="s">
        <v>170</v>
      </c>
      <c r="D87" s="25">
        <v>43205</v>
      </c>
      <c r="E87" s="15">
        <v>2.69</v>
      </c>
      <c r="F87" s="16">
        <v>1</v>
      </c>
      <c r="G87" s="14" t="s">
        <v>2</v>
      </c>
    </row>
    <row r="88" spans="1:7" hidden="1" x14ac:dyDescent="0.25">
      <c r="A88" s="23" t="s">
        <v>95</v>
      </c>
      <c r="B88" s="23" t="s">
        <v>96</v>
      </c>
      <c r="C88" s="21" t="s">
        <v>170</v>
      </c>
      <c r="D88" s="10">
        <v>43205</v>
      </c>
      <c r="E88" s="15">
        <v>3.89</v>
      </c>
      <c r="F88" s="16">
        <v>1</v>
      </c>
      <c r="G88" s="14" t="s">
        <v>2</v>
      </c>
    </row>
    <row r="89" spans="1:7" hidden="1" x14ac:dyDescent="0.25">
      <c r="A89" s="23" t="s">
        <v>95</v>
      </c>
      <c r="B89" s="23" t="s">
        <v>96</v>
      </c>
      <c r="C89" s="23" t="s">
        <v>170</v>
      </c>
      <c r="D89" s="25">
        <v>43205</v>
      </c>
      <c r="E89" s="15">
        <v>3.89</v>
      </c>
      <c r="F89" s="16">
        <v>1</v>
      </c>
      <c r="G89" s="14" t="s">
        <v>2</v>
      </c>
    </row>
    <row r="90" spans="1:7" hidden="1" x14ac:dyDescent="0.25">
      <c r="A90" s="23" t="s">
        <v>95</v>
      </c>
      <c r="B90" s="23" t="s">
        <v>96</v>
      </c>
      <c r="C90" s="23" t="s">
        <v>170</v>
      </c>
      <c r="D90" s="25">
        <v>43205</v>
      </c>
      <c r="E90" s="15">
        <v>3.89</v>
      </c>
      <c r="F90" s="16">
        <v>1</v>
      </c>
      <c r="G90" s="14" t="s">
        <v>2</v>
      </c>
    </row>
    <row r="91" spans="1:7" hidden="1" x14ac:dyDescent="0.25">
      <c r="A91" s="23" t="s">
        <v>95</v>
      </c>
      <c r="B91" s="23" t="s">
        <v>96</v>
      </c>
      <c r="C91" s="23" t="s">
        <v>170</v>
      </c>
      <c r="D91" s="25">
        <v>43205</v>
      </c>
      <c r="E91" s="15">
        <v>3.89</v>
      </c>
      <c r="F91" s="16">
        <v>1</v>
      </c>
      <c r="G91" s="14" t="s">
        <v>2</v>
      </c>
    </row>
    <row r="92" spans="1:7" hidden="1" x14ac:dyDescent="0.25">
      <c r="A92" s="23" t="s">
        <v>7</v>
      </c>
      <c r="B92" s="23" t="s">
        <v>33</v>
      </c>
      <c r="C92" s="21" t="s">
        <v>170</v>
      </c>
      <c r="D92" s="10">
        <v>43205</v>
      </c>
      <c r="E92" s="15">
        <v>1.19</v>
      </c>
      <c r="F92" s="16">
        <v>2</v>
      </c>
      <c r="G92" s="14" t="s">
        <v>2</v>
      </c>
    </row>
    <row r="93" spans="1:7" hidden="1" x14ac:dyDescent="0.25">
      <c r="A93" s="23" t="s">
        <v>7</v>
      </c>
      <c r="B93" s="23" t="s">
        <v>33</v>
      </c>
      <c r="C93" s="23" t="s">
        <v>170</v>
      </c>
      <c r="D93" s="25">
        <v>43205</v>
      </c>
      <c r="E93" s="15">
        <v>1.19</v>
      </c>
      <c r="F93" s="16">
        <v>2</v>
      </c>
      <c r="G93" s="14" t="s">
        <v>2</v>
      </c>
    </row>
    <row r="94" spans="1:7" hidden="1" x14ac:dyDescent="0.25">
      <c r="A94" s="23" t="s">
        <v>7</v>
      </c>
      <c r="B94" s="23" t="s">
        <v>33</v>
      </c>
      <c r="C94" s="23" t="s">
        <v>170</v>
      </c>
      <c r="D94" s="25">
        <v>43205</v>
      </c>
      <c r="E94" s="15">
        <v>1.19</v>
      </c>
      <c r="F94" s="16">
        <v>2</v>
      </c>
      <c r="G94" s="14" t="s">
        <v>2</v>
      </c>
    </row>
    <row r="95" spans="1:7" hidden="1" x14ac:dyDescent="0.25">
      <c r="A95" s="23" t="s">
        <v>7</v>
      </c>
      <c r="B95" s="23" t="s">
        <v>33</v>
      </c>
      <c r="C95" s="23" t="s">
        <v>170</v>
      </c>
      <c r="D95" s="25">
        <v>43205</v>
      </c>
      <c r="E95" s="15">
        <v>1.19</v>
      </c>
      <c r="F95" s="16">
        <v>2</v>
      </c>
      <c r="G95" s="14" t="s">
        <v>2</v>
      </c>
    </row>
    <row r="96" spans="1:7" hidden="1" x14ac:dyDescent="0.25">
      <c r="A96" s="23" t="s">
        <v>60</v>
      </c>
      <c r="B96" s="23" t="s">
        <v>111</v>
      </c>
      <c r="C96" s="21" t="s">
        <v>170</v>
      </c>
      <c r="D96" s="10">
        <v>43205</v>
      </c>
      <c r="E96" s="15">
        <v>2.85</v>
      </c>
      <c r="F96" s="16">
        <v>1</v>
      </c>
      <c r="G96" s="14" t="s">
        <v>2</v>
      </c>
    </row>
    <row r="97" spans="1:7" hidden="1" x14ac:dyDescent="0.25">
      <c r="A97" s="23" t="s">
        <v>60</v>
      </c>
      <c r="B97" s="23" t="s">
        <v>111</v>
      </c>
      <c r="C97" s="23" t="s">
        <v>170</v>
      </c>
      <c r="D97" s="25">
        <v>43205</v>
      </c>
      <c r="E97" s="15">
        <v>2.85</v>
      </c>
      <c r="F97" s="16">
        <v>1</v>
      </c>
      <c r="G97" s="14" t="s">
        <v>2</v>
      </c>
    </row>
    <row r="98" spans="1:7" hidden="1" x14ac:dyDescent="0.25">
      <c r="A98" s="23" t="s">
        <v>60</v>
      </c>
      <c r="B98" s="23" t="s">
        <v>111</v>
      </c>
      <c r="C98" s="23" t="s">
        <v>170</v>
      </c>
      <c r="D98" s="25">
        <v>43205</v>
      </c>
      <c r="E98" s="15">
        <v>2.85</v>
      </c>
      <c r="F98" s="16">
        <v>1</v>
      </c>
      <c r="G98" s="14" t="s">
        <v>2</v>
      </c>
    </row>
    <row r="99" spans="1:7" hidden="1" x14ac:dyDescent="0.25">
      <c r="A99" s="23" t="s">
        <v>60</v>
      </c>
      <c r="B99" s="23" t="s">
        <v>111</v>
      </c>
      <c r="C99" s="23" t="s">
        <v>170</v>
      </c>
      <c r="D99" s="25">
        <v>43205</v>
      </c>
      <c r="E99" s="15">
        <v>2.85</v>
      </c>
      <c r="F99" s="16">
        <v>1</v>
      </c>
      <c r="G99" s="14" t="s">
        <v>2</v>
      </c>
    </row>
    <row r="100" spans="1:7" hidden="1" x14ac:dyDescent="0.25">
      <c r="A100" s="23" t="s">
        <v>112</v>
      </c>
      <c r="B100" s="23" t="s">
        <v>111</v>
      </c>
      <c r="C100" s="21" t="s">
        <v>170</v>
      </c>
      <c r="D100" s="10">
        <v>43205</v>
      </c>
      <c r="E100" s="15">
        <v>4.8899999999999997</v>
      </c>
      <c r="F100" s="16">
        <v>1</v>
      </c>
      <c r="G100" s="14" t="s">
        <v>2</v>
      </c>
    </row>
    <row r="101" spans="1:7" hidden="1" x14ac:dyDescent="0.25">
      <c r="A101" s="23" t="s">
        <v>112</v>
      </c>
      <c r="B101" s="23" t="s">
        <v>111</v>
      </c>
      <c r="C101" s="23" t="s">
        <v>170</v>
      </c>
      <c r="D101" s="25">
        <v>43205</v>
      </c>
      <c r="E101" s="15">
        <v>4.8899999999999997</v>
      </c>
      <c r="F101" s="16">
        <v>1</v>
      </c>
      <c r="G101" s="14" t="s">
        <v>2</v>
      </c>
    </row>
    <row r="102" spans="1:7" hidden="1" x14ac:dyDescent="0.25">
      <c r="A102" s="23" t="s">
        <v>112</v>
      </c>
      <c r="B102" s="23" t="s">
        <v>111</v>
      </c>
      <c r="C102" s="23" t="s">
        <v>170</v>
      </c>
      <c r="D102" s="25">
        <v>43205</v>
      </c>
      <c r="E102" s="15">
        <v>4.8899999999999997</v>
      </c>
      <c r="F102" s="16">
        <v>1</v>
      </c>
      <c r="G102" s="14" t="s">
        <v>2</v>
      </c>
    </row>
    <row r="103" spans="1:7" hidden="1" x14ac:dyDescent="0.25">
      <c r="A103" s="23" t="s">
        <v>112</v>
      </c>
      <c r="B103" s="23" t="s">
        <v>111</v>
      </c>
      <c r="C103" s="23" t="s">
        <v>170</v>
      </c>
      <c r="D103" s="25">
        <v>43205</v>
      </c>
      <c r="E103" s="15">
        <v>4.8899999999999997</v>
      </c>
      <c r="F103" s="16">
        <v>1</v>
      </c>
      <c r="G103" s="14" t="s">
        <v>2</v>
      </c>
    </row>
    <row r="104" spans="1:7" hidden="1" x14ac:dyDescent="0.25">
      <c r="A104" s="23" t="s">
        <v>105</v>
      </c>
      <c r="B104" s="23" t="s">
        <v>104</v>
      </c>
      <c r="C104" s="21" t="s">
        <v>170</v>
      </c>
      <c r="D104" s="10">
        <v>43205</v>
      </c>
      <c r="E104" s="15">
        <v>0.99</v>
      </c>
      <c r="F104" s="16">
        <v>1</v>
      </c>
      <c r="G104" s="14" t="s">
        <v>2</v>
      </c>
    </row>
    <row r="105" spans="1:7" hidden="1" x14ac:dyDescent="0.25">
      <c r="A105" s="23" t="s">
        <v>105</v>
      </c>
      <c r="B105" s="23" t="s">
        <v>104</v>
      </c>
      <c r="C105" s="23" t="s">
        <v>170</v>
      </c>
      <c r="D105" s="25">
        <v>43205</v>
      </c>
      <c r="E105" s="15">
        <v>0.99</v>
      </c>
      <c r="F105" s="16">
        <v>1</v>
      </c>
      <c r="G105" s="14" t="s">
        <v>2</v>
      </c>
    </row>
    <row r="106" spans="1:7" hidden="1" x14ac:dyDescent="0.25">
      <c r="A106" s="23" t="s">
        <v>105</v>
      </c>
      <c r="B106" s="23" t="s">
        <v>104</v>
      </c>
      <c r="C106" s="23" t="s">
        <v>170</v>
      </c>
      <c r="D106" s="25">
        <v>43205</v>
      </c>
      <c r="E106" s="15">
        <v>0.99</v>
      </c>
      <c r="F106" s="16">
        <v>1</v>
      </c>
      <c r="G106" s="14" t="s">
        <v>2</v>
      </c>
    </row>
    <row r="107" spans="1:7" hidden="1" x14ac:dyDescent="0.25">
      <c r="A107" s="23" t="s">
        <v>105</v>
      </c>
      <c r="B107" s="23" t="s">
        <v>104</v>
      </c>
      <c r="C107" s="23" t="s">
        <v>170</v>
      </c>
      <c r="D107" s="25">
        <v>43205</v>
      </c>
      <c r="E107" s="15">
        <v>0.99</v>
      </c>
      <c r="F107" s="16">
        <v>1</v>
      </c>
      <c r="G107" s="14" t="s">
        <v>2</v>
      </c>
    </row>
    <row r="108" spans="1:7" hidden="1" x14ac:dyDescent="0.25">
      <c r="A108" s="23" t="s">
        <v>103</v>
      </c>
      <c r="B108" s="23" t="s">
        <v>104</v>
      </c>
      <c r="C108" s="21" t="s">
        <v>170</v>
      </c>
      <c r="D108" s="10">
        <v>43205</v>
      </c>
      <c r="E108" s="15">
        <v>0.99</v>
      </c>
      <c r="F108" s="16">
        <v>5</v>
      </c>
      <c r="G108" s="14" t="s">
        <v>2</v>
      </c>
    </row>
    <row r="109" spans="1:7" hidden="1" x14ac:dyDescent="0.25">
      <c r="A109" s="23" t="s">
        <v>103</v>
      </c>
      <c r="B109" s="23" t="s">
        <v>104</v>
      </c>
      <c r="C109" s="23" t="s">
        <v>170</v>
      </c>
      <c r="D109" s="25">
        <v>43205</v>
      </c>
      <c r="E109" s="15">
        <v>0.99</v>
      </c>
      <c r="F109" s="16">
        <v>5</v>
      </c>
      <c r="G109" s="14" t="s">
        <v>2</v>
      </c>
    </row>
    <row r="110" spans="1:7" hidden="1" x14ac:dyDescent="0.25">
      <c r="A110" s="23" t="s">
        <v>103</v>
      </c>
      <c r="B110" s="23" t="s">
        <v>104</v>
      </c>
      <c r="C110" s="23" t="s">
        <v>170</v>
      </c>
      <c r="D110" s="25">
        <v>43205</v>
      </c>
      <c r="E110" s="15">
        <v>0.99</v>
      </c>
      <c r="F110" s="16">
        <v>5</v>
      </c>
      <c r="G110" s="14" t="s">
        <v>2</v>
      </c>
    </row>
    <row r="111" spans="1:7" hidden="1" x14ac:dyDescent="0.25">
      <c r="A111" s="23" t="s">
        <v>103</v>
      </c>
      <c r="B111" s="23" t="s">
        <v>104</v>
      </c>
      <c r="C111" s="23" t="s">
        <v>170</v>
      </c>
      <c r="D111" s="25">
        <v>43205</v>
      </c>
      <c r="E111" s="15">
        <v>0.99</v>
      </c>
      <c r="F111" s="16">
        <v>5</v>
      </c>
      <c r="G111" s="14" t="s">
        <v>2</v>
      </c>
    </row>
    <row r="112" spans="1:7" hidden="1" x14ac:dyDescent="0.25">
      <c r="A112" s="23" t="s">
        <v>98</v>
      </c>
      <c r="B112" s="23" t="s">
        <v>99</v>
      </c>
      <c r="C112" s="21" t="s">
        <v>170</v>
      </c>
      <c r="D112" s="10">
        <v>43205</v>
      </c>
      <c r="E112" s="15">
        <v>7.99</v>
      </c>
      <c r="F112" s="16">
        <v>1</v>
      </c>
      <c r="G112" s="14" t="s">
        <v>2</v>
      </c>
    </row>
    <row r="113" spans="1:7" hidden="1" x14ac:dyDescent="0.25">
      <c r="A113" s="23" t="s">
        <v>98</v>
      </c>
      <c r="B113" s="23" t="s">
        <v>99</v>
      </c>
      <c r="C113" s="21" t="s">
        <v>170</v>
      </c>
      <c r="D113" s="10">
        <v>43205</v>
      </c>
      <c r="E113" s="15">
        <v>10.9</v>
      </c>
      <c r="F113" s="16">
        <v>1</v>
      </c>
      <c r="G113" s="14" t="s">
        <v>2</v>
      </c>
    </row>
    <row r="114" spans="1:7" hidden="1" x14ac:dyDescent="0.25">
      <c r="A114" s="23" t="s">
        <v>98</v>
      </c>
      <c r="B114" s="23" t="s">
        <v>99</v>
      </c>
      <c r="C114" s="23" t="s">
        <v>170</v>
      </c>
      <c r="D114" s="25">
        <v>43205</v>
      </c>
      <c r="E114" s="15">
        <v>7.99</v>
      </c>
      <c r="F114" s="16">
        <v>1</v>
      </c>
      <c r="G114" s="14" t="s">
        <v>2</v>
      </c>
    </row>
    <row r="115" spans="1:7" hidden="1" x14ac:dyDescent="0.25">
      <c r="A115" s="23" t="s">
        <v>98</v>
      </c>
      <c r="B115" s="23" t="s">
        <v>99</v>
      </c>
      <c r="C115" s="23" t="s">
        <v>170</v>
      </c>
      <c r="D115" s="25">
        <v>43205</v>
      </c>
      <c r="E115" s="15">
        <v>10.9</v>
      </c>
      <c r="F115" s="16">
        <v>1</v>
      </c>
      <c r="G115" s="14" t="s">
        <v>2</v>
      </c>
    </row>
    <row r="116" spans="1:7" hidden="1" x14ac:dyDescent="0.25">
      <c r="A116" s="23" t="s">
        <v>98</v>
      </c>
      <c r="B116" s="23" t="s">
        <v>99</v>
      </c>
      <c r="C116" s="23" t="s">
        <v>170</v>
      </c>
      <c r="D116" s="25">
        <v>43205</v>
      </c>
      <c r="E116" s="15">
        <v>7.99</v>
      </c>
      <c r="F116" s="16">
        <v>1</v>
      </c>
      <c r="G116" s="14" t="s">
        <v>2</v>
      </c>
    </row>
    <row r="117" spans="1:7" hidden="1" x14ac:dyDescent="0.25">
      <c r="A117" s="23" t="s">
        <v>98</v>
      </c>
      <c r="B117" s="23" t="s">
        <v>99</v>
      </c>
      <c r="C117" s="23" t="s">
        <v>170</v>
      </c>
      <c r="D117" s="25">
        <v>43205</v>
      </c>
      <c r="E117" s="15">
        <v>10.9</v>
      </c>
      <c r="F117" s="16">
        <v>1</v>
      </c>
      <c r="G117" s="14" t="s">
        <v>2</v>
      </c>
    </row>
    <row r="118" spans="1:7" hidden="1" x14ac:dyDescent="0.25">
      <c r="A118" s="23" t="s">
        <v>98</v>
      </c>
      <c r="B118" s="23" t="s">
        <v>99</v>
      </c>
      <c r="C118" s="23" t="s">
        <v>170</v>
      </c>
      <c r="D118" s="25">
        <v>43205</v>
      </c>
      <c r="E118" s="15">
        <v>7.99</v>
      </c>
      <c r="F118" s="16">
        <v>1</v>
      </c>
      <c r="G118" s="14" t="s">
        <v>2</v>
      </c>
    </row>
    <row r="119" spans="1:7" hidden="1" x14ac:dyDescent="0.25">
      <c r="A119" s="23" t="s">
        <v>98</v>
      </c>
      <c r="B119" s="23" t="s">
        <v>99</v>
      </c>
      <c r="C119" s="23" t="s">
        <v>170</v>
      </c>
      <c r="D119" s="25">
        <v>43205</v>
      </c>
      <c r="E119" s="15">
        <v>10.9</v>
      </c>
      <c r="F119" s="16">
        <v>1</v>
      </c>
      <c r="G119" s="14" t="s">
        <v>2</v>
      </c>
    </row>
    <row r="120" spans="1:7" hidden="1" x14ac:dyDescent="0.25">
      <c r="A120" s="23" t="s">
        <v>78</v>
      </c>
      <c r="B120" s="23" t="s">
        <v>37</v>
      </c>
      <c r="C120" s="21" t="s">
        <v>170</v>
      </c>
      <c r="D120" s="10">
        <v>43205</v>
      </c>
      <c r="E120" s="15">
        <v>7.99</v>
      </c>
      <c r="F120" s="16">
        <v>1</v>
      </c>
      <c r="G120" s="14" t="s">
        <v>2</v>
      </c>
    </row>
    <row r="121" spans="1:7" hidden="1" x14ac:dyDescent="0.25">
      <c r="A121" s="23" t="s">
        <v>78</v>
      </c>
      <c r="B121" s="23" t="s">
        <v>37</v>
      </c>
      <c r="C121" s="23" t="s">
        <v>170</v>
      </c>
      <c r="D121" s="25">
        <v>43205</v>
      </c>
      <c r="E121" s="15">
        <v>7.99</v>
      </c>
      <c r="F121" s="16">
        <v>1</v>
      </c>
      <c r="G121" s="14" t="s">
        <v>2</v>
      </c>
    </row>
    <row r="122" spans="1:7" hidden="1" x14ac:dyDescent="0.25">
      <c r="A122" s="23" t="s">
        <v>78</v>
      </c>
      <c r="B122" s="23" t="s">
        <v>37</v>
      </c>
      <c r="C122" s="23" t="s">
        <v>170</v>
      </c>
      <c r="D122" s="25">
        <v>43205</v>
      </c>
      <c r="E122" s="15">
        <v>7.99</v>
      </c>
      <c r="F122" s="16">
        <v>1</v>
      </c>
      <c r="G122" s="14" t="s">
        <v>2</v>
      </c>
    </row>
    <row r="123" spans="1:7" hidden="1" x14ac:dyDescent="0.25">
      <c r="A123" s="23" t="s">
        <v>78</v>
      </c>
      <c r="B123" s="23" t="s">
        <v>37</v>
      </c>
      <c r="C123" s="23" t="s">
        <v>170</v>
      </c>
      <c r="D123" s="25">
        <v>43205</v>
      </c>
      <c r="E123" s="15">
        <v>7.99</v>
      </c>
      <c r="F123" s="16">
        <v>1</v>
      </c>
      <c r="G123" s="14" t="s">
        <v>2</v>
      </c>
    </row>
    <row r="124" spans="1:7" hidden="1" x14ac:dyDescent="0.25">
      <c r="A124" s="21" t="s">
        <v>14</v>
      </c>
      <c r="B124" s="21" t="s">
        <v>36</v>
      </c>
      <c r="C124" s="21" t="s">
        <v>170</v>
      </c>
      <c r="D124" s="10">
        <v>43205</v>
      </c>
      <c r="E124" s="15">
        <v>9.99</v>
      </c>
      <c r="F124" s="16">
        <v>2</v>
      </c>
      <c r="G124" s="14" t="s">
        <v>2</v>
      </c>
    </row>
    <row r="125" spans="1:7" hidden="1" x14ac:dyDescent="0.25">
      <c r="A125" s="23" t="s">
        <v>14</v>
      </c>
      <c r="B125" s="23" t="s">
        <v>36</v>
      </c>
      <c r="C125" s="23" t="s">
        <v>170</v>
      </c>
      <c r="D125" s="25">
        <v>43205</v>
      </c>
      <c r="E125" s="15">
        <v>9.99</v>
      </c>
      <c r="F125" s="16">
        <v>2</v>
      </c>
      <c r="G125" s="14" t="s">
        <v>2</v>
      </c>
    </row>
    <row r="126" spans="1:7" hidden="1" x14ac:dyDescent="0.25">
      <c r="A126" s="23" t="s">
        <v>14</v>
      </c>
      <c r="B126" s="23" t="s">
        <v>36</v>
      </c>
      <c r="C126" s="23" t="s">
        <v>170</v>
      </c>
      <c r="D126" s="25">
        <v>43205</v>
      </c>
      <c r="E126" s="15">
        <v>9.99</v>
      </c>
      <c r="F126" s="16">
        <v>2</v>
      </c>
      <c r="G126" s="14" t="s">
        <v>2</v>
      </c>
    </row>
    <row r="127" spans="1:7" hidden="1" x14ac:dyDescent="0.25">
      <c r="A127" s="23" t="s">
        <v>14</v>
      </c>
      <c r="B127" s="23" t="s">
        <v>36</v>
      </c>
      <c r="C127" s="23" t="s">
        <v>170</v>
      </c>
      <c r="D127" s="25">
        <v>43205</v>
      </c>
      <c r="E127" s="15">
        <v>9.99</v>
      </c>
      <c r="F127" s="16">
        <v>2</v>
      </c>
      <c r="G127" s="14" t="s">
        <v>2</v>
      </c>
    </row>
    <row r="128" spans="1:7" hidden="1" x14ac:dyDescent="0.25">
      <c r="A128" s="21" t="s">
        <v>6</v>
      </c>
      <c r="B128" s="21" t="s">
        <v>64</v>
      </c>
      <c r="C128" s="21" t="s">
        <v>170</v>
      </c>
      <c r="D128" s="10">
        <v>43205</v>
      </c>
      <c r="E128" s="15">
        <v>0.99</v>
      </c>
      <c r="F128" s="16">
        <v>5</v>
      </c>
      <c r="G128" s="14" t="s">
        <v>2</v>
      </c>
    </row>
    <row r="129" spans="1:10" hidden="1" x14ac:dyDescent="0.25">
      <c r="A129" s="23" t="s">
        <v>6</v>
      </c>
      <c r="B129" s="23" t="s">
        <v>64</v>
      </c>
      <c r="C129" s="23" t="s">
        <v>170</v>
      </c>
      <c r="D129" s="25">
        <v>43205</v>
      </c>
      <c r="E129" s="15">
        <v>0.99</v>
      </c>
      <c r="F129" s="16">
        <v>5</v>
      </c>
      <c r="G129" s="14" t="s">
        <v>2</v>
      </c>
    </row>
    <row r="130" spans="1:10" hidden="1" x14ac:dyDescent="0.25">
      <c r="A130" s="23" t="s">
        <v>6</v>
      </c>
      <c r="B130" s="23" t="s">
        <v>64</v>
      </c>
      <c r="C130" s="23" t="s">
        <v>170</v>
      </c>
      <c r="D130" s="25">
        <v>43205</v>
      </c>
      <c r="E130" s="15">
        <v>0.99</v>
      </c>
      <c r="F130" s="16">
        <v>5</v>
      </c>
      <c r="G130" s="14" t="s">
        <v>2</v>
      </c>
    </row>
    <row r="131" spans="1:10" hidden="1" x14ac:dyDescent="0.25">
      <c r="A131" s="23" t="s">
        <v>6</v>
      </c>
      <c r="B131" s="23" t="s">
        <v>64</v>
      </c>
      <c r="C131" s="23" t="s">
        <v>170</v>
      </c>
      <c r="D131" s="25">
        <v>43205</v>
      </c>
      <c r="E131" s="15">
        <v>0.99</v>
      </c>
      <c r="F131" s="16">
        <v>5</v>
      </c>
      <c r="G131" s="14" t="s">
        <v>2</v>
      </c>
    </row>
    <row r="132" spans="1:10" hidden="1" x14ac:dyDescent="0.25">
      <c r="A132" s="23" t="s">
        <v>87</v>
      </c>
      <c r="B132" s="23" t="s">
        <v>37</v>
      </c>
      <c r="C132" s="21" t="s">
        <v>170</v>
      </c>
      <c r="D132" s="10">
        <v>43205</v>
      </c>
      <c r="E132" s="15">
        <v>11.8</v>
      </c>
      <c r="F132" s="16">
        <v>1</v>
      </c>
      <c r="G132" s="14" t="s">
        <v>2</v>
      </c>
    </row>
    <row r="133" spans="1:10" hidden="1" x14ac:dyDescent="0.25">
      <c r="A133" s="23" t="s">
        <v>87</v>
      </c>
      <c r="B133" s="23" t="s">
        <v>37</v>
      </c>
      <c r="C133" s="23" t="s">
        <v>170</v>
      </c>
      <c r="D133" s="25">
        <v>43205</v>
      </c>
      <c r="E133" s="15">
        <v>11.8</v>
      </c>
      <c r="F133" s="16">
        <v>1</v>
      </c>
      <c r="G133" s="14" t="s">
        <v>2</v>
      </c>
    </row>
    <row r="134" spans="1:10" hidden="1" x14ac:dyDescent="0.25">
      <c r="A134" s="23" t="s">
        <v>87</v>
      </c>
      <c r="B134" s="23" t="s">
        <v>37</v>
      </c>
      <c r="C134" s="23" t="s">
        <v>170</v>
      </c>
      <c r="D134" s="25">
        <v>43205</v>
      </c>
      <c r="E134" s="15">
        <v>11.8</v>
      </c>
      <c r="F134" s="16">
        <v>1</v>
      </c>
      <c r="G134" s="14" t="s">
        <v>2</v>
      </c>
    </row>
    <row r="135" spans="1:10" hidden="1" x14ac:dyDescent="0.25">
      <c r="A135" s="23" t="s">
        <v>87</v>
      </c>
      <c r="B135" s="23" t="s">
        <v>37</v>
      </c>
      <c r="C135" s="23" t="s">
        <v>170</v>
      </c>
      <c r="D135" s="25">
        <v>43205</v>
      </c>
      <c r="E135" s="15">
        <v>11.8</v>
      </c>
      <c r="F135" s="16">
        <v>1</v>
      </c>
      <c r="G135" s="14" t="s">
        <v>2</v>
      </c>
    </row>
    <row r="136" spans="1:10" hidden="1" x14ac:dyDescent="0.25">
      <c r="A136" s="21" t="s">
        <v>51</v>
      </c>
      <c r="B136" s="21" t="s">
        <v>30</v>
      </c>
      <c r="C136" s="21" t="s">
        <v>150</v>
      </c>
      <c r="D136" s="10">
        <v>43205</v>
      </c>
      <c r="E136" s="15">
        <v>9.98</v>
      </c>
      <c r="F136" s="16">
        <v>1</v>
      </c>
      <c r="G136" s="14" t="s">
        <v>2</v>
      </c>
    </row>
    <row r="137" spans="1:10" hidden="1" x14ac:dyDescent="0.25">
      <c r="A137" s="23" t="s">
        <v>51</v>
      </c>
      <c r="B137" s="23" t="s">
        <v>30</v>
      </c>
      <c r="C137" s="23" t="s">
        <v>150</v>
      </c>
      <c r="D137" s="25">
        <v>43205</v>
      </c>
      <c r="E137" s="15">
        <v>9.98</v>
      </c>
      <c r="F137" s="16">
        <v>1</v>
      </c>
      <c r="G137" s="14" t="s">
        <v>2</v>
      </c>
      <c r="J137" s="24"/>
    </row>
    <row r="138" spans="1:10" hidden="1" x14ac:dyDescent="0.25">
      <c r="A138" s="23" t="s">
        <v>51</v>
      </c>
      <c r="B138" s="23" t="s">
        <v>30</v>
      </c>
      <c r="C138" s="23" t="s">
        <v>150</v>
      </c>
      <c r="D138" s="25">
        <v>43205</v>
      </c>
      <c r="E138" s="15">
        <v>9.98</v>
      </c>
      <c r="F138" s="16">
        <v>1</v>
      </c>
      <c r="G138" s="14" t="s">
        <v>2</v>
      </c>
    </row>
    <row r="139" spans="1:10" hidden="1" x14ac:dyDescent="0.25">
      <c r="A139" s="23" t="s">
        <v>51</v>
      </c>
      <c r="B139" s="23" t="s">
        <v>30</v>
      </c>
      <c r="C139" s="23" t="s">
        <v>150</v>
      </c>
      <c r="D139" s="25">
        <v>43205</v>
      </c>
      <c r="E139" s="15">
        <v>9.98</v>
      </c>
      <c r="F139" s="16">
        <v>1</v>
      </c>
      <c r="G139" s="14" t="s">
        <v>2</v>
      </c>
    </row>
    <row r="140" spans="1:10" hidden="1" x14ac:dyDescent="0.25">
      <c r="A140" s="23" t="s">
        <v>5</v>
      </c>
      <c r="B140" s="23" t="s">
        <v>27</v>
      </c>
      <c r="C140" s="21" t="s">
        <v>150</v>
      </c>
      <c r="D140" s="10">
        <v>43205</v>
      </c>
      <c r="E140" s="15">
        <v>2.39</v>
      </c>
      <c r="F140" s="16">
        <v>3</v>
      </c>
      <c r="G140" s="14" t="s">
        <v>2</v>
      </c>
    </row>
    <row r="141" spans="1:10" hidden="1" x14ac:dyDescent="0.25">
      <c r="A141" s="23" t="s">
        <v>5</v>
      </c>
      <c r="B141" s="23" t="s">
        <v>27</v>
      </c>
      <c r="C141" s="23" t="s">
        <v>150</v>
      </c>
      <c r="D141" s="25">
        <v>43205</v>
      </c>
      <c r="E141" s="15">
        <v>2.39</v>
      </c>
      <c r="F141" s="16">
        <v>3</v>
      </c>
      <c r="G141" s="14" t="s">
        <v>2</v>
      </c>
    </row>
    <row r="142" spans="1:10" hidden="1" x14ac:dyDescent="0.25">
      <c r="A142" s="23" t="s">
        <v>5</v>
      </c>
      <c r="B142" s="23" t="s">
        <v>27</v>
      </c>
      <c r="C142" s="23" t="s">
        <v>150</v>
      </c>
      <c r="D142" s="25">
        <v>43205</v>
      </c>
      <c r="E142" s="15">
        <v>2.39</v>
      </c>
      <c r="F142" s="16">
        <v>3</v>
      </c>
      <c r="G142" s="14" t="s">
        <v>2</v>
      </c>
    </row>
    <row r="143" spans="1:10" hidden="1" x14ac:dyDescent="0.25">
      <c r="A143" s="23" t="s">
        <v>5</v>
      </c>
      <c r="B143" s="23" t="s">
        <v>27</v>
      </c>
      <c r="C143" s="23" t="s">
        <v>150</v>
      </c>
      <c r="D143" s="25">
        <v>43205</v>
      </c>
      <c r="E143" s="15">
        <v>2.39</v>
      </c>
      <c r="F143" s="16">
        <v>3</v>
      </c>
      <c r="G143" s="14" t="s">
        <v>2</v>
      </c>
    </row>
    <row r="144" spans="1:10" hidden="1" x14ac:dyDescent="0.25">
      <c r="A144" s="23" t="s">
        <v>56</v>
      </c>
      <c r="B144" s="23" t="s">
        <v>80</v>
      </c>
      <c r="C144" s="21" t="s">
        <v>150</v>
      </c>
      <c r="D144" s="10">
        <v>43205</v>
      </c>
      <c r="E144" s="15">
        <v>1.66</v>
      </c>
      <c r="F144" s="16">
        <v>6</v>
      </c>
      <c r="G144" s="14" t="s">
        <v>2</v>
      </c>
    </row>
    <row r="145" spans="1:7" hidden="1" x14ac:dyDescent="0.25">
      <c r="A145" s="23" t="s">
        <v>56</v>
      </c>
      <c r="B145" s="23" t="s">
        <v>80</v>
      </c>
      <c r="C145" s="23" t="s">
        <v>150</v>
      </c>
      <c r="D145" s="25">
        <v>43205</v>
      </c>
      <c r="E145" s="15">
        <v>1.66</v>
      </c>
      <c r="F145" s="16">
        <v>6</v>
      </c>
      <c r="G145" s="14" t="s">
        <v>2</v>
      </c>
    </row>
    <row r="146" spans="1:7" hidden="1" x14ac:dyDescent="0.25">
      <c r="A146" s="23" t="s">
        <v>56</v>
      </c>
      <c r="B146" s="23" t="s">
        <v>80</v>
      </c>
      <c r="C146" s="23" t="s">
        <v>150</v>
      </c>
      <c r="D146" s="25">
        <v>43205</v>
      </c>
      <c r="E146" s="15">
        <v>1.66</v>
      </c>
      <c r="F146" s="16">
        <v>6</v>
      </c>
      <c r="G146" s="14" t="s">
        <v>2</v>
      </c>
    </row>
    <row r="147" spans="1:7" hidden="1" x14ac:dyDescent="0.25">
      <c r="A147" s="23" t="s">
        <v>56</v>
      </c>
      <c r="B147" s="23" t="s">
        <v>80</v>
      </c>
      <c r="C147" s="23" t="s">
        <v>150</v>
      </c>
      <c r="D147" s="25">
        <v>43205</v>
      </c>
      <c r="E147" s="15">
        <v>1.66</v>
      </c>
      <c r="F147" s="16">
        <v>6</v>
      </c>
      <c r="G147" s="14" t="s">
        <v>2</v>
      </c>
    </row>
    <row r="148" spans="1:7" hidden="1" x14ac:dyDescent="0.25">
      <c r="A148" s="21" t="s">
        <v>47</v>
      </c>
      <c r="B148" s="21" t="s">
        <v>26</v>
      </c>
      <c r="C148" s="21" t="s">
        <v>150</v>
      </c>
      <c r="D148" s="10">
        <v>43205</v>
      </c>
      <c r="E148" s="12">
        <v>13.9</v>
      </c>
      <c r="F148" s="13">
        <v>1</v>
      </c>
      <c r="G148" s="11" t="s">
        <v>2</v>
      </c>
    </row>
    <row r="149" spans="1:7" hidden="1" x14ac:dyDescent="0.25">
      <c r="A149" s="23" t="s">
        <v>47</v>
      </c>
      <c r="B149" s="23" t="s">
        <v>26</v>
      </c>
      <c r="C149" s="23" t="s">
        <v>150</v>
      </c>
      <c r="D149" s="25">
        <v>43205</v>
      </c>
      <c r="E149" s="15">
        <v>13.9</v>
      </c>
      <c r="F149" s="16">
        <v>1</v>
      </c>
      <c r="G149" s="14" t="s">
        <v>2</v>
      </c>
    </row>
    <row r="150" spans="1:7" hidden="1" x14ac:dyDescent="0.25">
      <c r="A150" s="23" t="s">
        <v>47</v>
      </c>
      <c r="B150" s="23" t="s">
        <v>26</v>
      </c>
      <c r="C150" s="23" t="s">
        <v>150</v>
      </c>
      <c r="D150" s="25">
        <v>43205</v>
      </c>
      <c r="E150" s="15">
        <v>13.9</v>
      </c>
      <c r="F150" s="16">
        <v>1</v>
      </c>
      <c r="G150" s="14" t="s">
        <v>2</v>
      </c>
    </row>
    <row r="151" spans="1:7" hidden="1" x14ac:dyDescent="0.25">
      <c r="A151" s="23" t="s">
        <v>47</v>
      </c>
      <c r="B151" s="23" t="s">
        <v>26</v>
      </c>
      <c r="C151" s="23" t="s">
        <v>150</v>
      </c>
      <c r="D151" s="25">
        <v>43205</v>
      </c>
      <c r="E151" s="15">
        <v>13.9</v>
      </c>
      <c r="F151" s="16">
        <v>1</v>
      </c>
      <c r="G151" s="14" t="s">
        <v>2</v>
      </c>
    </row>
    <row r="152" spans="1:7" hidden="1" x14ac:dyDescent="0.25">
      <c r="A152" s="23" t="s">
        <v>88</v>
      </c>
      <c r="B152" s="23" t="s">
        <v>79</v>
      </c>
      <c r="C152" s="21" t="s">
        <v>150</v>
      </c>
      <c r="D152" s="10">
        <v>43205</v>
      </c>
      <c r="E152" s="15">
        <v>7.99</v>
      </c>
      <c r="F152" s="16">
        <v>1</v>
      </c>
      <c r="G152" s="14" t="s">
        <v>2</v>
      </c>
    </row>
    <row r="153" spans="1:7" hidden="1" x14ac:dyDescent="0.25">
      <c r="A153" s="23" t="s">
        <v>88</v>
      </c>
      <c r="B153" s="23" t="s">
        <v>79</v>
      </c>
      <c r="C153" s="23" t="s">
        <v>150</v>
      </c>
      <c r="D153" s="25">
        <v>43205</v>
      </c>
      <c r="E153" s="15">
        <v>7.99</v>
      </c>
      <c r="F153" s="16">
        <v>1</v>
      </c>
      <c r="G153" s="14" t="s">
        <v>2</v>
      </c>
    </row>
    <row r="154" spans="1:7" hidden="1" x14ac:dyDescent="0.25">
      <c r="A154" s="23" t="s">
        <v>88</v>
      </c>
      <c r="B154" s="23" t="s">
        <v>79</v>
      </c>
      <c r="C154" s="23" t="s">
        <v>150</v>
      </c>
      <c r="D154" s="25">
        <v>43205</v>
      </c>
      <c r="E154" s="15">
        <v>7.99</v>
      </c>
      <c r="F154" s="16">
        <v>1</v>
      </c>
      <c r="G154" s="14" t="s">
        <v>2</v>
      </c>
    </row>
    <row r="155" spans="1:7" hidden="1" x14ac:dyDescent="0.25">
      <c r="A155" s="23" t="s">
        <v>88</v>
      </c>
      <c r="B155" s="23" t="s">
        <v>79</v>
      </c>
      <c r="C155" s="23" t="s">
        <v>150</v>
      </c>
      <c r="D155" s="25">
        <v>43205</v>
      </c>
      <c r="E155" s="15">
        <v>7.99</v>
      </c>
      <c r="F155" s="16">
        <v>1</v>
      </c>
      <c r="G155" s="14" t="s">
        <v>2</v>
      </c>
    </row>
    <row r="156" spans="1:7" hidden="1" x14ac:dyDescent="0.25">
      <c r="A156" s="23" t="s">
        <v>86</v>
      </c>
      <c r="B156" s="23" t="s">
        <v>37</v>
      </c>
      <c r="C156" s="21" t="s">
        <v>150</v>
      </c>
      <c r="D156" s="10">
        <v>43205</v>
      </c>
      <c r="E156" s="15">
        <v>4.99</v>
      </c>
      <c r="F156" s="16">
        <v>1</v>
      </c>
      <c r="G156" s="14" t="s">
        <v>2</v>
      </c>
    </row>
    <row r="157" spans="1:7" hidden="1" x14ac:dyDescent="0.25">
      <c r="A157" s="23" t="s">
        <v>86</v>
      </c>
      <c r="B157" s="23" t="s">
        <v>37</v>
      </c>
      <c r="C157" s="23" t="s">
        <v>150</v>
      </c>
      <c r="D157" s="25">
        <v>43205</v>
      </c>
      <c r="E157" s="15">
        <v>4.99</v>
      </c>
      <c r="F157" s="16">
        <v>1</v>
      </c>
      <c r="G157" s="14" t="s">
        <v>2</v>
      </c>
    </row>
    <row r="158" spans="1:7" hidden="1" x14ac:dyDescent="0.25">
      <c r="A158" s="23" t="s">
        <v>86</v>
      </c>
      <c r="B158" s="23" t="s">
        <v>37</v>
      </c>
      <c r="C158" s="23" t="s">
        <v>150</v>
      </c>
      <c r="D158" s="25">
        <v>43205</v>
      </c>
      <c r="E158" s="15">
        <v>4.99</v>
      </c>
      <c r="F158" s="16">
        <v>1</v>
      </c>
      <c r="G158" s="14" t="s">
        <v>2</v>
      </c>
    </row>
    <row r="159" spans="1:7" hidden="1" x14ac:dyDescent="0.25">
      <c r="A159" s="23" t="s">
        <v>86</v>
      </c>
      <c r="B159" s="23" t="s">
        <v>37</v>
      </c>
      <c r="C159" s="23" t="s">
        <v>150</v>
      </c>
      <c r="D159" s="25">
        <v>43205</v>
      </c>
      <c r="E159" s="15">
        <v>4.99</v>
      </c>
      <c r="F159" s="16">
        <v>1</v>
      </c>
      <c r="G159" s="14" t="s">
        <v>2</v>
      </c>
    </row>
    <row r="160" spans="1:7" hidden="1" x14ac:dyDescent="0.25">
      <c r="A160" s="23" t="s">
        <v>18</v>
      </c>
      <c r="B160" s="23" t="s">
        <v>68</v>
      </c>
      <c r="C160" s="21" t="s">
        <v>150</v>
      </c>
      <c r="D160" s="10">
        <v>43205</v>
      </c>
      <c r="E160" s="15">
        <v>1.99</v>
      </c>
      <c r="F160" s="16">
        <v>3</v>
      </c>
      <c r="G160" s="14" t="s">
        <v>2</v>
      </c>
    </row>
    <row r="161" spans="1:7" hidden="1" x14ac:dyDescent="0.25">
      <c r="A161" s="23" t="s">
        <v>18</v>
      </c>
      <c r="B161" s="23" t="s">
        <v>68</v>
      </c>
      <c r="C161" s="23" t="s">
        <v>150</v>
      </c>
      <c r="D161" s="25">
        <v>43205</v>
      </c>
      <c r="E161" s="15">
        <v>1.99</v>
      </c>
      <c r="F161" s="16">
        <v>3</v>
      </c>
      <c r="G161" s="14" t="s">
        <v>2</v>
      </c>
    </row>
    <row r="162" spans="1:7" hidden="1" x14ac:dyDescent="0.25">
      <c r="A162" s="23" t="s">
        <v>18</v>
      </c>
      <c r="B162" s="23" t="s">
        <v>68</v>
      </c>
      <c r="C162" s="23" t="s">
        <v>150</v>
      </c>
      <c r="D162" s="25">
        <v>43205</v>
      </c>
      <c r="E162" s="15">
        <v>1.99</v>
      </c>
      <c r="F162" s="16">
        <v>3</v>
      </c>
      <c r="G162" s="14" t="s">
        <v>2</v>
      </c>
    </row>
    <row r="163" spans="1:7" hidden="1" x14ac:dyDescent="0.25">
      <c r="A163" s="23" t="s">
        <v>18</v>
      </c>
      <c r="B163" s="23" t="s">
        <v>68</v>
      </c>
      <c r="C163" s="23" t="s">
        <v>150</v>
      </c>
      <c r="D163" s="25">
        <v>43205</v>
      </c>
      <c r="E163" s="15">
        <v>1.99</v>
      </c>
      <c r="F163" s="16">
        <v>3</v>
      </c>
      <c r="G163" s="14" t="s">
        <v>2</v>
      </c>
    </row>
    <row r="164" spans="1:7" hidden="1" x14ac:dyDescent="0.25">
      <c r="A164" s="21" t="s">
        <v>3</v>
      </c>
      <c r="B164" s="21" t="s">
        <v>26</v>
      </c>
      <c r="C164" s="21" t="s">
        <v>150</v>
      </c>
      <c r="D164" s="10">
        <v>43205</v>
      </c>
      <c r="E164" s="12">
        <v>3.65</v>
      </c>
      <c r="F164" s="13">
        <v>3</v>
      </c>
      <c r="G164" s="11" t="s">
        <v>2</v>
      </c>
    </row>
    <row r="165" spans="1:7" hidden="1" x14ac:dyDescent="0.25">
      <c r="A165" s="23" t="s">
        <v>3</v>
      </c>
      <c r="B165" s="23" t="s">
        <v>26</v>
      </c>
      <c r="C165" s="23" t="s">
        <v>150</v>
      </c>
      <c r="D165" s="25">
        <v>43205</v>
      </c>
      <c r="E165" s="15">
        <v>3.65</v>
      </c>
      <c r="F165" s="16">
        <v>3</v>
      </c>
      <c r="G165" s="14" t="s">
        <v>2</v>
      </c>
    </row>
    <row r="166" spans="1:7" hidden="1" x14ac:dyDescent="0.25">
      <c r="A166" s="23" t="s">
        <v>3</v>
      </c>
      <c r="B166" s="23" t="s">
        <v>26</v>
      </c>
      <c r="C166" s="23" t="s">
        <v>150</v>
      </c>
      <c r="D166" s="25">
        <v>43205</v>
      </c>
      <c r="E166" s="15">
        <v>3.65</v>
      </c>
      <c r="F166" s="16">
        <v>3</v>
      </c>
      <c r="G166" s="14" t="s">
        <v>2</v>
      </c>
    </row>
    <row r="167" spans="1:7" hidden="1" x14ac:dyDescent="0.25">
      <c r="A167" s="23" t="s">
        <v>3</v>
      </c>
      <c r="B167" s="23" t="s">
        <v>26</v>
      </c>
      <c r="C167" s="23" t="s">
        <v>150</v>
      </c>
      <c r="D167" s="25">
        <v>43205</v>
      </c>
      <c r="E167" s="15">
        <v>3.65</v>
      </c>
      <c r="F167" s="16">
        <v>3</v>
      </c>
      <c r="G167" s="14" t="s">
        <v>2</v>
      </c>
    </row>
    <row r="168" spans="1:7" hidden="1" x14ac:dyDescent="0.25">
      <c r="A168" s="23" t="s">
        <v>66</v>
      </c>
      <c r="B168" s="23" t="s">
        <v>77</v>
      </c>
      <c r="C168" s="21" t="s">
        <v>150</v>
      </c>
      <c r="D168" s="10">
        <v>43205</v>
      </c>
      <c r="E168" s="15">
        <v>6.99</v>
      </c>
      <c r="F168" s="16">
        <v>1</v>
      </c>
      <c r="G168" s="14" t="s">
        <v>2</v>
      </c>
    </row>
    <row r="169" spans="1:7" hidden="1" x14ac:dyDescent="0.25">
      <c r="A169" s="23" t="s">
        <v>66</v>
      </c>
      <c r="B169" s="23" t="s">
        <v>77</v>
      </c>
      <c r="C169" s="23" t="s">
        <v>150</v>
      </c>
      <c r="D169" s="25">
        <v>43205</v>
      </c>
      <c r="E169" s="15">
        <v>6.99</v>
      </c>
      <c r="F169" s="16">
        <v>1</v>
      </c>
      <c r="G169" s="14" t="s">
        <v>2</v>
      </c>
    </row>
    <row r="170" spans="1:7" hidden="1" x14ac:dyDescent="0.25">
      <c r="A170" s="23" t="s">
        <v>66</v>
      </c>
      <c r="B170" s="23" t="s">
        <v>77</v>
      </c>
      <c r="C170" s="23" t="s">
        <v>150</v>
      </c>
      <c r="D170" s="25">
        <v>43205</v>
      </c>
      <c r="E170" s="15">
        <v>6.99</v>
      </c>
      <c r="F170" s="16">
        <v>1</v>
      </c>
      <c r="G170" s="14" t="s">
        <v>2</v>
      </c>
    </row>
    <row r="171" spans="1:7" hidden="1" x14ac:dyDescent="0.25">
      <c r="A171" s="23" t="s">
        <v>66</v>
      </c>
      <c r="B171" s="23" t="s">
        <v>77</v>
      </c>
      <c r="C171" s="23" t="s">
        <v>150</v>
      </c>
      <c r="D171" s="25">
        <v>43205</v>
      </c>
      <c r="E171" s="15">
        <v>6.99</v>
      </c>
      <c r="F171" s="16">
        <v>1</v>
      </c>
      <c r="G171" s="14" t="s">
        <v>2</v>
      </c>
    </row>
    <row r="172" spans="1:7" hidden="1" x14ac:dyDescent="0.25">
      <c r="A172" s="23" t="s">
        <v>94</v>
      </c>
      <c r="B172" s="23" t="s">
        <v>31</v>
      </c>
      <c r="C172" s="21" t="s">
        <v>150</v>
      </c>
      <c r="D172" s="10">
        <v>43205</v>
      </c>
      <c r="E172" s="15">
        <v>2.4900000000000002</v>
      </c>
      <c r="F172" s="16">
        <v>12</v>
      </c>
      <c r="G172" s="14" t="s">
        <v>2</v>
      </c>
    </row>
    <row r="173" spans="1:7" hidden="1" x14ac:dyDescent="0.25">
      <c r="A173" s="23" t="s">
        <v>94</v>
      </c>
      <c r="B173" s="23" t="s">
        <v>31</v>
      </c>
      <c r="C173" s="23" t="s">
        <v>150</v>
      </c>
      <c r="D173" s="25">
        <v>43205</v>
      </c>
      <c r="E173" s="15">
        <v>2.4900000000000002</v>
      </c>
      <c r="F173" s="16">
        <v>12</v>
      </c>
      <c r="G173" s="14" t="s">
        <v>2</v>
      </c>
    </row>
    <row r="174" spans="1:7" hidden="1" x14ac:dyDescent="0.25">
      <c r="A174" s="23" t="s">
        <v>94</v>
      </c>
      <c r="B174" s="23" t="s">
        <v>31</v>
      </c>
      <c r="C174" s="23" t="s">
        <v>150</v>
      </c>
      <c r="D174" s="25">
        <v>43205</v>
      </c>
      <c r="E174" s="15">
        <v>2.4900000000000002</v>
      </c>
      <c r="F174" s="16">
        <v>12</v>
      </c>
      <c r="G174" s="14" t="s">
        <v>2</v>
      </c>
    </row>
    <row r="175" spans="1:7" hidden="1" x14ac:dyDescent="0.25">
      <c r="A175" s="23" t="s">
        <v>94</v>
      </c>
      <c r="B175" s="23" t="s">
        <v>31</v>
      </c>
      <c r="C175" s="23" t="s">
        <v>150</v>
      </c>
      <c r="D175" s="25">
        <v>43205</v>
      </c>
      <c r="E175" s="15">
        <v>2.4900000000000002</v>
      </c>
      <c r="F175" s="16">
        <v>12</v>
      </c>
      <c r="G175" s="14" t="s">
        <v>2</v>
      </c>
    </row>
    <row r="176" spans="1:7" hidden="1" x14ac:dyDescent="0.25">
      <c r="A176" s="23" t="s">
        <v>65</v>
      </c>
      <c r="B176" s="23" t="s">
        <v>37</v>
      </c>
      <c r="C176" s="21" t="s">
        <v>150</v>
      </c>
      <c r="D176" s="10">
        <v>43205</v>
      </c>
      <c r="E176" s="15">
        <v>4.99</v>
      </c>
      <c r="F176" s="16">
        <v>3</v>
      </c>
      <c r="G176" s="14" t="s">
        <v>2</v>
      </c>
    </row>
    <row r="177" spans="1:7" hidden="1" x14ac:dyDescent="0.25">
      <c r="A177" s="23" t="s">
        <v>65</v>
      </c>
      <c r="B177" s="23" t="s">
        <v>37</v>
      </c>
      <c r="C177" s="23" t="s">
        <v>150</v>
      </c>
      <c r="D177" s="25">
        <v>43205</v>
      </c>
      <c r="E177" s="15">
        <v>4.99</v>
      </c>
      <c r="F177" s="16">
        <v>3</v>
      </c>
      <c r="G177" s="14" t="s">
        <v>2</v>
      </c>
    </row>
    <row r="178" spans="1:7" hidden="1" x14ac:dyDescent="0.25">
      <c r="A178" s="23" t="s">
        <v>65</v>
      </c>
      <c r="B178" s="23" t="s">
        <v>37</v>
      </c>
      <c r="C178" s="23" t="s">
        <v>150</v>
      </c>
      <c r="D178" s="25">
        <v>43205</v>
      </c>
      <c r="E178" s="15">
        <v>4.99</v>
      </c>
      <c r="F178" s="16">
        <v>3</v>
      </c>
      <c r="G178" s="14" t="s">
        <v>2</v>
      </c>
    </row>
    <row r="179" spans="1:7" hidden="1" x14ac:dyDescent="0.25">
      <c r="A179" s="23" t="s">
        <v>65</v>
      </c>
      <c r="B179" s="23" t="s">
        <v>37</v>
      </c>
      <c r="C179" s="23" t="s">
        <v>150</v>
      </c>
      <c r="D179" s="25">
        <v>43205</v>
      </c>
      <c r="E179" s="15">
        <v>4.99</v>
      </c>
      <c r="F179" s="16">
        <v>3</v>
      </c>
      <c r="G179" s="14" t="s">
        <v>2</v>
      </c>
    </row>
    <row r="180" spans="1:7" hidden="1" x14ac:dyDescent="0.25">
      <c r="A180" s="21" t="s">
        <v>48</v>
      </c>
      <c r="B180" s="21" t="s">
        <v>28</v>
      </c>
      <c r="C180" s="21" t="s">
        <v>150</v>
      </c>
      <c r="D180" s="10">
        <v>43205</v>
      </c>
      <c r="E180" s="15">
        <v>1.99</v>
      </c>
      <c r="F180" s="16">
        <v>1</v>
      </c>
      <c r="G180" s="14" t="s">
        <v>2</v>
      </c>
    </row>
    <row r="181" spans="1:7" hidden="1" x14ac:dyDescent="0.25">
      <c r="A181" s="23" t="s">
        <v>48</v>
      </c>
      <c r="B181" s="23" t="s">
        <v>28</v>
      </c>
      <c r="C181" s="23" t="s">
        <v>150</v>
      </c>
      <c r="D181" s="25">
        <v>43205</v>
      </c>
      <c r="E181" s="15">
        <v>1.99</v>
      </c>
      <c r="F181" s="16">
        <v>1</v>
      </c>
      <c r="G181" s="14" t="s">
        <v>2</v>
      </c>
    </row>
    <row r="182" spans="1:7" hidden="1" x14ac:dyDescent="0.25">
      <c r="A182" s="23" t="s">
        <v>48</v>
      </c>
      <c r="B182" s="23" t="s">
        <v>28</v>
      </c>
      <c r="C182" s="23" t="s">
        <v>150</v>
      </c>
      <c r="D182" s="25">
        <v>43205</v>
      </c>
      <c r="E182" s="15">
        <v>1.99</v>
      </c>
      <c r="F182" s="16">
        <v>1</v>
      </c>
      <c r="G182" s="14" t="s">
        <v>2</v>
      </c>
    </row>
    <row r="183" spans="1:7" hidden="1" x14ac:dyDescent="0.25">
      <c r="A183" s="23" t="s">
        <v>48</v>
      </c>
      <c r="B183" s="23" t="s">
        <v>28</v>
      </c>
      <c r="C183" s="23" t="s">
        <v>150</v>
      </c>
      <c r="D183" s="25">
        <v>43205</v>
      </c>
      <c r="E183" s="15">
        <v>1.99</v>
      </c>
      <c r="F183" s="16">
        <v>1</v>
      </c>
      <c r="G183" s="14" t="s">
        <v>2</v>
      </c>
    </row>
    <row r="184" spans="1:7" hidden="1" x14ac:dyDescent="0.25">
      <c r="A184" s="21" t="s">
        <v>10</v>
      </c>
      <c r="B184" s="21" t="s">
        <v>34</v>
      </c>
      <c r="C184" s="21" t="s">
        <v>150</v>
      </c>
      <c r="D184" s="10">
        <v>43205</v>
      </c>
      <c r="E184" s="15">
        <v>4.99</v>
      </c>
      <c r="F184" s="16">
        <v>1</v>
      </c>
      <c r="G184" s="14" t="s">
        <v>2</v>
      </c>
    </row>
    <row r="185" spans="1:7" hidden="1" x14ac:dyDescent="0.25">
      <c r="A185" s="23" t="s">
        <v>10</v>
      </c>
      <c r="B185" s="23" t="s">
        <v>34</v>
      </c>
      <c r="C185" s="23" t="s">
        <v>150</v>
      </c>
      <c r="D185" s="25">
        <v>43205</v>
      </c>
      <c r="E185" s="15">
        <v>4.99</v>
      </c>
      <c r="F185" s="16">
        <v>1</v>
      </c>
      <c r="G185" s="14" t="s">
        <v>2</v>
      </c>
    </row>
    <row r="186" spans="1:7" hidden="1" x14ac:dyDescent="0.25">
      <c r="A186" s="23" t="s">
        <v>10</v>
      </c>
      <c r="B186" s="23" t="s">
        <v>34</v>
      </c>
      <c r="C186" s="23" t="s">
        <v>150</v>
      </c>
      <c r="D186" s="25">
        <v>43205</v>
      </c>
      <c r="E186" s="15">
        <v>4.99</v>
      </c>
      <c r="F186" s="16">
        <v>1</v>
      </c>
      <c r="G186" s="14" t="s">
        <v>2</v>
      </c>
    </row>
    <row r="187" spans="1:7" hidden="1" x14ac:dyDescent="0.25">
      <c r="A187" s="23" t="s">
        <v>10</v>
      </c>
      <c r="B187" s="23" t="s">
        <v>34</v>
      </c>
      <c r="C187" s="23" t="s">
        <v>150</v>
      </c>
      <c r="D187" s="25">
        <v>43205</v>
      </c>
      <c r="E187" s="15">
        <v>4.99</v>
      </c>
      <c r="F187" s="16">
        <v>1</v>
      </c>
      <c r="G187" s="14" t="s">
        <v>2</v>
      </c>
    </row>
    <row r="188" spans="1:7" hidden="1" x14ac:dyDescent="0.25">
      <c r="A188" s="21" t="s">
        <v>4</v>
      </c>
      <c r="B188" s="21" t="s">
        <v>29</v>
      </c>
      <c r="C188" s="21" t="s">
        <v>150</v>
      </c>
      <c r="D188" s="10">
        <v>43205</v>
      </c>
      <c r="E188" s="15">
        <v>2.2400000000000002</v>
      </c>
      <c r="F188" s="16">
        <v>2</v>
      </c>
      <c r="G188" s="14" t="s">
        <v>2</v>
      </c>
    </row>
    <row r="189" spans="1:7" hidden="1" x14ac:dyDescent="0.25">
      <c r="A189" s="23" t="s">
        <v>4</v>
      </c>
      <c r="B189" s="23" t="s">
        <v>29</v>
      </c>
      <c r="C189" s="23" t="s">
        <v>150</v>
      </c>
      <c r="D189" s="25">
        <v>43205</v>
      </c>
      <c r="E189" s="15">
        <v>2.2400000000000002</v>
      </c>
      <c r="F189" s="16">
        <v>2</v>
      </c>
      <c r="G189" s="14" t="s">
        <v>2</v>
      </c>
    </row>
    <row r="190" spans="1:7" hidden="1" x14ac:dyDescent="0.25">
      <c r="A190" s="23" t="s">
        <v>4</v>
      </c>
      <c r="B190" s="23" t="s">
        <v>29</v>
      </c>
      <c r="C190" s="23" t="s">
        <v>150</v>
      </c>
      <c r="D190" s="25">
        <v>43205</v>
      </c>
      <c r="E190" s="15">
        <v>2.2400000000000002</v>
      </c>
      <c r="F190" s="16">
        <v>2</v>
      </c>
      <c r="G190" s="14" t="s">
        <v>2</v>
      </c>
    </row>
    <row r="191" spans="1:7" hidden="1" x14ac:dyDescent="0.25">
      <c r="A191" s="23" t="s">
        <v>4</v>
      </c>
      <c r="B191" s="23" t="s">
        <v>29</v>
      </c>
      <c r="C191" s="23" t="s">
        <v>150</v>
      </c>
      <c r="D191" s="25">
        <v>43205</v>
      </c>
      <c r="E191" s="15">
        <v>2.2400000000000002</v>
      </c>
      <c r="F191" s="16">
        <v>2</v>
      </c>
      <c r="G191" s="14" t="s">
        <v>2</v>
      </c>
    </row>
    <row r="192" spans="1:7" hidden="1" x14ac:dyDescent="0.25">
      <c r="A192" s="23" t="s">
        <v>97</v>
      </c>
      <c r="B192" s="23" t="s">
        <v>32</v>
      </c>
      <c r="C192" s="21" t="s">
        <v>150</v>
      </c>
      <c r="D192" s="10">
        <v>43205</v>
      </c>
      <c r="E192" s="15">
        <v>3.39</v>
      </c>
      <c r="F192" s="16">
        <v>1</v>
      </c>
      <c r="G192" s="14" t="s">
        <v>2</v>
      </c>
    </row>
    <row r="193" spans="1:7" hidden="1" x14ac:dyDescent="0.25">
      <c r="A193" s="23" t="s">
        <v>97</v>
      </c>
      <c r="B193" s="23" t="s">
        <v>32</v>
      </c>
      <c r="C193" s="23" t="s">
        <v>150</v>
      </c>
      <c r="D193" s="25">
        <v>43205</v>
      </c>
      <c r="E193" s="15">
        <v>3.39</v>
      </c>
      <c r="F193" s="16">
        <v>1</v>
      </c>
      <c r="G193" s="14" t="s">
        <v>2</v>
      </c>
    </row>
    <row r="194" spans="1:7" hidden="1" x14ac:dyDescent="0.25">
      <c r="A194" s="23" t="s">
        <v>97</v>
      </c>
      <c r="B194" s="23" t="s">
        <v>32</v>
      </c>
      <c r="C194" s="23" t="s">
        <v>150</v>
      </c>
      <c r="D194" s="25">
        <v>43205</v>
      </c>
      <c r="E194" s="15">
        <v>3.39</v>
      </c>
      <c r="F194" s="16">
        <v>1</v>
      </c>
      <c r="G194" s="14" t="s">
        <v>2</v>
      </c>
    </row>
    <row r="195" spans="1:7" hidden="1" x14ac:dyDescent="0.25">
      <c r="A195" s="23" t="s">
        <v>97</v>
      </c>
      <c r="B195" s="23" t="s">
        <v>32</v>
      </c>
      <c r="C195" s="23" t="s">
        <v>150</v>
      </c>
      <c r="D195" s="25">
        <v>43205</v>
      </c>
      <c r="E195" s="15">
        <v>3.39</v>
      </c>
      <c r="F195" s="16">
        <v>1</v>
      </c>
      <c r="G195" s="14" t="s">
        <v>2</v>
      </c>
    </row>
    <row r="196" spans="1:7" hidden="1" x14ac:dyDescent="0.25">
      <c r="A196" s="23" t="s">
        <v>67</v>
      </c>
      <c r="B196" s="23" t="s">
        <v>108</v>
      </c>
      <c r="C196" s="21" t="s">
        <v>150</v>
      </c>
      <c r="D196" s="10">
        <v>43205</v>
      </c>
      <c r="E196" s="15">
        <v>3.49</v>
      </c>
      <c r="F196" s="16">
        <v>1</v>
      </c>
      <c r="G196" s="14" t="s">
        <v>2</v>
      </c>
    </row>
    <row r="197" spans="1:7" hidden="1" x14ac:dyDescent="0.25">
      <c r="A197" s="23" t="s">
        <v>67</v>
      </c>
      <c r="B197" s="23" t="s">
        <v>108</v>
      </c>
      <c r="C197" s="23" t="s">
        <v>150</v>
      </c>
      <c r="D197" s="25">
        <v>43205</v>
      </c>
      <c r="E197" s="15">
        <v>3.49</v>
      </c>
      <c r="F197" s="16">
        <v>1</v>
      </c>
      <c r="G197" s="14" t="s">
        <v>2</v>
      </c>
    </row>
    <row r="198" spans="1:7" hidden="1" x14ac:dyDescent="0.25">
      <c r="A198" s="23" t="s">
        <v>67</v>
      </c>
      <c r="B198" s="23" t="s">
        <v>108</v>
      </c>
      <c r="C198" s="23" t="s">
        <v>150</v>
      </c>
      <c r="D198" s="25">
        <v>43205</v>
      </c>
      <c r="E198" s="15">
        <v>3.49</v>
      </c>
      <c r="F198" s="16">
        <v>1</v>
      </c>
      <c r="G198" s="14" t="s">
        <v>2</v>
      </c>
    </row>
    <row r="199" spans="1:7" hidden="1" x14ac:dyDescent="0.25">
      <c r="A199" s="23" t="s">
        <v>67</v>
      </c>
      <c r="B199" s="23" t="s">
        <v>108</v>
      </c>
      <c r="C199" s="23" t="s">
        <v>150</v>
      </c>
      <c r="D199" s="25">
        <v>43205</v>
      </c>
      <c r="E199" s="15">
        <v>3.49</v>
      </c>
      <c r="F199" s="16">
        <v>1</v>
      </c>
      <c r="G199" s="14" t="s">
        <v>2</v>
      </c>
    </row>
    <row r="200" spans="1:7" hidden="1" x14ac:dyDescent="0.25">
      <c r="A200" s="23" t="s">
        <v>24</v>
      </c>
      <c r="B200" s="23" t="s">
        <v>44</v>
      </c>
      <c r="C200" s="21" t="s">
        <v>150</v>
      </c>
      <c r="D200" s="10">
        <v>43205</v>
      </c>
      <c r="E200" s="15">
        <v>3.99</v>
      </c>
      <c r="F200" s="16">
        <v>2</v>
      </c>
      <c r="G200" s="14" t="s">
        <v>2</v>
      </c>
    </row>
    <row r="201" spans="1:7" hidden="1" x14ac:dyDescent="0.25">
      <c r="A201" s="23" t="s">
        <v>24</v>
      </c>
      <c r="B201" s="23" t="s">
        <v>44</v>
      </c>
      <c r="C201" s="23" t="s">
        <v>150</v>
      </c>
      <c r="D201" s="25">
        <v>43205</v>
      </c>
      <c r="E201" s="15">
        <v>3.99</v>
      </c>
      <c r="F201" s="16">
        <v>2</v>
      </c>
      <c r="G201" s="14" t="s">
        <v>2</v>
      </c>
    </row>
    <row r="202" spans="1:7" hidden="1" x14ac:dyDescent="0.25">
      <c r="A202" s="23" t="s">
        <v>24</v>
      </c>
      <c r="B202" s="23" t="s">
        <v>44</v>
      </c>
      <c r="C202" s="23" t="s">
        <v>150</v>
      </c>
      <c r="D202" s="25">
        <v>43205</v>
      </c>
      <c r="E202" s="15">
        <v>3.99</v>
      </c>
      <c r="F202" s="16">
        <v>2</v>
      </c>
      <c r="G202" s="14" t="s">
        <v>2</v>
      </c>
    </row>
    <row r="203" spans="1:7" hidden="1" x14ac:dyDescent="0.25">
      <c r="A203" s="23" t="s">
        <v>24</v>
      </c>
      <c r="B203" s="23" t="s">
        <v>44</v>
      </c>
      <c r="C203" s="23" t="s">
        <v>150</v>
      </c>
      <c r="D203" s="25">
        <v>43205</v>
      </c>
      <c r="E203" s="15">
        <v>3.99</v>
      </c>
      <c r="F203" s="16">
        <v>2</v>
      </c>
      <c r="G203" s="14" t="s">
        <v>2</v>
      </c>
    </row>
    <row r="204" spans="1:7" hidden="1" x14ac:dyDescent="0.25">
      <c r="A204" s="23" t="s">
        <v>83</v>
      </c>
      <c r="B204" s="23" t="s">
        <v>28</v>
      </c>
      <c r="C204" s="21" t="s">
        <v>150</v>
      </c>
      <c r="D204" s="10">
        <v>43205</v>
      </c>
      <c r="E204" s="15">
        <v>1.99</v>
      </c>
      <c r="F204" s="16">
        <v>3</v>
      </c>
      <c r="G204" s="14" t="s">
        <v>2</v>
      </c>
    </row>
    <row r="205" spans="1:7" hidden="1" x14ac:dyDescent="0.25">
      <c r="A205" s="23" t="s">
        <v>83</v>
      </c>
      <c r="B205" s="23" t="s">
        <v>28</v>
      </c>
      <c r="C205" s="23" t="s">
        <v>150</v>
      </c>
      <c r="D205" s="25">
        <v>43205</v>
      </c>
      <c r="E205" s="15">
        <v>1.99</v>
      </c>
      <c r="F205" s="16">
        <v>3</v>
      </c>
      <c r="G205" s="14" t="s">
        <v>2</v>
      </c>
    </row>
    <row r="206" spans="1:7" hidden="1" x14ac:dyDescent="0.25">
      <c r="A206" s="23" t="s">
        <v>83</v>
      </c>
      <c r="B206" s="23" t="s">
        <v>28</v>
      </c>
      <c r="C206" s="23" t="s">
        <v>150</v>
      </c>
      <c r="D206" s="25">
        <v>43205</v>
      </c>
      <c r="E206" s="15">
        <v>1.99</v>
      </c>
      <c r="F206" s="16">
        <v>3</v>
      </c>
      <c r="G206" s="14" t="s">
        <v>2</v>
      </c>
    </row>
    <row r="207" spans="1:7" hidden="1" x14ac:dyDescent="0.25">
      <c r="A207" s="23" t="s">
        <v>83</v>
      </c>
      <c r="B207" s="23" t="s">
        <v>28</v>
      </c>
      <c r="C207" s="23" t="s">
        <v>150</v>
      </c>
      <c r="D207" s="25">
        <v>43205</v>
      </c>
      <c r="E207" s="15">
        <v>1.99</v>
      </c>
      <c r="F207" s="16">
        <v>3</v>
      </c>
      <c r="G207" s="14" t="s">
        <v>2</v>
      </c>
    </row>
    <row r="208" spans="1:7" hidden="1" x14ac:dyDescent="0.25">
      <c r="A208" s="23" t="s">
        <v>106</v>
      </c>
      <c r="B208" s="23" t="s">
        <v>107</v>
      </c>
      <c r="C208" s="21" t="s">
        <v>170</v>
      </c>
      <c r="D208" s="10">
        <f t="shared" ref="D208:D235" si="0">EDATE($D$207,1)</f>
        <v>43235</v>
      </c>
      <c r="E208" s="15">
        <v>3.49</v>
      </c>
      <c r="F208" s="16">
        <v>1</v>
      </c>
      <c r="G208" s="14" t="s">
        <v>2</v>
      </c>
    </row>
    <row r="209" spans="1:7" hidden="1" x14ac:dyDescent="0.25">
      <c r="A209" s="23" t="s">
        <v>95</v>
      </c>
      <c r="B209" s="23" t="s">
        <v>96</v>
      </c>
      <c r="C209" s="21" t="s">
        <v>170</v>
      </c>
      <c r="D209" s="10">
        <f t="shared" si="0"/>
        <v>43235</v>
      </c>
      <c r="E209" s="15">
        <v>2.4900000000000002</v>
      </c>
      <c r="F209" s="16">
        <v>1</v>
      </c>
      <c r="G209" s="14" t="s">
        <v>2</v>
      </c>
    </row>
    <row r="210" spans="1:7" hidden="1" x14ac:dyDescent="0.25">
      <c r="A210" s="23" t="s">
        <v>7</v>
      </c>
      <c r="B210" s="23" t="s">
        <v>33</v>
      </c>
      <c r="C210" s="21" t="s">
        <v>170</v>
      </c>
      <c r="D210" s="10">
        <f t="shared" si="0"/>
        <v>43235</v>
      </c>
      <c r="E210" s="15">
        <v>1.19</v>
      </c>
      <c r="F210" s="16">
        <v>2</v>
      </c>
      <c r="G210" s="14" t="s">
        <v>2</v>
      </c>
    </row>
    <row r="211" spans="1:7" hidden="1" x14ac:dyDescent="0.25">
      <c r="A211" s="23" t="s">
        <v>60</v>
      </c>
      <c r="B211" s="23" t="s">
        <v>111</v>
      </c>
      <c r="C211" s="21" t="s">
        <v>170</v>
      </c>
      <c r="D211" s="10">
        <f t="shared" si="0"/>
        <v>43235</v>
      </c>
      <c r="E211" s="15">
        <v>1.99</v>
      </c>
      <c r="F211" s="16">
        <v>1</v>
      </c>
      <c r="G211" s="14" t="s">
        <v>2</v>
      </c>
    </row>
    <row r="212" spans="1:7" hidden="1" x14ac:dyDescent="0.25">
      <c r="A212" s="23" t="s">
        <v>114</v>
      </c>
      <c r="B212" s="23" t="s">
        <v>37</v>
      </c>
      <c r="C212" s="21" t="s">
        <v>170</v>
      </c>
      <c r="D212" s="10">
        <f t="shared" si="0"/>
        <v>43235</v>
      </c>
      <c r="E212" s="15">
        <v>7.99</v>
      </c>
      <c r="F212" s="16">
        <v>1</v>
      </c>
      <c r="G212" s="14" t="s">
        <v>2</v>
      </c>
    </row>
    <row r="213" spans="1:7" hidden="1" x14ac:dyDescent="0.25">
      <c r="A213" s="23" t="s">
        <v>103</v>
      </c>
      <c r="B213" s="23" t="s">
        <v>44</v>
      </c>
      <c r="C213" s="21" t="s">
        <v>170</v>
      </c>
      <c r="D213" s="10">
        <f t="shared" si="0"/>
        <v>43235</v>
      </c>
      <c r="E213" s="15">
        <v>2.09</v>
      </c>
      <c r="F213" s="16">
        <v>5</v>
      </c>
      <c r="G213" s="14" t="s">
        <v>2</v>
      </c>
    </row>
    <row r="214" spans="1:7" hidden="1" x14ac:dyDescent="0.25">
      <c r="A214" s="21" t="s">
        <v>14</v>
      </c>
      <c r="B214" s="21" t="s">
        <v>117</v>
      </c>
      <c r="C214" s="21" t="s">
        <v>170</v>
      </c>
      <c r="D214" s="10">
        <f t="shared" si="0"/>
        <v>43235</v>
      </c>
      <c r="E214" s="15">
        <v>14.99</v>
      </c>
      <c r="F214" s="16">
        <v>1</v>
      </c>
      <c r="G214" s="14" t="s">
        <v>2</v>
      </c>
    </row>
    <row r="215" spans="1:7" hidden="1" x14ac:dyDescent="0.25">
      <c r="A215" s="21" t="s">
        <v>6</v>
      </c>
      <c r="B215" s="21" t="s">
        <v>64</v>
      </c>
      <c r="C215" s="21" t="s">
        <v>170</v>
      </c>
      <c r="D215" s="10">
        <f t="shared" si="0"/>
        <v>43235</v>
      </c>
      <c r="E215" s="15">
        <v>0.89</v>
      </c>
      <c r="F215" s="16">
        <v>8</v>
      </c>
      <c r="G215" s="14" t="s">
        <v>2</v>
      </c>
    </row>
    <row r="216" spans="1:7" hidden="1" x14ac:dyDescent="0.25">
      <c r="A216" s="23" t="s">
        <v>87</v>
      </c>
      <c r="B216" s="23" t="s">
        <v>37</v>
      </c>
      <c r="C216" s="21" t="s">
        <v>170</v>
      </c>
      <c r="D216" s="10">
        <f t="shared" si="0"/>
        <v>43235</v>
      </c>
      <c r="E216" s="15">
        <v>0</v>
      </c>
      <c r="F216" s="16">
        <v>1</v>
      </c>
      <c r="G216" s="14" t="s">
        <v>2</v>
      </c>
    </row>
    <row r="217" spans="1:7" hidden="1" x14ac:dyDescent="0.25">
      <c r="A217" s="21" t="s">
        <v>51</v>
      </c>
      <c r="B217" s="21" t="s">
        <v>30</v>
      </c>
      <c r="C217" s="21" t="s">
        <v>150</v>
      </c>
      <c r="D217" s="10">
        <f t="shared" si="0"/>
        <v>43235</v>
      </c>
      <c r="E217" s="15">
        <v>9.99</v>
      </c>
      <c r="F217" s="16">
        <v>1</v>
      </c>
      <c r="G217" s="14" t="s">
        <v>2</v>
      </c>
    </row>
    <row r="218" spans="1:7" hidden="1" x14ac:dyDescent="0.25">
      <c r="A218" s="23" t="s">
        <v>51</v>
      </c>
      <c r="B218" s="23" t="s">
        <v>30</v>
      </c>
      <c r="C218" s="23" t="s">
        <v>150</v>
      </c>
      <c r="D218" s="25">
        <f t="shared" si="0"/>
        <v>43235</v>
      </c>
      <c r="E218" s="15">
        <v>9.99</v>
      </c>
      <c r="F218" s="16">
        <v>1</v>
      </c>
      <c r="G218" s="14" t="s">
        <v>2</v>
      </c>
    </row>
    <row r="219" spans="1:7" hidden="1" x14ac:dyDescent="0.25">
      <c r="A219" s="23" t="s">
        <v>5</v>
      </c>
      <c r="B219" s="23" t="s">
        <v>27</v>
      </c>
      <c r="C219" s="21" t="s">
        <v>150</v>
      </c>
      <c r="D219" s="10">
        <f t="shared" si="0"/>
        <v>43235</v>
      </c>
      <c r="E219" s="15">
        <v>1.99</v>
      </c>
      <c r="F219" s="16">
        <v>1</v>
      </c>
      <c r="G219" s="14" t="s">
        <v>2</v>
      </c>
    </row>
    <row r="220" spans="1:7" hidden="1" x14ac:dyDescent="0.25">
      <c r="A220" s="23" t="s">
        <v>5</v>
      </c>
      <c r="B220" s="23" t="s">
        <v>27</v>
      </c>
      <c r="C220" s="23" t="s">
        <v>150</v>
      </c>
      <c r="D220" s="25">
        <f t="shared" si="0"/>
        <v>43235</v>
      </c>
      <c r="E220" s="15">
        <v>1.99</v>
      </c>
      <c r="F220" s="16">
        <v>1</v>
      </c>
      <c r="G220" s="14" t="s">
        <v>2</v>
      </c>
    </row>
    <row r="221" spans="1:7" hidden="1" x14ac:dyDescent="0.25">
      <c r="A221" s="23" t="s">
        <v>56</v>
      </c>
      <c r="B221" s="23" t="s">
        <v>80</v>
      </c>
      <c r="C221" s="21" t="s">
        <v>150</v>
      </c>
      <c r="D221" s="10">
        <f t="shared" si="0"/>
        <v>43235</v>
      </c>
      <c r="E221" s="15">
        <v>1.61</v>
      </c>
      <c r="F221" s="16">
        <v>5</v>
      </c>
      <c r="G221" s="14" t="s">
        <v>2</v>
      </c>
    </row>
    <row r="222" spans="1:7" hidden="1" x14ac:dyDescent="0.25">
      <c r="A222" s="21" t="s">
        <v>47</v>
      </c>
      <c r="B222" s="21" t="s">
        <v>26</v>
      </c>
      <c r="C222" s="21" t="s">
        <v>150</v>
      </c>
      <c r="D222" s="10">
        <f t="shared" si="0"/>
        <v>43235</v>
      </c>
      <c r="E222" s="12">
        <v>13.89</v>
      </c>
      <c r="F222" s="13">
        <v>1</v>
      </c>
      <c r="G222" s="11" t="s">
        <v>2</v>
      </c>
    </row>
    <row r="223" spans="1:7" hidden="1" x14ac:dyDescent="0.25">
      <c r="A223" s="23" t="s">
        <v>115</v>
      </c>
      <c r="B223" s="23" t="s">
        <v>116</v>
      </c>
      <c r="C223" s="23" t="s">
        <v>150</v>
      </c>
      <c r="D223" s="25">
        <f t="shared" si="0"/>
        <v>43235</v>
      </c>
      <c r="E223" s="15">
        <v>8.99</v>
      </c>
      <c r="F223" s="16">
        <v>1</v>
      </c>
      <c r="G223" s="14" t="s">
        <v>2</v>
      </c>
    </row>
    <row r="224" spans="1:7" hidden="1" x14ac:dyDescent="0.25">
      <c r="A224" s="23" t="s">
        <v>86</v>
      </c>
      <c r="B224" s="23" t="s">
        <v>37</v>
      </c>
      <c r="C224" s="21" t="s">
        <v>150</v>
      </c>
      <c r="D224" s="10">
        <f t="shared" si="0"/>
        <v>43235</v>
      </c>
      <c r="E224" s="15">
        <v>4.99</v>
      </c>
      <c r="F224" s="16">
        <v>1</v>
      </c>
      <c r="G224" s="14" t="s">
        <v>2</v>
      </c>
    </row>
    <row r="225" spans="1:7" hidden="1" x14ac:dyDescent="0.25">
      <c r="A225" s="23" t="s">
        <v>118</v>
      </c>
      <c r="B225" s="23" t="s">
        <v>55</v>
      </c>
      <c r="C225" s="23" t="s">
        <v>150</v>
      </c>
      <c r="D225" s="25">
        <f t="shared" si="0"/>
        <v>43235</v>
      </c>
      <c r="E225" s="15">
        <v>3.99</v>
      </c>
      <c r="F225" s="16">
        <v>1</v>
      </c>
      <c r="G225" s="14" t="s">
        <v>2</v>
      </c>
    </row>
    <row r="226" spans="1:7" hidden="1" x14ac:dyDescent="0.25">
      <c r="A226" s="23" t="s">
        <v>18</v>
      </c>
      <c r="B226" s="23" t="s">
        <v>68</v>
      </c>
      <c r="C226" s="21" t="s">
        <v>150</v>
      </c>
      <c r="D226" s="10">
        <f t="shared" si="0"/>
        <v>43235</v>
      </c>
      <c r="E226" s="15">
        <v>1.79</v>
      </c>
      <c r="F226" s="16">
        <v>4</v>
      </c>
      <c r="G226" s="14" t="s">
        <v>2</v>
      </c>
    </row>
    <row r="227" spans="1:7" hidden="1" x14ac:dyDescent="0.25">
      <c r="A227" s="23" t="s">
        <v>66</v>
      </c>
      <c r="B227" s="23" t="s">
        <v>77</v>
      </c>
      <c r="C227" s="21" t="s">
        <v>150</v>
      </c>
      <c r="D227" s="10">
        <f t="shared" si="0"/>
        <v>43235</v>
      </c>
      <c r="E227" s="15">
        <v>6.99</v>
      </c>
      <c r="F227" s="16">
        <v>1</v>
      </c>
      <c r="G227" s="14" t="s">
        <v>2</v>
      </c>
    </row>
    <row r="228" spans="1:7" hidden="1" x14ac:dyDescent="0.25">
      <c r="A228" s="23" t="s">
        <v>94</v>
      </c>
      <c r="B228" s="23" t="s">
        <v>31</v>
      </c>
      <c r="C228" s="21" t="s">
        <v>150</v>
      </c>
      <c r="D228" s="10">
        <f t="shared" si="0"/>
        <v>43235</v>
      </c>
      <c r="E228" s="15">
        <v>2.4900000000000002</v>
      </c>
      <c r="F228" s="16">
        <v>12</v>
      </c>
      <c r="G228" s="14" t="s">
        <v>2</v>
      </c>
    </row>
    <row r="229" spans="1:7" hidden="1" x14ac:dyDescent="0.25">
      <c r="A229" s="23" t="s">
        <v>65</v>
      </c>
      <c r="B229" s="23" t="s">
        <v>37</v>
      </c>
      <c r="C229" s="21" t="s">
        <v>150</v>
      </c>
      <c r="D229" s="10">
        <f t="shared" si="0"/>
        <v>43235</v>
      </c>
      <c r="E229" s="15">
        <v>4.99</v>
      </c>
      <c r="F229" s="16">
        <v>2</v>
      </c>
      <c r="G229" s="14" t="s">
        <v>2</v>
      </c>
    </row>
    <row r="230" spans="1:7" hidden="1" x14ac:dyDescent="0.25">
      <c r="A230" s="21" t="s">
        <v>10</v>
      </c>
      <c r="B230" s="21" t="s">
        <v>34</v>
      </c>
      <c r="C230" s="21" t="s">
        <v>150</v>
      </c>
      <c r="D230" s="10">
        <f t="shared" si="0"/>
        <v>43235</v>
      </c>
      <c r="E230" s="15">
        <v>4.99</v>
      </c>
      <c r="F230" s="16">
        <v>1</v>
      </c>
      <c r="G230" s="14" t="s">
        <v>2</v>
      </c>
    </row>
    <row r="231" spans="1:7" hidden="1" x14ac:dyDescent="0.25">
      <c r="A231" s="21" t="s">
        <v>4</v>
      </c>
      <c r="B231" s="21" t="s">
        <v>29</v>
      </c>
      <c r="C231" s="21" t="s">
        <v>150</v>
      </c>
      <c r="D231" s="10">
        <f t="shared" si="0"/>
        <v>43235</v>
      </c>
      <c r="E231" s="15">
        <v>2.99</v>
      </c>
      <c r="F231" s="16">
        <v>1</v>
      </c>
      <c r="G231" s="14" t="s">
        <v>2</v>
      </c>
    </row>
    <row r="232" spans="1:7" hidden="1" x14ac:dyDescent="0.25">
      <c r="A232" s="23" t="s">
        <v>97</v>
      </c>
      <c r="B232" s="23" t="s">
        <v>32</v>
      </c>
      <c r="C232" s="21" t="s">
        <v>150</v>
      </c>
      <c r="D232" s="10">
        <f t="shared" si="0"/>
        <v>43235</v>
      </c>
      <c r="E232" s="15">
        <v>2.4900000000000002</v>
      </c>
      <c r="F232" s="16">
        <v>1</v>
      </c>
      <c r="G232" s="14" t="s">
        <v>2</v>
      </c>
    </row>
    <row r="233" spans="1:7" hidden="1" x14ac:dyDescent="0.25">
      <c r="A233" s="23" t="s">
        <v>67</v>
      </c>
      <c r="B233" s="23" t="s">
        <v>108</v>
      </c>
      <c r="C233" s="21" t="s">
        <v>150</v>
      </c>
      <c r="D233" s="10">
        <f t="shared" si="0"/>
        <v>43235</v>
      </c>
      <c r="E233" s="15">
        <v>2.4900000000000002</v>
      </c>
      <c r="F233" s="16">
        <v>1</v>
      </c>
      <c r="G233" s="14" t="s">
        <v>2</v>
      </c>
    </row>
    <row r="234" spans="1:7" hidden="1" x14ac:dyDescent="0.25">
      <c r="A234" s="23" t="s">
        <v>24</v>
      </c>
      <c r="B234" s="23" t="s">
        <v>44</v>
      </c>
      <c r="C234" s="21" t="s">
        <v>150</v>
      </c>
      <c r="D234" s="10">
        <f t="shared" si="0"/>
        <v>43235</v>
      </c>
      <c r="E234" s="15">
        <v>3.99</v>
      </c>
      <c r="F234" s="16">
        <v>2</v>
      </c>
      <c r="G234" s="14" t="s">
        <v>2</v>
      </c>
    </row>
    <row r="235" spans="1:7" hidden="1" x14ac:dyDescent="0.25">
      <c r="A235" s="23" t="s">
        <v>83</v>
      </c>
      <c r="B235" s="23" t="s">
        <v>28</v>
      </c>
      <c r="C235" s="21" t="s">
        <v>150</v>
      </c>
      <c r="D235" s="10">
        <f t="shared" si="0"/>
        <v>43235</v>
      </c>
      <c r="E235" s="15">
        <v>2.4900000000000002</v>
      </c>
      <c r="F235" s="16">
        <v>2</v>
      </c>
      <c r="G235" s="14" t="s">
        <v>2</v>
      </c>
    </row>
    <row r="236" spans="1:7" hidden="1" x14ac:dyDescent="0.25">
      <c r="A236" s="23" t="s">
        <v>146</v>
      </c>
      <c r="B236" s="23" t="s">
        <v>147</v>
      </c>
      <c r="C236" s="23" t="s">
        <v>170</v>
      </c>
      <c r="D236" s="25">
        <v>43266</v>
      </c>
      <c r="E236" s="15">
        <v>3.15</v>
      </c>
      <c r="F236" s="16">
        <v>1</v>
      </c>
      <c r="G236" s="14" t="s">
        <v>2</v>
      </c>
    </row>
    <row r="237" spans="1:7" hidden="1" x14ac:dyDescent="0.25">
      <c r="A237" s="23" t="s">
        <v>100</v>
      </c>
      <c r="B237" s="23" t="s">
        <v>141</v>
      </c>
      <c r="C237" s="23" t="s">
        <v>170</v>
      </c>
      <c r="D237" s="25">
        <v>43266</v>
      </c>
      <c r="E237" s="15">
        <v>4.8899999999999997</v>
      </c>
      <c r="F237" s="16">
        <v>1</v>
      </c>
      <c r="G237" s="14" t="s">
        <v>2</v>
      </c>
    </row>
    <row r="238" spans="1:7" hidden="1" x14ac:dyDescent="0.25">
      <c r="A238" s="23" t="s">
        <v>140</v>
      </c>
      <c r="B238" s="23" t="s">
        <v>139</v>
      </c>
      <c r="C238" s="23" t="s">
        <v>170</v>
      </c>
      <c r="D238" s="25">
        <v>43266</v>
      </c>
      <c r="E238" s="15">
        <v>7.47</v>
      </c>
      <c r="F238" s="16">
        <v>1</v>
      </c>
      <c r="G238" s="14" t="s">
        <v>2</v>
      </c>
    </row>
    <row r="239" spans="1:7" hidden="1" x14ac:dyDescent="0.25">
      <c r="A239" s="23" t="s">
        <v>81</v>
      </c>
      <c r="B239" s="23" t="s">
        <v>119</v>
      </c>
      <c r="C239" s="23" t="s">
        <v>170</v>
      </c>
      <c r="D239" s="25">
        <v>43266</v>
      </c>
      <c r="E239" s="15">
        <v>3.49</v>
      </c>
      <c r="F239" s="16">
        <v>1</v>
      </c>
      <c r="G239" s="14" t="s">
        <v>2</v>
      </c>
    </row>
    <row r="240" spans="1:7" hidden="1" x14ac:dyDescent="0.25">
      <c r="A240" s="23" t="s">
        <v>144</v>
      </c>
      <c r="B240" s="23" t="s">
        <v>145</v>
      </c>
      <c r="C240" s="23" t="s">
        <v>170</v>
      </c>
      <c r="D240" s="25">
        <v>43266</v>
      </c>
      <c r="E240" s="15">
        <v>15.9</v>
      </c>
      <c r="F240" s="16">
        <v>1</v>
      </c>
      <c r="G240" s="14" t="s">
        <v>2</v>
      </c>
    </row>
    <row r="241" spans="1:7" hidden="1" x14ac:dyDescent="0.25">
      <c r="A241" s="23" t="s">
        <v>60</v>
      </c>
      <c r="B241" s="23" t="s">
        <v>136</v>
      </c>
      <c r="C241" s="23" t="s">
        <v>170</v>
      </c>
      <c r="D241" s="25">
        <v>43266</v>
      </c>
      <c r="E241" s="15">
        <v>3.45</v>
      </c>
      <c r="F241" s="16">
        <v>1</v>
      </c>
      <c r="G241" s="14" t="s">
        <v>2</v>
      </c>
    </row>
    <row r="242" spans="1:7" hidden="1" x14ac:dyDescent="0.25">
      <c r="A242" s="23" t="s">
        <v>137</v>
      </c>
      <c r="B242" s="23" t="s">
        <v>138</v>
      </c>
      <c r="C242" s="23" t="s">
        <v>170</v>
      </c>
      <c r="D242" s="25">
        <v>43266</v>
      </c>
      <c r="E242" s="15">
        <v>2.79</v>
      </c>
      <c r="F242" s="16">
        <v>1</v>
      </c>
      <c r="G242" s="14" t="s">
        <v>2</v>
      </c>
    </row>
    <row r="243" spans="1:7" hidden="1" x14ac:dyDescent="0.25">
      <c r="A243" s="23" t="s">
        <v>14</v>
      </c>
      <c r="B243" s="23" t="s">
        <v>36</v>
      </c>
      <c r="C243" s="23" t="s">
        <v>170</v>
      </c>
      <c r="D243" s="25">
        <v>43266</v>
      </c>
      <c r="E243" s="15">
        <v>10.99</v>
      </c>
      <c r="F243" s="16">
        <v>1</v>
      </c>
      <c r="G243" s="14" t="s">
        <v>2</v>
      </c>
    </row>
    <row r="244" spans="1:7" hidden="1" x14ac:dyDescent="0.25">
      <c r="A244" s="23" t="s">
        <v>13</v>
      </c>
      <c r="B244" s="23" t="s">
        <v>35</v>
      </c>
      <c r="C244" s="23" t="s">
        <v>170</v>
      </c>
      <c r="D244" s="25">
        <v>43266</v>
      </c>
      <c r="E244" s="15">
        <v>12.98</v>
      </c>
      <c r="F244" s="16">
        <v>1</v>
      </c>
      <c r="G244" s="14" t="s">
        <v>2</v>
      </c>
    </row>
    <row r="245" spans="1:7" hidden="1" x14ac:dyDescent="0.25">
      <c r="A245" s="23" t="s">
        <v>142</v>
      </c>
      <c r="B245" s="23" t="s">
        <v>143</v>
      </c>
      <c r="C245" s="23" t="s">
        <v>170</v>
      </c>
      <c r="D245" s="25">
        <v>43266</v>
      </c>
      <c r="E245" s="15">
        <v>9.5500000000000007</v>
      </c>
      <c r="F245" s="16">
        <v>2</v>
      </c>
      <c r="G245" s="14" t="s">
        <v>2</v>
      </c>
    </row>
    <row r="246" spans="1:7" hidden="1" x14ac:dyDescent="0.25">
      <c r="A246" s="23" t="s">
        <v>128</v>
      </c>
      <c r="B246" s="23" t="s">
        <v>129</v>
      </c>
      <c r="C246" s="23" t="s">
        <v>150</v>
      </c>
      <c r="D246" s="25">
        <v>43266</v>
      </c>
      <c r="E246" s="15">
        <v>9.9</v>
      </c>
      <c r="F246" s="16">
        <v>1</v>
      </c>
      <c r="G246" s="14" t="s">
        <v>2</v>
      </c>
    </row>
    <row r="247" spans="1:7" hidden="1" x14ac:dyDescent="0.25">
      <c r="A247" s="23" t="s">
        <v>5</v>
      </c>
      <c r="B247" s="23" t="s">
        <v>27</v>
      </c>
      <c r="C247" s="23" t="s">
        <v>150</v>
      </c>
      <c r="D247" s="25">
        <v>43266</v>
      </c>
      <c r="E247" s="15">
        <v>1.99</v>
      </c>
      <c r="F247" s="16">
        <v>1</v>
      </c>
      <c r="G247" s="14" t="s">
        <v>2</v>
      </c>
    </row>
    <row r="248" spans="1:7" hidden="1" x14ac:dyDescent="0.25">
      <c r="A248" s="23" t="s">
        <v>47</v>
      </c>
      <c r="B248" s="23" t="s">
        <v>26</v>
      </c>
      <c r="C248" s="23" t="s">
        <v>150</v>
      </c>
      <c r="D248" s="25">
        <v>43266</v>
      </c>
      <c r="E248" s="15">
        <v>13.9</v>
      </c>
      <c r="F248" s="16">
        <v>1</v>
      </c>
      <c r="G248" s="14" t="s">
        <v>2</v>
      </c>
    </row>
    <row r="249" spans="1:7" hidden="1" x14ac:dyDescent="0.25">
      <c r="A249" s="23" t="s">
        <v>115</v>
      </c>
      <c r="B249" s="23" t="s">
        <v>116</v>
      </c>
      <c r="C249" s="23" t="s">
        <v>150</v>
      </c>
      <c r="D249" s="25">
        <v>43266</v>
      </c>
      <c r="E249" s="15">
        <v>8.99</v>
      </c>
      <c r="F249" s="16">
        <v>1</v>
      </c>
      <c r="G249" s="14" t="s">
        <v>2</v>
      </c>
    </row>
    <row r="250" spans="1:7" hidden="1" x14ac:dyDescent="0.25">
      <c r="A250" s="23" t="s">
        <v>133</v>
      </c>
      <c r="B250" s="23" t="s">
        <v>134</v>
      </c>
      <c r="C250" s="23" t="s">
        <v>150</v>
      </c>
      <c r="D250" s="25">
        <v>43266</v>
      </c>
      <c r="E250" s="15">
        <v>5.29</v>
      </c>
      <c r="F250" s="16">
        <v>4</v>
      </c>
      <c r="G250" s="14" t="s">
        <v>2</v>
      </c>
    </row>
    <row r="251" spans="1:7" hidden="1" x14ac:dyDescent="0.25">
      <c r="A251" s="23" t="s">
        <v>18</v>
      </c>
      <c r="B251" s="23" t="s">
        <v>68</v>
      </c>
      <c r="C251" s="23" t="s">
        <v>150</v>
      </c>
      <c r="D251" s="25">
        <v>43266</v>
      </c>
      <c r="E251" s="15">
        <v>1.89</v>
      </c>
      <c r="F251" s="16">
        <v>2</v>
      </c>
      <c r="G251" s="14" t="s">
        <v>2</v>
      </c>
    </row>
    <row r="252" spans="1:7" hidden="1" x14ac:dyDescent="0.25">
      <c r="A252" s="23" t="s">
        <v>7</v>
      </c>
      <c r="B252" s="23" t="s">
        <v>33</v>
      </c>
      <c r="C252" s="23" t="s">
        <v>150</v>
      </c>
      <c r="D252" s="25">
        <v>43266</v>
      </c>
      <c r="E252" s="15">
        <v>1.49</v>
      </c>
      <c r="F252" s="16">
        <v>3</v>
      </c>
      <c r="G252" s="14" t="s">
        <v>2</v>
      </c>
    </row>
    <row r="253" spans="1:7" hidden="1" x14ac:dyDescent="0.25">
      <c r="A253" s="23" t="s">
        <v>71</v>
      </c>
      <c r="B253" s="23" t="s">
        <v>70</v>
      </c>
      <c r="C253" s="23" t="s">
        <v>150</v>
      </c>
      <c r="D253" s="25">
        <v>43266</v>
      </c>
      <c r="E253" s="15">
        <v>1.59</v>
      </c>
      <c r="F253" s="16">
        <v>1</v>
      </c>
      <c r="G253" s="14" t="s">
        <v>2</v>
      </c>
    </row>
    <row r="254" spans="1:7" hidden="1" x14ac:dyDescent="0.25">
      <c r="A254" s="23" t="s">
        <v>121</v>
      </c>
      <c r="B254" s="23" t="s">
        <v>122</v>
      </c>
      <c r="C254" s="23" t="s">
        <v>150</v>
      </c>
      <c r="D254" s="25">
        <v>43266</v>
      </c>
      <c r="E254" s="15">
        <v>2.89</v>
      </c>
      <c r="F254" s="16">
        <v>1</v>
      </c>
      <c r="G254" s="14" t="s">
        <v>2</v>
      </c>
    </row>
    <row r="255" spans="1:7" hidden="1" x14ac:dyDescent="0.25">
      <c r="A255" s="23" t="s">
        <v>3</v>
      </c>
      <c r="B255" s="23" t="s">
        <v>26</v>
      </c>
      <c r="C255" s="23" t="s">
        <v>150</v>
      </c>
      <c r="D255" s="25">
        <v>43266</v>
      </c>
      <c r="E255" s="15">
        <v>3.99</v>
      </c>
      <c r="F255" s="16">
        <v>3</v>
      </c>
      <c r="G255" s="14" t="s">
        <v>2</v>
      </c>
    </row>
    <row r="256" spans="1:7" hidden="1" x14ac:dyDescent="0.25">
      <c r="A256" s="23" t="s">
        <v>132</v>
      </c>
      <c r="B256" s="23" t="s">
        <v>123</v>
      </c>
      <c r="C256" s="23" t="s">
        <v>150</v>
      </c>
      <c r="D256" s="25">
        <v>43266</v>
      </c>
      <c r="E256" s="15">
        <v>2.89</v>
      </c>
      <c r="F256" s="16">
        <v>1</v>
      </c>
      <c r="G256" s="14" t="s">
        <v>2</v>
      </c>
    </row>
    <row r="257" spans="1:7" hidden="1" x14ac:dyDescent="0.25">
      <c r="A257" s="23" t="s">
        <v>130</v>
      </c>
      <c r="B257" s="23" t="s">
        <v>131</v>
      </c>
      <c r="C257" s="23" t="s">
        <v>150</v>
      </c>
      <c r="D257" s="25">
        <v>43266</v>
      </c>
      <c r="E257" s="15">
        <v>9.0500000000000007</v>
      </c>
      <c r="F257" s="16">
        <v>1</v>
      </c>
      <c r="G257" s="14" t="s">
        <v>2</v>
      </c>
    </row>
    <row r="258" spans="1:7" hidden="1" x14ac:dyDescent="0.25">
      <c r="A258" s="23" t="s">
        <v>94</v>
      </c>
      <c r="B258" s="23" t="s">
        <v>124</v>
      </c>
      <c r="C258" s="23" t="s">
        <v>150</v>
      </c>
      <c r="D258" s="25">
        <v>43266</v>
      </c>
      <c r="E258" s="15">
        <v>3.29</v>
      </c>
      <c r="F258" s="16">
        <v>12</v>
      </c>
      <c r="G258" s="14" t="s">
        <v>2</v>
      </c>
    </row>
    <row r="259" spans="1:7" hidden="1" x14ac:dyDescent="0.25">
      <c r="A259" s="23" t="s">
        <v>17</v>
      </c>
      <c r="B259" s="23" t="s">
        <v>37</v>
      </c>
      <c r="C259" s="23" t="s">
        <v>150</v>
      </c>
      <c r="D259" s="25">
        <v>43266</v>
      </c>
      <c r="E259" s="15">
        <v>4.49</v>
      </c>
      <c r="F259" s="16">
        <v>1</v>
      </c>
      <c r="G259" s="14" t="s">
        <v>2</v>
      </c>
    </row>
    <row r="260" spans="1:7" hidden="1" x14ac:dyDescent="0.25">
      <c r="A260" s="23" t="s">
        <v>125</v>
      </c>
      <c r="B260" s="23" t="s">
        <v>126</v>
      </c>
      <c r="C260" s="23" t="s">
        <v>150</v>
      </c>
      <c r="D260" s="25">
        <v>43266</v>
      </c>
      <c r="E260" s="15">
        <v>1.39</v>
      </c>
      <c r="F260" s="16">
        <v>3</v>
      </c>
      <c r="G260" s="14" t="s">
        <v>2</v>
      </c>
    </row>
    <row r="261" spans="1:7" hidden="1" x14ac:dyDescent="0.25">
      <c r="A261" s="23" t="s">
        <v>127</v>
      </c>
      <c r="B261" s="23" t="s">
        <v>126</v>
      </c>
      <c r="C261" s="23" t="s">
        <v>150</v>
      </c>
      <c r="D261" s="25">
        <v>43266</v>
      </c>
      <c r="E261" s="15">
        <v>2.15</v>
      </c>
      <c r="F261" s="16">
        <v>1</v>
      </c>
      <c r="G261" s="14" t="s">
        <v>2</v>
      </c>
    </row>
    <row r="262" spans="1:7" hidden="1" x14ac:dyDescent="0.25">
      <c r="A262" s="23" t="s">
        <v>10</v>
      </c>
      <c r="B262" s="23" t="s">
        <v>34</v>
      </c>
      <c r="C262" s="23" t="s">
        <v>150</v>
      </c>
      <c r="D262" s="25">
        <v>43266</v>
      </c>
      <c r="E262" s="15">
        <v>4.99</v>
      </c>
      <c r="F262" s="16">
        <v>1</v>
      </c>
      <c r="G262" s="14" t="s">
        <v>2</v>
      </c>
    </row>
    <row r="263" spans="1:7" hidden="1" x14ac:dyDescent="0.25">
      <c r="A263" s="23" t="s">
        <v>97</v>
      </c>
      <c r="B263" s="23" t="s">
        <v>32</v>
      </c>
      <c r="C263" s="23" t="s">
        <v>150</v>
      </c>
      <c r="D263" s="25">
        <v>43266</v>
      </c>
      <c r="E263" s="15">
        <v>3.39</v>
      </c>
      <c r="F263" s="16">
        <v>2</v>
      </c>
      <c r="G263" s="14" t="s">
        <v>2</v>
      </c>
    </row>
    <row r="264" spans="1:7" hidden="1" x14ac:dyDescent="0.25">
      <c r="A264" s="23" t="s">
        <v>24</v>
      </c>
      <c r="B264" s="23" t="s">
        <v>44</v>
      </c>
      <c r="C264" s="23" t="s">
        <v>150</v>
      </c>
      <c r="D264" s="25">
        <v>43266</v>
      </c>
      <c r="E264" s="15">
        <v>1.99</v>
      </c>
      <c r="F264" s="16">
        <v>3</v>
      </c>
      <c r="G264" s="14" t="s">
        <v>2</v>
      </c>
    </row>
    <row r="265" spans="1:7" hidden="1" x14ac:dyDescent="0.25">
      <c r="A265" s="23" t="s">
        <v>135</v>
      </c>
      <c r="B265" s="23" t="s">
        <v>30</v>
      </c>
      <c r="C265" s="23" t="s">
        <v>150</v>
      </c>
      <c r="D265" s="25">
        <v>43266</v>
      </c>
      <c r="E265" s="15">
        <v>9.89</v>
      </c>
      <c r="F265" s="16">
        <v>1</v>
      </c>
      <c r="G265" s="14" t="s">
        <v>2</v>
      </c>
    </row>
    <row r="266" spans="1:7" hidden="1" x14ac:dyDescent="0.25">
      <c r="A266" s="23" t="s">
        <v>120</v>
      </c>
      <c r="B266" s="23" t="s">
        <v>75</v>
      </c>
      <c r="C266" s="23" t="s">
        <v>150</v>
      </c>
      <c r="D266" s="25">
        <v>43266</v>
      </c>
      <c r="E266" s="15">
        <v>9.98</v>
      </c>
      <c r="F266" s="16">
        <v>1</v>
      </c>
      <c r="G266" s="14" t="s">
        <v>2</v>
      </c>
    </row>
    <row r="267" spans="1:7" hidden="1" x14ac:dyDescent="0.25">
      <c r="A267" s="23" t="s">
        <v>174</v>
      </c>
      <c r="B267" s="23" t="s">
        <v>157</v>
      </c>
      <c r="C267" s="23" t="s">
        <v>173</v>
      </c>
      <c r="D267" s="25">
        <v>43296</v>
      </c>
      <c r="E267" s="15">
        <v>4.99</v>
      </c>
      <c r="F267" s="16">
        <v>1</v>
      </c>
      <c r="G267" s="14" t="s">
        <v>151</v>
      </c>
    </row>
    <row r="268" spans="1:7" hidden="1" x14ac:dyDescent="0.25">
      <c r="A268" s="23" t="s">
        <v>171</v>
      </c>
      <c r="B268" s="23" t="s">
        <v>172</v>
      </c>
      <c r="C268" s="23" t="s">
        <v>173</v>
      </c>
      <c r="D268" s="25">
        <v>43296</v>
      </c>
      <c r="E268" s="15">
        <v>29.99</v>
      </c>
      <c r="F268" s="16">
        <v>1</v>
      </c>
      <c r="G268" s="14" t="s">
        <v>151</v>
      </c>
    </row>
    <row r="269" spans="1:7" hidden="1" x14ac:dyDescent="0.25">
      <c r="A269" s="23" t="s">
        <v>153</v>
      </c>
      <c r="B269" s="23" t="s">
        <v>154</v>
      </c>
      <c r="C269" s="23" t="s">
        <v>170</v>
      </c>
      <c r="D269" s="25">
        <v>43296</v>
      </c>
      <c r="E269" s="15">
        <v>3.49</v>
      </c>
      <c r="F269" s="16">
        <v>1</v>
      </c>
      <c r="G269" s="14" t="s">
        <v>151</v>
      </c>
    </row>
    <row r="270" spans="1:7" hidden="1" x14ac:dyDescent="0.25">
      <c r="A270" s="23" t="s">
        <v>60</v>
      </c>
      <c r="B270" s="23" t="s">
        <v>136</v>
      </c>
      <c r="C270" s="23" t="s">
        <v>170</v>
      </c>
      <c r="D270" s="25">
        <v>43296</v>
      </c>
      <c r="E270" s="15">
        <v>3.45</v>
      </c>
      <c r="F270" s="16">
        <v>1</v>
      </c>
      <c r="G270" s="14" t="s">
        <v>151</v>
      </c>
    </row>
    <row r="271" spans="1:7" hidden="1" x14ac:dyDescent="0.25">
      <c r="A271" s="23" t="s">
        <v>14</v>
      </c>
      <c r="B271" s="23" t="s">
        <v>36</v>
      </c>
      <c r="C271" s="23" t="s">
        <v>170</v>
      </c>
      <c r="D271" s="25">
        <v>43296</v>
      </c>
      <c r="E271" s="15">
        <v>10.99</v>
      </c>
      <c r="F271" s="16">
        <v>1</v>
      </c>
      <c r="G271" s="14" t="s">
        <v>151</v>
      </c>
    </row>
    <row r="272" spans="1:7" hidden="1" x14ac:dyDescent="0.25">
      <c r="A272" s="23" t="s">
        <v>142</v>
      </c>
      <c r="B272" s="23" t="s">
        <v>143</v>
      </c>
      <c r="C272" s="23" t="s">
        <v>170</v>
      </c>
      <c r="D272" s="25">
        <v>43296</v>
      </c>
      <c r="E272" s="15">
        <v>0.99</v>
      </c>
      <c r="F272" s="16">
        <v>4</v>
      </c>
      <c r="G272" s="14" t="s">
        <v>151</v>
      </c>
    </row>
    <row r="273" spans="1:7" hidden="1" x14ac:dyDescent="0.25">
      <c r="A273" s="23" t="s">
        <v>128</v>
      </c>
      <c r="B273" s="23" t="s">
        <v>129</v>
      </c>
      <c r="C273" s="23" t="s">
        <v>150</v>
      </c>
      <c r="D273" s="25">
        <v>43296</v>
      </c>
      <c r="E273" s="15">
        <v>9.9</v>
      </c>
      <c r="F273" s="16">
        <v>1</v>
      </c>
      <c r="G273" s="14" t="s">
        <v>151</v>
      </c>
    </row>
    <row r="274" spans="1:7" hidden="1" x14ac:dyDescent="0.25">
      <c r="A274" s="23" t="s">
        <v>5</v>
      </c>
      <c r="B274" s="23" t="s">
        <v>27</v>
      </c>
      <c r="C274" s="23" t="s">
        <v>150</v>
      </c>
      <c r="D274" s="25">
        <v>43296</v>
      </c>
      <c r="E274" s="15">
        <v>1.99</v>
      </c>
      <c r="F274" s="16">
        <v>4</v>
      </c>
      <c r="G274" s="14" t="s">
        <v>151</v>
      </c>
    </row>
    <row r="275" spans="1:7" hidden="1" x14ac:dyDescent="0.25">
      <c r="A275" s="23" t="s">
        <v>160</v>
      </c>
      <c r="B275" s="23" t="s">
        <v>157</v>
      </c>
      <c r="C275" s="23" t="s">
        <v>150</v>
      </c>
      <c r="D275" s="25">
        <v>43296</v>
      </c>
      <c r="E275" s="15">
        <v>1.99</v>
      </c>
      <c r="F275" s="16">
        <v>1</v>
      </c>
      <c r="G275" s="14" t="s">
        <v>151</v>
      </c>
    </row>
    <row r="276" spans="1:7" hidden="1" x14ac:dyDescent="0.25">
      <c r="A276" s="23" t="s">
        <v>47</v>
      </c>
      <c r="B276" s="23" t="s">
        <v>26</v>
      </c>
      <c r="C276" s="23" t="s">
        <v>150</v>
      </c>
      <c r="D276" s="25">
        <v>43296</v>
      </c>
      <c r="E276" s="15">
        <v>13.9</v>
      </c>
      <c r="F276" s="16">
        <v>1</v>
      </c>
      <c r="G276" s="14" t="s">
        <v>151</v>
      </c>
    </row>
    <row r="277" spans="1:7" hidden="1" x14ac:dyDescent="0.25">
      <c r="A277" s="23" t="s">
        <v>164</v>
      </c>
      <c r="B277" s="23" t="s">
        <v>165</v>
      </c>
      <c r="C277" s="23" t="s">
        <v>150</v>
      </c>
      <c r="D277" s="25">
        <v>43296</v>
      </c>
      <c r="E277" s="15">
        <v>15</v>
      </c>
      <c r="F277" s="16">
        <v>1</v>
      </c>
      <c r="G277" s="14" t="s">
        <v>151</v>
      </c>
    </row>
    <row r="278" spans="1:7" hidden="1" x14ac:dyDescent="0.25">
      <c r="A278" s="23" t="s">
        <v>161</v>
      </c>
      <c r="B278" s="23" t="s">
        <v>157</v>
      </c>
      <c r="C278" s="23" t="s">
        <v>150</v>
      </c>
      <c r="D278" s="25">
        <v>43296</v>
      </c>
      <c r="E278" s="15">
        <v>1.99</v>
      </c>
      <c r="F278" s="16">
        <v>1</v>
      </c>
      <c r="G278" s="14" t="s">
        <v>151</v>
      </c>
    </row>
    <row r="279" spans="1:7" hidden="1" x14ac:dyDescent="0.25">
      <c r="A279" s="23" t="s">
        <v>115</v>
      </c>
      <c r="B279" s="23" t="s">
        <v>116</v>
      </c>
      <c r="C279" s="23" t="s">
        <v>150</v>
      </c>
      <c r="D279" s="25">
        <v>43296</v>
      </c>
      <c r="E279" s="15">
        <v>4.99</v>
      </c>
      <c r="F279" s="16">
        <v>1</v>
      </c>
      <c r="G279" s="14" t="s">
        <v>151</v>
      </c>
    </row>
    <row r="280" spans="1:7" hidden="1" x14ac:dyDescent="0.25">
      <c r="A280" s="23" t="s">
        <v>158</v>
      </c>
      <c r="B280" s="23" t="s">
        <v>157</v>
      </c>
      <c r="C280" s="23" t="s">
        <v>150</v>
      </c>
      <c r="D280" s="25">
        <v>43296</v>
      </c>
      <c r="E280" s="15">
        <v>17.98</v>
      </c>
      <c r="F280" s="16">
        <v>0.5</v>
      </c>
      <c r="G280" s="14" t="s">
        <v>151</v>
      </c>
    </row>
    <row r="281" spans="1:7" hidden="1" x14ac:dyDescent="0.25">
      <c r="A281" s="23" t="s">
        <v>159</v>
      </c>
      <c r="B281" s="23" t="s">
        <v>157</v>
      </c>
      <c r="C281" s="23" t="s">
        <v>150</v>
      </c>
      <c r="D281" s="25">
        <v>43296</v>
      </c>
      <c r="E281" s="15">
        <v>1.99</v>
      </c>
      <c r="F281" s="16">
        <v>1</v>
      </c>
      <c r="G281" s="14" t="s">
        <v>151</v>
      </c>
    </row>
    <row r="282" spans="1:7" hidden="1" x14ac:dyDescent="0.25">
      <c r="A282" s="23" t="s">
        <v>7</v>
      </c>
      <c r="B282" s="23" t="s">
        <v>33</v>
      </c>
      <c r="C282" s="23" t="s">
        <v>150</v>
      </c>
      <c r="D282" s="25">
        <v>43296</v>
      </c>
      <c r="E282" s="15">
        <v>1.49</v>
      </c>
      <c r="F282" s="16">
        <v>3</v>
      </c>
      <c r="G282" s="14" t="s">
        <v>151</v>
      </c>
    </row>
    <row r="283" spans="1:7" hidden="1" x14ac:dyDescent="0.25">
      <c r="A283" s="23" t="s">
        <v>162</v>
      </c>
      <c r="B283" s="23" t="s">
        <v>157</v>
      </c>
      <c r="C283" s="23" t="s">
        <v>150</v>
      </c>
      <c r="D283" s="25">
        <v>43296</v>
      </c>
      <c r="E283" s="15">
        <v>4.99</v>
      </c>
      <c r="F283" s="16">
        <v>1</v>
      </c>
      <c r="G283" s="14" t="s">
        <v>151</v>
      </c>
    </row>
    <row r="284" spans="1:7" hidden="1" x14ac:dyDescent="0.25">
      <c r="A284" s="23" t="s">
        <v>3</v>
      </c>
      <c r="B284" s="23" t="s">
        <v>26</v>
      </c>
      <c r="C284" s="23" t="s">
        <v>150</v>
      </c>
      <c r="D284" s="25">
        <v>43296</v>
      </c>
      <c r="E284" s="15">
        <v>3.99</v>
      </c>
      <c r="F284" s="16">
        <v>2</v>
      </c>
      <c r="G284" s="14" t="s">
        <v>151</v>
      </c>
    </row>
    <row r="285" spans="1:7" hidden="1" x14ac:dyDescent="0.25">
      <c r="A285" s="23" t="s">
        <v>66</v>
      </c>
      <c r="B285" s="23" t="s">
        <v>77</v>
      </c>
      <c r="C285" s="23" t="s">
        <v>150</v>
      </c>
      <c r="D285" s="25">
        <v>43296</v>
      </c>
      <c r="E285" s="15">
        <v>4.99</v>
      </c>
      <c r="F285" s="16">
        <v>1</v>
      </c>
      <c r="G285" s="14" t="s">
        <v>151</v>
      </c>
    </row>
    <row r="286" spans="1:7" hidden="1" x14ac:dyDescent="0.25">
      <c r="A286" s="23" t="s">
        <v>94</v>
      </c>
      <c r="B286" s="23" t="s">
        <v>124</v>
      </c>
      <c r="C286" s="23" t="s">
        <v>150</v>
      </c>
      <c r="D286" s="25">
        <v>43296</v>
      </c>
      <c r="E286" s="15">
        <v>3.49</v>
      </c>
      <c r="F286" s="16">
        <v>13</v>
      </c>
      <c r="G286" s="14" t="s">
        <v>151</v>
      </c>
    </row>
    <row r="287" spans="1:7" hidden="1" x14ac:dyDescent="0.25">
      <c r="A287" s="23" t="s">
        <v>152</v>
      </c>
      <c r="B287" s="23" t="s">
        <v>28</v>
      </c>
      <c r="C287" s="23" t="s">
        <v>150</v>
      </c>
      <c r="D287" s="25">
        <v>43296</v>
      </c>
      <c r="E287" s="15">
        <v>6.99</v>
      </c>
      <c r="F287" s="16">
        <v>1</v>
      </c>
      <c r="G287" s="14" t="s">
        <v>151</v>
      </c>
    </row>
    <row r="288" spans="1:7" hidden="1" x14ac:dyDescent="0.25">
      <c r="A288" s="23" t="s">
        <v>10</v>
      </c>
      <c r="B288" s="23" t="s">
        <v>34</v>
      </c>
      <c r="C288" s="23" t="s">
        <v>150</v>
      </c>
      <c r="D288" s="25">
        <v>43296</v>
      </c>
      <c r="E288" s="15">
        <v>9.99</v>
      </c>
      <c r="F288" s="16">
        <v>2</v>
      </c>
      <c r="G288" s="14" t="s">
        <v>151</v>
      </c>
    </row>
    <row r="289" spans="1:7" hidden="1" x14ac:dyDescent="0.25">
      <c r="A289" s="23" t="s">
        <v>4</v>
      </c>
      <c r="B289" s="23" t="s">
        <v>29</v>
      </c>
      <c r="C289" s="23" t="s">
        <v>150</v>
      </c>
      <c r="D289" s="25">
        <v>43296</v>
      </c>
      <c r="E289" s="15">
        <v>1.89</v>
      </c>
      <c r="F289" s="16">
        <v>4</v>
      </c>
      <c r="G289" s="14" t="s">
        <v>151</v>
      </c>
    </row>
    <row r="290" spans="1:7" hidden="1" x14ac:dyDescent="0.25">
      <c r="A290" s="23" t="s">
        <v>97</v>
      </c>
      <c r="B290" s="23" t="s">
        <v>32</v>
      </c>
      <c r="C290" s="23" t="s">
        <v>150</v>
      </c>
      <c r="D290" s="25">
        <v>43296</v>
      </c>
      <c r="E290" s="15">
        <v>3.39</v>
      </c>
      <c r="F290" s="16">
        <v>2</v>
      </c>
      <c r="G290" s="14" t="s">
        <v>151</v>
      </c>
    </row>
    <row r="291" spans="1:7" hidden="1" x14ac:dyDescent="0.25">
      <c r="A291" s="23" t="s">
        <v>169</v>
      </c>
      <c r="B291" s="23" t="s">
        <v>157</v>
      </c>
      <c r="C291" s="23" t="s">
        <v>150</v>
      </c>
      <c r="D291" s="25">
        <v>43296</v>
      </c>
      <c r="E291" s="15">
        <v>3.99</v>
      </c>
      <c r="F291" s="16">
        <v>1</v>
      </c>
      <c r="G291" s="14" t="s">
        <v>151</v>
      </c>
    </row>
    <row r="292" spans="1:7" hidden="1" x14ac:dyDescent="0.25">
      <c r="A292" s="23" t="s">
        <v>73</v>
      </c>
      <c r="B292" s="23" t="s">
        <v>155</v>
      </c>
      <c r="C292" s="23" t="s">
        <v>150</v>
      </c>
      <c r="D292" s="25">
        <v>43296</v>
      </c>
      <c r="E292" s="15">
        <v>1.79</v>
      </c>
      <c r="F292" s="16">
        <v>3.5</v>
      </c>
      <c r="G292" s="14" t="s">
        <v>151</v>
      </c>
    </row>
    <row r="293" spans="1:7" hidden="1" x14ac:dyDescent="0.25">
      <c r="A293" s="23" t="s">
        <v>156</v>
      </c>
      <c r="B293" s="23" t="s">
        <v>157</v>
      </c>
      <c r="C293" s="23" t="s">
        <v>150</v>
      </c>
      <c r="D293" s="25">
        <v>43296</v>
      </c>
      <c r="E293" s="15">
        <v>2.69</v>
      </c>
      <c r="F293" s="16">
        <v>4</v>
      </c>
      <c r="G293" s="14" t="s">
        <v>151</v>
      </c>
    </row>
    <row r="294" spans="1:7" hidden="1" x14ac:dyDescent="0.25">
      <c r="A294" s="23" t="s">
        <v>67</v>
      </c>
      <c r="B294" s="23" t="s">
        <v>108</v>
      </c>
      <c r="C294" s="23" t="s">
        <v>150</v>
      </c>
      <c r="D294" s="25">
        <v>43296</v>
      </c>
      <c r="E294" s="15">
        <v>4.99</v>
      </c>
      <c r="F294" s="16">
        <v>1</v>
      </c>
      <c r="G294" s="14" t="s">
        <v>151</v>
      </c>
    </row>
    <row r="295" spans="1:7" hidden="1" x14ac:dyDescent="0.25">
      <c r="A295" s="23" t="s">
        <v>163</v>
      </c>
      <c r="B295" s="23" t="s">
        <v>168</v>
      </c>
      <c r="C295" s="23" t="s">
        <v>150</v>
      </c>
      <c r="D295" s="25">
        <v>43296</v>
      </c>
      <c r="E295" s="15">
        <v>3.19</v>
      </c>
      <c r="F295" s="16">
        <v>1</v>
      </c>
      <c r="G295" s="14" t="s">
        <v>151</v>
      </c>
    </row>
    <row r="296" spans="1:7" hidden="1" x14ac:dyDescent="0.25">
      <c r="A296" s="23" t="s">
        <v>166</v>
      </c>
      <c r="B296" s="23" t="s">
        <v>167</v>
      </c>
      <c r="C296" s="23" t="s">
        <v>150</v>
      </c>
      <c r="D296" s="25">
        <v>43296</v>
      </c>
      <c r="E296" s="15">
        <v>16.989999999999998</v>
      </c>
      <c r="F296" s="16">
        <v>1</v>
      </c>
      <c r="G296" s="14" t="s">
        <v>151</v>
      </c>
    </row>
    <row r="297" spans="1:7" x14ac:dyDescent="0.25">
      <c r="A297" s="23" t="s">
        <v>5</v>
      </c>
      <c r="B297" s="23" t="s">
        <v>27</v>
      </c>
      <c r="C297" s="23" t="s">
        <v>173</v>
      </c>
      <c r="D297" s="25">
        <v>43327</v>
      </c>
      <c r="E297" s="15">
        <v>1.99</v>
      </c>
      <c r="F297" s="16">
        <v>2</v>
      </c>
      <c r="G297" s="14" t="s">
        <v>151</v>
      </c>
    </row>
    <row r="298" spans="1:7" x14ac:dyDescent="0.25">
      <c r="A298" s="23" t="s">
        <v>175</v>
      </c>
      <c r="B298" s="23" t="s">
        <v>26</v>
      </c>
      <c r="C298" s="23" t="s">
        <v>173</v>
      </c>
      <c r="D298" s="25">
        <v>43327</v>
      </c>
      <c r="E298" s="15">
        <v>13.97</v>
      </c>
      <c r="F298" s="16">
        <v>1</v>
      </c>
      <c r="G298" s="14" t="s">
        <v>151</v>
      </c>
    </row>
    <row r="299" spans="1:7" x14ac:dyDescent="0.25">
      <c r="A299" s="23" t="s">
        <v>180</v>
      </c>
      <c r="B299" s="23" t="s">
        <v>165</v>
      </c>
      <c r="C299" s="23" t="s">
        <v>173</v>
      </c>
      <c r="D299" s="25">
        <v>43327</v>
      </c>
      <c r="E299" s="15">
        <v>16.989999999999998</v>
      </c>
      <c r="F299" s="16">
        <v>1</v>
      </c>
      <c r="G299" s="14" t="s">
        <v>151</v>
      </c>
    </row>
    <row r="300" spans="1:7" x14ac:dyDescent="0.25">
      <c r="A300" s="23" t="s">
        <v>181</v>
      </c>
      <c r="B300" s="23" t="s">
        <v>116</v>
      </c>
      <c r="C300" s="23" t="s">
        <v>173</v>
      </c>
      <c r="D300" s="25">
        <v>43327</v>
      </c>
      <c r="E300" s="15">
        <v>8.7899999999999991</v>
      </c>
      <c r="F300" s="16">
        <v>1</v>
      </c>
      <c r="G300" s="14" t="s">
        <v>151</v>
      </c>
    </row>
    <row r="301" spans="1:7" x14ac:dyDescent="0.25">
      <c r="A301" s="23" t="s">
        <v>18</v>
      </c>
      <c r="B301" s="23" t="s">
        <v>68</v>
      </c>
      <c r="C301" s="23" t="s">
        <v>173</v>
      </c>
      <c r="D301" s="25">
        <v>43327</v>
      </c>
      <c r="E301" s="15">
        <v>2.19</v>
      </c>
      <c r="F301" s="16">
        <v>2</v>
      </c>
      <c r="G301" s="14" t="s">
        <v>151</v>
      </c>
    </row>
    <row r="302" spans="1:7" x14ac:dyDescent="0.25">
      <c r="A302" s="23" t="s">
        <v>197</v>
      </c>
      <c r="B302" s="23" t="s">
        <v>85</v>
      </c>
      <c r="C302" s="23" t="s">
        <v>173</v>
      </c>
      <c r="D302" s="25">
        <v>43327</v>
      </c>
      <c r="E302" s="15">
        <v>6.99</v>
      </c>
      <c r="F302" s="16">
        <v>1</v>
      </c>
      <c r="G302" s="14" t="s">
        <v>151</v>
      </c>
    </row>
    <row r="303" spans="1:7" x14ac:dyDescent="0.25">
      <c r="A303" s="23" t="s">
        <v>3</v>
      </c>
      <c r="B303" s="23" t="s">
        <v>26</v>
      </c>
      <c r="C303" s="23" t="s">
        <v>173</v>
      </c>
      <c r="D303" s="25">
        <v>43327</v>
      </c>
      <c r="E303" s="15">
        <v>3.99</v>
      </c>
      <c r="F303" s="16">
        <v>1</v>
      </c>
      <c r="G303" s="14" t="s">
        <v>151</v>
      </c>
    </row>
    <row r="304" spans="1:7" x14ac:dyDescent="0.25">
      <c r="A304" s="23" t="s">
        <v>94</v>
      </c>
      <c r="B304" s="23" t="s">
        <v>75</v>
      </c>
      <c r="C304" s="23" t="s">
        <v>173</v>
      </c>
      <c r="D304" s="25">
        <v>43327</v>
      </c>
      <c r="E304" s="15">
        <v>2.79</v>
      </c>
      <c r="F304" s="16">
        <v>12</v>
      </c>
      <c r="G304" s="14" t="s">
        <v>151</v>
      </c>
    </row>
    <row r="305" spans="1:7" x14ac:dyDescent="0.25">
      <c r="A305" s="23" t="s">
        <v>17</v>
      </c>
      <c r="B305" s="23" t="s">
        <v>37</v>
      </c>
      <c r="C305" s="23" t="s">
        <v>173</v>
      </c>
      <c r="D305" s="25">
        <v>43327</v>
      </c>
      <c r="E305" s="15">
        <v>4.8899999999999997</v>
      </c>
      <c r="F305" s="16">
        <v>2</v>
      </c>
      <c r="G305" s="14" t="s">
        <v>151</v>
      </c>
    </row>
    <row r="306" spans="1:7" x14ac:dyDescent="0.25">
      <c r="A306" s="23" t="s">
        <v>186</v>
      </c>
      <c r="B306" s="23" t="s">
        <v>187</v>
      </c>
      <c r="C306" s="23" t="s">
        <v>173</v>
      </c>
      <c r="D306" s="25">
        <v>43327</v>
      </c>
      <c r="E306" s="15">
        <v>10.5</v>
      </c>
      <c r="F306" s="16">
        <v>1</v>
      </c>
      <c r="G306" s="14" t="s">
        <v>151</v>
      </c>
    </row>
    <row r="307" spans="1:7" x14ac:dyDescent="0.25">
      <c r="A307" s="23" t="s">
        <v>183</v>
      </c>
      <c r="B307" s="23" t="s">
        <v>184</v>
      </c>
      <c r="C307" s="23" t="s">
        <v>173</v>
      </c>
      <c r="D307" s="25">
        <v>43327</v>
      </c>
      <c r="E307" s="15">
        <v>10.99</v>
      </c>
      <c r="F307" s="16">
        <v>1</v>
      </c>
      <c r="G307" s="14" t="s">
        <v>151</v>
      </c>
    </row>
    <row r="308" spans="1:7" x14ac:dyDescent="0.25">
      <c r="A308" s="23" t="s">
        <v>185</v>
      </c>
      <c r="B308" s="23" t="s">
        <v>34</v>
      </c>
      <c r="C308" s="23" t="s">
        <v>173</v>
      </c>
      <c r="D308" s="25">
        <v>43327</v>
      </c>
      <c r="E308" s="15">
        <v>6.99</v>
      </c>
      <c r="F308" s="16">
        <v>1</v>
      </c>
      <c r="G308" s="14" t="s">
        <v>151</v>
      </c>
    </row>
    <row r="309" spans="1:7" x14ac:dyDescent="0.25">
      <c r="A309" s="23" t="s">
        <v>196</v>
      </c>
      <c r="B309" s="23" t="s">
        <v>70</v>
      </c>
      <c r="C309" s="23" t="s">
        <v>173</v>
      </c>
      <c r="D309" s="25">
        <v>43327</v>
      </c>
      <c r="E309" s="15">
        <v>1.59</v>
      </c>
      <c r="F309" s="16">
        <v>2</v>
      </c>
      <c r="G309" s="14" t="s">
        <v>151</v>
      </c>
    </row>
    <row r="310" spans="1:7" x14ac:dyDescent="0.25">
      <c r="A310" s="23" t="s">
        <v>97</v>
      </c>
      <c r="B310" s="23" t="s">
        <v>32</v>
      </c>
      <c r="C310" s="23" t="s">
        <v>173</v>
      </c>
      <c r="D310" s="25">
        <v>43327</v>
      </c>
      <c r="E310" s="15">
        <v>3.99</v>
      </c>
      <c r="F310" s="16">
        <v>2</v>
      </c>
      <c r="G310" s="14" t="s">
        <v>151</v>
      </c>
    </row>
    <row r="311" spans="1:7" x14ac:dyDescent="0.25">
      <c r="A311" s="23" t="s">
        <v>190</v>
      </c>
      <c r="B311" s="23" t="s">
        <v>178</v>
      </c>
      <c r="C311" s="23" t="s">
        <v>173</v>
      </c>
      <c r="D311" s="25">
        <v>43327</v>
      </c>
      <c r="E311" s="15">
        <v>1.79</v>
      </c>
      <c r="F311" s="16">
        <v>6</v>
      </c>
      <c r="G311" s="14" t="s">
        <v>151</v>
      </c>
    </row>
    <row r="312" spans="1:7" x14ac:dyDescent="0.25">
      <c r="A312" s="23" t="s">
        <v>191</v>
      </c>
      <c r="B312" s="23" t="s">
        <v>178</v>
      </c>
      <c r="C312" s="23" t="s">
        <v>173</v>
      </c>
      <c r="D312" s="25">
        <v>43327</v>
      </c>
      <c r="E312" s="15">
        <v>1.69</v>
      </c>
      <c r="F312" s="16">
        <v>6</v>
      </c>
      <c r="G312" s="14" t="s">
        <v>151</v>
      </c>
    </row>
    <row r="313" spans="1:7" x14ac:dyDescent="0.25">
      <c r="A313" s="23" t="s">
        <v>19</v>
      </c>
      <c r="B313" s="23" t="s">
        <v>38</v>
      </c>
      <c r="C313" s="23" t="s">
        <v>173</v>
      </c>
      <c r="D313" s="25">
        <v>43327</v>
      </c>
      <c r="E313" s="15">
        <v>1.99</v>
      </c>
      <c r="F313" s="16">
        <v>1</v>
      </c>
      <c r="G313" s="14" t="s">
        <v>151</v>
      </c>
    </row>
    <row r="314" spans="1:7" x14ac:dyDescent="0.25">
      <c r="A314" s="23" t="s">
        <v>120</v>
      </c>
      <c r="B314" s="23" t="s">
        <v>75</v>
      </c>
      <c r="C314" s="23" t="s">
        <v>173</v>
      </c>
      <c r="D314" s="25">
        <v>43327</v>
      </c>
      <c r="E314" s="15">
        <v>10.9</v>
      </c>
      <c r="F314" s="16">
        <v>1</v>
      </c>
      <c r="G314" s="14" t="s">
        <v>151</v>
      </c>
    </row>
    <row r="315" spans="1:7" x14ac:dyDescent="0.25">
      <c r="A315" s="23" t="s">
        <v>100</v>
      </c>
      <c r="B315" s="23" t="s">
        <v>192</v>
      </c>
      <c r="C315" s="23" t="s">
        <v>176</v>
      </c>
      <c r="D315" s="25">
        <v>43327</v>
      </c>
      <c r="E315" s="15">
        <v>4.99</v>
      </c>
      <c r="F315" s="16">
        <v>1</v>
      </c>
      <c r="G315" s="14" t="s">
        <v>151</v>
      </c>
    </row>
    <row r="316" spans="1:7" x14ac:dyDescent="0.25">
      <c r="A316" s="23" t="s">
        <v>194</v>
      </c>
      <c r="B316" s="23" t="s">
        <v>193</v>
      </c>
      <c r="C316" s="23" t="s">
        <v>176</v>
      </c>
      <c r="D316" s="25">
        <v>43327</v>
      </c>
      <c r="E316" s="15">
        <v>19.989999999999998</v>
      </c>
      <c r="F316" s="16">
        <v>1</v>
      </c>
      <c r="G316" s="14" t="s">
        <v>151</v>
      </c>
    </row>
    <row r="317" spans="1:7" x14ac:dyDescent="0.25">
      <c r="A317" s="23" t="s">
        <v>13</v>
      </c>
      <c r="B317" s="23" t="s">
        <v>195</v>
      </c>
      <c r="C317" s="23" t="s">
        <v>176</v>
      </c>
      <c r="D317" s="25">
        <v>43327</v>
      </c>
      <c r="E317" s="15">
        <v>3.99</v>
      </c>
      <c r="F317" s="16">
        <v>1</v>
      </c>
      <c r="G317" s="14" t="s">
        <v>151</v>
      </c>
    </row>
    <row r="318" spans="1:7" x14ac:dyDescent="0.25">
      <c r="A318" s="23" t="s">
        <v>6</v>
      </c>
      <c r="B318" s="23" t="s">
        <v>143</v>
      </c>
      <c r="C318" s="23" t="s">
        <v>176</v>
      </c>
      <c r="D318" s="25">
        <v>43327</v>
      </c>
      <c r="E318" s="15">
        <v>0.95</v>
      </c>
      <c r="F318" s="16">
        <v>7</v>
      </c>
      <c r="G318" s="14" t="s">
        <v>151</v>
      </c>
    </row>
    <row r="319" spans="1:7" x14ac:dyDescent="0.25">
      <c r="A319" s="23" t="s">
        <v>160</v>
      </c>
      <c r="B319" s="23" t="s">
        <v>179</v>
      </c>
      <c r="C319" s="23" t="s">
        <v>177</v>
      </c>
      <c r="D319" s="25">
        <v>43327</v>
      </c>
      <c r="E319" s="15">
        <v>2.99</v>
      </c>
      <c r="F319" s="16">
        <v>2</v>
      </c>
      <c r="G319" s="14" t="s">
        <v>151</v>
      </c>
    </row>
    <row r="320" spans="1:7" x14ac:dyDescent="0.25">
      <c r="A320" s="23" t="s">
        <v>159</v>
      </c>
      <c r="B320" s="23" t="s">
        <v>178</v>
      </c>
      <c r="C320" s="23" t="s">
        <v>177</v>
      </c>
      <c r="D320" s="25">
        <v>43327</v>
      </c>
      <c r="E320" s="15">
        <v>1.99</v>
      </c>
      <c r="F320" s="16">
        <v>1</v>
      </c>
      <c r="G320" s="14" t="s">
        <v>151</v>
      </c>
    </row>
    <row r="321" spans="1:7" x14ac:dyDescent="0.25">
      <c r="A321" s="23" t="s">
        <v>182</v>
      </c>
      <c r="B321" s="23" t="s">
        <v>178</v>
      </c>
      <c r="C321" s="23" t="s">
        <v>177</v>
      </c>
      <c r="D321" s="25">
        <v>43327</v>
      </c>
      <c r="E321" s="15">
        <v>5.99</v>
      </c>
      <c r="F321" s="16">
        <v>2</v>
      </c>
      <c r="G321" s="14" t="s">
        <v>151</v>
      </c>
    </row>
    <row r="322" spans="1:7" x14ac:dyDescent="0.25">
      <c r="A322" s="23" t="s">
        <v>188</v>
      </c>
      <c r="B322" s="23" t="s">
        <v>172</v>
      </c>
      <c r="C322" s="23" t="s">
        <v>189</v>
      </c>
      <c r="D322" s="25">
        <v>43327</v>
      </c>
      <c r="E322" s="15">
        <v>12</v>
      </c>
      <c r="F322" s="16">
        <v>2</v>
      </c>
      <c r="G322" s="14" t="s">
        <v>151</v>
      </c>
    </row>
  </sheetData>
  <conditionalFormatting sqref="B2">
    <cfRule type="cellIs" dxfId="20" priority="1" operator="greaterThan">
      <formula>0</formula>
    </cfRule>
    <cfRule type="cellIs" dxfId="19" priority="2" operator="lessThan">
      <formula>0</formula>
    </cfRule>
  </conditionalFormatting>
  <dataValidations count="2">
    <dataValidation type="list" allowBlank="1" showInputMessage="1" showErrorMessage="1" sqref="C8:C322" xr:uid="{C0CAF938-664A-4715-A485-466477AADAE9}">
      <formula1>CATEGORIA</formula1>
    </dataValidation>
    <dataValidation type="list" showInputMessage="1" showErrorMessage="1" sqref="G8:G322" xr:uid="{20450B6E-34CC-4555-96C0-87A5F5A20EFB}">
      <formula1>"COMPRADO,NÃO COMPRADO"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horizontalDpi="4294967293" verticalDpi="4294967293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promptTitle="Auxílio" prompt="1 MERCEARIA _x000a_2 HIGIENTE&amp;LIMP_x000a_3 FLV _x000a_" xr:uid="{A8D82791-DFD8-43B3-B0A2-1BE0D1A7E2A0}">
          <x14:formula1>
            <xm:f>Apoios!$D$2:$D$5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1528F-C4A2-4454-9131-CB551E60F688}">
  <sheetPr codeName="wsApoios">
    <tabColor theme="4" tint="-0.499984740745262"/>
  </sheetPr>
  <dimension ref="A1:E9"/>
  <sheetViews>
    <sheetView showGridLines="0" workbookViewId="0">
      <selection activeCell="G8" sqref="G8"/>
    </sheetView>
  </sheetViews>
  <sheetFormatPr defaultRowHeight="15" x14ac:dyDescent="0.25"/>
  <cols>
    <col min="1" max="1" width="13.5703125" bestFit="1" customWidth="1"/>
    <col min="2" max="2" width="16.85546875" bestFit="1" customWidth="1"/>
    <col min="4" max="4" width="10.7109375" bestFit="1" customWidth="1"/>
    <col min="5" max="5" width="19.28515625" bestFit="1" customWidth="1"/>
  </cols>
  <sheetData>
    <row r="1" spans="1:5" x14ac:dyDescent="0.25">
      <c r="A1" s="6" t="s">
        <v>21</v>
      </c>
      <c r="B1" s="6" t="s">
        <v>22</v>
      </c>
      <c r="D1" s="6" t="s">
        <v>148</v>
      </c>
      <c r="E1" s="6" t="s">
        <v>149</v>
      </c>
    </row>
    <row r="2" spans="1:5" x14ac:dyDescent="0.25">
      <c r="A2" s="7">
        <v>43115</v>
      </c>
      <c r="B2" s="4">
        <v>207</v>
      </c>
      <c r="D2" s="26">
        <v>1</v>
      </c>
      <c r="E2" s="4" t="str">
        <f>tbSessao[[#This Row],[ID]]&amp; "."&amp;  "MERCEARIA"</f>
        <v>1.MERCEARIA</v>
      </c>
    </row>
    <row r="3" spans="1:5" x14ac:dyDescent="0.25">
      <c r="A3" s="7">
        <v>43146</v>
      </c>
      <c r="B3" s="4">
        <v>208.05</v>
      </c>
      <c r="D3" s="26">
        <v>2</v>
      </c>
      <c r="E3" s="4" t="str">
        <f>tbSessao[[#This Row],[ID]]&amp; "."&amp;  "HIGIENE E LIMPEZA"</f>
        <v>2.HIGIENE E LIMPEZA</v>
      </c>
    </row>
    <row r="4" spans="1:5" x14ac:dyDescent="0.25">
      <c r="A4" s="7">
        <v>43174</v>
      </c>
      <c r="B4" s="4">
        <v>204.03</v>
      </c>
      <c r="D4" s="26">
        <v>3</v>
      </c>
      <c r="E4" s="4" t="str">
        <f>tbSessao[[#This Row],[ID]]&amp; "."&amp;  "FLV"</f>
        <v>3.FLV</v>
      </c>
    </row>
    <row r="5" spans="1:5" x14ac:dyDescent="0.25">
      <c r="A5" s="7">
        <v>43205</v>
      </c>
      <c r="B5" s="4">
        <v>215.64000000000001</v>
      </c>
      <c r="D5" s="26">
        <v>4</v>
      </c>
      <c r="E5" s="4" t="str">
        <f>tbSessao[[#This Row],[ID]]&amp; "."&amp;  "OUTROS"</f>
        <v>4.OUTROS</v>
      </c>
    </row>
    <row r="6" spans="1:5" x14ac:dyDescent="0.25">
      <c r="A6" s="7">
        <v>43235</v>
      </c>
      <c r="B6" s="4">
        <v>210</v>
      </c>
    </row>
    <row r="7" spans="1:5" x14ac:dyDescent="0.25">
      <c r="A7" s="7">
        <v>43266</v>
      </c>
      <c r="B7" s="4">
        <v>211</v>
      </c>
    </row>
    <row r="8" spans="1:5" x14ac:dyDescent="0.25">
      <c r="A8" s="7">
        <v>43296</v>
      </c>
      <c r="B8" s="4">
        <v>209.79</v>
      </c>
    </row>
    <row r="9" spans="1:5" x14ac:dyDescent="0.25">
      <c r="A9" s="7">
        <v>43327</v>
      </c>
      <c r="B9" s="4">
        <v>210.42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7F411E3E-4219-4B1C-8924-7DF4E1BEB0B3}">
  <ds:schemaRefs/>
</ds:datastoreItem>
</file>

<file path=customXml/itemProps2.xml><?xml version="1.0" encoding="utf-8"?>
<ds:datastoreItem xmlns:ds="http://schemas.openxmlformats.org/officeDocument/2006/customXml" ds:itemID="{971D2D37-E558-4C0A-ADAE-51889CF0A36C}">
  <ds:schemaRefs/>
</ds:datastoreItem>
</file>

<file path=customXml/itemProps3.xml><?xml version="1.0" encoding="utf-8"?>
<ds:datastoreItem xmlns:ds="http://schemas.openxmlformats.org/officeDocument/2006/customXml" ds:itemID="{094C6EC2-530E-4A5E-95D2-3A5BAA9C1541}">
  <ds:schemaRefs>
    <ds:schemaRef ds:uri="http://gemini/pivotcustomization/LinkedTableUpdateMode"/>
  </ds:schemaRefs>
</ds:datastoreItem>
</file>

<file path=customXml/itemProps4.xml><?xml version="1.0" encoding="utf-8"?>
<ds:datastoreItem xmlns:ds="http://schemas.openxmlformats.org/officeDocument/2006/customXml" ds:itemID="{781789EA-7CF0-480B-9035-C7E611553F42}">
  <ds:schemaRefs>
    <ds:schemaRef ds:uri="http://gemini/pivotcustomization/FormulaBarState"/>
  </ds:schemaRefs>
</ds:datastoreItem>
</file>

<file path=customXml/itemProps5.xml><?xml version="1.0" encoding="utf-8"?>
<ds:datastoreItem xmlns:ds="http://schemas.openxmlformats.org/officeDocument/2006/customXml" ds:itemID="{6D8F1891-20AE-44AD-BB5B-7654C18ABD64}">
  <ds:schemaRefs>
    <ds:schemaRef ds:uri="http://gemini/pivotcustomization/e568b780-1373-4589-a37a-0516a2ef4f8c"/>
  </ds:schemaRefs>
</ds:datastoreItem>
</file>

<file path=customXml/itemProps6.xml><?xml version="1.0" encoding="utf-8"?>
<ds:datastoreItem xmlns:ds="http://schemas.openxmlformats.org/officeDocument/2006/customXml" ds:itemID="{EEFDDDC1-8057-4B9F-AD76-9B22F1443919}">
  <ds:schemaRefs/>
</ds:datastoreItem>
</file>

<file path=customXml/itemProps7.xml><?xml version="1.0" encoding="utf-8"?>
<ds:datastoreItem xmlns:ds="http://schemas.openxmlformats.org/officeDocument/2006/customXml" ds:itemID="{75E31879-530B-48DD-83E0-42EB152FDE25}">
  <ds:schemaRefs/>
</ds:datastoreItem>
</file>

<file path=customXml/itemProps8.xml><?xml version="1.0" encoding="utf-8"?>
<ds:datastoreItem xmlns:ds="http://schemas.openxmlformats.org/officeDocument/2006/customXml" ds:itemID="{345E53D4-D1A4-4C71-924A-AB366B68EC17}">
  <ds:schemaRefs/>
</ds:datastoreItem>
</file>

<file path=customXml/itemProps9.xml><?xml version="1.0" encoding="utf-8"?>
<ds:datastoreItem xmlns:ds="http://schemas.openxmlformats.org/officeDocument/2006/customXml" ds:itemID="{A4D38644-6348-47A2-ABEB-FDC919278793}">
  <ds:schemaRefs/>
</ds:datastoreItem>
</file>

<file path=customXml/itemProps10.xml><?xml version="1.0" encoding="utf-8"?>
<ds:datastoreItem xmlns:ds="http://schemas.openxmlformats.org/officeDocument/2006/customXml" ds:itemID="{E764E37B-7B70-4E6B-A08F-310458AB8583}">
  <ds:schemaRefs/>
</ds:datastoreItem>
</file>

<file path=customXml/itemProps11.xml><?xml version="1.0" encoding="utf-8"?>
<ds:datastoreItem xmlns:ds="http://schemas.openxmlformats.org/officeDocument/2006/customXml" ds:itemID="{CFBD250B-7EB9-4121-AD54-34FEBA7E6FEA}">
  <ds:schemaRefs/>
</ds:datastoreItem>
</file>

<file path=customXml/itemProps12.xml><?xml version="1.0" encoding="utf-8"?>
<ds:datastoreItem xmlns:ds="http://schemas.openxmlformats.org/officeDocument/2006/customXml" ds:itemID="{BC6A7D38-3D84-42B7-9858-C9F0B5F53A79}">
  <ds:schemaRefs>
    <ds:schemaRef ds:uri="http://gemini/pivotcustomization/ShowHidden"/>
  </ds:schemaRefs>
</ds:datastoreItem>
</file>

<file path=customXml/itemProps13.xml><?xml version="1.0" encoding="utf-8"?>
<ds:datastoreItem xmlns:ds="http://schemas.openxmlformats.org/officeDocument/2006/customXml" ds:itemID="{996E471C-91C6-4AAD-BE1C-4B81F6EA30A2}">
  <ds:schemaRefs>
    <ds:schemaRef ds:uri="http://gemini/pivotcustomization/ShowImplicitMeasures"/>
  </ds:schemaRefs>
</ds:datastoreItem>
</file>

<file path=customXml/itemProps14.xml><?xml version="1.0" encoding="utf-8"?>
<ds:datastoreItem xmlns:ds="http://schemas.openxmlformats.org/officeDocument/2006/customXml" ds:itemID="{44400EE7-6D75-4E28-820D-751800C6BFE0}">
  <ds:schemaRefs>
    <ds:schemaRef ds:uri="http://gemini/pivotcustomization/ManualCalcMode"/>
  </ds:schemaRefs>
</ds:datastoreItem>
</file>

<file path=customXml/itemProps15.xml><?xml version="1.0" encoding="utf-8"?>
<ds:datastoreItem xmlns:ds="http://schemas.openxmlformats.org/officeDocument/2006/customXml" ds:itemID="{3931D011-9506-4694-AF8F-7D7FF205345F}">
  <ds:schemaRefs/>
</ds:datastoreItem>
</file>

<file path=customXml/itemProps16.xml><?xml version="1.0" encoding="utf-8"?>
<ds:datastoreItem xmlns:ds="http://schemas.openxmlformats.org/officeDocument/2006/customXml" ds:itemID="{D940EAEB-7DDE-41EB-8C68-F9CBB32F5F74}">
  <ds:schemaRefs/>
</ds:datastoreItem>
</file>

<file path=customXml/itemProps17.xml><?xml version="1.0" encoding="utf-8"?>
<ds:datastoreItem xmlns:ds="http://schemas.openxmlformats.org/officeDocument/2006/customXml" ds:itemID="{B9456A2F-FB69-4F02-A82B-06514BCEBC2F}">
  <ds:schemaRefs/>
</ds:datastoreItem>
</file>

<file path=customXml/itemProps18.xml><?xml version="1.0" encoding="utf-8"?>
<ds:datastoreItem xmlns:ds="http://schemas.openxmlformats.org/officeDocument/2006/customXml" ds:itemID="{29B2AD86-A7FF-426A-9EC9-6933E485E3AC}">
  <ds:schemaRefs/>
</ds:datastoreItem>
</file>

<file path=customXml/itemProps19.xml><?xml version="1.0" encoding="utf-8"?>
<ds:datastoreItem xmlns:ds="http://schemas.openxmlformats.org/officeDocument/2006/customXml" ds:itemID="{BAE4376B-53CD-4693-B287-0C22DC4355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ConsolidadoListas</vt:lpstr>
      <vt:lpstr>Apoios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cp:lastPrinted>2017-05-13T19:34:04Z</cp:lastPrinted>
  <dcterms:created xsi:type="dcterms:W3CDTF">2017-05-13T18:30:27Z</dcterms:created>
  <dcterms:modified xsi:type="dcterms:W3CDTF">2018-10-15T21:51:21Z</dcterms:modified>
</cp:coreProperties>
</file>