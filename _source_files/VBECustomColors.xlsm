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72AA878-3867-454B-9761-77BAA4B7BAA4}" xr6:coauthVersionLast="28" xr6:coauthVersionMax="28" xr10:uidLastSave="{00000000-0000-0000-0000-000000000000}"/>
  <bookViews>
    <workbookView xWindow="0" yWindow="0" windowWidth="11970" windowHeight="4560" xr2:uid="{00000000-000D-0000-FFFF-FFFF00000000}"/>
  </bookViews>
  <sheets>
    <sheet name="Sheet1" sheetId="1" r:id="rId1"/>
    <sheet name="Sheet2" sheetId="2" r:id="rId2"/>
  </sheets>
  <functionGroups builtInGroupCount="19"/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7" i="1" l="1"/>
  <c r="B38" i="1"/>
  <c r="B19" i="1"/>
  <c r="A3" i="1"/>
  <c r="A41" i="1" l="1"/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22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D32" i="1" a="1"/>
  <c r="D42" i="1" a="1"/>
  <c r="D25" i="1" a="1"/>
  <c r="D33" i="1" a="1"/>
  <c r="D5" i="1" a="1"/>
  <c r="D50" i="1" a="1"/>
  <c r="D34" i="1" a="1"/>
  <c r="D8" i="1" a="1"/>
  <c r="D51" i="1" a="1"/>
  <c r="D31" i="1" a="1"/>
  <c r="D37" i="1" a="1"/>
  <c r="D23" i="1" a="1"/>
  <c r="D56" i="1" a="1"/>
  <c r="D9" i="1" a="1"/>
  <c r="D53" i="1" a="1"/>
  <c r="D16" i="1" a="1"/>
  <c r="D11" i="1" a="1"/>
  <c r="D54" i="1" a="1"/>
  <c r="D4" i="1" a="1"/>
  <c r="D13" i="1" a="1"/>
  <c r="D44" i="1" a="1"/>
  <c r="D35" i="1" a="1"/>
  <c r="D6" i="1" a="1"/>
  <c r="D52" i="1" a="1"/>
  <c r="D28" i="1" a="1"/>
  <c r="D26" i="1" a="1"/>
  <c r="D41" i="1" a="1"/>
  <c r="D29" i="1" a="1"/>
  <c r="D43" i="1" a="1"/>
  <c r="D46" i="1" a="1"/>
  <c r="D30" i="1" a="1"/>
  <c r="D45" i="1" a="1"/>
  <c r="D47" i="1" a="1"/>
  <c r="D27" i="1" a="1"/>
  <c r="D24" i="1" a="1"/>
  <c r="D55" i="1" a="1"/>
  <c r="D22" i="1" a="1"/>
  <c r="D12" i="1" a="1"/>
  <c r="D49" i="1" a="1"/>
  <c r="D3" i="1" a="1"/>
  <c r="D15" i="1" a="1"/>
  <c r="D14" i="1" a="1"/>
  <c r="D7" i="1" a="1"/>
  <c r="D17" i="1" a="1"/>
  <c r="D18" i="1" a="1"/>
  <c r="D36" i="1" a="1"/>
  <c r="D10" i="1" a="1"/>
  <c r="D48" i="1" a="1"/>
  <c r="D56" i="1" l="1"/>
  <c r="E56" i="1"/>
  <c r="F56" i="1"/>
  <c r="D55" i="1"/>
  <c r="E55" i="1"/>
  <c r="F55" i="1"/>
  <c r="D54" i="1"/>
  <c r="E54" i="1"/>
  <c r="F54" i="1"/>
  <c r="D53" i="1"/>
  <c r="E53" i="1"/>
  <c r="F53" i="1"/>
  <c r="D52" i="1"/>
  <c r="E52" i="1"/>
  <c r="F52" i="1"/>
  <c r="D51" i="1"/>
  <c r="E51" i="1"/>
  <c r="F51" i="1"/>
  <c r="D50" i="1"/>
  <c r="E50" i="1"/>
  <c r="F50" i="1"/>
  <c r="D49" i="1"/>
  <c r="E49" i="1"/>
  <c r="F49" i="1"/>
  <c r="D48" i="1"/>
  <c r="E48" i="1"/>
  <c r="F48" i="1"/>
  <c r="D47" i="1"/>
  <c r="E47" i="1"/>
  <c r="F47" i="1"/>
  <c r="D46" i="1"/>
  <c r="E46" i="1"/>
  <c r="F46" i="1"/>
  <c r="D45" i="1"/>
  <c r="E45" i="1"/>
  <c r="F45" i="1"/>
  <c r="D44" i="1"/>
  <c r="E44" i="1"/>
  <c r="F44" i="1"/>
  <c r="D43" i="1"/>
  <c r="E43" i="1"/>
  <c r="F43" i="1"/>
  <c r="D42" i="1"/>
  <c r="E42" i="1"/>
  <c r="F42" i="1"/>
  <c r="D41" i="1"/>
  <c r="E41" i="1"/>
  <c r="F41" i="1"/>
  <c r="D37" i="1"/>
  <c r="E37" i="1"/>
  <c r="F37" i="1"/>
  <c r="D36" i="1"/>
  <c r="E36" i="1"/>
  <c r="F36" i="1"/>
  <c r="D35" i="1"/>
  <c r="E35" i="1"/>
  <c r="F35" i="1"/>
  <c r="D34" i="1"/>
  <c r="E34" i="1"/>
  <c r="F34" i="1"/>
  <c r="D33" i="1"/>
  <c r="E33" i="1"/>
  <c r="F33" i="1"/>
  <c r="D32" i="1"/>
  <c r="E32" i="1"/>
  <c r="F32" i="1"/>
  <c r="D31" i="1"/>
  <c r="E31" i="1"/>
  <c r="F31" i="1"/>
  <c r="D30" i="1"/>
  <c r="E30" i="1"/>
  <c r="F30" i="1"/>
  <c r="D29" i="1"/>
  <c r="E29" i="1"/>
  <c r="F29" i="1"/>
  <c r="D28" i="1"/>
  <c r="E28" i="1"/>
  <c r="F28" i="1"/>
  <c r="D27" i="1"/>
  <c r="E27" i="1"/>
  <c r="F27" i="1"/>
  <c r="D26" i="1"/>
  <c r="E26" i="1"/>
  <c r="F26" i="1"/>
  <c r="D25" i="1"/>
  <c r="E25" i="1"/>
  <c r="F25" i="1"/>
  <c r="D24" i="1"/>
  <c r="E24" i="1"/>
  <c r="F24" i="1"/>
  <c r="D23" i="1"/>
  <c r="E23" i="1"/>
  <c r="F23" i="1"/>
  <c r="D22" i="1"/>
  <c r="E22" i="1"/>
  <c r="F22" i="1"/>
  <c r="D3" i="1"/>
  <c r="E3" i="1"/>
  <c r="F3" i="1"/>
  <c r="D18" i="1"/>
  <c r="E18" i="1"/>
  <c r="F18" i="1"/>
  <c r="E16" i="1"/>
  <c r="F16" i="1"/>
  <c r="D16" i="1"/>
  <c r="D14" i="1"/>
  <c r="E14" i="1"/>
  <c r="F14" i="1"/>
  <c r="E13" i="1"/>
  <c r="F13" i="1"/>
  <c r="D13" i="1"/>
  <c r="E11" i="1"/>
  <c r="F11" i="1"/>
  <c r="D11" i="1"/>
  <c r="D9" i="1"/>
  <c r="E9" i="1"/>
  <c r="F9" i="1"/>
  <c r="E6" i="1"/>
  <c r="F6" i="1"/>
  <c r="D6" i="1"/>
  <c r="D17" i="1"/>
  <c r="E17" i="1"/>
  <c r="F17" i="1"/>
  <c r="D15" i="1"/>
  <c r="E15" i="1"/>
  <c r="F15" i="1"/>
  <c r="E12" i="1"/>
  <c r="F12" i="1"/>
  <c r="D12" i="1"/>
  <c r="E10" i="1"/>
  <c r="F10" i="1"/>
  <c r="D10" i="1"/>
  <c r="E8" i="1"/>
  <c r="F8" i="1"/>
  <c r="D8" i="1"/>
  <c r="E7" i="1"/>
  <c r="F7" i="1"/>
  <c r="D7" i="1"/>
  <c r="E5" i="1"/>
  <c r="F5" i="1"/>
  <c r="D5" i="1"/>
  <c r="E4" i="1"/>
  <c r="F4" i="1"/>
  <c r="D4" i="1"/>
  <c r="G9" i="1"/>
  <c r="H9" i="1" s="1"/>
  <c r="G14" i="1"/>
  <c r="H14" i="1" s="1"/>
  <c r="G3" i="1"/>
  <c r="H3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G29" i="1"/>
  <c r="H29" i="1" s="1"/>
  <c r="G30" i="1"/>
  <c r="H30" i="1" s="1"/>
  <c r="G31" i="1"/>
  <c r="H31" i="1" s="1"/>
  <c r="G32" i="1"/>
  <c r="H32" i="1" s="1"/>
  <c r="G33" i="1"/>
  <c r="H33" i="1" s="1"/>
  <c r="G34" i="1"/>
  <c r="H34" i="1" s="1"/>
  <c r="G35" i="1"/>
  <c r="H35" i="1" s="1"/>
  <c r="G36" i="1"/>
  <c r="H36" i="1" s="1"/>
  <c r="G37" i="1"/>
  <c r="H37" i="1" s="1"/>
  <c r="G41" i="1" l="1"/>
  <c r="H41" i="1" s="1"/>
  <c r="G42" i="1"/>
  <c r="H42" i="1" s="1"/>
  <c r="G43" i="1"/>
  <c r="H43" i="1" s="1"/>
  <c r="G44" i="1"/>
  <c r="H44" i="1" s="1"/>
  <c r="G45" i="1"/>
  <c r="H45" i="1" s="1"/>
  <c r="G46" i="1"/>
  <c r="H46" i="1" s="1"/>
  <c r="G47" i="1"/>
  <c r="H47" i="1" s="1"/>
  <c r="G48" i="1"/>
  <c r="H48" i="1" s="1"/>
  <c r="G49" i="1"/>
  <c r="H49" i="1" s="1"/>
  <c r="G50" i="1"/>
  <c r="H50" i="1" s="1"/>
  <c r="G51" i="1"/>
  <c r="H51" i="1" s="1"/>
  <c r="G52" i="1"/>
  <c r="H52" i="1" s="1"/>
  <c r="G53" i="1"/>
  <c r="H53" i="1" s="1"/>
  <c r="G54" i="1"/>
  <c r="H54" i="1" s="1"/>
  <c r="G55" i="1"/>
  <c r="H55" i="1" s="1"/>
  <c r="G56" i="1"/>
  <c r="H56" i="1" s="1"/>
  <c r="G4" i="1"/>
  <c r="H4" i="1" s="1"/>
  <c r="G7" i="1"/>
  <c r="H7" i="1" s="1"/>
  <c r="G8" i="1"/>
  <c r="H8" i="1" s="1"/>
  <c r="G5" i="1"/>
  <c r="H5" i="1" s="1"/>
  <c r="G6" i="1"/>
  <c r="H6" i="1" s="1"/>
  <c r="G10" i="1"/>
  <c r="H10" i="1" s="1"/>
  <c r="G11" i="1"/>
  <c r="H11" i="1" s="1"/>
  <c r="G17" i="1"/>
  <c r="H17" i="1" s="1"/>
  <c r="G18" i="1"/>
  <c r="H18" i="1" s="1"/>
  <c r="G15" i="1"/>
  <c r="H15" i="1" s="1"/>
  <c r="G16" i="1"/>
  <c r="H16" i="1" s="1"/>
  <c r="G12" i="1"/>
  <c r="H12" i="1" s="1"/>
  <c r="G13" i="1"/>
  <c r="H13" i="1" s="1"/>
</calcChain>
</file>

<file path=xl/sharedStrings.xml><?xml version="1.0" encoding="utf-8"?>
<sst xmlns="http://schemas.openxmlformats.org/spreadsheetml/2006/main" count="121" uniqueCount="89">
  <si>
    <t>Color</t>
  </si>
  <si>
    <t>Name</t>
  </si>
  <si>
    <t>HEX</t>
  </si>
  <si>
    <t>000000</t>
  </si>
  <si>
    <t>1e1e1e</t>
  </si>
  <si>
    <t>d4d4d4</t>
  </si>
  <si>
    <t>ffffff</t>
  </si>
  <si>
    <t>343a40</t>
  </si>
  <si>
    <t>3c4248</t>
  </si>
  <si>
    <t>569cd6</t>
  </si>
  <si>
    <t>74b0df</t>
  </si>
  <si>
    <t>608b4e</t>
  </si>
  <si>
    <t>b5cea8</t>
  </si>
  <si>
    <t>ce9178</t>
  </si>
  <si>
    <t>794e8b</t>
  </si>
  <si>
    <t>9f74b1</t>
  </si>
  <si>
    <t>000080</t>
  </si>
  <si>
    <t>008000</t>
  </si>
  <si>
    <t>808000</t>
  </si>
  <si>
    <t>008080</t>
  </si>
  <si>
    <t>800000</t>
  </si>
  <si>
    <t>800080</t>
  </si>
  <si>
    <t>808080</t>
  </si>
  <si>
    <t>c0c0c0</t>
  </si>
  <si>
    <t>0000ff</t>
  </si>
  <si>
    <t>00ff00</t>
  </si>
  <si>
    <t>00ffff</t>
  </si>
  <si>
    <t>ff0000</t>
  </si>
  <si>
    <t>ff00ff</t>
  </si>
  <si>
    <t>ffff00</t>
  </si>
  <si>
    <t>Total</t>
  </si>
  <si>
    <t>HKEY_CURRENT_USER\Software\Microsoft\VBA\6.0\Common\CodeForeColors</t>
  </si>
  <si>
    <t>HKEY_CURRENT_USER\Software\Microsoft\VBA\6.0\Common\CodeBackColors</t>
  </si>
  <si>
    <t>Order</t>
  </si>
  <si>
    <t>CodeBackColors</t>
  </si>
  <si>
    <t>CodeForeColors</t>
  </si>
  <si>
    <t>C:\Program Files (x86)\Common Files\microsoft shared\VBA\VBA7.1\VBE7.DLL</t>
  </si>
  <si>
    <t>with spaces</t>
  </si>
  <si>
    <t>002b36</t>
  </si>
  <si>
    <t>073642</t>
  </si>
  <si>
    <t>586e75</t>
  </si>
  <si>
    <t>657b83</t>
  </si>
  <si>
    <t>839496</t>
  </si>
  <si>
    <t>93a1a1</t>
  </si>
  <si>
    <t>eee8d5</t>
  </si>
  <si>
    <t>fdf6e3</t>
  </si>
  <si>
    <t>b58900</t>
  </si>
  <si>
    <t>cb4b16</t>
  </si>
  <si>
    <t>dc322f</t>
  </si>
  <si>
    <t>d33682</t>
  </si>
  <si>
    <t>6c71c4</t>
  </si>
  <si>
    <t>268bd2</t>
  </si>
  <si>
    <t>2aa198</t>
  </si>
  <si>
    <t>859900</t>
  </si>
  <si>
    <t>Visual Studio Code (Dark) Inspired</t>
  </si>
  <si>
    <t>Solarized</t>
  </si>
  <si>
    <t>VBA Editor Defaults</t>
  </si>
  <si>
    <t>e51400</t>
  </si>
  <si>
    <t>264f78</t>
  </si>
  <si>
    <t>d69d85</t>
  </si>
  <si>
    <t>Hex w/Alpha</t>
  </si>
  <si>
    <t>Replace 1st instance of:</t>
  </si>
  <si>
    <t>ff ff ff 00 c0 c0 c0 00 80 80 80 00 00 00 00 00</t>
  </si>
  <si>
    <t>ff 00 00 00 80 00 00 00 ff ff 00 00 80 80 00 00</t>
  </si>
  <si>
    <t>00 ff 00 00 00 80 00 00 00 ff ff 00 00 80 80 00</t>
  </si>
  <si>
    <t>00 00 ff 00 00 00 80 00 ff 00 ff 00 80 00 80 00</t>
  </si>
  <si>
    <t>00 00 00 00 00 00 80 00 00 80 00 00 00 80 80 00</t>
  </si>
  <si>
    <t>80 00 00 00 80 00 80 00 80 80 00 00 c0 c0 c0 00</t>
  </si>
  <si>
    <t>80 80 80 00 00 00 ff 00 00 ff 00 00 00 ff ff 00</t>
  </si>
  <si>
    <t>ff 00 00 00 ff 00 ff 00 ff ff 00 00 ff ff ff 00</t>
  </si>
  <si>
    <t>replace 2nd instance of *FROM THE TOP!*</t>
  </si>
  <si>
    <t>R</t>
  </si>
  <si>
    <t>G</t>
  </si>
  <si>
    <t>B</t>
  </si>
  <si>
    <t>#</t>
  </si>
  <si>
    <t>Presets</t>
  </si>
  <si>
    <t>Dark</t>
  </si>
  <si>
    <t xml:space="preserve">0 0 0 7 6 0 0 0 11 9 0 0 0 0 0 0 </t>
  </si>
  <si>
    <t xml:space="preserve">3 0 5 0 1 10 14 4 0 0 0 0 0 0 0 0 </t>
  </si>
  <si>
    <t xml:space="preserve">4 0 4 7 6 4 4 4 11 9 0 0 0 0 0 0 </t>
  </si>
  <si>
    <t xml:space="preserve">2 0 5 0 1 9 11 1 0 0 0 0 0 0 0 0 </t>
  </si>
  <si>
    <t>Light</t>
  </si>
  <si>
    <t xml:space="preserve">2 7 1 13 15 2 2 2 11 9 0 0 0 0 0 0 </t>
  </si>
  <si>
    <t xml:space="preserve">13 5 12 1 6 15 8 5 1 1 0 0 0 0 0 0 </t>
  </si>
  <si>
    <t>FontFace</t>
  </si>
  <si>
    <t>Consolas</t>
  </si>
  <si>
    <t>FontHeight</t>
  </si>
  <si>
    <t>b</t>
  </si>
  <si>
    <t>HKEY_CURRENT_USER\Software\Microsoft\VBA\7.1\Common\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</si>
</sst>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64F7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1"/>
      <color rgb="FF343A40"/>
      <name val="Calibri"/>
      <family val="2"/>
      <scheme val="minor"/>
    </font>
    <font>
      <sz val="11"/>
      <color rgb="FF3C4248"/>
      <name val="Calibri"/>
      <family val="2"/>
      <scheme val="minor"/>
    </font>
    <font>
      <sz val="11"/>
      <color rgb="FFD4D4D4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569CD6"/>
      <name val="Calibri"/>
      <family val="2"/>
      <scheme val="minor"/>
    </font>
    <font>
      <sz val="11"/>
      <color rgb="FF74B0DF"/>
      <name val="Calibri"/>
      <family val="2"/>
      <scheme val="minor"/>
    </font>
    <font>
      <sz val="11"/>
      <color rgb="FF794E8B"/>
      <name val="Calibri"/>
      <family val="2"/>
      <scheme val="minor"/>
    </font>
    <font>
      <sz val="11"/>
      <color rgb="FF9F74B1"/>
      <name val="Calibri"/>
      <family val="2"/>
      <scheme val="minor"/>
    </font>
    <font>
      <sz val="11"/>
      <color rgb="FFE51400"/>
      <name val="Calibri"/>
      <family val="2"/>
      <scheme val="minor"/>
    </font>
    <font>
      <sz val="11"/>
      <color rgb="FFD69D85"/>
      <name val="Calibri"/>
      <family val="2"/>
      <scheme val="minor"/>
    </font>
    <font>
      <sz val="11"/>
      <color rgb="FFCE9178"/>
      <name val="Calibri"/>
      <family val="2"/>
      <scheme val="minor"/>
    </font>
    <font>
      <sz val="11"/>
      <color rgb="FF608B4E"/>
      <name val="Calibri"/>
      <family val="2"/>
      <scheme val="minor"/>
    </font>
    <font>
      <sz val="11"/>
      <color rgb="FFB5CEA8"/>
      <name val="Calibri"/>
      <family val="2"/>
      <scheme val="minor"/>
    </font>
    <font>
      <sz val="11"/>
      <color rgb="FF002B36"/>
      <name val="Calibri"/>
      <family val="2"/>
      <scheme val="minor"/>
    </font>
    <font>
      <sz val="11"/>
      <color rgb="FF073642"/>
      <name val="Calibri"/>
      <family val="2"/>
      <scheme val="minor"/>
    </font>
    <font>
      <sz val="11"/>
      <color rgb="FF586E75"/>
      <name val="Calibri"/>
      <family val="2"/>
      <scheme val="minor"/>
    </font>
    <font>
      <sz val="11"/>
      <color rgb="FF657B83"/>
      <name val="Calibri"/>
      <family val="2"/>
      <scheme val="minor"/>
    </font>
    <font>
      <sz val="11"/>
      <color rgb="FF839496"/>
      <name val="Calibri"/>
      <family val="2"/>
      <scheme val="minor"/>
    </font>
    <font>
      <sz val="11"/>
      <color rgb="FF93A1A1"/>
      <name val="Calibri"/>
      <family val="2"/>
      <scheme val="minor"/>
    </font>
    <font>
      <sz val="11"/>
      <color rgb="FFEEE8D5"/>
      <name val="Calibri"/>
      <family val="2"/>
      <scheme val="minor"/>
    </font>
    <font>
      <sz val="11"/>
      <color rgb="FFFDF6E3"/>
      <name val="Calibri"/>
      <family val="2"/>
      <scheme val="minor"/>
    </font>
    <font>
      <sz val="11"/>
      <color rgb="FFB58900"/>
      <name val="Calibri"/>
      <family val="2"/>
      <scheme val="minor"/>
    </font>
    <font>
      <sz val="11"/>
      <color rgb="FFCB4B16"/>
      <name val="Calibri"/>
      <family val="2"/>
      <scheme val="minor"/>
    </font>
    <font>
      <sz val="11"/>
      <color rgb="FFDC322F"/>
      <name val="Calibri"/>
      <family val="2"/>
      <scheme val="minor"/>
    </font>
    <font>
      <sz val="11"/>
      <color rgb="FFD33682"/>
      <name val="Calibri"/>
      <family val="2"/>
      <scheme val="minor"/>
    </font>
    <font>
      <sz val="11"/>
      <color rgb="FF6C71C4"/>
      <name val="Calibri"/>
      <family val="2"/>
      <scheme val="minor"/>
    </font>
    <font>
      <sz val="11"/>
      <color rgb="FF268BD2"/>
      <name val="Calibri"/>
      <family val="2"/>
      <scheme val="minor"/>
    </font>
    <font>
      <sz val="11"/>
      <color rgb="FF2AA198"/>
      <name val="Calibri"/>
      <family val="2"/>
      <scheme val="minor"/>
    </font>
    <font>
      <sz val="11"/>
      <color rgb="FF85990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008080"/>
      <name val="Calibri"/>
      <family val="2"/>
      <scheme val="minor"/>
    </font>
    <font>
      <sz val="11"/>
      <color rgb="FF800000"/>
      <name val="Calibri"/>
      <family val="2"/>
      <scheme val="minor"/>
    </font>
    <font>
      <sz val="11"/>
      <color rgb="FF800080"/>
      <name val="Calibri"/>
      <family val="2"/>
      <scheme val="minor"/>
    </font>
    <font>
      <sz val="11"/>
      <color rgb="FF808000"/>
      <name val="Calibri"/>
      <family val="2"/>
      <scheme val="minor"/>
    </font>
    <font>
      <sz val="11"/>
      <color rgb="FFC0C0C0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FF00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FFFF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343A40"/>
        <bgColor indexed="64"/>
      </patternFill>
    </fill>
    <fill>
      <patternFill patternType="solid">
        <fgColor rgb="FF3C4248"/>
        <bgColor indexed="64"/>
      </patternFill>
    </fill>
    <fill>
      <patternFill patternType="solid">
        <fgColor rgb="FF569CD6"/>
        <bgColor indexed="64"/>
      </patternFill>
    </fill>
    <fill>
      <patternFill patternType="solid">
        <fgColor rgb="FF74B0DF"/>
        <bgColor indexed="64"/>
      </patternFill>
    </fill>
    <fill>
      <patternFill patternType="solid">
        <fgColor rgb="FF608B4E"/>
        <bgColor indexed="64"/>
      </patternFill>
    </fill>
    <fill>
      <patternFill patternType="solid">
        <fgColor rgb="FFB5CEA8"/>
        <bgColor indexed="64"/>
      </patternFill>
    </fill>
    <fill>
      <patternFill patternType="solid">
        <fgColor rgb="FFCE9178"/>
        <bgColor indexed="64"/>
      </patternFill>
    </fill>
    <fill>
      <patternFill patternType="solid">
        <fgColor rgb="FF794E8B"/>
        <bgColor indexed="64"/>
      </patternFill>
    </fill>
    <fill>
      <patternFill patternType="solid">
        <fgColor rgb="FF9F74B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2B36"/>
        <bgColor indexed="64"/>
      </patternFill>
    </fill>
    <fill>
      <patternFill patternType="solid">
        <fgColor rgb="FF073642"/>
        <bgColor indexed="64"/>
      </patternFill>
    </fill>
    <fill>
      <patternFill patternType="solid">
        <fgColor rgb="FF586E7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657B83"/>
        <bgColor indexed="64"/>
      </patternFill>
    </fill>
    <fill>
      <patternFill patternType="solid">
        <fgColor rgb="FF839496"/>
        <bgColor indexed="64"/>
      </patternFill>
    </fill>
    <fill>
      <patternFill patternType="solid">
        <fgColor rgb="FF93A1A1"/>
        <bgColor indexed="64"/>
      </patternFill>
    </fill>
    <fill>
      <patternFill patternType="solid">
        <fgColor rgb="FFEEE8D5"/>
        <bgColor indexed="64"/>
      </patternFill>
    </fill>
    <fill>
      <patternFill patternType="solid">
        <fgColor rgb="FFFDF6E3"/>
        <bgColor indexed="64"/>
      </patternFill>
    </fill>
    <fill>
      <patternFill patternType="solid">
        <fgColor rgb="FFB58900"/>
        <bgColor indexed="64"/>
      </patternFill>
    </fill>
    <fill>
      <patternFill patternType="solid">
        <fgColor rgb="FFCB4B16"/>
        <bgColor indexed="64"/>
      </patternFill>
    </fill>
    <fill>
      <patternFill patternType="solid">
        <fgColor rgb="FFDC322F"/>
        <bgColor indexed="64"/>
      </patternFill>
    </fill>
    <fill>
      <patternFill patternType="solid">
        <fgColor rgb="FFD33682"/>
        <bgColor indexed="64"/>
      </patternFill>
    </fill>
    <fill>
      <patternFill patternType="solid">
        <fgColor rgb="FF6C71C4"/>
        <bgColor indexed="64"/>
      </patternFill>
    </fill>
    <fill>
      <patternFill patternType="solid">
        <fgColor rgb="FF268BD2"/>
        <bgColor indexed="64"/>
      </patternFill>
    </fill>
    <fill>
      <patternFill patternType="solid">
        <fgColor rgb="FF2AA198"/>
        <bgColor indexed="64"/>
      </patternFill>
    </fill>
    <fill>
      <patternFill patternType="solid">
        <fgColor rgb="FF859900"/>
        <bgColor indexed="64"/>
      </patternFill>
    </fill>
    <fill>
      <patternFill patternType="solid">
        <fgColor rgb="FFE51400"/>
        <bgColor indexed="64"/>
      </patternFill>
    </fill>
    <fill>
      <patternFill patternType="solid">
        <fgColor rgb="FF264F7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9D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Font="1"/>
    <xf numFmtId="49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1" fillId="31" borderId="0" xfId="0" applyFont="1" applyFill="1" applyAlignment="1">
      <alignment horizontal="center"/>
    </xf>
    <xf numFmtId="0" fontId="4" fillId="26" borderId="0" xfId="0" applyFont="1" applyFill="1" applyAlignment="1">
      <alignment horizontal="center"/>
    </xf>
    <xf numFmtId="0" fontId="4" fillId="24" borderId="0" xfId="0" applyFont="1" applyFill="1" applyAlignment="1">
      <alignment horizontal="center"/>
    </xf>
    <xf numFmtId="0" fontId="4" fillId="23" borderId="0" xfId="0" applyFont="1" applyFill="1" applyAlignment="1">
      <alignment horizontal="center"/>
    </xf>
    <xf numFmtId="0" fontId="1" fillId="47" borderId="0" xfId="0" applyFont="1" applyFill="1" applyAlignment="1">
      <alignment horizontal="center"/>
    </xf>
    <xf numFmtId="0" fontId="0" fillId="0" borderId="0" xfId="0" applyNumberFormat="1" applyFont="1" applyFill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1" fillId="31" borderId="0" xfId="0" applyFont="1" applyFill="1" applyAlignment="1"/>
    <xf numFmtId="0" fontId="1" fillId="47" borderId="0" xfId="0" applyFont="1" applyFill="1" applyAlignment="1"/>
    <xf numFmtId="0" fontId="6" fillId="0" borderId="0" xfId="0" applyNumberFormat="1" applyFont="1" applyFill="1"/>
    <xf numFmtId="0" fontId="0" fillId="0" borderId="0" xfId="0" applyNumberFormat="1" applyFont="1"/>
    <xf numFmtId="0" fontId="1" fillId="31" borderId="0" xfId="0" applyNumberFormat="1" applyFont="1" applyFill="1" applyAlignment="1">
      <alignment horizontal="center"/>
    </xf>
    <xf numFmtId="0" fontId="7" fillId="4" borderId="0" xfId="0" applyNumberFormat="1" applyFont="1" applyFill="1"/>
    <xf numFmtId="0" fontId="8" fillId="6" borderId="0" xfId="0" applyNumberFormat="1" applyFont="1" applyFill="1"/>
    <xf numFmtId="0" fontId="9" fillId="7" borderId="0" xfId="0" applyNumberFormat="1" applyFont="1" applyFill="1"/>
    <xf numFmtId="0" fontId="10" fillId="5" borderId="0" xfId="0" applyNumberFormat="1" applyFont="1" applyFill="1"/>
    <xf numFmtId="0" fontId="11" fillId="48" borderId="0" xfId="0" applyNumberFormat="1" applyFont="1" applyFill="1"/>
    <xf numFmtId="0" fontId="5" fillId="46" borderId="0" xfId="0" applyNumberFormat="1" applyFont="1" applyFill="1"/>
    <xf numFmtId="0" fontId="12" fillId="8" borderId="0" xfId="0" applyNumberFormat="1" applyFont="1" applyFill="1"/>
    <xf numFmtId="0" fontId="13" fillId="9" borderId="0" xfId="0" applyNumberFormat="1" applyFont="1" applyFill="1"/>
    <xf numFmtId="0" fontId="14" fillId="13" borderId="0" xfId="0" applyNumberFormat="1" applyFont="1" applyFill="1"/>
    <xf numFmtId="0" fontId="15" fillId="14" borderId="0" xfId="0" applyNumberFormat="1" applyFont="1" applyFill="1"/>
    <xf numFmtId="0" fontId="16" fillId="45" borderId="0" xfId="0" applyNumberFormat="1" applyFont="1" applyFill="1"/>
    <xf numFmtId="0" fontId="17" fillId="49" borderId="0" xfId="0" applyNumberFormat="1" applyFont="1" applyFill="1"/>
    <xf numFmtId="0" fontId="18" fillId="12" borderId="0" xfId="0" applyNumberFormat="1" applyFont="1" applyFill="1"/>
    <xf numFmtId="0" fontId="19" fillId="10" borderId="0" xfId="0" applyNumberFormat="1" applyFont="1" applyFill="1"/>
    <xf numFmtId="0" fontId="20" fillId="11" borderId="0" xfId="0" applyNumberFormat="1" applyFont="1" applyFill="1"/>
    <xf numFmtId="0" fontId="21" fillId="28" borderId="0" xfId="0" applyNumberFormat="1" applyFont="1" applyFill="1"/>
    <xf numFmtId="0" fontId="22" fillId="29" borderId="0" xfId="0" applyNumberFormat="1" applyFont="1" applyFill="1"/>
    <xf numFmtId="0" fontId="23" fillId="30" borderId="0" xfId="0" applyNumberFormat="1" applyFont="1" applyFill="1"/>
    <xf numFmtId="0" fontId="24" fillId="32" borderId="0" xfId="0" applyNumberFormat="1" applyFont="1" applyFill="1"/>
    <xf numFmtId="0" fontId="25" fillId="33" borderId="0" xfId="0" applyNumberFormat="1" applyFont="1" applyFill="1"/>
    <xf numFmtId="0" fontId="26" fillId="34" borderId="0" xfId="0" applyNumberFormat="1" applyFont="1" applyFill="1"/>
    <xf numFmtId="0" fontId="27" fillId="35" borderId="0" xfId="0" applyNumberFormat="1" applyFont="1" applyFill="1"/>
    <xf numFmtId="0" fontId="28" fillId="36" borderId="0" xfId="0" applyNumberFormat="1" applyFont="1" applyFill="1"/>
    <xf numFmtId="0" fontId="29" fillId="37" borderId="0" xfId="0" applyNumberFormat="1" applyFont="1" applyFill="1"/>
    <xf numFmtId="0" fontId="30" fillId="38" borderId="0" xfId="0" applyNumberFormat="1" applyFont="1" applyFill="1"/>
    <xf numFmtId="0" fontId="31" fillId="39" borderId="0" xfId="0" applyNumberFormat="1" applyFont="1" applyFill="1"/>
    <xf numFmtId="0" fontId="32" fillId="40" borderId="0" xfId="0" applyNumberFormat="1" applyFont="1" applyFill="1"/>
    <xf numFmtId="0" fontId="33" fillId="41" borderId="0" xfId="0" applyNumberFormat="1" applyFont="1" applyFill="1"/>
    <xf numFmtId="0" fontId="34" fillId="42" borderId="0" xfId="0" applyNumberFormat="1" applyFont="1" applyFill="1"/>
    <xf numFmtId="0" fontId="35" fillId="43" borderId="0" xfId="0" applyNumberFormat="1" applyFont="1" applyFill="1"/>
    <xf numFmtId="0" fontId="36" fillId="44" borderId="0" xfId="0" applyNumberFormat="1" applyFont="1" applyFill="1"/>
    <xf numFmtId="0" fontId="1" fillId="47" borderId="0" xfId="0" applyNumberFormat="1" applyFont="1" applyFill="1" applyAlignment="1"/>
    <xf numFmtId="0" fontId="1" fillId="31" borderId="0" xfId="0" applyNumberFormat="1" applyFont="1" applyFill="1" applyAlignment="1"/>
    <xf numFmtId="0" fontId="37" fillId="15" borderId="0" xfId="0" applyNumberFormat="1" applyFont="1" applyFill="1"/>
    <xf numFmtId="0" fontId="38" fillId="16" borderId="0" xfId="0" applyNumberFormat="1" applyFont="1" applyFill="1"/>
    <xf numFmtId="0" fontId="39" fillId="18" borderId="0" xfId="0" applyNumberFormat="1" applyFont="1" applyFill="1"/>
    <xf numFmtId="0" fontId="40" fillId="19" borderId="0" xfId="0" applyNumberFormat="1" applyFont="1" applyFill="1"/>
    <xf numFmtId="0" fontId="41" fillId="20" borderId="0" xfId="0" applyNumberFormat="1" applyFont="1" applyFill="1"/>
    <xf numFmtId="0" fontId="42" fillId="17" borderId="0" xfId="0" applyNumberFormat="1" applyFont="1" applyFill="1"/>
    <xf numFmtId="0" fontId="43" fillId="22" borderId="0" xfId="0" applyNumberFormat="1" applyFont="1" applyFill="1"/>
    <xf numFmtId="0" fontId="44" fillId="21" borderId="0" xfId="0" applyNumberFormat="1" applyFont="1" applyFill="1"/>
    <xf numFmtId="0" fontId="45" fillId="23" borderId="0" xfId="0" applyNumberFormat="1" applyFont="1" applyFill="1"/>
    <xf numFmtId="0" fontId="46" fillId="24" borderId="0" xfId="0" applyNumberFormat="1" applyFont="1" applyFill="1"/>
    <xf numFmtId="0" fontId="47" fillId="25" borderId="0" xfId="0" applyNumberFormat="1" applyFont="1" applyFill="1"/>
    <xf numFmtId="0" fontId="3" fillId="26" borderId="0" xfId="0" applyNumberFormat="1" applyFont="1" applyFill="1"/>
    <xf numFmtId="0" fontId="48" fillId="27" borderId="0" xfId="0" applyNumberFormat="1" applyFont="1" applyFill="1"/>
    <xf numFmtId="0" fontId="49" fillId="2" borderId="0" xfId="0" applyNumberFormat="1" applyFont="1" applyFill="1"/>
    <xf numFmtId="49" fontId="0" fillId="3" borderId="0" xfId="0" applyNumberFormat="1" applyFont="1" applyFill="1"/>
    <xf numFmtId="0" fontId="0" fillId="31" borderId="0" xfId="0" applyFont="1" applyFill="1"/>
    <xf numFmtId="49" fontId="0" fillId="31" borderId="0" xfId="0" applyNumberFormat="1" applyFont="1" applyFill="1" applyAlignment="1">
      <alignment horizontal="center"/>
    </xf>
    <xf numFmtId="0" fontId="0" fillId="0" borderId="0" xfId="0" applyFont="1" applyFill="1"/>
    <xf numFmtId="49" fontId="11" fillId="0" borderId="0" xfId="0" applyNumberFormat="1" applyFont="1" applyFill="1"/>
    <xf numFmtId="49" fontId="49" fillId="0" borderId="0" xfId="0" applyNumberFormat="1" applyFont="1" applyFill="1"/>
    <xf numFmtId="0" fontId="0" fillId="0" borderId="0" xfId="0" applyFont="1" applyFill="1" applyAlignment="1">
      <alignment horizontal="center"/>
    </xf>
    <xf numFmtId="49" fontId="0" fillId="0" borderId="0" xfId="0" applyNumberFormat="1" applyFont="1" applyFill="1" applyAlignment="1">
      <alignment horizontal="right"/>
    </xf>
    <xf numFmtId="0" fontId="0" fillId="0" borderId="0" xfId="0" applyFont="1" applyFill="1" applyAlignment="1">
      <alignment horizontal="right"/>
    </xf>
    <xf numFmtId="49" fontId="6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  <color rgb="FFD69D85"/>
      <color rgb="FF264F78"/>
      <color rgb="FF762C2C"/>
      <color rgb="FFE51400"/>
      <color rgb="FF859900"/>
      <color rgb="FF2AA198"/>
      <color rgb="FF268BD2"/>
      <color rgb="FF6C71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4"/>
  <sheetViews>
    <sheetView tabSelected="1" zoomScaleNormal="100" workbookViewId="0">
      <pane ySplit="1" topLeftCell="A65" activePane="bottomLeft" state="frozen"/>
      <selection pane="bottomLeft" activeCell="B83" sqref="B83"/>
    </sheetView>
  </sheetViews>
  <sheetFormatPr defaultRowHeight="15" x14ac:dyDescent="0.25"/>
  <cols>
    <col min="1" max="1" width="10.7109375" style="15" customWidth="1"/>
    <col min="2" max="2" width="3.7109375" style="1" customWidth="1"/>
    <col min="3" max="3" width="10.7109375" style="2" customWidth="1"/>
    <col min="4" max="6" width="5.7109375" style="3" customWidth="1"/>
    <col min="7" max="8" width="12.7109375" style="3" customWidth="1"/>
    <col min="9" max="9" width="4.5703125" style="67" customWidth="1"/>
    <col min="10" max="10" width="9.140625" style="67" customWidth="1"/>
    <col min="11" max="11" width="16.5703125" style="67" customWidth="1"/>
    <col min="12" max="12" width="15.28515625" style="11" bestFit="1" customWidth="1"/>
    <col min="13" max="13" width="6.5703125" style="10" customWidth="1"/>
    <col min="14" max="14" width="15.28515625" style="70" bestFit="1" customWidth="1"/>
    <col min="15" max="15" width="3.7109375" style="67" customWidth="1"/>
    <col min="16" max="18" width="9.140625" style="67"/>
    <col min="19" max="16384" width="9.140625" style="1"/>
  </cols>
  <sheetData>
    <row r="1" spans="1:15" x14ac:dyDescent="0.25">
      <c r="A1" s="15" t="s">
        <v>0</v>
      </c>
      <c r="B1" s="1" t="s">
        <v>74</v>
      </c>
      <c r="C1" s="2" t="s">
        <v>2</v>
      </c>
      <c r="D1" s="6" t="s">
        <v>71</v>
      </c>
      <c r="E1" s="7" t="s">
        <v>72</v>
      </c>
      <c r="F1" s="8" t="s">
        <v>73</v>
      </c>
      <c r="G1" s="3" t="s">
        <v>60</v>
      </c>
      <c r="H1" s="3" t="s">
        <v>37</v>
      </c>
      <c r="J1" s="67" t="s">
        <v>33</v>
      </c>
      <c r="K1" s="67" t="s">
        <v>1</v>
      </c>
      <c r="L1" s="11" t="s">
        <v>35</v>
      </c>
      <c r="M1" s="10" t="s">
        <v>74</v>
      </c>
      <c r="N1" s="11" t="s">
        <v>34</v>
      </c>
      <c r="O1" s="67" t="s">
        <v>74</v>
      </c>
    </row>
    <row r="2" spans="1:15" x14ac:dyDescent="0.25">
      <c r="A2" s="16"/>
      <c r="B2" s="5"/>
      <c r="C2" s="5"/>
      <c r="D2" s="5"/>
      <c r="E2" s="5" t="s">
        <v>54</v>
      </c>
      <c r="F2" s="5"/>
      <c r="G2" s="5"/>
      <c r="H2" s="5"/>
      <c r="J2" s="65" t="s">
        <v>75</v>
      </c>
      <c r="K2" s="66"/>
      <c r="L2" s="66"/>
      <c r="M2" s="66"/>
      <c r="N2" s="66"/>
    </row>
    <row r="3" spans="1:15" x14ac:dyDescent="0.25">
      <c r="A3" s="73" t="str">
        <f>C3</f>
        <v>000000</v>
      </c>
      <c r="B3" s="1">
        <v>1</v>
      </c>
      <c r="C3" s="2" t="s">
        <v>3</v>
      </c>
      <c r="D3" s="3">
        <f t="array" ref="D3:F3">HexToRGB(C3)</f>
        <v>0</v>
      </c>
      <c r="E3" s="3">
        <v>0</v>
      </c>
      <c r="F3" s="3">
        <v>0</v>
      </c>
      <c r="G3" s="3" t="str">
        <f>C3&amp;"00"</f>
        <v>00000000</v>
      </c>
      <c r="H3" s="3" t="str">
        <f>LEFT(G3,2)&amp;" "&amp;MID(G3,3,2)&amp;" "&amp;MID(G3,5,2)&amp;" "&amp;RIGHT(G3,2)&amp;" "</f>
        <v xml:space="preserve">00 00 00 00 </v>
      </c>
      <c r="J3" s="67" t="s">
        <v>88</v>
      </c>
      <c r="K3" s="11"/>
      <c r="O3" s="71"/>
    </row>
    <row r="4" spans="1:15" x14ac:dyDescent="0.25">
      <c r="A4" s="17" t="str">
        <f t="shared" ref="A4:A18" si="0">C4</f>
        <v>1e1e1e</v>
      </c>
      <c r="B4" s="1">
        <v>2</v>
      </c>
      <c r="C4" s="2" t="s">
        <v>4</v>
      </c>
      <c r="D4" s="3">
        <f t="array" ref="D4:F4">HexToRGB(C4)</f>
        <v>30</v>
      </c>
      <c r="E4" s="3">
        <v>30</v>
      </c>
      <c r="F4" s="3">
        <v>30</v>
      </c>
      <c r="G4" s="3" t="str">
        <f t="shared" ref="G4" si="1">C4&amp;"00"</f>
        <v>1e1e1e00</v>
      </c>
      <c r="H4" s="3" t="str">
        <f t="shared" ref="H4:H37" si="2">LEFT(G4,2)&amp;" "&amp;MID(G4,3,2)&amp;" "&amp;MID(G4,5,2)&amp;" "&amp;RIGHT(G4,2)&amp;" "</f>
        <v xml:space="preserve">1e 1e 1e 00 </v>
      </c>
      <c r="O4" s="71"/>
    </row>
    <row r="5" spans="1:15" x14ac:dyDescent="0.25">
      <c r="A5" s="18" t="str">
        <f t="shared" si="0"/>
        <v>343a40</v>
      </c>
      <c r="B5" s="1">
        <v>3</v>
      </c>
      <c r="C5" s="2" t="s">
        <v>7</v>
      </c>
      <c r="D5" s="3">
        <f t="array" ref="D5:F5">HexToRGB(C5)</f>
        <v>52</v>
      </c>
      <c r="E5" s="3">
        <v>58</v>
      </c>
      <c r="F5" s="3">
        <v>64</v>
      </c>
      <c r="G5" s="3" t="str">
        <f t="shared" ref="G5:G13" si="3">C5&amp;"00"</f>
        <v>343a4000</v>
      </c>
      <c r="H5" s="3" t="str">
        <f t="shared" ref="H5:H18" si="4">LEFT(G5,2)&amp;" "&amp;MID(G5,3,2)&amp;" "&amp;MID(G5,5,2)&amp;" "&amp;RIGHT(G5,2)&amp;" "</f>
        <v xml:space="preserve">34 3a 40 00 </v>
      </c>
      <c r="J5" s="67" t="s">
        <v>76</v>
      </c>
      <c r="K5" s="67" t="s">
        <v>34</v>
      </c>
      <c r="L5" s="67" t="s">
        <v>82</v>
      </c>
      <c r="O5" s="71"/>
    </row>
    <row r="6" spans="1:15" x14ac:dyDescent="0.25">
      <c r="A6" s="19" t="str">
        <f t="shared" si="0"/>
        <v>3c4248</v>
      </c>
      <c r="B6" s="1">
        <v>4</v>
      </c>
      <c r="C6" s="2" t="s">
        <v>8</v>
      </c>
      <c r="D6" s="3">
        <f t="array" ref="D6:F6">HexToRGB(C6)</f>
        <v>60</v>
      </c>
      <c r="E6" s="3">
        <v>66</v>
      </c>
      <c r="F6" s="3">
        <v>72</v>
      </c>
      <c r="G6" s="3" t="str">
        <f t="shared" si="3"/>
        <v>3c424800</v>
      </c>
      <c r="H6" s="3" t="str">
        <f t="shared" si="4"/>
        <v xml:space="preserve">3c 42 48 00 </v>
      </c>
      <c r="J6" s="67" t="s">
        <v>76</v>
      </c>
      <c r="K6" s="67" t="s">
        <v>35</v>
      </c>
      <c r="L6" s="67" t="s">
        <v>83</v>
      </c>
      <c r="O6" s="71"/>
    </row>
    <row r="7" spans="1:15" x14ac:dyDescent="0.25">
      <c r="A7" s="20" t="str">
        <f t="shared" si="0"/>
        <v>d4d4d4</v>
      </c>
      <c r="B7" s="1">
        <v>5</v>
      </c>
      <c r="C7" s="2" t="s">
        <v>5</v>
      </c>
      <c r="D7" s="3">
        <f t="array" ref="D7:F7">HexToRGB(C7)</f>
        <v>212</v>
      </c>
      <c r="E7" s="3">
        <v>212</v>
      </c>
      <c r="F7" s="3">
        <v>212</v>
      </c>
      <c r="G7" s="3" t="str">
        <f t="shared" si="3"/>
        <v>d4d4d400</v>
      </c>
      <c r="H7" s="3" t="str">
        <f t="shared" si="4"/>
        <v xml:space="preserve">d4 d4 d4 00 </v>
      </c>
      <c r="J7" s="67" t="s">
        <v>76</v>
      </c>
      <c r="K7" s="67" t="s">
        <v>84</v>
      </c>
      <c r="L7" s="67" t="s">
        <v>85</v>
      </c>
      <c r="O7" s="71"/>
    </row>
    <row r="8" spans="1:15" x14ac:dyDescent="0.25">
      <c r="A8" s="21" t="str">
        <f t="shared" si="0"/>
        <v>ffffff</v>
      </c>
      <c r="B8" s="1">
        <v>6</v>
      </c>
      <c r="C8" s="2" t="s">
        <v>6</v>
      </c>
      <c r="D8" s="3">
        <f t="array" ref="D8:F8">HexToRGB(C8)</f>
        <v>255</v>
      </c>
      <c r="E8" s="3">
        <v>255</v>
      </c>
      <c r="F8" s="3">
        <v>255</v>
      </c>
      <c r="G8" s="3" t="str">
        <f t="shared" si="3"/>
        <v>ffffff00</v>
      </c>
      <c r="H8" s="3" t="str">
        <f t="shared" si="4"/>
        <v xml:space="preserve">ff ff ff 00 </v>
      </c>
      <c r="J8" s="67" t="s">
        <v>76</v>
      </c>
      <c r="K8" s="67" t="s">
        <v>86</v>
      </c>
      <c r="L8" s="67" t="s">
        <v>87</v>
      </c>
      <c r="O8" s="71"/>
    </row>
    <row r="9" spans="1:15" x14ac:dyDescent="0.25">
      <c r="A9" s="22" t="str">
        <f t="shared" si="0"/>
        <v>264f78</v>
      </c>
      <c r="B9" s="1">
        <v>7</v>
      </c>
      <c r="C9" s="2" t="s">
        <v>58</v>
      </c>
      <c r="D9" s="3">
        <f t="array" ref="D9:F9">HexToRGB(C9)</f>
        <v>38</v>
      </c>
      <c r="E9" s="3">
        <v>79</v>
      </c>
      <c r="F9" s="3">
        <v>120</v>
      </c>
      <c r="G9" s="3" t="str">
        <f t="shared" si="3"/>
        <v>264f7800</v>
      </c>
      <c r="H9" s="3" t="str">
        <f t="shared" si="4"/>
        <v xml:space="preserve">26 4f 78 00 </v>
      </c>
      <c r="O9" s="71"/>
    </row>
    <row r="10" spans="1:15" x14ac:dyDescent="0.25">
      <c r="A10" s="23" t="str">
        <f t="shared" si="0"/>
        <v>569cd6</v>
      </c>
      <c r="B10" s="1">
        <v>8</v>
      </c>
      <c r="C10" s="2" t="s">
        <v>9</v>
      </c>
      <c r="D10" s="3">
        <f t="array" ref="D10:F10">HexToRGB(C10)</f>
        <v>86</v>
      </c>
      <c r="E10" s="3">
        <v>156</v>
      </c>
      <c r="F10" s="3">
        <v>214</v>
      </c>
      <c r="G10" s="3" t="str">
        <f t="shared" si="3"/>
        <v>569cd600</v>
      </c>
      <c r="H10" s="3" t="str">
        <f t="shared" si="4"/>
        <v xml:space="preserve">56 9c d6 00 </v>
      </c>
      <c r="O10" s="71"/>
    </row>
    <row r="11" spans="1:15" x14ac:dyDescent="0.25">
      <c r="A11" s="24" t="str">
        <f t="shared" si="0"/>
        <v>74b0df</v>
      </c>
      <c r="B11" s="1">
        <v>9</v>
      </c>
      <c r="C11" s="2" t="s">
        <v>10</v>
      </c>
      <c r="D11" s="3">
        <f t="array" ref="D11:F11">HexToRGB(C11)</f>
        <v>116</v>
      </c>
      <c r="E11" s="3">
        <v>176</v>
      </c>
      <c r="F11" s="3">
        <v>223</v>
      </c>
      <c r="G11" s="3" t="str">
        <f t="shared" si="3"/>
        <v>74b0df00</v>
      </c>
      <c r="H11" s="3" t="str">
        <f t="shared" si="4"/>
        <v xml:space="preserve">74 b0 df 00 </v>
      </c>
      <c r="O11" s="71"/>
    </row>
    <row r="12" spans="1:15" x14ac:dyDescent="0.25">
      <c r="A12" s="25" t="str">
        <f t="shared" si="0"/>
        <v>794e8b</v>
      </c>
      <c r="B12" s="1">
        <v>10</v>
      </c>
      <c r="C12" s="2" t="s">
        <v>14</v>
      </c>
      <c r="D12" s="3">
        <f t="array" ref="D12:F12">HexToRGB(C12)</f>
        <v>121</v>
      </c>
      <c r="E12" s="3">
        <v>78</v>
      </c>
      <c r="F12" s="3">
        <v>139</v>
      </c>
      <c r="G12" s="3" t="str">
        <f t="shared" si="3"/>
        <v>794e8b00</v>
      </c>
      <c r="H12" s="3" t="str">
        <f t="shared" si="4"/>
        <v xml:space="preserve">79 4e 8b 00 </v>
      </c>
      <c r="O12" s="71"/>
    </row>
    <row r="13" spans="1:15" x14ac:dyDescent="0.25">
      <c r="A13" s="26" t="str">
        <f t="shared" si="0"/>
        <v>9f74b1</v>
      </c>
      <c r="B13" s="1">
        <v>11</v>
      </c>
      <c r="C13" s="2" t="s">
        <v>15</v>
      </c>
      <c r="D13" s="3">
        <f t="array" ref="D13:F13">HexToRGB(C13)</f>
        <v>159</v>
      </c>
      <c r="E13" s="3">
        <v>116</v>
      </c>
      <c r="F13" s="3">
        <v>177</v>
      </c>
      <c r="G13" s="3" t="str">
        <f t="shared" si="3"/>
        <v>9f74b100</v>
      </c>
      <c r="H13" s="3" t="str">
        <f t="shared" si="4"/>
        <v xml:space="preserve">9f 74 b1 00 </v>
      </c>
    </row>
    <row r="14" spans="1:15" x14ac:dyDescent="0.25">
      <c r="A14" s="27" t="str">
        <f t="shared" si="0"/>
        <v>e51400</v>
      </c>
      <c r="B14" s="1">
        <v>12</v>
      </c>
      <c r="C14" s="2" t="s">
        <v>57</v>
      </c>
      <c r="D14" s="3">
        <f t="array" ref="D14:F14">HexToRGB(C14)</f>
        <v>229</v>
      </c>
      <c r="E14" s="3">
        <v>20</v>
      </c>
      <c r="F14" s="3">
        <v>0</v>
      </c>
      <c r="G14" s="3" t="str">
        <f t="shared" ref="G14" si="5">C14&amp;"00"</f>
        <v>e5140000</v>
      </c>
      <c r="H14" s="3" t="str">
        <f t="shared" si="4"/>
        <v xml:space="preserve">e5 14 00 00 </v>
      </c>
    </row>
    <row r="15" spans="1:15" x14ac:dyDescent="0.25">
      <c r="A15" s="28" t="str">
        <f t="shared" si="0"/>
        <v>d69d85</v>
      </c>
      <c r="B15" s="1">
        <v>13</v>
      </c>
      <c r="C15" s="2" t="s">
        <v>59</v>
      </c>
      <c r="D15" s="3">
        <f t="array" ref="D15:F15">HexToRGB(C15)</f>
        <v>214</v>
      </c>
      <c r="E15" s="3">
        <v>157</v>
      </c>
      <c r="F15" s="3">
        <v>133</v>
      </c>
      <c r="G15" s="3" t="str">
        <f>C15&amp;"00"</f>
        <v>d69d8500</v>
      </c>
      <c r="H15" s="3" t="str">
        <f t="shared" si="4"/>
        <v xml:space="preserve">d6 9d 85 00 </v>
      </c>
    </row>
    <row r="16" spans="1:15" x14ac:dyDescent="0.25">
      <c r="A16" s="29" t="str">
        <f t="shared" si="0"/>
        <v>ce9178</v>
      </c>
      <c r="B16" s="1">
        <v>14</v>
      </c>
      <c r="C16" s="2" t="s">
        <v>13</v>
      </c>
      <c r="D16" s="3">
        <f t="array" ref="D16:F16">HexToRGB(C16)</f>
        <v>206</v>
      </c>
      <c r="E16" s="3">
        <v>145</v>
      </c>
      <c r="F16" s="3">
        <v>120</v>
      </c>
      <c r="G16" s="3" t="str">
        <f>C16&amp;"00"</f>
        <v>ce917800</v>
      </c>
      <c r="H16" s="3" t="str">
        <f t="shared" si="4"/>
        <v xml:space="preserve">ce 91 78 00 </v>
      </c>
    </row>
    <row r="17" spans="1:16" x14ac:dyDescent="0.25">
      <c r="A17" s="30" t="str">
        <f t="shared" si="0"/>
        <v>608b4e</v>
      </c>
      <c r="B17" s="1">
        <v>15</v>
      </c>
      <c r="C17" s="2" t="s">
        <v>11</v>
      </c>
      <c r="D17" s="3">
        <f t="array" ref="D17:F17">HexToRGB(C17)</f>
        <v>96</v>
      </c>
      <c r="E17" s="3">
        <v>139</v>
      </c>
      <c r="F17" s="3">
        <v>78</v>
      </c>
      <c r="G17" s="3" t="str">
        <f>C17&amp;"00"</f>
        <v>608b4e00</v>
      </c>
      <c r="H17" s="3" t="str">
        <f t="shared" si="4"/>
        <v xml:space="preserve">60 8b 4e 00 </v>
      </c>
    </row>
    <row r="18" spans="1:16" x14ac:dyDescent="0.25">
      <c r="A18" s="31" t="str">
        <f t="shared" si="0"/>
        <v>b5cea8</v>
      </c>
      <c r="B18" s="1">
        <v>16</v>
      </c>
      <c r="C18" s="2" t="s">
        <v>12</v>
      </c>
      <c r="D18" s="3">
        <f t="array" ref="D18:F18">HexToRGB(C18)</f>
        <v>181</v>
      </c>
      <c r="E18" s="3">
        <v>206</v>
      </c>
      <c r="F18" s="3">
        <v>168</v>
      </c>
      <c r="G18" s="3" t="str">
        <f>C18&amp;"00"</f>
        <v>b5cea800</v>
      </c>
      <c r="H18" s="3" t="str">
        <f t="shared" si="4"/>
        <v xml:space="preserve">b5 ce a8 00 </v>
      </c>
    </row>
    <row r="19" spans="1:16" x14ac:dyDescent="0.25">
      <c r="A19" s="15" t="s">
        <v>30</v>
      </c>
      <c r="B19" s="1" t="str">
        <f>_xlfn.CONCAT(H3:H18)</f>
        <v xml:space="preserve">00 00 00 00 1e 1e 1e 00 34 3a 40 00 3c 42 48 00 d4 d4 d4 00 ff ff ff 00 26 4f 78 00 56 9c d6 00 74 b0 df 00 79 4e 8b 00 9f 74 b1 00 e5 14 00 00 d6 9d 85 00 ce 91 78 00 60 8b 4e 00 b5 ce a8 00 </v>
      </c>
      <c r="C19" s="1"/>
    </row>
    <row r="21" spans="1:16" x14ac:dyDescent="0.25">
      <c r="A21" s="48"/>
      <c r="B21" s="13"/>
      <c r="C21" s="13"/>
      <c r="D21" s="13"/>
      <c r="E21" s="9" t="s">
        <v>55</v>
      </c>
      <c r="F21" s="13"/>
      <c r="G21" s="13"/>
      <c r="H21" s="13"/>
      <c r="N21" s="11"/>
      <c r="O21" s="71"/>
      <c r="P21" s="72"/>
    </row>
    <row r="22" spans="1:16" x14ac:dyDescent="0.25">
      <c r="A22" s="32" t="str">
        <f>C22</f>
        <v>002b36</v>
      </c>
      <c r="B22" s="1">
        <v>1</v>
      </c>
      <c r="C22" s="2" t="s">
        <v>38</v>
      </c>
      <c r="D22" s="3">
        <f t="array" ref="D22:F22">HexToRGB(C22)</f>
        <v>0</v>
      </c>
      <c r="E22" s="3">
        <v>43</v>
      </c>
      <c r="F22" s="3">
        <v>54</v>
      </c>
      <c r="G22" s="3" t="str">
        <f t="shared" ref="G22:G37" si="6">C22&amp;"00"</f>
        <v>002b3600</v>
      </c>
      <c r="H22" s="3" t="str">
        <f t="shared" si="2"/>
        <v xml:space="preserve">00 2b 36 00 </v>
      </c>
      <c r="O22" s="71"/>
    </row>
    <row r="23" spans="1:16" x14ac:dyDescent="0.25">
      <c r="A23" s="33" t="str">
        <f t="shared" ref="A23:A37" si="7">C23</f>
        <v>073642</v>
      </c>
      <c r="B23" s="1">
        <v>2</v>
      </c>
      <c r="C23" s="2" t="s">
        <v>39</v>
      </c>
      <c r="D23" s="3">
        <f t="array" ref="D23:F23">HexToRGB(C23)</f>
        <v>7</v>
      </c>
      <c r="E23" s="3">
        <v>54</v>
      </c>
      <c r="F23" s="3">
        <v>66</v>
      </c>
      <c r="G23" s="3" t="str">
        <f t="shared" si="6"/>
        <v>07364200</v>
      </c>
      <c r="H23" s="3" t="str">
        <f t="shared" si="2"/>
        <v xml:space="preserve">07 36 42 00 </v>
      </c>
      <c r="O23" s="71"/>
    </row>
    <row r="24" spans="1:16" x14ac:dyDescent="0.25">
      <c r="A24" s="34" t="str">
        <f t="shared" si="7"/>
        <v>586e75</v>
      </c>
      <c r="B24" s="1">
        <v>3</v>
      </c>
      <c r="C24" s="2" t="s">
        <v>40</v>
      </c>
      <c r="D24" s="3">
        <f t="array" ref="D24:F24">HexToRGB(C24)</f>
        <v>88</v>
      </c>
      <c r="E24" s="3">
        <v>110</v>
      </c>
      <c r="F24" s="3">
        <v>117</v>
      </c>
      <c r="G24" s="3" t="str">
        <f t="shared" si="6"/>
        <v>586e7500</v>
      </c>
      <c r="H24" s="3" t="str">
        <f t="shared" si="2"/>
        <v xml:space="preserve">58 6e 75 00 </v>
      </c>
      <c r="O24" s="71"/>
    </row>
    <row r="25" spans="1:16" x14ac:dyDescent="0.25">
      <c r="A25" s="35" t="str">
        <f t="shared" si="7"/>
        <v>657b83</v>
      </c>
      <c r="B25" s="1">
        <v>4</v>
      </c>
      <c r="C25" s="2" t="s">
        <v>41</v>
      </c>
      <c r="D25" s="3">
        <f t="array" ref="D25:F25">HexToRGB(C25)</f>
        <v>101</v>
      </c>
      <c r="E25" s="3">
        <v>123</v>
      </c>
      <c r="F25" s="3">
        <v>131</v>
      </c>
      <c r="G25" s="3" t="str">
        <f t="shared" si="6"/>
        <v>657b8300</v>
      </c>
      <c r="H25" s="3" t="str">
        <f t="shared" si="2"/>
        <v xml:space="preserve">65 7b 83 00 </v>
      </c>
      <c r="O25" s="71"/>
    </row>
    <row r="26" spans="1:16" x14ac:dyDescent="0.25">
      <c r="A26" s="36" t="str">
        <f t="shared" si="7"/>
        <v>839496</v>
      </c>
      <c r="B26" s="1">
        <v>5</v>
      </c>
      <c r="C26" s="2" t="s">
        <v>42</v>
      </c>
      <c r="D26" s="3">
        <f t="array" ref="D26:F26">HexToRGB(C26)</f>
        <v>131</v>
      </c>
      <c r="E26" s="3">
        <v>148</v>
      </c>
      <c r="F26" s="3">
        <v>150</v>
      </c>
      <c r="G26" s="3" t="str">
        <f t="shared" si="6"/>
        <v>83949600</v>
      </c>
      <c r="H26" s="3" t="str">
        <f t="shared" si="2"/>
        <v xml:space="preserve">83 94 96 00 </v>
      </c>
      <c r="O26" s="71"/>
    </row>
    <row r="27" spans="1:16" x14ac:dyDescent="0.25">
      <c r="A27" s="37" t="str">
        <f t="shared" si="7"/>
        <v>93a1a1</v>
      </c>
      <c r="B27" s="1">
        <v>6</v>
      </c>
      <c r="C27" s="2" t="s">
        <v>43</v>
      </c>
      <c r="D27" s="3">
        <f t="array" ref="D27:F27">HexToRGB(C27)</f>
        <v>147</v>
      </c>
      <c r="E27" s="3">
        <v>161</v>
      </c>
      <c r="F27" s="3">
        <v>161</v>
      </c>
      <c r="G27" s="3" t="str">
        <f t="shared" si="6"/>
        <v>93a1a100</v>
      </c>
      <c r="H27" s="3" t="str">
        <f t="shared" si="2"/>
        <v xml:space="preserve">93 a1 a1 00 </v>
      </c>
      <c r="O27" s="71"/>
    </row>
    <row r="28" spans="1:16" x14ac:dyDescent="0.25">
      <c r="A28" s="38" t="str">
        <f t="shared" si="7"/>
        <v>eee8d5</v>
      </c>
      <c r="B28" s="1">
        <v>7</v>
      </c>
      <c r="C28" s="2" t="s">
        <v>44</v>
      </c>
      <c r="D28" s="3">
        <f t="array" ref="D28:F28">HexToRGB(C28)</f>
        <v>238</v>
      </c>
      <c r="E28" s="3">
        <v>232</v>
      </c>
      <c r="F28" s="3">
        <v>213</v>
      </c>
      <c r="G28" s="3" t="str">
        <f t="shared" si="6"/>
        <v>eee8d500</v>
      </c>
      <c r="H28" s="3" t="str">
        <f t="shared" si="2"/>
        <v xml:space="preserve">ee e8 d5 00 </v>
      </c>
      <c r="O28" s="71"/>
    </row>
    <row r="29" spans="1:16" x14ac:dyDescent="0.25">
      <c r="A29" s="39" t="str">
        <f t="shared" si="7"/>
        <v>fdf6e3</v>
      </c>
      <c r="B29" s="1">
        <v>8</v>
      </c>
      <c r="C29" s="2" t="s">
        <v>45</v>
      </c>
      <c r="D29" s="3">
        <f t="array" ref="D29:F29">HexToRGB(C29)</f>
        <v>253</v>
      </c>
      <c r="E29" s="3">
        <v>246</v>
      </c>
      <c r="F29" s="3">
        <v>227</v>
      </c>
      <c r="G29" s="3" t="str">
        <f t="shared" si="6"/>
        <v>fdf6e300</v>
      </c>
      <c r="H29" s="3" t="str">
        <f t="shared" si="2"/>
        <v xml:space="preserve">fd f6 e3 00 </v>
      </c>
      <c r="O29" s="71"/>
    </row>
    <row r="30" spans="1:16" x14ac:dyDescent="0.25">
      <c r="A30" s="40" t="str">
        <f t="shared" si="7"/>
        <v>b58900</v>
      </c>
      <c r="B30" s="1">
        <v>9</v>
      </c>
      <c r="C30" s="2" t="s">
        <v>46</v>
      </c>
      <c r="D30" s="3">
        <f t="array" ref="D30:F30">HexToRGB(C30)</f>
        <v>181</v>
      </c>
      <c r="E30" s="3">
        <v>137</v>
      </c>
      <c r="F30" s="3">
        <v>0</v>
      </c>
      <c r="G30" s="3" t="str">
        <f t="shared" si="6"/>
        <v>b5890000</v>
      </c>
      <c r="H30" s="3" t="str">
        <f t="shared" si="2"/>
        <v xml:space="preserve">b5 89 00 00 </v>
      </c>
      <c r="O30" s="71"/>
    </row>
    <row r="31" spans="1:16" x14ac:dyDescent="0.25">
      <c r="A31" s="41" t="str">
        <f t="shared" si="7"/>
        <v>cb4b16</v>
      </c>
      <c r="B31" s="1">
        <v>10</v>
      </c>
      <c r="C31" s="2" t="s">
        <v>47</v>
      </c>
      <c r="D31" s="3">
        <f t="array" ref="D31:F31">HexToRGB(C31)</f>
        <v>203</v>
      </c>
      <c r="E31" s="3">
        <v>75</v>
      </c>
      <c r="F31" s="3">
        <v>22</v>
      </c>
      <c r="G31" s="3" t="str">
        <f t="shared" si="6"/>
        <v>cb4b1600</v>
      </c>
      <c r="H31" s="3" t="str">
        <f t="shared" si="2"/>
        <v xml:space="preserve">cb 4b 16 00 </v>
      </c>
      <c r="O31" s="71"/>
    </row>
    <row r="32" spans="1:16" x14ac:dyDescent="0.25">
      <c r="A32" s="42" t="str">
        <f t="shared" si="7"/>
        <v>dc322f</v>
      </c>
      <c r="B32" s="1">
        <v>11</v>
      </c>
      <c r="C32" s="2" t="s">
        <v>48</v>
      </c>
      <c r="D32" s="3">
        <f t="array" ref="D32:F32">HexToRGB(C32)</f>
        <v>220</v>
      </c>
      <c r="E32" s="3">
        <v>50</v>
      </c>
      <c r="F32" s="3">
        <v>47</v>
      </c>
      <c r="G32" s="3" t="str">
        <f t="shared" si="6"/>
        <v>dc322f00</v>
      </c>
      <c r="H32" s="3" t="str">
        <f t="shared" si="2"/>
        <v xml:space="preserve">dc 32 2f 00 </v>
      </c>
    </row>
    <row r="33" spans="1:16" x14ac:dyDescent="0.25">
      <c r="A33" s="43" t="str">
        <f t="shared" si="7"/>
        <v>d33682</v>
      </c>
      <c r="B33" s="1">
        <v>12</v>
      </c>
      <c r="C33" s="2" t="s">
        <v>49</v>
      </c>
      <c r="D33" s="3">
        <f t="array" ref="D33:F33">HexToRGB(C33)</f>
        <v>211</v>
      </c>
      <c r="E33" s="3">
        <v>54</v>
      </c>
      <c r="F33" s="3">
        <v>130</v>
      </c>
      <c r="G33" s="3" t="str">
        <f t="shared" si="6"/>
        <v>d3368200</v>
      </c>
      <c r="H33" s="3" t="str">
        <f t="shared" si="2"/>
        <v xml:space="preserve">d3 36 82 00 </v>
      </c>
    </row>
    <row r="34" spans="1:16" x14ac:dyDescent="0.25">
      <c r="A34" s="44" t="str">
        <f t="shared" si="7"/>
        <v>6c71c4</v>
      </c>
      <c r="B34" s="1">
        <v>13</v>
      </c>
      <c r="C34" s="2" t="s">
        <v>50</v>
      </c>
      <c r="D34" s="3">
        <f t="array" ref="D34:F34">HexToRGB(C34)</f>
        <v>108</v>
      </c>
      <c r="E34" s="3">
        <v>113</v>
      </c>
      <c r="F34" s="3">
        <v>196</v>
      </c>
      <c r="G34" s="3" t="str">
        <f t="shared" si="6"/>
        <v>6c71c400</v>
      </c>
      <c r="H34" s="3" t="str">
        <f t="shared" si="2"/>
        <v xml:space="preserve">6c 71 c4 00 </v>
      </c>
    </row>
    <row r="35" spans="1:16" x14ac:dyDescent="0.25">
      <c r="A35" s="45" t="str">
        <f t="shared" si="7"/>
        <v>268bd2</v>
      </c>
      <c r="B35" s="1">
        <v>14</v>
      </c>
      <c r="C35" s="2" t="s">
        <v>51</v>
      </c>
      <c r="D35" s="3">
        <f t="array" ref="D35:F35">HexToRGB(C35)</f>
        <v>38</v>
      </c>
      <c r="E35" s="3">
        <v>139</v>
      </c>
      <c r="F35" s="3">
        <v>210</v>
      </c>
      <c r="G35" s="3" t="str">
        <f t="shared" si="6"/>
        <v>268bd200</v>
      </c>
      <c r="H35" s="3" t="str">
        <f t="shared" si="2"/>
        <v xml:space="preserve">26 8b d2 00 </v>
      </c>
    </row>
    <row r="36" spans="1:16" x14ac:dyDescent="0.25">
      <c r="A36" s="46" t="str">
        <f t="shared" si="7"/>
        <v>2aa198</v>
      </c>
      <c r="B36" s="1">
        <v>15</v>
      </c>
      <c r="C36" s="2" t="s">
        <v>52</v>
      </c>
      <c r="D36" s="3">
        <f t="array" ref="D36:F36">HexToRGB(C36)</f>
        <v>42</v>
      </c>
      <c r="E36" s="3">
        <v>161</v>
      </c>
      <c r="F36" s="3">
        <v>152</v>
      </c>
      <c r="G36" s="3" t="str">
        <f t="shared" si="6"/>
        <v>2aa19800</v>
      </c>
      <c r="H36" s="3" t="str">
        <f t="shared" si="2"/>
        <v xml:space="preserve">2a a1 98 00 </v>
      </c>
    </row>
    <row r="37" spans="1:16" x14ac:dyDescent="0.25">
      <c r="A37" s="47" t="str">
        <f t="shared" si="7"/>
        <v>859900</v>
      </c>
      <c r="B37" s="1">
        <v>16</v>
      </c>
      <c r="C37" s="2" t="s">
        <v>53</v>
      </c>
      <c r="D37" s="3">
        <f t="array" ref="D37:F37">HexToRGB(C37)</f>
        <v>133</v>
      </c>
      <c r="E37" s="3">
        <v>153</v>
      </c>
      <c r="F37" s="3">
        <v>0</v>
      </c>
      <c r="G37" s="3" t="str">
        <f t="shared" si="6"/>
        <v>85990000</v>
      </c>
      <c r="H37" s="3" t="str">
        <f t="shared" si="2"/>
        <v xml:space="preserve">85 99 00 00 </v>
      </c>
    </row>
    <row r="38" spans="1:16" x14ac:dyDescent="0.25">
      <c r="A38" s="15" t="s">
        <v>30</v>
      </c>
      <c r="B38" s="1" t="str">
        <f>_xlfn.CONCAT(H22:H37)</f>
        <v xml:space="preserve">00 2b 36 00 07 36 42 00 58 6e 75 00 65 7b 83 00 83 94 96 00 93 a1 a1 00 ee e8 d5 00 fd f6 e3 00 b5 89 00 00 cb 4b 16 00 dc 32 2f 00 d3 36 82 00 6c 71 c4 00 26 8b d2 00 2a a1 98 00 85 99 00 00 </v>
      </c>
    </row>
    <row r="40" spans="1:16" x14ac:dyDescent="0.25">
      <c r="A40" s="49"/>
      <c r="B40" s="12"/>
      <c r="C40" s="12"/>
      <c r="D40" s="12"/>
      <c r="E40" s="5" t="s">
        <v>56</v>
      </c>
      <c r="F40" s="12"/>
      <c r="G40" s="12"/>
      <c r="H40" s="12"/>
      <c r="J40" s="65" t="s">
        <v>75</v>
      </c>
      <c r="K40" s="66"/>
      <c r="L40" s="66"/>
      <c r="M40" s="66"/>
      <c r="N40" s="66"/>
      <c r="O40" s="71"/>
      <c r="P40" s="72"/>
    </row>
    <row r="41" spans="1:16" x14ac:dyDescent="0.25">
      <c r="A41" s="64" t="str">
        <f>C41</f>
        <v>000000</v>
      </c>
      <c r="B41" s="1">
        <v>4</v>
      </c>
      <c r="C41" s="2" t="s">
        <v>3</v>
      </c>
      <c r="D41" s="3">
        <f t="array" ref="D41:F41">HexToRGB(C41)</f>
        <v>0</v>
      </c>
      <c r="E41" s="3">
        <v>0</v>
      </c>
      <c r="F41" s="3">
        <v>0</v>
      </c>
      <c r="G41" s="3" t="str">
        <f t="shared" ref="G41:G56" si="8">C41&amp;"00"</f>
        <v>00000000</v>
      </c>
      <c r="H41" s="3" t="str">
        <f>LEFT(G41,2)&amp;" "&amp;MID(G41,3,2)&amp;" "&amp;MID(G41,5,2)&amp;" "&amp;RIGHT(G41,2)&amp;" "</f>
        <v xml:space="preserve">00 00 00 00 </v>
      </c>
      <c r="J41" s="67" t="s">
        <v>88</v>
      </c>
      <c r="K41" s="11"/>
    </row>
    <row r="42" spans="1:16" x14ac:dyDescent="0.25">
      <c r="A42" s="50" t="str">
        <f t="shared" ref="A42:A56" si="9">C42</f>
        <v>000080</v>
      </c>
      <c r="B42" s="1">
        <v>14</v>
      </c>
      <c r="C42" s="2" t="s">
        <v>16</v>
      </c>
      <c r="D42" s="3">
        <f t="array" ref="D42:F42">HexToRGB(C42)</f>
        <v>0</v>
      </c>
      <c r="E42" s="3">
        <v>0</v>
      </c>
      <c r="F42" s="3">
        <v>128</v>
      </c>
      <c r="G42" s="3" t="str">
        <f t="shared" si="8"/>
        <v>00008000</v>
      </c>
      <c r="H42" s="3" t="str">
        <f t="shared" ref="H42:H56" si="10">LEFT(G42,2)&amp;" "&amp;MID(G42,3,2)&amp;" "&amp;MID(G42,5,2)&amp;" "&amp;RIGHT(G42,2)&amp;" "</f>
        <v xml:space="preserve">00 00 80 00 </v>
      </c>
    </row>
    <row r="43" spans="1:16" x14ac:dyDescent="0.25">
      <c r="A43" s="51" t="str">
        <f t="shared" si="9"/>
        <v>008000</v>
      </c>
      <c r="B43" s="1">
        <v>10</v>
      </c>
      <c r="C43" s="2" t="s">
        <v>17</v>
      </c>
      <c r="D43" s="3">
        <f t="array" ref="D43:F43">HexToRGB(C43)</f>
        <v>0</v>
      </c>
      <c r="E43" s="3">
        <v>128</v>
      </c>
      <c r="F43" s="3">
        <v>0</v>
      </c>
      <c r="G43" s="3" t="str">
        <f t="shared" si="8"/>
        <v>00800000</v>
      </c>
      <c r="H43" s="3" t="str">
        <f t="shared" si="10"/>
        <v xml:space="preserve">00 80 00 00 </v>
      </c>
      <c r="J43" s="67" t="s">
        <v>81</v>
      </c>
      <c r="K43" s="67" t="s">
        <v>34</v>
      </c>
      <c r="L43" s="67" t="s">
        <v>77</v>
      </c>
    </row>
    <row r="44" spans="1:16" x14ac:dyDescent="0.25">
      <c r="A44" s="52" t="str">
        <f t="shared" si="9"/>
        <v>008080</v>
      </c>
      <c r="B44" s="1">
        <v>12</v>
      </c>
      <c r="C44" s="2" t="s">
        <v>19</v>
      </c>
      <c r="D44" s="3">
        <f t="array" ref="D44:F44">HexToRGB(C44)</f>
        <v>0</v>
      </c>
      <c r="E44" s="3">
        <v>128</v>
      </c>
      <c r="F44" s="3">
        <v>128</v>
      </c>
      <c r="G44" s="3" t="str">
        <f t="shared" si="8"/>
        <v>00808000</v>
      </c>
      <c r="H44" s="3" t="str">
        <f t="shared" si="10"/>
        <v xml:space="preserve">00 80 80 00 </v>
      </c>
      <c r="J44" s="67" t="s">
        <v>81</v>
      </c>
      <c r="K44" s="67" t="s">
        <v>35</v>
      </c>
      <c r="L44" s="67" t="s">
        <v>78</v>
      </c>
      <c r="M44" s="14"/>
      <c r="N44" s="69"/>
      <c r="O44" s="71"/>
    </row>
    <row r="45" spans="1:16" x14ac:dyDescent="0.25">
      <c r="A45" s="53" t="str">
        <f t="shared" si="9"/>
        <v>800000</v>
      </c>
      <c r="B45" s="1">
        <v>6</v>
      </c>
      <c r="C45" s="2" t="s">
        <v>20</v>
      </c>
      <c r="D45" s="3">
        <f t="array" ref="D45:F45">HexToRGB(C45)</f>
        <v>128</v>
      </c>
      <c r="E45" s="3">
        <v>0</v>
      </c>
      <c r="F45" s="3">
        <v>0</v>
      </c>
      <c r="G45" s="3" t="str">
        <f t="shared" si="8"/>
        <v>80000000</v>
      </c>
      <c r="H45" s="3" t="str">
        <f t="shared" si="10"/>
        <v xml:space="preserve">80 00 00 00 </v>
      </c>
      <c r="J45" s="67" t="s">
        <v>76</v>
      </c>
      <c r="K45" s="67" t="s">
        <v>84</v>
      </c>
      <c r="L45" s="67" t="s">
        <v>85</v>
      </c>
      <c r="M45" s="14"/>
      <c r="N45" s="68"/>
      <c r="O45" s="71"/>
    </row>
    <row r="46" spans="1:16" x14ac:dyDescent="0.25">
      <c r="A46" s="54" t="str">
        <f t="shared" si="9"/>
        <v>800080</v>
      </c>
      <c r="B46" s="1">
        <v>16</v>
      </c>
      <c r="C46" s="2" t="s">
        <v>21</v>
      </c>
      <c r="D46" s="3">
        <f t="array" ref="D46:F46">HexToRGB(C46)</f>
        <v>128</v>
      </c>
      <c r="E46" s="3">
        <v>0</v>
      </c>
      <c r="F46" s="3">
        <v>128</v>
      </c>
      <c r="G46" s="3" t="str">
        <f t="shared" si="8"/>
        <v>80008000</v>
      </c>
      <c r="H46" s="3" t="str">
        <f t="shared" si="10"/>
        <v xml:space="preserve">80 00 80 00 </v>
      </c>
      <c r="J46" s="67" t="s">
        <v>76</v>
      </c>
      <c r="K46" s="67" t="s">
        <v>86</v>
      </c>
      <c r="L46" s="67" t="s">
        <v>87</v>
      </c>
      <c r="M46" s="14"/>
      <c r="N46" s="68"/>
      <c r="O46" s="71"/>
    </row>
    <row r="47" spans="1:16" x14ac:dyDescent="0.25">
      <c r="A47" s="55" t="str">
        <f t="shared" si="9"/>
        <v>808000</v>
      </c>
      <c r="B47" s="1">
        <v>8</v>
      </c>
      <c r="C47" s="2" t="s">
        <v>18</v>
      </c>
      <c r="D47" s="3">
        <f t="array" ref="D47:F47">HexToRGB(C47)</f>
        <v>128</v>
      </c>
      <c r="E47" s="3">
        <v>128</v>
      </c>
      <c r="F47" s="3">
        <v>0</v>
      </c>
      <c r="G47" s="3" t="str">
        <f t="shared" si="8"/>
        <v>80800000</v>
      </c>
      <c r="H47" s="3" t="str">
        <f t="shared" si="10"/>
        <v xml:space="preserve">80 80 00 00 </v>
      </c>
      <c r="M47" s="14"/>
      <c r="N47" s="68"/>
      <c r="O47" s="71"/>
    </row>
    <row r="48" spans="1:16" x14ac:dyDescent="0.25">
      <c r="A48" s="56" t="str">
        <f t="shared" si="9"/>
        <v>c0c0c0</v>
      </c>
      <c r="B48" s="1">
        <v>2</v>
      </c>
      <c r="C48" s="2" t="s">
        <v>23</v>
      </c>
      <c r="D48" s="3">
        <f t="array" ref="D48:F48">HexToRGB(C48)</f>
        <v>192</v>
      </c>
      <c r="E48" s="3">
        <v>192</v>
      </c>
      <c r="F48" s="3">
        <v>192</v>
      </c>
      <c r="G48" s="3" t="str">
        <f t="shared" si="8"/>
        <v>c0c0c000</v>
      </c>
      <c r="H48" s="3" t="str">
        <f t="shared" si="10"/>
        <v xml:space="preserve">c0 c0 c0 00 </v>
      </c>
      <c r="J48" s="67" t="s">
        <v>76</v>
      </c>
      <c r="K48" s="67" t="s">
        <v>34</v>
      </c>
      <c r="L48" s="67" t="s">
        <v>79</v>
      </c>
      <c r="M48" s="14"/>
      <c r="N48" s="68"/>
      <c r="O48" s="71"/>
    </row>
    <row r="49" spans="1:15" x14ac:dyDescent="0.25">
      <c r="A49" s="57" t="str">
        <f t="shared" si="9"/>
        <v>808080</v>
      </c>
      <c r="B49" s="1">
        <v>3</v>
      </c>
      <c r="C49" s="2" t="s">
        <v>22</v>
      </c>
      <c r="D49" s="3">
        <f t="array" ref="D49:F49">HexToRGB(C49)</f>
        <v>128</v>
      </c>
      <c r="E49" s="3">
        <v>128</v>
      </c>
      <c r="F49" s="3">
        <v>128</v>
      </c>
      <c r="G49" s="3" t="str">
        <f t="shared" si="8"/>
        <v>80808000</v>
      </c>
      <c r="H49" s="3" t="str">
        <f t="shared" si="10"/>
        <v xml:space="preserve">80 80 80 00 </v>
      </c>
      <c r="J49" s="67" t="s">
        <v>76</v>
      </c>
      <c r="K49" s="67" t="s">
        <v>35</v>
      </c>
      <c r="L49" s="67" t="s">
        <v>80</v>
      </c>
      <c r="M49" s="14"/>
      <c r="N49" s="68"/>
      <c r="O49" s="71"/>
    </row>
    <row r="50" spans="1:15" x14ac:dyDescent="0.25">
      <c r="A50" s="58" t="str">
        <f t="shared" si="9"/>
        <v>0000ff</v>
      </c>
      <c r="B50" s="1">
        <v>13</v>
      </c>
      <c r="C50" s="2" t="s">
        <v>24</v>
      </c>
      <c r="D50" s="3">
        <f t="array" ref="D50:F50">HexToRGB(C50)</f>
        <v>0</v>
      </c>
      <c r="E50" s="3">
        <v>0</v>
      </c>
      <c r="F50" s="3">
        <v>255</v>
      </c>
      <c r="G50" s="3" t="str">
        <f t="shared" si="8"/>
        <v>0000ff00</v>
      </c>
      <c r="H50" s="3" t="str">
        <f t="shared" si="10"/>
        <v xml:space="preserve">00 00 ff 00 </v>
      </c>
      <c r="J50" s="67" t="s">
        <v>76</v>
      </c>
      <c r="K50" s="67" t="s">
        <v>84</v>
      </c>
      <c r="L50" s="67" t="s">
        <v>85</v>
      </c>
      <c r="M50" s="14"/>
      <c r="N50" s="68"/>
      <c r="O50" s="71"/>
    </row>
    <row r="51" spans="1:15" x14ac:dyDescent="0.25">
      <c r="A51" s="59" t="str">
        <f t="shared" si="9"/>
        <v>00ff00</v>
      </c>
      <c r="B51" s="1">
        <v>9</v>
      </c>
      <c r="C51" s="2" t="s">
        <v>25</v>
      </c>
      <c r="D51" s="3">
        <f t="array" ref="D51:F51">HexToRGB(C51)</f>
        <v>0</v>
      </c>
      <c r="E51" s="3">
        <v>255</v>
      </c>
      <c r="F51" s="3">
        <v>0</v>
      </c>
      <c r="G51" s="3" t="str">
        <f t="shared" si="8"/>
        <v>00ff0000</v>
      </c>
      <c r="H51" s="3" t="str">
        <f t="shared" si="10"/>
        <v xml:space="preserve">00 ff 00 00 </v>
      </c>
      <c r="J51" s="67" t="s">
        <v>76</v>
      </c>
      <c r="K51" s="67" t="s">
        <v>86</v>
      </c>
      <c r="L51" s="67" t="s">
        <v>87</v>
      </c>
    </row>
    <row r="52" spans="1:15" x14ac:dyDescent="0.25">
      <c r="A52" s="60" t="str">
        <f t="shared" si="9"/>
        <v>00ffff</v>
      </c>
      <c r="B52" s="1">
        <v>11</v>
      </c>
      <c r="C52" s="2" t="s">
        <v>26</v>
      </c>
      <c r="D52" s="3">
        <f t="array" ref="D52:F52">HexToRGB(C52)</f>
        <v>0</v>
      </c>
      <c r="E52" s="3">
        <v>255</v>
      </c>
      <c r="F52" s="3">
        <v>255</v>
      </c>
      <c r="G52" s="3" t="str">
        <f t="shared" si="8"/>
        <v>00ffff00</v>
      </c>
      <c r="H52" s="3" t="str">
        <f t="shared" si="10"/>
        <v xml:space="preserve">00 ff ff 00 </v>
      </c>
    </row>
    <row r="53" spans="1:15" x14ac:dyDescent="0.25">
      <c r="A53" s="61" t="str">
        <f t="shared" si="9"/>
        <v>ff0000</v>
      </c>
      <c r="B53" s="1">
        <v>5</v>
      </c>
      <c r="C53" s="2" t="s">
        <v>27</v>
      </c>
      <c r="D53" s="3">
        <f t="array" ref="D53:F53">HexToRGB(C53)</f>
        <v>255</v>
      </c>
      <c r="E53" s="3">
        <v>0</v>
      </c>
      <c r="F53" s="3">
        <v>0</v>
      </c>
      <c r="G53" s="3" t="str">
        <f t="shared" si="8"/>
        <v>ff000000</v>
      </c>
      <c r="H53" s="3" t="str">
        <f t="shared" si="10"/>
        <v xml:space="preserve">ff 00 00 00 </v>
      </c>
    </row>
    <row r="54" spans="1:15" x14ac:dyDescent="0.25">
      <c r="A54" s="62" t="str">
        <f t="shared" si="9"/>
        <v>ff00ff</v>
      </c>
      <c r="B54" s="1">
        <v>15</v>
      </c>
      <c r="C54" s="2" t="s">
        <v>28</v>
      </c>
      <c r="D54" s="3">
        <f t="array" ref="D54:F54">HexToRGB(C54)</f>
        <v>255</v>
      </c>
      <c r="E54" s="3">
        <v>0</v>
      </c>
      <c r="F54" s="3">
        <v>255</v>
      </c>
      <c r="G54" s="3" t="str">
        <f t="shared" si="8"/>
        <v>ff00ff00</v>
      </c>
      <c r="H54" s="3" t="str">
        <f t="shared" si="10"/>
        <v xml:space="preserve">ff 00 ff 00 </v>
      </c>
    </row>
    <row r="55" spans="1:15" x14ac:dyDescent="0.25">
      <c r="A55" s="63" t="str">
        <f t="shared" si="9"/>
        <v>ffff00</v>
      </c>
      <c r="B55" s="1">
        <v>7</v>
      </c>
      <c r="C55" s="2" t="s">
        <v>29</v>
      </c>
      <c r="D55" s="3">
        <f t="array" ref="D55:F55">HexToRGB(C55)</f>
        <v>255</v>
      </c>
      <c r="E55" s="3">
        <v>255</v>
      </c>
      <c r="F55" s="3">
        <v>0</v>
      </c>
      <c r="G55" s="3" t="str">
        <f t="shared" si="8"/>
        <v>ffff0000</v>
      </c>
      <c r="H55" s="3" t="str">
        <f t="shared" si="10"/>
        <v xml:space="preserve">ff ff 00 00 </v>
      </c>
    </row>
    <row r="56" spans="1:15" x14ac:dyDescent="0.25">
      <c r="A56" s="21" t="str">
        <f t="shared" si="9"/>
        <v>ffffff</v>
      </c>
      <c r="B56" s="1">
        <v>1</v>
      </c>
      <c r="C56" s="2" t="s">
        <v>6</v>
      </c>
      <c r="D56" s="3">
        <f t="array" ref="D56:F56">HexToRGB(C56)</f>
        <v>255</v>
      </c>
      <c r="E56" s="3">
        <v>255</v>
      </c>
      <c r="F56" s="3">
        <v>255</v>
      </c>
      <c r="G56" s="3" t="str">
        <f t="shared" si="8"/>
        <v>ffffff00</v>
      </c>
      <c r="H56" s="3" t="str">
        <f t="shared" si="10"/>
        <v xml:space="preserve">ff ff ff 00 </v>
      </c>
    </row>
    <row r="57" spans="1:15" x14ac:dyDescent="0.25">
      <c r="A57" s="15" t="s">
        <v>30</v>
      </c>
      <c r="B57" s="1" t="str">
        <f>_xlfn.CONCAT(H41:H56)</f>
        <v xml:space="preserve">00 00 00 00 00 00 80 00 00 80 00 00 00 80 80 00 80 00 00 00 80 00 80 00 80 80 00 00 c0 c0 c0 00 80 80 80 00 00 00 ff 00 00 ff 00 00 00 ff ff 00 ff 00 00 00 ff 00 ff 00 ff ff 00 00 ff ff ff 00 </v>
      </c>
    </row>
    <row r="58" spans="1:15" x14ac:dyDescent="0.25">
      <c r="B58" s="1" t="s">
        <v>31</v>
      </c>
    </row>
    <row r="61" spans="1:15" x14ac:dyDescent="0.25">
      <c r="B61" s="1" t="s">
        <v>32</v>
      </c>
    </row>
    <row r="62" spans="1:15" x14ac:dyDescent="0.25">
      <c r="B62" s="1" t="s">
        <v>36</v>
      </c>
    </row>
    <row r="64" spans="1:15" ht="15.75" x14ac:dyDescent="0.25">
      <c r="B64" s="4" t="s">
        <v>61</v>
      </c>
    </row>
    <row r="65" spans="2:6" ht="15.75" x14ac:dyDescent="0.25">
      <c r="B65" s="4" t="s">
        <v>62</v>
      </c>
    </row>
    <row r="66" spans="2:6" ht="15.75" x14ac:dyDescent="0.25">
      <c r="B66" s="4" t="s">
        <v>63</v>
      </c>
    </row>
    <row r="67" spans="2:6" ht="15.75" x14ac:dyDescent="0.25">
      <c r="B67" s="4" t="s">
        <v>64</v>
      </c>
    </row>
    <row r="68" spans="2:6" ht="15.75" x14ac:dyDescent="0.25">
      <c r="B68" s="4" t="s">
        <v>65</v>
      </c>
    </row>
    <row r="69" spans="2:6" ht="15.75" x14ac:dyDescent="0.25">
      <c r="B69" s="4"/>
      <c r="D69" s="2"/>
      <c r="E69" s="2"/>
      <c r="F69" s="2"/>
    </row>
    <row r="70" spans="2:6" ht="15.75" x14ac:dyDescent="0.25">
      <c r="B70" s="4" t="s">
        <v>70</v>
      </c>
    </row>
    <row r="71" spans="2:6" ht="15.75" x14ac:dyDescent="0.25">
      <c r="B71" s="4" t="s">
        <v>66</v>
      </c>
    </row>
    <row r="72" spans="2:6" ht="15.75" x14ac:dyDescent="0.25">
      <c r="B72" s="4" t="s">
        <v>67</v>
      </c>
    </row>
    <row r="73" spans="2:6" ht="15.75" x14ac:dyDescent="0.25">
      <c r="B73" s="4" t="s">
        <v>68</v>
      </c>
    </row>
    <row r="74" spans="2:6" ht="15.75" x14ac:dyDescent="0.25">
      <c r="B74" s="4" t="s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Kelly Services,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Dimitri Mitropoulos</dc:creator>
  <cp:lastModifiedBy>DELL</cp:lastModifiedBy>
  <dcterms:created xsi:type="dcterms:W3CDTF">2016-02-08T18:13:54Z</dcterms:created>
  <dcterms:modified xsi:type="dcterms:W3CDTF">2018-03-18T20:50:30Z</dcterms:modified>
</cp:coreProperties>
</file>