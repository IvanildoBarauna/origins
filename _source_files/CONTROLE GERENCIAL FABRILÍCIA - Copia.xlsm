
<file path=[Content_Types].xml><?xml version="1.0" encoding="utf-8"?>
<Types xmlns="http://schemas.openxmlformats.org/package/2006/content-types">
  <Default Extension="bin" ContentType="application/vnd.ms-office.activeX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printerSettings/printerSettings6.bin" ContentType="application/vnd.openxmlformats-officedocument.spreadsheetml.printerSettings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wbk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Fabrilícia Documentos\1.2 FABRILÍCIA\REPORTS\"/>
    </mc:Choice>
  </mc:AlternateContent>
  <xr:revisionPtr revIDLastSave="0" documentId="13_ncr:1_{403AE7F9-8CB0-4898-9939-D7D704607343}" xr6:coauthVersionLast="34" xr6:coauthVersionMax="34" xr10:uidLastSave="{00000000-0000-0000-0000-000000000000}"/>
  <bookViews>
    <workbookView showVerticalScroll="0" xWindow="0" yWindow="0" windowWidth="20490" windowHeight="7530" tabRatio="731" firstSheet="3" activeTab="5" xr2:uid="{00000000-000D-0000-FFFF-FFFF00000000}"/>
  </bookViews>
  <sheets>
    <sheet name="bdMP" sheetId="8" state="hidden" r:id="rId1"/>
    <sheet name="bdAromas&amp;Corantes" sheetId="9" state="hidden" r:id="rId2"/>
    <sheet name="bdCintasCData" sheetId="6" state="hidden" r:id="rId3"/>
    <sheet name="MENU" sheetId="10" r:id="rId4"/>
    <sheet name="Acrescentar" sheetId="18" state="hidden" r:id="rId5"/>
    <sheet name="Entrada de Estoque" sheetId="2" r:id="rId6"/>
    <sheet name="Saída de Estoque" sheetId="14" r:id="rId7"/>
    <sheet name="EstoqueConsolidado" sheetId="4" r:id="rId8"/>
    <sheet name="LogMovimentação" sheetId="15" r:id="rId9"/>
    <sheet name="CadastroWeb" sheetId="17" r:id="rId10"/>
    <sheet name="Impresso" sheetId="16" r:id="rId11"/>
    <sheet name="bdMatériaPrima" sheetId="12" state="hidden" r:id="rId12"/>
    <sheet name="bdPRODUTOTERMINADO" sheetId="13" state="hidden" r:id="rId13"/>
    <sheet name="bdEmbalagens" sheetId="11" state="hidden" r:id="rId14"/>
  </sheets>
  <functionGroups builtInGroupCount="19"/>
  <definedNames>
    <definedName name="_xlnm._FilterDatabase" localSheetId="13" hidden="1">bdEmbalagens!$A$1:$H$53</definedName>
    <definedName name="_xlnm._FilterDatabase" localSheetId="11" hidden="1">bdMatériaPrima!$A$1:$K$103</definedName>
    <definedName name="_xlnm._FilterDatabase" localSheetId="10" hidden="1">Impresso!$A$1:$C$27</definedName>
    <definedName name="_xlnm.Print_Area" localSheetId="10">Impresso!$A$1:$G$27</definedName>
    <definedName name="DadosExternos_1" localSheetId="9" hidden="1">CadastroWeb!$A$5:$J$17</definedName>
    <definedName name="PRODUTOS" localSheetId="6">tbESTOQUE[[#This Row],[DESCRIÇÃO]]</definedName>
    <definedName name="PRODUTOS">tbESTOQUE[[#This Row],[DESCRIÇÃO]]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33" i="4" l="1"/>
  <c r="B133" i="4"/>
  <c r="L133" i="4"/>
  <c r="M133" i="4"/>
  <c r="N133" i="4" s="1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6" i="4"/>
  <c r="O133" i="4" l="1"/>
  <c r="P133" i="4" s="1"/>
  <c r="C4" i="2"/>
  <c r="C6" i="2"/>
  <c r="C8" i="2"/>
  <c r="C10" i="2"/>
  <c r="C10" i="14"/>
  <c r="C8" i="14"/>
  <c r="C6" i="14"/>
  <c r="C4" i="14"/>
  <c r="B132" i="4"/>
  <c r="L132" i="4"/>
  <c r="M132" i="4"/>
  <c r="N132" i="4" s="1"/>
  <c r="O132" i="4" l="1"/>
  <c r="P132" i="4" s="1"/>
  <c r="B6" i="4"/>
  <c r="B131" i="4"/>
  <c r="L131" i="4"/>
  <c r="M131" i="4"/>
  <c r="N131" i="4" s="1"/>
  <c r="O131" i="4" l="1"/>
  <c r="P131" i="4" s="1"/>
  <c r="K134" i="4"/>
  <c r="M6" i="4" l="1"/>
  <c r="O6" i="4" s="1"/>
  <c r="M7" i="4"/>
  <c r="O7" i="4" s="1"/>
  <c r="M8" i="4"/>
  <c r="O8" i="4" s="1"/>
  <c r="M9" i="4"/>
  <c r="N9" i="4" s="1"/>
  <c r="M10" i="4"/>
  <c r="O10" i="4" s="1"/>
  <c r="M11" i="4"/>
  <c r="O11" i="4" s="1"/>
  <c r="M12" i="4"/>
  <c r="O12" i="4" s="1"/>
  <c r="M13" i="4"/>
  <c r="O13" i="4" s="1"/>
  <c r="M14" i="4"/>
  <c r="O14" i="4" s="1"/>
  <c r="M15" i="4"/>
  <c r="O15" i="4" s="1"/>
  <c r="M16" i="4"/>
  <c r="O16" i="4" s="1"/>
  <c r="M17" i="4"/>
  <c r="N17" i="4" s="1"/>
  <c r="M18" i="4"/>
  <c r="O18" i="4" s="1"/>
  <c r="M19" i="4"/>
  <c r="O19" i="4" s="1"/>
  <c r="M20" i="4"/>
  <c r="O20" i="4" s="1"/>
  <c r="M21" i="4"/>
  <c r="O21" i="4" s="1"/>
  <c r="M22" i="4"/>
  <c r="O22" i="4" s="1"/>
  <c r="M23" i="4"/>
  <c r="O23" i="4" s="1"/>
  <c r="M24" i="4"/>
  <c r="O24" i="4" s="1"/>
  <c r="M25" i="4"/>
  <c r="N25" i="4" s="1"/>
  <c r="M26" i="4"/>
  <c r="O26" i="4" s="1"/>
  <c r="M27" i="4"/>
  <c r="O27" i="4" s="1"/>
  <c r="M28" i="4"/>
  <c r="O28" i="4" s="1"/>
  <c r="M29" i="4"/>
  <c r="N29" i="4" s="1"/>
  <c r="M30" i="4"/>
  <c r="O30" i="4" s="1"/>
  <c r="M31" i="4"/>
  <c r="O31" i="4" s="1"/>
  <c r="M32" i="4"/>
  <c r="O32" i="4" s="1"/>
  <c r="M33" i="4"/>
  <c r="O33" i="4" s="1"/>
  <c r="M34" i="4"/>
  <c r="O34" i="4" s="1"/>
  <c r="M35" i="4"/>
  <c r="O35" i="4" s="1"/>
  <c r="M36" i="4"/>
  <c r="O36" i="4" s="1"/>
  <c r="M37" i="4"/>
  <c r="N37" i="4" s="1"/>
  <c r="M38" i="4"/>
  <c r="O38" i="4" s="1"/>
  <c r="M39" i="4"/>
  <c r="O39" i="4" s="1"/>
  <c r="M40" i="4"/>
  <c r="O40" i="4" s="1"/>
  <c r="M41" i="4"/>
  <c r="O41" i="4" s="1"/>
  <c r="M42" i="4"/>
  <c r="O42" i="4" s="1"/>
  <c r="M43" i="4"/>
  <c r="O43" i="4" s="1"/>
  <c r="M44" i="4"/>
  <c r="O44" i="4" s="1"/>
  <c r="M45" i="4"/>
  <c r="O45" i="4" s="1"/>
  <c r="M46" i="4"/>
  <c r="O46" i="4" s="1"/>
  <c r="M47" i="4"/>
  <c r="O47" i="4" s="1"/>
  <c r="M48" i="4"/>
  <c r="O48" i="4" s="1"/>
  <c r="M49" i="4"/>
  <c r="N49" i="4" s="1"/>
  <c r="M50" i="4"/>
  <c r="O50" i="4" s="1"/>
  <c r="M51" i="4"/>
  <c r="O51" i="4" s="1"/>
  <c r="M52" i="4"/>
  <c r="O52" i="4" s="1"/>
  <c r="M53" i="4"/>
  <c r="O53" i="4" s="1"/>
  <c r="M54" i="4"/>
  <c r="O54" i="4" s="1"/>
  <c r="M55" i="4"/>
  <c r="O55" i="4" s="1"/>
  <c r="M56" i="4"/>
  <c r="O56" i="4" s="1"/>
  <c r="M57" i="4"/>
  <c r="O57" i="4" s="1"/>
  <c r="M58" i="4"/>
  <c r="O58" i="4" s="1"/>
  <c r="M59" i="4"/>
  <c r="O59" i="4" s="1"/>
  <c r="M60" i="4"/>
  <c r="O60" i="4" s="1"/>
  <c r="M61" i="4"/>
  <c r="N61" i="4" s="1"/>
  <c r="M62" i="4"/>
  <c r="O62" i="4" s="1"/>
  <c r="M63" i="4"/>
  <c r="O63" i="4" s="1"/>
  <c r="M64" i="4"/>
  <c r="O64" i="4" s="1"/>
  <c r="M65" i="4"/>
  <c r="O65" i="4" s="1"/>
  <c r="M66" i="4"/>
  <c r="O66" i="4" s="1"/>
  <c r="M67" i="4"/>
  <c r="O67" i="4" s="1"/>
  <c r="M68" i="4"/>
  <c r="O68" i="4" s="1"/>
  <c r="M69" i="4"/>
  <c r="O69" i="4" s="1"/>
  <c r="M70" i="4"/>
  <c r="O70" i="4" s="1"/>
  <c r="M71" i="4"/>
  <c r="O71" i="4" s="1"/>
  <c r="M72" i="4"/>
  <c r="O72" i="4" s="1"/>
  <c r="M73" i="4"/>
  <c r="N73" i="4" s="1"/>
  <c r="M74" i="4"/>
  <c r="O74" i="4" s="1"/>
  <c r="M75" i="4"/>
  <c r="O75" i="4" s="1"/>
  <c r="M76" i="4"/>
  <c r="O76" i="4" s="1"/>
  <c r="M77" i="4"/>
  <c r="O77" i="4" s="1"/>
  <c r="M78" i="4"/>
  <c r="O78" i="4" s="1"/>
  <c r="M79" i="4"/>
  <c r="O79" i="4" s="1"/>
  <c r="M80" i="4"/>
  <c r="O80" i="4" s="1"/>
  <c r="M81" i="4"/>
  <c r="N81" i="4" s="1"/>
  <c r="M82" i="4"/>
  <c r="O82" i="4" s="1"/>
  <c r="M83" i="4"/>
  <c r="O83" i="4" s="1"/>
  <c r="M84" i="4"/>
  <c r="O84" i="4" s="1"/>
  <c r="M85" i="4"/>
  <c r="N85" i="4" s="1"/>
  <c r="M86" i="4"/>
  <c r="O86" i="4" s="1"/>
  <c r="M87" i="4"/>
  <c r="O87" i="4" s="1"/>
  <c r="M88" i="4"/>
  <c r="O88" i="4" s="1"/>
  <c r="M89" i="4"/>
  <c r="O89" i="4" s="1"/>
  <c r="M90" i="4"/>
  <c r="O90" i="4" s="1"/>
  <c r="M91" i="4"/>
  <c r="O91" i="4" s="1"/>
  <c r="M92" i="4"/>
  <c r="O92" i="4" s="1"/>
  <c r="M93" i="4"/>
  <c r="N93" i="4" s="1"/>
  <c r="M94" i="4"/>
  <c r="O94" i="4" s="1"/>
  <c r="M95" i="4"/>
  <c r="O95" i="4" s="1"/>
  <c r="M96" i="4"/>
  <c r="O96" i="4" s="1"/>
  <c r="M97" i="4"/>
  <c r="N97" i="4" s="1"/>
  <c r="M98" i="4"/>
  <c r="O98" i="4" s="1"/>
  <c r="M99" i="4"/>
  <c r="O99" i="4" s="1"/>
  <c r="M100" i="4"/>
  <c r="O100" i="4" s="1"/>
  <c r="M101" i="4"/>
  <c r="O101" i="4" s="1"/>
  <c r="M102" i="4"/>
  <c r="O102" i="4" s="1"/>
  <c r="M103" i="4"/>
  <c r="O103" i="4" s="1"/>
  <c r="M104" i="4"/>
  <c r="O104" i="4" s="1"/>
  <c r="M105" i="4"/>
  <c r="N105" i="4" s="1"/>
  <c r="M106" i="4"/>
  <c r="O106" i="4" s="1"/>
  <c r="M107" i="4"/>
  <c r="O107" i="4" s="1"/>
  <c r="M108" i="4"/>
  <c r="O108" i="4" s="1"/>
  <c r="M109" i="4"/>
  <c r="N109" i="4" s="1"/>
  <c r="M110" i="4"/>
  <c r="O110" i="4" s="1"/>
  <c r="M111" i="4"/>
  <c r="O111" i="4" s="1"/>
  <c r="M112" i="4"/>
  <c r="O112" i="4" s="1"/>
  <c r="M113" i="4"/>
  <c r="O113" i="4" s="1"/>
  <c r="M114" i="4"/>
  <c r="O114" i="4" s="1"/>
  <c r="M115" i="4"/>
  <c r="O115" i="4" s="1"/>
  <c r="M116" i="4"/>
  <c r="O116" i="4" s="1"/>
  <c r="M117" i="4"/>
  <c r="N117" i="4" s="1"/>
  <c r="M118" i="4"/>
  <c r="O118" i="4" s="1"/>
  <c r="M119" i="4"/>
  <c r="O119" i="4" s="1"/>
  <c r="M120" i="4"/>
  <c r="O120" i="4" s="1"/>
  <c r="M121" i="4"/>
  <c r="N121" i="4" s="1"/>
  <c r="M122" i="4"/>
  <c r="O122" i="4" s="1"/>
  <c r="M123" i="4"/>
  <c r="O123" i="4" s="1"/>
  <c r="M124" i="4"/>
  <c r="O124" i="4" s="1"/>
  <c r="M125" i="4"/>
  <c r="N125" i="4" s="1"/>
  <c r="M126" i="4"/>
  <c r="O126" i="4" s="1"/>
  <c r="M127" i="4"/>
  <c r="O127" i="4" s="1"/>
  <c r="M128" i="4"/>
  <c r="O128" i="4" s="1"/>
  <c r="M129" i="4"/>
  <c r="N129" i="4" s="1"/>
  <c r="M130" i="4"/>
  <c r="O130" i="4" s="1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N113" i="4" l="1"/>
  <c r="N101" i="4"/>
  <c r="N89" i="4"/>
  <c r="N77" i="4"/>
  <c r="N69" i="4"/>
  <c r="N57" i="4"/>
  <c r="N45" i="4"/>
  <c r="N33" i="4"/>
  <c r="N21" i="4"/>
  <c r="N13" i="4"/>
  <c r="O117" i="4"/>
  <c r="O105" i="4"/>
  <c r="O93" i="4"/>
  <c r="O81" i="4"/>
  <c r="O49" i="4"/>
  <c r="O37" i="4"/>
  <c r="O29" i="4"/>
  <c r="O25" i="4"/>
  <c r="O17" i="4"/>
  <c r="O9" i="4"/>
  <c r="N120" i="4"/>
  <c r="N116" i="4"/>
  <c r="N112" i="4"/>
  <c r="N108" i="4"/>
  <c r="N104" i="4"/>
  <c r="N100" i="4"/>
  <c r="N96" i="4"/>
  <c r="N92" i="4"/>
  <c r="N88" i="4"/>
  <c r="N84" i="4"/>
  <c r="N80" i="4"/>
  <c r="N76" i="4"/>
  <c r="N72" i="4"/>
  <c r="N68" i="4"/>
  <c r="N64" i="4"/>
  <c r="N60" i="4"/>
  <c r="N56" i="4"/>
  <c r="N52" i="4"/>
  <c r="N48" i="4"/>
  <c r="N44" i="4"/>
  <c r="N40" i="4"/>
  <c r="N36" i="4"/>
  <c r="N32" i="4"/>
  <c r="N28" i="4"/>
  <c r="N24" i="4"/>
  <c r="N20" i="4"/>
  <c r="N16" i="4"/>
  <c r="N12" i="4"/>
  <c r="N8" i="4"/>
  <c r="N65" i="4"/>
  <c r="N53" i="4"/>
  <c r="O121" i="4"/>
  <c r="O109" i="4"/>
  <c r="O97" i="4"/>
  <c r="O85" i="4"/>
  <c r="O73" i="4"/>
  <c r="O61" i="4"/>
  <c r="N119" i="4"/>
  <c r="N115" i="4"/>
  <c r="N111" i="4"/>
  <c r="N107" i="4"/>
  <c r="N103" i="4"/>
  <c r="N99" i="4"/>
  <c r="N95" i="4"/>
  <c r="N91" i="4"/>
  <c r="N87" i="4"/>
  <c r="N83" i="4"/>
  <c r="N79" i="4"/>
  <c r="N75" i="4"/>
  <c r="N71" i="4"/>
  <c r="N67" i="4"/>
  <c r="N63" i="4"/>
  <c r="N59" i="4"/>
  <c r="N55" i="4"/>
  <c r="N51" i="4"/>
  <c r="N47" i="4"/>
  <c r="N43" i="4"/>
  <c r="N39" i="4"/>
  <c r="N35" i="4"/>
  <c r="N31" i="4"/>
  <c r="N27" i="4"/>
  <c r="N23" i="4"/>
  <c r="N19" i="4"/>
  <c r="N15" i="4"/>
  <c r="N11" i="4"/>
  <c r="N7" i="4"/>
  <c r="N41" i="4"/>
  <c r="N118" i="4"/>
  <c r="N114" i="4"/>
  <c r="N110" i="4"/>
  <c r="N106" i="4"/>
  <c r="N102" i="4"/>
  <c r="N98" i="4"/>
  <c r="N94" i="4"/>
  <c r="N90" i="4"/>
  <c r="N86" i="4"/>
  <c r="N82" i="4"/>
  <c r="N78" i="4"/>
  <c r="N74" i="4"/>
  <c r="N70" i="4"/>
  <c r="N66" i="4"/>
  <c r="N62" i="4"/>
  <c r="N58" i="4"/>
  <c r="N54" i="4"/>
  <c r="N50" i="4"/>
  <c r="N46" i="4"/>
  <c r="N42" i="4"/>
  <c r="N38" i="4"/>
  <c r="N34" i="4"/>
  <c r="N30" i="4"/>
  <c r="N26" i="4"/>
  <c r="N22" i="4"/>
  <c r="N18" i="4"/>
  <c r="N14" i="4"/>
  <c r="N10" i="4"/>
  <c r="N6" i="4"/>
  <c r="N128" i="4"/>
  <c r="N124" i="4"/>
  <c r="O129" i="4"/>
  <c r="O125" i="4"/>
  <c r="N127" i="4"/>
  <c r="N123" i="4"/>
  <c r="N130" i="4"/>
  <c r="N126" i="4"/>
  <c r="N122" i="4"/>
  <c r="B130" i="4" l="1"/>
  <c r="B129" i="4"/>
  <c r="B128" i="4"/>
  <c r="B127" i="4"/>
  <c r="B126" i="4"/>
  <c r="B125" i="4"/>
  <c r="B124" i="4"/>
  <c r="B123" i="4"/>
  <c r="B122" i="4"/>
  <c r="P130" i="4" l="1"/>
  <c r="P129" i="4"/>
  <c r="P128" i="4"/>
  <c r="P127" i="4"/>
  <c r="P126" i="4"/>
  <c r="P125" i="4"/>
  <c r="P124" i="4"/>
  <c r="P123" i="4"/>
  <c r="P122" i="4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P99" i="4"/>
  <c r="P103" i="4"/>
  <c r="P109" i="4"/>
  <c r="P117" i="4"/>
  <c r="P119" i="4"/>
  <c r="B92" i="4"/>
  <c r="B91" i="4"/>
  <c r="B90" i="4"/>
  <c r="B89" i="4"/>
  <c r="B88" i="4"/>
  <c r="B87" i="4"/>
  <c r="B86" i="4"/>
  <c r="B85" i="4"/>
  <c r="B84" i="4"/>
  <c r="P83" i="4"/>
  <c r="B83" i="4"/>
  <c r="B82" i="4"/>
  <c r="P81" i="4"/>
  <c r="B81" i="4"/>
  <c r="B80" i="4"/>
  <c r="P79" i="4"/>
  <c r="B79" i="4"/>
  <c r="P78" i="4"/>
  <c r="P8" i="4"/>
  <c r="P11" i="4"/>
  <c r="P14" i="4"/>
  <c r="P16" i="4"/>
  <c r="P20" i="4"/>
  <c r="P22" i="4"/>
  <c r="P24" i="4"/>
  <c r="P26" i="4"/>
  <c r="P27" i="4"/>
  <c r="P32" i="4"/>
  <c r="P33" i="4"/>
  <c r="P34" i="4"/>
  <c r="P35" i="4"/>
  <c r="P39" i="4"/>
  <c r="P42" i="4"/>
  <c r="P45" i="4"/>
  <c r="P47" i="4"/>
  <c r="P51" i="4"/>
  <c r="P54" i="4"/>
  <c r="P55" i="4"/>
  <c r="P57" i="4"/>
  <c r="P58" i="4"/>
  <c r="P61" i="4"/>
  <c r="P62" i="4"/>
  <c r="P66" i="4"/>
  <c r="P69" i="4"/>
  <c r="P70" i="4"/>
  <c r="P73" i="4"/>
  <c r="P76" i="4"/>
  <c r="B78" i="4"/>
  <c r="B77" i="4"/>
  <c r="B76" i="4"/>
  <c r="B75" i="4"/>
  <c r="B74" i="4"/>
  <c r="B73" i="4"/>
  <c r="B72" i="4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P95" i="4" l="1"/>
  <c r="P111" i="4"/>
  <c r="P10" i="4"/>
  <c r="P107" i="4"/>
  <c r="P115" i="4"/>
  <c r="P104" i="4"/>
  <c r="P120" i="4"/>
  <c r="P96" i="4"/>
  <c r="P116" i="4"/>
  <c r="P108" i="4"/>
  <c r="P100" i="4"/>
  <c r="P112" i="4"/>
  <c r="P121" i="4"/>
  <c r="P7" i="4"/>
  <c r="P97" i="4"/>
  <c r="P101" i="4"/>
  <c r="P23" i="4"/>
  <c r="P19" i="4"/>
  <c r="P105" i="4"/>
  <c r="P93" i="4"/>
  <c r="P113" i="4"/>
  <c r="P94" i="4"/>
  <c r="P118" i="4"/>
  <c r="P114" i="4"/>
  <c r="P110" i="4"/>
  <c r="P106" i="4"/>
  <c r="P102" i="4"/>
  <c r="P98" i="4"/>
  <c r="P6" i="4"/>
  <c r="P50" i="4"/>
  <c r="P18" i="4"/>
  <c r="P36" i="4"/>
  <c r="P92" i="4"/>
  <c r="P91" i="4"/>
  <c r="P90" i="4"/>
  <c r="P89" i="4"/>
  <c r="P88" i="4"/>
  <c r="P87" i="4"/>
  <c r="P86" i="4"/>
  <c r="P49" i="4"/>
  <c r="P17" i="4"/>
  <c r="P48" i="4"/>
  <c r="P40" i="4"/>
  <c r="P72" i="4"/>
  <c r="P68" i="4"/>
  <c r="P37" i="4"/>
  <c r="P60" i="4"/>
  <c r="P9" i="4"/>
  <c r="P41" i="4"/>
  <c r="P29" i="4"/>
  <c r="P30" i="4"/>
  <c r="P77" i="4"/>
  <c r="P65" i="4"/>
  <c r="P21" i="4"/>
  <c r="P64" i="4"/>
  <c r="P53" i="4"/>
  <c r="P46" i="4"/>
  <c r="P38" i="4"/>
  <c r="P25" i="4"/>
  <c r="P13" i="4"/>
  <c r="P31" i="4"/>
  <c r="P15" i="4"/>
  <c r="P85" i="4"/>
  <c r="P63" i="4"/>
  <c r="P84" i="4"/>
  <c r="P56" i="4"/>
  <c r="P52" i="4"/>
  <c r="P59" i="4"/>
  <c r="P44" i="4"/>
  <c r="P67" i="4"/>
  <c r="P82" i="4"/>
  <c r="P71" i="4"/>
  <c r="P75" i="4"/>
  <c r="P74" i="4"/>
  <c r="P43" i="4"/>
  <c r="P28" i="4"/>
  <c r="P12" i="4"/>
  <c r="P80" i="4"/>
  <c r="M134" i="4" l="1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N134" i="4" l="1"/>
  <c r="P134" i="4" l="1"/>
  <c r="L134" i="4"/>
  <c r="O13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Consultas_Sheets" description="Conexão com a consulta 'Consultas_Sheets' na pasta de trabalho." type="5" refreshedVersion="6" background="1">
    <dbPr connection="Provider=Microsoft.Mashup.OleDb.1;Data Source=$Workbook$;Location=Consultas_Sheets;Extended Properties=&quot;&quot;" command="SELECT * FROM [Consultas_Sheets]"/>
  </connection>
</connections>
</file>

<file path=xl/sharedStrings.xml><?xml version="1.0" encoding="utf-8"?>
<sst xmlns="http://schemas.openxmlformats.org/spreadsheetml/2006/main" count="2556" uniqueCount="367">
  <si>
    <t>CÓDIGO</t>
  </si>
  <si>
    <t>DESCRIÇÃO</t>
  </si>
  <si>
    <t>QUANTIDADE</t>
  </si>
  <si>
    <t>GRUPO</t>
  </si>
  <si>
    <t>CATEGORIA</t>
  </si>
  <si>
    <t>TIPO</t>
  </si>
  <si>
    <t>EMBALAGENS</t>
  </si>
  <si>
    <t>CINTAS</t>
  </si>
  <si>
    <t>RÓTULO ADESIVO</t>
  </si>
  <si>
    <t>PRODUTO TERMINADO</t>
  </si>
  <si>
    <t>PÃO DE QUEIJO</t>
  </si>
  <si>
    <t>SORVETE</t>
  </si>
  <si>
    <t>S</t>
  </si>
  <si>
    <t>N</t>
  </si>
  <si>
    <t>PREÇO</t>
  </si>
  <si>
    <t>ENTRADA</t>
  </si>
  <si>
    <t>Descrição</t>
  </si>
  <si>
    <t>Categoria</t>
  </si>
  <si>
    <t>Estoque</t>
  </si>
  <si>
    <t>Data</t>
  </si>
  <si>
    <t>Anos</t>
  </si>
  <si>
    <t>SELECTA ALGEMIX GOIABA</t>
  </si>
  <si>
    <t>SELECTA ALGEMIX LEITE CONDESADO</t>
  </si>
  <si>
    <t>SELECTA ALGEMIX MARACUJA</t>
  </si>
  <si>
    <t>SELECTA ESPECIAL ALGEMIX MILHO VERDE</t>
  </si>
  <si>
    <t>ALGEMIX NATA</t>
  </si>
  <si>
    <t>BASE PARA SORVETE RICARI LACTA</t>
  </si>
  <si>
    <t>GRANULADO MACIO</t>
  </si>
  <si>
    <t>CEREAL COM COBERTURA CHOCOLATE AO LEITE BRANCO</t>
  </si>
  <si>
    <t>COCO RALADO</t>
  </si>
  <si>
    <t>EMULGEL E-21 ESTABILIZANTE</t>
  </si>
  <si>
    <t>EMULGEL 3479 ESTABILIZANTE</t>
  </si>
  <si>
    <t>COBERTURA PARA SORVETE</t>
  </si>
  <si>
    <t xml:space="preserve">GLICOSE </t>
  </si>
  <si>
    <t>SAL</t>
  </si>
  <si>
    <t>ÁCIDO</t>
  </si>
  <si>
    <t>POLVILHO DE MANDIOCA</t>
  </si>
  <si>
    <t>POVILHO AZEDO</t>
  </si>
  <si>
    <t>FÉCULA DE MANDIOCA AMAFIL</t>
  </si>
  <si>
    <t>LEITE INTEGRAL</t>
  </si>
  <si>
    <t>LEITE DESNATADO</t>
  </si>
  <si>
    <t>ESTABILIZANTE CREMODAN 600 SM</t>
  </si>
  <si>
    <t>ESTABILIZANTE CREMODAN SE-B 709</t>
  </si>
  <si>
    <t>CACAU</t>
  </si>
  <si>
    <t>ÁCIDO CITRICO</t>
  </si>
  <si>
    <t>P12</t>
  </si>
  <si>
    <t>AROMA MEIA CURA</t>
  </si>
  <si>
    <t>P33</t>
  </si>
  <si>
    <t>AÇUCAR CRISTAL</t>
  </si>
  <si>
    <t>MATÉRIA PRIMA</t>
  </si>
  <si>
    <t>PÓ PARA GELADOS</t>
  </si>
  <si>
    <t>BASE PARA SORVETES</t>
  </si>
  <si>
    <t>COMPLEMENTOS PARA SORVETES</t>
  </si>
  <si>
    <t>INGREDIENTES</t>
  </si>
  <si>
    <t>N/A</t>
  </si>
  <si>
    <t>DATA VAL.</t>
  </si>
  <si>
    <t>TOTAL</t>
  </si>
  <si>
    <t>POSSUI VAL?</t>
  </si>
  <si>
    <t>MARCA</t>
  </si>
  <si>
    <t>FABRILÍCIA</t>
  </si>
  <si>
    <t>ALGEMIX</t>
  </si>
  <si>
    <t>RICARI</t>
  </si>
  <si>
    <t>DONA JURA</t>
  </si>
  <si>
    <t>VABENE BALL</t>
  </si>
  <si>
    <t>SABOR NORDESTE</t>
  </si>
  <si>
    <t>SAPORITI</t>
  </si>
  <si>
    <t>MARVI</t>
  </si>
  <si>
    <t>CARGILL</t>
  </si>
  <si>
    <t>NORSAL</t>
  </si>
  <si>
    <t>AMAFIL</t>
  </si>
  <si>
    <t>A BRASIL B</t>
  </si>
  <si>
    <t>CONAPRÓLI</t>
  </si>
  <si>
    <t>SANCOR</t>
  </si>
  <si>
    <t>DANISCO</t>
  </si>
  <si>
    <t>BRASIL</t>
  </si>
  <si>
    <t>CHESSEBLEND</t>
  </si>
  <si>
    <t>COPERSUCAR</t>
  </si>
  <si>
    <t>TOTAL (PESO X QTD)</t>
  </si>
  <si>
    <t>COTAÇÃO</t>
  </si>
  <si>
    <t>VALIDADE</t>
  </si>
  <si>
    <t>PESO</t>
  </si>
  <si>
    <t>QTD</t>
  </si>
  <si>
    <t>AURORA</t>
  </si>
  <si>
    <t>VAL.</t>
  </si>
  <si>
    <t>PESO LÍQUIDO</t>
  </si>
  <si>
    <t>PESO LÍQUIDO TOTAL</t>
  </si>
  <si>
    <t>ABACAXI 50-6181</t>
  </si>
  <si>
    <t>BASE</t>
  </si>
  <si>
    <t>AROMA ART DE COCO</t>
  </si>
  <si>
    <t>PROCESSADO</t>
  </si>
  <si>
    <t>BAUNILHA 00-0000</t>
  </si>
  <si>
    <t>BAUNILHA 50-6487</t>
  </si>
  <si>
    <t>BAUNILHA BOURBON</t>
  </si>
  <si>
    <t>BAUNILHA COROMELADA</t>
  </si>
  <si>
    <t>BRIGADEIRO COMPLEMENTO</t>
  </si>
  <si>
    <t>CEREJA CHOCOLATE 50-3338</t>
  </si>
  <si>
    <t>CÔCO BRANCO</t>
  </si>
  <si>
    <t>CORANTE AZUL</t>
  </si>
  <si>
    <t>CORANTE CARAMELO IV</t>
  </si>
  <si>
    <t>CORANTE CHOCOLATE 00-0000</t>
  </si>
  <si>
    <t>FLOCOS</t>
  </si>
  <si>
    <t>FLOCOS 00-0000</t>
  </si>
  <si>
    <t>FLOCOS TRADICIONAL</t>
  </si>
  <si>
    <t>IOGURTE GREGO 50-5977</t>
  </si>
  <si>
    <t>LARANJA 00-0000</t>
  </si>
  <si>
    <t>LEITE CONDESADO 50-6195</t>
  </si>
  <si>
    <t>LIMÃO CREME (MOUSSE) 00-0000</t>
  </si>
  <si>
    <t>LIMÃO TAHITI</t>
  </si>
  <si>
    <t>LIMÃO TAHITI 50-5214</t>
  </si>
  <si>
    <t>LIMÃO TIPO MOUSSE</t>
  </si>
  <si>
    <t>MARACUJÁ 50-5319</t>
  </si>
  <si>
    <t>MARACUJÁ S/ AC. CÍTRICO</t>
  </si>
  <si>
    <t>MORANGO</t>
  </si>
  <si>
    <t>MORANGO 50-6183</t>
  </si>
  <si>
    <t>MORANGO FRESA 00-0000</t>
  </si>
  <si>
    <t>TORTA DE LIMÃO TL-1</t>
  </si>
  <si>
    <t>UVA 50-3750</t>
  </si>
  <si>
    <t>POTE RETANGULAR</t>
  </si>
  <si>
    <t>POTE 2L BRANCO</t>
  </si>
  <si>
    <t>LIMA</t>
  </si>
  <si>
    <t>TAMPA RETANGULAR POTE 2L BRANCO</t>
  </si>
  <si>
    <t>TAMPA RETANGULAR</t>
  </si>
  <si>
    <t>POTE 2L TRANSPARENTE</t>
  </si>
  <si>
    <t>TAMPA RETANGULAR POTE 2L TRANSPARENTE</t>
  </si>
  <si>
    <t>POTE ADESIVADO</t>
  </si>
  <si>
    <t>POTE REDONDO 1,8L IOGURTE GREGO</t>
  </si>
  <si>
    <t>RIO PLASTIC</t>
  </si>
  <si>
    <t>POTE REDONDO 1,8L FLORESTA NEGRA</t>
  </si>
  <si>
    <t>POTE REDONDO 1,8L MORANGO C/ CHANTILI</t>
  </si>
  <si>
    <t>POTE REDONDO 1,8L MORANGO C/ NAPOLITANO</t>
  </si>
  <si>
    <t>POTE RETANGULAR 7L AMARELO</t>
  </si>
  <si>
    <t>CHAMFER</t>
  </si>
  <si>
    <t>TAMPA RETANGULAR 7L AMARELA</t>
  </si>
  <si>
    <t>COPO REDONDO 220ML TRANSPARENTE</t>
  </si>
  <si>
    <t>COPO REDONDO</t>
  </si>
  <si>
    <t>TAMPA COPO PEQUENO</t>
  </si>
  <si>
    <t>GORDURA DE PALMA 370B</t>
  </si>
  <si>
    <t>AGROPALMA</t>
  </si>
  <si>
    <t>TAMPA / COPO REDONDO 220ML TRANSPARENTE</t>
  </si>
  <si>
    <t>SORVETE POTE 2L MOUSSE DE MARACUJÁ</t>
  </si>
  <si>
    <t>SORVETE POTE 2L MOUSSE DE LIMÃO</t>
  </si>
  <si>
    <t>SORVETE PUDIM C/ LEITE CONDESADO</t>
  </si>
  <si>
    <t>SORVETE POTE 1,8L FLORESTA NEGRA</t>
  </si>
  <si>
    <t>SORVETE POTE 2L FLOCOS</t>
  </si>
  <si>
    <t>SORVETE COPO 220ML NINHO TRUFADO</t>
  </si>
  <si>
    <t>SORVETE COPO 220ML MORANGO</t>
  </si>
  <si>
    <t>SORVETE COPO 220ML CREME URUGUAIO C/ DOCE DE LEITE</t>
  </si>
  <si>
    <t>BRIGADEIRO 2L</t>
  </si>
  <si>
    <t>FLORESTA NEGRA 2L</t>
  </si>
  <si>
    <t>PUDIM 2L</t>
  </si>
  <si>
    <t>CÔCO 2L</t>
  </si>
  <si>
    <t>MOUSSE DE MARACUJÁ 2L</t>
  </si>
  <si>
    <t>ENAMORADO 2L</t>
  </si>
  <si>
    <t>TORTA DE LIMÃO 2L</t>
  </si>
  <si>
    <t>3 CLÁSSICOS 2L</t>
  </si>
  <si>
    <t>3 MOUSSES 2L</t>
  </si>
  <si>
    <t>TRIO CLÁSSICO 2L</t>
  </si>
  <si>
    <t>3 REFRESCANTES 2L</t>
  </si>
  <si>
    <t>3 CHOCOLATES 2L</t>
  </si>
  <si>
    <t>FLOCOS 2L</t>
  </si>
  <si>
    <t>MILHO 2L</t>
  </si>
  <si>
    <t>NAPOLITANO 2L</t>
  </si>
  <si>
    <t>IOGURTE GREGO 2L</t>
  </si>
  <si>
    <t>OLHO DE SOGRA 2L</t>
  </si>
  <si>
    <t>LEITINHO TRUFADO 2L</t>
  </si>
  <si>
    <t>PÃO DE QUEIJO 35G</t>
  </si>
  <si>
    <t>PÃO DE QUEIJO 100G</t>
  </si>
  <si>
    <t>PÃO DE QUEIJO OURO 45G</t>
  </si>
  <si>
    <t>PÃO DE QUEIJO MINI 20G</t>
  </si>
  <si>
    <t>SORVETE POTE 3 CHOCOLATES 2L</t>
  </si>
  <si>
    <t>SORVETE POTE 3 CLÁSSICOS 2L</t>
  </si>
  <si>
    <t>SORVETE POTE 3 MOUSSES 2L</t>
  </si>
  <si>
    <t>SORVETE CAIXA MORANGO 7L</t>
  </si>
  <si>
    <t>SORVETE POTE TRIO CLÁSSICO 2L</t>
  </si>
  <si>
    <t>SORVETE  POTE IOGURTE GREGO 1,8L</t>
  </si>
  <si>
    <t>AROMAS E CORANTES</t>
  </si>
  <si>
    <t>GRÁFICA</t>
  </si>
  <si>
    <t>AROMAS &amp; CORANTES</t>
  </si>
  <si>
    <t>CAIXAS RETORNÁVEIS</t>
  </si>
  <si>
    <t>CAIXA PAPELÃO</t>
  </si>
  <si>
    <t>CAIXAS PEQUENAS</t>
  </si>
  <si>
    <t>COTAÇÃO C/ DATA</t>
  </si>
  <si>
    <t>ESTOQUE C/ DATA</t>
  </si>
  <si>
    <t>ESTOQUE GERAL</t>
  </si>
  <si>
    <t>COTAÇÃO GERAL</t>
  </si>
  <si>
    <t>CINTA BRIGADEIRO 2L</t>
  </si>
  <si>
    <t>CINTA FLORESTA NEGRA 2L</t>
  </si>
  <si>
    <t>CINTA PUDIM 2L</t>
  </si>
  <si>
    <t>CINTA CÔCO 2L</t>
  </si>
  <si>
    <t>CINTA MOUSSE DE MARACUJÁ 2L</t>
  </si>
  <si>
    <t>CINTA ENAMORADO 2L</t>
  </si>
  <si>
    <t>CINTA TORTA DE LIMÃO 2L</t>
  </si>
  <si>
    <t>CINTA 3 CLÁSSICOS 2L</t>
  </si>
  <si>
    <t>CINTA 3 MOUSSES 2L</t>
  </si>
  <si>
    <t>CINTA TRIO CLÁSSICO 2L</t>
  </si>
  <si>
    <t>CINTA 3 REFRESCANTES 2L</t>
  </si>
  <si>
    <t>CINTA 3 CHOCOLATES 2L</t>
  </si>
  <si>
    <t>CINTA FLOCOS 2L</t>
  </si>
  <si>
    <t>CINTA MILHO 2L</t>
  </si>
  <si>
    <t>DATA / HORA MOVIMENTAÇÃO</t>
  </si>
  <si>
    <t>USUÁRIO</t>
  </si>
  <si>
    <t>COMPUTADOR</t>
  </si>
  <si>
    <t>PRODUTO</t>
  </si>
  <si>
    <t>SAÍDA</t>
  </si>
  <si>
    <t>TIPO DE MOV.</t>
  </si>
  <si>
    <t>Junior&amp;Cris</t>
  </si>
  <si>
    <t>DELL-NOTE</t>
  </si>
  <si>
    <t>UNIDADE DE MED.</t>
  </si>
  <si>
    <t>UN.</t>
  </si>
  <si>
    <t>KG</t>
  </si>
  <si>
    <t>CODIFICAÇÃO</t>
  </si>
  <si>
    <t>ESTOQUE ANTERIOR</t>
  </si>
  <si>
    <t>ENTRADA/SAÍDA</t>
  </si>
  <si>
    <t>ESTOQUE ATUAL</t>
  </si>
  <si>
    <t>SORVETE PICOLÉ LEITE CONDESADO</t>
  </si>
  <si>
    <t>SORVETE PICOLÉ CÔCO</t>
  </si>
  <si>
    <t>SORVETE PICOLÉ MILHO</t>
  </si>
  <si>
    <t>SORVETE PICOLÉ MORANGO</t>
  </si>
  <si>
    <t>SORVETE PICOLÉ CHOCOLATE</t>
  </si>
  <si>
    <t>SORVETE PICOLÉ LIMÃO</t>
  </si>
  <si>
    <t>SORVETE PICOLÉ UVA</t>
  </si>
  <si>
    <t>TAMPA COPO REDONDO 220ML TRANSPARENTE</t>
  </si>
  <si>
    <t>PRODUTO ACABADO</t>
  </si>
  <si>
    <t>SORVETE POTE IOGURTE GREGO 1,8L</t>
  </si>
  <si>
    <t>GLICOSE</t>
  </si>
  <si>
    <t>LEITE NINHO TRUFADO 2L</t>
  </si>
  <si>
    <t>PAO DE QUEIJO TRADICIONAL 100G</t>
  </si>
  <si>
    <t>PAO DE QUEIJO TRADICIONAL 35G</t>
  </si>
  <si>
    <t>PAO DE QUEIJO TRADICIONAL 20G</t>
  </si>
  <si>
    <t>PAO DE QUEIJO MEIA CURA 45G</t>
  </si>
  <si>
    <t>PAO DE QUEIJO PROVOLONE 45G</t>
  </si>
  <si>
    <t>PAPQ19</t>
  </si>
  <si>
    <t>PAPQ20</t>
  </si>
  <si>
    <t>PAPQ21</t>
  </si>
  <si>
    <t>PAPQ22</t>
  </si>
  <si>
    <t>PASP23</t>
  </si>
  <si>
    <t>PASP24</t>
  </si>
  <si>
    <t>PASP25</t>
  </si>
  <si>
    <t>PASP26</t>
  </si>
  <si>
    <t>PASP27</t>
  </si>
  <si>
    <t>PASC28</t>
  </si>
  <si>
    <t>PASP80</t>
  </si>
  <si>
    <t>PASP81</t>
  </si>
  <si>
    <t>PASP82</t>
  </si>
  <si>
    <t>PASP83</t>
  </si>
  <si>
    <t>PASP84</t>
  </si>
  <si>
    <t>PASC85</t>
  </si>
  <si>
    <t>PASC86</t>
  </si>
  <si>
    <t>PASC87</t>
  </si>
  <si>
    <t>PASP117</t>
  </si>
  <si>
    <t>PASP118</t>
  </si>
  <si>
    <t>PASP119</t>
  </si>
  <si>
    <t>PASP120</t>
  </si>
  <si>
    <t>PASP121</t>
  </si>
  <si>
    <t>PASP122</t>
  </si>
  <si>
    <t>PASP123</t>
  </si>
  <si>
    <t>PAPQ126</t>
  </si>
  <si>
    <t>CÓD</t>
  </si>
  <si>
    <t>ESTOQUE</t>
  </si>
  <si>
    <t>QTD.</t>
  </si>
  <si>
    <t>CTRL</t>
  </si>
  <si>
    <t>LAC</t>
  </si>
  <si>
    <t>SORO LEITE</t>
  </si>
  <si>
    <t>CEP</t>
  </si>
  <si>
    <t>Como encontrou a Fabrilicia e seus produtos?</t>
  </si>
  <si>
    <t>PESSOA FISICA</t>
  </si>
  <si>
    <t>Sueli Alcinio</t>
  </si>
  <si>
    <t>Sueli.alcinio@hotmail.com</t>
  </si>
  <si>
    <t>Pagina do Facebook</t>
  </si>
  <si>
    <t>Daiane</t>
  </si>
  <si>
    <t xml:space="preserve">dadamendes_2010@yahoo.com.br	</t>
  </si>
  <si>
    <t/>
  </si>
  <si>
    <t>DATA/HORA CADASTRO</t>
  </si>
  <si>
    <t>RAZÃO SOCIAL / NOME</t>
  </si>
  <si>
    <t>APELIDO / NOME FANTASIA</t>
  </si>
  <si>
    <t>CNPJ / CPF</t>
  </si>
  <si>
    <t>NUM. RESIDENCIAL</t>
  </si>
  <si>
    <t>TELEFONE</t>
  </si>
  <si>
    <t>E-MAIL</t>
  </si>
  <si>
    <t>22/05/2017 14:55:37</t>
  </si>
  <si>
    <t>11500688890</t>
  </si>
  <si>
    <t>1146669522</t>
  </si>
  <si>
    <t>22/05/2017 14:56:59</t>
  </si>
  <si>
    <t>0</t>
  </si>
  <si>
    <t>973649992</t>
  </si>
  <si>
    <t>22/05/2017 15:12:13</t>
  </si>
  <si>
    <t>ELAINE SCHOEPS MACHADO</t>
  </si>
  <si>
    <t>ELAINE</t>
  </si>
  <si>
    <t>311.704.618-67</t>
  </si>
  <si>
    <t>06814-020</t>
  </si>
  <si>
    <t>360</t>
  </si>
  <si>
    <t>1147828400</t>
  </si>
  <si>
    <t>adm@fabrilicia.com</t>
  </si>
  <si>
    <t>Indicacoes de Amigos, familiares ou colegas.</t>
  </si>
  <si>
    <t>22/05/2017 15:13:50</t>
  </si>
  <si>
    <t>PESSOA JURIDICA</t>
  </si>
  <si>
    <t>MISTURA BOA LTDA - ME</t>
  </si>
  <si>
    <t>MISTURA BOA</t>
  </si>
  <si>
    <t>14.769.022/0001-25</t>
  </si>
  <si>
    <t>08674-220</t>
  </si>
  <si>
    <t>206</t>
  </si>
  <si>
    <t>email@misturaboa.com.br</t>
  </si>
  <si>
    <t>Consultores / Vendedores</t>
  </si>
  <si>
    <t>22/05/2017 15:15:14</t>
  </si>
  <si>
    <t>AMARO BARAUNA</t>
  </si>
  <si>
    <t>AMARO</t>
  </si>
  <si>
    <t>006.550.138-14</t>
  </si>
  <si>
    <t>06814-030</t>
  </si>
  <si>
    <t>99</t>
  </si>
  <si>
    <t>1141492616</t>
  </si>
  <si>
    <t>email@amaro.com.br</t>
  </si>
  <si>
    <t>22/05/2017 15:16:18</t>
  </si>
  <si>
    <t>KATIA SOUZA COSTA</t>
  </si>
  <si>
    <t>KATIA</t>
  </si>
  <si>
    <t>440.120.728-97</t>
  </si>
  <si>
    <t>06807-800</t>
  </si>
  <si>
    <t>132B</t>
  </si>
  <si>
    <t>22/05/2017 15:17:47</t>
  </si>
  <si>
    <t>KING MERCADAO DE CARNES LTDA ME</t>
  </si>
  <si>
    <t>REI DAS CARNES</t>
  </si>
  <si>
    <t>09.534.334/0001-10</t>
  </si>
  <si>
    <t>06823-301</t>
  </si>
  <si>
    <t>2582</t>
  </si>
  <si>
    <t>email@reidascarnes.com.br</t>
  </si>
  <si>
    <t>22/05/2017 15:18:56</t>
  </si>
  <si>
    <t>EVERSON ZUZA DE OLIVEIRA MERCADINHO ME</t>
  </si>
  <si>
    <t>EVERSON</t>
  </si>
  <si>
    <t>24.716.288/0001-63</t>
  </si>
  <si>
    <t>06826-290</t>
  </si>
  <si>
    <t>1324</t>
  </si>
  <si>
    <t>email@oliveira.com.br</t>
  </si>
  <si>
    <t>SACO LAMINADO</t>
  </si>
  <si>
    <t>SACO CONDIMENTO</t>
  </si>
  <si>
    <t>-</t>
  </si>
  <si>
    <t>100</t>
  </si>
  <si>
    <t>126</t>
  </si>
  <si>
    <t>28</t>
  </si>
  <si>
    <t>07/07/2017 08:32:32</t>
  </si>
  <si>
    <t>Empresa</t>
  </si>
  <si>
    <t>Minha Empresa</t>
  </si>
  <si>
    <t>35</t>
  </si>
  <si>
    <t>email@email.com</t>
  </si>
  <si>
    <t>07/07/2017 08:55:23</t>
  </si>
  <si>
    <t>Alex</t>
  </si>
  <si>
    <t>Anacleto</t>
  </si>
  <si>
    <t>35495129881</t>
  </si>
  <si>
    <t>4676070</t>
  </si>
  <si>
    <t>69</t>
  </si>
  <si>
    <t>967177281</t>
  </si>
  <si>
    <t>alex.anacleto@gmail.com</t>
  </si>
  <si>
    <t>Site da Fabrilicia</t>
  </si>
  <si>
    <t>31/03/2018 23:45:37</t>
  </si>
  <si>
    <t>JoÃ£o</t>
  </si>
  <si>
    <t>ZÃ³io do SENAI</t>
  </si>
  <si>
    <t>33167794852</t>
  </si>
  <si>
    <t>18682380</t>
  </si>
  <si>
    <t>486</t>
  </si>
  <si>
    <t>1432636979</t>
  </si>
  <si>
    <t>joaoleiroz@hotmail.com</t>
  </si>
  <si>
    <t>17/05/2018 18:58:23</t>
  </si>
  <si>
    <t>Marcia Silva Celestino de Jesus</t>
  </si>
  <si>
    <t>Morcy</t>
  </si>
  <si>
    <t>30863801870</t>
  </si>
  <si>
    <t>13640436</t>
  </si>
  <si>
    <t>604</t>
  </si>
  <si>
    <t>19-35651160</t>
  </si>
  <si>
    <t>pedroka_silva@yahoo.com.br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</si>
</sst>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0.000"/>
    <numFmt numFmtId="165" formatCode=";;;"/>
    <numFmt numFmtId="166" formatCode="dd/mm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theme="1"/>
      <name val="Segoe UI"/>
      <family val="2"/>
    </font>
    <font>
      <sz val="12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3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9" fontId="0" fillId="0" borderId="0" xfId="2" applyFont="1" applyAlignment="1"/>
    <xf numFmtId="164" fontId="0" fillId="0" borderId="0" xfId="2" applyNumberFormat="1" applyFont="1" applyAlignment="1">
      <alignment horizontal="center"/>
    </xf>
    <xf numFmtId="9" fontId="7" fillId="0" borderId="0" xfId="2" applyFont="1" applyAlignment="1"/>
    <xf numFmtId="9" fontId="0" fillId="0" borderId="0" xfId="2" applyFont="1" applyAlignment="1">
      <alignment horizontal="center"/>
    </xf>
    <xf numFmtId="14" fontId="0" fillId="0" borderId="0" xfId="2" applyNumberFormat="1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6" fillId="6" borderId="1" xfId="0" applyFont="1" applyFill="1" applyBorder="1" applyAlignment="1"/>
    <xf numFmtId="0" fontId="6" fillId="6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2" applyNumberFormat="1" applyFont="1" applyAlignment="1"/>
    <xf numFmtId="0" fontId="7" fillId="0" borderId="0" xfId="0" applyFont="1" applyAlignment="1"/>
    <xf numFmtId="44" fontId="0" fillId="0" borderId="0" xfId="0" applyNumberFormat="1" applyAlignment="1"/>
    <xf numFmtId="15" fontId="7" fillId="0" borderId="0" xfId="0" applyNumberFormat="1" applyFont="1" applyAlignment="1"/>
    <xf numFmtId="15" fontId="0" fillId="0" borderId="0" xfId="0" applyNumberFormat="1"/>
    <xf numFmtId="14" fontId="0" fillId="0" borderId="0" xfId="0" applyNumberFormat="1" applyAlignment="1"/>
    <xf numFmtId="3" fontId="0" fillId="0" borderId="0" xfId="0" applyNumberFormat="1" applyAlignment="1"/>
    <xf numFmtId="14" fontId="0" fillId="0" borderId="0" xfId="0" applyNumberFormat="1"/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3" fillId="0" borderId="0" xfId="1" applyFont="1" applyAlignment="1">
      <alignment horizontal="center" vertical="center"/>
    </xf>
    <xf numFmtId="14" fontId="3" fillId="0" borderId="0" xfId="1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44" fontId="4" fillId="0" borderId="0" xfId="1" applyFont="1" applyAlignment="1">
      <alignment horizontal="center" vertical="center"/>
    </xf>
    <xf numFmtId="44" fontId="4" fillId="0" borderId="0" xfId="1" applyNumberFormat="1" applyFont="1" applyAlignment="1">
      <alignment horizontal="center" vertical="center"/>
    </xf>
    <xf numFmtId="3" fontId="3" fillId="0" borderId="0" xfId="2" applyNumberFormat="1" applyFont="1" applyAlignment="1">
      <alignment horizontal="center" vertical="center"/>
    </xf>
    <xf numFmtId="3" fontId="4" fillId="0" borderId="0" xfId="2" applyNumberFormat="1" applyFont="1" applyAlignment="1">
      <alignment horizontal="center" vertical="center"/>
    </xf>
    <xf numFmtId="44" fontId="3" fillId="0" borderId="0" xfId="1" applyNumberFormat="1" applyFon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4" fontId="4" fillId="0" borderId="0" xfId="0" applyNumberFormat="1" applyFont="1" applyAlignment="1">
      <alignment horizontal="center" vertical="center"/>
    </xf>
    <xf numFmtId="0" fontId="3" fillId="7" borderId="0" xfId="0" applyFont="1" applyFill="1"/>
    <xf numFmtId="0" fontId="8" fillId="7" borderId="0" xfId="0" applyNumberFormat="1" applyFont="1" applyFill="1"/>
    <xf numFmtId="0" fontId="0" fillId="7" borderId="0" xfId="0" applyFill="1"/>
    <xf numFmtId="0" fontId="2" fillId="2" borderId="0" xfId="0" quotePrefix="1" applyFont="1" applyFill="1" applyAlignment="1">
      <alignment horizontal="center" vertical="center"/>
    </xf>
    <xf numFmtId="0" fontId="9" fillId="8" borderId="0" xfId="0" applyFont="1" applyFill="1" applyBorder="1" applyAlignment="1">
      <alignment horizontal="left" vertical="center"/>
    </xf>
    <xf numFmtId="0" fontId="10" fillId="7" borderId="0" xfId="0" applyNumberFormat="1" applyFont="1" applyFill="1" applyBorder="1" applyAlignment="1">
      <alignment horizontal="left"/>
    </xf>
    <xf numFmtId="0" fontId="10" fillId="7" borderId="0" xfId="0" applyFont="1" applyFill="1" applyBorder="1"/>
    <xf numFmtId="165" fontId="10" fillId="7" borderId="0" xfId="0" applyNumberFormat="1" applyFont="1" applyFill="1" applyBorder="1"/>
    <xf numFmtId="0" fontId="10" fillId="7" borderId="0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NumberFormat="1" applyFont="1" applyAlignment="1">
      <alignment vertical="center"/>
    </xf>
    <xf numFmtId="166" fontId="0" fillId="0" borderId="0" xfId="0" applyNumberFormat="1" applyAlignment="1"/>
    <xf numFmtId="0" fontId="11" fillId="0" borderId="3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Border="1"/>
    <xf numFmtId="0" fontId="0" fillId="0" borderId="0" xfId="0" applyNumberFormat="1" applyBorder="1"/>
    <xf numFmtId="0" fontId="0" fillId="0" borderId="0" xfId="0" applyNumberFormat="1"/>
  </cellXfs>
  <cellStyles count="3">
    <cellStyle name="Moeda" xfId="1" builtinId="4"/>
    <cellStyle name="Normal" xfId="0" builtinId="0"/>
    <cellStyle name="Porcentagem" xfId="2" builtinId="5"/>
  </cellStyles>
  <dxfs count="112"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dd/mm/yyyy\ hh:mm:ss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numFmt numFmtId="164" formatCode="0.000"/>
      <alignment horizontal="general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0"/>
      <alignment horizontal="center" vertical="bottom" textRotation="0" wrapText="0" indent="0" justifyLastLine="0" shrinkToFit="0" readingOrder="0"/>
    </dxf>
    <dxf>
      <numFmt numFmtId="164" formatCode="0.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ntrada de Estoque'!L3"/><Relationship Id="rId2" Type="http://schemas.openxmlformats.org/officeDocument/2006/relationships/hyperlink" Target="#EstoqueConsolidado!A5"/><Relationship Id="rId1" Type="http://schemas.openxmlformats.org/officeDocument/2006/relationships/image" Target="../media/image1.jpeg"/><Relationship Id="rId6" Type="http://schemas.openxmlformats.org/officeDocument/2006/relationships/hyperlink" Target="#CadastroWeb!A5"/><Relationship Id="rId5" Type="http://schemas.openxmlformats.org/officeDocument/2006/relationships/hyperlink" Target="#LogMovimenta&#231;&#227;o!A5"/><Relationship Id="rId4" Type="http://schemas.openxmlformats.org/officeDocument/2006/relationships/hyperlink" Target="#'Sa&#237;da de Estoque'!L5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MENU!K6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K6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K6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359834</xdr:colOff>
      <xdr:row>0</xdr:row>
      <xdr:rowOff>95252</xdr:rowOff>
    </xdr:from>
    <xdr:to>
      <xdr:col>15</xdr:col>
      <xdr:colOff>42335</xdr:colOff>
      <xdr:row>6</xdr:row>
      <xdr:rowOff>76396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0501" y="95252"/>
          <a:ext cx="3979334" cy="1251144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31751</xdr:rowOff>
    </xdr:from>
    <xdr:to>
      <xdr:col>12</xdr:col>
      <xdr:colOff>169335</xdr:colOff>
      <xdr:row>9</xdr:row>
      <xdr:rowOff>158749</xdr:rowOff>
    </xdr:to>
    <xdr:sp macro="" textlink="">
      <xdr:nvSpPr>
        <xdr:cNvPr id="4" name="Retângulo: Cantos Arredondados 3">
          <a:hlinkClick xmlns:r="http://schemas.openxmlformats.org/officeDocument/2006/relationships" r:id="rId2" tooltip="Estoque de Produtos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910667" y="1513418"/>
          <a:ext cx="2624668" cy="550331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ESTOQUE</a:t>
          </a:r>
          <a:r>
            <a:rPr lang="pt-BR" sz="1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CONSOLIDADO</a:t>
          </a:r>
          <a:endParaRPr lang="pt-BR" sz="1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0</xdr:colOff>
      <xdr:row>10</xdr:row>
      <xdr:rowOff>49390</xdr:rowOff>
    </xdr:from>
    <xdr:to>
      <xdr:col>12</xdr:col>
      <xdr:colOff>169335</xdr:colOff>
      <xdr:row>12</xdr:row>
      <xdr:rowOff>176388</xdr:rowOff>
    </xdr:to>
    <xdr:sp macro="" textlink="">
      <xdr:nvSpPr>
        <xdr:cNvPr id="7" name="Retângulo: Cantos Arredondados 6">
          <a:hlinkClick xmlns:r="http://schemas.openxmlformats.org/officeDocument/2006/relationships" r:id="rId3" tooltip="Lançar entrada de Estoque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10667" y="2166057"/>
          <a:ext cx="2624668" cy="550331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ENTRADA DE ESTOQUE</a:t>
          </a:r>
        </a:p>
      </xdr:txBody>
    </xdr:sp>
    <xdr:clientData/>
  </xdr:twoCellAnchor>
  <xdr:twoCellAnchor>
    <xdr:from>
      <xdr:col>8</xdr:col>
      <xdr:colOff>0</xdr:colOff>
      <xdr:row>13</xdr:row>
      <xdr:rowOff>67029</xdr:rowOff>
    </xdr:from>
    <xdr:to>
      <xdr:col>12</xdr:col>
      <xdr:colOff>169335</xdr:colOff>
      <xdr:row>15</xdr:row>
      <xdr:rowOff>194028</xdr:rowOff>
    </xdr:to>
    <xdr:sp macro="" textlink="">
      <xdr:nvSpPr>
        <xdr:cNvPr id="8" name="Retângulo: Cantos Arredondados 7">
          <a:hlinkClick xmlns:r="http://schemas.openxmlformats.org/officeDocument/2006/relationships" r:id="rId4" tooltip="Lançar saída de Estoque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910667" y="2818696"/>
          <a:ext cx="2624668" cy="550332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SAÍDA DE ESTOQUE</a:t>
          </a:r>
        </a:p>
      </xdr:txBody>
    </xdr:sp>
    <xdr:clientData/>
  </xdr:twoCellAnchor>
  <xdr:twoCellAnchor>
    <xdr:from>
      <xdr:col>8</xdr:col>
      <xdr:colOff>0</xdr:colOff>
      <xdr:row>16</xdr:row>
      <xdr:rowOff>84668</xdr:rowOff>
    </xdr:from>
    <xdr:to>
      <xdr:col>12</xdr:col>
      <xdr:colOff>169335</xdr:colOff>
      <xdr:row>19</xdr:row>
      <xdr:rowOff>0</xdr:rowOff>
    </xdr:to>
    <xdr:sp macro="" textlink="">
      <xdr:nvSpPr>
        <xdr:cNvPr id="9" name="Retângulo: Cantos Arredondados 8">
          <a:hlinkClick xmlns:r="http://schemas.openxmlformats.org/officeDocument/2006/relationships" r:id="rId5" tooltip="Histórico de Movimentos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910667" y="3471335"/>
          <a:ext cx="2624668" cy="550332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HISTÓRICO DE MOVIMENTOS</a:t>
          </a:r>
        </a:p>
      </xdr:txBody>
    </xdr:sp>
    <xdr:clientData/>
  </xdr:twoCellAnchor>
  <xdr:twoCellAnchor>
    <xdr:from>
      <xdr:col>7</xdr:col>
      <xdr:colOff>603250</xdr:colOff>
      <xdr:row>19</xdr:row>
      <xdr:rowOff>105834</xdr:rowOff>
    </xdr:from>
    <xdr:to>
      <xdr:col>12</xdr:col>
      <xdr:colOff>158751</xdr:colOff>
      <xdr:row>22</xdr:row>
      <xdr:rowOff>21166</xdr:rowOff>
    </xdr:to>
    <xdr:sp macro="[0]!AtualizarImpress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900083" y="4127501"/>
          <a:ext cx="2624668" cy="550332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ATUALIZAR</a:t>
          </a:r>
          <a:r>
            <a:rPr lang="pt-BR" sz="105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E IMPRIMIR CONTROLE DA CÂMERA FRIA</a:t>
          </a:r>
          <a:endParaRPr lang="pt-BR" sz="105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12</xdr:col>
      <xdr:colOff>349250</xdr:colOff>
      <xdr:row>7</xdr:row>
      <xdr:rowOff>10585</xdr:rowOff>
    </xdr:from>
    <xdr:to>
      <xdr:col>16</xdr:col>
      <xdr:colOff>518585</xdr:colOff>
      <xdr:row>9</xdr:row>
      <xdr:rowOff>137583</xdr:rowOff>
    </xdr:to>
    <xdr:sp macro="" textlink="">
      <xdr:nvSpPr>
        <xdr:cNvPr id="11" name="Retângulo: Cantos Arredondados 10">
          <a:hlinkClick xmlns:r="http://schemas.openxmlformats.org/officeDocument/2006/relationships" r:id="rId6" tooltip="Estoque de Produtos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7715250" y="1492252"/>
          <a:ext cx="2624668" cy="550331"/>
        </a:xfrm>
        <a:prstGeom prst="roundRect">
          <a:avLst/>
        </a:prstGeom>
        <a:gradFill flip="none" rotWithShape="1">
          <a:gsLst>
            <a:gs pos="0">
              <a:schemeClr val="accent4">
                <a:lumMod val="50000"/>
                <a:shade val="30000"/>
                <a:satMod val="115000"/>
              </a:schemeClr>
            </a:gs>
            <a:gs pos="50000">
              <a:schemeClr val="accent4">
                <a:lumMod val="50000"/>
                <a:shade val="67500"/>
                <a:satMod val="115000"/>
              </a:schemeClr>
            </a:gs>
            <a:gs pos="100000">
              <a:schemeClr val="accent4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BASE DE CLIENTES WEB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171450</xdr:rowOff>
        </xdr:from>
        <xdr:to>
          <xdr:col>4</xdr:col>
          <xdr:colOff>361950</xdr:colOff>
          <xdr:row>2</xdr:row>
          <xdr:rowOff>19050</xdr:rowOff>
        </xdr:to>
        <xdr:sp macro="" textlink="">
          <xdr:nvSpPr>
            <xdr:cNvPr id="29697" name="txtcod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0</xdr:row>
          <xdr:rowOff>190500</xdr:rowOff>
        </xdr:from>
        <xdr:to>
          <xdr:col>5</xdr:col>
          <xdr:colOff>571500</xdr:colOff>
          <xdr:row>1</xdr:row>
          <xdr:rowOff>219075</xdr:rowOff>
        </xdr:to>
        <xdr:sp macro="" textlink="">
          <xdr:nvSpPr>
            <xdr:cNvPr id="3073" name="txtcod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2</xdr:row>
          <xdr:rowOff>219075</xdr:rowOff>
        </xdr:from>
        <xdr:to>
          <xdr:col>8</xdr:col>
          <xdr:colOff>190500</xdr:colOff>
          <xdr:row>4</xdr:row>
          <xdr:rowOff>9525</xdr:rowOff>
        </xdr:to>
        <xdr:sp macro="" textlink="">
          <xdr:nvSpPr>
            <xdr:cNvPr id="3074" name="txtdesc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6</xdr:row>
          <xdr:rowOff>219075</xdr:rowOff>
        </xdr:from>
        <xdr:to>
          <xdr:col>5</xdr:col>
          <xdr:colOff>571500</xdr:colOff>
          <xdr:row>8</xdr:row>
          <xdr:rowOff>19050</xdr:rowOff>
        </xdr:to>
        <xdr:sp macro="" textlink="">
          <xdr:nvSpPr>
            <xdr:cNvPr id="3075" name="txtgrup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10</xdr:row>
          <xdr:rowOff>209550</xdr:rowOff>
        </xdr:from>
        <xdr:to>
          <xdr:col>6</xdr:col>
          <xdr:colOff>190500</xdr:colOff>
          <xdr:row>12</xdr:row>
          <xdr:rowOff>0</xdr:rowOff>
        </xdr:to>
        <xdr:sp macro="" textlink="">
          <xdr:nvSpPr>
            <xdr:cNvPr id="3077" name="Spin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133350</xdr:rowOff>
        </xdr:from>
        <xdr:to>
          <xdr:col>9</xdr:col>
          <xdr:colOff>0</xdr:colOff>
          <xdr:row>3</xdr:row>
          <xdr:rowOff>190500</xdr:rowOff>
        </xdr:to>
        <xdr:sp macro="" textlink="">
          <xdr:nvSpPr>
            <xdr:cNvPr id="3078" name="txtli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4</xdr:row>
          <xdr:rowOff>219075</xdr:rowOff>
        </xdr:from>
        <xdr:to>
          <xdr:col>5</xdr:col>
          <xdr:colOff>571500</xdr:colOff>
          <xdr:row>6</xdr:row>
          <xdr:rowOff>19050</xdr:rowOff>
        </xdr:to>
        <xdr:sp macro="" textlink="">
          <xdr:nvSpPr>
            <xdr:cNvPr id="3079" name="txtestoque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13</xdr:row>
      <xdr:rowOff>0</xdr:rowOff>
    </xdr:from>
    <xdr:to>
      <xdr:col>6</xdr:col>
      <xdr:colOff>0</xdr:colOff>
      <xdr:row>13</xdr:row>
      <xdr:rowOff>219075</xdr:rowOff>
    </xdr:to>
    <xdr:sp macro="[0]!AbastecerEsto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124200" y="4029075"/>
          <a:ext cx="1828800" cy="2381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Adicionar Entrada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8</xdr:row>
          <xdr:rowOff>228600</xdr:rowOff>
        </xdr:from>
        <xdr:to>
          <xdr:col>5</xdr:col>
          <xdr:colOff>571500</xdr:colOff>
          <xdr:row>10</xdr:row>
          <xdr:rowOff>19050</xdr:rowOff>
        </xdr:to>
        <xdr:sp macro="" textlink="">
          <xdr:nvSpPr>
            <xdr:cNvPr id="3081" name="txtcategoria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5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1104900</xdr:colOff>
          <xdr:row>10</xdr:row>
          <xdr:rowOff>209550</xdr:rowOff>
        </xdr:from>
        <xdr:to>
          <xdr:col>5</xdr:col>
          <xdr:colOff>571500</xdr:colOff>
          <xdr:row>12</xdr:row>
          <xdr:rowOff>0</xdr:rowOff>
        </xdr:to>
        <xdr:sp macro="" textlink="">
          <xdr:nvSpPr>
            <xdr:cNvPr id="3082" name="txtqt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0</xdr:colOff>
      <xdr:row>1</xdr:row>
      <xdr:rowOff>0</xdr:rowOff>
    </xdr:from>
    <xdr:to>
      <xdr:col>15</xdr:col>
      <xdr:colOff>540809</xdr:colOff>
      <xdr:row>6</xdr:row>
      <xdr:rowOff>60519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8125"/>
          <a:ext cx="3979334" cy="1251144"/>
        </a:xfrm>
        <a:prstGeom prst="rect">
          <a:avLst/>
        </a:prstGeom>
      </xdr:spPr>
    </xdr:pic>
    <xdr:clientData/>
  </xdr:twoCellAnchor>
  <xdr:twoCellAnchor>
    <xdr:from>
      <xdr:col>1</xdr:col>
      <xdr:colOff>342900</xdr:colOff>
      <xdr:row>12</xdr:row>
      <xdr:rowOff>200024</xdr:rowOff>
    </xdr:from>
    <xdr:to>
      <xdr:col>2</xdr:col>
      <xdr:colOff>1038225</xdr:colOff>
      <xdr:row>15</xdr:row>
      <xdr:rowOff>85724</xdr:rowOff>
    </xdr:to>
    <xdr:sp macro="[0]!AbastecerEstoque" textlink="">
      <xdr:nvSpPr>
        <xdr:cNvPr id="12" name="Retângulo: Cantos Arredondados 11">
          <a:hlinkClick xmlns:r="http://schemas.openxmlformats.org/officeDocument/2006/relationships" r:id="rId2" tooltip="Menu Principal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952500" y="3057524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0</xdr:row>
          <xdr:rowOff>219075</xdr:rowOff>
        </xdr:from>
        <xdr:to>
          <xdr:col>5</xdr:col>
          <xdr:colOff>590550</xdr:colOff>
          <xdr:row>2</xdr:row>
          <xdr:rowOff>9525</xdr:rowOff>
        </xdr:to>
        <xdr:sp macro="" textlink="">
          <xdr:nvSpPr>
            <xdr:cNvPr id="18433" name="txtcod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228600</xdr:rowOff>
        </xdr:from>
        <xdr:to>
          <xdr:col>8</xdr:col>
          <xdr:colOff>209550</xdr:colOff>
          <xdr:row>4</xdr:row>
          <xdr:rowOff>19050</xdr:rowOff>
        </xdr:to>
        <xdr:sp macro="" textlink="">
          <xdr:nvSpPr>
            <xdr:cNvPr id="18434" name="txtdesc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6</xdr:row>
          <xdr:rowOff>228600</xdr:rowOff>
        </xdr:from>
        <xdr:to>
          <xdr:col>5</xdr:col>
          <xdr:colOff>590550</xdr:colOff>
          <xdr:row>8</xdr:row>
          <xdr:rowOff>28575</xdr:rowOff>
        </xdr:to>
        <xdr:sp macro="" textlink="">
          <xdr:nvSpPr>
            <xdr:cNvPr id="18435" name="txtgrupo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11</xdr:row>
          <xdr:rowOff>0</xdr:rowOff>
        </xdr:from>
        <xdr:to>
          <xdr:col>6</xdr:col>
          <xdr:colOff>152400</xdr:colOff>
          <xdr:row>12</xdr:row>
          <xdr:rowOff>9525</xdr:rowOff>
        </xdr:to>
        <xdr:sp macro="" textlink="">
          <xdr:nvSpPr>
            <xdr:cNvPr id="18437" name="SpinButton1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133350</xdr:rowOff>
        </xdr:from>
        <xdr:to>
          <xdr:col>9</xdr:col>
          <xdr:colOff>0</xdr:colOff>
          <xdr:row>3</xdr:row>
          <xdr:rowOff>190500</xdr:rowOff>
        </xdr:to>
        <xdr:sp macro="" textlink="">
          <xdr:nvSpPr>
            <xdr:cNvPr id="18438" name="txtli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4</xdr:row>
          <xdr:rowOff>228600</xdr:rowOff>
        </xdr:from>
        <xdr:to>
          <xdr:col>5</xdr:col>
          <xdr:colOff>590550</xdr:colOff>
          <xdr:row>6</xdr:row>
          <xdr:rowOff>28575</xdr:rowOff>
        </xdr:to>
        <xdr:sp macro="" textlink="">
          <xdr:nvSpPr>
            <xdr:cNvPr id="18439" name="txtestoque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6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13</xdr:row>
      <xdr:rowOff>0</xdr:rowOff>
    </xdr:from>
    <xdr:to>
      <xdr:col>6</xdr:col>
      <xdr:colOff>0</xdr:colOff>
      <xdr:row>13</xdr:row>
      <xdr:rowOff>219075</xdr:rowOff>
    </xdr:to>
    <xdr:sp macro="[0]!SaídaEstoqu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124200" y="3552825"/>
          <a:ext cx="1828800" cy="2381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Adicionar Saída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9</xdr:row>
          <xdr:rowOff>0</xdr:rowOff>
        </xdr:from>
        <xdr:to>
          <xdr:col>5</xdr:col>
          <xdr:colOff>590550</xdr:colOff>
          <xdr:row>10</xdr:row>
          <xdr:rowOff>28575</xdr:rowOff>
        </xdr:to>
        <xdr:sp macro="" textlink="">
          <xdr:nvSpPr>
            <xdr:cNvPr id="18440" name="txtcategoria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6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10</xdr:row>
          <xdr:rowOff>219075</xdr:rowOff>
        </xdr:from>
        <xdr:to>
          <xdr:col>5</xdr:col>
          <xdr:colOff>590550</xdr:colOff>
          <xdr:row>12</xdr:row>
          <xdr:rowOff>9525</xdr:rowOff>
        </xdr:to>
        <xdr:sp macro="" textlink="">
          <xdr:nvSpPr>
            <xdr:cNvPr id="18441" name="txtqtd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6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9525</xdr:colOff>
      <xdr:row>1</xdr:row>
      <xdr:rowOff>9525</xdr:rowOff>
    </xdr:from>
    <xdr:to>
      <xdr:col>15</xdr:col>
      <xdr:colOff>550334</xdr:colOff>
      <xdr:row>6</xdr:row>
      <xdr:rowOff>70044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247650"/>
          <a:ext cx="3979334" cy="1251144"/>
        </a:xfrm>
        <a:prstGeom prst="rect">
          <a:avLst/>
        </a:prstGeom>
      </xdr:spPr>
    </xdr:pic>
    <xdr:clientData/>
  </xdr:twoCellAnchor>
  <xdr:twoCellAnchor>
    <xdr:from>
      <xdr:col>1</xdr:col>
      <xdr:colOff>333375</xdr:colOff>
      <xdr:row>13</xdr:row>
      <xdr:rowOff>0</xdr:rowOff>
    </xdr:from>
    <xdr:to>
      <xdr:col>2</xdr:col>
      <xdr:colOff>1028700</xdr:colOff>
      <xdr:row>15</xdr:row>
      <xdr:rowOff>123825</xdr:rowOff>
    </xdr:to>
    <xdr:sp macro="[0]!AbastecerEstoque" textlink="">
      <xdr:nvSpPr>
        <xdr:cNvPr id="12" name="Retângulo: Cantos Arredondados 11">
          <a:hlinkClick xmlns:r="http://schemas.openxmlformats.org/officeDocument/2006/relationships" r:id="rId2" tooltip="Menu Principal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942975" y="3095625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166688</xdr:colOff>
      <xdr:row>0</xdr:row>
      <xdr:rowOff>59531</xdr:rowOff>
    </xdr:from>
    <xdr:to>
      <xdr:col>1</xdr:col>
      <xdr:colOff>971550</xdr:colOff>
      <xdr:row>3</xdr:row>
      <xdr:rowOff>88106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688" y="59531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57150</xdr:rowOff>
    </xdr:from>
    <xdr:to>
      <xdr:col>0</xdr:col>
      <xdr:colOff>1943100</xdr:colOff>
      <xdr:row>3</xdr:row>
      <xdr:rowOff>85725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14300" y="57150"/>
          <a:ext cx="1828800" cy="6000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66675</xdr:rowOff>
    </xdr:from>
    <xdr:to>
      <xdr:col>1</xdr:col>
      <xdr:colOff>247650</xdr:colOff>
      <xdr:row>3</xdr:row>
      <xdr:rowOff>57150</xdr:rowOff>
    </xdr:to>
    <xdr:sp macro="[0]!AbastecerEstoque" textlink="">
      <xdr:nvSpPr>
        <xdr:cNvPr id="2" name="Retângulo: Cantos Arredondados 1">
          <a:hlinkClick xmlns:r="http://schemas.openxmlformats.org/officeDocument/2006/relationships" r:id="rId1" tooltip="Menu Principal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7150" y="66675"/>
          <a:ext cx="1828800" cy="5619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Voltar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ao Menu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moveDataOnSave="1" connectionId="1" xr16:uid="{00000000-0016-0000-0900-000000000000}" autoFormatId="16" applyNumberFormats="0" applyBorderFormats="0" applyFontFormats="0" applyPatternFormats="0" applyAlignmentFormats="0" applyWidthHeightFormats="0">
  <queryTableRefresh nextId="22">
    <queryTableFields count="10">
      <queryTableField id="11" name="DATA/HORA CADASTRO" tableColumnId="12"/>
      <queryTableField id="12" name="TIPO" tableColumnId="13"/>
      <queryTableField id="3" name="Razão Social / Nome" tableColumnId="3"/>
      <queryTableField id="4" name="Apelido / Nome Fantasia" tableColumnId="4"/>
      <queryTableField id="13" name="CNPJ / CPF" tableColumnId="14"/>
      <queryTableField id="6" name="CEP" tableColumnId="6"/>
      <queryTableField id="14" name="NUM. RESIDENCIAL" tableColumnId="15"/>
      <queryTableField id="15" name="TELEFONE" tableColumnId="16"/>
      <queryTableField id="9" name="E-mail" tableColumnId="9"/>
      <queryTableField id="16" name="Como encontrou a Fabrilicia e seus produtos?" tableColumnId="17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MP" displayName="tbMP" ref="A1:I40" headerRowDxfId="111" dataDxfId="110" headerRowCellStyle="Porcentagem" dataCellStyle="Porcentagem">
  <tableColumns count="9">
    <tableColumn id="6" xr3:uid="{00000000-0010-0000-0000-000006000000}" name="DESCRIÇÃO" dataDxfId="109" totalsRowDxfId="108" dataCellStyle="Porcentagem" totalsRowCellStyle="Porcentagem"/>
    <tableColumn id="3" xr3:uid="{00000000-0010-0000-0000-000003000000}" name="GRUPO" dataDxfId="107" totalsRowDxfId="106" dataCellStyle="Porcentagem" totalsRowCellStyle="Porcentagem"/>
    <tableColumn id="1" xr3:uid="{00000000-0010-0000-0000-000001000000}" name="CATEGORIA" dataDxfId="105" totalsRowDxfId="104" dataCellStyle="Porcentagem" totalsRowCellStyle="Porcentagem"/>
    <tableColumn id="2" xr3:uid="{00000000-0010-0000-0000-000002000000}" name="MARCA" dataDxfId="103" totalsRowDxfId="102" dataCellStyle="Porcentagem" totalsRowCellStyle="Porcentagem"/>
    <tableColumn id="10" xr3:uid="{00000000-0010-0000-0000-00000A000000}" name="PREÇO" dataDxfId="101" totalsRowDxfId="100" dataCellStyle="Porcentagem" totalsRowCellStyle="Porcentagem"/>
    <tableColumn id="4" xr3:uid="{00000000-0010-0000-0000-000004000000}" name="VALIDADE" dataDxfId="99" totalsRowDxfId="98" dataCellStyle="Porcentagem" totalsRowCellStyle="Porcentagem"/>
    <tableColumn id="5" xr3:uid="{00000000-0010-0000-0000-000005000000}" name="PESO" totalsRowFunction="custom" dataDxfId="97" totalsRowDxfId="96" dataCellStyle="Porcentagem" totalsRowCellStyle="Porcentagem">
      <totalsRowFormula>SUBTOTAL(109,G2:G40)</totalsRowFormula>
    </tableColumn>
    <tableColumn id="7" xr3:uid="{00000000-0010-0000-0000-000007000000}" name="QTD" totalsRowFunction="custom" dataDxfId="95" totalsRowDxfId="94" dataCellStyle="Porcentagem" totalsRowCellStyle="Porcentagem">
      <totalsRowFormula>SUBTOTAL(109,H2:H40)</totalsRowFormula>
    </tableColumn>
    <tableColumn id="8" xr3:uid="{00000000-0010-0000-0000-000008000000}" name="TOTAL" totalsRowFunction="custom" dataDxfId="93" totalsRowDxfId="92" dataCellStyle="Porcentagem" totalsRowCellStyle="Porcentagem">
      <totalsRowFormula>SUBTOTAL(109,I2:I40)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AROMAS" displayName="tbAROMAS" ref="A1:D63" headerRowDxfId="91" dataDxfId="90" totalsRowDxfId="89">
  <sortState ref="A2:D63">
    <sortCondition ref="A1:A63"/>
  </sortState>
  <tableColumns count="4">
    <tableColumn id="1" xr3:uid="{00000000-0010-0000-0100-000001000000}" name="DESCRIÇÃO" dataDxfId="88" totalsRowDxfId="87"/>
    <tableColumn id="7" xr3:uid="{00000000-0010-0000-0100-000007000000}" name="TIPO" dataDxfId="86" totalsRowDxfId="85"/>
    <tableColumn id="5" xr3:uid="{00000000-0010-0000-0100-000005000000}" name="VAL." dataDxfId="84" totalsRowDxfId="83"/>
    <tableColumn id="9" xr3:uid="{00000000-0010-0000-0100-000009000000}" name="PESO LÍQUIDO" totalsRowFunction="sum" dataDxfId="82" totalsRowDxfId="8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Validade" displayName="tbValidade" ref="A1:E23" headerRowDxfId="80" dataDxfId="79" totalsRowDxfId="78">
  <sortState ref="A2:E23">
    <sortCondition descending="1" ref="E1:E23"/>
  </sortState>
  <tableColumns count="5">
    <tableColumn id="1" xr3:uid="{00000000-0010-0000-0200-000001000000}" name="Descrição" dataDxfId="77" totalsRowDxfId="76"/>
    <tableColumn id="16" xr3:uid="{00000000-0010-0000-0200-000010000000}" name="Categoria" dataDxfId="75" totalsRowDxfId="74"/>
    <tableColumn id="14" xr3:uid="{00000000-0010-0000-0200-00000E000000}" name="Estoque" totalsRowFunction="sum" dataDxfId="73" totalsRowDxfId="72"/>
    <tableColumn id="15" xr3:uid="{00000000-0010-0000-0200-00000F000000}" name="Data" dataDxfId="71" totalsRowDxfId="70"/>
    <tableColumn id="2" xr3:uid="{00000000-0010-0000-0200-000002000000}" name="Anos" dataDxfId="69" totalsRowDxfId="68">
      <calculatedColumnFormula>YEAR(tbValidade[[#This Row],[Data]]) - YEAR(TODAY())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ESTOQUE" displayName="tbESTOQUE" ref="A5:P134" totalsRowCount="1" headerRowDxfId="67" dataDxfId="66" totalsRowDxfId="65">
  <sortState ref="A6:P132">
    <sortCondition ref="A5:A132"/>
  </sortState>
  <tableColumns count="16">
    <tableColumn id="1" xr3:uid="{00000000-0010-0000-0300-000001000000}" name="CÓDIGO" dataDxfId="64" totalsRowDxfId="63">
      <calculatedColumnFormula>ROW() - 5</calculatedColumnFormula>
    </tableColumn>
    <tableColumn id="6" xr3:uid="{00000000-0010-0000-0300-000006000000}" name="CODIFICAÇÃO" dataDxfId="62" totalsRowDxfId="61">
      <calculatedColumnFormula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calculatedColumnFormula>
    </tableColumn>
    <tableColumn id="9" xr3:uid="{00000000-0010-0000-0300-000009000000}" name="DESCRIÇÃO" dataDxfId="60" totalsRowDxfId="59"/>
    <tableColumn id="15" xr3:uid="{00000000-0010-0000-0300-00000F000000}" name="GRUPO" dataDxfId="58" totalsRowDxfId="57"/>
    <tableColumn id="17" xr3:uid="{00000000-0010-0000-0300-000011000000}" name="CATEGORIA" dataDxfId="56" totalsRowDxfId="55"/>
    <tableColumn id="21" xr3:uid="{00000000-0010-0000-0300-000015000000}" name="MARCA" dataDxfId="54" totalsRowDxfId="53"/>
    <tableColumn id="3" xr3:uid="{00000000-0010-0000-0300-000003000000}" name="PREÇO" dataDxfId="52" totalsRowDxfId="51" dataCellStyle="Moeda"/>
    <tableColumn id="7" xr3:uid="{00000000-0010-0000-0300-000007000000}" name="POSSUI VAL?" dataDxfId="50" totalsRowDxfId="49" dataCellStyle="Moeda"/>
    <tableColumn id="18" xr3:uid="{00000000-0010-0000-0300-000012000000}" name="DATA VAL." dataDxfId="48" totalsRowDxfId="47" dataCellStyle="Moeda"/>
    <tableColumn id="14" xr3:uid="{00000000-0010-0000-0300-00000E000000}" name="UNIDADE DE MED." dataDxfId="46" totalsRowDxfId="45" dataCellStyle="Moeda"/>
    <tableColumn id="5" xr3:uid="{00000000-0010-0000-0300-000005000000}" name="QUANTIDADE" totalsRowFunction="sum" dataDxfId="44" totalsRowDxfId="43"/>
    <tableColumn id="4" xr3:uid="{00000000-0010-0000-0300-000004000000}" name="COTAÇÃO" totalsRowFunction="sum" dataDxfId="42" totalsRowDxfId="41" dataCellStyle="Moeda">
      <calculatedColumnFormula>tbESTOQUE[[#This Row],[PREÇO]]*tbESTOQUE[[#This Row],[QUANTIDADE]]</calculatedColumnFormula>
    </tableColumn>
    <tableColumn id="8" xr3:uid="{00000000-0010-0000-0300-000008000000}" name="ESTOQUE C/ DATA" totalsRowFunction="sum" dataDxfId="40" totalsRowDxfId="39">
      <calculatedColumnFormula>IF(tbESTOQUE[[#This Row],[CATEGORIA]]="CINTAS",SUMIF(tbValidade[Descrição],tbESTOQUE[[#This Row],[DESCRIÇÃO]],tbValidade[Estoque]),"N/A")</calculatedColumnFormula>
    </tableColumn>
    <tableColumn id="10" xr3:uid="{00000000-0010-0000-0300-00000A000000}" name="COTAÇÃO C/ DATA" totalsRowFunction="sum" dataDxfId="38" totalsRowDxfId="37" dataCellStyle="Moeda">
      <calculatedColumnFormula>IFERROR(tbESTOQUE[[#This Row],[ESTOQUE C/ DATA]]*tbESTOQUE[[#This Row],[PREÇO]],tbESTOQUE[[#This Row],[ESTOQUE C/ DATA]])</calculatedColumnFormula>
    </tableColumn>
    <tableColumn id="12" xr3:uid="{00000000-0010-0000-0300-00000C000000}" name="ESTOQUE GERAL" totalsRowFunction="sum" dataDxfId="36" totalsRowDxfId="35">
      <calculatedColumnFormula>SUM(tbESTOQUE[[#This Row],[ESTOQUE C/ DATA]],tbESTOQUE[[#This Row],[QUANTIDADE]])</calculatedColumnFormula>
    </tableColumn>
    <tableColumn id="13" xr3:uid="{00000000-0010-0000-0300-00000D000000}" name="COTAÇÃO GERAL" totalsRowFunction="sum" dataDxfId="34" totalsRowDxfId="33" dataCellStyle="Moeda">
      <calculatedColumnFormula>tbESTOQUE[[#This Row],[ESTOQUE GERAL]]*tbESTOQUE[[#This Row],[PREÇO]]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OG" displayName="tbLOG" ref="A5:J17" totalsRowShown="0" headerRowDxfId="32" dataDxfId="31">
  <sortState ref="A6:J6">
    <sortCondition ref="A5:A6"/>
  </sortState>
  <tableColumns count="10">
    <tableColumn id="1" xr3:uid="{00000000-0010-0000-0400-000001000000}" name="DATA / HORA MOVIMENTAÇÃO" dataDxfId="30"/>
    <tableColumn id="2" xr3:uid="{00000000-0010-0000-0400-000002000000}" name="USUÁRIO" dataDxfId="29"/>
    <tableColumn id="3" xr3:uid="{00000000-0010-0000-0400-000003000000}" name="COMPUTADOR" dataDxfId="28"/>
    <tableColumn id="9" xr3:uid="{00000000-0010-0000-0400-000009000000}" name="TIPO DE MOV." dataDxfId="27"/>
    <tableColumn id="8" xr3:uid="{00000000-0010-0000-0400-000008000000}" name="PRODUTO" dataDxfId="26"/>
    <tableColumn id="4" xr3:uid="{00000000-0010-0000-0400-000004000000}" name="ESTOQUE ANTERIOR" dataDxfId="25"/>
    <tableColumn id="12" xr3:uid="{00000000-0010-0000-0400-00000C000000}" name="ENTRADA/SAÍDA" dataDxfId="24"/>
    <tableColumn id="10" xr3:uid="{00000000-0010-0000-0400-00000A000000}" name="ESTOQUE ATUAL" dataDxfId="23"/>
    <tableColumn id="5" xr3:uid="{00000000-0010-0000-0400-000005000000}" name="GRUPO" dataDxfId="22"/>
    <tableColumn id="6" xr3:uid="{00000000-0010-0000-0400-000006000000}" name="CATEGORIA" dataDxfId="21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Consultas_Sheets" displayName="Consultas_Sheets" ref="A5:J17" tableType="queryTable" totalsRowShown="0">
  <tableColumns count="10">
    <tableColumn id="12" xr3:uid="{00000000-0010-0000-0500-00000C000000}" uniqueName="12" name="DATA/HORA CADASTRO" queryTableFieldId="11" dataDxfId="20"/>
    <tableColumn id="13" xr3:uid="{00000000-0010-0000-0500-00000D000000}" uniqueName="13" name="TIPO" queryTableFieldId="12" dataDxfId="19"/>
    <tableColumn id="3" xr3:uid="{00000000-0010-0000-0500-000003000000}" uniqueName="3" name="RAZÃO SOCIAL / NOME" queryTableFieldId="3" dataDxfId="18"/>
    <tableColumn id="4" xr3:uid="{00000000-0010-0000-0500-000004000000}" uniqueName="4" name="APELIDO / NOME FANTASIA" queryTableFieldId="4" dataDxfId="17"/>
    <tableColumn id="14" xr3:uid="{00000000-0010-0000-0500-00000E000000}" uniqueName="14" name="CNPJ / CPF" queryTableFieldId="13" dataDxfId="16"/>
    <tableColumn id="6" xr3:uid="{00000000-0010-0000-0500-000006000000}" uniqueName="6" name="CEP" queryTableFieldId="6" dataDxfId="15"/>
    <tableColumn id="15" xr3:uid="{00000000-0010-0000-0500-00000F000000}" uniqueName="15" name="NUM. RESIDENCIAL" queryTableFieldId="14" dataDxfId="14"/>
    <tableColumn id="16" xr3:uid="{00000000-0010-0000-0500-000010000000}" uniqueName="16" name="TELEFONE" queryTableFieldId="15" dataDxfId="13"/>
    <tableColumn id="9" xr3:uid="{00000000-0010-0000-0500-000009000000}" uniqueName="9" name="E-MAIL" queryTableFieldId="9" dataDxfId="12"/>
    <tableColumn id="17" xr3:uid="{00000000-0010-0000-0500-000011000000}" uniqueName="17" name="Como encontrou a Fabrilicia e seus produtos?" queryTableFieldId="16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IMPRESSO" displayName="tbIMPRESSO" ref="A1:G27" totalsRowShown="0" headerRowDxfId="10" dataDxfId="8" headerRowBorderDxfId="9" tableBorderDxfId="7">
  <sortState ref="A2:G2">
    <sortCondition ref="D1:D2"/>
  </sortState>
  <tableColumns count="7">
    <tableColumn id="1" xr3:uid="{00000000-0010-0000-0600-000001000000}" name="CTRL" dataDxfId="6"/>
    <tableColumn id="2" xr3:uid="{00000000-0010-0000-0600-000002000000}" name="CÓD" dataDxfId="5"/>
    <tableColumn id="3" xr3:uid="{00000000-0010-0000-0600-000003000000}" name="DESCRIÇÃO" dataDxfId="4"/>
    <tableColumn id="4" xr3:uid="{00000000-0010-0000-0600-000004000000}" name="CATEGORIA" dataDxfId="3"/>
    <tableColumn id="5" xr3:uid="{00000000-0010-0000-0600-000005000000}" name="ESTOQUE" dataDxfId="2"/>
    <tableColumn id="8" xr3:uid="{00000000-0010-0000-0600-000008000000}" name="TIPO" dataDxfId="1"/>
    <tableColumn id="6" xr3:uid="{00000000-0010-0000-0600-000006000000}" name="QTD.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19" Type="http://schemas.openxmlformats.org/officeDocument/2006/relationships/image" Target="../media/image18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0"/>
  <sheetViews>
    <sheetView showGridLines="0" workbookViewId="0"/>
  </sheetViews>
  <sheetFormatPr defaultRowHeight="15" x14ac:dyDescent="0.25"/>
  <cols>
    <col min="1" max="1" width="51.5703125" bestFit="1" customWidth="1"/>
    <col min="2" max="2" width="15.42578125" bestFit="1" customWidth="1"/>
    <col min="3" max="3" width="31.140625" bestFit="1" customWidth="1"/>
    <col min="4" max="4" width="16.85546875" bestFit="1" customWidth="1"/>
    <col min="5" max="5" width="7.7109375" bestFit="1" customWidth="1"/>
    <col min="6" max="6" width="10.7109375" bestFit="1" customWidth="1"/>
    <col min="7" max="7" width="6.5703125" bestFit="1" customWidth="1"/>
    <col min="8" max="8" width="4.7109375" bestFit="1" customWidth="1"/>
    <col min="9" max="9" width="6.5703125" bestFit="1" customWidth="1"/>
  </cols>
  <sheetData>
    <row r="1" spans="1:9" x14ac:dyDescent="0.25">
      <c r="A1" s="8" t="s">
        <v>1</v>
      </c>
      <c r="B1" s="8" t="s">
        <v>3</v>
      </c>
      <c r="C1" s="6" t="s">
        <v>4</v>
      </c>
      <c r="D1" s="6" t="s">
        <v>58</v>
      </c>
      <c r="E1" s="6" t="s">
        <v>14</v>
      </c>
      <c r="F1" s="9" t="s">
        <v>79</v>
      </c>
      <c r="G1" s="9" t="s">
        <v>80</v>
      </c>
      <c r="H1" s="9" t="s">
        <v>81</v>
      </c>
      <c r="I1" s="9" t="s">
        <v>56</v>
      </c>
    </row>
    <row r="2" spans="1:9" x14ac:dyDescent="0.25">
      <c r="A2" s="6" t="s">
        <v>21</v>
      </c>
      <c r="B2" s="6" t="s">
        <v>49</v>
      </c>
      <c r="C2" s="6" t="s">
        <v>50</v>
      </c>
      <c r="D2" s="6" t="s">
        <v>60</v>
      </c>
      <c r="E2" s="18">
        <v>0</v>
      </c>
      <c r="F2" s="10">
        <v>43070</v>
      </c>
      <c r="G2" s="7">
        <v>1</v>
      </c>
      <c r="H2" s="11">
        <v>5</v>
      </c>
      <c r="I2" s="7">
        <v>5</v>
      </c>
    </row>
    <row r="3" spans="1:9" x14ac:dyDescent="0.25">
      <c r="A3" s="6" t="s">
        <v>22</v>
      </c>
      <c r="B3" s="6" t="s">
        <v>49</v>
      </c>
      <c r="C3" s="6" t="s">
        <v>50</v>
      </c>
      <c r="D3" s="6" t="s">
        <v>60</v>
      </c>
      <c r="E3" s="18">
        <v>0</v>
      </c>
      <c r="F3" s="10">
        <v>43132</v>
      </c>
      <c r="G3" s="7">
        <v>1</v>
      </c>
      <c r="H3" s="11">
        <v>1</v>
      </c>
      <c r="I3" s="7">
        <v>1</v>
      </c>
    </row>
    <row r="4" spans="1:9" x14ac:dyDescent="0.25">
      <c r="A4" s="6" t="s">
        <v>23</v>
      </c>
      <c r="B4" s="6" t="s">
        <v>49</v>
      </c>
      <c r="C4" s="6" t="s">
        <v>50</v>
      </c>
      <c r="D4" s="6" t="s">
        <v>60</v>
      </c>
      <c r="E4" s="18">
        <v>0</v>
      </c>
      <c r="F4" s="10">
        <v>43132</v>
      </c>
      <c r="G4" s="7">
        <v>1</v>
      </c>
      <c r="H4" s="11">
        <v>1</v>
      </c>
      <c r="I4" s="7">
        <v>1</v>
      </c>
    </row>
    <row r="5" spans="1:9" x14ac:dyDescent="0.25">
      <c r="A5" s="6" t="s">
        <v>24</v>
      </c>
      <c r="B5" s="6" t="s">
        <v>49</v>
      </c>
      <c r="C5" s="6" t="s">
        <v>50</v>
      </c>
      <c r="D5" s="6" t="s">
        <v>60</v>
      </c>
      <c r="E5" s="18">
        <v>0</v>
      </c>
      <c r="F5" s="10">
        <v>43244</v>
      </c>
      <c r="G5" s="7">
        <v>1</v>
      </c>
      <c r="H5" s="11">
        <v>1</v>
      </c>
      <c r="I5" s="7">
        <v>1</v>
      </c>
    </row>
    <row r="6" spans="1:9" x14ac:dyDescent="0.25">
      <c r="A6" s="6" t="s">
        <v>24</v>
      </c>
      <c r="B6" s="6" t="s">
        <v>49</v>
      </c>
      <c r="C6" s="6" t="s">
        <v>50</v>
      </c>
      <c r="D6" s="6" t="s">
        <v>60</v>
      </c>
      <c r="E6" s="18">
        <v>0</v>
      </c>
      <c r="F6" s="10">
        <v>43209</v>
      </c>
      <c r="G6" s="7">
        <v>1</v>
      </c>
      <c r="H6" s="11">
        <v>2</v>
      </c>
      <c r="I6" s="7">
        <v>2</v>
      </c>
    </row>
    <row r="7" spans="1:9" x14ac:dyDescent="0.25">
      <c r="A7" s="6" t="s">
        <v>25</v>
      </c>
      <c r="B7" s="6" t="s">
        <v>49</v>
      </c>
      <c r="C7" s="6" t="s">
        <v>50</v>
      </c>
      <c r="D7" s="6" t="s">
        <v>60</v>
      </c>
      <c r="E7" s="18">
        <v>0</v>
      </c>
      <c r="F7" s="10">
        <v>42894</v>
      </c>
      <c r="G7" s="7">
        <v>1</v>
      </c>
      <c r="H7" s="11">
        <v>1</v>
      </c>
      <c r="I7" s="7">
        <v>1</v>
      </c>
    </row>
    <row r="8" spans="1:9" x14ac:dyDescent="0.25">
      <c r="A8" s="6" t="s">
        <v>26</v>
      </c>
      <c r="B8" s="6" t="s">
        <v>49</v>
      </c>
      <c r="C8" s="6" t="s">
        <v>51</v>
      </c>
      <c r="D8" s="6" t="s">
        <v>61</v>
      </c>
      <c r="E8" s="18">
        <v>0</v>
      </c>
      <c r="F8" s="10">
        <v>43009</v>
      </c>
      <c r="G8" s="7">
        <v>1</v>
      </c>
      <c r="H8" s="11">
        <v>2</v>
      </c>
      <c r="I8" s="7">
        <v>2</v>
      </c>
    </row>
    <row r="9" spans="1:9" x14ac:dyDescent="0.25">
      <c r="A9" s="6" t="s">
        <v>27</v>
      </c>
      <c r="B9" s="6" t="s">
        <v>49</v>
      </c>
      <c r="C9" s="6" t="s">
        <v>52</v>
      </c>
      <c r="D9" s="6" t="s">
        <v>62</v>
      </c>
      <c r="E9" s="18">
        <v>0</v>
      </c>
      <c r="F9" s="10">
        <v>42976</v>
      </c>
      <c r="G9" s="7">
        <v>1.0049999999999999</v>
      </c>
      <c r="H9" s="11">
        <v>1</v>
      </c>
      <c r="I9" s="7">
        <v>1.0049999999999999</v>
      </c>
    </row>
    <row r="10" spans="1:9" x14ac:dyDescent="0.25">
      <c r="A10" s="6" t="s">
        <v>27</v>
      </c>
      <c r="B10" s="6" t="s">
        <v>49</v>
      </c>
      <c r="C10" s="6" t="s">
        <v>52</v>
      </c>
      <c r="D10" s="6" t="s">
        <v>62</v>
      </c>
      <c r="E10" s="18">
        <v>0</v>
      </c>
      <c r="F10" s="10">
        <v>42917</v>
      </c>
      <c r="G10" s="7">
        <v>0.85</v>
      </c>
      <c r="H10" s="11">
        <v>1</v>
      </c>
      <c r="I10" s="7">
        <v>0.85</v>
      </c>
    </row>
    <row r="11" spans="1:9" x14ac:dyDescent="0.25">
      <c r="A11" s="6" t="s">
        <v>28</v>
      </c>
      <c r="B11" s="6" t="s">
        <v>49</v>
      </c>
      <c r="C11" s="6" t="s">
        <v>52</v>
      </c>
      <c r="D11" s="6" t="s">
        <v>63</v>
      </c>
      <c r="E11" s="18">
        <v>0</v>
      </c>
      <c r="F11" s="10">
        <v>43071</v>
      </c>
      <c r="G11" s="7">
        <v>0.5</v>
      </c>
      <c r="H11" s="11">
        <v>1</v>
      </c>
      <c r="I11" s="7">
        <v>0.5</v>
      </c>
    </row>
    <row r="12" spans="1:9" x14ac:dyDescent="0.25">
      <c r="A12" s="6" t="s">
        <v>29</v>
      </c>
      <c r="B12" s="6" t="s">
        <v>49</v>
      </c>
      <c r="C12" s="6" t="s">
        <v>52</v>
      </c>
      <c r="D12" s="6" t="s">
        <v>64</v>
      </c>
      <c r="E12" s="18">
        <v>0</v>
      </c>
      <c r="F12" s="10">
        <v>43014</v>
      </c>
      <c r="G12" s="7">
        <v>1</v>
      </c>
      <c r="H12" s="11">
        <v>1</v>
      </c>
      <c r="I12" s="7">
        <v>1</v>
      </c>
    </row>
    <row r="13" spans="1:9" x14ac:dyDescent="0.25">
      <c r="A13" s="6" t="s">
        <v>30</v>
      </c>
      <c r="B13" s="6" t="s">
        <v>49</v>
      </c>
      <c r="C13" s="6" t="s">
        <v>52</v>
      </c>
      <c r="D13" s="6" t="s">
        <v>65</v>
      </c>
      <c r="E13" s="18">
        <v>0</v>
      </c>
      <c r="F13" s="10">
        <v>43009</v>
      </c>
      <c r="G13" s="7">
        <v>1.94</v>
      </c>
      <c r="H13" s="11">
        <v>1</v>
      </c>
      <c r="I13" s="7">
        <v>1.94</v>
      </c>
    </row>
    <row r="14" spans="1:9" x14ac:dyDescent="0.25">
      <c r="A14" s="6" t="s">
        <v>26</v>
      </c>
      <c r="B14" s="6" t="s">
        <v>49</v>
      </c>
      <c r="C14" s="6" t="s">
        <v>51</v>
      </c>
      <c r="D14" s="6" t="s">
        <v>61</v>
      </c>
      <c r="E14" s="18">
        <v>0</v>
      </c>
      <c r="F14" s="10">
        <v>43009</v>
      </c>
      <c r="G14" s="7">
        <v>0.47499999999999998</v>
      </c>
      <c r="H14" s="11">
        <v>1</v>
      </c>
      <c r="I14" s="7">
        <v>0.47499999999999998</v>
      </c>
    </row>
    <row r="15" spans="1:9" x14ac:dyDescent="0.25">
      <c r="A15" s="6" t="s">
        <v>29</v>
      </c>
      <c r="B15" s="6" t="s">
        <v>49</v>
      </c>
      <c r="C15" s="6" t="s">
        <v>52</v>
      </c>
      <c r="D15" s="6" t="s">
        <v>64</v>
      </c>
      <c r="E15" s="18">
        <v>0</v>
      </c>
      <c r="F15" s="10">
        <v>43588</v>
      </c>
      <c r="G15" s="7">
        <v>0.1</v>
      </c>
      <c r="H15" s="11">
        <v>1</v>
      </c>
      <c r="I15" s="7">
        <v>0.1</v>
      </c>
    </row>
    <row r="16" spans="1:9" x14ac:dyDescent="0.25">
      <c r="A16" s="6" t="s">
        <v>27</v>
      </c>
      <c r="B16" s="6" t="s">
        <v>49</v>
      </c>
      <c r="C16" s="6" t="s">
        <v>52</v>
      </c>
      <c r="D16" s="6" t="s">
        <v>62</v>
      </c>
      <c r="E16" s="18">
        <v>0</v>
      </c>
      <c r="F16" s="10">
        <v>43588</v>
      </c>
      <c r="G16" s="7">
        <v>0.8</v>
      </c>
      <c r="H16" s="11">
        <v>1</v>
      </c>
      <c r="I16" s="7">
        <v>0.8</v>
      </c>
    </row>
    <row r="17" spans="1:9" x14ac:dyDescent="0.25">
      <c r="A17" s="6" t="s">
        <v>31</v>
      </c>
      <c r="B17" s="6" t="s">
        <v>49</v>
      </c>
      <c r="C17" s="6" t="s">
        <v>52</v>
      </c>
      <c r="D17" s="6" t="s">
        <v>65</v>
      </c>
      <c r="E17" s="18">
        <v>0</v>
      </c>
      <c r="F17" s="10">
        <v>42767</v>
      </c>
      <c r="G17" s="7">
        <v>2.11</v>
      </c>
      <c r="H17" s="11">
        <v>1</v>
      </c>
      <c r="I17" s="7">
        <v>2.11</v>
      </c>
    </row>
    <row r="18" spans="1:9" x14ac:dyDescent="0.25">
      <c r="A18" s="6" t="s">
        <v>32</v>
      </c>
      <c r="B18" s="6" t="s">
        <v>49</v>
      </c>
      <c r="C18" s="6" t="s">
        <v>52</v>
      </c>
      <c r="D18" s="6" t="s">
        <v>66</v>
      </c>
      <c r="E18" s="18">
        <v>0</v>
      </c>
      <c r="F18" s="10">
        <v>43196</v>
      </c>
      <c r="G18" s="7">
        <v>0.41</v>
      </c>
      <c r="H18" s="11">
        <v>1</v>
      </c>
      <c r="I18" s="7">
        <v>0.41</v>
      </c>
    </row>
    <row r="19" spans="1:9" x14ac:dyDescent="0.25">
      <c r="A19" s="6" t="s">
        <v>33</v>
      </c>
      <c r="B19" s="6" t="s">
        <v>49</v>
      </c>
      <c r="C19" s="6" t="s">
        <v>49</v>
      </c>
      <c r="D19" s="6" t="s">
        <v>67</v>
      </c>
      <c r="E19" s="18">
        <v>0</v>
      </c>
      <c r="F19" s="10">
        <v>43040</v>
      </c>
      <c r="G19" s="7">
        <v>14</v>
      </c>
      <c r="H19" s="11">
        <v>1</v>
      </c>
      <c r="I19" s="7">
        <v>14</v>
      </c>
    </row>
    <row r="20" spans="1:9" x14ac:dyDescent="0.25">
      <c r="A20" s="6" t="s">
        <v>34</v>
      </c>
      <c r="B20" s="6" t="s">
        <v>49</v>
      </c>
      <c r="C20" s="6" t="s">
        <v>49</v>
      </c>
      <c r="D20" s="6" t="s">
        <v>68</v>
      </c>
      <c r="E20" s="18">
        <v>0</v>
      </c>
      <c r="F20" s="10">
        <v>43497</v>
      </c>
      <c r="G20" s="7">
        <v>1.47</v>
      </c>
      <c r="H20" s="11">
        <v>1</v>
      </c>
      <c r="I20" s="7">
        <v>1.47</v>
      </c>
    </row>
    <row r="21" spans="1:9" x14ac:dyDescent="0.25">
      <c r="A21" s="6" t="s">
        <v>34</v>
      </c>
      <c r="B21" s="6" t="s">
        <v>49</v>
      </c>
      <c r="C21" s="6" t="s">
        <v>49</v>
      </c>
      <c r="D21" s="6" t="s">
        <v>68</v>
      </c>
      <c r="E21" s="18">
        <v>0</v>
      </c>
      <c r="F21" s="10">
        <v>43497</v>
      </c>
      <c r="G21" s="7">
        <v>1</v>
      </c>
      <c r="H21" s="11">
        <v>41</v>
      </c>
      <c r="I21" s="7">
        <v>41</v>
      </c>
    </row>
    <row r="22" spans="1:9" x14ac:dyDescent="0.25">
      <c r="A22" s="6" t="s">
        <v>35</v>
      </c>
      <c r="B22" s="6" t="s">
        <v>49</v>
      </c>
      <c r="C22" s="6" t="s">
        <v>49</v>
      </c>
      <c r="D22" s="6" t="s">
        <v>59</v>
      </c>
      <c r="E22" s="18">
        <v>0</v>
      </c>
      <c r="F22" s="10">
        <v>43101</v>
      </c>
      <c r="G22" s="7">
        <v>0.75</v>
      </c>
      <c r="H22" s="11">
        <v>1</v>
      </c>
      <c r="I22" s="7">
        <v>0.75</v>
      </c>
    </row>
    <row r="23" spans="1:9" x14ac:dyDescent="0.25">
      <c r="A23" s="6" t="s">
        <v>36</v>
      </c>
      <c r="B23" s="6" t="s">
        <v>49</v>
      </c>
      <c r="C23" s="6" t="s">
        <v>49</v>
      </c>
      <c r="D23" s="6" t="s">
        <v>69</v>
      </c>
      <c r="E23" s="18">
        <v>0</v>
      </c>
      <c r="F23" s="10">
        <v>43032</v>
      </c>
      <c r="G23" s="7">
        <v>2.13</v>
      </c>
      <c r="H23" s="11">
        <v>1</v>
      </c>
      <c r="I23" s="7">
        <v>2.13</v>
      </c>
    </row>
    <row r="24" spans="1:9" x14ac:dyDescent="0.25">
      <c r="A24" s="6" t="s">
        <v>37</v>
      </c>
      <c r="B24" s="6" t="s">
        <v>49</v>
      </c>
      <c r="C24" s="6" t="s">
        <v>49</v>
      </c>
      <c r="D24" s="6" t="s">
        <v>70</v>
      </c>
      <c r="E24" s="18">
        <v>0</v>
      </c>
      <c r="F24" s="10">
        <v>43435</v>
      </c>
      <c r="G24" s="7">
        <v>17.12</v>
      </c>
      <c r="H24" s="11">
        <v>1</v>
      </c>
      <c r="I24" s="7">
        <v>17.12</v>
      </c>
    </row>
    <row r="25" spans="1:9" x14ac:dyDescent="0.25">
      <c r="A25" s="6" t="s">
        <v>38</v>
      </c>
      <c r="B25" s="6" t="s">
        <v>49</v>
      </c>
      <c r="C25" s="6" t="s">
        <v>49</v>
      </c>
      <c r="D25" s="6" t="s">
        <v>69</v>
      </c>
      <c r="E25" s="18">
        <v>0</v>
      </c>
      <c r="F25" s="10">
        <v>43258</v>
      </c>
      <c r="G25" s="7">
        <v>9.3800000000000008</v>
      </c>
      <c r="H25" s="11">
        <v>1</v>
      </c>
      <c r="I25" s="7">
        <v>9.3800000000000008</v>
      </c>
    </row>
    <row r="26" spans="1:9" x14ac:dyDescent="0.25">
      <c r="A26" s="6" t="s">
        <v>39</v>
      </c>
      <c r="B26" s="6" t="s">
        <v>49</v>
      </c>
      <c r="C26" s="6" t="s">
        <v>49</v>
      </c>
      <c r="D26" s="6" t="s">
        <v>71</v>
      </c>
      <c r="E26" s="18">
        <v>0</v>
      </c>
      <c r="F26" s="10">
        <v>43117</v>
      </c>
      <c r="G26" s="7">
        <v>1.44</v>
      </c>
      <c r="H26" s="11">
        <v>1</v>
      </c>
      <c r="I26" s="7">
        <v>1.44</v>
      </c>
    </row>
    <row r="27" spans="1:9" x14ac:dyDescent="0.25">
      <c r="A27" s="6" t="s">
        <v>40</v>
      </c>
      <c r="B27" s="6" t="s">
        <v>49</v>
      </c>
      <c r="C27" s="6" t="s">
        <v>49</v>
      </c>
      <c r="D27" s="6" t="s">
        <v>72</v>
      </c>
      <c r="E27" s="18">
        <v>0</v>
      </c>
      <c r="F27" s="10">
        <v>43117</v>
      </c>
      <c r="G27" s="7">
        <v>1.635</v>
      </c>
      <c r="H27" s="11">
        <v>1</v>
      </c>
      <c r="I27" s="7">
        <v>1.635</v>
      </c>
    </row>
    <row r="28" spans="1:9" x14ac:dyDescent="0.25">
      <c r="A28" s="6" t="s">
        <v>38</v>
      </c>
      <c r="B28" s="6" t="s">
        <v>49</v>
      </c>
      <c r="C28" s="6" t="s">
        <v>49</v>
      </c>
      <c r="D28" s="6" t="s">
        <v>69</v>
      </c>
      <c r="E28" s="18">
        <v>0</v>
      </c>
      <c r="F28" s="10">
        <v>43101</v>
      </c>
      <c r="G28" s="7">
        <v>14.14</v>
      </c>
      <c r="H28" s="11">
        <v>1</v>
      </c>
      <c r="I28" s="7">
        <v>14.14</v>
      </c>
    </row>
    <row r="29" spans="1:9" x14ac:dyDescent="0.25">
      <c r="A29" s="6" t="s">
        <v>38</v>
      </c>
      <c r="B29" s="6" t="s">
        <v>49</v>
      </c>
      <c r="C29" s="6" t="s">
        <v>49</v>
      </c>
      <c r="D29" s="6" t="s">
        <v>69</v>
      </c>
      <c r="E29" s="18">
        <v>0</v>
      </c>
      <c r="F29" s="10">
        <v>43466</v>
      </c>
      <c r="G29" s="7">
        <v>11.48</v>
      </c>
      <c r="H29" s="11">
        <v>1</v>
      </c>
      <c r="I29" s="7">
        <v>11.48</v>
      </c>
    </row>
    <row r="30" spans="1:9" x14ac:dyDescent="0.25">
      <c r="A30" s="6" t="s">
        <v>41</v>
      </c>
      <c r="B30" s="6" t="s">
        <v>49</v>
      </c>
      <c r="C30" s="6" t="s">
        <v>49</v>
      </c>
      <c r="D30" s="6" t="s">
        <v>73</v>
      </c>
      <c r="E30" s="18">
        <v>0</v>
      </c>
      <c r="F30" s="10">
        <v>43277</v>
      </c>
      <c r="G30" s="7">
        <v>20.75</v>
      </c>
      <c r="H30" s="11">
        <v>1</v>
      </c>
      <c r="I30" s="7">
        <v>20.75</v>
      </c>
    </row>
    <row r="31" spans="1:9" x14ac:dyDescent="0.25">
      <c r="A31" s="6" t="s">
        <v>42</v>
      </c>
      <c r="B31" s="6" t="s">
        <v>49</v>
      </c>
      <c r="C31" s="6" t="s">
        <v>49</v>
      </c>
      <c r="D31" s="6" t="s">
        <v>73</v>
      </c>
      <c r="E31" s="18">
        <v>0</v>
      </c>
      <c r="F31" s="10">
        <v>43473</v>
      </c>
      <c r="G31" s="7">
        <v>17.72</v>
      </c>
      <c r="H31" s="11">
        <v>1</v>
      </c>
      <c r="I31" s="7">
        <v>17.72</v>
      </c>
    </row>
    <row r="32" spans="1:9" x14ac:dyDescent="0.25">
      <c r="A32" s="6" t="s">
        <v>43</v>
      </c>
      <c r="B32" s="6" t="s">
        <v>49</v>
      </c>
      <c r="C32" s="6" t="s">
        <v>49</v>
      </c>
      <c r="D32" s="6" t="s">
        <v>74</v>
      </c>
      <c r="E32" s="18">
        <v>0</v>
      </c>
      <c r="F32" s="10">
        <v>43414</v>
      </c>
      <c r="G32" s="7">
        <v>16.600000000000001</v>
      </c>
      <c r="H32" s="11">
        <v>1</v>
      </c>
      <c r="I32" s="7">
        <v>16.600000000000001</v>
      </c>
    </row>
    <row r="33" spans="1:9" x14ac:dyDescent="0.25">
      <c r="A33" s="6" t="s">
        <v>42</v>
      </c>
      <c r="B33" s="6" t="s">
        <v>49</v>
      </c>
      <c r="C33" s="6" t="s">
        <v>49</v>
      </c>
      <c r="D33" s="6" t="s">
        <v>73</v>
      </c>
      <c r="E33" s="18">
        <v>0</v>
      </c>
      <c r="F33" s="10">
        <v>43473</v>
      </c>
      <c r="G33" s="7">
        <v>25.36</v>
      </c>
      <c r="H33" s="11">
        <v>1</v>
      </c>
      <c r="I33" s="7">
        <v>25.36</v>
      </c>
    </row>
    <row r="34" spans="1:9" x14ac:dyDescent="0.25">
      <c r="A34" s="6" t="s">
        <v>40</v>
      </c>
      <c r="B34" s="6" t="s">
        <v>49</v>
      </c>
      <c r="C34" s="6" t="s">
        <v>49</v>
      </c>
      <c r="D34" s="6" t="s">
        <v>72</v>
      </c>
      <c r="E34" s="18">
        <v>0</v>
      </c>
      <c r="F34" s="10">
        <v>43160</v>
      </c>
      <c r="G34" s="7">
        <v>25</v>
      </c>
      <c r="H34" s="11">
        <v>1</v>
      </c>
      <c r="I34" s="7">
        <v>25</v>
      </c>
    </row>
    <row r="35" spans="1:9" x14ac:dyDescent="0.25">
      <c r="A35" s="6" t="s">
        <v>39</v>
      </c>
      <c r="B35" s="6" t="s">
        <v>49</v>
      </c>
      <c r="C35" s="6" t="s">
        <v>49</v>
      </c>
      <c r="D35" s="6" t="s">
        <v>82</v>
      </c>
      <c r="E35" s="18">
        <v>0</v>
      </c>
      <c r="F35" s="10">
        <v>43034</v>
      </c>
      <c r="G35" s="7">
        <v>25</v>
      </c>
      <c r="H35" s="11">
        <v>1</v>
      </c>
      <c r="I35" s="7">
        <v>25</v>
      </c>
    </row>
    <row r="36" spans="1:9" x14ac:dyDescent="0.25">
      <c r="A36" s="6" t="s">
        <v>44</v>
      </c>
      <c r="B36" s="6" t="s">
        <v>49</v>
      </c>
      <c r="C36" s="6" t="s">
        <v>49</v>
      </c>
      <c r="D36" s="6" t="s">
        <v>67</v>
      </c>
      <c r="E36" s="18">
        <v>0</v>
      </c>
      <c r="F36" s="10">
        <v>44378</v>
      </c>
      <c r="G36" s="7">
        <v>9.5489999999999995</v>
      </c>
      <c r="H36" s="11">
        <v>1</v>
      </c>
      <c r="I36" s="7">
        <v>9.5489999999999995</v>
      </c>
    </row>
    <row r="37" spans="1:9" x14ac:dyDescent="0.25">
      <c r="A37" s="6" t="s">
        <v>45</v>
      </c>
      <c r="B37" s="6" t="s">
        <v>49</v>
      </c>
      <c r="C37" s="6" t="s">
        <v>49</v>
      </c>
      <c r="D37" s="6" t="s">
        <v>75</v>
      </c>
      <c r="E37" s="18">
        <v>0</v>
      </c>
      <c r="F37" s="10">
        <v>43101</v>
      </c>
      <c r="G37" s="7">
        <v>5.1189999999999998</v>
      </c>
      <c r="H37" s="11">
        <v>1</v>
      </c>
      <c r="I37" s="7">
        <v>5.1189999999999998</v>
      </c>
    </row>
    <row r="38" spans="1:9" x14ac:dyDescent="0.25">
      <c r="A38" s="6" t="s">
        <v>46</v>
      </c>
      <c r="B38" s="6" t="s">
        <v>49</v>
      </c>
      <c r="C38" s="6" t="s">
        <v>49</v>
      </c>
      <c r="D38" s="6" t="s">
        <v>75</v>
      </c>
      <c r="E38" s="18">
        <v>0</v>
      </c>
      <c r="F38" s="10">
        <v>43159</v>
      </c>
      <c r="G38" s="7">
        <v>0.25</v>
      </c>
      <c r="H38" s="11">
        <v>1</v>
      </c>
      <c r="I38" s="7">
        <v>0.25</v>
      </c>
    </row>
    <row r="39" spans="1:9" x14ac:dyDescent="0.25">
      <c r="A39" s="6" t="s">
        <v>47</v>
      </c>
      <c r="B39" s="6" t="s">
        <v>49</v>
      </c>
      <c r="C39" s="6" t="s">
        <v>49</v>
      </c>
      <c r="D39" s="6" t="s">
        <v>75</v>
      </c>
      <c r="E39" s="18">
        <v>0</v>
      </c>
      <c r="F39" s="10">
        <v>43159</v>
      </c>
      <c r="G39" s="7">
        <v>5.2750000000000004</v>
      </c>
      <c r="H39" s="11">
        <v>1</v>
      </c>
      <c r="I39" s="7">
        <v>5.2750000000000004</v>
      </c>
    </row>
    <row r="40" spans="1:9" x14ac:dyDescent="0.25">
      <c r="A40" s="6" t="s">
        <v>48</v>
      </c>
      <c r="B40" s="6" t="s">
        <v>49</v>
      </c>
      <c r="C40" s="6" t="s">
        <v>49</v>
      </c>
      <c r="D40" s="6" t="s">
        <v>76</v>
      </c>
      <c r="E40" s="18">
        <v>0</v>
      </c>
      <c r="F40" s="10">
        <v>43435</v>
      </c>
      <c r="G40" s="7">
        <v>50</v>
      </c>
      <c r="H40" s="11">
        <v>1</v>
      </c>
      <c r="I40" s="7">
        <v>50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63"/>
  <sheetViews>
    <sheetView showGridLines="0" topLeftCell="A42" workbookViewId="0">
      <selection activeCell="D2" sqref="D2:D63"/>
    </sheetView>
  </sheetViews>
  <sheetFormatPr defaultRowHeight="15" x14ac:dyDescent="0.25"/>
  <cols>
    <col min="1" max="1" width="30.42578125" customWidth="1"/>
    <col min="2" max="2" width="12.85546875" customWidth="1"/>
    <col min="3" max="3" width="19" customWidth="1"/>
    <col min="4" max="4" width="12.85546875" customWidth="1"/>
    <col min="5" max="5" width="22.140625" customWidth="1"/>
    <col min="6" max="6" width="8.28515625" customWidth="1"/>
    <col min="7" max="7" width="10.7109375" customWidth="1"/>
    <col min="8" max="8" width="30.42578125" customWidth="1"/>
    <col min="9" max="9" width="19.85546875" customWidth="1"/>
    <col min="10" max="10" width="13.7109375" customWidth="1"/>
    <col min="13" max="13" width="30.42578125" customWidth="1"/>
    <col min="14" max="14" width="10.7109375" customWidth="1"/>
  </cols>
  <sheetData>
    <row r="1" spans="1:9" x14ac:dyDescent="0.25">
      <c r="A1" s="12" t="s">
        <v>1</v>
      </c>
      <c r="B1" s="12" t="s">
        <v>5</v>
      </c>
      <c r="C1" s="13" t="s">
        <v>83</v>
      </c>
      <c r="D1" s="13" t="s">
        <v>84</v>
      </c>
      <c r="H1" s="14" t="s">
        <v>1</v>
      </c>
      <c r="I1" s="15" t="s">
        <v>85</v>
      </c>
    </row>
    <row r="2" spans="1:9" x14ac:dyDescent="0.25">
      <c r="A2" s="12" t="s">
        <v>86</v>
      </c>
      <c r="B2" s="12" t="s">
        <v>87</v>
      </c>
      <c r="C2" s="16">
        <v>43048</v>
      </c>
      <c r="D2" s="17">
        <v>3.7350000000000003</v>
      </c>
      <c r="H2" t="s">
        <v>86</v>
      </c>
      <c r="I2">
        <f>SUMIF(tbAROMAS[DESCRIÇÃO],H2,tbAROMAS[PESO LÍQUIDO])</f>
        <v>7.94</v>
      </c>
    </row>
    <row r="3" spans="1:9" x14ac:dyDescent="0.25">
      <c r="A3" s="12" t="s">
        <v>86</v>
      </c>
      <c r="B3" s="12" t="s">
        <v>87</v>
      </c>
      <c r="C3" s="16">
        <v>43048</v>
      </c>
      <c r="D3" s="17">
        <v>4.2050000000000001</v>
      </c>
      <c r="H3" t="s">
        <v>88</v>
      </c>
      <c r="I3">
        <f>SUMIF(tbAROMAS[DESCRIÇÃO],H3,tbAROMAS[PESO LÍQUIDO])</f>
        <v>17.93</v>
      </c>
    </row>
    <row r="4" spans="1:9" x14ac:dyDescent="0.25">
      <c r="A4" s="12" t="s">
        <v>88</v>
      </c>
      <c r="B4" s="12" t="s">
        <v>89</v>
      </c>
      <c r="C4" s="16">
        <v>42935</v>
      </c>
      <c r="D4" s="17">
        <v>17.93</v>
      </c>
      <c r="H4" t="s">
        <v>90</v>
      </c>
      <c r="I4">
        <f>SUMIF(tbAROMAS[DESCRIÇÃO],H4,tbAROMAS[PESO LÍQUIDO])</f>
        <v>1</v>
      </c>
    </row>
    <row r="5" spans="1:9" x14ac:dyDescent="0.25">
      <c r="A5" s="12" t="s">
        <v>90</v>
      </c>
      <c r="B5" s="12" t="s">
        <v>87</v>
      </c>
      <c r="C5" s="16">
        <v>43342</v>
      </c>
      <c r="D5" s="17">
        <v>1</v>
      </c>
      <c r="H5" t="s">
        <v>91</v>
      </c>
      <c r="I5">
        <f>SUMIF(tbAROMAS[DESCRIÇÃO],H5,tbAROMAS[PESO LÍQUIDO])</f>
        <v>3.5550000000000002</v>
      </c>
    </row>
    <row r="6" spans="1:9" x14ac:dyDescent="0.25">
      <c r="A6" s="12" t="s">
        <v>91</v>
      </c>
      <c r="B6" s="12" t="s">
        <v>87</v>
      </c>
      <c r="C6" s="16">
        <v>43061</v>
      </c>
      <c r="D6" s="17">
        <v>3.5550000000000002</v>
      </c>
      <c r="H6" t="s">
        <v>92</v>
      </c>
      <c r="I6">
        <f>SUMIF(tbAROMAS[DESCRIÇÃO],H6,tbAROMAS[PESO LÍQUIDO])</f>
        <v>2.46</v>
      </c>
    </row>
    <row r="7" spans="1:9" x14ac:dyDescent="0.25">
      <c r="A7" s="12" t="s">
        <v>92</v>
      </c>
      <c r="B7" s="12" t="s">
        <v>89</v>
      </c>
      <c r="C7" s="16">
        <v>43110</v>
      </c>
      <c r="D7" s="17">
        <v>0.17</v>
      </c>
      <c r="H7" t="s">
        <v>93</v>
      </c>
      <c r="I7">
        <f>SUMIF(tbAROMAS[DESCRIÇÃO],H7,tbAROMAS[PESO LÍQUIDO])</f>
        <v>0.185</v>
      </c>
    </row>
    <row r="8" spans="1:9" x14ac:dyDescent="0.25">
      <c r="A8" s="12" t="s">
        <v>92</v>
      </c>
      <c r="B8" s="12" t="s">
        <v>89</v>
      </c>
      <c r="C8" s="16">
        <v>42967</v>
      </c>
      <c r="D8" s="17">
        <v>0.255</v>
      </c>
      <c r="H8" t="s">
        <v>94</v>
      </c>
      <c r="I8">
        <f>SUMIF(tbAROMAS[DESCRIÇÃO],H8,tbAROMAS[PESO LÍQUIDO])</f>
        <v>0.505</v>
      </c>
    </row>
    <row r="9" spans="1:9" x14ac:dyDescent="0.25">
      <c r="A9" s="12" t="s">
        <v>92</v>
      </c>
      <c r="B9" s="12" t="s">
        <v>89</v>
      </c>
      <c r="C9" s="16">
        <v>43332</v>
      </c>
      <c r="D9" s="17">
        <v>0.99499999999999988</v>
      </c>
      <c r="H9" t="s">
        <v>95</v>
      </c>
      <c r="I9">
        <f>SUMIF(tbAROMAS[DESCRIÇÃO],H9,tbAROMAS[PESO LÍQUIDO])</f>
        <v>6.375</v>
      </c>
    </row>
    <row r="10" spans="1:9" x14ac:dyDescent="0.25">
      <c r="A10" s="12" t="s">
        <v>92</v>
      </c>
      <c r="B10" s="12" t="s">
        <v>89</v>
      </c>
      <c r="C10" s="16">
        <v>42967</v>
      </c>
      <c r="D10" s="17">
        <v>0.99</v>
      </c>
      <c r="H10" t="s">
        <v>96</v>
      </c>
      <c r="I10">
        <f>SUMIF(tbAROMAS[DESCRIÇÃO],H10,tbAROMAS[PESO LÍQUIDO])</f>
        <v>0.36500000000000005</v>
      </c>
    </row>
    <row r="11" spans="1:9" x14ac:dyDescent="0.25">
      <c r="A11" s="12" t="s">
        <v>92</v>
      </c>
      <c r="B11" s="12" t="s">
        <v>89</v>
      </c>
      <c r="C11" s="16">
        <v>42967</v>
      </c>
      <c r="D11" s="17">
        <v>4.9999999999999996E-2</v>
      </c>
      <c r="H11" t="s">
        <v>97</v>
      </c>
      <c r="I11">
        <f>SUMIF(tbAROMAS[DESCRIÇÃO],H11,tbAROMAS[PESO LÍQUIDO])</f>
        <v>0.28500000000000003</v>
      </c>
    </row>
    <row r="12" spans="1:9" x14ac:dyDescent="0.25">
      <c r="A12" s="12" t="s">
        <v>93</v>
      </c>
      <c r="B12" s="12" t="s">
        <v>89</v>
      </c>
      <c r="C12" s="16">
        <v>43110</v>
      </c>
      <c r="D12" s="17">
        <v>0.185</v>
      </c>
      <c r="H12" t="s">
        <v>98</v>
      </c>
      <c r="I12">
        <f>SUMIF(tbAROMAS[DESCRIÇÃO],H12,tbAROMAS[PESO LÍQUIDO])</f>
        <v>44.3</v>
      </c>
    </row>
    <row r="13" spans="1:9" x14ac:dyDescent="0.25">
      <c r="A13" s="12" t="s">
        <v>94</v>
      </c>
      <c r="B13" s="12" t="s">
        <v>89</v>
      </c>
      <c r="C13" s="16">
        <v>43018</v>
      </c>
      <c r="D13" s="17">
        <v>0.505</v>
      </c>
      <c r="H13" t="s">
        <v>99</v>
      </c>
      <c r="I13">
        <f>SUMIF(tbAROMAS[DESCRIÇÃO],H13,tbAROMAS[PESO LÍQUIDO])</f>
        <v>0.1</v>
      </c>
    </row>
    <row r="14" spans="1:9" x14ac:dyDescent="0.25">
      <c r="A14" s="12" t="s">
        <v>95</v>
      </c>
      <c r="B14" s="12" t="s">
        <v>87</v>
      </c>
      <c r="C14" s="16">
        <v>43012</v>
      </c>
      <c r="D14" s="17">
        <v>3.8350000000000004</v>
      </c>
      <c r="H14" t="s">
        <v>100</v>
      </c>
      <c r="I14">
        <f>SUMIF(tbAROMAS[DESCRIÇÃO],H14,tbAROMAS[PESO LÍQUIDO])</f>
        <v>2.5000000000000001E-2</v>
      </c>
    </row>
    <row r="15" spans="1:9" x14ac:dyDescent="0.25">
      <c r="A15" s="12" t="s">
        <v>95</v>
      </c>
      <c r="B15" s="12" t="s">
        <v>87</v>
      </c>
      <c r="C15" s="16">
        <v>43012</v>
      </c>
      <c r="D15" s="17">
        <v>2.54</v>
      </c>
      <c r="H15" t="s">
        <v>101</v>
      </c>
      <c r="I15">
        <f>SUMIF(tbAROMAS[DESCRIÇÃO],H15,tbAROMAS[PESO LÍQUIDO])</f>
        <v>7.92</v>
      </c>
    </row>
    <row r="16" spans="1:9" x14ac:dyDescent="0.25">
      <c r="A16" s="12" t="s">
        <v>96</v>
      </c>
      <c r="B16" s="12" t="s">
        <v>89</v>
      </c>
      <c r="C16" s="16">
        <v>42967</v>
      </c>
      <c r="D16" s="17">
        <v>0.13500000000000001</v>
      </c>
      <c r="H16" t="s">
        <v>102</v>
      </c>
      <c r="I16">
        <f>SUMIF(tbAROMAS[DESCRIÇÃO],H16,tbAROMAS[PESO LÍQUIDO])</f>
        <v>3.1949999999999994</v>
      </c>
    </row>
    <row r="17" spans="1:9" x14ac:dyDescent="0.25">
      <c r="A17" s="12" t="s">
        <v>96</v>
      </c>
      <c r="B17" s="12" t="s">
        <v>89</v>
      </c>
      <c r="C17" s="16">
        <v>43110</v>
      </c>
      <c r="D17" s="17">
        <v>0.23000000000000004</v>
      </c>
      <c r="H17" t="s">
        <v>103</v>
      </c>
      <c r="I17">
        <f>SUMIF(tbAROMAS[DESCRIÇÃO],H17,tbAROMAS[PESO LÍQUIDO])</f>
        <v>5.7350000000000003</v>
      </c>
    </row>
    <row r="18" spans="1:9" x14ac:dyDescent="0.25">
      <c r="A18" s="12" t="s">
        <v>97</v>
      </c>
      <c r="B18" s="12" t="s">
        <v>89</v>
      </c>
      <c r="C18" s="16">
        <v>43018</v>
      </c>
      <c r="D18" s="17">
        <v>0.28500000000000003</v>
      </c>
      <c r="H18" t="s">
        <v>104</v>
      </c>
      <c r="I18">
        <f>SUMIF(tbAROMAS[DESCRIÇÃO],H18,tbAROMAS[PESO LÍQUIDO])</f>
        <v>4.4950000000000001</v>
      </c>
    </row>
    <row r="19" spans="1:9" x14ac:dyDescent="0.25">
      <c r="A19" s="12" t="s">
        <v>98</v>
      </c>
      <c r="B19" s="12" t="s">
        <v>89</v>
      </c>
      <c r="C19" s="16">
        <v>43018</v>
      </c>
      <c r="D19" s="17">
        <v>1.405</v>
      </c>
      <c r="H19" t="s">
        <v>105</v>
      </c>
      <c r="I19">
        <f>SUMIF(tbAROMAS[DESCRIÇÃO],H19,tbAROMAS[PESO LÍQUIDO])</f>
        <v>7.41</v>
      </c>
    </row>
    <row r="20" spans="1:9" x14ac:dyDescent="0.25">
      <c r="A20" s="12" t="s">
        <v>98</v>
      </c>
      <c r="B20" s="12" t="s">
        <v>89</v>
      </c>
      <c r="C20" s="16">
        <v>43018</v>
      </c>
      <c r="D20" s="17">
        <v>1.4</v>
      </c>
      <c r="H20" t="s">
        <v>106</v>
      </c>
      <c r="I20">
        <f>SUMIF(tbAROMAS[DESCRIÇÃO],H20,tbAROMAS[PESO LÍQUIDO])</f>
        <v>1.8099999999999998</v>
      </c>
    </row>
    <row r="21" spans="1:9" x14ac:dyDescent="0.25">
      <c r="A21" s="12" t="s">
        <v>98</v>
      </c>
      <c r="B21" s="12" t="s">
        <v>89</v>
      </c>
      <c r="C21" s="16">
        <v>43018</v>
      </c>
      <c r="D21" s="17">
        <v>1.4</v>
      </c>
      <c r="H21" t="s">
        <v>107</v>
      </c>
      <c r="I21">
        <f>SUMIF(tbAROMAS[DESCRIÇÃO],H21,tbAROMAS[PESO LÍQUIDO])</f>
        <v>0.32500000000000001</v>
      </c>
    </row>
    <row r="22" spans="1:9" x14ac:dyDescent="0.25">
      <c r="A22" s="12" t="s">
        <v>98</v>
      </c>
      <c r="B22" s="12" t="s">
        <v>89</v>
      </c>
      <c r="C22" s="16">
        <v>43005</v>
      </c>
      <c r="D22" s="17">
        <v>1.0049999999999999</v>
      </c>
      <c r="H22" t="s">
        <v>108</v>
      </c>
      <c r="I22">
        <f>SUMIF(tbAROMAS[DESCRIÇÃO],H22,tbAROMAS[PESO LÍQUIDO])</f>
        <v>7.7999999999999989</v>
      </c>
    </row>
    <row r="23" spans="1:9" x14ac:dyDescent="0.25">
      <c r="A23" s="12" t="s">
        <v>98</v>
      </c>
      <c r="B23" s="12" t="s">
        <v>89</v>
      </c>
      <c r="C23" s="16">
        <v>43018</v>
      </c>
      <c r="D23" s="17">
        <v>0.745</v>
      </c>
      <c r="H23" t="s">
        <v>109</v>
      </c>
      <c r="I23">
        <f>SUMIF(tbAROMAS[DESCRIÇÃO],H23,tbAROMAS[PESO LÍQUIDO])</f>
        <v>0.63500000000000001</v>
      </c>
    </row>
    <row r="24" spans="1:9" x14ac:dyDescent="0.25">
      <c r="A24" s="12" t="s">
        <v>98</v>
      </c>
      <c r="B24" s="12" t="s">
        <v>89</v>
      </c>
      <c r="C24" s="16">
        <v>43018</v>
      </c>
      <c r="D24" s="17">
        <v>0.745</v>
      </c>
      <c r="H24" t="s">
        <v>110</v>
      </c>
      <c r="I24">
        <f>SUMIF(tbAROMAS[DESCRIÇÃO],H24,tbAROMAS[PESO LÍQUIDO])</f>
        <v>6.91</v>
      </c>
    </row>
    <row r="25" spans="1:9" x14ac:dyDescent="0.25">
      <c r="A25" s="12" t="s">
        <v>98</v>
      </c>
      <c r="B25" s="12" t="s">
        <v>89</v>
      </c>
      <c r="C25" s="16">
        <v>43005</v>
      </c>
      <c r="D25" s="17">
        <v>25</v>
      </c>
      <c r="H25" t="s">
        <v>111</v>
      </c>
      <c r="I25">
        <f>SUMIF(tbAROMAS[DESCRIÇÃO],H25,tbAROMAS[PESO LÍQUIDO])</f>
        <v>0.63500000000000001</v>
      </c>
    </row>
    <row r="26" spans="1:9" x14ac:dyDescent="0.25">
      <c r="A26" s="12" t="s">
        <v>98</v>
      </c>
      <c r="B26" s="12" t="s">
        <v>89</v>
      </c>
      <c r="C26" s="16">
        <v>43005</v>
      </c>
      <c r="D26" s="17">
        <v>12.6</v>
      </c>
      <c r="H26" t="s">
        <v>112</v>
      </c>
      <c r="I26">
        <f>SUMIF(tbAROMAS[DESCRIÇÃO],H26,tbAROMAS[PESO LÍQUIDO])</f>
        <v>0.745</v>
      </c>
    </row>
    <row r="27" spans="1:9" x14ac:dyDescent="0.25">
      <c r="A27" s="12" t="s">
        <v>99</v>
      </c>
      <c r="B27" s="12" t="s">
        <v>89</v>
      </c>
      <c r="C27" s="16">
        <v>42652</v>
      </c>
      <c r="D27" s="17">
        <v>0.1</v>
      </c>
      <c r="H27" t="s">
        <v>113</v>
      </c>
      <c r="I27">
        <f>SUMIF(tbAROMAS[DESCRIÇÃO],H27,tbAROMAS[PESO LÍQUIDO])</f>
        <v>6.5250000000000004</v>
      </c>
    </row>
    <row r="28" spans="1:9" x14ac:dyDescent="0.25">
      <c r="A28" s="12" t="s">
        <v>100</v>
      </c>
      <c r="B28" s="12" t="s">
        <v>89</v>
      </c>
      <c r="C28" s="16">
        <v>43110</v>
      </c>
      <c r="D28" s="17">
        <v>2.5000000000000001E-2</v>
      </c>
      <c r="H28" t="s">
        <v>114</v>
      </c>
      <c r="I28">
        <f>SUMIF(tbAROMAS[DESCRIÇÃO],H28,tbAROMAS[PESO LÍQUIDO])</f>
        <v>1</v>
      </c>
    </row>
    <row r="29" spans="1:9" x14ac:dyDescent="0.25">
      <c r="A29" s="12" t="s">
        <v>101</v>
      </c>
      <c r="B29" s="12" t="s">
        <v>87</v>
      </c>
      <c r="C29" s="16">
        <v>43110</v>
      </c>
      <c r="D29" s="17">
        <v>4.0149999999999997</v>
      </c>
      <c r="H29" t="s">
        <v>115</v>
      </c>
      <c r="I29">
        <f>SUMIF(tbAROMAS[DESCRIÇÃO],H29,tbAROMAS[PESO LÍQUIDO])</f>
        <v>6.044999999999999</v>
      </c>
    </row>
    <row r="30" spans="1:9" x14ac:dyDescent="0.25">
      <c r="A30" s="12" t="s">
        <v>101</v>
      </c>
      <c r="B30" s="12" t="s">
        <v>87</v>
      </c>
      <c r="C30" s="16">
        <v>43110</v>
      </c>
      <c r="D30" s="17">
        <v>3.9049999999999998</v>
      </c>
      <c r="H30" t="s">
        <v>116</v>
      </c>
      <c r="I30">
        <f>SUMIF(tbAROMAS[DESCRIÇÃO],H30,tbAROMAS[PESO LÍQUIDO])</f>
        <v>7.45</v>
      </c>
    </row>
    <row r="31" spans="1:9" x14ac:dyDescent="0.25">
      <c r="A31" s="12" t="s">
        <v>102</v>
      </c>
      <c r="B31" s="12" t="s">
        <v>89</v>
      </c>
      <c r="C31" s="16">
        <v>42967</v>
      </c>
      <c r="D31" s="17">
        <v>1.0149999999999999</v>
      </c>
    </row>
    <row r="32" spans="1:9" x14ac:dyDescent="0.25">
      <c r="A32" s="12" t="s">
        <v>102</v>
      </c>
      <c r="B32" s="12" t="s">
        <v>89</v>
      </c>
      <c r="C32" s="16">
        <v>42967</v>
      </c>
      <c r="D32" s="17">
        <v>1.0149999999999999</v>
      </c>
    </row>
    <row r="33" spans="1:4" x14ac:dyDescent="0.25">
      <c r="A33" s="12" t="s">
        <v>102</v>
      </c>
      <c r="B33" s="12" t="s">
        <v>89</v>
      </c>
      <c r="C33" s="16">
        <v>42967</v>
      </c>
      <c r="D33" s="17">
        <v>1.0149999999999999</v>
      </c>
    </row>
    <row r="34" spans="1:4" x14ac:dyDescent="0.25">
      <c r="A34" s="12" t="s">
        <v>102</v>
      </c>
      <c r="B34" s="12" t="s">
        <v>89</v>
      </c>
      <c r="C34" s="16">
        <v>42967</v>
      </c>
      <c r="D34" s="17">
        <v>4.9999999999999996E-2</v>
      </c>
    </row>
    <row r="35" spans="1:4" x14ac:dyDescent="0.25">
      <c r="A35" s="12" t="s">
        <v>102</v>
      </c>
      <c r="B35" s="12" t="s">
        <v>89</v>
      </c>
      <c r="C35" s="16">
        <v>42967</v>
      </c>
      <c r="D35" s="17">
        <v>4.9999999999999996E-2</v>
      </c>
    </row>
    <row r="36" spans="1:4" x14ac:dyDescent="0.25">
      <c r="A36" s="12" t="s">
        <v>102</v>
      </c>
      <c r="B36" s="12" t="s">
        <v>89</v>
      </c>
      <c r="C36" s="16">
        <v>42967</v>
      </c>
      <c r="D36" s="17">
        <v>4.9999999999999996E-2</v>
      </c>
    </row>
    <row r="37" spans="1:4" x14ac:dyDescent="0.25">
      <c r="A37" s="12" t="s">
        <v>103</v>
      </c>
      <c r="B37" s="12" t="s">
        <v>87</v>
      </c>
      <c r="C37" s="16">
        <v>43056</v>
      </c>
      <c r="D37" s="17">
        <v>1.74</v>
      </c>
    </row>
    <row r="38" spans="1:4" x14ac:dyDescent="0.25">
      <c r="A38" s="12" t="s">
        <v>103</v>
      </c>
      <c r="B38" s="12" t="s">
        <v>87</v>
      </c>
      <c r="C38" s="16">
        <v>43056</v>
      </c>
      <c r="D38" s="17">
        <v>3.9950000000000006</v>
      </c>
    </row>
    <row r="39" spans="1:4" x14ac:dyDescent="0.25">
      <c r="A39" s="12" t="s">
        <v>104</v>
      </c>
      <c r="B39" s="12" t="s">
        <v>87</v>
      </c>
      <c r="C39" s="16">
        <v>43200</v>
      </c>
      <c r="D39" s="17">
        <v>4.4950000000000001</v>
      </c>
    </row>
    <row r="40" spans="1:4" x14ac:dyDescent="0.25">
      <c r="A40" s="12" t="s">
        <v>105</v>
      </c>
      <c r="B40" s="12" t="s">
        <v>87</v>
      </c>
      <c r="C40" s="16">
        <v>43048</v>
      </c>
      <c r="D40" s="17">
        <v>4.1049999999999995</v>
      </c>
    </row>
    <row r="41" spans="1:4" x14ac:dyDescent="0.25">
      <c r="A41" s="12" t="s">
        <v>105</v>
      </c>
      <c r="B41" s="12" t="s">
        <v>87</v>
      </c>
      <c r="C41" s="16">
        <v>43048</v>
      </c>
      <c r="D41" s="17">
        <v>3.3050000000000002</v>
      </c>
    </row>
    <row r="42" spans="1:4" x14ac:dyDescent="0.25">
      <c r="A42" s="12" t="s">
        <v>106</v>
      </c>
      <c r="B42" s="12" t="s">
        <v>87</v>
      </c>
      <c r="C42" s="16">
        <v>43110</v>
      </c>
      <c r="D42" s="17">
        <v>1.8099999999999998</v>
      </c>
    </row>
    <row r="43" spans="1:4" x14ac:dyDescent="0.25">
      <c r="A43" s="12" t="s">
        <v>107</v>
      </c>
      <c r="B43" s="12" t="s">
        <v>89</v>
      </c>
      <c r="C43" s="16">
        <v>43167</v>
      </c>
      <c r="D43" s="17">
        <v>0.32500000000000001</v>
      </c>
    </row>
    <row r="44" spans="1:4" x14ac:dyDescent="0.25">
      <c r="A44" s="12" t="s">
        <v>108</v>
      </c>
      <c r="B44" s="12" t="s">
        <v>87</v>
      </c>
      <c r="C44" s="16">
        <v>43048</v>
      </c>
      <c r="D44" s="17">
        <v>3.77</v>
      </c>
    </row>
    <row r="45" spans="1:4" x14ac:dyDescent="0.25">
      <c r="A45" s="12" t="s">
        <v>108</v>
      </c>
      <c r="B45" s="12" t="s">
        <v>87</v>
      </c>
      <c r="C45" s="16">
        <v>43048</v>
      </c>
      <c r="D45" s="17">
        <v>4.0299999999999994</v>
      </c>
    </row>
    <row r="46" spans="1:4" x14ac:dyDescent="0.25">
      <c r="A46" s="12" t="s">
        <v>109</v>
      </c>
      <c r="B46" s="12" t="s">
        <v>89</v>
      </c>
      <c r="C46" s="16">
        <v>43105</v>
      </c>
      <c r="D46" s="17">
        <v>0.5</v>
      </c>
    </row>
    <row r="47" spans="1:4" x14ac:dyDescent="0.25">
      <c r="A47" s="12" t="s">
        <v>109</v>
      </c>
      <c r="B47" s="12" t="s">
        <v>89</v>
      </c>
      <c r="C47" s="16">
        <v>43105</v>
      </c>
      <c r="D47" s="17">
        <v>0.13500000000000001</v>
      </c>
    </row>
    <row r="48" spans="1:4" x14ac:dyDescent="0.25">
      <c r="A48" s="12" t="s">
        <v>110</v>
      </c>
      <c r="B48" s="12" t="s">
        <v>87</v>
      </c>
      <c r="C48" s="16">
        <v>43048</v>
      </c>
      <c r="D48" s="17">
        <v>4</v>
      </c>
    </row>
    <row r="49" spans="1:4" x14ac:dyDescent="0.25">
      <c r="A49" s="12" t="s">
        <v>110</v>
      </c>
      <c r="B49" s="12" t="s">
        <v>87</v>
      </c>
      <c r="C49" s="16">
        <v>43048</v>
      </c>
      <c r="D49" s="17">
        <v>2.91</v>
      </c>
    </row>
    <row r="50" spans="1:4" x14ac:dyDescent="0.25">
      <c r="A50" s="12" t="s">
        <v>111</v>
      </c>
      <c r="B50" s="12" t="s">
        <v>89</v>
      </c>
      <c r="C50" s="16">
        <v>43110</v>
      </c>
      <c r="D50" s="17">
        <v>0.63500000000000001</v>
      </c>
    </row>
    <row r="51" spans="1:4" x14ac:dyDescent="0.25">
      <c r="A51" s="12" t="s">
        <v>112</v>
      </c>
      <c r="B51" s="12" t="s">
        <v>89</v>
      </c>
      <c r="C51" s="16">
        <v>43110</v>
      </c>
      <c r="D51" s="17">
        <v>0.745</v>
      </c>
    </row>
    <row r="52" spans="1:4" x14ac:dyDescent="0.25">
      <c r="A52" s="12" t="s">
        <v>113</v>
      </c>
      <c r="B52" s="12" t="s">
        <v>87</v>
      </c>
      <c r="C52" s="16">
        <v>43061</v>
      </c>
      <c r="D52" s="17">
        <v>4.0350000000000001</v>
      </c>
    </row>
    <row r="53" spans="1:4" x14ac:dyDescent="0.25">
      <c r="A53" s="12" t="s">
        <v>113</v>
      </c>
      <c r="B53" s="12" t="s">
        <v>87</v>
      </c>
      <c r="C53" s="16">
        <v>43061</v>
      </c>
      <c r="D53" s="17">
        <v>2.4900000000000002</v>
      </c>
    </row>
    <row r="54" spans="1:4" x14ac:dyDescent="0.25">
      <c r="A54" s="12" t="s">
        <v>114</v>
      </c>
      <c r="B54" s="12" t="s">
        <v>87</v>
      </c>
      <c r="C54" s="16">
        <v>42920</v>
      </c>
      <c r="D54" s="17">
        <v>1</v>
      </c>
    </row>
    <row r="55" spans="1:4" x14ac:dyDescent="0.25">
      <c r="A55" s="12" t="s">
        <v>115</v>
      </c>
      <c r="B55" s="12" t="s">
        <v>89</v>
      </c>
      <c r="C55" s="16">
        <v>42967</v>
      </c>
      <c r="D55" s="17">
        <v>0.88500000000000001</v>
      </c>
    </row>
    <row r="56" spans="1:4" x14ac:dyDescent="0.25">
      <c r="A56" s="12" t="s">
        <v>115</v>
      </c>
      <c r="B56" s="12" t="s">
        <v>89</v>
      </c>
      <c r="C56" s="16">
        <v>42967</v>
      </c>
      <c r="D56" s="17">
        <v>0.73</v>
      </c>
    </row>
    <row r="57" spans="1:4" x14ac:dyDescent="0.25">
      <c r="A57" s="12" t="s">
        <v>115</v>
      </c>
      <c r="B57" s="12" t="s">
        <v>89</v>
      </c>
      <c r="C57" s="16">
        <v>42967</v>
      </c>
      <c r="D57" s="17">
        <v>1.01</v>
      </c>
    </row>
    <row r="58" spans="1:4" x14ac:dyDescent="0.25">
      <c r="A58" s="12" t="s">
        <v>115</v>
      </c>
      <c r="B58" s="12" t="s">
        <v>89</v>
      </c>
      <c r="C58" s="16">
        <v>42967</v>
      </c>
      <c r="D58" s="17">
        <v>1.0149999999999999</v>
      </c>
    </row>
    <row r="59" spans="1:4" x14ac:dyDescent="0.25">
      <c r="A59" s="12" t="s">
        <v>115</v>
      </c>
      <c r="B59" s="12" t="s">
        <v>89</v>
      </c>
      <c r="C59" s="16">
        <v>42967</v>
      </c>
      <c r="D59" s="17">
        <v>1.0149999999999999</v>
      </c>
    </row>
    <row r="60" spans="1:4" x14ac:dyDescent="0.25">
      <c r="A60" s="12" t="s">
        <v>115</v>
      </c>
      <c r="B60" s="12" t="s">
        <v>89</v>
      </c>
      <c r="C60" s="16">
        <v>42967</v>
      </c>
      <c r="D60" s="17">
        <v>1.01</v>
      </c>
    </row>
    <row r="61" spans="1:4" x14ac:dyDescent="0.25">
      <c r="A61" s="12" t="s">
        <v>115</v>
      </c>
      <c r="B61" s="12" t="s">
        <v>89</v>
      </c>
      <c r="C61" s="16">
        <v>42967</v>
      </c>
      <c r="D61" s="17">
        <v>0.38</v>
      </c>
    </row>
    <row r="62" spans="1:4" x14ac:dyDescent="0.25">
      <c r="A62" s="12" t="s">
        <v>116</v>
      </c>
      <c r="B62" s="12" t="s">
        <v>87</v>
      </c>
      <c r="C62" s="16">
        <v>43048</v>
      </c>
      <c r="D62" s="17">
        <v>3.4650000000000003</v>
      </c>
    </row>
    <row r="63" spans="1:4" x14ac:dyDescent="0.25">
      <c r="A63" s="12" t="s">
        <v>116</v>
      </c>
      <c r="B63" s="12" t="s">
        <v>87</v>
      </c>
      <c r="C63" s="16">
        <v>43048</v>
      </c>
      <c r="D63" s="17">
        <v>3.9849999999999999</v>
      </c>
    </row>
  </sheetData>
  <dataValidations count="1">
    <dataValidation type="list" allowBlank="1" showInputMessage="1" showErrorMessage="1" sqref="B2:B63" xr:uid="{00000000-0002-0000-0100-000000000000}">
      <formula1>"BASE,PROCESSADO"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CINTAS"/>
  <dimension ref="A1:E23"/>
  <sheetViews>
    <sheetView showGridLines="0" topLeftCell="A4" workbookViewId="0">
      <selection activeCell="B16" sqref="B16"/>
    </sheetView>
  </sheetViews>
  <sheetFormatPr defaultRowHeight="15" x14ac:dyDescent="0.25"/>
  <cols>
    <col min="1" max="1" width="23.5703125" bestFit="1" customWidth="1"/>
    <col min="2" max="2" width="25.28515625" bestFit="1" customWidth="1"/>
    <col min="3" max="3" width="13.85546875" bestFit="1" customWidth="1"/>
    <col min="4" max="4" width="11.85546875" bestFit="1" customWidth="1"/>
    <col min="5" max="5" width="11" bestFit="1" customWidth="1"/>
    <col min="7" max="7" width="34.140625" bestFit="1" customWidth="1"/>
  </cols>
  <sheetData>
    <row r="1" spans="1:5" ht="16.5" x14ac:dyDescent="0.3">
      <c r="A1" s="2" t="s">
        <v>16</v>
      </c>
      <c r="B1" s="2" t="s">
        <v>17</v>
      </c>
      <c r="C1" s="2" t="s">
        <v>18</v>
      </c>
      <c r="D1" s="3" t="s">
        <v>19</v>
      </c>
      <c r="E1" s="3" t="s">
        <v>20</v>
      </c>
    </row>
    <row r="2" spans="1:5" ht="16.5" x14ac:dyDescent="0.3">
      <c r="A2" s="1" t="s">
        <v>190</v>
      </c>
      <c r="B2" s="1" t="s">
        <v>7</v>
      </c>
      <c r="C2" s="1">
        <v>49</v>
      </c>
      <c r="D2" s="4">
        <v>43510</v>
      </c>
      <c r="E2" s="5">
        <f ca="1">YEAR(tbValidade[[#This Row],[Data]]) - YEAR(TODAY())</f>
        <v>1</v>
      </c>
    </row>
    <row r="3" spans="1:5" ht="16.5" x14ac:dyDescent="0.3">
      <c r="A3" s="1" t="s">
        <v>189</v>
      </c>
      <c r="B3" s="1" t="s">
        <v>7</v>
      </c>
      <c r="C3" s="1">
        <v>6</v>
      </c>
      <c r="D3" s="4">
        <v>43510</v>
      </c>
      <c r="E3" s="5">
        <f ca="1">YEAR(tbValidade[[#This Row],[Data]]) - YEAR(TODAY())</f>
        <v>1</v>
      </c>
    </row>
    <row r="4" spans="1:5" ht="16.5" x14ac:dyDescent="0.3">
      <c r="A4" s="1" t="s">
        <v>197</v>
      </c>
      <c r="B4" s="1" t="s">
        <v>7</v>
      </c>
      <c r="C4" s="1">
        <v>302</v>
      </c>
      <c r="D4" s="4">
        <v>43510</v>
      </c>
      <c r="E4" s="5">
        <f ca="1">YEAR(tbValidade[[#This Row],[Data]]) - YEAR(TODAY())</f>
        <v>1</v>
      </c>
    </row>
    <row r="5" spans="1:5" ht="16.5" x14ac:dyDescent="0.3">
      <c r="A5" s="1" t="s">
        <v>188</v>
      </c>
      <c r="B5" s="1" t="s">
        <v>7</v>
      </c>
      <c r="C5" s="1">
        <v>35</v>
      </c>
      <c r="D5" s="4">
        <v>43510</v>
      </c>
      <c r="E5" s="5">
        <f ca="1">YEAR(tbValidade[[#This Row],[Data]]) - YEAR(TODAY())</f>
        <v>1</v>
      </c>
    </row>
    <row r="6" spans="1:5" ht="16.5" x14ac:dyDescent="0.3">
      <c r="A6" s="1" t="s">
        <v>191</v>
      </c>
      <c r="B6" s="1" t="s">
        <v>7</v>
      </c>
      <c r="C6" s="1">
        <v>1</v>
      </c>
      <c r="D6" s="4">
        <v>43510</v>
      </c>
      <c r="E6" s="5">
        <f ca="1">YEAR(tbValidade[[#This Row],[Data]]) - YEAR(TODAY())</f>
        <v>1</v>
      </c>
    </row>
    <row r="7" spans="1:5" ht="16.5" x14ac:dyDescent="0.3">
      <c r="A7" s="1" t="s">
        <v>185</v>
      </c>
      <c r="B7" s="1" t="s">
        <v>7</v>
      </c>
      <c r="C7" s="1">
        <v>199</v>
      </c>
      <c r="D7" s="4">
        <v>43433</v>
      </c>
      <c r="E7" s="5">
        <f ca="1">YEAR(tbValidade[[#This Row],[Data]]) - YEAR(TODAY())</f>
        <v>0</v>
      </c>
    </row>
    <row r="8" spans="1:5" ht="16.5" x14ac:dyDescent="0.3">
      <c r="A8" s="1" t="s">
        <v>190</v>
      </c>
      <c r="B8" s="1" t="s">
        <v>7</v>
      </c>
      <c r="C8" s="1">
        <v>60</v>
      </c>
      <c r="D8" s="4">
        <v>43412</v>
      </c>
      <c r="E8" s="5">
        <f ca="1">YEAR(tbValidade[[#This Row],[Data]]) - YEAR(TODAY())</f>
        <v>0</v>
      </c>
    </row>
    <row r="9" spans="1:5" ht="16.5" x14ac:dyDescent="0.3">
      <c r="A9" s="1" t="s">
        <v>197</v>
      </c>
      <c r="B9" s="1" t="s">
        <v>7</v>
      </c>
      <c r="C9" s="1">
        <v>316</v>
      </c>
      <c r="D9" s="4">
        <v>43412</v>
      </c>
      <c r="E9" s="5">
        <f ca="1">YEAR(tbValidade[[#This Row],[Data]]) - YEAR(TODAY())</f>
        <v>0</v>
      </c>
    </row>
    <row r="10" spans="1:5" ht="16.5" x14ac:dyDescent="0.3">
      <c r="A10" s="1" t="s">
        <v>198</v>
      </c>
      <c r="B10" s="1" t="s">
        <v>7</v>
      </c>
      <c r="C10" s="1">
        <v>225</v>
      </c>
      <c r="D10" s="4">
        <v>43412</v>
      </c>
      <c r="E10" s="5">
        <f ca="1">YEAR(tbValidade[[#This Row],[Data]]) - YEAR(TODAY())</f>
        <v>0</v>
      </c>
    </row>
    <row r="11" spans="1:5" ht="16.5" x14ac:dyDescent="0.3">
      <c r="A11" s="1" t="s">
        <v>187</v>
      </c>
      <c r="B11" s="1" t="s">
        <v>7</v>
      </c>
      <c r="C11" s="1">
        <v>12</v>
      </c>
      <c r="D11" s="4">
        <v>43412</v>
      </c>
      <c r="E11" s="5">
        <f ca="1">YEAR(tbValidade[[#This Row],[Data]]) - YEAR(TODAY())</f>
        <v>0</v>
      </c>
    </row>
    <row r="12" spans="1:5" ht="16.5" x14ac:dyDescent="0.3">
      <c r="A12" s="1" t="s">
        <v>191</v>
      </c>
      <c r="B12" s="1" t="s">
        <v>7</v>
      </c>
      <c r="C12" s="1">
        <v>54</v>
      </c>
      <c r="D12" s="4">
        <v>43412</v>
      </c>
      <c r="E12" s="5">
        <f ca="1">YEAR(tbValidade[[#This Row],[Data]]) - YEAR(TODAY())</f>
        <v>0</v>
      </c>
    </row>
    <row r="13" spans="1:5" ht="16.5" x14ac:dyDescent="0.3">
      <c r="A13" s="1" t="s">
        <v>185</v>
      </c>
      <c r="B13" s="1" t="s">
        <v>7</v>
      </c>
      <c r="C13" s="1">
        <v>9</v>
      </c>
      <c r="D13" s="4">
        <v>43392</v>
      </c>
      <c r="E13" s="5">
        <f ca="1">YEAR(tbValidade[[#This Row],[Data]]) - YEAR(TODAY())</f>
        <v>0</v>
      </c>
    </row>
    <row r="14" spans="1:5" ht="16.5" x14ac:dyDescent="0.3">
      <c r="A14" s="1" t="s">
        <v>186</v>
      </c>
      <c r="B14" s="1" t="s">
        <v>7</v>
      </c>
      <c r="C14" s="1">
        <v>31</v>
      </c>
      <c r="D14" s="4">
        <v>43392</v>
      </c>
      <c r="E14" s="5">
        <f ca="1">YEAR(tbValidade[[#This Row],[Data]]) - YEAR(TODAY())</f>
        <v>0</v>
      </c>
    </row>
    <row r="15" spans="1:5" ht="16.5" x14ac:dyDescent="0.3">
      <c r="A15" s="1" t="s">
        <v>197</v>
      </c>
      <c r="B15" s="1" t="s">
        <v>7</v>
      </c>
      <c r="C15" s="1">
        <v>9</v>
      </c>
      <c r="D15" s="4">
        <v>43392</v>
      </c>
      <c r="E15" s="5">
        <f ca="1">YEAR(tbValidade[[#This Row],[Data]]) - YEAR(TODAY())</f>
        <v>0</v>
      </c>
    </row>
    <row r="16" spans="1:5" ht="16.5" x14ac:dyDescent="0.3">
      <c r="A16" s="1" t="s">
        <v>191</v>
      </c>
      <c r="B16" s="1" t="s">
        <v>7</v>
      </c>
      <c r="C16" s="1">
        <v>2</v>
      </c>
      <c r="D16" s="4">
        <v>43371</v>
      </c>
      <c r="E16" s="5">
        <f ca="1">YEAR(tbValidade[[#This Row],[Data]]) - YEAR(TODAY())</f>
        <v>0</v>
      </c>
    </row>
    <row r="17" spans="1:5" ht="16.5" x14ac:dyDescent="0.3">
      <c r="A17" s="1" t="s">
        <v>196</v>
      </c>
      <c r="B17" s="1" t="s">
        <v>7</v>
      </c>
      <c r="C17" s="1">
        <v>4</v>
      </c>
      <c r="D17" s="4">
        <v>43336</v>
      </c>
      <c r="E17" s="5">
        <f ca="1">YEAR(tbValidade[[#This Row],[Data]]) - YEAR(TODAY())</f>
        <v>0</v>
      </c>
    </row>
    <row r="18" spans="1:5" ht="16.5" x14ac:dyDescent="0.3">
      <c r="A18" s="1" t="s">
        <v>190</v>
      </c>
      <c r="B18" s="1" t="s">
        <v>7</v>
      </c>
      <c r="C18" s="1">
        <v>1</v>
      </c>
      <c r="D18" s="4">
        <v>43327</v>
      </c>
      <c r="E18" s="5">
        <f ca="1">YEAR(tbValidade[[#This Row],[Data]]) - YEAR(TODAY())</f>
        <v>0</v>
      </c>
    </row>
    <row r="19" spans="1:5" ht="16.5" x14ac:dyDescent="0.3">
      <c r="A19" s="1" t="s">
        <v>195</v>
      </c>
      <c r="B19" s="1" t="s">
        <v>7</v>
      </c>
      <c r="C19" s="1">
        <v>13</v>
      </c>
      <c r="D19" s="4">
        <v>43216</v>
      </c>
      <c r="E19" s="5">
        <f ca="1">YEAR(tbValidade[[#This Row],[Data]]) - YEAR(TODAY())</f>
        <v>0</v>
      </c>
    </row>
    <row r="20" spans="1:5" ht="16.5" x14ac:dyDescent="0.3">
      <c r="A20" s="1" t="s">
        <v>192</v>
      </c>
      <c r="B20" s="1" t="s">
        <v>7</v>
      </c>
      <c r="C20" s="1">
        <v>11</v>
      </c>
      <c r="D20" s="4">
        <v>43117</v>
      </c>
      <c r="E20" s="5">
        <f ca="1">YEAR(tbValidade[[#This Row],[Data]]) - YEAR(TODAY())</f>
        <v>0</v>
      </c>
    </row>
    <row r="21" spans="1:5" ht="16.5" x14ac:dyDescent="0.3">
      <c r="A21" s="1" t="s">
        <v>194</v>
      </c>
      <c r="B21" s="1" t="s">
        <v>7</v>
      </c>
      <c r="C21" s="1">
        <v>3</v>
      </c>
      <c r="D21" s="4">
        <v>43117</v>
      </c>
      <c r="E21" s="5">
        <f ca="1">YEAR(tbValidade[[#This Row],[Data]]) - YEAR(TODAY())</f>
        <v>0</v>
      </c>
    </row>
    <row r="22" spans="1:5" ht="16.5" x14ac:dyDescent="0.3">
      <c r="A22" s="1" t="s">
        <v>192</v>
      </c>
      <c r="B22" s="1" t="s">
        <v>7</v>
      </c>
      <c r="C22" s="1">
        <v>8</v>
      </c>
      <c r="D22" s="4">
        <v>43117</v>
      </c>
      <c r="E22" s="5">
        <f ca="1">YEAR(tbValidade[[#This Row],[Data]]) - YEAR(TODAY())</f>
        <v>0</v>
      </c>
    </row>
    <row r="23" spans="1:5" ht="16.5" x14ac:dyDescent="0.3">
      <c r="A23" s="1" t="s">
        <v>194</v>
      </c>
      <c r="B23" s="1" t="s">
        <v>7</v>
      </c>
      <c r="C23" s="1">
        <v>3</v>
      </c>
      <c r="D23" s="4">
        <v>43113</v>
      </c>
      <c r="E23" s="5">
        <f ca="1">YEAR(tbValidade[[#This Row],[Data]]) - YEAR(TODAY())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HOME">
    <tabColor theme="7" tint="-0.499984740745262"/>
  </sheetPr>
  <dimension ref="H1:I1"/>
  <sheetViews>
    <sheetView showGridLines="0" showRowColHeaders="0" zoomScale="90" zoomScaleNormal="90" workbookViewId="0">
      <selection activeCell="K6" sqref="K6"/>
    </sheetView>
  </sheetViews>
  <sheetFormatPr defaultRowHeight="16.5" x14ac:dyDescent="0.3"/>
  <cols>
    <col min="1" max="7" width="9.140625" style="47"/>
    <col min="8" max="8" width="9.140625" style="45"/>
    <col min="9" max="9" width="9.140625" style="46"/>
    <col min="10" max="16384" width="9.140625" style="47"/>
  </cols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ADD">
    <tabColor theme="7" tint="-0.499984740745262"/>
  </sheetPr>
  <dimension ref="B2"/>
  <sheetViews>
    <sheetView showGridLines="0" workbookViewId="0">
      <selection activeCell="E6" sqref="E6"/>
    </sheetView>
  </sheetViews>
  <sheetFormatPr defaultRowHeight="15" x14ac:dyDescent="0.25"/>
  <cols>
    <col min="1" max="1" width="9.140625" style="47"/>
    <col min="2" max="2" width="10.5703125" style="47" bestFit="1" customWidth="1"/>
    <col min="3" max="16384" width="9.140625" style="47"/>
  </cols>
  <sheetData>
    <row r="2" spans="2:2" ht="18.75" x14ac:dyDescent="0.25">
      <c r="B2" s="49" t="s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9697" r:id="rId3" name="txtcod">
          <controlPr defaultSize="0" disabled="1" autoLine="0" autoPict="0" r:id="rId4">
            <anchor moveWithCells="1">
              <from>
                <xdr:col>2</xdr:col>
                <xdr:colOff>38100</xdr:colOff>
                <xdr:row>0</xdr:row>
                <xdr:rowOff>171450</xdr:rowOff>
              </from>
              <to>
                <xdr:col>4</xdr:col>
                <xdr:colOff>361950</xdr:colOff>
                <xdr:row>2</xdr:row>
                <xdr:rowOff>19050</xdr:rowOff>
              </to>
            </anchor>
          </controlPr>
        </control>
      </mc:Choice>
      <mc:Fallback>
        <control shapeId="29697" r:id="rId3" name="txtco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IN">
    <tabColor theme="7" tint="-0.499984740745262"/>
  </sheetPr>
  <dimension ref="B2:M14"/>
  <sheetViews>
    <sheetView showGridLines="0" showRowColHeaders="0" tabSelected="1" workbookViewId="0">
      <selection activeCell="K8" sqref="K8"/>
    </sheetView>
  </sheetViews>
  <sheetFormatPr defaultRowHeight="18.75" x14ac:dyDescent="0.3"/>
  <cols>
    <col min="1" max="1" width="9.140625" style="51"/>
    <col min="2" max="2" width="17" style="51" bestFit="1" customWidth="1"/>
    <col min="3" max="3" width="20.7109375" style="50" bestFit="1" customWidth="1"/>
    <col min="4" max="10" width="9.140625" style="51"/>
    <col min="11" max="11" width="15" style="51" bestFit="1" customWidth="1"/>
    <col min="12" max="12" width="9.140625" style="51"/>
    <col min="13" max="13" width="9.140625" style="52"/>
    <col min="14" max="16384" width="9.140625" style="51"/>
  </cols>
  <sheetData>
    <row r="2" spans="2:3" x14ac:dyDescent="0.3">
      <c r="B2" s="49" t="s">
        <v>0</v>
      </c>
      <c r="C2" s="50" t="s">
        <v>283</v>
      </c>
    </row>
    <row r="3" spans="2:3" x14ac:dyDescent="0.3">
      <c r="B3" s="53"/>
    </row>
    <row r="4" spans="2:3" x14ac:dyDescent="0.3">
      <c r="B4" s="49" t="s">
        <v>1</v>
      </c>
      <c r="C4" s="50" t="str">
        <f>IFERROR(VLOOKUP($C$2*1,tbESTOQUE[],MATCH(B4,tbESTOQUE[#Headers],0),0),"...")</f>
        <v>...</v>
      </c>
    </row>
    <row r="5" spans="2:3" x14ac:dyDescent="0.3">
      <c r="B5" s="53"/>
    </row>
    <row r="6" spans="2:3" x14ac:dyDescent="0.3">
      <c r="B6" s="49" t="s">
        <v>2</v>
      </c>
      <c r="C6" s="50" t="str">
        <f>IFERROR(VLOOKUP($C$2*1,tbESTOQUE[],MATCH(B6,tbESTOQUE[#Headers],0),0),"...")</f>
        <v>...</v>
      </c>
    </row>
    <row r="7" spans="2:3" x14ac:dyDescent="0.3">
      <c r="B7" s="53"/>
    </row>
    <row r="8" spans="2:3" x14ac:dyDescent="0.3">
      <c r="B8" s="49" t="s">
        <v>3</v>
      </c>
      <c r="C8" s="50" t="str">
        <f>IFERROR(VLOOKUP($C$2*1,tbESTOQUE[],MATCH(B8,tbESTOQUE[#Headers],0),0),"...")</f>
        <v>...</v>
      </c>
    </row>
    <row r="9" spans="2:3" x14ac:dyDescent="0.3">
      <c r="B9" s="53"/>
    </row>
    <row r="10" spans="2:3" x14ac:dyDescent="0.3">
      <c r="B10" s="49" t="s">
        <v>4</v>
      </c>
      <c r="C10" s="50" t="str">
        <f>IFERROR(VLOOKUP($C$2*1,tbESTOQUE[],MATCH(B10,tbESTOQUE[#Headers],0),0),"...")</f>
        <v>...</v>
      </c>
    </row>
    <row r="11" spans="2:3" x14ac:dyDescent="0.3">
      <c r="B11" s="53"/>
    </row>
    <row r="12" spans="2:3" x14ac:dyDescent="0.3">
      <c r="B12" s="49" t="s">
        <v>15</v>
      </c>
      <c r="C12" s="50" t="s">
        <v>334</v>
      </c>
    </row>
    <row r="13" spans="2:3" x14ac:dyDescent="0.3">
      <c r="B13" s="53"/>
    </row>
    <row r="14" spans="2:3" x14ac:dyDescent="0.3">
      <c r="B14" s="53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9" r:id="rId4" name="txtestoque">
          <controlPr defaultSize="0" disabled="1" autoLine="0" linkedCell="C6" r:id="rId5">
            <anchor moveWithCells="1">
              <from>
                <xdr:col>1</xdr:col>
                <xdr:colOff>1104900</xdr:colOff>
                <xdr:row>4</xdr:row>
                <xdr:rowOff>219075</xdr:rowOff>
              </from>
              <to>
                <xdr:col>5</xdr:col>
                <xdr:colOff>571500</xdr:colOff>
                <xdr:row>6</xdr:row>
                <xdr:rowOff>19050</xdr:rowOff>
              </to>
            </anchor>
          </controlPr>
        </control>
      </mc:Choice>
      <mc:Fallback>
        <control shapeId="3079" r:id="rId4" name="txtestoque"/>
      </mc:Fallback>
    </mc:AlternateContent>
    <mc:AlternateContent xmlns:mc="http://schemas.openxmlformats.org/markup-compatibility/2006">
      <mc:Choice Requires="x14">
        <control shapeId="3078" r:id="rId6" name="txtlin">
          <controlPr defaultSize="0" autoLine="0" autoPict="0" linkedCell="#REF!" r:id="rId7">
            <anchor moveWithCells="1" sizeWithCells="1">
              <from>
                <xdr:col>9</xdr:col>
                <xdr:colOff>0</xdr:colOff>
                <xdr:row>2</xdr:row>
                <xdr:rowOff>133350</xdr:rowOff>
              </from>
              <to>
                <xdr:col>9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3078" r:id="rId6" name="txtlin"/>
      </mc:Fallback>
    </mc:AlternateContent>
    <mc:AlternateContent xmlns:mc="http://schemas.openxmlformats.org/markup-compatibility/2006">
      <mc:Choice Requires="x14">
        <control shapeId="3077" r:id="rId8" name="SpinButton1">
          <controlPr defaultSize="0" autoLine="0" linkedCell="C12" r:id="rId9">
            <anchor moveWithCells="1">
              <from>
                <xdr:col>5</xdr:col>
                <xdr:colOff>552450</xdr:colOff>
                <xdr:row>10</xdr:row>
                <xdr:rowOff>209550</xdr:rowOff>
              </from>
              <to>
                <xdr:col>6</xdr:col>
                <xdr:colOff>190500</xdr:colOff>
                <xdr:row>12</xdr:row>
                <xdr:rowOff>0</xdr:rowOff>
              </to>
            </anchor>
          </controlPr>
        </control>
      </mc:Choice>
      <mc:Fallback>
        <control shapeId="3077" r:id="rId8" name="SpinButton1"/>
      </mc:Fallback>
    </mc:AlternateContent>
    <mc:AlternateContent xmlns:mc="http://schemas.openxmlformats.org/markup-compatibility/2006">
      <mc:Choice Requires="x14">
        <control shapeId="3075" r:id="rId10" name="txtgrupo">
          <controlPr defaultSize="0" disabled="1" autoLine="0" linkedCell="C8" r:id="rId11">
            <anchor moveWithCells="1">
              <from>
                <xdr:col>1</xdr:col>
                <xdr:colOff>1104900</xdr:colOff>
                <xdr:row>6</xdr:row>
                <xdr:rowOff>219075</xdr:rowOff>
              </from>
              <to>
                <xdr:col>5</xdr:col>
                <xdr:colOff>571500</xdr:colOff>
                <xdr:row>8</xdr:row>
                <xdr:rowOff>19050</xdr:rowOff>
              </to>
            </anchor>
          </controlPr>
        </control>
      </mc:Choice>
      <mc:Fallback>
        <control shapeId="3075" r:id="rId10" name="txtgrupo"/>
      </mc:Fallback>
    </mc:AlternateContent>
    <mc:AlternateContent xmlns:mc="http://schemas.openxmlformats.org/markup-compatibility/2006">
      <mc:Choice Requires="x14">
        <control shapeId="3074" r:id="rId12" name="txtdesc">
          <controlPr defaultSize="0" disabled="1" autoLine="0" linkedCell="C4" r:id="rId13">
            <anchor moveWithCells="1">
              <from>
                <xdr:col>1</xdr:col>
                <xdr:colOff>1104900</xdr:colOff>
                <xdr:row>2</xdr:row>
                <xdr:rowOff>219075</xdr:rowOff>
              </from>
              <to>
                <xdr:col>8</xdr:col>
                <xdr:colOff>190500</xdr:colOff>
                <xdr:row>4</xdr:row>
                <xdr:rowOff>9525</xdr:rowOff>
              </to>
            </anchor>
          </controlPr>
        </control>
      </mc:Choice>
      <mc:Fallback>
        <control shapeId="3074" r:id="rId12" name="txtdesc"/>
      </mc:Fallback>
    </mc:AlternateContent>
    <mc:AlternateContent xmlns:mc="http://schemas.openxmlformats.org/markup-compatibility/2006">
      <mc:Choice Requires="x14">
        <control shapeId="3073" r:id="rId14" name="txtcod">
          <controlPr defaultSize="0" autoLine="0" linkedCell="C2" r:id="rId15">
            <anchor moveWithCells="1">
              <from>
                <xdr:col>1</xdr:col>
                <xdr:colOff>1104900</xdr:colOff>
                <xdr:row>0</xdr:row>
                <xdr:rowOff>190500</xdr:rowOff>
              </from>
              <to>
                <xdr:col>5</xdr:col>
                <xdr:colOff>571500</xdr:colOff>
                <xdr:row>1</xdr:row>
                <xdr:rowOff>219075</xdr:rowOff>
              </to>
            </anchor>
          </controlPr>
        </control>
      </mc:Choice>
      <mc:Fallback>
        <control shapeId="3073" r:id="rId14" name="txtcod"/>
      </mc:Fallback>
    </mc:AlternateContent>
    <mc:AlternateContent xmlns:mc="http://schemas.openxmlformats.org/markup-compatibility/2006">
      <mc:Choice Requires="x14">
        <control shapeId="3081" r:id="rId16" name="txtcategoria">
          <controlPr defaultSize="0" disabled="1" autoLine="0" linkedCell="C10" r:id="rId17">
            <anchor moveWithCells="1">
              <from>
                <xdr:col>1</xdr:col>
                <xdr:colOff>1104900</xdr:colOff>
                <xdr:row>8</xdr:row>
                <xdr:rowOff>228600</xdr:rowOff>
              </from>
              <to>
                <xdr:col>5</xdr:col>
                <xdr:colOff>571500</xdr:colOff>
                <xdr:row>10</xdr:row>
                <xdr:rowOff>19050</xdr:rowOff>
              </to>
            </anchor>
          </controlPr>
        </control>
      </mc:Choice>
      <mc:Fallback>
        <control shapeId="3081" r:id="rId16" name="txtcategoria"/>
      </mc:Fallback>
    </mc:AlternateContent>
    <mc:AlternateContent xmlns:mc="http://schemas.openxmlformats.org/markup-compatibility/2006">
      <mc:Choice Requires="x14">
        <control shapeId="3082" r:id="rId18" name="txtqtd">
          <controlPr defaultSize="0" autoLine="0" linkedCell="C12" r:id="rId19">
            <anchor moveWithCells="1">
              <from>
                <xdr:col>1</xdr:col>
                <xdr:colOff>1104900</xdr:colOff>
                <xdr:row>10</xdr:row>
                <xdr:rowOff>209550</xdr:rowOff>
              </from>
              <to>
                <xdr:col>5</xdr:col>
                <xdr:colOff>571500</xdr:colOff>
                <xdr:row>12</xdr:row>
                <xdr:rowOff>0</xdr:rowOff>
              </to>
            </anchor>
          </controlPr>
        </control>
      </mc:Choice>
      <mc:Fallback>
        <control shapeId="3082" r:id="rId18" name="txtqt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OUT">
    <tabColor theme="7" tint="-0.499984740745262"/>
  </sheetPr>
  <dimension ref="B2:M14"/>
  <sheetViews>
    <sheetView showGridLines="0" showRowColHeaders="0" workbookViewId="0">
      <selection activeCell="J12" sqref="J12"/>
    </sheetView>
  </sheetViews>
  <sheetFormatPr defaultRowHeight="18.75" x14ac:dyDescent="0.3"/>
  <cols>
    <col min="1" max="1" width="9.140625" style="51"/>
    <col min="2" max="2" width="17" style="51" customWidth="1"/>
    <col min="3" max="3" width="20.7109375" style="50" customWidth="1"/>
    <col min="4" max="10" width="9.140625" style="51"/>
    <col min="11" max="11" width="15" style="51" customWidth="1"/>
    <col min="12" max="12" width="9.140625" style="51"/>
    <col min="13" max="13" width="9.140625" style="52"/>
    <col min="14" max="16384" width="9.140625" style="51"/>
  </cols>
  <sheetData>
    <row r="2" spans="2:3" x14ac:dyDescent="0.3">
      <c r="B2" s="49" t="s">
        <v>0</v>
      </c>
      <c r="C2" s="50" t="s">
        <v>335</v>
      </c>
    </row>
    <row r="3" spans="2:3" x14ac:dyDescent="0.3">
      <c r="B3" s="53"/>
    </row>
    <row r="4" spans="2:3" x14ac:dyDescent="0.3">
      <c r="B4" s="49" t="s">
        <v>1</v>
      </c>
      <c r="C4" s="50" t="str">
        <f>IFERROR(VLOOKUP($C$2*1,tbESTOQUE[],MATCH(B4,tbESTOQUE[#Headers],0),0),"...")</f>
        <v>PAO DE QUEIJO TRADICIONAL 35G</v>
      </c>
    </row>
    <row r="5" spans="2:3" x14ac:dyDescent="0.3">
      <c r="B5" s="53"/>
    </row>
    <row r="6" spans="2:3" x14ac:dyDescent="0.3">
      <c r="B6" s="49" t="s">
        <v>2</v>
      </c>
      <c r="C6" s="50">
        <f>IFERROR(VLOOKUP($C$2*1,tbESTOQUE[],MATCH(B6,tbESTOQUE[#Headers],0),0),"...")</f>
        <v>216</v>
      </c>
    </row>
    <row r="7" spans="2:3" x14ac:dyDescent="0.3">
      <c r="B7" s="53"/>
    </row>
    <row r="8" spans="2:3" x14ac:dyDescent="0.3">
      <c r="B8" s="49" t="s">
        <v>3</v>
      </c>
      <c r="C8" s="50" t="str">
        <f>IFERROR(VLOOKUP($C$2*1,tbESTOQUE[],MATCH(B8,tbESTOQUE[#Headers],0),0),"...")</f>
        <v>PRODUTO ACABADO</v>
      </c>
    </row>
    <row r="9" spans="2:3" x14ac:dyDescent="0.3">
      <c r="B9" s="53"/>
    </row>
    <row r="10" spans="2:3" x14ac:dyDescent="0.3">
      <c r="B10" s="49" t="s">
        <v>4</v>
      </c>
      <c r="C10" s="50" t="str">
        <f>IFERROR(VLOOKUP($C$2*1,tbESTOQUE[],MATCH(B10,tbESTOQUE[#Headers],0),0),"...")</f>
        <v>PÃO DE QUEIJO</v>
      </c>
    </row>
    <row r="11" spans="2:3" x14ac:dyDescent="0.3">
      <c r="B11" s="53"/>
    </row>
    <row r="12" spans="2:3" x14ac:dyDescent="0.3">
      <c r="B12" s="49" t="s">
        <v>203</v>
      </c>
      <c r="C12" s="50" t="s">
        <v>336</v>
      </c>
    </row>
    <row r="13" spans="2:3" x14ac:dyDescent="0.3">
      <c r="B13" s="53"/>
    </row>
    <row r="14" spans="2:3" x14ac:dyDescent="0.3">
      <c r="B14" s="53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8433" r:id="rId4" name="txtcod">
          <controlPr defaultSize="0" autoLine="0" linkedCell="C2" r:id="rId5">
            <anchor moveWithCells="1">
              <from>
                <xdr:col>1</xdr:col>
                <xdr:colOff>1123950</xdr:colOff>
                <xdr:row>0</xdr:row>
                <xdr:rowOff>219075</xdr:rowOff>
              </from>
              <to>
                <xdr:col>5</xdr:col>
                <xdr:colOff>590550</xdr:colOff>
                <xdr:row>2</xdr:row>
                <xdr:rowOff>9525</xdr:rowOff>
              </to>
            </anchor>
          </controlPr>
        </control>
      </mc:Choice>
      <mc:Fallback>
        <control shapeId="18433" r:id="rId4" name="txtcod"/>
      </mc:Fallback>
    </mc:AlternateContent>
    <mc:AlternateContent xmlns:mc="http://schemas.openxmlformats.org/markup-compatibility/2006">
      <mc:Choice Requires="x14">
        <control shapeId="18434" r:id="rId6" name="txtdesc">
          <controlPr defaultSize="0" disabled="1" autoLine="0" linkedCell="C4" r:id="rId7">
            <anchor moveWithCells="1">
              <from>
                <xdr:col>1</xdr:col>
                <xdr:colOff>1123950</xdr:colOff>
                <xdr:row>2</xdr:row>
                <xdr:rowOff>228600</xdr:rowOff>
              </from>
              <to>
                <xdr:col>8</xdr:col>
                <xdr:colOff>209550</xdr:colOff>
                <xdr:row>4</xdr:row>
                <xdr:rowOff>19050</xdr:rowOff>
              </to>
            </anchor>
          </controlPr>
        </control>
      </mc:Choice>
      <mc:Fallback>
        <control shapeId="18434" r:id="rId6" name="txtdesc"/>
      </mc:Fallback>
    </mc:AlternateContent>
    <mc:AlternateContent xmlns:mc="http://schemas.openxmlformats.org/markup-compatibility/2006">
      <mc:Choice Requires="x14">
        <control shapeId="18435" r:id="rId8" name="txtgrupo">
          <controlPr defaultSize="0" disabled="1" autoLine="0" linkedCell="C8" r:id="rId9">
            <anchor moveWithCells="1">
              <from>
                <xdr:col>1</xdr:col>
                <xdr:colOff>1123950</xdr:colOff>
                <xdr:row>6</xdr:row>
                <xdr:rowOff>228600</xdr:rowOff>
              </from>
              <to>
                <xdr:col>5</xdr:col>
                <xdr:colOff>590550</xdr:colOff>
                <xdr:row>8</xdr:row>
                <xdr:rowOff>28575</xdr:rowOff>
              </to>
            </anchor>
          </controlPr>
        </control>
      </mc:Choice>
      <mc:Fallback>
        <control shapeId="18435" r:id="rId8" name="txtgrupo"/>
      </mc:Fallback>
    </mc:AlternateContent>
    <mc:AlternateContent xmlns:mc="http://schemas.openxmlformats.org/markup-compatibility/2006">
      <mc:Choice Requires="x14">
        <control shapeId="18437" r:id="rId10" name="SpinButton1">
          <controlPr defaultSize="0" autoLine="0" autoPict="0" linkedCell="C12" r:id="rId11">
            <anchor moveWithCells="1">
              <from>
                <xdr:col>5</xdr:col>
                <xdr:colOff>571500</xdr:colOff>
                <xdr:row>11</xdr:row>
                <xdr:rowOff>0</xdr:rowOff>
              </from>
              <to>
                <xdr:col>6</xdr:col>
                <xdr:colOff>152400</xdr:colOff>
                <xdr:row>12</xdr:row>
                <xdr:rowOff>9525</xdr:rowOff>
              </to>
            </anchor>
          </controlPr>
        </control>
      </mc:Choice>
      <mc:Fallback>
        <control shapeId="18437" r:id="rId10" name="SpinButton1"/>
      </mc:Fallback>
    </mc:AlternateContent>
    <mc:AlternateContent xmlns:mc="http://schemas.openxmlformats.org/markup-compatibility/2006">
      <mc:Choice Requires="x14">
        <control shapeId="18438" r:id="rId12" name="txtlin">
          <controlPr defaultSize="0" autoLine="0" autoPict="0" linkedCell="#REF!" r:id="rId13">
            <anchor moveWithCells="1" sizeWithCells="1">
              <from>
                <xdr:col>9</xdr:col>
                <xdr:colOff>0</xdr:colOff>
                <xdr:row>2</xdr:row>
                <xdr:rowOff>133350</xdr:rowOff>
              </from>
              <to>
                <xdr:col>9</xdr:col>
                <xdr:colOff>0</xdr:colOff>
                <xdr:row>3</xdr:row>
                <xdr:rowOff>190500</xdr:rowOff>
              </to>
            </anchor>
          </controlPr>
        </control>
      </mc:Choice>
      <mc:Fallback>
        <control shapeId="18438" r:id="rId12" name="txtlin"/>
      </mc:Fallback>
    </mc:AlternateContent>
    <mc:AlternateContent xmlns:mc="http://schemas.openxmlformats.org/markup-compatibility/2006">
      <mc:Choice Requires="x14">
        <control shapeId="18439" r:id="rId14" name="txtestoque">
          <controlPr defaultSize="0" disabled="1" autoLine="0" linkedCell="C6" r:id="rId15">
            <anchor moveWithCells="1">
              <from>
                <xdr:col>1</xdr:col>
                <xdr:colOff>1123950</xdr:colOff>
                <xdr:row>4</xdr:row>
                <xdr:rowOff>228600</xdr:rowOff>
              </from>
              <to>
                <xdr:col>5</xdr:col>
                <xdr:colOff>590550</xdr:colOff>
                <xdr:row>6</xdr:row>
                <xdr:rowOff>28575</xdr:rowOff>
              </to>
            </anchor>
          </controlPr>
        </control>
      </mc:Choice>
      <mc:Fallback>
        <control shapeId="18439" r:id="rId14" name="txtestoque"/>
      </mc:Fallback>
    </mc:AlternateContent>
    <mc:AlternateContent xmlns:mc="http://schemas.openxmlformats.org/markup-compatibility/2006">
      <mc:Choice Requires="x14">
        <control shapeId="18440" r:id="rId16" name="txtcategoria">
          <controlPr defaultSize="0" disabled="1" autoLine="0" linkedCell="C10" r:id="rId17">
            <anchor moveWithCells="1">
              <from>
                <xdr:col>1</xdr:col>
                <xdr:colOff>1123950</xdr:colOff>
                <xdr:row>9</xdr:row>
                <xdr:rowOff>0</xdr:rowOff>
              </from>
              <to>
                <xdr:col>5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18440" r:id="rId16" name="txtcategoria"/>
      </mc:Fallback>
    </mc:AlternateContent>
    <mc:AlternateContent xmlns:mc="http://schemas.openxmlformats.org/markup-compatibility/2006">
      <mc:Choice Requires="x14">
        <control shapeId="18441" r:id="rId18" name="txtqtd">
          <controlPr defaultSize="0" autoLine="0" linkedCell="C12" r:id="rId19">
            <anchor moveWithCells="1">
              <from>
                <xdr:col>1</xdr:col>
                <xdr:colOff>1123950</xdr:colOff>
                <xdr:row>10</xdr:row>
                <xdr:rowOff>219075</xdr:rowOff>
              </from>
              <to>
                <xdr:col>5</xdr:col>
                <xdr:colOff>590550</xdr:colOff>
                <xdr:row>12</xdr:row>
                <xdr:rowOff>9525</xdr:rowOff>
              </to>
            </anchor>
          </controlPr>
        </control>
      </mc:Choice>
      <mc:Fallback>
        <control shapeId="18441" r:id="rId18" name="txtqt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ESTOQUE">
    <tabColor theme="7" tint="-0.499984740745262"/>
  </sheetPr>
  <dimension ref="A5:P134"/>
  <sheetViews>
    <sheetView showGridLines="0" zoomScale="80" zoomScaleNormal="80" workbookViewId="0">
      <pane ySplit="5" topLeftCell="A6" activePane="bottomLeft" state="frozen"/>
      <selection activeCell="K7" sqref="K7"/>
      <selection pane="bottomLeft" activeCell="A6" sqref="A6"/>
    </sheetView>
  </sheetViews>
  <sheetFormatPr defaultRowHeight="15" outlineLevelCol="1" x14ac:dyDescent="0.25"/>
  <cols>
    <col min="1" max="1" width="15.28515625" bestFit="1" customWidth="1"/>
    <col min="2" max="2" width="21" bestFit="1" customWidth="1"/>
    <col min="3" max="3" width="60.85546875" bestFit="1" customWidth="1" outlineLevel="1"/>
    <col min="4" max="4" width="22" bestFit="1" customWidth="1" outlineLevel="1"/>
    <col min="5" max="5" width="35.140625" bestFit="1" customWidth="1" outlineLevel="1"/>
    <col min="6" max="6" width="19.140625" bestFit="1" customWidth="1" outlineLevel="1"/>
    <col min="7" max="7" width="13.5703125" bestFit="1" customWidth="1" outlineLevel="1"/>
    <col min="8" max="8" width="20.140625" bestFit="1" customWidth="1" outlineLevel="1"/>
    <col min="9" max="9" width="17.7109375" bestFit="1" customWidth="1" outlineLevel="1"/>
    <col min="10" max="10" width="25.85546875" bestFit="1" customWidth="1" outlineLevel="1"/>
    <col min="11" max="11" width="21" bestFit="1" customWidth="1" outlineLevel="1"/>
    <col min="12" max="12" width="16.7109375" bestFit="1" customWidth="1" outlineLevel="1"/>
    <col min="13" max="13" width="25.7109375" bestFit="1" customWidth="1" outlineLevel="1"/>
    <col min="14" max="14" width="26" bestFit="1" customWidth="1" outlineLevel="1"/>
    <col min="15" max="15" width="23.7109375" bestFit="1" customWidth="1" outlineLevel="1"/>
    <col min="16" max="16" width="24.140625" bestFit="1" customWidth="1"/>
    <col min="17" max="17" width="19.85546875" bestFit="1" customWidth="1"/>
    <col min="18" max="18" width="19.42578125" customWidth="1"/>
    <col min="19" max="19" width="33.5703125" customWidth="1"/>
  </cols>
  <sheetData>
    <row r="5" spans="1:16" ht="16.5" x14ac:dyDescent="0.25">
      <c r="A5" s="26" t="s">
        <v>0</v>
      </c>
      <c r="B5" s="48" t="s">
        <v>210</v>
      </c>
      <c r="C5" s="26" t="s">
        <v>1</v>
      </c>
      <c r="D5" s="27" t="s">
        <v>3</v>
      </c>
      <c r="E5" s="27" t="s">
        <v>4</v>
      </c>
      <c r="F5" s="27" t="s">
        <v>58</v>
      </c>
      <c r="G5" s="27" t="s">
        <v>14</v>
      </c>
      <c r="H5" s="27" t="s">
        <v>57</v>
      </c>
      <c r="I5" s="27" t="s">
        <v>55</v>
      </c>
      <c r="J5" s="27" t="s">
        <v>207</v>
      </c>
      <c r="K5" s="28" t="s">
        <v>2</v>
      </c>
      <c r="L5" s="28" t="s">
        <v>78</v>
      </c>
      <c r="M5" s="29" t="s">
        <v>182</v>
      </c>
      <c r="N5" s="29" t="s">
        <v>181</v>
      </c>
      <c r="O5" s="30" t="s">
        <v>183</v>
      </c>
      <c r="P5" s="30" t="s">
        <v>184</v>
      </c>
    </row>
    <row r="6" spans="1:16" ht="16.5" x14ac:dyDescent="0.25">
      <c r="A6" s="31">
        <f>ROW() - 5</f>
        <v>1</v>
      </c>
      <c r="B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EMCB1</v>
      </c>
      <c r="C6" s="32" t="s">
        <v>185</v>
      </c>
      <c r="D6" s="32" t="s">
        <v>6</v>
      </c>
      <c r="E6" s="32" t="s">
        <v>7</v>
      </c>
      <c r="F6" s="32" t="s">
        <v>59</v>
      </c>
      <c r="G6" s="33">
        <v>0.37</v>
      </c>
      <c r="H6" s="33" t="s">
        <v>12</v>
      </c>
      <c r="I6" s="34" t="s">
        <v>54</v>
      </c>
      <c r="J6" s="34" t="s">
        <v>208</v>
      </c>
      <c r="K6" s="31">
        <v>3594</v>
      </c>
      <c r="L6" s="33">
        <f>tbESTOQUE[[#This Row],[PREÇO]]*tbESTOQUE[[#This Row],[QUANTIDADE]]</f>
        <v>1329.78</v>
      </c>
      <c r="M6" s="35">
        <f>IF(tbESTOQUE[[#This Row],[CATEGORIA]]="CINTAS",SUMIF(tbValidade[Descrição],tbESTOQUE[[#This Row],[DESCRIÇÃO]],tbValidade[Estoque]),"N/A")</f>
        <v>208</v>
      </c>
      <c r="N6" s="33">
        <f>IFERROR(tbESTOQUE[[#This Row],[ESTOQUE C/ DATA]]*tbESTOQUE[[#This Row],[PREÇO]],tbESTOQUE[[#This Row],[ESTOQUE C/ DATA]])</f>
        <v>76.959999999999994</v>
      </c>
      <c r="O6" s="36">
        <f>SUM(tbESTOQUE[[#This Row],[ESTOQUE C/ DATA]],tbESTOQUE[[#This Row],[QUANTIDADE]])</f>
        <v>3802</v>
      </c>
      <c r="P6" s="37">
        <f>tbESTOQUE[[#This Row],[ESTOQUE GERAL]]*tbESTOQUE[[#This Row],[PREÇO]]</f>
        <v>1406.74</v>
      </c>
    </row>
    <row r="7" spans="1:16" ht="16.5" x14ac:dyDescent="0.25">
      <c r="A7" s="31">
        <f t="shared" ref="A7:A70" si="0">ROW() - 5</f>
        <v>2</v>
      </c>
      <c r="B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EMCF2</v>
      </c>
      <c r="C7" s="32" t="s">
        <v>186</v>
      </c>
      <c r="D7" s="32" t="s">
        <v>6</v>
      </c>
      <c r="E7" s="32" t="s">
        <v>7</v>
      </c>
      <c r="F7" s="32" t="s">
        <v>59</v>
      </c>
      <c r="G7" s="33">
        <v>0.37</v>
      </c>
      <c r="H7" s="33" t="s">
        <v>12</v>
      </c>
      <c r="I7" s="34" t="s">
        <v>54</v>
      </c>
      <c r="J7" s="34" t="s">
        <v>208</v>
      </c>
      <c r="K7" s="31">
        <v>2990</v>
      </c>
      <c r="L7" s="33">
        <f>tbESTOQUE[[#This Row],[PREÇO]]*tbESTOQUE[[#This Row],[QUANTIDADE]]</f>
        <v>1106.3</v>
      </c>
      <c r="M7" s="35">
        <f>IF(tbESTOQUE[[#This Row],[CATEGORIA]]="CINTAS",SUMIF(tbValidade[Descrição],tbESTOQUE[[#This Row],[DESCRIÇÃO]],tbValidade[Estoque]),"N/A")</f>
        <v>31</v>
      </c>
      <c r="N7" s="33">
        <f>IFERROR(tbESTOQUE[[#This Row],[ESTOQUE C/ DATA]]*tbESTOQUE[[#This Row],[PREÇO]],tbESTOQUE[[#This Row],[ESTOQUE C/ DATA]])</f>
        <v>11.47</v>
      </c>
      <c r="O7" s="36">
        <f>SUM(tbESTOQUE[[#This Row],[ESTOQUE C/ DATA]],tbESTOQUE[[#This Row],[QUANTIDADE]])</f>
        <v>3021</v>
      </c>
      <c r="P7" s="37">
        <f>tbESTOQUE[[#This Row],[ESTOQUE GERAL]]*tbESTOQUE[[#This Row],[PREÇO]]</f>
        <v>1117.77</v>
      </c>
    </row>
    <row r="8" spans="1:16" ht="16.5" x14ac:dyDescent="0.25">
      <c r="A8" s="31">
        <f t="shared" si="0"/>
        <v>3</v>
      </c>
      <c r="B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EMCP3</v>
      </c>
      <c r="C8" s="32" t="s">
        <v>187</v>
      </c>
      <c r="D8" s="32" t="s">
        <v>6</v>
      </c>
      <c r="E8" s="32" t="s">
        <v>7</v>
      </c>
      <c r="F8" s="32" t="s">
        <v>59</v>
      </c>
      <c r="G8" s="33">
        <v>0.37</v>
      </c>
      <c r="H8" s="33" t="s">
        <v>12</v>
      </c>
      <c r="I8" s="34" t="s">
        <v>54</v>
      </c>
      <c r="J8" s="34" t="s">
        <v>208</v>
      </c>
      <c r="K8" s="31">
        <v>2773</v>
      </c>
      <c r="L8" s="33">
        <f>tbESTOQUE[[#This Row],[PREÇO]]*tbESTOQUE[[#This Row],[QUANTIDADE]]</f>
        <v>1026.01</v>
      </c>
      <c r="M8" s="35">
        <f>IF(tbESTOQUE[[#This Row],[CATEGORIA]]="CINTAS",SUMIF(tbValidade[Descrição],tbESTOQUE[[#This Row],[DESCRIÇÃO]],tbValidade[Estoque]),"N/A")</f>
        <v>12</v>
      </c>
      <c r="N8" s="33">
        <f>IFERROR(tbESTOQUE[[#This Row],[ESTOQUE C/ DATA]]*tbESTOQUE[[#This Row],[PREÇO]],tbESTOQUE[[#This Row],[ESTOQUE C/ DATA]])</f>
        <v>4.4399999999999995</v>
      </c>
      <c r="O8" s="36">
        <f>SUM(tbESTOQUE[[#This Row],[ESTOQUE C/ DATA]],tbESTOQUE[[#This Row],[QUANTIDADE]])</f>
        <v>2785</v>
      </c>
      <c r="P8" s="37">
        <f>tbESTOQUE[[#This Row],[ESTOQUE GERAL]]*tbESTOQUE[[#This Row],[PREÇO]]</f>
        <v>1030.45</v>
      </c>
    </row>
    <row r="9" spans="1:16" ht="16.5" x14ac:dyDescent="0.25">
      <c r="A9" s="31">
        <f t="shared" si="0"/>
        <v>4</v>
      </c>
      <c r="B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EMCC4</v>
      </c>
      <c r="C9" s="32" t="s">
        <v>188</v>
      </c>
      <c r="D9" s="32" t="s">
        <v>6</v>
      </c>
      <c r="E9" s="32" t="s">
        <v>7</v>
      </c>
      <c r="F9" s="32" t="s">
        <v>59</v>
      </c>
      <c r="G9" s="33">
        <v>0.37</v>
      </c>
      <c r="H9" s="33" t="s">
        <v>12</v>
      </c>
      <c r="I9" s="34" t="s">
        <v>54</v>
      </c>
      <c r="J9" s="34" t="s">
        <v>208</v>
      </c>
      <c r="K9" s="31">
        <v>2526</v>
      </c>
      <c r="L9" s="33">
        <f>tbESTOQUE[[#This Row],[PREÇO]]*tbESTOQUE[[#This Row],[QUANTIDADE]]</f>
        <v>934.62</v>
      </c>
      <c r="M9" s="35">
        <f>IF(tbESTOQUE[[#This Row],[CATEGORIA]]="CINTAS",SUMIF(tbValidade[Descrição],tbESTOQUE[[#This Row],[DESCRIÇÃO]],tbValidade[Estoque]),"N/A")</f>
        <v>35</v>
      </c>
      <c r="N9" s="33">
        <f>IFERROR(tbESTOQUE[[#This Row],[ESTOQUE C/ DATA]]*tbESTOQUE[[#This Row],[PREÇO]],tbESTOQUE[[#This Row],[ESTOQUE C/ DATA]])</f>
        <v>12.95</v>
      </c>
      <c r="O9" s="36">
        <f>SUM(tbESTOQUE[[#This Row],[ESTOQUE C/ DATA]],tbESTOQUE[[#This Row],[QUANTIDADE]])</f>
        <v>2561</v>
      </c>
      <c r="P9" s="37">
        <f>tbESTOQUE[[#This Row],[ESTOQUE GERAL]]*tbESTOQUE[[#This Row],[PREÇO]]</f>
        <v>947.56999999999994</v>
      </c>
    </row>
    <row r="10" spans="1:16" ht="16.5" x14ac:dyDescent="0.25">
      <c r="A10" s="31">
        <f t="shared" si="0"/>
        <v>5</v>
      </c>
      <c r="B1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EMCM5</v>
      </c>
      <c r="C10" s="32" t="s">
        <v>189</v>
      </c>
      <c r="D10" s="32" t="s">
        <v>6</v>
      </c>
      <c r="E10" s="32" t="s">
        <v>7</v>
      </c>
      <c r="F10" s="32" t="s">
        <v>59</v>
      </c>
      <c r="G10" s="33">
        <v>0.37</v>
      </c>
      <c r="H10" s="33" t="s">
        <v>12</v>
      </c>
      <c r="I10" s="34" t="s">
        <v>54</v>
      </c>
      <c r="J10" s="34" t="s">
        <v>208</v>
      </c>
      <c r="K10" s="31">
        <v>2413</v>
      </c>
      <c r="L10" s="33">
        <f>tbESTOQUE[[#This Row],[PREÇO]]*tbESTOQUE[[#This Row],[QUANTIDADE]]</f>
        <v>892.81</v>
      </c>
      <c r="M10" s="35">
        <f>IF(tbESTOQUE[[#This Row],[CATEGORIA]]="CINTAS",SUMIF(tbValidade[Descrição],tbESTOQUE[[#This Row],[DESCRIÇÃO]],tbValidade[Estoque]),"N/A")</f>
        <v>6</v>
      </c>
      <c r="N10" s="33">
        <f>IFERROR(tbESTOQUE[[#This Row],[ESTOQUE C/ DATA]]*tbESTOQUE[[#This Row],[PREÇO]],tbESTOQUE[[#This Row],[ESTOQUE C/ DATA]])</f>
        <v>2.2199999999999998</v>
      </c>
      <c r="O10" s="36">
        <f>SUM(tbESTOQUE[[#This Row],[ESTOQUE C/ DATA]],tbESTOQUE[[#This Row],[QUANTIDADE]])</f>
        <v>2419</v>
      </c>
      <c r="P10" s="37">
        <f>tbESTOQUE[[#This Row],[ESTOQUE GERAL]]*tbESTOQUE[[#This Row],[PREÇO]]</f>
        <v>895.03</v>
      </c>
    </row>
    <row r="11" spans="1:16" ht="16.5" x14ac:dyDescent="0.25">
      <c r="A11" s="31">
        <f t="shared" si="0"/>
        <v>6</v>
      </c>
      <c r="B1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EMCE6</v>
      </c>
      <c r="C11" s="32" t="s">
        <v>190</v>
      </c>
      <c r="D11" s="32" t="s">
        <v>6</v>
      </c>
      <c r="E11" s="32" t="s">
        <v>7</v>
      </c>
      <c r="F11" s="32" t="s">
        <v>59</v>
      </c>
      <c r="G11" s="33">
        <v>0.37</v>
      </c>
      <c r="H11" s="33" t="s">
        <v>12</v>
      </c>
      <c r="I11" s="34" t="s">
        <v>54</v>
      </c>
      <c r="J11" s="34" t="s">
        <v>208</v>
      </c>
      <c r="K11" s="31">
        <v>2795</v>
      </c>
      <c r="L11" s="33">
        <f>tbESTOQUE[[#This Row],[PREÇO]]*tbESTOQUE[[#This Row],[QUANTIDADE]]</f>
        <v>1034.1500000000001</v>
      </c>
      <c r="M11" s="35">
        <f>IF(tbESTOQUE[[#This Row],[CATEGORIA]]="CINTAS",SUMIF(tbValidade[Descrição],tbESTOQUE[[#This Row],[DESCRIÇÃO]],tbValidade[Estoque]),"N/A")</f>
        <v>110</v>
      </c>
      <c r="N11" s="33">
        <f>IFERROR(tbESTOQUE[[#This Row],[ESTOQUE C/ DATA]]*tbESTOQUE[[#This Row],[PREÇO]],tbESTOQUE[[#This Row],[ESTOQUE C/ DATA]])</f>
        <v>40.700000000000003</v>
      </c>
      <c r="O11" s="36">
        <f>SUM(tbESTOQUE[[#This Row],[ESTOQUE C/ DATA]],tbESTOQUE[[#This Row],[QUANTIDADE]])</f>
        <v>2905</v>
      </c>
      <c r="P11" s="37">
        <f>tbESTOQUE[[#This Row],[ESTOQUE GERAL]]*tbESTOQUE[[#This Row],[PREÇO]]</f>
        <v>1074.8499999999999</v>
      </c>
    </row>
    <row r="12" spans="1:16" ht="16.5" x14ac:dyDescent="0.25">
      <c r="A12" s="31">
        <f t="shared" si="0"/>
        <v>7</v>
      </c>
      <c r="B1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EMCT7</v>
      </c>
      <c r="C12" s="32" t="s">
        <v>191</v>
      </c>
      <c r="D12" s="32" t="s">
        <v>6</v>
      </c>
      <c r="E12" s="32" t="s">
        <v>7</v>
      </c>
      <c r="F12" s="32" t="s">
        <v>59</v>
      </c>
      <c r="G12" s="33">
        <v>0.37</v>
      </c>
      <c r="H12" s="33" t="s">
        <v>12</v>
      </c>
      <c r="I12" s="34" t="s">
        <v>54</v>
      </c>
      <c r="J12" s="34" t="s">
        <v>208</v>
      </c>
      <c r="K12" s="31">
        <v>2396</v>
      </c>
      <c r="L12" s="33">
        <f>tbESTOQUE[[#This Row],[PREÇO]]*tbESTOQUE[[#This Row],[QUANTIDADE]]</f>
        <v>886.52</v>
      </c>
      <c r="M12" s="35">
        <f>IF(tbESTOQUE[[#This Row],[CATEGORIA]]="CINTAS",SUMIF(tbValidade[Descrição],tbESTOQUE[[#This Row],[DESCRIÇÃO]],tbValidade[Estoque]),"N/A")</f>
        <v>57</v>
      </c>
      <c r="N12" s="33">
        <f>IFERROR(tbESTOQUE[[#This Row],[ESTOQUE C/ DATA]]*tbESTOQUE[[#This Row],[PREÇO]],tbESTOQUE[[#This Row],[ESTOQUE C/ DATA]])</f>
        <v>21.09</v>
      </c>
      <c r="O12" s="36">
        <f>SUM(tbESTOQUE[[#This Row],[ESTOQUE C/ DATA]],tbESTOQUE[[#This Row],[QUANTIDADE]])</f>
        <v>2453</v>
      </c>
      <c r="P12" s="37">
        <f>tbESTOQUE[[#This Row],[ESTOQUE GERAL]]*tbESTOQUE[[#This Row],[PREÇO]]</f>
        <v>907.61</v>
      </c>
    </row>
    <row r="13" spans="1:16" ht="16.5" x14ac:dyDescent="0.25">
      <c r="A13" s="31">
        <f t="shared" si="0"/>
        <v>8</v>
      </c>
      <c r="B1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EMC38</v>
      </c>
      <c r="C13" s="32" t="s">
        <v>192</v>
      </c>
      <c r="D13" s="32" t="s">
        <v>6</v>
      </c>
      <c r="E13" s="32" t="s">
        <v>7</v>
      </c>
      <c r="F13" s="32" t="s">
        <v>59</v>
      </c>
      <c r="G13" s="33">
        <v>0.37</v>
      </c>
      <c r="H13" s="33" t="s">
        <v>12</v>
      </c>
      <c r="I13" s="34" t="s">
        <v>54</v>
      </c>
      <c r="J13" s="34" t="s">
        <v>208</v>
      </c>
      <c r="K13" s="31">
        <v>723</v>
      </c>
      <c r="L13" s="33">
        <f>tbESTOQUE[[#This Row],[PREÇO]]*tbESTOQUE[[#This Row],[QUANTIDADE]]</f>
        <v>267.51</v>
      </c>
      <c r="M13" s="35">
        <f>IF(tbESTOQUE[[#This Row],[CATEGORIA]]="CINTAS",SUMIF(tbValidade[Descrição],tbESTOQUE[[#This Row],[DESCRIÇÃO]],tbValidade[Estoque]),"N/A")</f>
        <v>19</v>
      </c>
      <c r="N13" s="33">
        <f>IFERROR(tbESTOQUE[[#This Row],[ESTOQUE C/ DATA]]*tbESTOQUE[[#This Row],[PREÇO]],tbESTOQUE[[#This Row],[ESTOQUE C/ DATA]])</f>
        <v>7.03</v>
      </c>
      <c r="O13" s="36">
        <f>SUM(tbESTOQUE[[#This Row],[ESTOQUE C/ DATA]],tbESTOQUE[[#This Row],[QUANTIDADE]])</f>
        <v>742</v>
      </c>
      <c r="P13" s="37">
        <f>tbESTOQUE[[#This Row],[ESTOQUE GERAL]]*tbESTOQUE[[#This Row],[PREÇO]]</f>
        <v>274.54000000000002</v>
      </c>
    </row>
    <row r="14" spans="1:16" ht="16.5" x14ac:dyDescent="0.25">
      <c r="A14" s="31">
        <f t="shared" si="0"/>
        <v>9</v>
      </c>
      <c r="B1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EMC39</v>
      </c>
      <c r="C14" s="32" t="s">
        <v>193</v>
      </c>
      <c r="D14" s="32" t="s">
        <v>6</v>
      </c>
      <c r="E14" s="32" t="s">
        <v>7</v>
      </c>
      <c r="F14" s="32" t="s">
        <v>59</v>
      </c>
      <c r="G14" s="33">
        <v>0.37</v>
      </c>
      <c r="H14" s="33" t="s">
        <v>12</v>
      </c>
      <c r="I14" s="34" t="s">
        <v>54</v>
      </c>
      <c r="J14" s="34" t="s">
        <v>208</v>
      </c>
      <c r="K14" s="31">
        <v>689</v>
      </c>
      <c r="L14" s="33">
        <f>tbESTOQUE[[#This Row],[PREÇO]]*tbESTOQUE[[#This Row],[QUANTIDADE]]</f>
        <v>254.93</v>
      </c>
      <c r="M14" s="35">
        <f>IF(tbESTOQUE[[#This Row],[CATEGORIA]]="CINTAS",SUMIF(tbValidade[Descrição],tbESTOQUE[[#This Row],[DESCRIÇÃO]],tbValidade[Estoque]),"N/A")</f>
        <v>0</v>
      </c>
      <c r="N14" s="33">
        <f>IFERROR(tbESTOQUE[[#This Row],[ESTOQUE C/ DATA]]*tbESTOQUE[[#This Row],[PREÇO]],tbESTOQUE[[#This Row],[ESTOQUE C/ DATA]])</f>
        <v>0</v>
      </c>
      <c r="O14" s="36">
        <f>SUM(tbESTOQUE[[#This Row],[ESTOQUE C/ DATA]],tbESTOQUE[[#This Row],[QUANTIDADE]])</f>
        <v>689</v>
      </c>
      <c r="P14" s="37">
        <f>tbESTOQUE[[#This Row],[ESTOQUE GERAL]]*tbESTOQUE[[#This Row],[PREÇO]]</f>
        <v>254.93</v>
      </c>
    </row>
    <row r="15" spans="1:16" ht="16.5" x14ac:dyDescent="0.25">
      <c r="A15" s="31">
        <f t="shared" si="0"/>
        <v>10</v>
      </c>
      <c r="B1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EMCT10</v>
      </c>
      <c r="C15" s="32" t="s">
        <v>194</v>
      </c>
      <c r="D15" s="32" t="s">
        <v>6</v>
      </c>
      <c r="E15" s="32" t="s">
        <v>7</v>
      </c>
      <c r="F15" s="32" t="s">
        <v>59</v>
      </c>
      <c r="G15" s="33">
        <v>0.37</v>
      </c>
      <c r="H15" s="33" t="s">
        <v>12</v>
      </c>
      <c r="I15" s="34" t="s">
        <v>54</v>
      </c>
      <c r="J15" s="34" t="s">
        <v>208</v>
      </c>
      <c r="K15" s="31">
        <v>689</v>
      </c>
      <c r="L15" s="33">
        <f>tbESTOQUE[[#This Row],[PREÇO]]*tbESTOQUE[[#This Row],[QUANTIDADE]]</f>
        <v>254.93</v>
      </c>
      <c r="M15" s="35">
        <f>IF(tbESTOQUE[[#This Row],[CATEGORIA]]="CINTAS",SUMIF(tbValidade[Descrição],tbESTOQUE[[#This Row],[DESCRIÇÃO]],tbValidade[Estoque]),"N/A")</f>
        <v>6</v>
      </c>
      <c r="N15" s="33">
        <f>IFERROR(tbESTOQUE[[#This Row],[ESTOQUE C/ DATA]]*tbESTOQUE[[#This Row],[PREÇO]],tbESTOQUE[[#This Row],[ESTOQUE C/ DATA]])</f>
        <v>2.2199999999999998</v>
      </c>
      <c r="O15" s="36">
        <f>SUM(tbESTOQUE[[#This Row],[ESTOQUE C/ DATA]],tbESTOQUE[[#This Row],[QUANTIDADE]])</f>
        <v>695</v>
      </c>
      <c r="P15" s="37">
        <f>tbESTOQUE[[#This Row],[ESTOQUE GERAL]]*tbESTOQUE[[#This Row],[PREÇO]]</f>
        <v>257.14999999999998</v>
      </c>
    </row>
    <row r="16" spans="1:16" ht="16.5" x14ac:dyDescent="0.25">
      <c r="A16" s="31">
        <f t="shared" si="0"/>
        <v>11</v>
      </c>
      <c r="B1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EMC311</v>
      </c>
      <c r="C16" s="32" t="s">
        <v>195</v>
      </c>
      <c r="D16" s="32" t="s">
        <v>6</v>
      </c>
      <c r="E16" s="32" t="s">
        <v>7</v>
      </c>
      <c r="F16" s="32" t="s">
        <v>59</v>
      </c>
      <c r="G16" s="33">
        <v>0.37</v>
      </c>
      <c r="H16" s="33" t="s">
        <v>12</v>
      </c>
      <c r="I16" s="34" t="s">
        <v>54</v>
      </c>
      <c r="J16" s="34" t="s">
        <v>208</v>
      </c>
      <c r="K16" s="31">
        <v>557</v>
      </c>
      <c r="L16" s="33">
        <f>tbESTOQUE[[#This Row],[PREÇO]]*tbESTOQUE[[#This Row],[QUANTIDADE]]</f>
        <v>206.09</v>
      </c>
      <c r="M16" s="35">
        <f>IF(tbESTOQUE[[#This Row],[CATEGORIA]]="CINTAS",SUMIF(tbValidade[Descrição],tbESTOQUE[[#This Row],[DESCRIÇÃO]],tbValidade[Estoque]),"N/A")</f>
        <v>13</v>
      </c>
      <c r="N16" s="33">
        <f>IFERROR(tbESTOQUE[[#This Row],[ESTOQUE C/ DATA]]*tbESTOQUE[[#This Row],[PREÇO]],tbESTOQUE[[#This Row],[ESTOQUE C/ DATA]])</f>
        <v>4.8099999999999996</v>
      </c>
      <c r="O16" s="36">
        <f>SUM(tbESTOQUE[[#This Row],[ESTOQUE C/ DATA]],tbESTOQUE[[#This Row],[QUANTIDADE]])</f>
        <v>570</v>
      </c>
      <c r="P16" s="37">
        <f>tbESTOQUE[[#This Row],[ESTOQUE GERAL]]*tbESTOQUE[[#This Row],[PREÇO]]</f>
        <v>210.9</v>
      </c>
    </row>
    <row r="17" spans="1:16" ht="16.5" x14ac:dyDescent="0.25">
      <c r="A17" s="31">
        <f t="shared" si="0"/>
        <v>12</v>
      </c>
      <c r="B1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EMC312</v>
      </c>
      <c r="C17" s="32" t="s">
        <v>196</v>
      </c>
      <c r="D17" s="32" t="s">
        <v>6</v>
      </c>
      <c r="E17" s="32" t="s">
        <v>7</v>
      </c>
      <c r="F17" s="32" t="s">
        <v>59</v>
      </c>
      <c r="G17" s="33">
        <v>0.37</v>
      </c>
      <c r="H17" s="33" t="s">
        <v>12</v>
      </c>
      <c r="I17" s="34" t="s">
        <v>54</v>
      </c>
      <c r="J17" s="34" t="s">
        <v>208</v>
      </c>
      <c r="K17" s="31">
        <v>515</v>
      </c>
      <c r="L17" s="33">
        <f>tbESTOQUE[[#This Row],[PREÇO]]*tbESTOQUE[[#This Row],[QUANTIDADE]]</f>
        <v>190.55</v>
      </c>
      <c r="M17" s="35">
        <f>IF(tbESTOQUE[[#This Row],[CATEGORIA]]="CINTAS",SUMIF(tbValidade[Descrição],tbESTOQUE[[#This Row],[DESCRIÇÃO]],tbValidade[Estoque]),"N/A")</f>
        <v>4</v>
      </c>
      <c r="N17" s="33">
        <f>IFERROR(tbESTOQUE[[#This Row],[ESTOQUE C/ DATA]]*tbESTOQUE[[#This Row],[PREÇO]],tbESTOQUE[[#This Row],[ESTOQUE C/ DATA]])</f>
        <v>1.48</v>
      </c>
      <c r="O17" s="36">
        <f>SUM(tbESTOQUE[[#This Row],[ESTOQUE C/ DATA]],tbESTOQUE[[#This Row],[QUANTIDADE]])</f>
        <v>519</v>
      </c>
      <c r="P17" s="37">
        <f>tbESTOQUE[[#This Row],[ESTOQUE GERAL]]*tbESTOQUE[[#This Row],[PREÇO]]</f>
        <v>192.03</v>
      </c>
    </row>
    <row r="18" spans="1:16" ht="16.5" x14ac:dyDescent="0.25">
      <c r="A18" s="31">
        <f t="shared" si="0"/>
        <v>13</v>
      </c>
      <c r="B1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EMCF13</v>
      </c>
      <c r="C18" s="32" t="s">
        <v>197</v>
      </c>
      <c r="D18" s="32" t="s">
        <v>6</v>
      </c>
      <c r="E18" s="32" t="s">
        <v>7</v>
      </c>
      <c r="F18" s="32" t="s">
        <v>59</v>
      </c>
      <c r="G18" s="33">
        <v>0.37</v>
      </c>
      <c r="H18" s="33" t="s">
        <v>12</v>
      </c>
      <c r="I18" s="34" t="s">
        <v>54</v>
      </c>
      <c r="J18" s="34" t="s">
        <v>208</v>
      </c>
      <c r="K18" s="31">
        <v>4948</v>
      </c>
      <c r="L18" s="33">
        <f>tbESTOQUE[[#This Row],[PREÇO]]*tbESTOQUE[[#This Row],[QUANTIDADE]]</f>
        <v>1830.76</v>
      </c>
      <c r="M18" s="35">
        <f>IF(tbESTOQUE[[#This Row],[CATEGORIA]]="CINTAS",SUMIF(tbValidade[Descrição],tbESTOQUE[[#This Row],[DESCRIÇÃO]],tbValidade[Estoque]),"N/A")</f>
        <v>627</v>
      </c>
      <c r="N18" s="33">
        <f>IFERROR(tbESTOQUE[[#This Row],[ESTOQUE C/ DATA]]*tbESTOQUE[[#This Row],[PREÇO]],tbESTOQUE[[#This Row],[ESTOQUE C/ DATA]])</f>
        <v>231.99</v>
      </c>
      <c r="O18" s="36">
        <f>SUM(tbESTOQUE[[#This Row],[ESTOQUE C/ DATA]],tbESTOQUE[[#This Row],[QUANTIDADE]])</f>
        <v>5575</v>
      </c>
      <c r="P18" s="37">
        <f>tbESTOQUE[[#This Row],[ESTOQUE GERAL]]*tbESTOQUE[[#This Row],[PREÇO]]</f>
        <v>2062.75</v>
      </c>
    </row>
    <row r="19" spans="1:16" ht="16.5" x14ac:dyDescent="0.25">
      <c r="A19" s="31">
        <f t="shared" si="0"/>
        <v>14</v>
      </c>
      <c r="B1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EMCM14</v>
      </c>
      <c r="C19" s="32" t="s">
        <v>198</v>
      </c>
      <c r="D19" s="32" t="s">
        <v>6</v>
      </c>
      <c r="E19" s="32" t="s">
        <v>7</v>
      </c>
      <c r="F19" s="32" t="s">
        <v>59</v>
      </c>
      <c r="G19" s="33">
        <v>0.37</v>
      </c>
      <c r="H19" s="33" t="s">
        <v>12</v>
      </c>
      <c r="I19" s="34" t="s">
        <v>54</v>
      </c>
      <c r="J19" s="34" t="s">
        <v>208</v>
      </c>
      <c r="K19" s="31">
        <v>0</v>
      </c>
      <c r="L19" s="33">
        <f>tbESTOQUE[[#This Row],[PREÇO]]*tbESTOQUE[[#This Row],[QUANTIDADE]]</f>
        <v>0</v>
      </c>
      <c r="M19" s="35">
        <f>IF(tbESTOQUE[[#This Row],[CATEGORIA]]="CINTAS",SUMIF(tbValidade[Descrição],tbESTOQUE[[#This Row],[DESCRIÇÃO]],tbValidade[Estoque]),"N/A")</f>
        <v>225</v>
      </c>
      <c r="N19" s="33">
        <f>IFERROR(tbESTOQUE[[#This Row],[ESTOQUE C/ DATA]]*tbESTOQUE[[#This Row],[PREÇO]],tbESTOQUE[[#This Row],[ESTOQUE C/ DATA]])</f>
        <v>83.25</v>
      </c>
      <c r="O19" s="36">
        <f>SUM(tbESTOQUE[[#This Row],[ESTOQUE C/ DATA]],tbESTOQUE[[#This Row],[QUANTIDADE]])</f>
        <v>225</v>
      </c>
      <c r="P19" s="37">
        <f>tbESTOQUE[[#This Row],[ESTOQUE GERAL]]*tbESTOQUE[[#This Row],[PREÇO]]</f>
        <v>83.25</v>
      </c>
    </row>
    <row r="20" spans="1:16" ht="16.5" x14ac:dyDescent="0.25">
      <c r="A20" s="31">
        <f t="shared" si="0"/>
        <v>15</v>
      </c>
      <c r="B2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EMN215</v>
      </c>
      <c r="C20" s="32" t="s">
        <v>161</v>
      </c>
      <c r="D20" s="32" t="s">
        <v>6</v>
      </c>
      <c r="E20" s="32" t="s">
        <v>8</v>
      </c>
      <c r="F20" s="32" t="s">
        <v>59</v>
      </c>
      <c r="G20" s="33">
        <v>0.21</v>
      </c>
      <c r="H20" s="33" t="s">
        <v>13</v>
      </c>
      <c r="I20" s="34" t="s">
        <v>54</v>
      </c>
      <c r="J20" s="34" t="s">
        <v>208</v>
      </c>
      <c r="K20" s="31">
        <v>5992</v>
      </c>
      <c r="L20" s="33">
        <f>tbESTOQUE[[#This Row],[PREÇO]]*tbESTOQUE[[#This Row],[QUANTIDADE]]</f>
        <v>1258.32</v>
      </c>
      <c r="M20" s="35" t="str">
        <f>IF(tbESTOQUE[[#This Row],[CATEGORIA]]="CINTAS",SUMIF(tbValidade[Descrição],tbESTOQUE[[#This Row],[DESCRIÇÃO]],tbValidade[Estoque]),"N/A")</f>
        <v>N/A</v>
      </c>
      <c r="N20" s="33" t="str">
        <f>IFERROR(tbESTOQUE[[#This Row],[ESTOQUE C/ DATA]]*tbESTOQUE[[#This Row],[PREÇO]],tbESTOQUE[[#This Row],[ESTOQUE C/ DATA]])</f>
        <v>N/A</v>
      </c>
      <c r="O20" s="36">
        <f>SUM(tbESTOQUE[[#This Row],[ESTOQUE C/ DATA]],tbESTOQUE[[#This Row],[QUANTIDADE]])</f>
        <v>5992</v>
      </c>
      <c r="P20" s="38">
        <f>tbESTOQUE[[#This Row],[ESTOQUE GERAL]]*tbESTOQUE[[#This Row],[PREÇO]]</f>
        <v>1258.32</v>
      </c>
    </row>
    <row r="21" spans="1:16" ht="16.5" x14ac:dyDescent="0.25">
      <c r="A21" s="31">
        <f t="shared" si="0"/>
        <v>16</v>
      </c>
      <c r="B2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EMIG16</v>
      </c>
      <c r="C21" s="32" t="s">
        <v>162</v>
      </c>
      <c r="D21" s="32" t="s">
        <v>6</v>
      </c>
      <c r="E21" s="32" t="s">
        <v>8</v>
      </c>
      <c r="F21" s="32" t="s">
        <v>59</v>
      </c>
      <c r="G21" s="33">
        <v>0.21</v>
      </c>
      <c r="H21" s="33" t="s">
        <v>13</v>
      </c>
      <c r="I21" s="34" t="s">
        <v>54</v>
      </c>
      <c r="J21" s="34" t="s">
        <v>208</v>
      </c>
      <c r="K21" s="31">
        <v>2000</v>
      </c>
      <c r="L21" s="33">
        <f>tbESTOQUE[[#This Row],[PREÇO]]*tbESTOQUE[[#This Row],[QUANTIDADE]]</f>
        <v>420</v>
      </c>
      <c r="M21" s="35" t="str">
        <f>IF(tbESTOQUE[[#This Row],[CATEGORIA]]="CINTAS",SUMIF(tbValidade[Descrição],tbESTOQUE[[#This Row],[DESCRIÇÃO]],tbValidade[Estoque]),"N/A")</f>
        <v>N/A</v>
      </c>
      <c r="N21" s="33" t="str">
        <f>IFERROR(tbESTOQUE[[#This Row],[ESTOQUE C/ DATA]]*tbESTOQUE[[#This Row],[PREÇO]],tbESTOQUE[[#This Row],[ESTOQUE C/ DATA]])</f>
        <v>N/A</v>
      </c>
      <c r="O21" s="36">
        <f>SUM(tbESTOQUE[[#This Row],[ESTOQUE C/ DATA]],tbESTOQUE[[#This Row],[QUANTIDADE]])</f>
        <v>2000</v>
      </c>
      <c r="P21" s="38">
        <f>tbESTOQUE[[#This Row],[ESTOQUE GERAL]]*tbESTOQUE[[#This Row],[PREÇO]]</f>
        <v>420</v>
      </c>
    </row>
    <row r="22" spans="1:16" ht="16.5" x14ac:dyDescent="0.25">
      <c r="A22" s="31">
        <f t="shared" si="0"/>
        <v>17</v>
      </c>
      <c r="B2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EMOD17</v>
      </c>
      <c r="C22" s="32" t="s">
        <v>163</v>
      </c>
      <c r="D22" s="32" t="s">
        <v>6</v>
      </c>
      <c r="E22" s="32" t="s">
        <v>8</v>
      </c>
      <c r="F22" s="32" t="s">
        <v>59</v>
      </c>
      <c r="G22" s="33">
        <v>0.21</v>
      </c>
      <c r="H22" s="33" t="s">
        <v>13</v>
      </c>
      <c r="I22" s="34" t="s">
        <v>54</v>
      </c>
      <c r="J22" s="34" t="s">
        <v>208</v>
      </c>
      <c r="K22" s="31">
        <v>2000</v>
      </c>
      <c r="L22" s="33">
        <f>tbESTOQUE[[#This Row],[PREÇO]]*tbESTOQUE[[#This Row],[QUANTIDADE]]</f>
        <v>420</v>
      </c>
      <c r="M22" s="39" t="str">
        <f>IF(tbESTOQUE[[#This Row],[CATEGORIA]]="CINTAS",SUMIF(tbValidade[Descrição],tbESTOQUE[[#This Row],[DESCRIÇÃO]],tbValidade[Estoque]),"N/A")</f>
        <v>N/A</v>
      </c>
      <c r="N22" s="33" t="str">
        <f>IFERROR(tbESTOQUE[[#This Row],[ESTOQUE C/ DATA]]*tbESTOQUE[[#This Row],[PREÇO]],tbESTOQUE[[#This Row],[ESTOQUE C/ DATA]])</f>
        <v>N/A</v>
      </c>
      <c r="O22" s="40">
        <f>SUM(tbESTOQUE[[#This Row],[ESTOQUE C/ DATA]],tbESTOQUE[[#This Row],[QUANTIDADE]])</f>
        <v>2000</v>
      </c>
      <c r="P22" s="38">
        <f>tbESTOQUE[[#This Row],[ESTOQUE GERAL]]*tbESTOQUE[[#This Row],[PREÇO]]</f>
        <v>420</v>
      </c>
    </row>
    <row r="23" spans="1:16" ht="16.5" x14ac:dyDescent="0.25">
      <c r="A23" s="31">
        <f t="shared" si="0"/>
        <v>18</v>
      </c>
      <c r="B2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EMLN18</v>
      </c>
      <c r="C23" s="32" t="s">
        <v>225</v>
      </c>
      <c r="D23" s="32" t="s">
        <v>6</v>
      </c>
      <c r="E23" s="32" t="s">
        <v>8</v>
      </c>
      <c r="F23" s="32" t="s">
        <v>59</v>
      </c>
      <c r="G23" s="33">
        <v>0.21</v>
      </c>
      <c r="H23" s="33" t="s">
        <v>13</v>
      </c>
      <c r="I23" s="34" t="s">
        <v>54</v>
      </c>
      <c r="J23" s="34" t="s">
        <v>208</v>
      </c>
      <c r="K23" s="31">
        <v>2000</v>
      </c>
      <c r="L23" s="33">
        <f>tbESTOQUE[[#This Row],[PREÇO]]*tbESTOQUE[[#This Row],[QUANTIDADE]]</f>
        <v>420</v>
      </c>
      <c r="M23" s="35" t="str">
        <f>IF(tbESTOQUE[[#This Row],[CATEGORIA]]="CINTAS",SUMIF(tbValidade[Descrição],tbESTOQUE[[#This Row],[DESCRIÇÃO]],tbValidade[Estoque]),"N/A")</f>
        <v>N/A</v>
      </c>
      <c r="N23" s="33" t="str">
        <f>IFERROR(tbESTOQUE[[#This Row],[ESTOQUE C/ DATA]]*tbESTOQUE[[#This Row],[PREÇO]],tbESTOQUE[[#This Row],[ESTOQUE C/ DATA]])</f>
        <v>N/A</v>
      </c>
      <c r="O23" s="36">
        <f>SUM(tbESTOQUE[[#This Row],[ESTOQUE C/ DATA]],tbESTOQUE[[#This Row],[QUANTIDADE]])</f>
        <v>2000</v>
      </c>
      <c r="P23" s="38">
        <f>tbESTOQUE[[#This Row],[ESTOQUE GERAL]]*tbESTOQUE[[#This Row],[PREÇO]]</f>
        <v>420</v>
      </c>
    </row>
    <row r="24" spans="1:16" ht="16.5" x14ac:dyDescent="0.25">
      <c r="A24" s="31">
        <f t="shared" si="0"/>
        <v>19</v>
      </c>
      <c r="B2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PAPQ19</v>
      </c>
      <c r="C24" s="32" t="s">
        <v>229</v>
      </c>
      <c r="D24" s="32" t="s">
        <v>222</v>
      </c>
      <c r="E24" s="32" t="s">
        <v>10</v>
      </c>
      <c r="F24" s="32" t="s">
        <v>59</v>
      </c>
      <c r="G24" s="33">
        <v>12.5</v>
      </c>
      <c r="H24" s="33" t="s">
        <v>13</v>
      </c>
      <c r="I24" s="34" t="s">
        <v>54</v>
      </c>
      <c r="J24" s="34" t="s">
        <v>209</v>
      </c>
      <c r="K24" s="31">
        <v>23</v>
      </c>
      <c r="L24" s="33">
        <f>tbESTOQUE[[#This Row],[PREÇO]]*tbESTOQUE[[#This Row],[QUANTIDADE]]</f>
        <v>287.5</v>
      </c>
      <c r="M24" s="35" t="str">
        <f>IF(tbESTOQUE[[#This Row],[CATEGORIA]]="CINTAS",SUMIF(tbValidade[Descrição],tbESTOQUE[[#This Row],[DESCRIÇÃO]],tbValidade[Estoque]),"N/A")</f>
        <v>N/A</v>
      </c>
      <c r="N24" s="33" t="str">
        <f>IFERROR(tbESTOQUE[[#This Row],[ESTOQUE C/ DATA]]*tbESTOQUE[[#This Row],[PREÇO]],tbESTOQUE[[#This Row],[ESTOQUE C/ DATA]])</f>
        <v>N/A</v>
      </c>
      <c r="O24" s="36">
        <f>SUM(tbESTOQUE[[#This Row],[ESTOQUE C/ DATA]],tbESTOQUE[[#This Row],[QUANTIDADE]])</f>
        <v>23</v>
      </c>
      <c r="P24" s="38">
        <f>tbESTOQUE[[#This Row],[ESTOQUE GERAL]]*tbESTOQUE[[#This Row],[PREÇO]]</f>
        <v>287.5</v>
      </c>
    </row>
    <row r="25" spans="1:16" ht="16.5" x14ac:dyDescent="0.25">
      <c r="A25" s="31">
        <f t="shared" si="0"/>
        <v>20</v>
      </c>
      <c r="B2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PAPQ20</v>
      </c>
      <c r="C25" s="32" t="s">
        <v>226</v>
      </c>
      <c r="D25" s="32" t="s">
        <v>222</v>
      </c>
      <c r="E25" s="32" t="s">
        <v>10</v>
      </c>
      <c r="F25" s="32" t="s">
        <v>59</v>
      </c>
      <c r="G25" s="33">
        <v>9.5</v>
      </c>
      <c r="H25" s="33" t="s">
        <v>13</v>
      </c>
      <c r="I25" s="34" t="s">
        <v>54</v>
      </c>
      <c r="J25" s="34" t="s">
        <v>209</v>
      </c>
      <c r="K25" s="31">
        <v>59</v>
      </c>
      <c r="L25" s="33">
        <f>tbESTOQUE[[#This Row],[PREÇO]]*tbESTOQUE[[#This Row],[QUANTIDADE]]</f>
        <v>560.5</v>
      </c>
      <c r="M25" s="35" t="str">
        <f>IF(tbESTOQUE[[#This Row],[CATEGORIA]]="CINTAS",SUMIF(tbValidade[Descrição],tbESTOQUE[[#This Row],[DESCRIÇÃO]],tbValidade[Estoque]),"N/A")</f>
        <v>N/A</v>
      </c>
      <c r="N25" s="41" t="str">
        <f>IFERROR(tbESTOQUE[[#This Row],[ESTOQUE C/ DATA]]*tbESTOQUE[[#This Row],[PREÇO]],tbESTOQUE[[#This Row],[ESTOQUE C/ DATA]])</f>
        <v>N/A</v>
      </c>
      <c r="O25" s="36">
        <f>SUM(tbESTOQUE[[#This Row],[ESTOQUE C/ DATA]],tbESTOQUE[[#This Row],[QUANTIDADE]])</f>
        <v>59</v>
      </c>
      <c r="P25" s="38">
        <f>tbESTOQUE[[#This Row],[ESTOQUE GERAL]]*tbESTOQUE[[#This Row],[PREÇO]]</f>
        <v>560.5</v>
      </c>
    </row>
    <row r="26" spans="1:16" ht="16.5" x14ac:dyDescent="0.25">
      <c r="A26" s="31">
        <f t="shared" si="0"/>
        <v>21</v>
      </c>
      <c r="B2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PAPQ21</v>
      </c>
      <c r="C26" s="32" t="s">
        <v>230</v>
      </c>
      <c r="D26" s="32" t="s">
        <v>222</v>
      </c>
      <c r="E26" s="32" t="s">
        <v>10</v>
      </c>
      <c r="F26" s="32" t="s">
        <v>59</v>
      </c>
      <c r="G26" s="33">
        <v>12.5</v>
      </c>
      <c r="H26" s="33" t="s">
        <v>13</v>
      </c>
      <c r="I26" s="34" t="s">
        <v>54</v>
      </c>
      <c r="J26" s="34" t="s">
        <v>209</v>
      </c>
      <c r="K26" s="31">
        <v>0</v>
      </c>
      <c r="L26" s="33">
        <f>tbESTOQUE[[#This Row],[PREÇO]]*tbESTOQUE[[#This Row],[QUANTIDADE]]</f>
        <v>0</v>
      </c>
      <c r="M26" s="35" t="str">
        <f>IF(tbESTOQUE[[#This Row],[CATEGORIA]]="CINTAS",SUMIF(tbValidade[Descrição],tbESTOQUE[[#This Row],[DESCRIÇÃO]],tbValidade[Estoque]),"N/A")</f>
        <v>N/A</v>
      </c>
      <c r="N26" s="41" t="str">
        <f>IFERROR(tbESTOQUE[[#This Row],[ESTOQUE C/ DATA]]*tbESTOQUE[[#This Row],[PREÇO]],tbESTOQUE[[#This Row],[ESTOQUE C/ DATA]])</f>
        <v>N/A</v>
      </c>
      <c r="O26" s="36">
        <f>SUM(tbESTOQUE[[#This Row],[ESTOQUE C/ DATA]],tbESTOQUE[[#This Row],[QUANTIDADE]])</f>
        <v>0</v>
      </c>
      <c r="P26" s="38">
        <f>tbESTOQUE[[#This Row],[ESTOQUE GERAL]]*tbESTOQUE[[#This Row],[PREÇO]]</f>
        <v>0</v>
      </c>
    </row>
    <row r="27" spans="1:16" ht="16.5" x14ac:dyDescent="0.25">
      <c r="A27" s="31">
        <f t="shared" si="0"/>
        <v>22</v>
      </c>
      <c r="B2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PAPQ22</v>
      </c>
      <c r="C27" s="32" t="s">
        <v>228</v>
      </c>
      <c r="D27" s="32" t="s">
        <v>222</v>
      </c>
      <c r="E27" s="32" t="s">
        <v>10</v>
      </c>
      <c r="F27" s="32" t="s">
        <v>59</v>
      </c>
      <c r="G27" s="33">
        <v>9.5</v>
      </c>
      <c r="H27" s="33" t="s">
        <v>13</v>
      </c>
      <c r="I27" s="34" t="s">
        <v>54</v>
      </c>
      <c r="J27" s="34" t="s">
        <v>209</v>
      </c>
      <c r="K27" s="31">
        <v>526</v>
      </c>
      <c r="L27" s="33">
        <f>tbESTOQUE[[#This Row],[PREÇO]]*tbESTOQUE[[#This Row],[QUANTIDADE]]</f>
        <v>4997</v>
      </c>
      <c r="M27" s="35" t="str">
        <f>IF(tbESTOQUE[[#This Row],[CATEGORIA]]="CINTAS",SUMIF(tbValidade[Descrição],tbESTOQUE[[#This Row],[DESCRIÇÃO]],tbValidade[Estoque]),"N/A")</f>
        <v>N/A</v>
      </c>
      <c r="N27" s="41" t="str">
        <f>IFERROR(tbESTOQUE[[#This Row],[ESTOQUE C/ DATA]]*tbESTOQUE[[#This Row],[PREÇO]],tbESTOQUE[[#This Row],[ESTOQUE C/ DATA]])</f>
        <v>N/A</v>
      </c>
      <c r="O27" s="36">
        <f>SUM(tbESTOQUE[[#This Row],[ESTOQUE C/ DATA]],tbESTOQUE[[#This Row],[QUANTIDADE]])</f>
        <v>526</v>
      </c>
      <c r="P27" s="38">
        <f>tbESTOQUE[[#This Row],[ESTOQUE GERAL]]*tbESTOQUE[[#This Row],[PREÇO]]</f>
        <v>4997</v>
      </c>
    </row>
    <row r="28" spans="1:16" ht="16.5" x14ac:dyDescent="0.25">
      <c r="A28" s="31">
        <f t="shared" si="0"/>
        <v>23</v>
      </c>
      <c r="B2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PASP23</v>
      </c>
      <c r="C28" s="32" t="s">
        <v>169</v>
      </c>
      <c r="D28" s="32" t="s">
        <v>222</v>
      </c>
      <c r="E28" s="32" t="s">
        <v>11</v>
      </c>
      <c r="F28" s="32" t="s">
        <v>59</v>
      </c>
      <c r="G28" s="33">
        <v>11.53</v>
      </c>
      <c r="H28" s="33" t="s">
        <v>13</v>
      </c>
      <c r="I28" s="34" t="s">
        <v>54</v>
      </c>
      <c r="J28" s="34" t="s">
        <v>208</v>
      </c>
      <c r="K28" s="31">
        <v>24</v>
      </c>
      <c r="L28" s="33">
        <f>tbESTOQUE[[#This Row],[PREÇO]]*tbESTOQUE[[#This Row],[QUANTIDADE]]</f>
        <v>276.71999999999997</v>
      </c>
      <c r="M28" s="35" t="str">
        <f>IF(tbESTOQUE[[#This Row],[CATEGORIA]]="CINTAS",SUMIF(tbValidade[Descrição],tbESTOQUE[[#This Row],[DESCRIÇÃO]],tbValidade[Estoque]),"N/A")</f>
        <v>N/A</v>
      </c>
      <c r="N28" s="41" t="str">
        <f>IFERROR(tbESTOQUE[[#This Row],[ESTOQUE C/ DATA]]*tbESTOQUE[[#This Row],[PREÇO]],tbESTOQUE[[#This Row],[ESTOQUE C/ DATA]])</f>
        <v>N/A</v>
      </c>
      <c r="O28" s="36">
        <f>SUM(tbESTOQUE[[#This Row],[ESTOQUE C/ DATA]],tbESTOQUE[[#This Row],[QUANTIDADE]])</f>
        <v>24</v>
      </c>
      <c r="P28" s="38">
        <f>tbESTOQUE[[#This Row],[ESTOQUE GERAL]]*tbESTOQUE[[#This Row],[PREÇO]]</f>
        <v>276.71999999999997</v>
      </c>
    </row>
    <row r="29" spans="1:16" ht="16.5" x14ac:dyDescent="0.25">
      <c r="A29" s="31">
        <f t="shared" si="0"/>
        <v>24</v>
      </c>
      <c r="B2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PASP24</v>
      </c>
      <c r="C29" s="32" t="s">
        <v>170</v>
      </c>
      <c r="D29" s="32" t="s">
        <v>222</v>
      </c>
      <c r="E29" s="32" t="s">
        <v>11</v>
      </c>
      <c r="F29" s="32" t="s">
        <v>59</v>
      </c>
      <c r="G29" s="33">
        <v>11.53</v>
      </c>
      <c r="H29" s="33" t="s">
        <v>13</v>
      </c>
      <c r="I29" s="34" t="s">
        <v>54</v>
      </c>
      <c r="J29" s="34" t="s">
        <v>208</v>
      </c>
      <c r="K29" s="31">
        <v>120</v>
      </c>
      <c r="L29" s="33">
        <f>tbESTOQUE[[#This Row],[PREÇO]]*tbESTOQUE[[#This Row],[QUANTIDADE]]</f>
        <v>1383.6</v>
      </c>
      <c r="M29" s="35" t="str">
        <f>IF(tbESTOQUE[[#This Row],[CATEGORIA]]="CINTAS",SUMIF(tbValidade[Descrição],tbESTOQUE[[#This Row],[DESCRIÇÃO]],tbValidade[Estoque]),"N/A")</f>
        <v>N/A</v>
      </c>
      <c r="N29" s="41" t="str">
        <f>IFERROR(tbESTOQUE[[#This Row],[ESTOQUE C/ DATA]]*tbESTOQUE[[#This Row],[PREÇO]],tbESTOQUE[[#This Row],[ESTOQUE C/ DATA]])</f>
        <v>N/A</v>
      </c>
      <c r="O29" s="36">
        <f>SUM(tbESTOQUE[[#This Row],[ESTOQUE C/ DATA]],tbESTOQUE[[#This Row],[QUANTIDADE]])</f>
        <v>120</v>
      </c>
      <c r="P29" s="38">
        <f>tbESTOQUE[[#This Row],[ESTOQUE GERAL]]*tbESTOQUE[[#This Row],[PREÇO]]</f>
        <v>1383.6</v>
      </c>
    </row>
    <row r="30" spans="1:16" ht="16.5" x14ac:dyDescent="0.25">
      <c r="A30" s="31">
        <f t="shared" si="0"/>
        <v>25</v>
      </c>
      <c r="B3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PASP25</v>
      </c>
      <c r="C30" s="32" t="s">
        <v>171</v>
      </c>
      <c r="D30" s="32" t="s">
        <v>222</v>
      </c>
      <c r="E30" s="32" t="s">
        <v>11</v>
      </c>
      <c r="F30" s="32" t="s">
        <v>59</v>
      </c>
      <c r="G30" s="33">
        <v>11.53</v>
      </c>
      <c r="H30" s="33" t="s">
        <v>13</v>
      </c>
      <c r="I30" s="34" t="s">
        <v>54</v>
      </c>
      <c r="J30" s="34" t="s">
        <v>208</v>
      </c>
      <c r="K30" s="31">
        <v>78</v>
      </c>
      <c r="L30" s="33">
        <f>tbESTOQUE[[#This Row],[PREÇO]]*tbESTOQUE[[#This Row],[QUANTIDADE]]</f>
        <v>899.33999999999992</v>
      </c>
      <c r="M30" s="35" t="str">
        <f>IF(tbESTOQUE[[#This Row],[CATEGORIA]]="CINTAS",SUMIF(tbValidade[Descrição],tbESTOQUE[[#This Row],[DESCRIÇÃO]],tbValidade[Estoque]),"N/A")</f>
        <v>N/A</v>
      </c>
      <c r="N30" s="41" t="str">
        <f>IFERROR(tbESTOQUE[[#This Row],[ESTOQUE C/ DATA]]*tbESTOQUE[[#This Row],[PREÇO]],tbESTOQUE[[#This Row],[ESTOQUE C/ DATA]])</f>
        <v>N/A</v>
      </c>
      <c r="O30" s="36">
        <f>SUM(tbESTOQUE[[#This Row],[ESTOQUE C/ DATA]],tbESTOQUE[[#This Row],[QUANTIDADE]])</f>
        <v>78</v>
      </c>
      <c r="P30" s="38">
        <f>tbESTOQUE[[#This Row],[ESTOQUE GERAL]]*tbESTOQUE[[#This Row],[PREÇO]]</f>
        <v>899.33999999999992</v>
      </c>
    </row>
    <row r="31" spans="1:16" ht="16.5" x14ac:dyDescent="0.25">
      <c r="A31" s="31">
        <f t="shared" si="0"/>
        <v>26</v>
      </c>
      <c r="B3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PASP26</v>
      </c>
      <c r="C31" s="32" t="s">
        <v>173</v>
      </c>
      <c r="D31" s="32" t="s">
        <v>222</v>
      </c>
      <c r="E31" s="32" t="s">
        <v>11</v>
      </c>
      <c r="F31" s="32" t="s">
        <v>59</v>
      </c>
      <c r="G31" s="33">
        <v>11.53</v>
      </c>
      <c r="H31" s="33" t="s">
        <v>13</v>
      </c>
      <c r="I31" s="34" t="s">
        <v>54</v>
      </c>
      <c r="J31" s="34" t="s">
        <v>208</v>
      </c>
      <c r="K31" s="31">
        <v>24</v>
      </c>
      <c r="L31" s="33">
        <f>tbESTOQUE[[#This Row],[PREÇO]]*tbESTOQUE[[#This Row],[QUANTIDADE]]</f>
        <v>276.71999999999997</v>
      </c>
      <c r="M31" s="35" t="str">
        <f>IF(tbESTOQUE[[#This Row],[CATEGORIA]]="CINTAS",SUMIF(tbValidade[Descrição],tbESTOQUE[[#This Row],[DESCRIÇÃO]],tbValidade[Estoque]),"N/A")</f>
        <v>N/A</v>
      </c>
      <c r="N31" s="41" t="str">
        <f>IFERROR(tbESTOQUE[[#This Row],[ESTOQUE C/ DATA]]*tbESTOQUE[[#This Row],[PREÇO]],tbESTOQUE[[#This Row],[ESTOQUE C/ DATA]])</f>
        <v>N/A</v>
      </c>
      <c r="O31" s="36">
        <f>SUM(tbESTOQUE[[#This Row],[ESTOQUE C/ DATA]],tbESTOQUE[[#This Row],[QUANTIDADE]])</f>
        <v>24</v>
      </c>
      <c r="P31" s="38">
        <f>tbESTOQUE[[#This Row],[ESTOQUE GERAL]]*tbESTOQUE[[#This Row],[PREÇO]]</f>
        <v>276.71999999999997</v>
      </c>
    </row>
    <row r="32" spans="1:16" ht="16.5" x14ac:dyDescent="0.25">
      <c r="A32" s="31">
        <f t="shared" si="0"/>
        <v>27</v>
      </c>
      <c r="B3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PASP27</v>
      </c>
      <c r="C32" s="32" t="s">
        <v>223</v>
      </c>
      <c r="D32" s="32" t="s">
        <v>222</v>
      </c>
      <c r="E32" s="32" t="s">
        <v>11</v>
      </c>
      <c r="F32" s="32" t="s">
        <v>59</v>
      </c>
      <c r="G32" s="33">
        <v>11.53</v>
      </c>
      <c r="H32" s="33" t="s">
        <v>13</v>
      </c>
      <c r="I32" s="34" t="s">
        <v>54</v>
      </c>
      <c r="J32" s="34" t="s">
        <v>208</v>
      </c>
      <c r="K32" s="31">
        <v>15</v>
      </c>
      <c r="L32" s="33">
        <f>tbESTOQUE[[#This Row],[PREÇO]]*tbESTOQUE[[#This Row],[QUANTIDADE]]</f>
        <v>172.95</v>
      </c>
      <c r="M32" s="35" t="str">
        <f>IF(tbESTOQUE[[#This Row],[CATEGORIA]]="CINTAS",SUMIF(tbValidade[Descrição],tbESTOQUE[[#This Row],[DESCRIÇÃO]],tbValidade[Estoque]),"N/A")</f>
        <v>N/A</v>
      </c>
      <c r="N32" s="41" t="str">
        <f>IFERROR(tbESTOQUE[[#This Row],[ESTOQUE C/ DATA]]*tbESTOQUE[[#This Row],[PREÇO]],tbESTOQUE[[#This Row],[ESTOQUE C/ DATA]])</f>
        <v>N/A</v>
      </c>
      <c r="O32" s="36">
        <f>SUM(tbESTOQUE[[#This Row],[ESTOQUE C/ DATA]],tbESTOQUE[[#This Row],[QUANTIDADE]])</f>
        <v>15</v>
      </c>
      <c r="P32" s="38">
        <f>tbESTOQUE[[#This Row],[ESTOQUE GERAL]]*tbESTOQUE[[#This Row],[PREÇO]]</f>
        <v>172.95</v>
      </c>
    </row>
    <row r="33" spans="1:16" ht="16.5" x14ac:dyDescent="0.25">
      <c r="A33" s="31">
        <f t="shared" si="0"/>
        <v>28</v>
      </c>
      <c r="B3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PASC28</v>
      </c>
      <c r="C33" s="32" t="s">
        <v>172</v>
      </c>
      <c r="D33" s="32" t="s">
        <v>222</v>
      </c>
      <c r="E33" s="32" t="s">
        <v>11</v>
      </c>
      <c r="F33" s="32" t="s">
        <v>59</v>
      </c>
      <c r="G33" s="33">
        <v>44.1</v>
      </c>
      <c r="H33" s="33" t="s">
        <v>13</v>
      </c>
      <c r="I33" s="34" t="s">
        <v>54</v>
      </c>
      <c r="J33" s="34" t="s">
        <v>208</v>
      </c>
      <c r="K33" s="31">
        <v>2</v>
      </c>
      <c r="L33" s="33">
        <f>tbESTOQUE[[#This Row],[PREÇO]]*tbESTOQUE[[#This Row],[QUANTIDADE]]</f>
        <v>88.2</v>
      </c>
      <c r="M33" s="35" t="str">
        <f>IF(tbESTOQUE[[#This Row],[CATEGORIA]]="CINTAS",SUMIF(tbValidade[Descrição],tbESTOQUE[[#This Row],[DESCRIÇÃO]],tbValidade[Estoque]),"N/A")</f>
        <v>N/A</v>
      </c>
      <c r="N33" s="41" t="str">
        <f>IFERROR(tbESTOQUE[[#This Row],[ESTOQUE C/ DATA]]*tbESTOQUE[[#This Row],[PREÇO]],tbESTOQUE[[#This Row],[ESTOQUE C/ DATA]])</f>
        <v>N/A</v>
      </c>
      <c r="O33" s="36">
        <f>SUM(tbESTOQUE[[#This Row],[ESTOQUE C/ DATA]],tbESTOQUE[[#This Row],[QUANTIDADE]])</f>
        <v>2</v>
      </c>
      <c r="P33" s="38">
        <f>tbESTOQUE[[#This Row],[ESTOQUE GERAL]]*tbESTOQUE[[#This Row],[PREÇO]]</f>
        <v>88.2</v>
      </c>
    </row>
    <row r="34" spans="1:16" ht="16.5" x14ac:dyDescent="0.25">
      <c r="A34" s="31">
        <f t="shared" si="0"/>
        <v>29</v>
      </c>
      <c r="B3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MPSA29</v>
      </c>
      <c r="C34" s="31" t="s">
        <v>21</v>
      </c>
      <c r="D34" s="32" t="s">
        <v>49</v>
      </c>
      <c r="E34" s="32" t="s">
        <v>50</v>
      </c>
      <c r="F34" s="32" t="s">
        <v>60</v>
      </c>
      <c r="G34" s="33">
        <v>0</v>
      </c>
      <c r="H34" s="33" t="s">
        <v>12</v>
      </c>
      <c r="I34" s="34">
        <v>43070</v>
      </c>
      <c r="J34" s="34" t="s">
        <v>209</v>
      </c>
      <c r="K34" s="31">
        <v>1</v>
      </c>
      <c r="L34" s="33">
        <f>tbESTOQUE[[#This Row],[PREÇO]]*tbESTOQUE[[#This Row],[QUANTIDADE]]</f>
        <v>0</v>
      </c>
      <c r="M34" s="35" t="str">
        <f>IF(tbESTOQUE[[#This Row],[CATEGORIA]]="CINTAS",SUMIF(tbValidade[Descrição],tbESTOQUE[[#This Row],[DESCRIÇÃO]],tbValidade[Estoque]),"N/A")</f>
        <v>N/A</v>
      </c>
      <c r="N34" s="41" t="str">
        <f>IFERROR(tbESTOQUE[[#This Row],[ESTOQUE C/ DATA]]*tbESTOQUE[[#This Row],[PREÇO]],tbESTOQUE[[#This Row],[ESTOQUE C/ DATA]])</f>
        <v>N/A</v>
      </c>
      <c r="O34" s="36">
        <f>SUM(tbESTOQUE[[#This Row],[ESTOQUE C/ DATA]],tbESTOQUE[[#This Row],[QUANTIDADE]])</f>
        <v>1</v>
      </c>
      <c r="P34" s="38">
        <f>tbESTOQUE[[#This Row],[ESTOQUE GERAL]]*tbESTOQUE[[#This Row],[PREÇO]]</f>
        <v>0</v>
      </c>
    </row>
    <row r="35" spans="1:16" ht="16.5" x14ac:dyDescent="0.25">
      <c r="A35" s="31">
        <f t="shared" si="0"/>
        <v>30</v>
      </c>
      <c r="B3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MPSA30</v>
      </c>
      <c r="C35" s="31" t="s">
        <v>22</v>
      </c>
      <c r="D35" s="32" t="s">
        <v>49</v>
      </c>
      <c r="E35" s="32" t="s">
        <v>50</v>
      </c>
      <c r="F35" s="32" t="s">
        <v>60</v>
      </c>
      <c r="G35" s="33">
        <v>0</v>
      </c>
      <c r="H35" s="33" t="s">
        <v>12</v>
      </c>
      <c r="I35" s="34">
        <v>43132</v>
      </c>
      <c r="J35" s="34" t="s">
        <v>209</v>
      </c>
      <c r="K35" s="31">
        <v>1</v>
      </c>
      <c r="L35" s="33">
        <f>tbESTOQUE[[#This Row],[PREÇO]]*tbESTOQUE[[#This Row],[QUANTIDADE]]</f>
        <v>0</v>
      </c>
      <c r="M35" s="35" t="str">
        <f>IF(tbESTOQUE[[#This Row],[CATEGORIA]]="CINTAS",SUMIF(tbValidade[Descrição],tbESTOQUE[[#This Row],[DESCRIÇÃO]],tbValidade[Estoque]),"N/A")</f>
        <v>N/A</v>
      </c>
      <c r="N35" s="41" t="str">
        <f>IFERROR(tbESTOQUE[[#This Row],[ESTOQUE C/ DATA]]*tbESTOQUE[[#This Row],[PREÇO]],tbESTOQUE[[#This Row],[ESTOQUE C/ DATA]])</f>
        <v>N/A</v>
      </c>
      <c r="O35" s="36">
        <f>SUM(tbESTOQUE[[#This Row],[ESTOQUE C/ DATA]],tbESTOQUE[[#This Row],[QUANTIDADE]])</f>
        <v>1</v>
      </c>
      <c r="P35" s="38">
        <f>tbESTOQUE[[#This Row],[ESTOQUE GERAL]]*tbESTOQUE[[#This Row],[PREÇO]]</f>
        <v>0</v>
      </c>
    </row>
    <row r="36" spans="1:16" ht="16.5" x14ac:dyDescent="0.25">
      <c r="A36" s="31">
        <f t="shared" si="0"/>
        <v>31</v>
      </c>
      <c r="B3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MPSA31</v>
      </c>
      <c r="C36" s="31" t="s">
        <v>23</v>
      </c>
      <c r="D36" s="32" t="s">
        <v>49</v>
      </c>
      <c r="E36" s="32" t="s">
        <v>50</v>
      </c>
      <c r="F36" s="32" t="s">
        <v>60</v>
      </c>
      <c r="G36" s="33">
        <v>0</v>
      </c>
      <c r="H36" s="33" t="s">
        <v>12</v>
      </c>
      <c r="I36" s="34">
        <v>43132</v>
      </c>
      <c r="J36" s="34" t="s">
        <v>209</v>
      </c>
      <c r="K36" s="31">
        <v>1</v>
      </c>
      <c r="L36" s="33">
        <f>tbESTOQUE[[#This Row],[PREÇO]]*tbESTOQUE[[#This Row],[QUANTIDADE]]</f>
        <v>0</v>
      </c>
      <c r="M36" s="35" t="str">
        <f>IF(tbESTOQUE[[#This Row],[CATEGORIA]]="CINTAS",SUMIF(tbValidade[Descrição],tbESTOQUE[[#This Row],[DESCRIÇÃO]],tbValidade[Estoque]),"N/A")</f>
        <v>N/A</v>
      </c>
      <c r="N36" s="41" t="str">
        <f>IFERROR(tbESTOQUE[[#This Row],[ESTOQUE C/ DATA]]*tbESTOQUE[[#This Row],[PREÇO]],tbESTOQUE[[#This Row],[ESTOQUE C/ DATA]])</f>
        <v>N/A</v>
      </c>
      <c r="O36" s="36">
        <f>SUM(tbESTOQUE[[#This Row],[ESTOQUE C/ DATA]],tbESTOQUE[[#This Row],[QUANTIDADE]])</f>
        <v>1</v>
      </c>
      <c r="P36" s="38">
        <f>tbESTOQUE[[#This Row],[ESTOQUE GERAL]]*tbESTOQUE[[#This Row],[PREÇO]]</f>
        <v>0</v>
      </c>
    </row>
    <row r="37" spans="1:16" ht="16.5" x14ac:dyDescent="0.25">
      <c r="A37" s="31">
        <f t="shared" si="0"/>
        <v>32</v>
      </c>
      <c r="B3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MPSE32</v>
      </c>
      <c r="C37" s="31" t="s">
        <v>24</v>
      </c>
      <c r="D37" s="32" t="s">
        <v>49</v>
      </c>
      <c r="E37" s="32" t="s">
        <v>50</v>
      </c>
      <c r="F37" s="32" t="s">
        <v>60</v>
      </c>
      <c r="G37" s="33">
        <v>0</v>
      </c>
      <c r="H37" s="33" t="s">
        <v>12</v>
      </c>
      <c r="I37" s="34">
        <v>43244</v>
      </c>
      <c r="J37" s="34" t="s">
        <v>209</v>
      </c>
      <c r="K37" s="31">
        <v>1</v>
      </c>
      <c r="L37" s="33">
        <f>tbESTOQUE[[#This Row],[PREÇO]]*tbESTOQUE[[#This Row],[QUANTIDADE]]</f>
        <v>0</v>
      </c>
      <c r="M37" s="35" t="str">
        <f>IF(tbESTOQUE[[#This Row],[CATEGORIA]]="CINTAS",SUMIF(tbValidade[Descrição],tbESTOQUE[[#This Row],[DESCRIÇÃO]],tbValidade[Estoque]),"N/A")</f>
        <v>N/A</v>
      </c>
      <c r="N37" s="41" t="str">
        <f>IFERROR(tbESTOQUE[[#This Row],[ESTOQUE C/ DATA]]*tbESTOQUE[[#This Row],[PREÇO]],tbESTOQUE[[#This Row],[ESTOQUE C/ DATA]])</f>
        <v>N/A</v>
      </c>
      <c r="O37" s="36">
        <f>SUM(tbESTOQUE[[#This Row],[ESTOQUE C/ DATA]],tbESTOQUE[[#This Row],[QUANTIDADE]])</f>
        <v>1</v>
      </c>
      <c r="P37" s="38">
        <f>tbESTOQUE[[#This Row],[ESTOQUE GERAL]]*tbESTOQUE[[#This Row],[PREÇO]]</f>
        <v>0</v>
      </c>
    </row>
    <row r="38" spans="1:16" ht="16.5" x14ac:dyDescent="0.25">
      <c r="A38" s="31">
        <f t="shared" si="0"/>
        <v>33</v>
      </c>
      <c r="B3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MPSE33</v>
      </c>
      <c r="C38" s="31" t="s">
        <v>24</v>
      </c>
      <c r="D38" s="32" t="s">
        <v>49</v>
      </c>
      <c r="E38" s="32" t="s">
        <v>50</v>
      </c>
      <c r="F38" s="32" t="s">
        <v>60</v>
      </c>
      <c r="G38" s="33">
        <v>0</v>
      </c>
      <c r="H38" s="33" t="s">
        <v>12</v>
      </c>
      <c r="I38" s="34">
        <v>43244</v>
      </c>
      <c r="J38" s="34" t="s">
        <v>209</v>
      </c>
      <c r="K38" s="31">
        <v>1</v>
      </c>
      <c r="L38" s="33">
        <f>tbESTOQUE[[#This Row],[PREÇO]]*tbESTOQUE[[#This Row],[QUANTIDADE]]</f>
        <v>0</v>
      </c>
      <c r="M38" s="35" t="str">
        <f>IF(tbESTOQUE[[#This Row],[CATEGORIA]]="CINTAS",SUMIF(tbValidade[Descrição],tbESTOQUE[[#This Row],[DESCRIÇÃO]],tbValidade[Estoque]),"N/A")</f>
        <v>N/A</v>
      </c>
      <c r="N38" s="41" t="str">
        <f>IFERROR(tbESTOQUE[[#This Row],[ESTOQUE C/ DATA]]*tbESTOQUE[[#This Row],[PREÇO]],tbESTOQUE[[#This Row],[ESTOQUE C/ DATA]])</f>
        <v>N/A</v>
      </c>
      <c r="O38" s="36">
        <f>SUM(tbESTOQUE[[#This Row],[ESTOQUE C/ DATA]],tbESTOQUE[[#This Row],[QUANTIDADE]])</f>
        <v>1</v>
      </c>
      <c r="P38" s="38">
        <f>tbESTOQUE[[#This Row],[ESTOQUE GERAL]]*tbESTOQUE[[#This Row],[PREÇO]]</f>
        <v>0</v>
      </c>
    </row>
    <row r="39" spans="1:16" ht="16.5" x14ac:dyDescent="0.25">
      <c r="A39" s="31">
        <f t="shared" si="0"/>
        <v>34</v>
      </c>
      <c r="B3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MPAN34</v>
      </c>
      <c r="C39" s="31" t="s">
        <v>25</v>
      </c>
      <c r="D39" s="32" t="s">
        <v>49</v>
      </c>
      <c r="E39" s="32" t="s">
        <v>50</v>
      </c>
      <c r="F39" s="32" t="s">
        <v>60</v>
      </c>
      <c r="G39" s="33">
        <v>0</v>
      </c>
      <c r="H39" s="33" t="s">
        <v>12</v>
      </c>
      <c r="I39" s="34">
        <v>42894</v>
      </c>
      <c r="J39" s="34" t="s">
        <v>209</v>
      </c>
      <c r="K39" s="31">
        <v>1</v>
      </c>
      <c r="L39" s="33">
        <f>tbESTOQUE[[#This Row],[PREÇO]]*tbESTOQUE[[#This Row],[QUANTIDADE]]</f>
        <v>0</v>
      </c>
      <c r="M39" s="35" t="str">
        <f>IF(tbESTOQUE[[#This Row],[CATEGORIA]]="CINTAS",SUMIF(tbValidade[Descrição],tbESTOQUE[[#This Row],[DESCRIÇÃO]],tbValidade[Estoque]),"N/A")</f>
        <v>N/A</v>
      </c>
      <c r="N39" s="41" t="str">
        <f>IFERROR(tbESTOQUE[[#This Row],[ESTOQUE C/ DATA]]*tbESTOQUE[[#This Row],[PREÇO]],tbESTOQUE[[#This Row],[ESTOQUE C/ DATA]])</f>
        <v>N/A</v>
      </c>
      <c r="O39" s="36">
        <f>SUM(tbESTOQUE[[#This Row],[ESTOQUE C/ DATA]],tbESTOQUE[[#This Row],[QUANTIDADE]])</f>
        <v>1</v>
      </c>
      <c r="P39" s="38">
        <f>tbESTOQUE[[#This Row],[ESTOQUE GERAL]]*tbESTOQUE[[#This Row],[PREÇO]]</f>
        <v>0</v>
      </c>
    </row>
    <row r="40" spans="1:16" ht="16.5" x14ac:dyDescent="0.25">
      <c r="A40" s="31">
        <f t="shared" si="0"/>
        <v>35</v>
      </c>
      <c r="B4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MPBP35</v>
      </c>
      <c r="C40" s="31" t="s">
        <v>26</v>
      </c>
      <c r="D40" s="32" t="s">
        <v>49</v>
      </c>
      <c r="E40" s="32" t="s">
        <v>51</v>
      </c>
      <c r="F40" s="32" t="s">
        <v>61</v>
      </c>
      <c r="G40" s="33">
        <v>0</v>
      </c>
      <c r="H40" s="33" t="s">
        <v>12</v>
      </c>
      <c r="I40" s="34">
        <v>43009</v>
      </c>
      <c r="J40" s="34" t="s">
        <v>209</v>
      </c>
      <c r="K40" s="31">
        <v>1</v>
      </c>
      <c r="L40" s="33">
        <f>tbESTOQUE[[#This Row],[PREÇO]]*tbESTOQUE[[#This Row],[QUANTIDADE]]</f>
        <v>0</v>
      </c>
      <c r="M40" s="35" t="str">
        <f>IF(tbESTOQUE[[#This Row],[CATEGORIA]]="CINTAS",SUMIF(tbValidade[Descrição],tbESTOQUE[[#This Row],[DESCRIÇÃO]],tbValidade[Estoque]),"N/A")</f>
        <v>N/A</v>
      </c>
      <c r="N40" s="41" t="str">
        <f>IFERROR(tbESTOQUE[[#This Row],[ESTOQUE C/ DATA]]*tbESTOQUE[[#This Row],[PREÇO]],tbESTOQUE[[#This Row],[ESTOQUE C/ DATA]])</f>
        <v>N/A</v>
      </c>
      <c r="O40" s="36">
        <f>SUM(tbESTOQUE[[#This Row],[ESTOQUE C/ DATA]],tbESTOQUE[[#This Row],[QUANTIDADE]])</f>
        <v>1</v>
      </c>
      <c r="P40" s="38">
        <f>tbESTOQUE[[#This Row],[ESTOQUE GERAL]]*tbESTOQUE[[#This Row],[PREÇO]]</f>
        <v>0</v>
      </c>
    </row>
    <row r="41" spans="1:16" ht="16.5" x14ac:dyDescent="0.25">
      <c r="A41" s="31">
        <f t="shared" si="0"/>
        <v>36</v>
      </c>
      <c r="B4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MPGM36</v>
      </c>
      <c r="C41" s="31" t="s">
        <v>27</v>
      </c>
      <c r="D41" s="32" t="s">
        <v>49</v>
      </c>
      <c r="E41" s="32" t="s">
        <v>52</v>
      </c>
      <c r="F41" s="32" t="s">
        <v>62</v>
      </c>
      <c r="G41" s="33">
        <v>0</v>
      </c>
      <c r="H41" s="33" t="s">
        <v>12</v>
      </c>
      <c r="I41" s="34">
        <v>42976</v>
      </c>
      <c r="J41" s="34" t="s">
        <v>209</v>
      </c>
      <c r="K41" s="31">
        <v>1.0049999999999999</v>
      </c>
      <c r="L41" s="33">
        <f>tbESTOQUE[[#This Row],[PREÇO]]*tbESTOQUE[[#This Row],[QUANTIDADE]]</f>
        <v>0</v>
      </c>
      <c r="M41" s="35" t="str">
        <f>IF(tbESTOQUE[[#This Row],[CATEGORIA]]="CINTAS",SUMIF(tbValidade[Descrição],tbESTOQUE[[#This Row],[DESCRIÇÃO]],tbValidade[Estoque]),"N/A")</f>
        <v>N/A</v>
      </c>
      <c r="N41" s="41" t="str">
        <f>IFERROR(tbESTOQUE[[#This Row],[ESTOQUE C/ DATA]]*tbESTOQUE[[#This Row],[PREÇO]],tbESTOQUE[[#This Row],[ESTOQUE C/ DATA]])</f>
        <v>N/A</v>
      </c>
      <c r="O41" s="36">
        <f>SUM(tbESTOQUE[[#This Row],[ESTOQUE C/ DATA]],tbESTOQUE[[#This Row],[QUANTIDADE]])</f>
        <v>1.0049999999999999</v>
      </c>
      <c r="P41" s="38">
        <f>tbESTOQUE[[#This Row],[ESTOQUE GERAL]]*tbESTOQUE[[#This Row],[PREÇO]]</f>
        <v>0</v>
      </c>
    </row>
    <row r="42" spans="1:16" ht="16.5" x14ac:dyDescent="0.25">
      <c r="A42" s="31">
        <f t="shared" si="0"/>
        <v>37</v>
      </c>
      <c r="B4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MPGM37</v>
      </c>
      <c r="C42" s="31" t="s">
        <v>27</v>
      </c>
      <c r="D42" s="32" t="s">
        <v>49</v>
      </c>
      <c r="E42" s="32" t="s">
        <v>52</v>
      </c>
      <c r="F42" s="32" t="s">
        <v>62</v>
      </c>
      <c r="G42" s="33">
        <v>0</v>
      </c>
      <c r="H42" s="33" t="s">
        <v>12</v>
      </c>
      <c r="I42" s="34">
        <v>42976</v>
      </c>
      <c r="J42" s="34" t="s">
        <v>209</v>
      </c>
      <c r="K42" s="31">
        <v>1.0049999999999999</v>
      </c>
      <c r="L42" s="33">
        <f>tbESTOQUE[[#This Row],[PREÇO]]*tbESTOQUE[[#This Row],[QUANTIDADE]]</f>
        <v>0</v>
      </c>
      <c r="M42" s="35" t="str">
        <f>IF(tbESTOQUE[[#This Row],[CATEGORIA]]="CINTAS",SUMIF(tbValidade[Descrição],tbESTOQUE[[#This Row],[DESCRIÇÃO]],tbValidade[Estoque]),"N/A")</f>
        <v>N/A</v>
      </c>
      <c r="N42" s="41" t="str">
        <f>IFERROR(tbESTOQUE[[#This Row],[ESTOQUE C/ DATA]]*tbESTOQUE[[#This Row],[PREÇO]],tbESTOQUE[[#This Row],[ESTOQUE C/ DATA]])</f>
        <v>N/A</v>
      </c>
      <c r="O42" s="36">
        <f>SUM(tbESTOQUE[[#This Row],[ESTOQUE C/ DATA]],tbESTOQUE[[#This Row],[QUANTIDADE]])</f>
        <v>1.0049999999999999</v>
      </c>
      <c r="P42" s="38">
        <f>tbESTOQUE[[#This Row],[ESTOQUE GERAL]]*tbESTOQUE[[#This Row],[PREÇO]]</f>
        <v>0</v>
      </c>
    </row>
    <row r="43" spans="1:16" ht="16.5" x14ac:dyDescent="0.25">
      <c r="A43" s="31">
        <f t="shared" si="0"/>
        <v>38</v>
      </c>
      <c r="B4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MPCC38</v>
      </c>
      <c r="C43" s="31" t="s">
        <v>28</v>
      </c>
      <c r="D43" s="32" t="s">
        <v>49</v>
      </c>
      <c r="E43" s="32" t="s">
        <v>52</v>
      </c>
      <c r="F43" s="32" t="s">
        <v>63</v>
      </c>
      <c r="G43" s="33">
        <v>0</v>
      </c>
      <c r="H43" s="33" t="s">
        <v>12</v>
      </c>
      <c r="I43" s="34">
        <v>43071</v>
      </c>
      <c r="J43" s="34" t="s">
        <v>209</v>
      </c>
      <c r="K43" s="31">
        <v>0.5</v>
      </c>
      <c r="L43" s="33">
        <f>tbESTOQUE[[#This Row],[PREÇO]]*tbESTOQUE[[#This Row],[QUANTIDADE]]</f>
        <v>0</v>
      </c>
      <c r="M43" s="35" t="str">
        <f>IF(tbESTOQUE[[#This Row],[CATEGORIA]]="CINTAS",SUMIF(tbValidade[Descrição],tbESTOQUE[[#This Row],[DESCRIÇÃO]],tbValidade[Estoque]),"N/A")</f>
        <v>N/A</v>
      </c>
      <c r="N43" s="41" t="str">
        <f>IFERROR(tbESTOQUE[[#This Row],[ESTOQUE C/ DATA]]*tbESTOQUE[[#This Row],[PREÇO]],tbESTOQUE[[#This Row],[ESTOQUE C/ DATA]])</f>
        <v>N/A</v>
      </c>
      <c r="O43" s="36">
        <f>SUM(tbESTOQUE[[#This Row],[ESTOQUE C/ DATA]],tbESTOQUE[[#This Row],[QUANTIDADE]])</f>
        <v>0.5</v>
      </c>
      <c r="P43" s="38">
        <f>tbESTOQUE[[#This Row],[ESTOQUE GERAL]]*tbESTOQUE[[#This Row],[PREÇO]]</f>
        <v>0</v>
      </c>
    </row>
    <row r="44" spans="1:16" ht="16.5" x14ac:dyDescent="0.25">
      <c r="A44" s="31">
        <f t="shared" si="0"/>
        <v>39</v>
      </c>
      <c r="B4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MPCR39</v>
      </c>
      <c r="C44" s="31" t="s">
        <v>29</v>
      </c>
      <c r="D44" s="32" t="s">
        <v>49</v>
      </c>
      <c r="E44" s="32" t="s">
        <v>52</v>
      </c>
      <c r="F44" s="32" t="s">
        <v>64</v>
      </c>
      <c r="G44" s="33">
        <v>0</v>
      </c>
      <c r="H44" s="33" t="s">
        <v>12</v>
      </c>
      <c r="I44" s="34">
        <v>43014</v>
      </c>
      <c r="J44" s="34" t="s">
        <v>209</v>
      </c>
      <c r="K44" s="31">
        <v>1</v>
      </c>
      <c r="L44" s="33">
        <f>tbESTOQUE[[#This Row],[PREÇO]]*tbESTOQUE[[#This Row],[QUANTIDADE]]</f>
        <v>0</v>
      </c>
      <c r="M44" s="35" t="str">
        <f>IF(tbESTOQUE[[#This Row],[CATEGORIA]]="CINTAS",SUMIF(tbValidade[Descrição],tbESTOQUE[[#This Row],[DESCRIÇÃO]],tbValidade[Estoque]),"N/A")</f>
        <v>N/A</v>
      </c>
      <c r="N44" s="41" t="str">
        <f>IFERROR(tbESTOQUE[[#This Row],[ESTOQUE C/ DATA]]*tbESTOQUE[[#This Row],[PREÇO]],tbESTOQUE[[#This Row],[ESTOQUE C/ DATA]])</f>
        <v>N/A</v>
      </c>
      <c r="O44" s="36">
        <f>SUM(tbESTOQUE[[#This Row],[ESTOQUE C/ DATA]],tbESTOQUE[[#This Row],[QUANTIDADE]])</f>
        <v>1</v>
      </c>
      <c r="P44" s="38">
        <f>tbESTOQUE[[#This Row],[ESTOQUE GERAL]]*tbESTOQUE[[#This Row],[PREÇO]]</f>
        <v>0</v>
      </c>
    </row>
    <row r="45" spans="1:16" ht="16.5" x14ac:dyDescent="0.25">
      <c r="A45" s="31">
        <f t="shared" si="0"/>
        <v>40</v>
      </c>
      <c r="B4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MPEE40</v>
      </c>
      <c r="C45" s="31" t="s">
        <v>30</v>
      </c>
      <c r="D45" s="32" t="s">
        <v>49</v>
      </c>
      <c r="E45" s="32" t="s">
        <v>52</v>
      </c>
      <c r="F45" s="32" t="s">
        <v>65</v>
      </c>
      <c r="G45" s="33">
        <v>0</v>
      </c>
      <c r="H45" s="33" t="s">
        <v>12</v>
      </c>
      <c r="I45" s="34">
        <v>43009</v>
      </c>
      <c r="J45" s="34" t="s">
        <v>209</v>
      </c>
      <c r="K45" s="31">
        <v>1.94</v>
      </c>
      <c r="L45" s="33">
        <f>tbESTOQUE[[#This Row],[PREÇO]]*tbESTOQUE[[#This Row],[QUANTIDADE]]</f>
        <v>0</v>
      </c>
      <c r="M45" s="35" t="str">
        <f>IF(tbESTOQUE[[#This Row],[CATEGORIA]]="CINTAS",SUMIF(tbValidade[Descrição],tbESTOQUE[[#This Row],[DESCRIÇÃO]],tbValidade[Estoque]),"N/A")</f>
        <v>N/A</v>
      </c>
      <c r="N45" s="41" t="str">
        <f>IFERROR(tbESTOQUE[[#This Row],[ESTOQUE C/ DATA]]*tbESTOQUE[[#This Row],[PREÇO]],tbESTOQUE[[#This Row],[ESTOQUE C/ DATA]])</f>
        <v>N/A</v>
      </c>
      <c r="O45" s="36">
        <f>SUM(tbESTOQUE[[#This Row],[ESTOQUE C/ DATA]],tbESTOQUE[[#This Row],[QUANTIDADE]])</f>
        <v>1.94</v>
      </c>
      <c r="P45" s="38">
        <f>tbESTOQUE[[#This Row],[ESTOQUE GERAL]]*tbESTOQUE[[#This Row],[PREÇO]]</f>
        <v>0</v>
      </c>
    </row>
    <row r="46" spans="1:16" ht="16.5" x14ac:dyDescent="0.25">
      <c r="A46" s="31">
        <f t="shared" si="0"/>
        <v>41</v>
      </c>
      <c r="B4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MPBP41</v>
      </c>
      <c r="C46" s="31" t="s">
        <v>26</v>
      </c>
      <c r="D46" s="32" t="s">
        <v>49</v>
      </c>
      <c r="E46" s="32" t="s">
        <v>51</v>
      </c>
      <c r="F46" s="32" t="s">
        <v>61</v>
      </c>
      <c r="G46" s="33">
        <v>0</v>
      </c>
      <c r="H46" s="33" t="s">
        <v>12</v>
      </c>
      <c r="I46" s="34">
        <v>43009</v>
      </c>
      <c r="J46" s="34" t="s">
        <v>209</v>
      </c>
      <c r="K46" s="31">
        <v>1</v>
      </c>
      <c r="L46" s="33">
        <f>tbESTOQUE[[#This Row],[PREÇO]]*tbESTOQUE[[#This Row],[QUANTIDADE]]</f>
        <v>0</v>
      </c>
      <c r="M46" s="35" t="str">
        <f>IF(tbESTOQUE[[#This Row],[CATEGORIA]]="CINTAS",SUMIF(tbValidade[Descrição],tbESTOQUE[[#This Row],[DESCRIÇÃO]],tbValidade[Estoque]),"N/A")</f>
        <v>N/A</v>
      </c>
      <c r="N46" s="41" t="str">
        <f>IFERROR(tbESTOQUE[[#This Row],[ESTOQUE C/ DATA]]*tbESTOQUE[[#This Row],[PREÇO]],tbESTOQUE[[#This Row],[ESTOQUE C/ DATA]])</f>
        <v>N/A</v>
      </c>
      <c r="O46" s="36">
        <f>SUM(tbESTOQUE[[#This Row],[ESTOQUE C/ DATA]],tbESTOQUE[[#This Row],[QUANTIDADE]])</f>
        <v>1</v>
      </c>
      <c r="P46" s="38">
        <f>tbESTOQUE[[#This Row],[ESTOQUE GERAL]]*tbESTOQUE[[#This Row],[PREÇO]]</f>
        <v>0</v>
      </c>
    </row>
    <row r="47" spans="1:16" ht="16.5" x14ac:dyDescent="0.25">
      <c r="A47" s="31">
        <f t="shared" si="0"/>
        <v>42</v>
      </c>
      <c r="B4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MPCR42</v>
      </c>
      <c r="C47" s="31" t="s">
        <v>29</v>
      </c>
      <c r="D47" s="32" t="s">
        <v>49</v>
      </c>
      <c r="E47" s="32" t="s">
        <v>52</v>
      </c>
      <c r="F47" s="32" t="s">
        <v>64</v>
      </c>
      <c r="G47" s="33">
        <v>0</v>
      </c>
      <c r="H47" s="33" t="s">
        <v>12</v>
      </c>
      <c r="I47" s="34">
        <v>43014</v>
      </c>
      <c r="J47" s="34" t="s">
        <v>209</v>
      </c>
      <c r="K47" s="31">
        <v>1</v>
      </c>
      <c r="L47" s="33">
        <f>tbESTOQUE[[#This Row],[PREÇO]]*tbESTOQUE[[#This Row],[QUANTIDADE]]</f>
        <v>0</v>
      </c>
      <c r="M47" s="35" t="str">
        <f>IF(tbESTOQUE[[#This Row],[CATEGORIA]]="CINTAS",SUMIF(tbValidade[Descrição],tbESTOQUE[[#This Row],[DESCRIÇÃO]],tbValidade[Estoque]),"N/A")</f>
        <v>N/A</v>
      </c>
      <c r="N47" s="41" t="str">
        <f>IFERROR(tbESTOQUE[[#This Row],[ESTOQUE C/ DATA]]*tbESTOQUE[[#This Row],[PREÇO]],tbESTOQUE[[#This Row],[ESTOQUE C/ DATA]])</f>
        <v>N/A</v>
      </c>
      <c r="O47" s="36">
        <f>SUM(tbESTOQUE[[#This Row],[ESTOQUE C/ DATA]],tbESTOQUE[[#This Row],[QUANTIDADE]])</f>
        <v>1</v>
      </c>
      <c r="P47" s="38">
        <f>tbESTOQUE[[#This Row],[ESTOQUE GERAL]]*tbESTOQUE[[#This Row],[PREÇO]]</f>
        <v>0</v>
      </c>
    </row>
    <row r="48" spans="1:16" ht="16.5" x14ac:dyDescent="0.25">
      <c r="A48" s="31">
        <f t="shared" si="0"/>
        <v>43</v>
      </c>
      <c r="B4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MPGM43</v>
      </c>
      <c r="C48" s="31" t="s">
        <v>27</v>
      </c>
      <c r="D48" s="32" t="s">
        <v>49</v>
      </c>
      <c r="E48" s="32" t="s">
        <v>52</v>
      </c>
      <c r="F48" s="32" t="s">
        <v>62</v>
      </c>
      <c r="G48" s="33">
        <v>0</v>
      </c>
      <c r="H48" s="33" t="s">
        <v>12</v>
      </c>
      <c r="I48" s="34">
        <v>42976</v>
      </c>
      <c r="J48" s="34" t="s">
        <v>209</v>
      </c>
      <c r="K48" s="31">
        <v>1.0049999999999999</v>
      </c>
      <c r="L48" s="33">
        <f>tbESTOQUE[[#This Row],[PREÇO]]*tbESTOQUE[[#This Row],[QUANTIDADE]]</f>
        <v>0</v>
      </c>
      <c r="M48" s="35" t="str">
        <f>IF(tbESTOQUE[[#This Row],[CATEGORIA]]="CINTAS",SUMIF(tbValidade[Descrição],tbESTOQUE[[#This Row],[DESCRIÇÃO]],tbValidade[Estoque]),"N/A")</f>
        <v>N/A</v>
      </c>
      <c r="N48" s="41" t="str">
        <f>IFERROR(tbESTOQUE[[#This Row],[ESTOQUE C/ DATA]]*tbESTOQUE[[#This Row],[PREÇO]],tbESTOQUE[[#This Row],[ESTOQUE C/ DATA]])</f>
        <v>N/A</v>
      </c>
      <c r="O48" s="36">
        <f>SUM(tbESTOQUE[[#This Row],[ESTOQUE C/ DATA]],tbESTOQUE[[#This Row],[QUANTIDADE]])</f>
        <v>1.0049999999999999</v>
      </c>
      <c r="P48" s="38">
        <f>tbESTOQUE[[#This Row],[ESTOQUE GERAL]]*tbESTOQUE[[#This Row],[PREÇO]]</f>
        <v>0</v>
      </c>
    </row>
    <row r="49" spans="1:16" ht="16.5" x14ac:dyDescent="0.25">
      <c r="A49" s="31">
        <f t="shared" si="0"/>
        <v>44</v>
      </c>
      <c r="B4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MPE344</v>
      </c>
      <c r="C49" s="31" t="s">
        <v>31</v>
      </c>
      <c r="D49" s="32" t="s">
        <v>49</v>
      </c>
      <c r="E49" s="32" t="s">
        <v>52</v>
      </c>
      <c r="F49" s="32" t="s">
        <v>65</v>
      </c>
      <c r="G49" s="33">
        <v>0</v>
      </c>
      <c r="H49" s="33" t="s">
        <v>12</v>
      </c>
      <c r="I49" s="34">
        <v>42767</v>
      </c>
      <c r="J49" s="34" t="s">
        <v>209</v>
      </c>
      <c r="K49" s="31">
        <v>2.11</v>
      </c>
      <c r="L49" s="33">
        <f>tbESTOQUE[[#This Row],[PREÇO]]*tbESTOQUE[[#This Row],[QUANTIDADE]]</f>
        <v>0</v>
      </c>
      <c r="M49" s="35" t="str">
        <f>IF(tbESTOQUE[[#This Row],[CATEGORIA]]="CINTAS",SUMIF(tbValidade[Descrição],tbESTOQUE[[#This Row],[DESCRIÇÃO]],tbValidade[Estoque]),"N/A")</f>
        <v>N/A</v>
      </c>
      <c r="N49" s="41" t="str">
        <f>IFERROR(tbESTOQUE[[#This Row],[ESTOQUE C/ DATA]]*tbESTOQUE[[#This Row],[PREÇO]],tbESTOQUE[[#This Row],[ESTOQUE C/ DATA]])</f>
        <v>N/A</v>
      </c>
      <c r="O49" s="36">
        <f>SUM(tbESTOQUE[[#This Row],[ESTOQUE C/ DATA]],tbESTOQUE[[#This Row],[QUANTIDADE]])</f>
        <v>2.11</v>
      </c>
      <c r="P49" s="38">
        <f>tbESTOQUE[[#This Row],[ESTOQUE GERAL]]*tbESTOQUE[[#This Row],[PREÇO]]</f>
        <v>0</v>
      </c>
    </row>
    <row r="50" spans="1:16" ht="16.5" x14ac:dyDescent="0.25">
      <c r="A50" s="31">
        <f t="shared" si="0"/>
        <v>45</v>
      </c>
      <c r="B5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MPCP45</v>
      </c>
      <c r="C50" s="31" t="s">
        <v>32</v>
      </c>
      <c r="D50" s="32" t="s">
        <v>49</v>
      </c>
      <c r="E50" s="32" t="s">
        <v>52</v>
      </c>
      <c r="F50" s="32" t="s">
        <v>66</v>
      </c>
      <c r="G50" s="33">
        <v>0</v>
      </c>
      <c r="H50" s="33" t="s">
        <v>12</v>
      </c>
      <c r="I50" s="34">
        <v>43196</v>
      </c>
      <c r="J50" s="34" t="s">
        <v>209</v>
      </c>
      <c r="K50" s="31">
        <v>0.41</v>
      </c>
      <c r="L50" s="33">
        <f>tbESTOQUE[[#This Row],[PREÇO]]*tbESTOQUE[[#This Row],[QUANTIDADE]]</f>
        <v>0</v>
      </c>
      <c r="M50" s="35" t="str">
        <f>IF(tbESTOQUE[[#This Row],[CATEGORIA]]="CINTAS",SUMIF(tbValidade[Descrição],tbESTOQUE[[#This Row],[DESCRIÇÃO]],tbValidade[Estoque]),"N/A")</f>
        <v>N/A</v>
      </c>
      <c r="N50" s="41" t="str">
        <f>IFERROR(tbESTOQUE[[#This Row],[ESTOQUE C/ DATA]]*tbESTOQUE[[#This Row],[PREÇO]],tbESTOQUE[[#This Row],[ESTOQUE C/ DATA]])</f>
        <v>N/A</v>
      </c>
      <c r="O50" s="36">
        <f>SUM(tbESTOQUE[[#This Row],[ESTOQUE C/ DATA]],tbESTOQUE[[#This Row],[QUANTIDADE]])</f>
        <v>0.41</v>
      </c>
      <c r="P50" s="38">
        <f>tbESTOQUE[[#This Row],[ESTOQUE GERAL]]*tbESTOQUE[[#This Row],[PREÇO]]</f>
        <v>0</v>
      </c>
    </row>
    <row r="51" spans="1:16" ht="16.5" x14ac:dyDescent="0.25">
      <c r="A51" s="31">
        <f t="shared" si="0"/>
        <v>46</v>
      </c>
      <c r="B5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MPG46</v>
      </c>
      <c r="C51" s="31" t="s">
        <v>224</v>
      </c>
      <c r="D51" s="32" t="s">
        <v>49</v>
      </c>
      <c r="E51" s="32" t="s">
        <v>53</v>
      </c>
      <c r="F51" s="32" t="s">
        <v>67</v>
      </c>
      <c r="G51" s="33">
        <v>0</v>
      </c>
      <c r="H51" s="33" t="s">
        <v>12</v>
      </c>
      <c r="I51" s="34">
        <v>43040</v>
      </c>
      <c r="J51" s="34" t="s">
        <v>209</v>
      </c>
      <c r="K51" s="31">
        <v>14</v>
      </c>
      <c r="L51" s="33">
        <f>tbESTOQUE[[#This Row],[PREÇO]]*tbESTOQUE[[#This Row],[QUANTIDADE]]</f>
        <v>0</v>
      </c>
      <c r="M51" s="35" t="str">
        <f>IF(tbESTOQUE[[#This Row],[CATEGORIA]]="CINTAS",SUMIF(tbValidade[Descrição],tbESTOQUE[[#This Row],[DESCRIÇÃO]],tbValidade[Estoque]),"N/A")</f>
        <v>N/A</v>
      </c>
      <c r="N51" s="41" t="str">
        <f>IFERROR(tbESTOQUE[[#This Row],[ESTOQUE C/ DATA]]*tbESTOQUE[[#This Row],[PREÇO]],tbESTOQUE[[#This Row],[ESTOQUE C/ DATA]])</f>
        <v>N/A</v>
      </c>
      <c r="O51" s="36">
        <f>SUM(tbESTOQUE[[#This Row],[ESTOQUE C/ DATA]],tbESTOQUE[[#This Row],[QUANTIDADE]])</f>
        <v>14</v>
      </c>
      <c r="P51" s="38">
        <f>tbESTOQUE[[#This Row],[ESTOQUE GERAL]]*tbESTOQUE[[#This Row],[PREÇO]]</f>
        <v>0</v>
      </c>
    </row>
    <row r="52" spans="1:16" ht="16.5" x14ac:dyDescent="0.25">
      <c r="A52" s="31">
        <f t="shared" si="0"/>
        <v>47</v>
      </c>
      <c r="B5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MPS47</v>
      </c>
      <c r="C52" s="31" t="s">
        <v>34</v>
      </c>
      <c r="D52" s="32" t="s">
        <v>49</v>
      </c>
      <c r="E52" s="32" t="s">
        <v>53</v>
      </c>
      <c r="F52" s="32" t="s">
        <v>68</v>
      </c>
      <c r="G52" s="33">
        <v>0</v>
      </c>
      <c r="H52" s="33" t="s">
        <v>12</v>
      </c>
      <c r="I52" s="34">
        <v>43497</v>
      </c>
      <c r="J52" s="34" t="s">
        <v>209</v>
      </c>
      <c r="K52" s="31">
        <v>1.47</v>
      </c>
      <c r="L52" s="33">
        <f>tbESTOQUE[[#This Row],[PREÇO]]*tbESTOQUE[[#This Row],[QUANTIDADE]]</f>
        <v>0</v>
      </c>
      <c r="M52" s="35" t="str">
        <f>IF(tbESTOQUE[[#This Row],[CATEGORIA]]="CINTAS",SUMIF(tbValidade[Descrição],tbESTOQUE[[#This Row],[DESCRIÇÃO]],tbValidade[Estoque]),"N/A")</f>
        <v>N/A</v>
      </c>
      <c r="N52" s="41" t="str">
        <f>IFERROR(tbESTOQUE[[#This Row],[ESTOQUE C/ DATA]]*tbESTOQUE[[#This Row],[PREÇO]],tbESTOQUE[[#This Row],[ESTOQUE C/ DATA]])</f>
        <v>N/A</v>
      </c>
      <c r="O52" s="36">
        <f>SUM(tbESTOQUE[[#This Row],[ESTOQUE C/ DATA]],tbESTOQUE[[#This Row],[QUANTIDADE]])</f>
        <v>1.47</v>
      </c>
      <c r="P52" s="38">
        <f>tbESTOQUE[[#This Row],[ESTOQUE GERAL]]*tbESTOQUE[[#This Row],[PREÇO]]</f>
        <v>0</v>
      </c>
    </row>
    <row r="53" spans="1:16" ht="16.5" x14ac:dyDescent="0.25">
      <c r="A53" s="31">
        <f t="shared" si="0"/>
        <v>48</v>
      </c>
      <c r="B5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MPS48</v>
      </c>
      <c r="C53" s="31" t="s">
        <v>34</v>
      </c>
      <c r="D53" s="32" t="s">
        <v>49</v>
      </c>
      <c r="E53" s="32" t="s">
        <v>53</v>
      </c>
      <c r="F53" s="32" t="s">
        <v>68</v>
      </c>
      <c r="G53" s="33">
        <v>0</v>
      </c>
      <c r="H53" s="33" t="s">
        <v>12</v>
      </c>
      <c r="I53" s="34">
        <v>43497</v>
      </c>
      <c r="J53" s="34" t="s">
        <v>209</v>
      </c>
      <c r="K53" s="31">
        <v>1</v>
      </c>
      <c r="L53" s="33">
        <f>tbESTOQUE[[#This Row],[PREÇO]]*tbESTOQUE[[#This Row],[QUANTIDADE]]</f>
        <v>0</v>
      </c>
      <c r="M53" s="35" t="str">
        <f>IF(tbESTOQUE[[#This Row],[CATEGORIA]]="CINTAS",SUMIF(tbValidade[Descrição],tbESTOQUE[[#This Row],[DESCRIÇÃO]],tbValidade[Estoque]),"N/A")</f>
        <v>N/A</v>
      </c>
      <c r="N53" s="41" t="str">
        <f>IFERROR(tbESTOQUE[[#This Row],[ESTOQUE C/ DATA]]*tbESTOQUE[[#This Row],[PREÇO]],tbESTOQUE[[#This Row],[ESTOQUE C/ DATA]])</f>
        <v>N/A</v>
      </c>
      <c r="O53" s="36">
        <f>SUM(tbESTOQUE[[#This Row],[ESTOQUE C/ DATA]],tbESTOQUE[[#This Row],[QUANTIDADE]])</f>
        <v>1</v>
      </c>
      <c r="P53" s="38">
        <f>tbESTOQUE[[#This Row],[ESTOQUE GERAL]]*tbESTOQUE[[#This Row],[PREÇO]]</f>
        <v>0</v>
      </c>
    </row>
    <row r="54" spans="1:16" ht="16.5" x14ac:dyDescent="0.25">
      <c r="A54" s="31">
        <f t="shared" si="0"/>
        <v>49</v>
      </c>
      <c r="B5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MPÁ49</v>
      </c>
      <c r="C54" s="31" t="s">
        <v>35</v>
      </c>
      <c r="D54" s="32" t="s">
        <v>49</v>
      </c>
      <c r="E54" s="32" t="s">
        <v>53</v>
      </c>
      <c r="F54" s="32" t="s">
        <v>59</v>
      </c>
      <c r="G54" s="33">
        <v>0</v>
      </c>
      <c r="H54" s="33" t="s">
        <v>12</v>
      </c>
      <c r="I54" s="34">
        <v>43101</v>
      </c>
      <c r="J54" s="34" t="s">
        <v>209</v>
      </c>
      <c r="K54" s="31">
        <v>0.75</v>
      </c>
      <c r="L54" s="33">
        <f>tbESTOQUE[[#This Row],[PREÇO]]*tbESTOQUE[[#This Row],[QUANTIDADE]]</f>
        <v>0</v>
      </c>
      <c r="M54" s="35" t="str">
        <f>IF(tbESTOQUE[[#This Row],[CATEGORIA]]="CINTAS",SUMIF(tbValidade[Descrição],tbESTOQUE[[#This Row],[DESCRIÇÃO]],tbValidade[Estoque]),"N/A")</f>
        <v>N/A</v>
      </c>
      <c r="N54" s="41" t="str">
        <f>IFERROR(tbESTOQUE[[#This Row],[ESTOQUE C/ DATA]]*tbESTOQUE[[#This Row],[PREÇO]],tbESTOQUE[[#This Row],[ESTOQUE C/ DATA]])</f>
        <v>N/A</v>
      </c>
      <c r="O54" s="36">
        <f>SUM(tbESTOQUE[[#This Row],[ESTOQUE C/ DATA]],tbESTOQUE[[#This Row],[QUANTIDADE]])</f>
        <v>0.75</v>
      </c>
      <c r="P54" s="38">
        <f>tbESTOQUE[[#This Row],[ESTOQUE GERAL]]*tbESTOQUE[[#This Row],[PREÇO]]</f>
        <v>0</v>
      </c>
    </row>
    <row r="55" spans="1:16" ht="16.5" x14ac:dyDescent="0.25">
      <c r="A55" s="31">
        <f t="shared" si="0"/>
        <v>50</v>
      </c>
      <c r="B5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MPPD50</v>
      </c>
      <c r="C55" s="31" t="s">
        <v>36</v>
      </c>
      <c r="D55" s="32" t="s">
        <v>49</v>
      </c>
      <c r="E55" s="32" t="s">
        <v>53</v>
      </c>
      <c r="F55" s="32" t="s">
        <v>69</v>
      </c>
      <c r="G55" s="33">
        <v>0</v>
      </c>
      <c r="H55" s="33" t="s">
        <v>12</v>
      </c>
      <c r="I55" s="34">
        <v>43032</v>
      </c>
      <c r="J55" s="34" t="s">
        <v>209</v>
      </c>
      <c r="K55" s="31">
        <v>2.13</v>
      </c>
      <c r="L55" s="33">
        <f>tbESTOQUE[[#This Row],[PREÇO]]*tbESTOQUE[[#This Row],[QUANTIDADE]]</f>
        <v>0</v>
      </c>
      <c r="M55" s="35" t="str">
        <f>IF(tbESTOQUE[[#This Row],[CATEGORIA]]="CINTAS",SUMIF(tbValidade[Descrição],tbESTOQUE[[#This Row],[DESCRIÇÃO]],tbValidade[Estoque]),"N/A")</f>
        <v>N/A</v>
      </c>
      <c r="N55" s="41" t="str">
        <f>IFERROR(tbESTOQUE[[#This Row],[ESTOQUE C/ DATA]]*tbESTOQUE[[#This Row],[PREÇO]],tbESTOQUE[[#This Row],[ESTOQUE C/ DATA]])</f>
        <v>N/A</v>
      </c>
      <c r="O55" s="36">
        <f>SUM(tbESTOQUE[[#This Row],[ESTOQUE C/ DATA]],tbESTOQUE[[#This Row],[QUANTIDADE]])</f>
        <v>2.13</v>
      </c>
      <c r="P55" s="38">
        <f>tbESTOQUE[[#This Row],[ESTOQUE GERAL]]*tbESTOQUE[[#This Row],[PREÇO]]</f>
        <v>0</v>
      </c>
    </row>
    <row r="56" spans="1:16" ht="16.5" x14ac:dyDescent="0.25">
      <c r="A56" s="31">
        <f t="shared" si="0"/>
        <v>51</v>
      </c>
      <c r="B5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MPPA51</v>
      </c>
      <c r="C56" s="31" t="s">
        <v>37</v>
      </c>
      <c r="D56" s="32" t="s">
        <v>49</v>
      </c>
      <c r="E56" s="32" t="s">
        <v>53</v>
      </c>
      <c r="F56" s="32" t="s">
        <v>70</v>
      </c>
      <c r="G56" s="33">
        <v>0</v>
      </c>
      <c r="H56" s="33" t="s">
        <v>12</v>
      </c>
      <c r="I56" s="34">
        <v>43435</v>
      </c>
      <c r="J56" s="34" t="s">
        <v>209</v>
      </c>
      <c r="K56" s="31">
        <v>17.12</v>
      </c>
      <c r="L56" s="33">
        <f>tbESTOQUE[[#This Row],[PREÇO]]*tbESTOQUE[[#This Row],[QUANTIDADE]]</f>
        <v>0</v>
      </c>
      <c r="M56" s="35" t="str">
        <f>IF(tbESTOQUE[[#This Row],[CATEGORIA]]="CINTAS",SUMIF(tbValidade[Descrição],tbESTOQUE[[#This Row],[DESCRIÇÃO]],tbValidade[Estoque]),"N/A")</f>
        <v>N/A</v>
      </c>
      <c r="N56" s="41" t="str">
        <f>IFERROR(tbESTOQUE[[#This Row],[ESTOQUE C/ DATA]]*tbESTOQUE[[#This Row],[PREÇO]],tbESTOQUE[[#This Row],[ESTOQUE C/ DATA]])</f>
        <v>N/A</v>
      </c>
      <c r="O56" s="36">
        <f>SUM(tbESTOQUE[[#This Row],[ESTOQUE C/ DATA]],tbESTOQUE[[#This Row],[QUANTIDADE]])</f>
        <v>17.12</v>
      </c>
      <c r="P56" s="38">
        <f>tbESTOQUE[[#This Row],[ESTOQUE GERAL]]*tbESTOQUE[[#This Row],[PREÇO]]</f>
        <v>0</v>
      </c>
    </row>
    <row r="57" spans="1:16" ht="16.5" x14ac:dyDescent="0.25">
      <c r="A57" s="31">
        <f t="shared" si="0"/>
        <v>52</v>
      </c>
      <c r="B5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MPFD52</v>
      </c>
      <c r="C57" s="31" t="s">
        <v>38</v>
      </c>
      <c r="D57" s="32" t="s">
        <v>49</v>
      </c>
      <c r="E57" s="32" t="s">
        <v>53</v>
      </c>
      <c r="F57" s="32" t="s">
        <v>69</v>
      </c>
      <c r="G57" s="33">
        <v>0</v>
      </c>
      <c r="H57" s="33" t="s">
        <v>12</v>
      </c>
      <c r="I57" s="34">
        <v>43258</v>
      </c>
      <c r="J57" s="34" t="s">
        <v>209</v>
      </c>
      <c r="K57" s="31">
        <v>3.3800000000000008</v>
      </c>
      <c r="L57" s="33">
        <f>tbESTOQUE[[#This Row],[PREÇO]]*tbESTOQUE[[#This Row],[QUANTIDADE]]</f>
        <v>0</v>
      </c>
      <c r="M57" s="35" t="str">
        <f>IF(tbESTOQUE[[#This Row],[CATEGORIA]]="CINTAS",SUMIF(tbValidade[Descrição],tbESTOQUE[[#This Row],[DESCRIÇÃO]],tbValidade[Estoque]),"N/A")</f>
        <v>N/A</v>
      </c>
      <c r="N57" s="41" t="str">
        <f>IFERROR(tbESTOQUE[[#This Row],[ESTOQUE C/ DATA]]*tbESTOQUE[[#This Row],[PREÇO]],tbESTOQUE[[#This Row],[ESTOQUE C/ DATA]])</f>
        <v>N/A</v>
      </c>
      <c r="O57" s="36">
        <f>SUM(tbESTOQUE[[#This Row],[ESTOQUE C/ DATA]],tbESTOQUE[[#This Row],[QUANTIDADE]])</f>
        <v>3.3800000000000008</v>
      </c>
      <c r="P57" s="38">
        <f>tbESTOQUE[[#This Row],[ESTOQUE GERAL]]*tbESTOQUE[[#This Row],[PREÇO]]</f>
        <v>0</v>
      </c>
    </row>
    <row r="58" spans="1:16" ht="16.5" x14ac:dyDescent="0.25">
      <c r="A58" s="31">
        <f t="shared" si="0"/>
        <v>53</v>
      </c>
      <c r="B5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MPLI53</v>
      </c>
      <c r="C58" s="31" t="s">
        <v>39</v>
      </c>
      <c r="D58" s="32" t="s">
        <v>49</v>
      </c>
      <c r="E58" s="32" t="s">
        <v>53</v>
      </c>
      <c r="F58" s="32" t="s">
        <v>71</v>
      </c>
      <c r="G58" s="33">
        <v>0</v>
      </c>
      <c r="H58" s="33" t="s">
        <v>12</v>
      </c>
      <c r="I58" s="34">
        <v>43117</v>
      </c>
      <c r="J58" s="34" t="s">
        <v>209</v>
      </c>
      <c r="K58" s="31">
        <v>1.44</v>
      </c>
      <c r="L58" s="33">
        <f>tbESTOQUE[[#This Row],[PREÇO]]*tbESTOQUE[[#This Row],[QUANTIDADE]]</f>
        <v>0</v>
      </c>
      <c r="M58" s="35" t="str">
        <f>IF(tbESTOQUE[[#This Row],[CATEGORIA]]="CINTAS",SUMIF(tbValidade[Descrição],tbESTOQUE[[#This Row],[DESCRIÇÃO]],tbValidade[Estoque]),"N/A")</f>
        <v>N/A</v>
      </c>
      <c r="N58" s="41" t="str">
        <f>IFERROR(tbESTOQUE[[#This Row],[ESTOQUE C/ DATA]]*tbESTOQUE[[#This Row],[PREÇO]],tbESTOQUE[[#This Row],[ESTOQUE C/ DATA]])</f>
        <v>N/A</v>
      </c>
      <c r="O58" s="36">
        <f>SUM(tbESTOQUE[[#This Row],[ESTOQUE C/ DATA]],tbESTOQUE[[#This Row],[QUANTIDADE]])</f>
        <v>1.44</v>
      </c>
      <c r="P58" s="38">
        <f>tbESTOQUE[[#This Row],[ESTOQUE GERAL]]*tbESTOQUE[[#This Row],[PREÇO]]</f>
        <v>0</v>
      </c>
    </row>
    <row r="59" spans="1:16" ht="16.5" x14ac:dyDescent="0.25">
      <c r="A59" s="31">
        <f t="shared" si="0"/>
        <v>54</v>
      </c>
      <c r="B5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MPFD54</v>
      </c>
      <c r="C59" s="31" t="s">
        <v>38</v>
      </c>
      <c r="D59" s="32" t="s">
        <v>49</v>
      </c>
      <c r="E59" s="32" t="s">
        <v>53</v>
      </c>
      <c r="F59" s="32" t="s">
        <v>69</v>
      </c>
      <c r="G59" s="33">
        <v>0</v>
      </c>
      <c r="H59" s="33" t="s">
        <v>12</v>
      </c>
      <c r="I59" s="34">
        <v>43258</v>
      </c>
      <c r="J59" s="34" t="s">
        <v>209</v>
      </c>
      <c r="K59" s="31">
        <v>9.3800000000000008</v>
      </c>
      <c r="L59" s="33">
        <f>tbESTOQUE[[#This Row],[PREÇO]]*tbESTOQUE[[#This Row],[QUANTIDADE]]</f>
        <v>0</v>
      </c>
      <c r="M59" s="35" t="str">
        <f>IF(tbESTOQUE[[#This Row],[CATEGORIA]]="CINTAS",SUMIF(tbValidade[Descrição],tbESTOQUE[[#This Row],[DESCRIÇÃO]],tbValidade[Estoque]),"N/A")</f>
        <v>N/A</v>
      </c>
      <c r="N59" s="41" t="str">
        <f>IFERROR(tbESTOQUE[[#This Row],[ESTOQUE C/ DATA]]*tbESTOQUE[[#This Row],[PREÇO]],tbESTOQUE[[#This Row],[ESTOQUE C/ DATA]])</f>
        <v>N/A</v>
      </c>
      <c r="O59" s="36">
        <f>SUM(tbESTOQUE[[#This Row],[ESTOQUE C/ DATA]],tbESTOQUE[[#This Row],[QUANTIDADE]])</f>
        <v>9.3800000000000008</v>
      </c>
      <c r="P59" s="38">
        <f>tbESTOQUE[[#This Row],[ESTOQUE GERAL]]*tbESTOQUE[[#This Row],[PREÇO]]</f>
        <v>0</v>
      </c>
    </row>
    <row r="60" spans="1:16" ht="16.5" x14ac:dyDescent="0.25">
      <c r="A60" s="31">
        <f t="shared" si="0"/>
        <v>55</v>
      </c>
      <c r="B6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MPFD55</v>
      </c>
      <c r="C60" s="31" t="s">
        <v>38</v>
      </c>
      <c r="D60" s="32" t="s">
        <v>49</v>
      </c>
      <c r="E60" s="32" t="s">
        <v>53</v>
      </c>
      <c r="F60" s="32" t="s">
        <v>69</v>
      </c>
      <c r="G60" s="33">
        <v>0</v>
      </c>
      <c r="H60" s="33" t="s">
        <v>12</v>
      </c>
      <c r="I60" s="34">
        <v>43258</v>
      </c>
      <c r="J60" s="34" t="s">
        <v>209</v>
      </c>
      <c r="K60" s="31">
        <v>9.3800000000000008</v>
      </c>
      <c r="L60" s="33">
        <f>tbESTOQUE[[#This Row],[PREÇO]]*tbESTOQUE[[#This Row],[QUANTIDADE]]</f>
        <v>0</v>
      </c>
      <c r="M60" s="35" t="str">
        <f>IF(tbESTOQUE[[#This Row],[CATEGORIA]]="CINTAS",SUMIF(tbValidade[Descrição],tbESTOQUE[[#This Row],[DESCRIÇÃO]],tbValidade[Estoque]),"N/A")</f>
        <v>N/A</v>
      </c>
      <c r="N60" s="41" t="str">
        <f>IFERROR(tbESTOQUE[[#This Row],[ESTOQUE C/ DATA]]*tbESTOQUE[[#This Row],[PREÇO]],tbESTOQUE[[#This Row],[ESTOQUE C/ DATA]])</f>
        <v>N/A</v>
      </c>
      <c r="O60" s="36">
        <f>SUM(tbESTOQUE[[#This Row],[ESTOQUE C/ DATA]],tbESTOQUE[[#This Row],[QUANTIDADE]])</f>
        <v>9.3800000000000008</v>
      </c>
      <c r="P60" s="38">
        <f>tbESTOQUE[[#This Row],[ESTOQUE GERAL]]*tbESTOQUE[[#This Row],[PREÇO]]</f>
        <v>0</v>
      </c>
    </row>
    <row r="61" spans="1:16" ht="16.5" x14ac:dyDescent="0.25">
      <c r="A61" s="31">
        <f t="shared" si="0"/>
        <v>56</v>
      </c>
      <c r="B6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MPEC56</v>
      </c>
      <c r="C61" s="31" t="s">
        <v>41</v>
      </c>
      <c r="D61" s="32" t="s">
        <v>49</v>
      </c>
      <c r="E61" s="32" t="s">
        <v>53</v>
      </c>
      <c r="F61" s="32" t="s">
        <v>73</v>
      </c>
      <c r="G61" s="33">
        <v>0</v>
      </c>
      <c r="H61" s="33" t="s">
        <v>12</v>
      </c>
      <c r="I61" s="34">
        <v>43277</v>
      </c>
      <c r="J61" s="34" t="s">
        <v>209</v>
      </c>
      <c r="K61" s="31">
        <v>20.75</v>
      </c>
      <c r="L61" s="33">
        <f>tbESTOQUE[[#This Row],[PREÇO]]*tbESTOQUE[[#This Row],[QUANTIDADE]]</f>
        <v>0</v>
      </c>
      <c r="M61" s="35" t="str">
        <f>IF(tbESTOQUE[[#This Row],[CATEGORIA]]="CINTAS",SUMIF(tbValidade[Descrição],tbESTOQUE[[#This Row],[DESCRIÇÃO]],tbValidade[Estoque]),"N/A")</f>
        <v>N/A</v>
      </c>
      <c r="N61" s="41" t="str">
        <f>IFERROR(tbESTOQUE[[#This Row],[ESTOQUE C/ DATA]]*tbESTOQUE[[#This Row],[PREÇO]],tbESTOQUE[[#This Row],[ESTOQUE C/ DATA]])</f>
        <v>N/A</v>
      </c>
      <c r="O61" s="36">
        <f>SUM(tbESTOQUE[[#This Row],[ESTOQUE C/ DATA]],tbESTOQUE[[#This Row],[QUANTIDADE]])</f>
        <v>20.75</v>
      </c>
      <c r="P61" s="38">
        <f>tbESTOQUE[[#This Row],[ESTOQUE GERAL]]*tbESTOQUE[[#This Row],[PREÇO]]</f>
        <v>0</v>
      </c>
    </row>
    <row r="62" spans="1:16" ht="16.5" x14ac:dyDescent="0.25">
      <c r="A62" s="31">
        <f t="shared" si="0"/>
        <v>57</v>
      </c>
      <c r="B62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MPEC57</v>
      </c>
      <c r="C62" s="31" t="s">
        <v>42</v>
      </c>
      <c r="D62" s="32" t="s">
        <v>49</v>
      </c>
      <c r="E62" s="32" t="s">
        <v>53</v>
      </c>
      <c r="F62" s="32" t="s">
        <v>73</v>
      </c>
      <c r="G62" s="33">
        <v>0</v>
      </c>
      <c r="H62" s="33" t="s">
        <v>12</v>
      </c>
      <c r="I62" s="34">
        <v>43473</v>
      </c>
      <c r="J62" s="34" t="s">
        <v>209</v>
      </c>
      <c r="K62" s="31">
        <v>14</v>
      </c>
      <c r="L62" s="33">
        <f>tbESTOQUE[[#This Row],[PREÇO]]*tbESTOQUE[[#This Row],[QUANTIDADE]]</f>
        <v>0</v>
      </c>
      <c r="M62" s="35" t="str">
        <f>IF(tbESTOQUE[[#This Row],[CATEGORIA]]="CINTAS",SUMIF(tbValidade[Descrição],tbESTOQUE[[#This Row],[DESCRIÇÃO]],tbValidade[Estoque]),"N/A")</f>
        <v>N/A</v>
      </c>
      <c r="N62" s="41" t="str">
        <f>IFERROR(tbESTOQUE[[#This Row],[ESTOQUE C/ DATA]]*tbESTOQUE[[#This Row],[PREÇO]],tbESTOQUE[[#This Row],[ESTOQUE C/ DATA]])</f>
        <v>N/A</v>
      </c>
      <c r="O62" s="36">
        <f>SUM(tbESTOQUE[[#This Row],[ESTOQUE C/ DATA]],tbESTOQUE[[#This Row],[QUANTIDADE]])</f>
        <v>14</v>
      </c>
      <c r="P62" s="38">
        <f>tbESTOQUE[[#This Row],[ESTOQUE GERAL]]*tbESTOQUE[[#This Row],[PREÇO]]</f>
        <v>0</v>
      </c>
    </row>
    <row r="63" spans="1:16" ht="16.5" x14ac:dyDescent="0.25">
      <c r="A63" s="31">
        <f t="shared" si="0"/>
        <v>58</v>
      </c>
      <c r="B63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MPC58</v>
      </c>
      <c r="C63" s="31" t="s">
        <v>43</v>
      </c>
      <c r="D63" s="32" t="s">
        <v>49</v>
      </c>
      <c r="E63" s="32" t="s">
        <v>53</v>
      </c>
      <c r="F63" s="32" t="s">
        <v>74</v>
      </c>
      <c r="G63" s="33">
        <v>0</v>
      </c>
      <c r="H63" s="33" t="s">
        <v>12</v>
      </c>
      <c r="I63" s="34">
        <v>43414</v>
      </c>
      <c r="J63" s="34" t="s">
        <v>209</v>
      </c>
      <c r="K63" s="31">
        <v>13</v>
      </c>
      <c r="L63" s="33">
        <f>tbESTOQUE[[#This Row],[PREÇO]]*tbESTOQUE[[#This Row],[QUANTIDADE]]</f>
        <v>0</v>
      </c>
      <c r="M63" s="35" t="str">
        <f>IF(tbESTOQUE[[#This Row],[CATEGORIA]]="CINTAS",SUMIF(tbValidade[Descrição],tbESTOQUE[[#This Row],[DESCRIÇÃO]],tbValidade[Estoque]),"N/A")</f>
        <v>N/A</v>
      </c>
      <c r="N63" s="41" t="str">
        <f>IFERROR(tbESTOQUE[[#This Row],[ESTOQUE C/ DATA]]*tbESTOQUE[[#This Row],[PREÇO]],tbESTOQUE[[#This Row],[ESTOQUE C/ DATA]])</f>
        <v>N/A</v>
      </c>
      <c r="O63" s="36">
        <f>SUM(tbESTOQUE[[#This Row],[ESTOQUE C/ DATA]],tbESTOQUE[[#This Row],[QUANTIDADE]])</f>
        <v>13</v>
      </c>
      <c r="P63" s="38">
        <f>tbESTOQUE[[#This Row],[ESTOQUE GERAL]]*tbESTOQUE[[#This Row],[PREÇO]]</f>
        <v>0</v>
      </c>
    </row>
    <row r="64" spans="1:16" ht="16.5" x14ac:dyDescent="0.25">
      <c r="A64" s="31">
        <f t="shared" si="0"/>
        <v>59</v>
      </c>
      <c r="B64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MPEC59</v>
      </c>
      <c r="C64" s="31" t="s">
        <v>42</v>
      </c>
      <c r="D64" s="32" t="s">
        <v>49</v>
      </c>
      <c r="E64" s="32" t="s">
        <v>53</v>
      </c>
      <c r="F64" s="32" t="s">
        <v>73</v>
      </c>
      <c r="G64" s="33">
        <v>0</v>
      </c>
      <c r="H64" s="33" t="s">
        <v>12</v>
      </c>
      <c r="I64" s="34">
        <v>43473</v>
      </c>
      <c r="J64" s="34" t="s">
        <v>209</v>
      </c>
      <c r="K64" s="31">
        <v>17.72</v>
      </c>
      <c r="L64" s="33">
        <f>tbESTOQUE[[#This Row],[PREÇO]]*tbESTOQUE[[#This Row],[QUANTIDADE]]</f>
        <v>0</v>
      </c>
      <c r="M64" s="35" t="str">
        <f>IF(tbESTOQUE[[#This Row],[CATEGORIA]]="CINTAS",SUMIF(tbValidade[Descrição],tbESTOQUE[[#This Row],[DESCRIÇÃO]],tbValidade[Estoque]),"N/A")</f>
        <v>N/A</v>
      </c>
      <c r="N64" s="41" t="str">
        <f>IFERROR(tbESTOQUE[[#This Row],[ESTOQUE C/ DATA]]*tbESTOQUE[[#This Row],[PREÇO]],tbESTOQUE[[#This Row],[ESTOQUE C/ DATA]])</f>
        <v>N/A</v>
      </c>
      <c r="O64" s="36">
        <f>SUM(tbESTOQUE[[#This Row],[ESTOQUE C/ DATA]],tbESTOQUE[[#This Row],[QUANTIDADE]])</f>
        <v>17.72</v>
      </c>
      <c r="P64" s="38">
        <f>tbESTOQUE[[#This Row],[ESTOQUE GERAL]]*tbESTOQUE[[#This Row],[PREÇO]]</f>
        <v>0</v>
      </c>
    </row>
    <row r="65" spans="1:16" ht="16.5" x14ac:dyDescent="0.25">
      <c r="A65" s="31">
        <f t="shared" si="0"/>
        <v>60</v>
      </c>
      <c r="B6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MPLD60</v>
      </c>
      <c r="C65" s="31" t="s">
        <v>40</v>
      </c>
      <c r="D65" s="32" t="s">
        <v>49</v>
      </c>
      <c r="E65" s="32" t="s">
        <v>53</v>
      </c>
      <c r="F65" s="32" t="s">
        <v>72</v>
      </c>
      <c r="G65" s="33">
        <v>0</v>
      </c>
      <c r="H65" s="33" t="s">
        <v>12</v>
      </c>
      <c r="I65" s="34">
        <v>43117</v>
      </c>
      <c r="J65" s="34" t="s">
        <v>209</v>
      </c>
      <c r="K65" s="31">
        <v>15.75</v>
      </c>
      <c r="L65" s="33">
        <f>tbESTOQUE[[#This Row],[PREÇO]]*tbESTOQUE[[#This Row],[QUANTIDADE]]</f>
        <v>0</v>
      </c>
      <c r="M65" s="35" t="str">
        <f>IF(tbESTOQUE[[#This Row],[CATEGORIA]]="CINTAS",SUMIF(tbValidade[Descrição],tbESTOQUE[[#This Row],[DESCRIÇÃO]],tbValidade[Estoque]),"N/A")</f>
        <v>N/A</v>
      </c>
      <c r="N65" s="41" t="str">
        <f>IFERROR(tbESTOQUE[[#This Row],[ESTOQUE C/ DATA]]*tbESTOQUE[[#This Row],[PREÇO]],tbESTOQUE[[#This Row],[ESTOQUE C/ DATA]])</f>
        <v>N/A</v>
      </c>
      <c r="O65" s="36">
        <f>SUM(tbESTOQUE[[#This Row],[ESTOQUE C/ DATA]],tbESTOQUE[[#This Row],[QUANTIDADE]])</f>
        <v>15.75</v>
      </c>
      <c r="P65" s="38">
        <f>tbESTOQUE[[#This Row],[ESTOQUE GERAL]]*tbESTOQUE[[#This Row],[PREÇO]]</f>
        <v>0</v>
      </c>
    </row>
    <row r="66" spans="1:16" ht="16.5" x14ac:dyDescent="0.25">
      <c r="A66" s="31">
        <f t="shared" si="0"/>
        <v>61</v>
      </c>
      <c r="B6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MPLI61</v>
      </c>
      <c r="C66" s="31" t="s">
        <v>39</v>
      </c>
      <c r="D66" s="32" t="s">
        <v>49</v>
      </c>
      <c r="E66" s="32" t="s">
        <v>53</v>
      </c>
      <c r="F66" s="32" t="s">
        <v>71</v>
      </c>
      <c r="G66" s="33">
        <v>0</v>
      </c>
      <c r="H66" s="33" t="s">
        <v>12</v>
      </c>
      <c r="I66" s="34">
        <v>43117</v>
      </c>
      <c r="J66" s="34" t="s">
        <v>209</v>
      </c>
      <c r="K66" s="31">
        <v>25</v>
      </c>
      <c r="L66" s="33">
        <f>tbESTOQUE[[#This Row],[PREÇO]]*tbESTOQUE[[#This Row],[QUANTIDADE]]</f>
        <v>0</v>
      </c>
      <c r="M66" s="35" t="str">
        <f>IF(tbESTOQUE[[#This Row],[CATEGORIA]]="CINTAS",SUMIF(tbValidade[Descrição],tbESTOQUE[[#This Row],[DESCRIÇÃO]],tbValidade[Estoque]),"N/A")</f>
        <v>N/A</v>
      </c>
      <c r="N66" s="41" t="str">
        <f>IFERROR(tbESTOQUE[[#This Row],[ESTOQUE C/ DATA]]*tbESTOQUE[[#This Row],[PREÇO]],tbESTOQUE[[#This Row],[ESTOQUE C/ DATA]])</f>
        <v>N/A</v>
      </c>
      <c r="O66" s="36">
        <f>SUM(tbESTOQUE[[#This Row],[ESTOQUE C/ DATA]],tbESTOQUE[[#This Row],[QUANTIDADE]])</f>
        <v>25</v>
      </c>
      <c r="P66" s="38">
        <f>tbESTOQUE[[#This Row],[ESTOQUE GERAL]]*tbESTOQUE[[#This Row],[PREÇO]]</f>
        <v>0</v>
      </c>
    </row>
    <row r="67" spans="1:16" ht="16.5" x14ac:dyDescent="0.25">
      <c r="A67" s="31">
        <f t="shared" si="0"/>
        <v>62</v>
      </c>
      <c r="B6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MPÁC62</v>
      </c>
      <c r="C67" s="31" t="s">
        <v>44</v>
      </c>
      <c r="D67" s="32" t="s">
        <v>49</v>
      </c>
      <c r="E67" s="32" t="s">
        <v>53</v>
      </c>
      <c r="F67" s="32" t="s">
        <v>67</v>
      </c>
      <c r="G67" s="33">
        <v>0</v>
      </c>
      <c r="H67" s="33" t="s">
        <v>12</v>
      </c>
      <c r="I67" s="34">
        <v>44378</v>
      </c>
      <c r="J67" s="34" t="s">
        <v>209</v>
      </c>
      <c r="K67" s="31">
        <v>9.5489999999999995</v>
      </c>
      <c r="L67" s="33">
        <f>tbESTOQUE[[#This Row],[PREÇO]]*tbESTOQUE[[#This Row],[QUANTIDADE]]</f>
        <v>0</v>
      </c>
      <c r="M67" s="35" t="str">
        <f>IF(tbESTOQUE[[#This Row],[CATEGORIA]]="CINTAS",SUMIF(tbValidade[Descrição],tbESTOQUE[[#This Row],[DESCRIÇÃO]],tbValidade[Estoque]),"N/A")</f>
        <v>N/A</v>
      </c>
      <c r="N67" s="41" t="str">
        <f>IFERROR(tbESTOQUE[[#This Row],[ESTOQUE C/ DATA]]*tbESTOQUE[[#This Row],[PREÇO]],tbESTOQUE[[#This Row],[ESTOQUE C/ DATA]])</f>
        <v>N/A</v>
      </c>
      <c r="O67" s="36">
        <f>SUM(tbESTOQUE[[#This Row],[ESTOQUE C/ DATA]],tbESTOQUE[[#This Row],[QUANTIDADE]])</f>
        <v>9.5489999999999995</v>
      </c>
      <c r="P67" s="38">
        <f>tbESTOQUE[[#This Row],[ESTOQUE GERAL]]*tbESTOQUE[[#This Row],[PREÇO]]</f>
        <v>0</v>
      </c>
    </row>
    <row r="68" spans="1:16" ht="16.5" x14ac:dyDescent="0.25">
      <c r="A68" s="31">
        <f t="shared" si="0"/>
        <v>63</v>
      </c>
      <c r="B6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MPP63</v>
      </c>
      <c r="C68" s="31" t="s">
        <v>45</v>
      </c>
      <c r="D68" s="32" t="s">
        <v>49</v>
      </c>
      <c r="E68" s="32" t="s">
        <v>53</v>
      </c>
      <c r="F68" s="32" t="s">
        <v>75</v>
      </c>
      <c r="G68" s="33">
        <v>0</v>
      </c>
      <c r="H68" s="33" t="s">
        <v>12</v>
      </c>
      <c r="I68" s="34">
        <v>43101</v>
      </c>
      <c r="J68" s="34" t="s">
        <v>209</v>
      </c>
      <c r="K68" s="31">
        <v>5.1189999999999998</v>
      </c>
      <c r="L68" s="33">
        <f>tbESTOQUE[[#This Row],[PREÇO]]*tbESTOQUE[[#This Row],[QUANTIDADE]]</f>
        <v>0</v>
      </c>
      <c r="M68" s="35" t="str">
        <f>IF(tbESTOQUE[[#This Row],[CATEGORIA]]="CINTAS",SUMIF(tbValidade[Descrição],tbESTOQUE[[#This Row],[DESCRIÇÃO]],tbValidade[Estoque]),"N/A")</f>
        <v>N/A</v>
      </c>
      <c r="N68" s="41" t="str">
        <f>IFERROR(tbESTOQUE[[#This Row],[ESTOQUE C/ DATA]]*tbESTOQUE[[#This Row],[PREÇO]],tbESTOQUE[[#This Row],[ESTOQUE C/ DATA]])</f>
        <v>N/A</v>
      </c>
      <c r="O68" s="36">
        <f>SUM(tbESTOQUE[[#This Row],[ESTOQUE C/ DATA]],tbESTOQUE[[#This Row],[QUANTIDADE]])</f>
        <v>5.1189999999999998</v>
      </c>
      <c r="P68" s="38">
        <f>tbESTOQUE[[#This Row],[ESTOQUE GERAL]]*tbESTOQUE[[#This Row],[PREÇO]]</f>
        <v>0</v>
      </c>
    </row>
    <row r="69" spans="1:16" ht="16.5" x14ac:dyDescent="0.25">
      <c r="A69" s="31">
        <f t="shared" si="0"/>
        <v>64</v>
      </c>
      <c r="B6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MPAM64</v>
      </c>
      <c r="C69" s="31" t="s">
        <v>46</v>
      </c>
      <c r="D69" s="32" t="s">
        <v>49</v>
      </c>
      <c r="E69" s="32" t="s">
        <v>53</v>
      </c>
      <c r="F69" s="32" t="s">
        <v>75</v>
      </c>
      <c r="G69" s="33">
        <v>0</v>
      </c>
      <c r="H69" s="33" t="s">
        <v>12</v>
      </c>
      <c r="I69" s="34">
        <v>43159</v>
      </c>
      <c r="J69" s="34" t="s">
        <v>209</v>
      </c>
      <c r="K69" s="31">
        <v>0.25</v>
      </c>
      <c r="L69" s="33">
        <f>tbESTOQUE[[#This Row],[PREÇO]]*tbESTOQUE[[#This Row],[QUANTIDADE]]</f>
        <v>0</v>
      </c>
      <c r="M69" s="35" t="str">
        <f>IF(tbESTOQUE[[#This Row],[CATEGORIA]]="CINTAS",SUMIF(tbValidade[Descrição],tbESTOQUE[[#This Row],[DESCRIÇÃO]],tbValidade[Estoque]),"N/A")</f>
        <v>N/A</v>
      </c>
      <c r="N69" s="41" t="str">
        <f>IFERROR(tbESTOQUE[[#This Row],[ESTOQUE C/ DATA]]*tbESTOQUE[[#This Row],[PREÇO]],tbESTOQUE[[#This Row],[ESTOQUE C/ DATA]])</f>
        <v>N/A</v>
      </c>
      <c r="O69" s="36">
        <f>SUM(tbESTOQUE[[#This Row],[ESTOQUE C/ DATA]],tbESTOQUE[[#This Row],[QUANTIDADE]])</f>
        <v>0.25</v>
      </c>
      <c r="P69" s="38">
        <f>tbESTOQUE[[#This Row],[ESTOQUE GERAL]]*tbESTOQUE[[#This Row],[PREÇO]]</f>
        <v>0</v>
      </c>
    </row>
    <row r="70" spans="1:16" ht="16.5" x14ac:dyDescent="0.25">
      <c r="A70" s="31">
        <f t="shared" si="0"/>
        <v>65</v>
      </c>
      <c r="B70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MPP65</v>
      </c>
      <c r="C70" s="31" t="s">
        <v>47</v>
      </c>
      <c r="D70" s="32" t="s">
        <v>49</v>
      </c>
      <c r="E70" s="32" t="s">
        <v>53</v>
      </c>
      <c r="F70" s="32" t="s">
        <v>75</v>
      </c>
      <c r="G70" s="33">
        <v>0</v>
      </c>
      <c r="H70" s="33" t="s">
        <v>12</v>
      </c>
      <c r="I70" s="34">
        <v>43159</v>
      </c>
      <c r="J70" s="34" t="s">
        <v>209</v>
      </c>
      <c r="K70" s="31">
        <v>5.2750000000000004</v>
      </c>
      <c r="L70" s="33">
        <f>tbESTOQUE[[#This Row],[PREÇO]]*tbESTOQUE[[#This Row],[QUANTIDADE]]</f>
        <v>0</v>
      </c>
      <c r="M70" s="35" t="str">
        <f>IF(tbESTOQUE[[#This Row],[CATEGORIA]]="CINTAS",SUMIF(tbValidade[Descrição],tbESTOQUE[[#This Row],[DESCRIÇÃO]],tbValidade[Estoque]),"N/A")</f>
        <v>N/A</v>
      </c>
      <c r="N70" s="41" t="str">
        <f>IFERROR(tbESTOQUE[[#This Row],[ESTOQUE C/ DATA]]*tbESTOQUE[[#This Row],[PREÇO]],tbESTOQUE[[#This Row],[ESTOQUE C/ DATA]])</f>
        <v>N/A</v>
      </c>
      <c r="O70" s="36">
        <f>SUM(tbESTOQUE[[#This Row],[ESTOQUE C/ DATA]],tbESTOQUE[[#This Row],[QUANTIDADE]])</f>
        <v>5.2750000000000004</v>
      </c>
      <c r="P70" s="38">
        <f>tbESTOQUE[[#This Row],[ESTOQUE GERAL]]*tbESTOQUE[[#This Row],[PREÇO]]</f>
        <v>0</v>
      </c>
    </row>
    <row r="71" spans="1:16" ht="16.5" x14ac:dyDescent="0.25">
      <c r="A71" s="31">
        <f t="shared" ref="A71:A132" si="1">ROW() - 5</f>
        <v>66</v>
      </c>
      <c r="B71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MPAC66</v>
      </c>
      <c r="C71" s="31" t="s">
        <v>48</v>
      </c>
      <c r="D71" s="32" t="s">
        <v>49</v>
      </c>
      <c r="E71" s="32" t="s">
        <v>53</v>
      </c>
      <c r="F71" s="32" t="s">
        <v>76</v>
      </c>
      <c r="G71" s="33">
        <v>0</v>
      </c>
      <c r="H71" s="33" t="s">
        <v>12</v>
      </c>
      <c r="I71" s="34">
        <v>43435</v>
      </c>
      <c r="J71" s="34" t="s">
        <v>209</v>
      </c>
      <c r="K71" s="31">
        <v>50</v>
      </c>
      <c r="L71" s="33">
        <f>tbESTOQUE[[#This Row],[PREÇO]]*tbESTOQUE[[#This Row],[QUANTIDADE]]</f>
        <v>0</v>
      </c>
      <c r="M71" s="35" t="str">
        <f>IF(tbESTOQUE[[#This Row],[CATEGORIA]]="CINTAS",SUMIF(tbValidade[Descrição],tbESTOQUE[[#This Row],[DESCRIÇÃO]],tbValidade[Estoque]),"N/A")</f>
        <v>N/A</v>
      </c>
      <c r="N71" s="41" t="str">
        <f>IFERROR(tbESTOQUE[[#This Row],[ESTOQUE C/ DATA]]*tbESTOQUE[[#This Row],[PREÇO]],tbESTOQUE[[#This Row],[ESTOQUE C/ DATA]])</f>
        <v>N/A</v>
      </c>
      <c r="O71" s="36">
        <f>SUM(tbESTOQUE[[#This Row],[ESTOQUE C/ DATA]],tbESTOQUE[[#This Row],[QUANTIDADE]])</f>
        <v>50</v>
      </c>
      <c r="P71" s="38">
        <f>tbESTOQUE[[#This Row],[ESTOQUE GERAL]]*tbESTOQUE[[#This Row],[PREÇO]]</f>
        <v>0</v>
      </c>
    </row>
    <row r="72" spans="1:16" ht="16.5" x14ac:dyDescent="0.25">
      <c r="A72" s="31">
        <f t="shared" si="1"/>
        <v>67</v>
      </c>
      <c r="B7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EMP267</v>
      </c>
      <c r="C72" s="31" t="s">
        <v>118</v>
      </c>
      <c r="D72" s="32" t="s">
        <v>6</v>
      </c>
      <c r="E72" s="31" t="s">
        <v>117</v>
      </c>
      <c r="F72" s="31" t="s">
        <v>119</v>
      </c>
      <c r="G72" s="33">
        <v>0</v>
      </c>
      <c r="H72" s="33" t="s">
        <v>13</v>
      </c>
      <c r="I72" s="34" t="s">
        <v>54</v>
      </c>
      <c r="J72" s="34" t="s">
        <v>208</v>
      </c>
      <c r="K72" s="31">
        <v>317</v>
      </c>
      <c r="L72" s="33">
        <f>tbESTOQUE[[#This Row],[PREÇO]]*tbESTOQUE[[#This Row],[QUANTIDADE]]</f>
        <v>0</v>
      </c>
      <c r="M72" s="35" t="str">
        <f>IF(tbESTOQUE[[#This Row],[CATEGORIA]]="CINTAS",SUMIF(tbValidade[Descrição],tbESTOQUE[[#This Row],[DESCRIÇÃO]],tbValidade[Estoque]),"N/A")</f>
        <v>N/A</v>
      </c>
      <c r="N72" s="41" t="str">
        <f>IFERROR(tbESTOQUE[[#This Row],[ESTOQUE C/ DATA]]*tbESTOQUE[[#This Row],[PREÇO]],tbESTOQUE[[#This Row],[ESTOQUE C/ DATA]])</f>
        <v>N/A</v>
      </c>
      <c r="O72" s="36">
        <f>SUM(tbESTOQUE[[#This Row],[ESTOQUE C/ DATA]],tbESTOQUE[[#This Row],[QUANTIDADE]])</f>
        <v>317</v>
      </c>
      <c r="P72" s="38">
        <f>tbESTOQUE[[#This Row],[ESTOQUE GERAL]]*tbESTOQUE[[#This Row],[PREÇO]]</f>
        <v>0</v>
      </c>
    </row>
    <row r="73" spans="1:16" ht="16.5" x14ac:dyDescent="0.25">
      <c r="A73" s="31">
        <f t="shared" si="1"/>
        <v>68</v>
      </c>
      <c r="B7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EMTR68</v>
      </c>
      <c r="C73" s="31" t="s">
        <v>120</v>
      </c>
      <c r="D73" s="32" t="s">
        <v>6</v>
      </c>
      <c r="E73" s="31" t="s">
        <v>121</v>
      </c>
      <c r="F73" s="31" t="s">
        <v>119</v>
      </c>
      <c r="G73" s="33">
        <v>0</v>
      </c>
      <c r="H73" s="33" t="s">
        <v>13</v>
      </c>
      <c r="I73" s="34" t="s">
        <v>54</v>
      </c>
      <c r="J73" s="34" t="s">
        <v>208</v>
      </c>
      <c r="K73" s="31">
        <v>404</v>
      </c>
      <c r="L73" s="33">
        <f>tbESTOQUE[[#This Row],[PREÇO]]*tbESTOQUE[[#This Row],[QUANTIDADE]]</f>
        <v>0</v>
      </c>
      <c r="M73" s="35" t="str">
        <f>IF(tbESTOQUE[[#This Row],[CATEGORIA]]="CINTAS",SUMIF(tbValidade[Descrição],tbESTOQUE[[#This Row],[DESCRIÇÃO]],tbValidade[Estoque]),"N/A")</f>
        <v>N/A</v>
      </c>
      <c r="N73" s="41" t="str">
        <f>IFERROR(tbESTOQUE[[#This Row],[ESTOQUE C/ DATA]]*tbESTOQUE[[#This Row],[PREÇO]],tbESTOQUE[[#This Row],[ESTOQUE C/ DATA]])</f>
        <v>N/A</v>
      </c>
      <c r="O73" s="36">
        <f>SUM(tbESTOQUE[[#This Row],[ESTOQUE C/ DATA]],tbESTOQUE[[#This Row],[QUANTIDADE]])</f>
        <v>404</v>
      </c>
      <c r="P73" s="38">
        <f>tbESTOQUE[[#This Row],[ESTOQUE GERAL]]*tbESTOQUE[[#This Row],[PREÇO]]</f>
        <v>0</v>
      </c>
    </row>
    <row r="74" spans="1:16" ht="16.5" x14ac:dyDescent="0.25">
      <c r="A74" s="31">
        <f t="shared" si="1"/>
        <v>69</v>
      </c>
      <c r="B7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EMP269</v>
      </c>
      <c r="C74" s="31" t="s">
        <v>122</v>
      </c>
      <c r="D74" s="32" t="s">
        <v>6</v>
      </c>
      <c r="E74" s="31" t="s">
        <v>117</v>
      </c>
      <c r="F74" s="31" t="s">
        <v>119</v>
      </c>
      <c r="G74" s="33">
        <v>0</v>
      </c>
      <c r="H74" s="33" t="s">
        <v>13</v>
      </c>
      <c r="I74" s="34" t="s">
        <v>54</v>
      </c>
      <c r="J74" s="34" t="s">
        <v>208</v>
      </c>
      <c r="K74" s="31">
        <v>480</v>
      </c>
      <c r="L74" s="33">
        <f>tbESTOQUE[[#This Row],[PREÇO]]*tbESTOQUE[[#This Row],[QUANTIDADE]]</f>
        <v>0</v>
      </c>
      <c r="M74" s="35" t="str">
        <f>IF(tbESTOQUE[[#This Row],[CATEGORIA]]="CINTAS",SUMIF(tbValidade[Descrição],tbESTOQUE[[#This Row],[DESCRIÇÃO]],tbValidade[Estoque]),"N/A")</f>
        <v>N/A</v>
      </c>
      <c r="N74" s="41" t="str">
        <f>IFERROR(tbESTOQUE[[#This Row],[ESTOQUE C/ DATA]]*tbESTOQUE[[#This Row],[PREÇO]],tbESTOQUE[[#This Row],[ESTOQUE C/ DATA]])</f>
        <v>N/A</v>
      </c>
      <c r="O74" s="36">
        <f>SUM(tbESTOQUE[[#This Row],[ESTOQUE C/ DATA]],tbESTOQUE[[#This Row],[QUANTIDADE]])</f>
        <v>480</v>
      </c>
      <c r="P74" s="38">
        <f>tbESTOQUE[[#This Row],[ESTOQUE GERAL]]*tbESTOQUE[[#This Row],[PREÇO]]</f>
        <v>0</v>
      </c>
    </row>
    <row r="75" spans="1:16" ht="16.5" x14ac:dyDescent="0.25">
      <c r="A75" s="31">
        <f t="shared" si="1"/>
        <v>70</v>
      </c>
      <c r="B75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EMTR70</v>
      </c>
      <c r="C75" s="31" t="s">
        <v>123</v>
      </c>
      <c r="D75" s="32" t="s">
        <v>6</v>
      </c>
      <c r="E75" s="31" t="s">
        <v>121</v>
      </c>
      <c r="F75" s="31" t="s">
        <v>119</v>
      </c>
      <c r="G75" s="33">
        <v>0</v>
      </c>
      <c r="H75" s="33" t="s">
        <v>13</v>
      </c>
      <c r="I75" s="34" t="s">
        <v>54</v>
      </c>
      <c r="J75" s="34" t="s">
        <v>208</v>
      </c>
      <c r="K75" s="31">
        <v>440</v>
      </c>
      <c r="L75" s="33">
        <f>tbESTOQUE[[#This Row],[PREÇO]]*tbESTOQUE[[#This Row],[QUANTIDADE]]</f>
        <v>0</v>
      </c>
      <c r="M75" s="35" t="str">
        <f>IF(tbESTOQUE[[#This Row],[CATEGORIA]]="CINTAS",SUMIF(tbValidade[Descrição],tbESTOQUE[[#This Row],[DESCRIÇÃO]],tbValidade[Estoque]),"N/A")</f>
        <v>N/A</v>
      </c>
      <c r="N75" s="41" t="str">
        <f>IFERROR(tbESTOQUE[[#This Row],[ESTOQUE C/ DATA]]*tbESTOQUE[[#This Row],[PREÇO]],tbESTOQUE[[#This Row],[ESTOQUE C/ DATA]])</f>
        <v>N/A</v>
      </c>
      <c r="O75" s="36">
        <f>SUM(tbESTOQUE[[#This Row],[ESTOQUE C/ DATA]],tbESTOQUE[[#This Row],[QUANTIDADE]])</f>
        <v>440</v>
      </c>
      <c r="P75" s="38">
        <f>tbESTOQUE[[#This Row],[ESTOQUE GERAL]]*tbESTOQUE[[#This Row],[PREÇO]]</f>
        <v>0</v>
      </c>
    </row>
    <row r="76" spans="1:16" ht="16.5" x14ac:dyDescent="0.25">
      <c r="A76" s="31">
        <f t="shared" si="1"/>
        <v>71</v>
      </c>
      <c r="B76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EMPR71</v>
      </c>
      <c r="C76" s="31" t="s">
        <v>125</v>
      </c>
      <c r="D76" s="32" t="s">
        <v>6</v>
      </c>
      <c r="E76" s="31" t="s">
        <v>124</v>
      </c>
      <c r="F76" s="31" t="s">
        <v>126</v>
      </c>
      <c r="G76" s="33">
        <v>0</v>
      </c>
      <c r="H76" s="33" t="s">
        <v>13</v>
      </c>
      <c r="I76" s="34" t="s">
        <v>54</v>
      </c>
      <c r="J76" s="34" t="s">
        <v>208</v>
      </c>
      <c r="K76" s="31">
        <v>50</v>
      </c>
      <c r="L76" s="33">
        <f>tbESTOQUE[[#This Row],[PREÇO]]*tbESTOQUE[[#This Row],[QUANTIDADE]]</f>
        <v>0</v>
      </c>
      <c r="M76" s="35" t="str">
        <f>IF(tbESTOQUE[[#This Row],[CATEGORIA]]="CINTAS",SUMIF(tbValidade[Descrição],tbESTOQUE[[#This Row],[DESCRIÇÃO]],tbValidade[Estoque]),"N/A")</f>
        <v>N/A</v>
      </c>
      <c r="N76" s="41" t="str">
        <f>IFERROR(tbESTOQUE[[#This Row],[ESTOQUE C/ DATA]]*tbESTOQUE[[#This Row],[PREÇO]],tbESTOQUE[[#This Row],[ESTOQUE C/ DATA]])</f>
        <v>N/A</v>
      </c>
      <c r="O76" s="36">
        <f>SUM(tbESTOQUE[[#This Row],[ESTOQUE C/ DATA]],tbESTOQUE[[#This Row],[QUANTIDADE]])</f>
        <v>50</v>
      </c>
      <c r="P76" s="38">
        <f>tbESTOQUE[[#This Row],[ESTOQUE GERAL]]*tbESTOQUE[[#This Row],[PREÇO]]</f>
        <v>0</v>
      </c>
    </row>
    <row r="77" spans="1:16" ht="16.5" x14ac:dyDescent="0.25">
      <c r="A77" s="31">
        <f t="shared" si="1"/>
        <v>72</v>
      </c>
      <c r="B77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EMPR72</v>
      </c>
      <c r="C77" s="31" t="s">
        <v>127</v>
      </c>
      <c r="D77" s="32" t="s">
        <v>6</v>
      </c>
      <c r="E77" s="31" t="s">
        <v>124</v>
      </c>
      <c r="F77" s="31" t="s">
        <v>126</v>
      </c>
      <c r="G77" s="33">
        <v>0</v>
      </c>
      <c r="H77" s="33" t="s">
        <v>13</v>
      </c>
      <c r="I77" s="34" t="s">
        <v>54</v>
      </c>
      <c r="J77" s="34" t="s">
        <v>208</v>
      </c>
      <c r="K77" s="31">
        <v>24</v>
      </c>
      <c r="L77" s="33">
        <f>tbESTOQUE[[#This Row],[PREÇO]]*tbESTOQUE[[#This Row],[QUANTIDADE]]</f>
        <v>0</v>
      </c>
      <c r="M77" s="35" t="str">
        <f>IF(tbESTOQUE[[#This Row],[CATEGORIA]]="CINTAS",SUMIF(tbValidade[Descrição],tbESTOQUE[[#This Row],[DESCRIÇÃO]],tbValidade[Estoque]),"N/A")</f>
        <v>N/A</v>
      </c>
      <c r="N77" s="41" t="str">
        <f>IFERROR(tbESTOQUE[[#This Row],[ESTOQUE C/ DATA]]*tbESTOQUE[[#This Row],[PREÇO]],tbESTOQUE[[#This Row],[ESTOQUE C/ DATA]])</f>
        <v>N/A</v>
      </c>
      <c r="O77" s="36">
        <f>SUM(tbESTOQUE[[#This Row],[ESTOQUE C/ DATA]],tbESTOQUE[[#This Row],[QUANTIDADE]])</f>
        <v>24</v>
      </c>
      <c r="P77" s="38">
        <f>tbESTOQUE[[#This Row],[ESTOQUE GERAL]]*tbESTOQUE[[#This Row],[PREÇO]]</f>
        <v>0</v>
      </c>
    </row>
    <row r="78" spans="1:16" ht="16.5" x14ac:dyDescent="0.25">
      <c r="A78" s="31">
        <f t="shared" si="1"/>
        <v>73</v>
      </c>
      <c r="B78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EMPR73</v>
      </c>
      <c r="C78" s="31" t="s">
        <v>128</v>
      </c>
      <c r="D78" s="32" t="s">
        <v>6</v>
      </c>
      <c r="E78" s="31" t="s">
        <v>124</v>
      </c>
      <c r="F78" s="31" t="s">
        <v>126</v>
      </c>
      <c r="G78" s="33">
        <v>0</v>
      </c>
      <c r="H78" s="33" t="s">
        <v>13</v>
      </c>
      <c r="I78" s="34" t="s">
        <v>54</v>
      </c>
      <c r="J78" s="34" t="s">
        <v>208</v>
      </c>
      <c r="K78" s="31">
        <v>1</v>
      </c>
      <c r="L78" s="33">
        <f>tbESTOQUE[[#This Row],[PREÇO]]*tbESTOQUE[[#This Row],[QUANTIDADE]]</f>
        <v>0</v>
      </c>
      <c r="M78" s="35" t="str">
        <f>IF(tbESTOQUE[[#This Row],[CATEGORIA]]="CINTAS",SUMIF(tbValidade[Descrição],tbESTOQUE[[#This Row],[DESCRIÇÃO]],tbValidade[Estoque]),"N/A")</f>
        <v>N/A</v>
      </c>
      <c r="N78" s="41" t="str">
        <f>IFERROR(tbESTOQUE[[#This Row],[ESTOQUE C/ DATA]]*tbESTOQUE[[#This Row],[PREÇO]],tbESTOQUE[[#This Row],[ESTOQUE C/ DATA]])</f>
        <v>N/A</v>
      </c>
      <c r="O78" s="36">
        <f>SUM(tbESTOQUE[[#This Row],[ESTOQUE C/ DATA]],tbESTOQUE[[#This Row],[QUANTIDADE]])</f>
        <v>1</v>
      </c>
      <c r="P78" s="38">
        <f>tbESTOQUE[[#This Row],[ESTOQUE GERAL]]*tbESTOQUE[[#This Row],[PREÇO]]</f>
        <v>0</v>
      </c>
    </row>
    <row r="79" spans="1:16" ht="16.5" x14ac:dyDescent="0.25">
      <c r="A79" s="31">
        <f t="shared" si="1"/>
        <v>74</v>
      </c>
      <c r="B79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EMPR74</v>
      </c>
      <c r="C79" s="31" t="s">
        <v>129</v>
      </c>
      <c r="D79" s="32" t="s">
        <v>6</v>
      </c>
      <c r="E79" s="31" t="s">
        <v>124</v>
      </c>
      <c r="F79" s="31" t="s">
        <v>126</v>
      </c>
      <c r="G79" s="33">
        <v>0</v>
      </c>
      <c r="H79" s="33" t="s">
        <v>13</v>
      </c>
      <c r="I79" s="34" t="s">
        <v>54</v>
      </c>
      <c r="J79" s="34" t="s">
        <v>208</v>
      </c>
      <c r="K79" s="31">
        <v>1</v>
      </c>
      <c r="L79" s="33">
        <f>tbESTOQUE[[#This Row],[PREÇO]]*tbESTOQUE[[#This Row],[QUANTIDADE]]</f>
        <v>0</v>
      </c>
      <c r="M79" s="35" t="str">
        <f>IF(tbESTOQUE[[#This Row],[CATEGORIA]]="CINTAS",SUMIF(tbValidade[Descrição],tbESTOQUE[[#This Row],[DESCRIÇÃO]],tbValidade[Estoque]),"N/A")</f>
        <v>N/A</v>
      </c>
      <c r="N79" s="41" t="str">
        <f>IFERROR(tbESTOQUE[[#This Row],[ESTOQUE C/ DATA]]*tbESTOQUE[[#This Row],[PREÇO]],tbESTOQUE[[#This Row],[ESTOQUE C/ DATA]])</f>
        <v>N/A</v>
      </c>
      <c r="O79" s="36">
        <f>SUM(tbESTOQUE[[#This Row],[ESTOQUE C/ DATA]],tbESTOQUE[[#This Row],[QUANTIDADE]])</f>
        <v>1</v>
      </c>
      <c r="P79" s="38">
        <f>tbESTOQUE[[#This Row],[ESTOQUE GERAL]]*tbESTOQUE[[#This Row],[PREÇO]]</f>
        <v>0</v>
      </c>
    </row>
    <row r="80" spans="1:16" ht="16.5" x14ac:dyDescent="0.25">
      <c r="A80" s="31">
        <f t="shared" si="1"/>
        <v>75</v>
      </c>
      <c r="B8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EMPR75</v>
      </c>
      <c r="C80" s="31" t="s">
        <v>130</v>
      </c>
      <c r="D80" s="32" t="s">
        <v>6</v>
      </c>
      <c r="E80" s="31" t="s">
        <v>117</v>
      </c>
      <c r="F80" s="31" t="s">
        <v>131</v>
      </c>
      <c r="G80" s="33">
        <v>0</v>
      </c>
      <c r="H80" s="33" t="s">
        <v>13</v>
      </c>
      <c r="I80" s="34" t="s">
        <v>54</v>
      </c>
      <c r="J80" s="34" t="s">
        <v>208</v>
      </c>
      <c r="K80" s="31">
        <v>23</v>
      </c>
      <c r="L80" s="33">
        <f>tbESTOQUE[[#This Row],[PREÇO]]*tbESTOQUE[[#This Row],[QUANTIDADE]]</f>
        <v>0</v>
      </c>
      <c r="M80" s="35" t="str">
        <f>IF(tbESTOQUE[[#This Row],[CATEGORIA]]="CINTAS",SUMIF(tbValidade[Descrição],tbESTOQUE[[#This Row],[DESCRIÇÃO]],tbValidade[Estoque]),"N/A")</f>
        <v>N/A</v>
      </c>
      <c r="N80" s="41" t="str">
        <f>IFERROR(tbESTOQUE[[#This Row],[ESTOQUE C/ DATA]]*tbESTOQUE[[#This Row],[PREÇO]],tbESTOQUE[[#This Row],[ESTOQUE C/ DATA]])</f>
        <v>N/A</v>
      </c>
      <c r="O80" s="36">
        <f>SUM(tbESTOQUE[[#This Row],[ESTOQUE C/ DATA]],tbESTOQUE[[#This Row],[QUANTIDADE]])</f>
        <v>23</v>
      </c>
      <c r="P80" s="38">
        <f>tbESTOQUE[[#This Row],[ESTOQUE GERAL]]*tbESTOQUE[[#This Row],[PREÇO]]</f>
        <v>0</v>
      </c>
    </row>
    <row r="81" spans="1:16" ht="16.5" x14ac:dyDescent="0.25">
      <c r="A81" s="31">
        <f t="shared" si="1"/>
        <v>76</v>
      </c>
      <c r="B8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EMTR76</v>
      </c>
      <c r="C81" s="31" t="s">
        <v>132</v>
      </c>
      <c r="D81" s="32" t="s">
        <v>6</v>
      </c>
      <c r="E81" s="31" t="s">
        <v>117</v>
      </c>
      <c r="F81" s="31" t="s">
        <v>131</v>
      </c>
      <c r="G81" s="33">
        <v>0</v>
      </c>
      <c r="H81" s="33" t="s">
        <v>13</v>
      </c>
      <c r="I81" s="34" t="s">
        <v>54</v>
      </c>
      <c r="J81" s="34" t="s">
        <v>208</v>
      </c>
      <c r="K81" s="31">
        <v>23</v>
      </c>
      <c r="L81" s="33">
        <f>tbESTOQUE[[#This Row],[PREÇO]]*tbESTOQUE[[#This Row],[QUANTIDADE]]</f>
        <v>0</v>
      </c>
      <c r="M81" s="35" t="str">
        <f>IF(tbESTOQUE[[#This Row],[CATEGORIA]]="CINTAS",SUMIF(tbValidade[Descrição],tbESTOQUE[[#This Row],[DESCRIÇÃO]],tbValidade[Estoque]),"N/A")</f>
        <v>N/A</v>
      </c>
      <c r="N81" s="41" t="str">
        <f>IFERROR(tbESTOQUE[[#This Row],[ESTOQUE C/ DATA]]*tbESTOQUE[[#This Row],[PREÇO]],tbESTOQUE[[#This Row],[ESTOQUE C/ DATA]])</f>
        <v>N/A</v>
      </c>
      <c r="O81" s="36">
        <f>SUM(tbESTOQUE[[#This Row],[ESTOQUE C/ DATA]],tbESTOQUE[[#This Row],[QUANTIDADE]])</f>
        <v>23</v>
      </c>
      <c r="P81" s="38">
        <f>tbESTOQUE[[#This Row],[ESTOQUE GERAL]]*tbESTOQUE[[#This Row],[PREÇO]]</f>
        <v>0</v>
      </c>
    </row>
    <row r="82" spans="1:16" ht="16.5" x14ac:dyDescent="0.25">
      <c r="A82" s="31">
        <f t="shared" si="1"/>
        <v>77</v>
      </c>
      <c r="B8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EMCR77</v>
      </c>
      <c r="C82" s="31" t="s">
        <v>133</v>
      </c>
      <c r="D82" s="32" t="s">
        <v>6</v>
      </c>
      <c r="E82" s="31" t="s">
        <v>134</v>
      </c>
      <c r="F82" s="31" t="s">
        <v>131</v>
      </c>
      <c r="G82" s="33">
        <v>0</v>
      </c>
      <c r="H82" s="33" t="s">
        <v>13</v>
      </c>
      <c r="I82" s="34" t="s">
        <v>54</v>
      </c>
      <c r="J82" s="34" t="s">
        <v>208</v>
      </c>
      <c r="K82" s="31">
        <v>198</v>
      </c>
      <c r="L82" s="33">
        <f>tbESTOQUE[[#This Row],[PREÇO]]*tbESTOQUE[[#This Row],[QUANTIDADE]]</f>
        <v>0</v>
      </c>
      <c r="M82" s="35" t="str">
        <f>IF(tbESTOQUE[[#This Row],[CATEGORIA]]="CINTAS",SUMIF(tbValidade[Descrição],tbESTOQUE[[#This Row],[DESCRIÇÃO]],tbValidade[Estoque]),"N/A")</f>
        <v>N/A</v>
      </c>
      <c r="N82" s="41" t="str">
        <f>IFERROR(tbESTOQUE[[#This Row],[ESTOQUE C/ DATA]]*tbESTOQUE[[#This Row],[PREÇO]],tbESTOQUE[[#This Row],[ESTOQUE C/ DATA]])</f>
        <v>N/A</v>
      </c>
      <c r="O82" s="36">
        <f>SUM(tbESTOQUE[[#This Row],[ESTOQUE C/ DATA]],tbESTOQUE[[#This Row],[QUANTIDADE]])</f>
        <v>198</v>
      </c>
      <c r="P82" s="38">
        <f>tbESTOQUE[[#This Row],[ESTOQUE GERAL]]*tbESTOQUE[[#This Row],[PREÇO]]</f>
        <v>0</v>
      </c>
    </row>
    <row r="83" spans="1:16" ht="16.5" x14ac:dyDescent="0.25">
      <c r="A83" s="31">
        <f t="shared" si="1"/>
        <v>78</v>
      </c>
      <c r="B8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EMTC78</v>
      </c>
      <c r="C83" s="31" t="s">
        <v>221</v>
      </c>
      <c r="D83" s="32" t="s">
        <v>6</v>
      </c>
      <c r="E83" s="31" t="s">
        <v>135</v>
      </c>
      <c r="F83" s="31" t="s">
        <v>131</v>
      </c>
      <c r="G83" s="33">
        <v>0</v>
      </c>
      <c r="H83" s="33" t="s">
        <v>13</v>
      </c>
      <c r="I83" s="34" t="s">
        <v>54</v>
      </c>
      <c r="J83" s="34" t="s">
        <v>208</v>
      </c>
      <c r="K83" s="31">
        <v>228</v>
      </c>
      <c r="L83" s="33">
        <f>tbESTOQUE[[#This Row],[PREÇO]]*tbESTOQUE[[#This Row],[QUANTIDADE]]</f>
        <v>0</v>
      </c>
      <c r="M83" s="35" t="str">
        <f>IF(tbESTOQUE[[#This Row],[CATEGORIA]]="CINTAS",SUMIF(tbValidade[Descrição],tbESTOQUE[[#This Row],[DESCRIÇÃO]],tbValidade[Estoque]),"N/A")</f>
        <v>N/A</v>
      </c>
      <c r="N83" s="41" t="str">
        <f>IFERROR(tbESTOQUE[[#This Row],[ESTOQUE C/ DATA]]*tbESTOQUE[[#This Row],[PREÇO]],tbESTOQUE[[#This Row],[ESTOQUE C/ DATA]])</f>
        <v>N/A</v>
      </c>
      <c r="O83" s="36">
        <f>SUM(tbESTOQUE[[#This Row],[ESTOQUE C/ DATA]],tbESTOQUE[[#This Row],[QUANTIDADE]])</f>
        <v>228</v>
      </c>
      <c r="P83" s="38">
        <f>tbESTOQUE[[#This Row],[ESTOQUE GERAL]]*tbESTOQUE[[#This Row],[PREÇO]]</f>
        <v>0</v>
      </c>
    </row>
    <row r="84" spans="1:16" ht="16.5" x14ac:dyDescent="0.25">
      <c r="A84" s="31">
        <f t="shared" si="1"/>
        <v>79</v>
      </c>
      <c r="B8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MPGD79</v>
      </c>
      <c r="C84" s="31" t="s">
        <v>136</v>
      </c>
      <c r="D84" s="32" t="s">
        <v>49</v>
      </c>
      <c r="E84" s="31" t="s">
        <v>53</v>
      </c>
      <c r="F84" s="31" t="s">
        <v>137</v>
      </c>
      <c r="G84" s="33">
        <v>0</v>
      </c>
      <c r="H84" s="33" t="s">
        <v>12</v>
      </c>
      <c r="I84" s="34">
        <v>43101</v>
      </c>
      <c r="J84" s="34" t="s">
        <v>209</v>
      </c>
      <c r="K84" s="31">
        <v>120</v>
      </c>
      <c r="L84" s="33">
        <f>tbESTOQUE[[#This Row],[PREÇO]]*tbESTOQUE[[#This Row],[QUANTIDADE]]</f>
        <v>0</v>
      </c>
      <c r="M84" s="35" t="str">
        <f>IF(tbESTOQUE[[#This Row],[CATEGORIA]]="CINTAS",SUMIF(tbValidade[Descrição],tbESTOQUE[[#This Row],[DESCRIÇÃO]],tbValidade[Estoque]),"N/A")</f>
        <v>N/A</v>
      </c>
      <c r="N84" s="41" t="str">
        <f>IFERROR(tbESTOQUE[[#This Row],[ESTOQUE C/ DATA]]*tbESTOQUE[[#This Row],[PREÇO]],tbESTOQUE[[#This Row],[ESTOQUE C/ DATA]])</f>
        <v>N/A</v>
      </c>
      <c r="O84" s="36">
        <f>SUM(tbESTOQUE[[#This Row],[ESTOQUE C/ DATA]],tbESTOQUE[[#This Row],[QUANTIDADE]])</f>
        <v>120</v>
      </c>
      <c r="P84" s="38">
        <f>tbESTOQUE[[#This Row],[ESTOQUE GERAL]]*tbESTOQUE[[#This Row],[PREÇO]]</f>
        <v>0</v>
      </c>
    </row>
    <row r="85" spans="1:16" ht="16.5" x14ac:dyDescent="0.25">
      <c r="A85" s="31">
        <f t="shared" si="1"/>
        <v>80</v>
      </c>
      <c r="B85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PASP80</v>
      </c>
      <c r="C85" s="31" t="s">
        <v>139</v>
      </c>
      <c r="D85" s="32" t="s">
        <v>222</v>
      </c>
      <c r="E85" s="31" t="s">
        <v>11</v>
      </c>
      <c r="F85" s="31" t="s">
        <v>59</v>
      </c>
      <c r="G85" s="33">
        <v>8.33</v>
      </c>
      <c r="H85" s="33" t="s">
        <v>13</v>
      </c>
      <c r="I85" s="34" t="s">
        <v>54</v>
      </c>
      <c r="J85" s="34" t="s">
        <v>208</v>
      </c>
      <c r="K85" s="31">
        <v>36</v>
      </c>
      <c r="L85" s="33">
        <f>tbESTOQUE[[#This Row],[PREÇO]]*tbESTOQUE[[#This Row],[QUANTIDADE]]</f>
        <v>299.88</v>
      </c>
      <c r="M85" s="35" t="str">
        <f>IF(tbESTOQUE[[#This Row],[CATEGORIA]]="CINTAS",SUMIF(tbValidade[Descrição],tbESTOQUE[[#This Row],[DESCRIÇÃO]],tbValidade[Estoque]),"N/A")</f>
        <v>N/A</v>
      </c>
      <c r="N85" s="41" t="str">
        <f>IFERROR(tbESTOQUE[[#This Row],[ESTOQUE C/ DATA]]*tbESTOQUE[[#This Row],[PREÇO]],tbESTOQUE[[#This Row],[ESTOQUE C/ DATA]])</f>
        <v>N/A</v>
      </c>
      <c r="O85" s="36">
        <f>SUM(tbESTOQUE[[#This Row],[ESTOQUE C/ DATA]],tbESTOQUE[[#This Row],[QUANTIDADE]])</f>
        <v>36</v>
      </c>
      <c r="P85" s="38">
        <f>tbESTOQUE[[#This Row],[ESTOQUE GERAL]]*tbESTOQUE[[#This Row],[PREÇO]]</f>
        <v>299.88</v>
      </c>
    </row>
    <row r="86" spans="1:16" ht="16.5" x14ac:dyDescent="0.25">
      <c r="A86" s="31">
        <f t="shared" si="1"/>
        <v>81</v>
      </c>
      <c r="B86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PASP81</v>
      </c>
      <c r="C86" s="31" t="s">
        <v>140</v>
      </c>
      <c r="D86" s="32" t="s">
        <v>222</v>
      </c>
      <c r="E86" s="31" t="s">
        <v>11</v>
      </c>
      <c r="F86" s="31" t="s">
        <v>59</v>
      </c>
      <c r="G86" s="33">
        <v>8.33</v>
      </c>
      <c r="H86" s="33" t="s">
        <v>13</v>
      </c>
      <c r="I86" s="34" t="s">
        <v>54</v>
      </c>
      <c r="J86" s="34" t="s">
        <v>208</v>
      </c>
      <c r="K86" s="31">
        <v>24</v>
      </c>
      <c r="L86" s="33">
        <f>tbESTOQUE[[#This Row],[PREÇO]]*tbESTOQUE[[#This Row],[QUANTIDADE]]</f>
        <v>199.92000000000002</v>
      </c>
      <c r="M86" s="35" t="str">
        <f>IF(tbESTOQUE[[#This Row],[CATEGORIA]]="CINTAS",SUMIF(tbValidade[Descrição],tbESTOQUE[[#This Row],[DESCRIÇÃO]],tbValidade[Estoque]),"N/A")</f>
        <v>N/A</v>
      </c>
      <c r="N86" s="41" t="str">
        <f>IFERROR(tbESTOQUE[[#This Row],[ESTOQUE C/ DATA]]*tbESTOQUE[[#This Row],[PREÇO]],tbESTOQUE[[#This Row],[ESTOQUE C/ DATA]])</f>
        <v>N/A</v>
      </c>
      <c r="O86" s="36">
        <f>SUM(tbESTOQUE[[#This Row],[ESTOQUE C/ DATA]],tbESTOQUE[[#This Row],[QUANTIDADE]])</f>
        <v>24</v>
      </c>
      <c r="P86" s="38">
        <f>tbESTOQUE[[#This Row],[ESTOQUE GERAL]]*tbESTOQUE[[#This Row],[PREÇO]]</f>
        <v>199.92000000000002</v>
      </c>
    </row>
    <row r="87" spans="1:16" ht="16.5" x14ac:dyDescent="0.25">
      <c r="A87" s="31">
        <f t="shared" si="1"/>
        <v>82</v>
      </c>
      <c r="B87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PASP82</v>
      </c>
      <c r="C87" s="31" t="s">
        <v>141</v>
      </c>
      <c r="D87" s="32" t="s">
        <v>222</v>
      </c>
      <c r="E87" s="31" t="s">
        <v>11</v>
      </c>
      <c r="F87" s="31" t="s">
        <v>59</v>
      </c>
      <c r="G87" s="33">
        <v>8.33</v>
      </c>
      <c r="H87" s="33" t="s">
        <v>13</v>
      </c>
      <c r="I87" s="34" t="s">
        <v>54</v>
      </c>
      <c r="J87" s="34" t="s">
        <v>208</v>
      </c>
      <c r="K87" s="31">
        <v>36</v>
      </c>
      <c r="L87" s="33">
        <f>tbESTOQUE[[#This Row],[PREÇO]]*tbESTOQUE[[#This Row],[QUANTIDADE]]</f>
        <v>299.88</v>
      </c>
      <c r="M87" s="35" t="str">
        <f>IF(tbESTOQUE[[#This Row],[CATEGORIA]]="CINTAS",SUMIF(tbValidade[Descrição],tbESTOQUE[[#This Row],[DESCRIÇÃO]],tbValidade[Estoque]),"N/A")</f>
        <v>N/A</v>
      </c>
      <c r="N87" s="41" t="str">
        <f>IFERROR(tbESTOQUE[[#This Row],[ESTOQUE C/ DATA]]*tbESTOQUE[[#This Row],[PREÇO]],tbESTOQUE[[#This Row],[ESTOQUE C/ DATA]])</f>
        <v>N/A</v>
      </c>
      <c r="O87" s="36">
        <f>SUM(tbESTOQUE[[#This Row],[ESTOQUE C/ DATA]],tbESTOQUE[[#This Row],[QUANTIDADE]])</f>
        <v>36</v>
      </c>
      <c r="P87" s="38">
        <f>tbESTOQUE[[#This Row],[ESTOQUE GERAL]]*tbESTOQUE[[#This Row],[PREÇO]]</f>
        <v>299.88</v>
      </c>
    </row>
    <row r="88" spans="1:16" ht="16.5" x14ac:dyDescent="0.25">
      <c r="A88" s="31">
        <f t="shared" si="1"/>
        <v>83</v>
      </c>
      <c r="B88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PASP83</v>
      </c>
      <c r="C88" s="31" t="s">
        <v>142</v>
      </c>
      <c r="D88" s="32" t="s">
        <v>222</v>
      </c>
      <c r="E88" s="31" t="s">
        <v>11</v>
      </c>
      <c r="F88" s="31" t="s">
        <v>59</v>
      </c>
      <c r="G88" s="33">
        <v>8.33</v>
      </c>
      <c r="H88" s="33" t="s">
        <v>13</v>
      </c>
      <c r="I88" s="34" t="s">
        <v>54</v>
      </c>
      <c r="J88" s="34" t="s">
        <v>208</v>
      </c>
      <c r="K88" s="31">
        <v>72</v>
      </c>
      <c r="L88" s="33">
        <f>tbESTOQUE[[#This Row],[PREÇO]]*tbESTOQUE[[#This Row],[QUANTIDADE]]</f>
        <v>599.76</v>
      </c>
      <c r="M88" s="35" t="str">
        <f>IF(tbESTOQUE[[#This Row],[CATEGORIA]]="CINTAS",SUMIF(tbValidade[Descrição],tbESTOQUE[[#This Row],[DESCRIÇÃO]],tbValidade[Estoque]),"N/A")</f>
        <v>N/A</v>
      </c>
      <c r="N88" s="41" t="str">
        <f>IFERROR(tbESTOQUE[[#This Row],[ESTOQUE C/ DATA]]*tbESTOQUE[[#This Row],[PREÇO]],tbESTOQUE[[#This Row],[ESTOQUE C/ DATA]])</f>
        <v>N/A</v>
      </c>
      <c r="O88" s="36">
        <f>SUM(tbESTOQUE[[#This Row],[ESTOQUE C/ DATA]],tbESTOQUE[[#This Row],[QUANTIDADE]])</f>
        <v>72</v>
      </c>
      <c r="P88" s="38">
        <f>tbESTOQUE[[#This Row],[ESTOQUE GERAL]]*tbESTOQUE[[#This Row],[PREÇO]]</f>
        <v>599.76</v>
      </c>
    </row>
    <row r="89" spans="1:16" ht="16.5" x14ac:dyDescent="0.25">
      <c r="A89" s="31">
        <f t="shared" si="1"/>
        <v>84</v>
      </c>
      <c r="B89" s="32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PASP84</v>
      </c>
      <c r="C89" s="31" t="s">
        <v>143</v>
      </c>
      <c r="D89" s="32" t="s">
        <v>222</v>
      </c>
      <c r="E89" s="31" t="s">
        <v>11</v>
      </c>
      <c r="F89" s="31" t="s">
        <v>59</v>
      </c>
      <c r="G89" s="33">
        <v>8.33</v>
      </c>
      <c r="H89" s="33" t="s">
        <v>13</v>
      </c>
      <c r="I89" s="34" t="s">
        <v>54</v>
      </c>
      <c r="J89" s="34" t="s">
        <v>208</v>
      </c>
      <c r="K89" s="31">
        <v>12</v>
      </c>
      <c r="L89" s="33">
        <f>tbESTOQUE[[#This Row],[PREÇO]]*tbESTOQUE[[#This Row],[QUANTIDADE]]</f>
        <v>99.960000000000008</v>
      </c>
      <c r="M89" s="35" t="str">
        <f>IF(tbESTOQUE[[#This Row],[CATEGORIA]]="CINTAS",SUMIF(tbValidade[Descrição],tbESTOQUE[[#This Row],[DESCRIÇÃO]],tbValidade[Estoque]),"N/A")</f>
        <v>N/A</v>
      </c>
      <c r="N89" s="41" t="str">
        <f>IFERROR(tbESTOQUE[[#This Row],[ESTOQUE C/ DATA]]*tbESTOQUE[[#This Row],[PREÇO]],tbESTOQUE[[#This Row],[ESTOQUE C/ DATA]])</f>
        <v>N/A</v>
      </c>
      <c r="O89" s="36">
        <f>SUM(tbESTOQUE[[#This Row],[ESTOQUE C/ DATA]],tbESTOQUE[[#This Row],[QUANTIDADE]])</f>
        <v>12</v>
      </c>
      <c r="P89" s="38">
        <f>tbESTOQUE[[#This Row],[ESTOQUE GERAL]]*tbESTOQUE[[#This Row],[PREÇO]]</f>
        <v>99.960000000000008</v>
      </c>
    </row>
    <row r="90" spans="1:16" ht="16.5" x14ac:dyDescent="0.25">
      <c r="A90" s="31">
        <f t="shared" si="1"/>
        <v>85</v>
      </c>
      <c r="B9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PASC85</v>
      </c>
      <c r="C90" s="31" t="s">
        <v>144</v>
      </c>
      <c r="D90" s="32" t="s">
        <v>222</v>
      </c>
      <c r="E90" s="31" t="s">
        <v>11</v>
      </c>
      <c r="F90" s="31" t="s">
        <v>59</v>
      </c>
      <c r="G90" s="33">
        <v>3</v>
      </c>
      <c r="H90" s="33" t="s">
        <v>13</v>
      </c>
      <c r="I90" s="34" t="s">
        <v>54</v>
      </c>
      <c r="J90" s="34" t="s">
        <v>208</v>
      </c>
      <c r="K90" s="31">
        <v>114</v>
      </c>
      <c r="L90" s="33">
        <f>tbESTOQUE[[#This Row],[PREÇO]]*tbESTOQUE[[#This Row],[QUANTIDADE]]</f>
        <v>342</v>
      </c>
      <c r="M90" s="35" t="str">
        <f>IF(tbESTOQUE[[#This Row],[CATEGORIA]]="CINTAS",SUMIF(tbValidade[Descrição],tbESTOQUE[[#This Row],[DESCRIÇÃO]],tbValidade[Estoque]),"N/A")</f>
        <v>N/A</v>
      </c>
      <c r="N90" s="41" t="str">
        <f>IFERROR(tbESTOQUE[[#This Row],[ESTOQUE C/ DATA]]*tbESTOQUE[[#This Row],[PREÇO]],tbESTOQUE[[#This Row],[ESTOQUE C/ DATA]])</f>
        <v>N/A</v>
      </c>
      <c r="O90" s="36">
        <f>SUM(tbESTOQUE[[#This Row],[ESTOQUE C/ DATA]],tbESTOQUE[[#This Row],[QUANTIDADE]])</f>
        <v>114</v>
      </c>
      <c r="P90" s="38">
        <f>tbESTOQUE[[#This Row],[ESTOQUE GERAL]]*tbESTOQUE[[#This Row],[PREÇO]]</f>
        <v>342</v>
      </c>
    </row>
    <row r="91" spans="1:16" ht="16.5" x14ac:dyDescent="0.25">
      <c r="A91" s="31">
        <f t="shared" si="1"/>
        <v>86</v>
      </c>
      <c r="B9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PASC86</v>
      </c>
      <c r="C91" s="31" t="s">
        <v>145</v>
      </c>
      <c r="D91" s="32" t="s">
        <v>222</v>
      </c>
      <c r="E91" s="31" t="s">
        <v>11</v>
      </c>
      <c r="F91" s="31" t="s">
        <v>59</v>
      </c>
      <c r="G91" s="33">
        <v>3</v>
      </c>
      <c r="H91" s="33" t="s">
        <v>13</v>
      </c>
      <c r="I91" s="34" t="s">
        <v>54</v>
      </c>
      <c r="J91" s="34" t="s">
        <v>208</v>
      </c>
      <c r="K91" s="31">
        <v>110</v>
      </c>
      <c r="L91" s="33">
        <f>tbESTOQUE[[#This Row],[PREÇO]]*tbESTOQUE[[#This Row],[QUANTIDADE]]</f>
        <v>330</v>
      </c>
      <c r="M91" s="35" t="str">
        <f>IF(tbESTOQUE[[#This Row],[CATEGORIA]]="CINTAS",SUMIF(tbValidade[Descrição],tbESTOQUE[[#This Row],[DESCRIÇÃO]],tbValidade[Estoque]),"N/A")</f>
        <v>N/A</v>
      </c>
      <c r="N91" s="41" t="str">
        <f>IFERROR(tbESTOQUE[[#This Row],[ESTOQUE C/ DATA]]*tbESTOQUE[[#This Row],[PREÇO]],tbESTOQUE[[#This Row],[ESTOQUE C/ DATA]])</f>
        <v>N/A</v>
      </c>
      <c r="O91" s="36">
        <f>SUM(tbESTOQUE[[#This Row],[ESTOQUE C/ DATA]],tbESTOQUE[[#This Row],[QUANTIDADE]])</f>
        <v>110</v>
      </c>
      <c r="P91" s="38">
        <f>tbESTOQUE[[#This Row],[ESTOQUE GERAL]]*tbESTOQUE[[#This Row],[PREÇO]]</f>
        <v>330</v>
      </c>
    </row>
    <row r="92" spans="1:16" ht="16.5" x14ac:dyDescent="0.25">
      <c r="A92" s="31">
        <f t="shared" si="1"/>
        <v>87</v>
      </c>
      <c r="B9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PASC87</v>
      </c>
      <c r="C92" s="31" t="s">
        <v>146</v>
      </c>
      <c r="D92" s="32" t="s">
        <v>222</v>
      </c>
      <c r="E92" s="31" t="s">
        <v>11</v>
      </c>
      <c r="F92" s="31" t="s">
        <v>59</v>
      </c>
      <c r="G92" s="33">
        <v>3</v>
      </c>
      <c r="H92" s="33" t="s">
        <v>13</v>
      </c>
      <c r="I92" s="34" t="s">
        <v>54</v>
      </c>
      <c r="J92" s="34" t="s">
        <v>208</v>
      </c>
      <c r="K92" s="31">
        <v>200</v>
      </c>
      <c r="L92" s="33">
        <f>tbESTOQUE[[#This Row],[PREÇO]]*tbESTOQUE[[#This Row],[QUANTIDADE]]</f>
        <v>600</v>
      </c>
      <c r="M92" s="35" t="str">
        <f>IF(tbESTOQUE[[#This Row],[CATEGORIA]]="CINTAS",SUMIF(tbValidade[Descrição],tbESTOQUE[[#This Row],[DESCRIÇÃO]],tbValidade[Estoque]),"N/A")</f>
        <v>N/A</v>
      </c>
      <c r="N92" s="41" t="str">
        <f>IFERROR(tbESTOQUE[[#This Row],[ESTOQUE C/ DATA]]*tbESTOQUE[[#This Row],[PREÇO]],tbESTOQUE[[#This Row],[ESTOQUE C/ DATA]])</f>
        <v>N/A</v>
      </c>
      <c r="O92" s="36">
        <f>SUM(tbESTOQUE[[#This Row],[ESTOQUE C/ DATA]],tbESTOQUE[[#This Row],[QUANTIDADE]])</f>
        <v>200</v>
      </c>
      <c r="P92" s="38">
        <f>tbESTOQUE[[#This Row],[ESTOQUE GERAL]]*tbESTOQUE[[#This Row],[PREÇO]]</f>
        <v>600</v>
      </c>
    </row>
    <row r="93" spans="1:16" ht="16.5" x14ac:dyDescent="0.25">
      <c r="A93" s="31">
        <f t="shared" si="1"/>
        <v>88</v>
      </c>
      <c r="B9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MPA588</v>
      </c>
      <c r="C93" s="31" t="s">
        <v>86</v>
      </c>
      <c r="D93" s="32" t="s">
        <v>49</v>
      </c>
      <c r="E93" s="31" t="s">
        <v>175</v>
      </c>
      <c r="F93" s="31" t="s">
        <v>54</v>
      </c>
      <c r="G93" s="33">
        <v>0</v>
      </c>
      <c r="H93" s="33" t="s">
        <v>12</v>
      </c>
      <c r="I93" s="34" t="s">
        <v>54</v>
      </c>
      <c r="J93" s="34" t="s">
        <v>209</v>
      </c>
      <c r="K93" s="31">
        <v>7.94</v>
      </c>
      <c r="L93" s="33">
        <f>tbESTOQUE[[#This Row],[PREÇO]]*tbESTOQUE[[#This Row],[QUANTIDADE]]</f>
        <v>0</v>
      </c>
      <c r="M93" s="35" t="str">
        <f>IF(tbESTOQUE[[#This Row],[CATEGORIA]]="CINTAS",SUMIF(tbValidade[Descrição],tbESTOQUE[[#This Row],[DESCRIÇÃO]],tbValidade[Estoque]),"N/A")</f>
        <v>N/A</v>
      </c>
      <c r="N93" s="41" t="str">
        <f>IFERROR(tbESTOQUE[[#This Row],[ESTOQUE C/ DATA]]*tbESTOQUE[[#This Row],[PREÇO]],tbESTOQUE[[#This Row],[ESTOQUE C/ DATA]])</f>
        <v>N/A</v>
      </c>
      <c r="O93" s="36">
        <f>SUM(tbESTOQUE[[#This Row],[ESTOQUE C/ DATA]],tbESTOQUE[[#This Row],[QUANTIDADE]])</f>
        <v>7.94</v>
      </c>
      <c r="P93" s="38">
        <f>tbESTOQUE[[#This Row],[ESTOQUE GERAL]]*tbESTOQUE[[#This Row],[PREÇO]]</f>
        <v>0</v>
      </c>
    </row>
    <row r="94" spans="1:16" ht="16.5" x14ac:dyDescent="0.25">
      <c r="A94" s="31">
        <f t="shared" si="1"/>
        <v>89</v>
      </c>
      <c r="B9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MPAA89</v>
      </c>
      <c r="C94" s="31" t="s">
        <v>88</v>
      </c>
      <c r="D94" s="32" t="s">
        <v>49</v>
      </c>
      <c r="E94" s="31" t="s">
        <v>175</v>
      </c>
      <c r="F94" s="31" t="s">
        <v>59</v>
      </c>
      <c r="G94" s="33">
        <v>0</v>
      </c>
      <c r="H94" s="33" t="s">
        <v>12</v>
      </c>
      <c r="I94" s="34" t="s">
        <v>54</v>
      </c>
      <c r="J94" s="34" t="s">
        <v>209</v>
      </c>
      <c r="K94" s="31">
        <v>17.93</v>
      </c>
      <c r="L94" s="33">
        <f>tbESTOQUE[[#This Row],[PREÇO]]*tbESTOQUE[[#This Row],[QUANTIDADE]]</f>
        <v>0</v>
      </c>
      <c r="M94" s="35" t="str">
        <f>IF(tbESTOQUE[[#This Row],[CATEGORIA]]="CINTAS",SUMIF(tbValidade[Descrição],tbESTOQUE[[#This Row],[DESCRIÇÃO]],tbValidade[Estoque]),"N/A")</f>
        <v>N/A</v>
      </c>
      <c r="N94" s="41" t="str">
        <f>IFERROR(tbESTOQUE[[#This Row],[ESTOQUE C/ DATA]]*tbESTOQUE[[#This Row],[PREÇO]],tbESTOQUE[[#This Row],[ESTOQUE C/ DATA]])</f>
        <v>N/A</v>
      </c>
      <c r="O94" s="36">
        <f>SUM(tbESTOQUE[[#This Row],[ESTOQUE C/ DATA]],tbESTOQUE[[#This Row],[QUANTIDADE]])</f>
        <v>17.93</v>
      </c>
      <c r="P94" s="38">
        <f>tbESTOQUE[[#This Row],[ESTOQUE GERAL]]*tbESTOQUE[[#This Row],[PREÇO]]</f>
        <v>0</v>
      </c>
    </row>
    <row r="95" spans="1:16" ht="16.5" x14ac:dyDescent="0.25">
      <c r="A95" s="31">
        <f t="shared" si="1"/>
        <v>90</v>
      </c>
      <c r="B95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MPB090</v>
      </c>
      <c r="C95" s="31" t="s">
        <v>90</v>
      </c>
      <c r="D95" s="32" t="s">
        <v>49</v>
      </c>
      <c r="E95" s="31" t="s">
        <v>175</v>
      </c>
      <c r="F95" s="31" t="s">
        <v>54</v>
      </c>
      <c r="G95" s="33">
        <v>0</v>
      </c>
      <c r="H95" s="33" t="s">
        <v>12</v>
      </c>
      <c r="I95" s="34" t="s">
        <v>54</v>
      </c>
      <c r="J95" s="34" t="s">
        <v>209</v>
      </c>
      <c r="K95" s="31">
        <v>1</v>
      </c>
      <c r="L95" s="33">
        <f>tbESTOQUE[[#This Row],[PREÇO]]*tbESTOQUE[[#This Row],[QUANTIDADE]]</f>
        <v>0</v>
      </c>
      <c r="M95" s="35" t="str">
        <f>IF(tbESTOQUE[[#This Row],[CATEGORIA]]="CINTAS",SUMIF(tbValidade[Descrição],tbESTOQUE[[#This Row],[DESCRIÇÃO]],tbValidade[Estoque]),"N/A")</f>
        <v>N/A</v>
      </c>
      <c r="N95" s="41" t="str">
        <f>IFERROR(tbESTOQUE[[#This Row],[ESTOQUE C/ DATA]]*tbESTOQUE[[#This Row],[PREÇO]],tbESTOQUE[[#This Row],[ESTOQUE C/ DATA]])</f>
        <v>N/A</v>
      </c>
      <c r="O95" s="36">
        <f>SUM(tbESTOQUE[[#This Row],[ESTOQUE C/ DATA]],tbESTOQUE[[#This Row],[QUANTIDADE]])</f>
        <v>1</v>
      </c>
      <c r="P95" s="38">
        <f>tbESTOQUE[[#This Row],[ESTOQUE GERAL]]*tbESTOQUE[[#This Row],[PREÇO]]</f>
        <v>0</v>
      </c>
    </row>
    <row r="96" spans="1:16" ht="16.5" x14ac:dyDescent="0.25">
      <c r="A96" s="31">
        <f t="shared" si="1"/>
        <v>91</v>
      </c>
      <c r="B96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MPB591</v>
      </c>
      <c r="C96" s="31" t="s">
        <v>91</v>
      </c>
      <c r="D96" s="32" t="s">
        <v>49</v>
      </c>
      <c r="E96" s="31" t="s">
        <v>175</v>
      </c>
      <c r="F96" s="31" t="s">
        <v>54</v>
      </c>
      <c r="G96" s="33">
        <v>0</v>
      </c>
      <c r="H96" s="33" t="s">
        <v>12</v>
      </c>
      <c r="I96" s="34" t="s">
        <v>54</v>
      </c>
      <c r="J96" s="34" t="s">
        <v>209</v>
      </c>
      <c r="K96" s="31">
        <v>3.5550000000000002</v>
      </c>
      <c r="L96" s="33">
        <f>tbESTOQUE[[#This Row],[PREÇO]]*tbESTOQUE[[#This Row],[QUANTIDADE]]</f>
        <v>0</v>
      </c>
      <c r="M96" s="35" t="str">
        <f>IF(tbESTOQUE[[#This Row],[CATEGORIA]]="CINTAS",SUMIF(tbValidade[Descrição],tbESTOQUE[[#This Row],[DESCRIÇÃO]],tbValidade[Estoque]),"N/A")</f>
        <v>N/A</v>
      </c>
      <c r="N96" s="41" t="str">
        <f>IFERROR(tbESTOQUE[[#This Row],[ESTOQUE C/ DATA]]*tbESTOQUE[[#This Row],[PREÇO]],tbESTOQUE[[#This Row],[ESTOQUE C/ DATA]])</f>
        <v>N/A</v>
      </c>
      <c r="O96" s="36">
        <f>SUM(tbESTOQUE[[#This Row],[ESTOQUE C/ DATA]],tbESTOQUE[[#This Row],[QUANTIDADE]])</f>
        <v>3.5550000000000002</v>
      </c>
      <c r="P96" s="38">
        <f>tbESTOQUE[[#This Row],[ESTOQUE GERAL]]*tbESTOQUE[[#This Row],[PREÇO]]</f>
        <v>0</v>
      </c>
    </row>
    <row r="97" spans="1:16" ht="16.5" x14ac:dyDescent="0.25">
      <c r="A97" s="31">
        <f t="shared" si="1"/>
        <v>92</v>
      </c>
      <c r="B97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MPBB92</v>
      </c>
      <c r="C97" s="31" t="s">
        <v>92</v>
      </c>
      <c r="D97" s="32" t="s">
        <v>49</v>
      </c>
      <c r="E97" s="31" t="s">
        <v>175</v>
      </c>
      <c r="F97" s="31" t="s">
        <v>59</v>
      </c>
      <c r="G97" s="33">
        <v>0</v>
      </c>
      <c r="H97" s="33" t="s">
        <v>12</v>
      </c>
      <c r="I97" s="34" t="s">
        <v>54</v>
      </c>
      <c r="J97" s="34" t="s">
        <v>209</v>
      </c>
      <c r="K97" s="31">
        <v>2.46</v>
      </c>
      <c r="L97" s="33">
        <f>tbESTOQUE[[#This Row],[PREÇO]]*tbESTOQUE[[#This Row],[QUANTIDADE]]</f>
        <v>0</v>
      </c>
      <c r="M97" s="35" t="str">
        <f>IF(tbESTOQUE[[#This Row],[CATEGORIA]]="CINTAS",SUMIF(tbValidade[Descrição],tbESTOQUE[[#This Row],[DESCRIÇÃO]],tbValidade[Estoque]),"N/A")</f>
        <v>N/A</v>
      </c>
      <c r="N97" s="41" t="str">
        <f>IFERROR(tbESTOQUE[[#This Row],[ESTOQUE C/ DATA]]*tbESTOQUE[[#This Row],[PREÇO]],tbESTOQUE[[#This Row],[ESTOQUE C/ DATA]])</f>
        <v>N/A</v>
      </c>
      <c r="O97" s="36">
        <f>SUM(tbESTOQUE[[#This Row],[ESTOQUE C/ DATA]],tbESTOQUE[[#This Row],[QUANTIDADE]])</f>
        <v>2.46</v>
      </c>
      <c r="P97" s="38">
        <f>tbESTOQUE[[#This Row],[ESTOQUE GERAL]]*tbESTOQUE[[#This Row],[PREÇO]]</f>
        <v>0</v>
      </c>
    </row>
    <row r="98" spans="1:16" ht="16.5" x14ac:dyDescent="0.25">
      <c r="A98" s="31">
        <f t="shared" si="1"/>
        <v>93</v>
      </c>
      <c r="B98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MPBC93</v>
      </c>
      <c r="C98" s="31" t="s">
        <v>93</v>
      </c>
      <c r="D98" s="32" t="s">
        <v>49</v>
      </c>
      <c r="E98" s="31" t="s">
        <v>175</v>
      </c>
      <c r="F98" s="31" t="s">
        <v>59</v>
      </c>
      <c r="G98" s="33">
        <v>0</v>
      </c>
      <c r="H98" s="33" t="s">
        <v>12</v>
      </c>
      <c r="I98" s="34" t="s">
        <v>54</v>
      </c>
      <c r="J98" s="34" t="s">
        <v>209</v>
      </c>
      <c r="K98" s="31">
        <v>0.185</v>
      </c>
      <c r="L98" s="33">
        <f>tbESTOQUE[[#This Row],[PREÇO]]*tbESTOQUE[[#This Row],[QUANTIDADE]]</f>
        <v>0</v>
      </c>
      <c r="M98" s="35" t="str">
        <f>IF(tbESTOQUE[[#This Row],[CATEGORIA]]="CINTAS",SUMIF(tbValidade[Descrição],tbESTOQUE[[#This Row],[DESCRIÇÃO]],tbValidade[Estoque]),"N/A")</f>
        <v>N/A</v>
      </c>
      <c r="N98" s="41" t="str">
        <f>IFERROR(tbESTOQUE[[#This Row],[ESTOQUE C/ DATA]]*tbESTOQUE[[#This Row],[PREÇO]],tbESTOQUE[[#This Row],[ESTOQUE C/ DATA]])</f>
        <v>N/A</v>
      </c>
      <c r="O98" s="36">
        <f>SUM(tbESTOQUE[[#This Row],[ESTOQUE C/ DATA]],tbESTOQUE[[#This Row],[QUANTIDADE]])</f>
        <v>0.185</v>
      </c>
      <c r="P98" s="38">
        <f>tbESTOQUE[[#This Row],[ESTOQUE GERAL]]*tbESTOQUE[[#This Row],[PREÇO]]</f>
        <v>0</v>
      </c>
    </row>
    <row r="99" spans="1:16" ht="16.5" x14ac:dyDescent="0.25">
      <c r="A99" s="31">
        <f t="shared" si="1"/>
        <v>94</v>
      </c>
      <c r="B99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MPBC94</v>
      </c>
      <c r="C99" s="31" t="s">
        <v>94</v>
      </c>
      <c r="D99" s="32" t="s">
        <v>49</v>
      </c>
      <c r="E99" s="31" t="s">
        <v>175</v>
      </c>
      <c r="F99" s="31" t="s">
        <v>59</v>
      </c>
      <c r="G99" s="33">
        <v>0</v>
      </c>
      <c r="H99" s="33" t="s">
        <v>12</v>
      </c>
      <c r="I99" s="34" t="s">
        <v>54</v>
      </c>
      <c r="J99" s="34" t="s">
        <v>209</v>
      </c>
      <c r="K99" s="31">
        <v>0.505</v>
      </c>
      <c r="L99" s="33">
        <f>tbESTOQUE[[#This Row],[PREÇO]]*tbESTOQUE[[#This Row],[QUANTIDADE]]</f>
        <v>0</v>
      </c>
      <c r="M99" s="35" t="str">
        <f>IF(tbESTOQUE[[#This Row],[CATEGORIA]]="CINTAS",SUMIF(tbValidade[Descrição],tbESTOQUE[[#This Row],[DESCRIÇÃO]],tbValidade[Estoque]),"N/A")</f>
        <v>N/A</v>
      </c>
      <c r="N99" s="41" t="str">
        <f>IFERROR(tbESTOQUE[[#This Row],[ESTOQUE C/ DATA]]*tbESTOQUE[[#This Row],[PREÇO]],tbESTOQUE[[#This Row],[ESTOQUE C/ DATA]])</f>
        <v>N/A</v>
      </c>
      <c r="O99" s="36">
        <f>SUM(tbESTOQUE[[#This Row],[ESTOQUE C/ DATA]],tbESTOQUE[[#This Row],[QUANTIDADE]])</f>
        <v>0.505</v>
      </c>
      <c r="P99" s="38">
        <f>tbESTOQUE[[#This Row],[ESTOQUE GERAL]]*tbESTOQUE[[#This Row],[PREÇO]]</f>
        <v>0</v>
      </c>
    </row>
    <row r="100" spans="1:16" ht="16.5" x14ac:dyDescent="0.25">
      <c r="A100" s="31">
        <f t="shared" si="1"/>
        <v>95</v>
      </c>
      <c r="B10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MPCC95</v>
      </c>
      <c r="C100" s="31" t="s">
        <v>95</v>
      </c>
      <c r="D100" s="32" t="s">
        <v>49</v>
      </c>
      <c r="E100" s="31" t="s">
        <v>175</v>
      </c>
      <c r="F100" s="31" t="s">
        <v>54</v>
      </c>
      <c r="G100" s="33">
        <v>0</v>
      </c>
      <c r="H100" s="33" t="s">
        <v>12</v>
      </c>
      <c r="I100" s="34" t="s">
        <v>54</v>
      </c>
      <c r="J100" s="34" t="s">
        <v>209</v>
      </c>
      <c r="K100" s="31">
        <v>6.375</v>
      </c>
      <c r="L100" s="33">
        <f>tbESTOQUE[[#This Row],[PREÇO]]*tbESTOQUE[[#This Row],[QUANTIDADE]]</f>
        <v>0</v>
      </c>
      <c r="M100" s="35" t="str">
        <f>IF(tbESTOQUE[[#This Row],[CATEGORIA]]="CINTAS",SUMIF(tbValidade[Descrição],tbESTOQUE[[#This Row],[DESCRIÇÃO]],tbValidade[Estoque]),"N/A")</f>
        <v>N/A</v>
      </c>
      <c r="N100" s="41" t="str">
        <f>IFERROR(tbESTOQUE[[#This Row],[ESTOQUE C/ DATA]]*tbESTOQUE[[#This Row],[PREÇO]],tbESTOQUE[[#This Row],[ESTOQUE C/ DATA]])</f>
        <v>N/A</v>
      </c>
      <c r="O100" s="36">
        <f>SUM(tbESTOQUE[[#This Row],[ESTOQUE C/ DATA]],tbESTOQUE[[#This Row],[QUANTIDADE]])</f>
        <v>6.375</v>
      </c>
      <c r="P100" s="38">
        <f>tbESTOQUE[[#This Row],[ESTOQUE GERAL]]*tbESTOQUE[[#This Row],[PREÇO]]</f>
        <v>0</v>
      </c>
    </row>
    <row r="101" spans="1:16" ht="16.5" x14ac:dyDescent="0.25">
      <c r="A101" s="31">
        <f t="shared" si="1"/>
        <v>96</v>
      </c>
      <c r="B10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MPCB96</v>
      </c>
      <c r="C101" s="31" t="s">
        <v>96</v>
      </c>
      <c r="D101" s="32" t="s">
        <v>49</v>
      </c>
      <c r="E101" s="31" t="s">
        <v>175</v>
      </c>
      <c r="F101" s="31" t="s">
        <v>59</v>
      </c>
      <c r="G101" s="33">
        <v>0</v>
      </c>
      <c r="H101" s="33" t="s">
        <v>12</v>
      </c>
      <c r="I101" s="34" t="s">
        <v>54</v>
      </c>
      <c r="J101" s="34" t="s">
        <v>209</v>
      </c>
      <c r="K101" s="31">
        <v>0.36500000000000005</v>
      </c>
      <c r="L101" s="33">
        <f>tbESTOQUE[[#This Row],[PREÇO]]*tbESTOQUE[[#This Row],[QUANTIDADE]]</f>
        <v>0</v>
      </c>
      <c r="M101" s="35" t="str">
        <f>IF(tbESTOQUE[[#This Row],[CATEGORIA]]="CINTAS",SUMIF(tbValidade[Descrição],tbESTOQUE[[#This Row],[DESCRIÇÃO]],tbValidade[Estoque]),"N/A")</f>
        <v>N/A</v>
      </c>
      <c r="N101" s="41" t="str">
        <f>IFERROR(tbESTOQUE[[#This Row],[ESTOQUE C/ DATA]]*tbESTOQUE[[#This Row],[PREÇO]],tbESTOQUE[[#This Row],[ESTOQUE C/ DATA]])</f>
        <v>N/A</v>
      </c>
      <c r="O101" s="36">
        <f>SUM(tbESTOQUE[[#This Row],[ESTOQUE C/ DATA]],tbESTOQUE[[#This Row],[QUANTIDADE]])</f>
        <v>0.36500000000000005</v>
      </c>
      <c r="P101" s="38">
        <f>tbESTOQUE[[#This Row],[ESTOQUE GERAL]]*tbESTOQUE[[#This Row],[PREÇO]]</f>
        <v>0</v>
      </c>
    </row>
    <row r="102" spans="1:16" ht="16.5" x14ac:dyDescent="0.25">
      <c r="A102" s="31">
        <f t="shared" si="1"/>
        <v>97</v>
      </c>
      <c r="B10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MPCA97</v>
      </c>
      <c r="C102" s="31" t="s">
        <v>97</v>
      </c>
      <c r="D102" s="32" t="s">
        <v>49</v>
      </c>
      <c r="E102" s="31" t="s">
        <v>175</v>
      </c>
      <c r="F102" s="31" t="s">
        <v>59</v>
      </c>
      <c r="G102" s="33">
        <v>0</v>
      </c>
      <c r="H102" s="33" t="s">
        <v>12</v>
      </c>
      <c r="I102" s="34" t="s">
        <v>54</v>
      </c>
      <c r="J102" s="34" t="s">
        <v>209</v>
      </c>
      <c r="K102" s="31">
        <v>0.28500000000000003</v>
      </c>
      <c r="L102" s="33">
        <f>tbESTOQUE[[#This Row],[PREÇO]]*tbESTOQUE[[#This Row],[QUANTIDADE]]</f>
        <v>0</v>
      </c>
      <c r="M102" s="35" t="str">
        <f>IF(tbESTOQUE[[#This Row],[CATEGORIA]]="CINTAS",SUMIF(tbValidade[Descrição],tbESTOQUE[[#This Row],[DESCRIÇÃO]],tbValidade[Estoque]),"N/A")</f>
        <v>N/A</v>
      </c>
      <c r="N102" s="41" t="str">
        <f>IFERROR(tbESTOQUE[[#This Row],[ESTOQUE C/ DATA]]*tbESTOQUE[[#This Row],[PREÇO]],tbESTOQUE[[#This Row],[ESTOQUE C/ DATA]])</f>
        <v>N/A</v>
      </c>
      <c r="O102" s="36">
        <f>SUM(tbESTOQUE[[#This Row],[ESTOQUE C/ DATA]],tbESTOQUE[[#This Row],[QUANTIDADE]])</f>
        <v>0.28500000000000003</v>
      </c>
      <c r="P102" s="38">
        <f>tbESTOQUE[[#This Row],[ESTOQUE GERAL]]*tbESTOQUE[[#This Row],[PREÇO]]</f>
        <v>0</v>
      </c>
    </row>
    <row r="103" spans="1:16" ht="16.5" x14ac:dyDescent="0.25">
      <c r="A103" s="31">
        <f t="shared" si="1"/>
        <v>98</v>
      </c>
      <c r="B10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MPCC98</v>
      </c>
      <c r="C103" s="31" t="s">
        <v>98</v>
      </c>
      <c r="D103" s="32" t="s">
        <v>49</v>
      </c>
      <c r="E103" s="31" t="s">
        <v>175</v>
      </c>
      <c r="F103" s="31" t="s">
        <v>59</v>
      </c>
      <c r="G103" s="33">
        <v>0</v>
      </c>
      <c r="H103" s="33" t="s">
        <v>12</v>
      </c>
      <c r="I103" s="34" t="s">
        <v>54</v>
      </c>
      <c r="J103" s="34" t="s">
        <v>209</v>
      </c>
      <c r="K103" s="31">
        <v>44.3</v>
      </c>
      <c r="L103" s="33">
        <f>tbESTOQUE[[#This Row],[PREÇO]]*tbESTOQUE[[#This Row],[QUANTIDADE]]</f>
        <v>0</v>
      </c>
      <c r="M103" s="35" t="str">
        <f>IF(tbESTOQUE[[#This Row],[CATEGORIA]]="CINTAS",SUMIF(tbValidade[Descrição],tbESTOQUE[[#This Row],[DESCRIÇÃO]],tbValidade[Estoque]),"N/A")</f>
        <v>N/A</v>
      </c>
      <c r="N103" s="41" t="str">
        <f>IFERROR(tbESTOQUE[[#This Row],[ESTOQUE C/ DATA]]*tbESTOQUE[[#This Row],[PREÇO]],tbESTOQUE[[#This Row],[ESTOQUE C/ DATA]])</f>
        <v>N/A</v>
      </c>
      <c r="O103" s="36">
        <f>SUM(tbESTOQUE[[#This Row],[ESTOQUE C/ DATA]],tbESTOQUE[[#This Row],[QUANTIDADE]])</f>
        <v>44.3</v>
      </c>
      <c r="P103" s="38">
        <f>tbESTOQUE[[#This Row],[ESTOQUE GERAL]]*tbESTOQUE[[#This Row],[PREÇO]]</f>
        <v>0</v>
      </c>
    </row>
    <row r="104" spans="1:16" ht="16.5" x14ac:dyDescent="0.25">
      <c r="A104" s="31">
        <f t="shared" si="1"/>
        <v>99</v>
      </c>
      <c r="B10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MPCC99</v>
      </c>
      <c r="C104" s="31" t="s">
        <v>99</v>
      </c>
      <c r="D104" s="32" t="s">
        <v>49</v>
      </c>
      <c r="E104" s="31" t="s">
        <v>175</v>
      </c>
      <c r="F104" s="31" t="s">
        <v>59</v>
      </c>
      <c r="G104" s="33">
        <v>0</v>
      </c>
      <c r="H104" s="33" t="s">
        <v>12</v>
      </c>
      <c r="I104" s="34" t="s">
        <v>54</v>
      </c>
      <c r="J104" s="34" t="s">
        <v>209</v>
      </c>
      <c r="K104" s="31">
        <v>0.1</v>
      </c>
      <c r="L104" s="33">
        <f>tbESTOQUE[[#This Row],[PREÇO]]*tbESTOQUE[[#This Row],[QUANTIDADE]]</f>
        <v>0</v>
      </c>
      <c r="M104" s="35" t="str">
        <f>IF(tbESTOQUE[[#This Row],[CATEGORIA]]="CINTAS",SUMIF(tbValidade[Descrição],tbESTOQUE[[#This Row],[DESCRIÇÃO]],tbValidade[Estoque]),"N/A")</f>
        <v>N/A</v>
      </c>
      <c r="N104" s="41" t="str">
        <f>IFERROR(tbESTOQUE[[#This Row],[ESTOQUE C/ DATA]]*tbESTOQUE[[#This Row],[PREÇO]],tbESTOQUE[[#This Row],[ESTOQUE C/ DATA]])</f>
        <v>N/A</v>
      </c>
      <c r="O104" s="36">
        <f>SUM(tbESTOQUE[[#This Row],[ESTOQUE C/ DATA]],tbESTOQUE[[#This Row],[QUANTIDADE]])</f>
        <v>0.1</v>
      </c>
      <c r="P104" s="38">
        <f>tbESTOQUE[[#This Row],[ESTOQUE GERAL]]*tbESTOQUE[[#This Row],[PREÇO]]</f>
        <v>0</v>
      </c>
    </row>
    <row r="105" spans="1:16" ht="16.5" x14ac:dyDescent="0.25">
      <c r="A105" s="31">
        <f t="shared" si="1"/>
        <v>100</v>
      </c>
      <c r="B105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MPF100</v>
      </c>
      <c r="C105" s="31" t="s">
        <v>100</v>
      </c>
      <c r="D105" s="32" t="s">
        <v>49</v>
      </c>
      <c r="E105" s="31" t="s">
        <v>175</v>
      </c>
      <c r="F105" s="31" t="s">
        <v>59</v>
      </c>
      <c r="G105" s="33">
        <v>0</v>
      </c>
      <c r="H105" s="33" t="s">
        <v>12</v>
      </c>
      <c r="I105" s="34" t="s">
        <v>54</v>
      </c>
      <c r="J105" s="34" t="s">
        <v>209</v>
      </c>
      <c r="K105" s="31">
        <v>2.5000000000000001E-2</v>
      </c>
      <c r="L105" s="33">
        <f>tbESTOQUE[[#This Row],[PREÇO]]*tbESTOQUE[[#This Row],[QUANTIDADE]]</f>
        <v>0</v>
      </c>
      <c r="M105" s="35" t="str">
        <f>IF(tbESTOQUE[[#This Row],[CATEGORIA]]="CINTAS",SUMIF(tbValidade[Descrição],tbESTOQUE[[#This Row],[DESCRIÇÃO]],tbValidade[Estoque]),"N/A")</f>
        <v>N/A</v>
      </c>
      <c r="N105" s="41" t="str">
        <f>IFERROR(tbESTOQUE[[#This Row],[ESTOQUE C/ DATA]]*tbESTOQUE[[#This Row],[PREÇO]],tbESTOQUE[[#This Row],[ESTOQUE C/ DATA]])</f>
        <v>N/A</v>
      </c>
      <c r="O105" s="36">
        <f>SUM(tbESTOQUE[[#This Row],[ESTOQUE C/ DATA]],tbESTOQUE[[#This Row],[QUANTIDADE]])</f>
        <v>2.5000000000000001E-2</v>
      </c>
      <c r="P105" s="38">
        <f>tbESTOQUE[[#This Row],[ESTOQUE GERAL]]*tbESTOQUE[[#This Row],[PREÇO]]</f>
        <v>0</v>
      </c>
    </row>
    <row r="106" spans="1:16" ht="16.5" x14ac:dyDescent="0.25">
      <c r="A106" s="31">
        <f t="shared" si="1"/>
        <v>101</v>
      </c>
      <c r="B106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MPF0101</v>
      </c>
      <c r="C106" s="31" t="s">
        <v>101</v>
      </c>
      <c r="D106" s="32" t="s">
        <v>49</v>
      </c>
      <c r="E106" s="31" t="s">
        <v>175</v>
      </c>
      <c r="F106" s="31" t="s">
        <v>54</v>
      </c>
      <c r="G106" s="33">
        <v>0</v>
      </c>
      <c r="H106" s="33" t="s">
        <v>12</v>
      </c>
      <c r="I106" s="34" t="s">
        <v>54</v>
      </c>
      <c r="J106" s="34" t="s">
        <v>209</v>
      </c>
      <c r="K106" s="31">
        <v>7.92</v>
      </c>
      <c r="L106" s="33">
        <f>tbESTOQUE[[#This Row],[PREÇO]]*tbESTOQUE[[#This Row],[QUANTIDADE]]</f>
        <v>0</v>
      </c>
      <c r="M106" s="35" t="str">
        <f>IF(tbESTOQUE[[#This Row],[CATEGORIA]]="CINTAS",SUMIF(tbValidade[Descrição],tbESTOQUE[[#This Row],[DESCRIÇÃO]],tbValidade[Estoque]),"N/A")</f>
        <v>N/A</v>
      </c>
      <c r="N106" s="41" t="str">
        <f>IFERROR(tbESTOQUE[[#This Row],[ESTOQUE C/ DATA]]*tbESTOQUE[[#This Row],[PREÇO]],tbESTOQUE[[#This Row],[ESTOQUE C/ DATA]])</f>
        <v>N/A</v>
      </c>
      <c r="O106" s="36">
        <f>SUM(tbESTOQUE[[#This Row],[ESTOQUE C/ DATA]],tbESTOQUE[[#This Row],[QUANTIDADE]])</f>
        <v>7.92</v>
      </c>
      <c r="P106" s="38">
        <f>tbESTOQUE[[#This Row],[ESTOQUE GERAL]]*tbESTOQUE[[#This Row],[PREÇO]]</f>
        <v>0</v>
      </c>
    </row>
    <row r="107" spans="1:16" ht="16.5" x14ac:dyDescent="0.25">
      <c r="A107" s="31">
        <f t="shared" si="1"/>
        <v>102</v>
      </c>
      <c r="B107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MPFT102</v>
      </c>
      <c r="C107" s="31" t="s">
        <v>102</v>
      </c>
      <c r="D107" s="32" t="s">
        <v>49</v>
      </c>
      <c r="E107" s="31" t="s">
        <v>175</v>
      </c>
      <c r="F107" s="31" t="s">
        <v>59</v>
      </c>
      <c r="G107" s="33">
        <v>0</v>
      </c>
      <c r="H107" s="33" t="s">
        <v>12</v>
      </c>
      <c r="I107" s="34" t="s">
        <v>54</v>
      </c>
      <c r="J107" s="34" t="s">
        <v>209</v>
      </c>
      <c r="K107" s="31">
        <v>3.1949999999999994</v>
      </c>
      <c r="L107" s="33">
        <f>tbESTOQUE[[#This Row],[PREÇO]]*tbESTOQUE[[#This Row],[QUANTIDADE]]</f>
        <v>0</v>
      </c>
      <c r="M107" s="35" t="str">
        <f>IF(tbESTOQUE[[#This Row],[CATEGORIA]]="CINTAS",SUMIF(tbValidade[Descrição],tbESTOQUE[[#This Row],[DESCRIÇÃO]],tbValidade[Estoque]),"N/A")</f>
        <v>N/A</v>
      </c>
      <c r="N107" s="41" t="str">
        <f>IFERROR(tbESTOQUE[[#This Row],[ESTOQUE C/ DATA]]*tbESTOQUE[[#This Row],[PREÇO]],tbESTOQUE[[#This Row],[ESTOQUE C/ DATA]])</f>
        <v>N/A</v>
      </c>
      <c r="O107" s="36">
        <f>SUM(tbESTOQUE[[#This Row],[ESTOQUE C/ DATA]],tbESTOQUE[[#This Row],[QUANTIDADE]])</f>
        <v>3.1949999999999994</v>
      </c>
      <c r="P107" s="38">
        <f>tbESTOQUE[[#This Row],[ESTOQUE GERAL]]*tbESTOQUE[[#This Row],[PREÇO]]</f>
        <v>0</v>
      </c>
    </row>
    <row r="108" spans="1:16" ht="16.5" x14ac:dyDescent="0.25">
      <c r="A108" s="31">
        <f t="shared" si="1"/>
        <v>103</v>
      </c>
      <c r="B108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MPIG103</v>
      </c>
      <c r="C108" s="31" t="s">
        <v>103</v>
      </c>
      <c r="D108" s="32" t="s">
        <v>49</v>
      </c>
      <c r="E108" s="31" t="s">
        <v>175</v>
      </c>
      <c r="F108" s="31" t="s">
        <v>54</v>
      </c>
      <c r="G108" s="33">
        <v>0</v>
      </c>
      <c r="H108" s="33" t="s">
        <v>12</v>
      </c>
      <c r="I108" s="34" t="s">
        <v>54</v>
      </c>
      <c r="J108" s="34" t="s">
        <v>209</v>
      </c>
      <c r="K108" s="31">
        <v>5.7350000000000003</v>
      </c>
      <c r="L108" s="33">
        <f>tbESTOQUE[[#This Row],[PREÇO]]*tbESTOQUE[[#This Row],[QUANTIDADE]]</f>
        <v>0</v>
      </c>
      <c r="M108" s="35" t="str">
        <f>IF(tbESTOQUE[[#This Row],[CATEGORIA]]="CINTAS",SUMIF(tbValidade[Descrição],tbESTOQUE[[#This Row],[DESCRIÇÃO]],tbValidade[Estoque]),"N/A")</f>
        <v>N/A</v>
      </c>
      <c r="N108" s="41" t="str">
        <f>IFERROR(tbESTOQUE[[#This Row],[ESTOQUE C/ DATA]]*tbESTOQUE[[#This Row],[PREÇO]],tbESTOQUE[[#This Row],[ESTOQUE C/ DATA]])</f>
        <v>N/A</v>
      </c>
      <c r="O108" s="36">
        <f>SUM(tbESTOQUE[[#This Row],[ESTOQUE C/ DATA]],tbESTOQUE[[#This Row],[QUANTIDADE]])</f>
        <v>5.7350000000000003</v>
      </c>
      <c r="P108" s="38">
        <f>tbESTOQUE[[#This Row],[ESTOQUE GERAL]]*tbESTOQUE[[#This Row],[PREÇO]]</f>
        <v>0</v>
      </c>
    </row>
    <row r="109" spans="1:16" ht="16.5" x14ac:dyDescent="0.25">
      <c r="A109" s="31">
        <f t="shared" si="1"/>
        <v>104</v>
      </c>
      <c r="B109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MPL0104</v>
      </c>
      <c r="C109" s="31" t="s">
        <v>104</v>
      </c>
      <c r="D109" s="32" t="s">
        <v>49</v>
      </c>
      <c r="E109" s="31" t="s">
        <v>175</v>
      </c>
      <c r="F109" s="31" t="s">
        <v>54</v>
      </c>
      <c r="G109" s="33">
        <v>0</v>
      </c>
      <c r="H109" s="33" t="s">
        <v>12</v>
      </c>
      <c r="I109" s="34" t="s">
        <v>54</v>
      </c>
      <c r="J109" s="34" t="s">
        <v>209</v>
      </c>
      <c r="K109" s="31">
        <v>4.4950000000000001</v>
      </c>
      <c r="L109" s="33">
        <f>tbESTOQUE[[#This Row],[PREÇO]]*tbESTOQUE[[#This Row],[QUANTIDADE]]</f>
        <v>0</v>
      </c>
      <c r="M109" s="35" t="str">
        <f>IF(tbESTOQUE[[#This Row],[CATEGORIA]]="CINTAS",SUMIF(tbValidade[Descrição],tbESTOQUE[[#This Row],[DESCRIÇÃO]],tbValidade[Estoque]),"N/A")</f>
        <v>N/A</v>
      </c>
      <c r="N109" s="41" t="str">
        <f>IFERROR(tbESTOQUE[[#This Row],[ESTOQUE C/ DATA]]*tbESTOQUE[[#This Row],[PREÇO]],tbESTOQUE[[#This Row],[ESTOQUE C/ DATA]])</f>
        <v>N/A</v>
      </c>
      <c r="O109" s="36">
        <f>SUM(tbESTOQUE[[#This Row],[ESTOQUE C/ DATA]],tbESTOQUE[[#This Row],[QUANTIDADE]])</f>
        <v>4.4950000000000001</v>
      </c>
      <c r="P109" s="38">
        <f>tbESTOQUE[[#This Row],[ESTOQUE GERAL]]*tbESTOQUE[[#This Row],[PREÇO]]</f>
        <v>0</v>
      </c>
    </row>
    <row r="110" spans="1:16" ht="16.5" x14ac:dyDescent="0.25">
      <c r="A110" s="31">
        <f t="shared" si="1"/>
        <v>105</v>
      </c>
      <c r="B11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MPLC105</v>
      </c>
      <c r="C110" s="31" t="s">
        <v>105</v>
      </c>
      <c r="D110" s="32" t="s">
        <v>49</v>
      </c>
      <c r="E110" s="31" t="s">
        <v>175</v>
      </c>
      <c r="F110" s="31" t="s">
        <v>54</v>
      </c>
      <c r="G110" s="33">
        <v>0</v>
      </c>
      <c r="H110" s="33" t="s">
        <v>12</v>
      </c>
      <c r="I110" s="34" t="s">
        <v>54</v>
      </c>
      <c r="J110" s="34" t="s">
        <v>209</v>
      </c>
      <c r="K110" s="31">
        <v>7.41</v>
      </c>
      <c r="L110" s="33">
        <f>tbESTOQUE[[#This Row],[PREÇO]]*tbESTOQUE[[#This Row],[QUANTIDADE]]</f>
        <v>0</v>
      </c>
      <c r="M110" s="35" t="str">
        <f>IF(tbESTOQUE[[#This Row],[CATEGORIA]]="CINTAS",SUMIF(tbValidade[Descrição],tbESTOQUE[[#This Row],[DESCRIÇÃO]],tbValidade[Estoque]),"N/A")</f>
        <v>N/A</v>
      </c>
      <c r="N110" s="41" t="str">
        <f>IFERROR(tbESTOQUE[[#This Row],[ESTOQUE C/ DATA]]*tbESTOQUE[[#This Row],[PREÇO]],tbESTOQUE[[#This Row],[ESTOQUE C/ DATA]])</f>
        <v>N/A</v>
      </c>
      <c r="O110" s="36">
        <f>SUM(tbESTOQUE[[#This Row],[ESTOQUE C/ DATA]],tbESTOQUE[[#This Row],[QUANTIDADE]])</f>
        <v>7.41</v>
      </c>
      <c r="P110" s="38">
        <f>tbESTOQUE[[#This Row],[ESTOQUE GERAL]]*tbESTOQUE[[#This Row],[PREÇO]]</f>
        <v>0</v>
      </c>
    </row>
    <row r="111" spans="1:16" ht="16.5" x14ac:dyDescent="0.25">
      <c r="A111" s="31">
        <f t="shared" si="1"/>
        <v>106</v>
      </c>
      <c r="B11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MPLC106</v>
      </c>
      <c r="C111" s="31" t="s">
        <v>106</v>
      </c>
      <c r="D111" s="32" t="s">
        <v>49</v>
      </c>
      <c r="E111" s="31" t="s">
        <v>175</v>
      </c>
      <c r="F111" s="31" t="s">
        <v>54</v>
      </c>
      <c r="G111" s="33">
        <v>0</v>
      </c>
      <c r="H111" s="33" t="s">
        <v>12</v>
      </c>
      <c r="I111" s="34" t="s">
        <v>54</v>
      </c>
      <c r="J111" s="34" t="s">
        <v>209</v>
      </c>
      <c r="K111" s="31">
        <v>1.8099999999999998</v>
      </c>
      <c r="L111" s="33">
        <f>tbESTOQUE[[#This Row],[PREÇO]]*tbESTOQUE[[#This Row],[QUANTIDADE]]</f>
        <v>0</v>
      </c>
      <c r="M111" s="35" t="str">
        <f>IF(tbESTOQUE[[#This Row],[CATEGORIA]]="CINTAS",SUMIF(tbValidade[Descrição],tbESTOQUE[[#This Row],[DESCRIÇÃO]],tbValidade[Estoque]),"N/A")</f>
        <v>N/A</v>
      </c>
      <c r="N111" s="41" t="str">
        <f>IFERROR(tbESTOQUE[[#This Row],[ESTOQUE C/ DATA]]*tbESTOQUE[[#This Row],[PREÇO]],tbESTOQUE[[#This Row],[ESTOQUE C/ DATA]])</f>
        <v>N/A</v>
      </c>
      <c r="O111" s="36">
        <f>SUM(tbESTOQUE[[#This Row],[ESTOQUE C/ DATA]],tbESTOQUE[[#This Row],[QUANTIDADE]])</f>
        <v>1.8099999999999998</v>
      </c>
      <c r="P111" s="38">
        <f>tbESTOQUE[[#This Row],[ESTOQUE GERAL]]*tbESTOQUE[[#This Row],[PREÇO]]</f>
        <v>0</v>
      </c>
    </row>
    <row r="112" spans="1:16" ht="16.5" x14ac:dyDescent="0.25">
      <c r="A112" s="31">
        <f t="shared" si="1"/>
        <v>107</v>
      </c>
      <c r="B11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MPLT107</v>
      </c>
      <c r="C112" s="31" t="s">
        <v>107</v>
      </c>
      <c r="D112" s="32" t="s">
        <v>49</v>
      </c>
      <c r="E112" s="31" t="s">
        <v>175</v>
      </c>
      <c r="F112" s="31" t="s">
        <v>59</v>
      </c>
      <c r="G112" s="33">
        <v>0</v>
      </c>
      <c r="H112" s="33" t="s">
        <v>12</v>
      </c>
      <c r="I112" s="34" t="s">
        <v>54</v>
      </c>
      <c r="J112" s="34" t="s">
        <v>209</v>
      </c>
      <c r="K112" s="31">
        <v>0.32500000000000001</v>
      </c>
      <c r="L112" s="33">
        <f>tbESTOQUE[[#This Row],[PREÇO]]*tbESTOQUE[[#This Row],[QUANTIDADE]]</f>
        <v>0</v>
      </c>
      <c r="M112" s="35" t="str">
        <f>IF(tbESTOQUE[[#This Row],[CATEGORIA]]="CINTAS",SUMIF(tbValidade[Descrição],tbESTOQUE[[#This Row],[DESCRIÇÃO]],tbValidade[Estoque]),"N/A")</f>
        <v>N/A</v>
      </c>
      <c r="N112" s="41" t="str">
        <f>IFERROR(tbESTOQUE[[#This Row],[ESTOQUE C/ DATA]]*tbESTOQUE[[#This Row],[PREÇO]],tbESTOQUE[[#This Row],[ESTOQUE C/ DATA]])</f>
        <v>N/A</v>
      </c>
      <c r="O112" s="36">
        <f>SUM(tbESTOQUE[[#This Row],[ESTOQUE C/ DATA]],tbESTOQUE[[#This Row],[QUANTIDADE]])</f>
        <v>0.32500000000000001</v>
      </c>
      <c r="P112" s="38">
        <f>tbESTOQUE[[#This Row],[ESTOQUE GERAL]]*tbESTOQUE[[#This Row],[PREÇO]]</f>
        <v>0</v>
      </c>
    </row>
    <row r="113" spans="1:16" ht="16.5" x14ac:dyDescent="0.25">
      <c r="A113" s="31">
        <f t="shared" si="1"/>
        <v>108</v>
      </c>
      <c r="B11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MPLT108</v>
      </c>
      <c r="C113" s="31" t="s">
        <v>108</v>
      </c>
      <c r="D113" s="32" t="s">
        <v>49</v>
      </c>
      <c r="E113" s="31" t="s">
        <v>175</v>
      </c>
      <c r="F113" s="31" t="s">
        <v>54</v>
      </c>
      <c r="G113" s="33">
        <v>0</v>
      </c>
      <c r="H113" s="33" t="s">
        <v>12</v>
      </c>
      <c r="I113" s="34" t="s">
        <v>54</v>
      </c>
      <c r="J113" s="34" t="s">
        <v>209</v>
      </c>
      <c r="K113" s="31">
        <v>7.7999999999999989</v>
      </c>
      <c r="L113" s="33">
        <f>tbESTOQUE[[#This Row],[PREÇO]]*tbESTOQUE[[#This Row],[QUANTIDADE]]</f>
        <v>0</v>
      </c>
      <c r="M113" s="35" t="str">
        <f>IF(tbESTOQUE[[#This Row],[CATEGORIA]]="CINTAS",SUMIF(tbValidade[Descrição],tbESTOQUE[[#This Row],[DESCRIÇÃO]],tbValidade[Estoque]),"N/A")</f>
        <v>N/A</v>
      </c>
      <c r="N113" s="41" t="str">
        <f>IFERROR(tbESTOQUE[[#This Row],[ESTOQUE C/ DATA]]*tbESTOQUE[[#This Row],[PREÇO]],tbESTOQUE[[#This Row],[ESTOQUE C/ DATA]])</f>
        <v>N/A</v>
      </c>
      <c r="O113" s="36">
        <f>SUM(tbESTOQUE[[#This Row],[ESTOQUE C/ DATA]],tbESTOQUE[[#This Row],[QUANTIDADE]])</f>
        <v>7.7999999999999989</v>
      </c>
      <c r="P113" s="38">
        <f>tbESTOQUE[[#This Row],[ESTOQUE GERAL]]*tbESTOQUE[[#This Row],[PREÇO]]</f>
        <v>0</v>
      </c>
    </row>
    <row r="114" spans="1:16" ht="16.5" x14ac:dyDescent="0.25">
      <c r="A114" s="31">
        <f t="shared" si="1"/>
        <v>109</v>
      </c>
      <c r="B11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MPLT109</v>
      </c>
      <c r="C114" s="31" t="s">
        <v>109</v>
      </c>
      <c r="D114" s="32" t="s">
        <v>49</v>
      </c>
      <c r="E114" s="31" t="s">
        <v>175</v>
      </c>
      <c r="F114" s="31" t="s">
        <v>59</v>
      </c>
      <c r="G114" s="33">
        <v>0</v>
      </c>
      <c r="H114" s="33" t="s">
        <v>12</v>
      </c>
      <c r="I114" s="34" t="s">
        <v>54</v>
      </c>
      <c r="J114" s="34" t="s">
        <v>209</v>
      </c>
      <c r="K114" s="31">
        <v>4.4950000000000001</v>
      </c>
      <c r="L114" s="33">
        <f>tbESTOQUE[[#This Row],[PREÇO]]*tbESTOQUE[[#This Row],[QUANTIDADE]]</f>
        <v>0</v>
      </c>
      <c r="M114" s="35" t="str">
        <f>IF(tbESTOQUE[[#This Row],[CATEGORIA]]="CINTAS",SUMIF(tbValidade[Descrição],tbESTOQUE[[#This Row],[DESCRIÇÃO]],tbValidade[Estoque]),"N/A")</f>
        <v>N/A</v>
      </c>
      <c r="N114" s="41" t="str">
        <f>IFERROR(tbESTOQUE[[#This Row],[ESTOQUE C/ DATA]]*tbESTOQUE[[#This Row],[PREÇO]],tbESTOQUE[[#This Row],[ESTOQUE C/ DATA]])</f>
        <v>N/A</v>
      </c>
      <c r="O114" s="36">
        <f>SUM(tbESTOQUE[[#This Row],[ESTOQUE C/ DATA]],tbESTOQUE[[#This Row],[QUANTIDADE]])</f>
        <v>4.4950000000000001</v>
      </c>
      <c r="P114" s="38">
        <f>tbESTOQUE[[#This Row],[ESTOQUE GERAL]]*tbESTOQUE[[#This Row],[PREÇO]]</f>
        <v>0</v>
      </c>
    </row>
    <row r="115" spans="1:16" ht="16.5" x14ac:dyDescent="0.25">
      <c r="A115" s="31">
        <f t="shared" si="1"/>
        <v>110</v>
      </c>
      <c r="B115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MPM5110</v>
      </c>
      <c r="C115" s="31" t="s">
        <v>110</v>
      </c>
      <c r="D115" s="32" t="s">
        <v>49</v>
      </c>
      <c r="E115" s="31" t="s">
        <v>175</v>
      </c>
      <c r="F115" s="31" t="s">
        <v>54</v>
      </c>
      <c r="G115" s="33">
        <v>0</v>
      </c>
      <c r="H115" s="33" t="s">
        <v>12</v>
      </c>
      <c r="I115" s="34" t="s">
        <v>54</v>
      </c>
      <c r="J115" s="34" t="s">
        <v>209</v>
      </c>
      <c r="K115" s="31">
        <v>6.91</v>
      </c>
      <c r="L115" s="33">
        <f>tbESTOQUE[[#This Row],[PREÇO]]*tbESTOQUE[[#This Row],[QUANTIDADE]]</f>
        <v>0</v>
      </c>
      <c r="M115" s="35" t="str">
        <f>IF(tbESTOQUE[[#This Row],[CATEGORIA]]="CINTAS",SUMIF(tbValidade[Descrição],tbESTOQUE[[#This Row],[DESCRIÇÃO]],tbValidade[Estoque]),"N/A")</f>
        <v>N/A</v>
      </c>
      <c r="N115" s="41" t="str">
        <f>IFERROR(tbESTOQUE[[#This Row],[ESTOQUE C/ DATA]]*tbESTOQUE[[#This Row],[PREÇO]],tbESTOQUE[[#This Row],[ESTOQUE C/ DATA]])</f>
        <v>N/A</v>
      </c>
      <c r="O115" s="36">
        <f>SUM(tbESTOQUE[[#This Row],[ESTOQUE C/ DATA]],tbESTOQUE[[#This Row],[QUANTIDADE]])</f>
        <v>6.91</v>
      </c>
      <c r="P115" s="38">
        <f>tbESTOQUE[[#This Row],[ESTOQUE GERAL]]*tbESTOQUE[[#This Row],[PREÇO]]</f>
        <v>0</v>
      </c>
    </row>
    <row r="116" spans="1:16" ht="16.5" x14ac:dyDescent="0.25">
      <c r="A116" s="31">
        <f t="shared" si="1"/>
        <v>111</v>
      </c>
      <c r="B116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MPMS111</v>
      </c>
      <c r="C116" s="31" t="s">
        <v>111</v>
      </c>
      <c r="D116" s="32" t="s">
        <v>49</v>
      </c>
      <c r="E116" s="31" t="s">
        <v>175</v>
      </c>
      <c r="F116" s="31" t="s">
        <v>59</v>
      </c>
      <c r="G116" s="33">
        <v>0</v>
      </c>
      <c r="H116" s="33" t="s">
        <v>12</v>
      </c>
      <c r="I116" s="34" t="s">
        <v>54</v>
      </c>
      <c r="J116" s="34" t="s">
        <v>209</v>
      </c>
      <c r="K116" s="31">
        <v>0.63500000000000001</v>
      </c>
      <c r="L116" s="33">
        <f>tbESTOQUE[[#This Row],[PREÇO]]*tbESTOQUE[[#This Row],[QUANTIDADE]]</f>
        <v>0</v>
      </c>
      <c r="M116" s="35" t="str">
        <f>IF(tbESTOQUE[[#This Row],[CATEGORIA]]="CINTAS",SUMIF(tbValidade[Descrição],tbESTOQUE[[#This Row],[DESCRIÇÃO]],tbValidade[Estoque]),"N/A")</f>
        <v>N/A</v>
      </c>
      <c r="N116" s="41" t="str">
        <f>IFERROR(tbESTOQUE[[#This Row],[ESTOQUE C/ DATA]]*tbESTOQUE[[#This Row],[PREÇO]],tbESTOQUE[[#This Row],[ESTOQUE C/ DATA]])</f>
        <v>N/A</v>
      </c>
      <c r="O116" s="36">
        <f>SUM(tbESTOQUE[[#This Row],[ESTOQUE C/ DATA]],tbESTOQUE[[#This Row],[QUANTIDADE]])</f>
        <v>0.63500000000000001</v>
      </c>
      <c r="P116" s="38">
        <f>tbESTOQUE[[#This Row],[ESTOQUE GERAL]]*tbESTOQUE[[#This Row],[PREÇO]]</f>
        <v>0</v>
      </c>
    </row>
    <row r="117" spans="1:16" ht="16.5" x14ac:dyDescent="0.25">
      <c r="A117" s="31">
        <f t="shared" si="1"/>
        <v>112</v>
      </c>
      <c r="B117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MPM112</v>
      </c>
      <c r="C117" s="31" t="s">
        <v>112</v>
      </c>
      <c r="D117" s="32" t="s">
        <v>49</v>
      </c>
      <c r="E117" s="31" t="s">
        <v>175</v>
      </c>
      <c r="F117" s="31" t="s">
        <v>59</v>
      </c>
      <c r="G117" s="33">
        <v>0</v>
      </c>
      <c r="H117" s="33" t="s">
        <v>12</v>
      </c>
      <c r="I117" s="34" t="s">
        <v>54</v>
      </c>
      <c r="J117" s="34" t="s">
        <v>209</v>
      </c>
      <c r="K117" s="31">
        <v>0.745</v>
      </c>
      <c r="L117" s="33">
        <f>tbESTOQUE[[#This Row],[PREÇO]]*tbESTOQUE[[#This Row],[QUANTIDADE]]</f>
        <v>0</v>
      </c>
      <c r="M117" s="35" t="str">
        <f>IF(tbESTOQUE[[#This Row],[CATEGORIA]]="CINTAS",SUMIF(tbValidade[Descrição],tbESTOQUE[[#This Row],[DESCRIÇÃO]],tbValidade[Estoque]),"N/A")</f>
        <v>N/A</v>
      </c>
      <c r="N117" s="41" t="str">
        <f>IFERROR(tbESTOQUE[[#This Row],[ESTOQUE C/ DATA]]*tbESTOQUE[[#This Row],[PREÇO]],tbESTOQUE[[#This Row],[ESTOQUE C/ DATA]])</f>
        <v>N/A</v>
      </c>
      <c r="O117" s="36">
        <f>SUM(tbESTOQUE[[#This Row],[ESTOQUE C/ DATA]],tbESTOQUE[[#This Row],[QUANTIDADE]])</f>
        <v>0.745</v>
      </c>
      <c r="P117" s="38">
        <f>tbESTOQUE[[#This Row],[ESTOQUE GERAL]]*tbESTOQUE[[#This Row],[PREÇO]]</f>
        <v>0</v>
      </c>
    </row>
    <row r="118" spans="1:16" ht="16.5" x14ac:dyDescent="0.25">
      <c r="A118" s="31">
        <f t="shared" si="1"/>
        <v>113</v>
      </c>
      <c r="B118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MPM5113</v>
      </c>
      <c r="C118" s="31" t="s">
        <v>113</v>
      </c>
      <c r="D118" s="32" t="s">
        <v>49</v>
      </c>
      <c r="E118" s="31" t="s">
        <v>175</v>
      </c>
      <c r="F118" s="31" t="s">
        <v>54</v>
      </c>
      <c r="G118" s="33">
        <v>0</v>
      </c>
      <c r="H118" s="33" t="s">
        <v>12</v>
      </c>
      <c r="I118" s="34" t="s">
        <v>54</v>
      </c>
      <c r="J118" s="34" t="s">
        <v>209</v>
      </c>
      <c r="K118" s="31">
        <v>6.5250000000000004</v>
      </c>
      <c r="L118" s="33">
        <f>tbESTOQUE[[#This Row],[PREÇO]]*tbESTOQUE[[#This Row],[QUANTIDADE]]</f>
        <v>0</v>
      </c>
      <c r="M118" s="35" t="str">
        <f>IF(tbESTOQUE[[#This Row],[CATEGORIA]]="CINTAS",SUMIF(tbValidade[Descrição],tbESTOQUE[[#This Row],[DESCRIÇÃO]],tbValidade[Estoque]),"N/A")</f>
        <v>N/A</v>
      </c>
      <c r="N118" s="41" t="str">
        <f>IFERROR(tbESTOQUE[[#This Row],[ESTOQUE C/ DATA]]*tbESTOQUE[[#This Row],[PREÇO]],tbESTOQUE[[#This Row],[ESTOQUE C/ DATA]])</f>
        <v>N/A</v>
      </c>
      <c r="O118" s="36">
        <f>SUM(tbESTOQUE[[#This Row],[ESTOQUE C/ DATA]],tbESTOQUE[[#This Row],[QUANTIDADE]])</f>
        <v>6.5250000000000004</v>
      </c>
      <c r="P118" s="38">
        <f>tbESTOQUE[[#This Row],[ESTOQUE GERAL]]*tbESTOQUE[[#This Row],[PREÇO]]</f>
        <v>0</v>
      </c>
    </row>
    <row r="119" spans="1:16" ht="16.5" x14ac:dyDescent="0.25">
      <c r="A119" s="31">
        <f t="shared" si="1"/>
        <v>114</v>
      </c>
      <c r="B119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MPMF114</v>
      </c>
      <c r="C119" s="31" t="s">
        <v>114</v>
      </c>
      <c r="D119" s="32" t="s">
        <v>49</v>
      </c>
      <c r="E119" s="31" t="s">
        <v>175</v>
      </c>
      <c r="F119" s="31" t="s">
        <v>54</v>
      </c>
      <c r="G119" s="33">
        <v>0</v>
      </c>
      <c r="H119" s="33" t="s">
        <v>12</v>
      </c>
      <c r="I119" s="34" t="s">
        <v>54</v>
      </c>
      <c r="J119" s="34" t="s">
        <v>209</v>
      </c>
      <c r="K119" s="31">
        <v>1</v>
      </c>
      <c r="L119" s="33">
        <f>tbESTOQUE[[#This Row],[PREÇO]]*tbESTOQUE[[#This Row],[QUANTIDADE]]</f>
        <v>0</v>
      </c>
      <c r="M119" s="35" t="str">
        <f>IF(tbESTOQUE[[#This Row],[CATEGORIA]]="CINTAS",SUMIF(tbValidade[Descrição],tbESTOQUE[[#This Row],[DESCRIÇÃO]],tbValidade[Estoque]),"N/A")</f>
        <v>N/A</v>
      </c>
      <c r="N119" s="41" t="str">
        <f>IFERROR(tbESTOQUE[[#This Row],[ESTOQUE C/ DATA]]*tbESTOQUE[[#This Row],[PREÇO]],tbESTOQUE[[#This Row],[ESTOQUE C/ DATA]])</f>
        <v>N/A</v>
      </c>
      <c r="O119" s="36">
        <f>SUM(tbESTOQUE[[#This Row],[ESTOQUE C/ DATA]],tbESTOQUE[[#This Row],[QUANTIDADE]])</f>
        <v>1</v>
      </c>
      <c r="P119" s="38">
        <f>tbESTOQUE[[#This Row],[ESTOQUE GERAL]]*tbESTOQUE[[#This Row],[PREÇO]]</f>
        <v>0</v>
      </c>
    </row>
    <row r="120" spans="1:16" ht="16.5" x14ac:dyDescent="0.25">
      <c r="A120" s="31">
        <f t="shared" si="1"/>
        <v>115</v>
      </c>
      <c r="B12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MPTD115</v>
      </c>
      <c r="C120" s="31" t="s">
        <v>115</v>
      </c>
      <c r="D120" s="32" t="s">
        <v>49</v>
      </c>
      <c r="E120" s="31" t="s">
        <v>175</v>
      </c>
      <c r="F120" s="31" t="s">
        <v>59</v>
      </c>
      <c r="G120" s="33">
        <v>0</v>
      </c>
      <c r="H120" s="33" t="s">
        <v>12</v>
      </c>
      <c r="I120" s="34" t="s">
        <v>54</v>
      </c>
      <c r="J120" s="34" t="s">
        <v>209</v>
      </c>
      <c r="K120" s="31">
        <v>6.044999999999999</v>
      </c>
      <c r="L120" s="33">
        <f>tbESTOQUE[[#This Row],[PREÇO]]*tbESTOQUE[[#This Row],[QUANTIDADE]]</f>
        <v>0</v>
      </c>
      <c r="M120" s="35" t="str">
        <f>IF(tbESTOQUE[[#This Row],[CATEGORIA]]="CINTAS",SUMIF(tbValidade[Descrição],tbESTOQUE[[#This Row],[DESCRIÇÃO]],tbValidade[Estoque]),"N/A")</f>
        <v>N/A</v>
      </c>
      <c r="N120" s="41" t="str">
        <f>IFERROR(tbESTOQUE[[#This Row],[ESTOQUE C/ DATA]]*tbESTOQUE[[#This Row],[PREÇO]],tbESTOQUE[[#This Row],[ESTOQUE C/ DATA]])</f>
        <v>N/A</v>
      </c>
      <c r="O120" s="36">
        <f>SUM(tbESTOQUE[[#This Row],[ESTOQUE C/ DATA]],tbESTOQUE[[#This Row],[QUANTIDADE]])</f>
        <v>6.044999999999999</v>
      </c>
      <c r="P120" s="38">
        <f>tbESTOQUE[[#This Row],[ESTOQUE GERAL]]*tbESTOQUE[[#This Row],[PREÇO]]</f>
        <v>0</v>
      </c>
    </row>
    <row r="121" spans="1:16" ht="16.5" x14ac:dyDescent="0.25">
      <c r="A121" s="31">
        <f t="shared" si="1"/>
        <v>116</v>
      </c>
      <c r="B12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MPU5116</v>
      </c>
      <c r="C121" s="31" t="s">
        <v>116</v>
      </c>
      <c r="D121" s="32" t="s">
        <v>49</v>
      </c>
      <c r="E121" s="31" t="s">
        <v>175</v>
      </c>
      <c r="F121" s="31" t="s">
        <v>54</v>
      </c>
      <c r="G121" s="33">
        <v>0</v>
      </c>
      <c r="H121" s="33" t="s">
        <v>12</v>
      </c>
      <c r="I121" s="34" t="s">
        <v>54</v>
      </c>
      <c r="J121" s="34" t="s">
        <v>209</v>
      </c>
      <c r="K121" s="31">
        <v>7.45</v>
      </c>
      <c r="L121" s="33">
        <f>tbESTOQUE[[#This Row],[PREÇO]]*tbESTOQUE[[#This Row],[QUANTIDADE]]</f>
        <v>0</v>
      </c>
      <c r="M121" s="35" t="str">
        <f>IF(tbESTOQUE[[#This Row],[CATEGORIA]]="CINTAS",SUMIF(tbValidade[Descrição],tbESTOQUE[[#This Row],[DESCRIÇÃO]],tbValidade[Estoque]),"N/A")</f>
        <v>N/A</v>
      </c>
      <c r="N121" s="41" t="str">
        <f>IFERROR(tbESTOQUE[[#This Row],[ESTOQUE C/ DATA]]*tbESTOQUE[[#This Row],[PREÇO]],tbESTOQUE[[#This Row],[ESTOQUE C/ DATA]])</f>
        <v>N/A</v>
      </c>
      <c r="O121" s="36">
        <f>SUM(tbESTOQUE[[#This Row],[ESTOQUE C/ DATA]],tbESTOQUE[[#This Row],[QUANTIDADE]])</f>
        <v>7.45</v>
      </c>
      <c r="P121" s="38">
        <f>tbESTOQUE[[#This Row],[ESTOQUE GERAL]]*tbESTOQUE[[#This Row],[PREÇO]]</f>
        <v>0</v>
      </c>
    </row>
    <row r="122" spans="1:16" ht="16.5" x14ac:dyDescent="0.25">
      <c r="A122" s="31">
        <f t="shared" si="1"/>
        <v>117</v>
      </c>
      <c r="B12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PASP117</v>
      </c>
      <c r="C122" s="31" t="s">
        <v>220</v>
      </c>
      <c r="D122" s="32" t="s">
        <v>222</v>
      </c>
      <c r="E122" s="31" t="s">
        <v>11</v>
      </c>
      <c r="F122" s="31" t="s">
        <v>59</v>
      </c>
      <c r="G122" s="33">
        <v>0.75</v>
      </c>
      <c r="H122" s="33" t="s">
        <v>13</v>
      </c>
      <c r="I122" s="34" t="s">
        <v>54</v>
      </c>
      <c r="J122" s="34" t="s">
        <v>208</v>
      </c>
      <c r="K122" s="31">
        <v>1545</v>
      </c>
      <c r="L122" s="41">
        <f>tbESTOQUE[[#This Row],[PREÇO]]*tbESTOQUE[[#This Row],[QUANTIDADE]]</f>
        <v>1158.75</v>
      </c>
      <c r="M122" s="35" t="str">
        <f>IF(tbESTOQUE[[#This Row],[CATEGORIA]]="CINTAS",SUMIF(tbValidade[Descrição],tbESTOQUE[[#This Row],[DESCRIÇÃO]],tbValidade[Estoque]),"N/A")</f>
        <v>N/A</v>
      </c>
      <c r="N122" s="41" t="str">
        <f>IFERROR(tbESTOQUE[[#This Row],[ESTOQUE C/ DATA]]*tbESTOQUE[[#This Row],[PREÇO]],tbESTOQUE[[#This Row],[ESTOQUE C/ DATA]])</f>
        <v>N/A</v>
      </c>
      <c r="O122" s="36">
        <f>SUM(tbESTOQUE[[#This Row],[ESTOQUE C/ DATA]],tbESTOQUE[[#This Row],[QUANTIDADE]])</f>
        <v>1545</v>
      </c>
      <c r="P122" s="38">
        <f>tbESTOQUE[[#This Row],[ESTOQUE GERAL]]*tbESTOQUE[[#This Row],[PREÇO]]</f>
        <v>1158.75</v>
      </c>
    </row>
    <row r="123" spans="1:16" ht="16.5" x14ac:dyDescent="0.25">
      <c r="A123" s="31">
        <f t="shared" si="1"/>
        <v>118</v>
      </c>
      <c r="B12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PASP118</v>
      </c>
      <c r="C123" s="31" t="s">
        <v>214</v>
      </c>
      <c r="D123" s="32" t="s">
        <v>222</v>
      </c>
      <c r="E123" s="31" t="s">
        <v>11</v>
      </c>
      <c r="F123" s="31" t="s">
        <v>59</v>
      </c>
      <c r="G123" s="33">
        <v>0.75</v>
      </c>
      <c r="H123" s="33" t="s">
        <v>13</v>
      </c>
      <c r="I123" s="34" t="s">
        <v>54</v>
      </c>
      <c r="J123" s="34" t="s">
        <v>208</v>
      </c>
      <c r="K123" s="31">
        <v>774</v>
      </c>
      <c r="L123" s="41">
        <f>tbESTOQUE[[#This Row],[PREÇO]]*tbESTOQUE[[#This Row],[QUANTIDADE]]</f>
        <v>580.5</v>
      </c>
      <c r="M123" s="35" t="str">
        <f>IF(tbESTOQUE[[#This Row],[CATEGORIA]]="CINTAS",SUMIF(tbValidade[Descrição],tbESTOQUE[[#This Row],[DESCRIÇÃO]],tbValidade[Estoque]),"N/A")</f>
        <v>N/A</v>
      </c>
      <c r="N123" s="41" t="str">
        <f>IFERROR(tbESTOQUE[[#This Row],[ESTOQUE C/ DATA]]*tbESTOQUE[[#This Row],[PREÇO]],tbESTOQUE[[#This Row],[ESTOQUE C/ DATA]])</f>
        <v>N/A</v>
      </c>
      <c r="O123" s="36">
        <f>SUM(tbESTOQUE[[#This Row],[ESTOQUE C/ DATA]],tbESTOQUE[[#This Row],[QUANTIDADE]])</f>
        <v>774</v>
      </c>
      <c r="P123" s="38">
        <f>tbESTOQUE[[#This Row],[ESTOQUE GERAL]]*tbESTOQUE[[#This Row],[PREÇO]]</f>
        <v>580.5</v>
      </c>
    </row>
    <row r="124" spans="1:16" ht="16.5" x14ac:dyDescent="0.25">
      <c r="A124" s="31">
        <f t="shared" si="1"/>
        <v>119</v>
      </c>
      <c r="B124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PASP119</v>
      </c>
      <c r="C124" s="31" t="s">
        <v>215</v>
      </c>
      <c r="D124" s="32" t="s">
        <v>222</v>
      </c>
      <c r="E124" s="31" t="s">
        <v>11</v>
      </c>
      <c r="F124" s="31" t="s">
        <v>59</v>
      </c>
      <c r="G124" s="33">
        <v>0.75</v>
      </c>
      <c r="H124" s="33" t="s">
        <v>13</v>
      </c>
      <c r="I124" s="34" t="s">
        <v>54</v>
      </c>
      <c r="J124" s="34" t="s">
        <v>208</v>
      </c>
      <c r="K124" s="31">
        <v>413</v>
      </c>
      <c r="L124" s="41">
        <f>tbESTOQUE[[#This Row],[PREÇO]]*tbESTOQUE[[#This Row],[QUANTIDADE]]</f>
        <v>309.75</v>
      </c>
      <c r="M124" s="35" t="str">
        <f>IF(tbESTOQUE[[#This Row],[CATEGORIA]]="CINTAS",SUMIF(tbValidade[Descrição],tbESTOQUE[[#This Row],[DESCRIÇÃO]],tbValidade[Estoque]),"N/A")</f>
        <v>N/A</v>
      </c>
      <c r="N124" s="41" t="str">
        <f>IFERROR(tbESTOQUE[[#This Row],[ESTOQUE C/ DATA]]*tbESTOQUE[[#This Row],[PREÇO]],tbESTOQUE[[#This Row],[ESTOQUE C/ DATA]])</f>
        <v>N/A</v>
      </c>
      <c r="O124" s="36">
        <f>SUM(tbESTOQUE[[#This Row],[ESTOQUE C/ DATA]],tbESTOQUE[[#This Row],[QUANTIDADE]])</f>
        <v>413</v>
      </c>
      <c r="P124" s="38">
        <f>tbESTOQUE[[#This Row],[ESTOQUE GERAL]]*tbESTOQUE[[#This Row],[PREÇO]]</f>
        <v>309.75</v>
      </c>
    </row>
    <row r="125" spans="1:16" ht="16.5" x14ac:dyDescent="0.25">
      <c r="A125" s="31">
        <f t="shared" si="1"/>
        <v>120</v>
      </c>
      <c r="B125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PASP120</v>
      </c>
      <c r="C125" s="31" t="s">
        <v>216</v>
      </c>
      <c r="D125" s="32" t="s">
        <v>222</v>
      </c>
      <c r="E125" s="31" t="s">
        <v>11</v>
      </c>
      <c r="F125" s="31" t="s">
        <v>59</v>
      </c>
      <c r="G125" s="33">
        <v>0.75</v>
      </c>
      <c r="H125" s="33" t="s">
        <v>13</v>
      </c>
      <c r="I125" s="34" t="s">
        <v>54</v>
      </c>
      <c r="J125" s="34" t="s">
        <v>208</v>
      </c>
      <c r="K125" s="31">
        <v>1013</v>
      </c>
      <c r="L125" s="41">
        <f>tbESTOQUE[[#This Row],[PREÇO]]*tbESTOQUE[[#This Row],[QUANTIDADE]]</f>
        <v>759.75</v>
      </c>
      <c r="M125" s="35" t="str">
        <f>IF(tbESTOQUE[[#This Row],[CATEGORIA]]="CINTAS",SUMIF(tbValidade[Descrição],tbESTOQUE[[#This Row],[DESCRIÇÃO]],tbValidade[Estoque]),"N/A")</f>
        <v>N/A</v>
      </c>
      <c r="N125" s="41" t="str">
        <f>IFERROR(tbESTOQUE[[#This Row],[ESTOQUE C/ DATA]]*tbESTOQUE[[#This Row],[PREÇO]],tbESTOQUE[[#This Row],[ESTOQUE C/ DATA]])</f>
        <v>N/A</v>
      </c>
      <c r="O125" s="36">
        <f>SUM(tbESTOQUE[[#This Row],[ESTOQUE C/ DATA]],tbESTOQUE[[#This Row],[QUANTIDADE]])</f>
        <v>1013</v>
      </c>
      <c r="P125" s="38">
        <f>tbESTOQUE[[#This Row],[ESTOQUE GERAL]]*tbESTOQUE[[#This Row],[PREÇO]]</f>
        <v>759.75</v>
      </c>
    </row>
    <row r="126" spans="1:16" ht="16.5" x14ac:dyDescent="0.25">
      <c r="A126" s="31">
        <f t="shared" si="1"/>
        <v>121</v>
      </c>
      <c r="B126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PASP121</v>
      </c>
      <c r="C126" s="31" t="s">
        <v>217</v>
      </c>
      <c r="D126" s="32" t="s">
        <v>222</v>
      </c>
      <c r="E126" s="31" t="s">
        <v>11</v>
      </c>
      <c r="F126" s="31" t="s">
        <v>59</v>
      </c>
      <c r="G126" s="33">
        <v>0.75</v>
      </c>
      <c r="H126" s="33" t="s">
        <v>13</v>
      </c>
      <c r="I126" s="34" t="s">
        <v>54</v>
      </c>
      <c r="J126" s="34" t="s">
        <v>208</v>
      </c>
      <c r="K126" s="31">
        <v>647</v>
      </c>
      <c r="L126" s="41">
        <f>tbESTOQUE[[#This Row],[PREÇO]]*tbESTOQUE[[#This Row],[QUANTIDADE]]</f>
        <v>485.25</v>
      </c>
      <c r="M126" s="35" t="str">
        <f>IF(tbESTOQUE[[#This Row],[CATEGORIA]]="CINTAS",SUMIF(tbValidade[Descrição],tbESTOQUE[[#This Row],[DESCRIÇÃO]],tbValidade[Estoque]),"N/A")</f>
        <v>N/A</v>
      </c>
      <c r="N126" s="41" t="str">
        <f>IFERROR(tbESTOQUE[[#This Row],[ESTOQUE C/ DATA]]*tbESTOQUE[[#This Row],[PREÇO]],tbESTOQUE[[#This Row],[ESTOQUE C/ DATA]])</f>
        <v>N/A</v>
      </c>
      <c r="O126" s="36">
        <f>SUM(tbESTOQUE[[#This Row],[ESTOQUE C/ DATA]],tbESTOQUE[[#This Row],[QUANTIDADE]])</f>
        <v>647</v>
      </c>
      <c r="P126" s="38">
        <f>tbESTOQUE[[#This Row],[ESTOQUE GERAL]]*tbESTOQUE[[#This Row],[PREÇO]]</f>
        <v>485.25</v>
      </c>
    </row>
    <row r="127" spans="1:16" ht="16.5" x14ac:dyDescent="0.25">
      <c r="A127" s="31">
        <f t="shared" si="1"/>
        <v>122</v>
      </c>
      <c r="B127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PASP122</v>
      </c>
      <c r="C127" s="31" t="s">
        <v>218</v>
      </c>
      <c r="D127" s="32" t="s">
        <v>222</v>
      </c>
      <c r="E127" s="31" t="s">
        <v>11</v>
      </c>
      <c r="F127" s="31" t="s">
        <v>59</v>
      </c>
      <c r="G127" s="33">
        <v>0.75</v>
      </c>
      <c r="H127" s="33" t="s">
        <v>13</v>
      </c>
      <c r="I127" s="34" t="s">
        <v>54</v>
      </c>
      <c r="J127" s="34" t="s">
        <v>208</v>
      </c>
      <c r="K127" s="31">
        <v>213</v>
      </c>
      <c r="L127" s="41">
        <f>tbESTOQUE[[#This Row],[PREÇO]]*tbESTOQUE[[#This Row],[QUANTIDADE]]</f>
        <v>159.75</v>
      </c>
      <c r="M127" s="35" t="str">
        <f>IF(tbESTOQUE[[#This Row],[CATEGORIA]]="CINTAS",SUMIF(tbValidade[Descrição],tbESTOQUE[[#This Row],[DESCRIÇÃO]],tbValidade[Estoque]),"N/A")</f>
        <v>N/A</v>
      </c>
      <c r="N127" s="41" t="str">
        <f>IFERROR(tbESTOQUE[[#This Row],[ESTOQUE C/ DATA]]*tbESTOQUE[[#This Row],[PREÇO]],tbESTOQUE[[#This Row],[ESTOQUE C/ DATA]])</f>
        <v>N/A</v>
      </c>
      <c r="O127" s="36">
        <f>SUM(tbESTOQUE[[#This Row],[ESTOQUE C/ DATA]],tbESTOQUE[[#This Row],[QUANTIDADE]])</f>
        <v>213</v>
      </c>
      <c r="P127" s="38">
        <f>tbESTOQUE[[#This Row],[ESTOQUE GERAL]]*tbESTOQUE[[#This Row],[PREÇO]]</f>
        <v>159.75</v>
      </c>
    </row>
    <row r="128" spans="1:16" ht="16.5" x14ac:dyDescent="0.25">
      <c r="A128" s="31">
        <f t="shared" si="1"/>
        <v>123</v>
      </c>
      <c r="B128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PASP123</v>
      </c>
      <c r="C128" s="31" t="s">
        <v>219</v>
      </c>
      <c r="D128" s="32" t="s">
        <v>222</v>
      </c>
      <c r="E128" s="31" t="s">
        <v>11</v>
      </c>
      <c r="F128" s="31" t="s">
        <v>59</v>
      </c>
      <c r="G128" s="33">
        <v>0.75</v>
      </c>
      <c r="H128" s="33" t="s">
        <v>13</v>
      </c>
      <c r="I128" s="34" t="s">
        <v>54</v>
      </c>
      <c r="J128" s="34" t="s">
        <v>208</v>
      </c>
      <c r="K128" s="31">
        <v>147</v>
      </c>
      <c r="L128" s="41">
        <f>tbESTOQUE[[#This Row],[PREÇO]]*tbESTOQUE[[#This Row],[QUANTIDADE]]</f>
        <v>110.25</v>
      </c>
      <c r="M128" s="35" t="str">
        <f>IF(tbESTOQUE[[#This Row],[CATEGORIA]]="CINTAS",SUMIF(tbValidade[Descrição],tbESTOQUE[[#This Row],[DESCRIÇÃO]],tbValidade[Estoque]),"N/A")</f>
        <v>N/A</v>
      </c>
      <c r="N128" s="41" t="str">
        <f>IFERROR(tbESTOQUE[[#This Row],[ESTOQUE C/ DATA]]*tbESTOQUE[[#This Row],[PREÇO]],tbESTOQUE[[#This Row],[ESTOQUE C/ DATA]])</f>
        <v>N/A</v>
      </c>
      <c r="O128" s="36">
        <f>SUM(tbESTOQUE[[#This Row],[ESTOQUE C/ DATA]],tbESTOQUE[[#This Row],[QUANTIDADE]])</f>
        <v>147</v>
      </c>
      <c r="P128" s="38">
        <f>tbESTOQUE[[#This Row],[ESTOQUE GERAL]]*tbESTOQUE[[#This Row],[PREÇO]]</f>
        <v>110.25</v>
      </c>
    </row>
    <row r="129" spans="1:16" ht="16.5" x14ac:dyDescent="0.25">
      <c r="A129" s="31">
        <f t="shared" si="1"/>
        <v>124</v>
      </c>
      <c r="B129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EMCR124</v>
      </c>
      <c r="C129" s="31" t="s">
        <v>178</v>
      </c>
      <c r="D129" s="32" t="s">
        <v>6</v>
      </c>
      <c r="E129" s="31" t="s">
        <v>179</v>
      </c>
      <c r="F129" s="31" t="s">
        <v>54</v>
      </c>
      <c r="G129" s="33">
        <v>0</v>
      </c>
      <c r="H129" s="33" t="s">
        <v>13</v>
      </c>
      <c r="I129" s="34" t="s">
        <v>54</v>
      </c>
      <c r="J129" s="34" t="s">
        <v>208</v>
      </c>
      <c r="K129" s="31">
        <v>120</v>
      </c>
      <c r="L129" s="41">
        <f>tbESTOQUE[[#This Row],[PREÇO]]*tbESTOQUE[[#This Row],[QUANTIDADE]]</f>
        <v>0</v>
      </c>
      <c r="M129" s="35" t="str">
        <f>IF(tbESTOQUE[[#This Row],[CATEGORIA]]="CINTAS",SUMIF(tbValidade[Descrição],tbESTOQUE[[#This Row],[DESCRIÇÃO]],tbValidade[Estoque]),"N/A")</f>
        <v>N/A</v>
      </c>
      <c r="N129" s="41" t="str">
        <f>IFERROR(tbESTOQUE[[#This Row],[ESTOQUE C/ DATA]]*tbESTOQUE[[#This Row],[PREÇO]],tbESTOQUE[[#This Row],[ESTOQUE C/ DATA]])</f>
        <v>N/A</v>
      </c>
      <c r="O129" s="36">
        <f>SUM(tbESTOQUE[[#This Row],[ESTOQUE C/ DATA]],tbESTOQUE[[#This Row],[QUANTIDADE]])</f>
        <v>120</v>
      </c>
      <c r="P129" s="38">
        <f>tbESTOQUE[[#This Row],[ESTOQUE GERAL]]*tbESTOQUE[[#This Row],[PREÇO]]</f>
        <v>0</v>
      </c>
    </row>
    <row r="130" spans="1:16" ht="16.5" x14ac:dyDescent="0.25">
      <c r="A130" s="31">
        <f t="shared" si="1"/>
        <v>125</v>
      </c>
      <c r="B130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EMCP125</v>
      </c>
      <c r="C130" s="31" t="s">
        <v>180</v>
      </c>
      <c r="D130" s="32" t="s">
        <v>6</v>
      </c>
      <c r="E130" s="31" t="s">
        <v>179</v>
      </c>
      <c r="F130" s="31" t="s">
        <v>54</v>
      </c>
      <c r="G130" s="33">
        <v>0</v>
      </c>
      <c r="H130" s="33" t="s">
        <v>13</v>
      </c>
      <c r="I130" s="34" t="s">
        <v>54</v>
      </c>
      <c r="J130" s="34" t="s">
        <v>208</v>
      </c>
      <c r="K130" s="31">
        <v>50</v>
      </c>
      <c r="L130" s="41">
        <f>tbESTOQUE[[#This Row],[PREÇO]]*tbESTOQUE[[#This Row],[QUANTIDADE]]</f>
        <v>0</v>
      </c>
      <c r="M130" s="35" t="str">
        <f>IF(tbESTOQUE[[#This Row],[CATEGORIA]]="CINTAS",SUMIF(tbValidade[Descrição],tbESTOQUE[[#This Row],[DESCRIÇÃO]],tbValidade[Estoque]),"N/A")</f>
        <v>N/A</v>
      </c>
      <c r="N130" s="41" t="str">
        <f>IFERROR(tbESTOQUE[[#This Row],[ESTOQUE C/ DATA]]*tbESTOQUE[[#This Row],[PREÇO]],tbESTOQUE[[#This Row],[ESTOQUE C/ DATA]])</f>
        <v>N/A</v>
      </c>
      <c r="O130" s="36">
        <f>SUM(tbESTOQUE[[#This Row],[ESTOQUE C/ DATA]],tbESTOQUE[[#This Row],[QUANTIDADE]])</f>
        <v>50</v>
      </c>
      <c r="P130" s="38">
        <f>tbESTOQUE[[#This Row],[ESTOQUE GERAL]]*tbESTOQUE[[#This Row],[PREÇO]]</f>
        <v>0</v>
      </c>
    </row>
    <row r="131" spans="1:16" ht="16.5" x14ac:dyDescent="0.25">
      <c r="A131" s="31">
        <f t="shared" si="1"/>
        <v>126</v>
      </c>
      <c r="B131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PAPQ126</v>
      </c>
      <c r="C131" s="31" t="s">
        <v>227</v>
      </c>
      <c r="D131" s="32" t="s">
        <v>222</v>
      </c>
      <c r="E131" s="31" t="s">
        <v>10</v>
      </c>
      <c r="F131" s="31" t="s">
        <v>59</v>
      </c>
      <c r="G131" s="33">
        <v>8</v>
      </c>
      <c r="H131" s="33" t="s">
        <v>13</v>
      </c>
      <c r="I131" s="34" t="s">
        <v>54</v>
      </c>
      <c r="J131" s="34" t="s">
        <v>209</v>
      </c>
      <c r="K131" s="31">
        <v>216</v>
      </c>
      <c r="L131" s="41">
        <f>tbESTOQUE[[#This Row],[PREÇO]]*tbESTOQUE[[#This Row],[QUANTIDADE]]</f>
        <v>1728</v>
      </c>
      <c r="M131" s="35" t="str">
        <f>IF(tbESTOQUE[[#This Row],[CATEGORIA]]="CINTAS",SUMIF(tbValidade[Descrição],tbESTOQUE[[#This Row],[DESCRIÇÃO]],tbValidade[Estoque]),"N/A")</f>
        <v>N/A</v>
      </c>
      <c r="N131" s="41" t="str">
        <f>IFERROR(tbESTOQUE[[#This Row],[ESTOQUE C/ DATA]]*tbESTOQUE[[#This Row],[PREÇO]],tbESTOQUE[[#This Row],[ESTOQUE C/ DATA]])</f>
        <v>N/A</v>
      </c>
      <c r="O131" s="36">
        <f>SUM(tbESTOQUE[[#This Row],[ESTOQUE C/ DATA]],tbESTOQUE[[#This Row],[QUANTIDADE]])</f>
        <v>216</v>
      </c>
      <c r="P131" s="38">
        <f>tbESTOQUE[[#This Row],[ESTOQUE GERAL]]*tbESTOQUE[[#This Row],[PREÇO]]</f>
        <v>1728</v>
      </c>
    </row>
    <row r="132" spans="1:16" ht="16.5" x14ac:dyDescent="0.25">
      <c r="A132" s="31">
        <f t="shared" si="1"/>
        <v>127</v>
      </c>
      <c r="B132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MPSL127</v>
      </c>
      <c r="C132" s="31" t="s">
        <v>262</v>
      </c>
      <c r="D132" s="32" t="s">
        <v>49</v>
      </c>
      <c r="E132" s="31" t="s">
        <v>53</v>
      </c>
      <c r="F132" s="31" t="s">
        <v>261</v>
      </c>
      <c r="G132" s="33">
        <v>5.6</v>
      </c>
      <c r="H132" s="33" t="s">
        <v>13</v>
      </c>
      <c r="I132" s="34" t="s">
        <v>54</v>
      </c>
      <c r="J132" s="34" t="s">
        <v>209</v>
      </c>
      <c r="K132" s="31">
        <v>250</v>
      </c>
      <c r="L132" s="41">
        <f>tbESTOQUE[[#This Row],[PREÇO]]*tbESTOQUE[[#This Row],[QUANTIDADE]]</f>
        <v>1400</v>
      </c>
      <c r="M132" s="35" t="str">
        <f>IF(tbESTOQUE[[#This Row],[CATEGORIA]]="CINTAS",SUMIF(tbValidade[Descrição],tbESTOQUE[[#This Row],[DESCRIÇÃO]],tbValidade[Estoque]),"N/A")</f>
        <v>N/A</v>
      </c>
      <c r="N132" s="41" t="str">
        <f>IFERROR(tbESTOQUE[[#This Row],[ESTOQUE C/ DATA]]*tbESTOQUE[[#This Row],[PREÇO]],tbESTOQUE[[#This Row],[ESTOQUE C/ DATA]])</f>
        <v>N/A</v>
      </c>
      <c r="O132" s="36">
        <f>SUM(tbESTOQUE[[#This Row],[ESTOQUE C/ DATA]],tbESTOQUE[[#This Row],[QUANTIDADE]])</f>
        <v>250</v>
      </c>
      <c r="P132" s="38">
        <f>tbESTOQUE[[#This Row],[ESTOQUE GERAL]]*tbESTOQUE[[#This Row],[PREÇO]]</f>
        <v>1400</v>
      </c>
    </row>
    <row r="133" spans="1:16" ht="16.5" x14ac:dyDescent="0.25">
      <c r="A133" s="31">
        <f>ROW() - 5</f>
        <v>128</v>
      </c>
      <c r="B133" s="31" t="str">
        <f>IF(LEFT(tbESTOQUE[[#This Row],[DESCRIÇÃO]],13)="PAO DE QUEIJO","PAPQ" &amp;tbESTOQUE[[#This Row],[CÓDIGO]],SUBSTITUTE(IF(ISERROR(SEARCH(" ",tbESTOQUE[[#This Row],[GRUPO]]))=FALSE,LEFT(tbESTOQUE[[#This Row],[GRUPO]],1)&amp;MID(tbESTOQUE[[#This Row],[GRUPO]],SEARCH(" ",tbESTOQUE[[#This Row],[GRUPO]]),2),LEFT(tbESTOQUE[[#This Row],[GRUPO]],2))," ","") &amp; IFERROR(SUBSTITUTE(LEFT(tbESTOQUE[[#This Row],[DESCRIÇÃO]],1) &amp; MID(tbESTOQUE[[#This Row],[DESCRIÇÃO]],SEARCH(" ",tbESTOQUE[[#This Row],[DESCRIÇÃO]]),2)," ",""),LEFT(tbESTOQUE[[#This Row],[DESCRIÇÃO]],1)) &amp; tbESTOQUE[[#This Row],[CÓDIGO]])</f>
        <v>EMSL128</v>
      </c>
      <c r="C133" s="31" t="s">
        <v>331</v>
      </c>
      <c r="D133" s="32" t="s">
        <v>6</v>
      </c>
      <c r="E133" s="31" t="s">
        <v>332</v>
      </c>
      <c r="F133" s="31" t="s">
        <v>333</v>
      </c>
      <c r="G133" s="33"/>
      <c r="H133" s="33"/>
      <c r="I133" s="34"/>
      <c r="J133" s="34"/>
      <c r="K133" s="31">
        <v>-21</v>
      </c>
      <c r="L133" s="41">
        <f>tbESTOQUE[[#This Row],[PREÇO]]*tbESTOQUE[[#This Row],[QUANTIDADE]]</f>
        <v>0</v>
      </c>
      <c r="M133" s="35" t="str">
        <f>IF(tbESTOQUE[[#This Row],[CATEGORIA]]="CINTAS",SUMIF(tbValidade[Descrição],tbESTOQUE[[#This Row],[DESCRIÇÃO]],tbValidade[Estoque]),"N/A")</f>
        <v>N/A</v>
      </c>
      <c r="N133" s="41" t="str">
        <f>IFERROR(tbESTOQUE[[#This Row],[ESTOQUE C/ DATA]]*tbESTOQUE[[#This Row],[PREÇO]],tbESTOQUE[[#This Row],[ESTOQUE C/ DATA]])</f>
        <v>N/A</v>
      </c>
      <c r="O133" s="36">
        <f>SUM(tbESTOQUE[[#This Row],[ESTOQUE C/ DATA]],tbESTOQUE[[#This Row],[QUANTIDADE]])</f>
        <v>-21</v>
      </c>
      <c r="P133" s="38">
        <f>tbESTOQUE[[#This Row],[ESTOQUE GERAL]]*tbESTOQUE[[#This Row],[PREÇO]]</f>
        <v>0</v>
      </c>
    </row>
    <row r="134" spans="1:16" ht="16.5" x14ac:dyDescent="0.25">
      <c r="A134" s="31"/>
      <c r="B134" s="31"/>
      <c r="C134" s="31"/>
      <c r="D134" s="32"/>
      <c r="E134" s="31"/>
      <c r="F134" s="31"/>
      <c r="G134" s="42"/>
      <c r="H134" s="42"/>
      <c r="I134" s="43"/>
      <c r="J134" s="43"/>
      <c r="K134" s="35">
        <f>SUBTOTAL(109,tbESTOQUE[QUANTIDADE])</f>
        <v>49162.958000000006</v>
      </c>
      <c r="L134" s="42">
        <f>SUBTOTAL(109,tbESTOQUE[COTAÇÃO])</f>
        <v>31139.21</v>
      </c>
      <c r="M134" s="35">
        <f>SUBTOTAL(109,tbESTOQUE[ESTOQUE C/ DATA])</f>
        <v>1353</v>
      </c>
      <c r="N134" s="42">
        <f>SUBTOTAL(109,tbESTOQUE[COTAÇÃO C/ DATA])</f>
        <v>500.61</v>
      </c>
      <c r="O134" s="36">
        <f>SUBTOTAL(109,tbESTOQUE[ESTOQUE GERAL])</f>
        <v>50515.958000000006</v>
      </c>
      <c r="P134" s="44">
        <f>SUBTOTAL(109,tbESTOQUE[COTAÇÃO GERAL])</f>
        <v>31639.82</v>
      </c>
    </row>
  </sheetData>
  <dataValidations count="1">
    <dataValidation type="list" allowBlank="1" showInputMessage="1" showErrorMessage="1" sqref="H6:H133" xr:uid="{00000000-0002-0000-0700-000000000000}">
      <formula1>"S,N"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LOG">
    <tabColor theme="7" tint="-0.499984740745262"/>
  </sheetPr>
  <dimension ref="A5:J17"/>
  <sheetViews>
    <sheetView showGridLines="0" workbookViewId="0">
      <pane ySplit="5" topLeftCell="A6" activePane="bottomLeft" state="frozen"/>
      <selection pane="bottomLeft" activeCell="F10" sqref="F10"/>
    </sheetView>
  </sheetViews>
  <sheetFormatPr defaultRowHeight="15" x14ac:dyDescent="0.25"/>
  <cols>
    <col min="1" max="1" width="29.28515625" bestFit="1" customWidth="1"/>
    <col min="2" max="2" width="11.140625" bestFit="1" customWidth="1"/>
    <col min="3" max="3" width="14.28515625" bestFit="1" customWidth="1"/>
    <col min="4" max="4" width="13.5703125" bestFit="1" customWidth="1"/>
    <col min="5" max="5" width="53.5703125" bestFit="1" customWidth="1"/>
    <col min="6" max="6" width="19" bestFit="1" customWidth="1"/>
    <col min="7" max="7" width="15.85546875" bestFit="1" customWidth="1"/>
    <col min="8" max="8" width="15.7109375" bestFit="1" customWidth="1"/>
    <col min="9" max="9" width="19.28515625" bestFit="1" customWidth="1"/>
    <col min="10" max="10" width="19" bestFit="1" customWidth="1"/>
    <col min="11" max="11" width="31.140625" customWidth="1"/>
    <col min="12" max="12" width="32.140625" customWidth="1"/>
    <col min="13" max="13" width="27.140625" customWidth="1"/>
  </cols>
  <sheetData>
    <row r="5" spans="1:10" x14ac:dyDescent="0.25">
      <c r="A5" s="56" t="s">
        <v>199</v>
      </c>
      <c r="B5" s="12" t="s">
        <v>200</v>
      </c>
      <c r="C5" s="12" t="s">
        <v>201</v>
      </c>
      <c r="D5" s="12" t="s">
        <v>204</v>
      </c>
      <c r="E5" s="12" t="s">
        <v>202</v>
      </c>
      <c r="F5" s="12" t="s">
        <v>211</v>
      </c>
      <c r="G5" s="12" t="s">
        <v>212</v>
      </c>
      <c r="H5" s="12" t="s">
        <v>213</v>
      </c>
      <c r="I5" s="12" t="s">
        <v>3</v>
      </c>
      <c r="J5" s="12" t="s">
        <v>4</v>
      </c>
    </row>
    <row r="6" spans="1:10" x14ac:dyDescent="0.25">
      <c r="A6" s="56">
        <v>42877.673564814817</v>
      </c>
      <c r="B6" s="12" t="s">
        <v>205</v>
      </c>
      <c r="C6" s="12" t="s">
        <v>206</v>
      </c>
      <c r="D6" s="12" t="s">
        <v>203</v>
      </c>
      <c r="E6" s="12" t="s">
        <v>228</v>
      </c>
      <c r="F6" s="12">
        <v>551</v>
      </c>
      <c r="G6" s="12">
        <v>24</v>
      </c>
      <c r="H6" s="12">
        <v>527</v>
      </c>
      <c r="I6" s="12" t="s">
        <v>222</v>
      </c>
      <c r="J6" s="12" t="s">
        <v>10</v>
      </c>
    </row>
    <row r="7" spans="1:10" x14ac:dyDescent="0.25">
      <c r="A7" s="56">
        <v>42877.674050925925</v>
      </c>
      <c r="B7" s="12" t="s">
        <v>205</v>
      </c>
      <c r="C7" s="12" t="s">
        <v>206</v>
      </c>
      <c r="D7" s="12" t="s">
        <v>203</v>
      </c>
      <c r="E7" s="12" t="s">
        <v>226</v>
      </c>
      <c r="F7" s="12">
        <v>61</v>
      </c>
      <c r="G7" s="12">
        <v>2</v>
      </c>
      <c r="H7" s="12">
        <v>59</v>
      </c>
      <c r="I7" s="12" t="s">
        <v>222</v>
      </c>
      <c r="J7" s="12" t="s">
        <v>10</v>
      </c>
    </row>
    <row r="8" spans="1:10" x14ac:dyDescent="0.25">
      <c r="A8" s="56">
        <v>42877.706956018519</v>
      </c>
      <c r="B8" s="12" t="s">
        <v>205</v>
      </c>
      <c r="C8" s="12" t="s">
        <v>206</v>
      </c>
      <c r="D8" s="12" t="s">
        <v>203</v>
      </c>
      <c r="E8" s="12" t="s">
        <v>331</v>
      </c>
      <c r="F8" s="12">
        <v>0</v>
      </c>
      <c r="G8" s="12">
        <v>21</v>
      </c>
      <c r="H8" s="12">
        <v>-21</v>
      </c>
      <c r="I8" s="12" t="s">
        <v>6</v>
      </c>
      <c r="J8" s="12" t="s">
        <v>332</v>
      </c>
    </row>
    <row r="9" spans="1:10" x14ac:dyDescent="0.25">
      <c r="A9" s="56">
        <v>42877.707349537035</v>
      </c>
      <c r="B9" s="12" t="s">
        <v>205</v>
      </c>
      <c r="C9" s="12" t="s">
        <v>206</v>
      </c>
      <c r="D9" s="12" t="s">
        <v>203</v>
      </c>
      <c r="E9" s="12" t="s">
        <v>262</v>
      </c>
      <c r="F9" s="12">
        <v>400</v>
      </c>
      <c r="G9" s="12">
        <v>250</v>
      </c>
      <c r="H9" s="12">
        <v>150</v>
      </c>
      <c r="I9" s="12" t="s">
        <v>49</v>
      </c>
      <c r="J9" s="12" t="s">
        <v>53</v>
      </c>
    </row>
    <row r="10" spans="1:10" x14ac:dyDescent="0.25">
      <c r="A10" s="56">
        <v>42877.707511574074</v>
      </c>
      <c r="B10" s="12" t="s">
        <v>205</v>
      </c>
      <c r="C10" s="12" t="s">
        <v>206</v>
      </c>
      <c r="D10" s="12" t="s">
        <v>15</v>
      </c>
      <c r="E10" s="12" t="s">
        <v>262</v>
      </c>
      <c r="F10" s="12">
        <v>150</v>
      </c>
      <c r="G10" s="12">
        <v>100</v>
      </c>
      <c r="H10" s="12">
        <v>250</v>
      </c>
      <c r="I10" s="12" t="s">
        <v>49</v>
      </c>
      <c r="J10" s="12" t="s">
        <v>53</v>
      </c>
    </row>
    <row r="11" spans="1:10" x14ac:dyDescent="0.25">
      <c r="A11" s="56">
        <v>42878.418715277781</v>
      </c>
      <c r="B11" s="12" t="s">
        <v>205</v>
      </c>
      <c r="C11" s="12" t="s">
        <v>206</v>
      </c>
      <c r="D11" s="12" t="s">
        <v>203</v>
      </c>
      <c r="E11" s="12" t="s">
        <v>144</v>
      </c>
      <c r="F11" s="12">
        <v>121</v>
      </c>
      <c r="G11" s="12">
        <v>7</v>
      </c>
      <c r="H11" s="12">
        <v>114</v>
      </c>
      <c r="I11" s="12" t="s">
        <v>222</v>
      </c>
      <c r="J11" s="12" t="s">
        <v>11</v>
      </c>
    </row>
    <row r="12" spans="1:10" x14ac:dyDescent="0.25">
      <c r="A12" s="56">
        <v>42878.418877314813</v>
      </c>
      <c r="B12" s="12" t="s">
        <v>205</v>
      </c>
      <c r="C12" s="12" t="s">
        <v>206</v>
      </c>
      <c r="D12" s="12" t="s">
        <v>203</v>
      </c>
      <c r="E12" s="12" t="s">
        <v>145</v>
      </c>
      <c r="F12" s="12">
        <v>128</v>
      </c>
      <c r="G12" s="12">
        <v>18</v>
      </c>
      <c r="H12" s="12">
        <v>110</v>
      </c>
      <c r="I12" s="12" t="s">
        <v>222</v>
      </c>
      <c r="J12" s="12" t="s">
        <v>11</v>
      </c>
    </row>
    <row r="13" spans="1:10" x14ac:dyDescent="0.25">
      <c r="A13" s="56">
        <v>42878.418946759259</v>
      </c>
      <c r="B13" s="12" t="s">
        <v>205</v>
      </c>
      <c r="C13" s="12" t="s">
        <v>206</v>
      </c>
      <c r="D13" s="12" t="s">
        <v>203</v>
      </c>
      <c r="E13" s="12" t="s">
        <v>146</v>
      </c>
      <c r="F13" s="12">
        <v>218</v>
      </c>
      <c r="G13" s="12">
        <v>18</v>
      </c>
      <c r="H13" s="12">
        <v>200</v>
      </c>
      <c r="I13" s="12" t="s">
        <v>222</v>
      </c>
      <c r="J13" s="12" t="s">
        <v>11</v>
      </c>
    </row>
    <row r="14" spans="1:10" x14ac:dyDescent="0.25">
      <c r="A14" s="56">
        <v>42878.5627662037</v>
      </c>
      <c r="B14" s="12" t="s">
        <v>205</v>
      </c>
      <c r="C14" s="12" t="s">
        <v>206</v>
      </c>
      <c r="D14" s="12" t="s">
        <v>203</v>
      </c>
      <c r="E14" s="12" t="s">
        <v>229</v>
      </c>
      <c r="F14" s="12">
        <v>24</v>
      </c>
      <c r="G14" s="12">
        <v>1</v>
      </c>
      <c r="H14" s="12">
        <v>23</v>
      </c>
      <c r="I14" s="12" t="s">
        <v>222</v>
      </c>
      <c r="J14" s="12" t="s">
        <v>10</v>
      </c>
    </row>
    <row r="15" spans="1:10" x14ac:dyDescent="0.25">
      <c r="A15" s="56">
        <v>42878.562824074077</v>
      </c>
      <c r="B15" s="12" t="s">
        <v>205</v>
      </c>
      <c r="C15" s="12" t="s">
        <v>206</v>
      </c>
      <c r="D15" s="12" t="s">
        <v>203</v>
      </c>
      <c r="E15" s="12" t="s">
        <v>228</v>
      </c>
      <c r="F15" s="12">
        <v>527</v>
      </c>
      <c r="G15" s="12">
        <v>1</v>
      </c>
      <c r="H15" s="12">
        <v>526</v>
      </c>
      <c r="I15" s="12" t="s">
        <v>222</v>
      </c>
      <c r="J15" s="12" t="s">
        <v>10</v>
      </c>
    </row>
    <row r="16" spans="1:10" x14ac:dyDescent="0.25">
      <c r="A16" s="56">
        <v>42878.591412037036</v>
      </c>
      <c r="B16" s="12" t="s">
        <v>205</v>
      </c>
      <c r="C16" s="12" t="s">
        <v>206</v>
      </c>
      <c r="D16" s="12" t="s">
        <v>203</v>
      </c>
      <c r="E16" s="12" t="s">
        <v>227</v>
      </c>
      <c r="F16" s="12">
        <v>244</v>
      </c>
      <c r="G16" s="12">
        <v>40</v>
      </c>
      <c r="H16" s="12">
        <v>204</v>
      </c>
      <c r="I16" s="12" t="s">
        <v>222</v>
      </c>
      <c r="J16" s="12" t="s">
        <v>10</v>
      </c>
    </row>
    <row r="17" spans="1:10" x14ac:dyDescent="0.25">
      <c r="A17" s="56">
        <v>42879.697905092595</v>
      </c>
      <c r="B17" s="12" t="s">
        <v>205</v>
      </c>
      <c r="C17" s="12" t="s">
        <v>206</v>
      </c>
      <c r="D17" s="12" t="s">
        <v>203</v>
      </c>
      <c r="E17" s="12" t="s">
        <v>227</v>
      </c>
      <c r="F17" s="12">
        <v>244</v>
      </c>
      <c r="G17" s="12">
        <v>28</v>
      </c>
      <c r="H17" s="12">
        <v>216</v>
      </c>
      <c r="I17" s="12" t="s">
        <v>222</v>
      </c>
      <c r="J17" s="12" t="s">
        <v>10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tWEB">
    <tabColor theme="7" tint="-0.499984740745262"/>
  </sheetPr>
  <dimension ref="A5:J17"/>
  <sheetViews>
    <sheetView showGridLines="0" workbookViewId="0">
      <selection activeCell="C11" sqref="C11"/>
    </sheetView>
  </sheetViews>
  <sheetFormatPr defaultRowHeight="15" x14ac:dyDescent="0.25"/>
  <cols>
    <col min="1" max="1" width="22.28515625" style="65" bestFit="1" customWidth="1"/>
    <col min="2" max="2" width="16.42578125" style="65" bestFit="1" customWidth="1"/>
    <col min="3" max="3" width="42.5703125" style="65" bestFit="1" customWidth="1"/>
    <col min="4" max="4" width="25.85546875" style="65" bestFit="1" customWidth="1"/>
    <col min="5" max="5" width="18" style="65" bestFit="1" customWidth="1"/>
    <col min="6" max="6" width="9.7109375" style="65" bestFit="1" customWidth="1"/>
    <col min="7" max="7" width="18.28515625" style="65" bestFit="1" customWidth="1"/>
    <col min="8" max="8" width="11.7109375" style="65" bestFit="1" customWidth="1"/>
    <col min="9" max="9" width="33.28515625" style="65" bestFit="1" customWidth="1"/>
    <col min="10" max="10" width="42.140625" style="65" bestFit="1" customWidth="1"/>
    <col min="11" max="11" width="13.140625" style="65" bestFit="1" customWidth="1"/>
    <col min="12" max="12" width="6.5703125" style="65" bestFit="1" customWidth="1"/>
    <col min="13" max="13" width="14.85546875" style="65" bestFit="1" customWidth="1"/>
    <col min="14" max="14" width="11" style="65" bestFit="1" customWidth="1"/>
    <col min="15" max="15" width="33.28515625" style="65" bestFit="1" customWidth="1"/>
    <col min="16" max="16" width="18.7109375" style="65" bestFit="1" customWidth="1"/>
    <col min="17" max="17" width="30.42578125" style="65" bestFit="1" customWidth="1"/>
    <col min="18" max="16384" width="9.140625" style="65"/>
  </cols>
  <sheetData>
    <row r="5" spans="1:10" x14ac:dyDescent="0.25">
      <c r="A5" t="s">
        <v>272</v>
      </c>
      <c r="B5" t="s">
        <v>5</v>
      </c>
      <c r="C5" s="66" t="s">
        <v>273</v>
      </c>
      <c r="D5" s="66" t="s">
        <v>274</v>
      </c>
      <c r="E5" t="s">
        <v>275</v>
      </c>
      <c r="F5" s="66" t="s">
        <v>263</v>
      </c>
      <c r="G5" t="s">
        <v>276</v>
      </c>
      <c r="H5" t="s">
        <v>277</v>
      </c>
      <c r="I5" s="66" t="s">
        <v>278</v>
      </c>
      <c r="J5" t="s">
        <v>264</v>
      </c>
    </row>
    <row r="6" spans="1:10" x14ac:dyDescent="0.25">
      <c r="A6" s="67" t="s">
        <v>279</v>
      </c>
      <c r="B6" s="67" t="s">
        <v>265</v>
      </c>
      <c r="C6" s="66" t="s">
        <v>266</v>
      </c>
      <c r="D6" s="66" t="s">
        <v>266</v>
      </c>
      <c r="E6" s="67" t="s">
        <v>280</v>
      </c>
      <c r="F6" s="66" t="s">
        <v>271</v>
      </c>
      <c r="G6" s="67" t="s">
        <v>271</v>
      </c>
      <c r="H6" s="67" t="s">
        <v>281</v>
      </c>
      <c r="I6" s="66" t="s">
        <v>267</v>
      </c>
      <c r="J6" s="67" t="s">
        <v>268</v>
      </c>
    </row>
    <row r="7" spans="1:10" x14ac:dyDescent="0.25">
      <c r="A7" s="67" t="s">
        <v>282</v>
      </c>
      <c r="B7" s="67" t="s">
        <v>265</v>
      </c>
      <c r="C7" s="66" t="s">
        <v>269</v>
      </c>
      <c r="D7" s="66" t="s">
        <v>269</v>
      </c>
      <c r="E7" s="67" t="s">
        <v>283</v>
      </c>
      <c r="F7" s="66" t="s">
        <v>271</v>
      </c>
      <c r="G7" s="67" t="s">
        <v>271</v>
      </c>
      <c r="H7" s="67" t="s">
        <v>284</v>
      </c>
      <c r="I7" s="66" t="s">
        <v>270</v>
      </c>
      <c r="J7" s="67" t="s">
        <v>268</v>
      </c>
    </row>
    <row r="8" spans="1:10" x14ac:dyDescent="0.25">
      <c r="A8" s="67" t="s">
        <v>285</v>
      </c>
      <c r="B8" s="67" t="s">
        <v>265</v>
      </c>
      <c r="C8" s="66" t="s">
        <v>286</v>
      </c>
      <c r="D8" s="66" t="s">
        <v>287</v>
      </c>
      <c r="E8" s="67" t="s">
        <v>288</v>
      </c>
      <c r="F8" s="66" t="s">
        <v>289</v>
      </c>
      <c r="G8" s="67" t="s">
        <v>290</v>
      </c>
      <c r="H8" s="67" t="s">
        <v>291</v>
      </c>
      <c r="I8" s="66" t="s">
        <v>292</v>
      </c>
      <c r="J8" s="67" t="s">
        <v>293</v>
      </c>
    </row>
    <row r="9" spans="1:10" x14ac:dyDescent="0.25">
      <c r="A9" s="67" t="s">
        <v>294</v>
      </c>
      <c r="B9" s="67" t="s">
        <v>295</v>
      </c>
      <c r="C9" s="66" t="s">
        <v>296</v>
      </c>
      <c r="D9" s="66" t="s">
        <v>297</v>
      </c>
      <c r="E9" s="67" t="s">
        <v>298</v>
      </c>
      <c r="F9" s="66" t="s">
        <v>299</v>
      </c>
      <c r="G9" s="67" t="s">
        <v>300</v>
      </c>
      <c r="H9" s="67" t="s">
        <v>283</v>
      </c>
      <c r="I9" s="66" t="s">
        <v>301</v>
      </c>
      <c r="J9" s="67" t="s">
        <v>302</v>
      </c>
    </row>
    <row r="10" spans="1:10" x14ac:dyDescent="0.25">
      <c r="A10" s="67" t="s">
        <v>303</v>
      </c>
      <c r="B10" s="67" t="s">
        <v>265</v>
      </c>
      <c r="C10" s="66" t="s">
        <v>304</v>
      </c>
      <c r="D10" s="66" t="s">
        <v>305</v>
      </c>
      <c r="E10" s="67" t="s">
        <v>306</v>
      </c>
      <c r="F10" s="66" t="s">
        <v>307</v>
      </c>
      <c r="G10" s="67" t="s">
        <v>308</v>
      </c>
      <c r="H10" s="67" t="s">
        <v>309</v>
      </c>
      <c r="I10" s="66" t="s">
        <v>310</v>
      </c>
      <c r="J10" s="67" t="s">
        <v>293</v>
      </c>
    </row>
    <row r="11" spans="1:10" x14ac:dyDescent="0.25">
      <c r="A11" s="67" t="s">
        <v>311</v>
      </c>
      <c r="B11" s="67" t="s">
        <v>265</v>
      </c>
      <c r="C11" s="66" t="s">
        <v>312</v>
      </c>
      <c r="D11" s="66" t="s">
        <v>313</v>
      </c>
      <c r="E11" s="67" t="s">
        <v>314</v>
      </c>
      <c r="F11" s="66" t="s">
        <v>315</v>
      </c>
      <c r="G11" s="67" t="s">
        <v>316</v>
      </c>
      <c r="H11" s="67" t="s">
        <v>283</v>
      </c>
      <c r="I11" s="66" t="s">
        <v>283</v>
      </c>
      <c r="J11" s="67" t="s">
        <v>302</v>
      </c>
    </row>
    <row r="12" spans="1:10" x14ac:dyDescent="0.25">
      <c r="A12" s="67" t="s">
        <v>317</v>
      </c>
      <c r="B12" s="67" t="s">
        <v>295</v>
      </c>
      <c r="C12" s="66" t="s">
        <v>318</v>
      </c>
      <c r="D12" s="66" t="s">
        <v>319</v>
      </c>
      <c r="E12" s="67" t="s">
        <v>320</v>
      </c>
      <c r="F12" s="66" t="s">
        <v>321</v>
      </c>
      <c r="G12" s="67" t="s">
        <v>322</v>
      </c>
      <c r="H12" s="67" t="s">
        <v>283</v>
      </c>
      <c r="I12" s="66" t="s">
        <v>323</v>
      </c>
      <c r="J12" s="67" t="s">
        <v>302</v>
      </c>
    </row>
    <row r="13" spans="1:10" x14ac:dyDescent="0.25">
      <c r="A13" s="67" t="s">
        <v>324</v>
      </c>
      <c r="B13" s="67" t="s">
        <v>295</v>
      </c>
      <c r="C13" s="66" t="s">
        <v>325</v>
      </c>
      <c r="D13" s="66" t="s">
        <v>326</v>
      </c>
      <c r="E13" s="67" t="s">
        <v>327</v>
      </c>
      <c r="F13" s="66" t="s">
        <v>328</v>
      </c>
      <c r="G13" s="67" t="s">
        <v>329</v>
      </c>
      <c r="H13" s="67" t="s">
        <v>283</v>
      </c>
      <c r="I13" s="66" t="s">
        <v>330</v>
      </c>
      <c r="J13" s="67" t="s">
        <v>302</v>
      </c>
    </row>
    <row r="14" spans="1:10" x14ac:dyDescent="0.25">
      <c r="A14" s="67" t="s">
        <v>337</v>
      </c>
      <c r="B14" s="67" t="s">
        <v>265</v>
      </c>
      <c r="C14" s="67" t="s">
        <v>338</v>
      </c>
      <c r="D14" s="67" t="s">
        <v>339</v>
      </c>
      <c r="E14" s="67" t="s">
        <v>283</v>
      </c>
      <c r="F14" s="67" t="s">
        <v>283</v>
      </c>
      <c r="G14" s="67" t="s">
        <v>340</v>
      </c>
      <c r="H14" s="67" t="s">
        <v>283</v>
      </c>
      <c r="I14" s="67" t="s">
        <v>341</v>
      </c>
      <c r="J14" s="67" t="s">
        <v>268</v>
      </c>
    </row>
    <row r="15" spans="1:10" x14ac:dyDescent="0.25">
      <c r="A15" s="67" t="s">
        <v>342</v>
      </c>
      <c r="B15" s="67" t="s">
        <v>265</v>
      </c>
      <c r="C15" s="67" t="s">
        <v>343</v>
      </c>
      <c r="D15" s="67" t="s">
        <v>344</v>
      </c>
      <c r="E15" s="67" t="s">
        <v>345</v>
      </c>
      <c r="F15" s="67" t="s">
        <v>346</v>
      </c>
      <c r="G15" s="67" t="s">
        <v>347</v>
      </c>
      <c r="H15" s="67" t="s">
        <v>348</v>
      </c>
      <c r="I15" s="67" t="s">
        <v>349</v>
      </c>
      <c r="J15" s="67" t="s">
        <v>350</v>
      </c>
    </row>
    <row r="16" spans="1:10" x14ac:dyDescent="0.25">
      <c r="A16" s="67" t="s">
        <v>351</v>
      </c>
      <c r="B16" s="67" t="s">
        <v>265</v>
      </c>
      <c r="C16" s="67" t="s">
        <v>352</v>
      </c>
      <c r="D16" s="67" t="s">
        <v>353</v>
      </c>
      <c r="E16" s="67" t="s">
        <v>354</v>
      </c>
      <c r="F16" s="67" t="s">
        <v>355</v>
      </c>
      <c r="G16" s="67" t="s">
        <v>356</v>
      </c>
      <c r="H16" s="67" t="s">
        <v>357</v>
      </c>
      <c r="I16" s="67" t="s">
        <v>358</v>
      </c>
      <c r="J16" s="67" t="s">
        <v>293</v>
      </c>
    </row>
    <row r="17" spans="1:10" x14ac:dyDescent="0.25">
      <c r="A17" s="67" t="s">
        <v>359</v>
      </c>
      <c r="B17" s="67" t="s">
        <v>265</v>
      </c>
      <c r="C17" s="67" t="s">
        <v>360</v>
      </c>
      <c r="D17" s="67" t="s">
        <v>361</v>
      </c>
      <c r="E17" s="67" t="s">
        <v>362</v>
      </c>
      <c r="F17" s="67" t="s">
        <v>363</v>
      </c>
      <c r="G17" s="67" t="s">
        <v>364</v>
      </c>
      <c r="H17" s="67" t="s">
        <v>365</v>
      </c>
      <c r="I17" s="67" t="s">
        <v>366</v>
      </c>
      <c r="J17" s="67" t="s">
        <v>302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PRINT">
    <tabColor theme="7" tint="-0.499984740745262"/>
  </sheetPr>
  <dimension ref="A1:G27"/>
  <sheetViews>
    <sheetView showGridLines="0" view="pageLayout" zoomScaleNormal="100" workbookViewId="0"/>
  </sheetViews>
  <sheetFormatPr defaultRowHeight="15" x14ac:dyDescent="0.25"/>
  <cols>
    <col min="1" max="1" width="8" customWidth="1"/>
    <col min="2" max="2" width="11.140625" customWidth="1"/>
    <col min="3" max="3" width="51" customWidth="1"/>
    <col min="4" max="4" width="18.28515625" customWidth="1"/>
    <col min="5" max="5" width="14.42578125" customWidth="1"/>
    <col min="6" max="6" width="13" customWidth="1"/>
    <col min="7" max="7" width="14.42578125" customWidth="1"/>
  </cols>
  <sheetData>
    <row r="1" spans="1:7" ht="17.25" x14ac:dyDescent="0.25">
      <c r="A1" s="57" t="s">
        <v>260</v>
      </c>
      <c r="B1" s="57" t="s">
        <v>257</v>
      </c>
      <c r="C1" s="57" t="s">
        <v>1</v>
      </c>
      <c r="D1" s="57" t="s">
        <v>4</v>
      </c>
      <c r="E1" s="57" t="s">
        <v>258</v>
      </c>
      <c r="F1" s="64" t="s">
        <v>5</v>
      </c>
      <c r="G1" s="64" t="s">
        <v>259</v>
      </c>
    </row>
    <row r="2" spans="1:7" ht="17.25" x14ac:dyDescent="0.25">
      <c r="A2" s="31">
        <v>19</v>
      </c>
      <c r="B2" s="32" t="s">
        <v>231</v>
      </c>
      <c r="C2" s="54" t="s">
        <v>229</v>
      </c>
      <c r="D2" s="32" t="s">
        <v>10</v>
      </c>
      <c r="E2" s="31">
        <v>24</v>
      </c>
      <c r="F2" s="63"/>
      <c r="G2" s="62"/>
    </row>
    <row r="3" spans="1:7" ht="17.25" x14ac:dyDescent="0.25">
      <c r="A3" s="31">
        <v>20</v>
      </c>
      <c r="B3" s="32" t="s">
        <v>232</v>
      </c>
      <c r="C3" s="54" t="s">
        <v>226</v>
      </c>
      <c r="D3" s="32" t="s">
        <v>10</v>
      </c>
      <c r="E3" s="31">
        <v>61</v>
      </c>
      <c r="F3" s="61"/>
      <c r="G3" s="60"/>
    </row>
    <row r="4" spans="1:7" ht="17.25" x14ac:dyDescent="0.25">
      <c r="A4" s="31">
        <v>21</v>
      </c>
      <c r="B4" s="32" t="s">
        <v>233</v>
      </c>
      <c r="C4" s="54" t="s">
        <v>230</v>
      </c>
      <c r="D4" s="32" t="s">
        <v>10</v>
      </c>
      <c r="E4" s="31">
        <v>0</v>
      </c>
      <c r="F4" s="61"/>
      <c r="G4" s="60"/>
    </row>
    <row r="5" spans="1:7" ht="17.25" x14ac:dyDescent="0.25">
      <c r="A5" s="31">
        <v>22</v>
      </c>
      <c r="B5" s="32" t="s">
        <v>234</v>
      </c>
      <c r="C5" s="54" t="s">
        <v>228</v>
      </c>
      <c r="D5" s="32" t="s">
        <v>10</v>
      </c>
      <c r="E5" s="31">
        <v>587</v>
      </c>
      <c r="F5" s="61"/>
      <c r="G5" s="60"/>
    </row>
    <row r="6" spans="1:7" ht="17.25" x14ac:dyDescent="0.25">
      <c r="A6" s="31">
        <v>126</v>
      </c>
      <c r="B6" s="31" t="s">
        <v>256</v>
      </c>
      <c r="C6" s="55" t="s">
        <v>227</v>
      </c>
      <c r="D6" s="31" t="s">
        <v>10</v>
      </c>
      <c r="E6" s="31">
        <v>244</v>
      </c>
      <c r="F6" s="61"/>
      <c r="G6" s="60"/>
    </row>
    <row r="7" spans="1:7" ht="17.25" x14ac:dyDescent="0.25">
      <c r="A7" s="59">
        <v>23</v>
      </c>
      <c r="B7" s="58" t="s">
        <v>235</v>
      </c>
      <c r="C7" s="60" t="s">
        <v>169</v>
      </c>
      <c r="D7" s="32" t="s">
        <v>11</v>
      </c>
      <c r="E7" s="31">
        <v>24</v>
      </c>
      <c r="F7" s="61"/>
      <c r="G7" s="60"/>
    </row>
    <row r="8" spans="1:7" ht="17.25" x14ac:dyDescent="0.25">
      <c r="A8" s="59">
        <v>24</v>
      </c>
      <c r="B8" s="58" t="s">
        <v>236</v>
      </c>
      <c r="C8" s="60" t="s">
        <v>170</v>
      </c>
      <c r="D8" s="32" t="s">
        <v>11</v>
      </c>
      <c r="E8" s="31">
        <v>120</v>
      </c>
      <c r="F8" s="61"/>
      <c r="G8" s="60"/>
    </row>
    <row r="9" spans="1:7" ht="17.25" x14ac:dyDescent="0.25">
      <c r="A9" s="59">
        <v>25</v>
      </c>
      <c r="B9" s="58" t="s">
        <v>237</v>
      </c>
      <c r="C9" s="60" t="s">
        <v>171</v>
      </c>
      <c r="D9" s="32" t="s">
        <v>11</v>
      </c>
      <c r="E9" s="31">
        <v>78</v>
      </c>
      <c r="F9" s="61"/>
      <c r="G9" s="60"/>
    </row>
    <row r="10" spans="1:7" ht="17.25" x14ac:dyDescent="0.25">
      <c r="A10" s="59">
        <v>26</v>
      </c>
      <c r="B10" s="58" t="s">
        <v>238</v>
      </c>
      <c r="C10" s="60" t="s">
        <v>173</v>
      </c>
      <c r="D10" s="32" t="s">
        <v>11</v>
      </c>
      <c r="E10" s="31">
        <v>24</v>
      </c>
      <c r="F10" s="61"/>
      <c r="G10" s="60"/>
    </row>
    <row r="11" spans="1:7" ht="17.25" x14ac:dyDescent="0.25">
      <c r="A11" s="59">
        <v>27</v>
      </c>
      <c r="B11" s="58" t="s">
        <v>239</v>
      </c>
      <c r="C11" s="60" t="s">
        <v>223</v>
      </c>
      <c r="D11" s="32" t="s">
        <v>11</v>
      </c>
      <c r="E11" s="31">
        <v>15</v>
      </c>
      <c r="F11" s="61"/>
      <c r="G11" s="60"/>
    </row>
    <row r="12" spans="1:7" ht="17.25" x14ac:dyDescent="0.25">
      <c r="A12" s="59">
        <v>28</v>
      </c>
      <c r="B12" s="58" t="s">
        <v>240</v>
      </c>
      <c r="C12" s="60" t="s">
        <v>172</v>
      </c>
      <c r="D12" s="32" t="s">
        <v>11</v>
      </c>
      <c r="E12" s="31">
        <v>2</v>
      </c>
      <c r="F12" s="61"/>
      <c r="G12" s="60"/>
    </row>
    <row r="13" spans="1:7" ht="17.25" x14ac:dyDescent="0.25">
      <c r="A13" s="59">
        <v>80</v>
      </c>
      <c r="B13" s="58" t="s">
        <v>241</v>
      </c>
      <c r="C13" s="61" t="s">
        <v>139</v>
      </c>
      <c r="D13" s="31" t="s">
        <v>11</v>
      </c>
      <c r="E13" s="31">
        <v>36</v>
      </c>
      <c r="F13" s="61"/>
      <c r="G13" s="60"/>
    </row>
    <row r="14" spans="1:7" ht="17.25" x14ac:dyDescent="0.25">
      <c r="A14" s="59">
        <v>81</v>
      </c>
      <c r="B14" s="58" t="s">
        <v>242</v>
      </c>
      <c r="C14" s="61" t="s">
        <v>140</v>
      </c>
      <c r="D14" s="31" t="s">
        <v>11</v>
      </c>
      <c r="E14" s="31">
        <v>24</v>
      </c>
      <c r="F14" s="61"/>
      <c r="G14" s="60"/>
    </row>
    <row r="15" spans="1:7" ht="17.25" x14ac:dyDescent="0.25">
      <c r="A15" s="59">
        <v>82</v>
      </c>
      <c r="B15" s="58" t="s">
        <v>243</v>
      </c>
      <c r="C15" s="61" t="s">
        <v>141</v>
      </c>
      <c r="D15" s="31" t="s">
        <v>11</v>
      </c>
      <c r="E15" s="31">
        <v>36</v>
      </c>
      <c r="F15" s="61"/>
      <c r="G15" s="60"/>
    </row>
    <row r="16" spans="1:7" ht="17.25" x14ac:dyDescent="0.25">
      <c r="A16" s="59">
        <v>83</v>
      </c>
      <c r="B16" s="58" t="s">
        <v>244</v>
      </c>
      <c r="C16" s="61" t="s">
        <v>142</v>
      </c>
      <c r="D16" s="31" t="s">
        <v>11</v>
      </c>
      <c r="E16" s="31">
        <v>72</v>
      </c>
      <c r="F16" s="61"/>
      <c r="G16" s="60"/>
    </row>
    <row r="17" spans="1:7" ht="17.25" x14ac:dyDescent="0.25">
      <c r="A17" s="59">
        <v>84</v>
      </c>
      <c r="B17" s="58" t="s">
        <v>245</v>
      </c>
      <c r="C17" s="61" t="s">
        <v>143</v>
      </c>
      <c r="D17" s="31" t="s">
        <v>11</v>
      </c>
      <c r="E17" s="31">
        <v>12</v>
      </c>
      <c r="F17" s="61"/>
      <c r="G17" s="60"/>
    </row>
    <row r="18" spans="1:7" ht="17.25" x14ac:dyDescent="0.25">
      <c r="A18" s="59">
        <v>85</v>
      </c>
      <c r="B18" s="59" t="s">
        <v>246</v>
      </c>
      <c r="C18" s="61" t="s">
        <v>144</v>
      </c>
      <c r="D18" s="31" t="s">
        <v>11</v>
      </c>
      <c r="E18" s="31">
        <v>121</v>
      </c>
      <c r="F18" s="61"/>
      <c r="G18" s="60"/>
    </row>
    <row r="19" spans="1:7" ht="17.25" x14ac:dyDescent="0.25">
      <c r="A19" s="59">
        <v>86</v>
      </c>
      <c r="B19" s="59" t="s">
        <v>247</v>
      </c>
      <c r="C19" s="61" t="s">
        <v>145</v>
      </c>
      <c r="D19" s="31" t="s">
        <v>11</v>
      </c>
      <c r="E19" s="31">
        <v>128</v>
      </c>
      <c r="F19" s="61"/>
      <c r="G19" s="60"/>
    </row>
    <row r="20" spans="1:7" ht="17.25" x14ac:dyDescent="0.25">
      <c r="A20" s="59">
        <v>87</v>
      </c>
      <c r="B20" s="59" t="s">
        <v>248</v>
      </c>
      <c r="C20" s="61" t="s">
        <v>146</v>
      </c>
      <c r="D20" s="31" t="s">
        <v>11</v>
      </c>
      <c r="E20" s="31">
        <v>218</v>
      </c>
      <c r="F20" s="61"/>
      <c r="G20" s="60"/>
    </row>
    <row r="21" spans="1:7" ht="17.25" x14ac:dyDescent="0.25">
      <c r="A21" s="59">
        <v>117</v>
      </c>
      <c r="B21" s="59" t="s">
        <v>249</v>
      </c>
      <c r="C21" s="61" t="s">
        <v>220</v>
      </c>
      <c r="D21" s="31" t="s">
        <v>11</v>
      </c>
      <c r="E21" s="31">
        <v>1545</v>
      </c>
      <c r="F21" s="61"/>
      <c r="G21" s="60"/>
    </row>
    <row r="22" spans="1:7" ht="17.25" x14ac:dyDescent="0.25">
      <c r="A22" s="59">
        <v>118</v>
      </c>
      <c r="B22" s="59" t="s">
        <v>250</v>
      </c>
      <c r="C22" s="61" t="s">
        <v>214</v>
      </c>
      <c r="D22" s="31" t="s">
        <v>11</v>
      </c>
      <c r="E22" s="31">
        <v>774</v>
      </c>
      <c r="F22" s="61"/>
      <c r="G22" s="60"/>
    </row>
    <row r="23" spans="1:7" ht="17.25" x14ac:dyDescent="0.25">
      <c r="A23" s="59">
        <v>119</v>
      </c>
      <c r="B23" s="59" t="s">
        <v>251</v>
      </c>
      <c r="C23" s="61" t="s">
        <v>215</v>
      </c>
      <c r="D23" s="31" t="s">
        <v>11</v>
      </c>
      <c r="E23" s="31">
        <v>413</v>
      </c>
      <c r="F23" s="61"/>
      <c r="G23" s="60"/>
    </row>
    <row r="24" spans="1:7" ht="17.25" x14ac:dyDescent="0.25">
      <c r="A24" s="59">
        <v>120</v>
      </c>
      <c r="B24" s="59" t="s">
        <v>252</v>
      </c>
      <c r="C24" s="61" t="s">
        <v>216</v>
      </c>
      <c r="D24" s="31" t="s">
        <v>11</v>
      </c>
      <c r="E24" s="31">
        <v>1013</v>
      </c>
      <c r="F24" s="61"/>
      <c r="G24" s="60"/>
    </row>
    <row r="25" spans="1:7" ht="17.25" x14ac:dyDescent="0.25">
      <c r="A25" s="59">
        <v>121</v>
      </c>
      <c r="B25" s="59" t="s">
        <v>253</v>
      </c>
      <c r="C25" s="61" t="s">
        <v>217</v>
      </c>
      <c r="D25" s="31" t="s">
        <v>11</v>
      </c>
      <c r="E25" s="31">
        <v>647</v>
      </c>
      <c r="F25" s="61"/>
      <c r="G25" s="60"/>
    </row>
    <row r="26" spans="1:7" ht="17.25" x14ac:dyDescent="0.25">
      <c r="A26" s="59">
        <v>122</v>
      </c>
      <c r="B26" s="59" t="s">
        <v>254</v>
      </c>
      <c r="C26" s="61" t="s">
        <v>218</v>
      </c>
      <c r="D26" s="31" t="s">
        <v>11</v>
      </c>
      <c r="E26" s="31">
        <v>213</v>
      </c>
      <c r="F26" s="61"/>
      <c r="G26" s="60"/>
    </row>
    <row r="27" spans="1:7" ht="17.25" x14ac:dyDescent="0.25">
      <c r="A27" s="59">
        <v>123</v>
      </c>
      <c r="B27" s="59" t="s">
        <v>255</v>
      </c>
      <c r="C27" s="61" t="s">
        <v>219</v>
      </c>
      <c r="D27" s="31" t="s">
        <v>11</v>
      </c>
      <c r="E27" s="31">
        <v>147</v>
      </c>
      <c r="F27" s="61"/>
      <c r="G27" s="60"/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horizontalDpi="4294967293" verticalDpi="4294967293" r:id="rId1"/>
  <headerFooter>
    <oddHeader>&amp;C&amp;"Segoe UI,Normal"&amp;16Controle  de Entradas e Saídas de Estoque</oddHeader>
    <oddFooter>&amp;C&amp;"Segoe UI,Normal"&amp;12Data da Última Atualização: &amp;D &amp;T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4"/>
  <dimension ref="A1:K103"/>
  <sheetViews>
    <sheetView showGridLines="0" workbookViewId="0"/>
  </sheetViews>
  <sheetFormatPr defaultRowHeight="15" x14ac:dyDescent="0.25"/>
  <cols>
    <col min="1" max="1" width="51.5703125" bestFit="1" customWidth="1"/>
    <col min="2" max="2" width="15.42578125" bestFit="1" customWidth="1"/>
    <col min="3" max="3" width="31.140625" bestFit="1" customWidth="1"/>
    <col min="4" max="4" width="12.85546875" bestFit="1" customWidth="1"/>
    <col min="5" max="5" width="16.85546875" bestFit="1" customWidth="1"/>
    <col min="6" max="6" width="6.85546875" bestFit="1" customWidth="1"/>
    <col min="7" max="7" width="12.28515625" bestFit="1" customWidth="1"/>
    <col min="8" max="8" width="10.7109375" bestFit="1" customWidth="1"/>
    <col min="9" max="9" width="9.28515625" bestFit="1" customWidth="1"/>
    <col min="10" max="10" width="12.85546875" bestFit="1" customWidth="1"/>
    <col min="11" max="11" width="19" bestFit="1" customWidth="1"/>
  </cols>
  <sheetData>
    <row r="1" spans="1:11" x14ac:dyDescent="0.25">
      <c r="A1" s="19" t="s">
        <v>1</v>
      </c>
      <c r="B1" s="19" t="s">
        <v>3</v>
      </c>
      <c r="C1" s="19" t="s">
        <v>4</v>
      </c>
      <c r="D1" s="19" t="s">
        <v>5</v>
      </c>
      <c r="E1" s="19" t="s">
        <v>58</v>
      </c>
      <c r="F1" s="19" t="s">
        <v>14</v>
      </c>
      <c r="G1" s="19" t="s">
        <v>57</v>
      </c>
      <c r="H1" s="19" t="s">
        <v>55</v>
      </c>
      <c r="I1" s="19" t="s">
        <v>80</v>
      </c>
      <c r="J1" s="19" t="s">
        <v>2</v>
      </c>
      <c r="K1" s="19" t="s">
        <v>77</v>
      </c>
    </row>
    <row r="2" spans="1:11" x14ac:dyDescent="0.25">
      <c r="A2" s="12" t="s">
        <v>21</v>
      </c>
      <c r="B2" s="12" t="s">
        <v>49</v>
      </c>
      <c r="C2" s="12" t="s">
        <v>50</v>
      </c>
      <c r="D2" s="12" t="s">
        <v>54</v>
      </c>
      <c r="E2" s="12" t="s">
        <v>60</v>
      </c>
      <c r="F2" s="12">
        <v>0</v>
      </c>
      <c r="G2" s="12" t="s">
        <v>12</v>
      </c>
      <c r="H2" s="23">
        <v>43070</v>
      </c>
      <c r="I2" s="12">
        <v>1</v>
      </c>
      <c r="J2" s="12">
        <v>5</v>
      </c>
      <c r="K2" s="12">
        <f t="shared" ref="K2:K33" si="0">I2*J2</f>
        <v>5</v>
      </c>
    </row>
    <row r="3" spans="1:11" x14ac:dyDescent="0.25">
      <c r="A3" s="12" t="s">
        <v>22</v>
      </c>
      <c r="B3" s="12" t="s">
        <v>49</v>
      </c>
      <c r="C3" s="12" t="s">
        <v>50</v>
      </c>
      <c r="D3" s="12" t="s">
        <v>54</v>
      </c>
      <c r="E3" s="12" t="s">
        <v>60</v>
      </c>
      <c r="F3" s="12">
        <v>0</v>
      </c>
      <c r="G3" s="12" t="s">
        <v>12</v>
      </c>
      <c r="H3" s="23">
        <v>43132</v>
      </c>
      <c r="I3" s="12">
        <v>1</v>
      </c>
      <c r="J3" s="12">
        <v>1</v>
      </c>
      <c r="K3" s="12">
        <f t="shared" si="0"/>
        <v>1</v>
      </c>
    </row>
    <row r="4" spans="1:11" x14ac:dyDescent="0.25">
      <c r="A4" s="12" t="s">
        <v>23</v>
      </c>
      <c r="B4" s="12" t="s">
        <v>49</v>
      </c>
      <c r="C4" s="12" t="s">
        <v>50</v>
      </c>
      <c r="D4" s="12" t="s">
        <v>54</v>
      </c>
      <c r="E4" s="12" t="s">
        <v>60</v>
      </c>
      <c r="F4" s="12">
        <v>0</v>
      </c>
      <c r="G4" s="12" t="s">
        <v>12</v>
      </c>
      <c r="H4" s="23">
        <v>43132</v>
      </c>
      <c r="I4" s="12">
        <v>1</v>
      </c>
      <c r="J4" s="12">
        <v>1</v>
      </c>
      <c r="K4" s="12">
        <f t="shared" si="0"/>
        <v>1</v>
      </c>
    </row>
    <row r="5" spans="1:11" x14ac:dyDescent="0.25">
      <c r="A5" s="12" t="s">
        <v>24</v>
      </c>
      <c r="B5" s="12" t="s">
        <v>49</v>
      </c>
      <c r="C5" s="12" t="s">
        <v>50</v>
      </c>
      <c r="D5" s="12" t="s">
        <v>54</v>
      </c>
      <c r="E5" s="12" t="s">
        <v>60</v>
      </c>
      <c r="F5" s="12">
        <v>0</v>
      </c>
      <c r="G5" s="12" t="s">
        <v>12</v>
      </c>
      <c r="H5" s="23">
        <v>43244</v>
      </c>
      <c r="I5" s="12">
        <v>1</v>
      </c>
      <c r="J5" s="12">
        <v>1</v>
      </c>
      <c r="K5" s="12">
        <f t="shared" si="0"/>
        <v>1</v>
      </c>
    </row>
    <row r="6" spans="1:11" x14ac:dyDescent="0.25">
      <c r="A6" s="12" t="s">
        <v>24</v>
      </c>
      <c r="B6" s="12" t="s">
        <v>49</v>
      </c>
      <c r="C6" s="12" t="s">
        <v>50</v>
      </c>
      <c r="D6" s="12" t="s">
        <v>54</v>
      </c>
      <c r="E6" s="12" t="s">
        <v>60</v>
      </c>
      <c r="F6" s="12">
        <v>0</v>
      </c>
      <c r="G6" s="12" t="s">
        <v>12</v>
      </c>
      <c r="H6" s="23">
        <v>43244</v>
      </c>
      <c r="I6" s="12">
        <v>1</v>
      </c>
      <c r="J6" s="12">
        <v>1</v>
      </c>
      <c r="K6" s="12">
        <f t="shared" si="0"/>
        <v>1</v>
      </c>
    </row>
    <row r="7" spans="1:11" x14ac:dyDescent="0.25">
      <c r="A7" s="12" t="s">
        <v>25</v>
      </c>
      <c r="B7" s="12" t="s">
        <v>49</v>
      </c>
      <c r="C7" s="12" t="s">
        <v>50</v>
      </c>
      <c r="D7" s="12" t="s">
        <v>54</v>
      </c>
      <c r="E7" s="12" t="s">
        <v>60</v>
      </c>
      <c r="F7" s="12">
        <v>0</v>
      </c>
      <c r="G7" s="12" t="s">
        <v>12</v>
      </c>
      <c r="H7" s="23">
        <v>42894</v>
      </c>
      <c r="I7" s="12">
        <v>1</v>
      </c>
      <c r="J7" s="12">
        <v>1</v>
      </c>
      <c r="K7" s="12">
        <f t="shared" si="0"/>
        <v>1</v>
      </c>
    </row>
    <row r="8" spans="1:11" x14ac:dyDescent="0.25">
      <c r="A8" s="12" t="s">
        <v>26</v>
      </c>
      <c r="B8" s="12" t="s">
        <v>49</v>
      </c>
      <c r="C8" s="12" t="s">
        <v>51</v>
      </c>
      <c r="D8" s="12" t="s">
        <v>54</v>
      </c>
      <c r="E8" s="12" t="s">
        <v>61</v>
      </c>
      <c r="F8" s="12">
        <v>0</v>
      </c>
      <c r="G8" s="12" t="s">
        <v>12</v>
      </c>
      <c r="H8" s="23">
        <v>43009</v>
      </c>
      <c r="I8" s="12">
        <v>1</v>
      </c>
      <c r="J8" s="12">
        <v>2</v>
      </c>
      <c r="K8" s="12">
        <f t="shared" si="0"/>
        <v>2</v>
      </c>
    </row>
    <row r="9" spans="1:11" x14ac:dyDescent="0.25">
      <c r="A9" s="12" t="s">
        <v>27</v>
      </c>
      <c r="B9" s="12" t="s">
        <v>49</v>
      </c>
      <c r="C9" s="12" t="s">
        <v>52</v>
      </c>
      <c r="D9" s="12" t="s">
        <v>54</v>
      </c>
      <c r="E9" s="12" t="s">
        <v>62</v>
      </c>
      <c r="F9" s="12">
        <v>0</v>
      </c>
      <c r="G9" s="12" t="s">
        <v>12</v>
      </c>
      <c r="H9" s="23">
        <v>42976</v>
      </c>
      <c r="I9" s="12">
        <v>1.0049999999999999</v>
      </c>
      <c r="J9" s="12">
        <v>1</v>
      </c>
      <c r="K9" s="12">
        <f t="shared" si="0"/>
        <v>1.0049999999999999</v>
      </c>
    </row>
    <row r="10" spans="1:11" x14ac:dyDescent="0.25">
      <c r="A10" s="12" t="s">
        <v>27</v>
      </c>
      <c r="B10" s="12" t="s">
        <v>49</v>
      </c>
      <c r="C10" s="12" t="s">
        <v>52</v>
      </c>
      <c r="D10" s="12" t="s">
        <v>54</v>
      </c>
      <c r="E10" s="12" t="s">
        <v>62</v>
      </c>
      <c r="F10" s="12">
        <v>0</v>
      </c>
      <c r="G10" s="12" t="s">
        <v>12</v>
      </c>
      <c r="H10" s="23">
        <v>42976</v>
      </c>
      <c r="I10" s="12">
        <v>1.0049999999999999</v>
      </c>
      <c r="J10" s="12">
        <v>1</v>
      </c>
      <c r="K10" s="12">
        <f t="shared" si="0"/>
        <v>1.0049999999999999</v>
      </c>
    </row>
    <row r="11" spans="1:11" x14ac:dyDescent="0.25">
      <c r="A11" s="12" t="s">
        <v>28</v>
      </c>
      <c r="B11" s="12" t="s">
        <v>49</v>
      </c>
      <c r="C11" s="12" t="s">
        <v>52</v>
      </c>
      <c r="D11" s="12" t="s">
        <v>54</v>
      </c>
      <c r="E11" s="12" t="s">
        <v>63</v>
      </c>
      <c r="F11" s="12">
        <v>0</v>
      </c>
      <c r="G11" s="12" t="s">
        <v>12</v>
      </c>
      <c r="H11" s="23">
        <v>43071</v>
      </c>
      <c r="I11" s="12">
        <v>0.5</v>
      </c>
      <c r="J11" s="12">
        <v>1</v>
      </c>
      <c r="K11" s="12">
        <f t="shared" si="0"/>
        <v>0.5</v>
      </c>
    </row>
    <row r="12" spans="1:11" x14ac:dyDescent="0.25">
      <c r="A12" s="12" t="s">
        <v>29</v>
      </c>
      <c r="B12" s="12" t="s">
        <v>49</v>
      </c>
      <c r="C12" s="12" t="s">
        <v>52</v>
      </c>
      <c r="D12" s="12" t="s">
        <v>54</v>
      </c>
      <c r="E12" s="12" t="s">
        <v>64</v>
      </c>
      <c r="F12" s="12">
        <v>0</v>
      </c>
      <c r="G12" s="12" t="s">
        <v>12</v>
      </c>
      <c r="H12" s="23">
        <v>43014</v>
      </c>
      <c r="I12" s="12">
        <v>1</v>
      </c>
      <c r="J12" s="12">
        <v>1</v>
      </c>
      <c r="K12" s="12">
        <f t="shared" si="0"/>
        <v>1</v>
      </c>
    </row>
    <row r="13" spans="1:11" x14ac:dyDescent="0.25">
      <c r="A13" s="12" t="s">
        <v>30</v>
      </c>
      <c r="B13" s="12" t="s">
        <v>49</v>
      </c>
      <c r="C13" s="12" t="s">
        <v>52</v>
      </c>
      <c r="D13" s="12" t="s">
        <v>54</v>
      </c>
      <c r="E13" s="12" t="s">
        <v>65</v>
      </c>
      <c r="F13" s="12">
        <v>0</v>
      </c>
      <c r="G13" s="12" t="s">
        <v>12</v>
      </c>
      <c r="H13" s="23">
        <v>43009</v>
      </c>
      <c r="I13" s="12">
        <v>1.94</v>
      </c>
      <c r="J13" s="12">
        <v>1</v>
      </c>
      <c r="K13" s="12">
        <f t="shared" si="0"/>
        <v>1.94</v>
      </c>
    </row>
    <row r="14" spans="1:11" x14ac:dyDescent="0.25">
      <c r="A14" s="12" t="s">
        <v>26</v>
      </c>
      <c r="B14" s="12" t="s">
        <v>49</v>
      </c>
      <c r="C14" s="12" t="s">
        <v>51</v>
      </c>
      <c r="D14" s="12" t="s">
        <v>54</v>
      </c>
      <c r="E14" s="12" t="s">
        <v>61</v>
      </c>
      <c r="F14" s="12">
        <v>0</v>
      </c>
      <c r="G14" s="12" t="s">
        <v>12</v>
      </c>
      <c r="H14" s="23">
        <v>43009</v>
      </c>
      <c r="I14" s="12">
        <v>1</v>
      </c>
      <c r="J14" s="12">
        <v>2</v>
      </c>
      <c r="K14" s="12">
        <f t="shared" si="0"/>
        <v>2</v>
      </c>
    </row>
    <row r="15" spans="1:11" x14ac:dyDescent="0.25">
      <c r="A15" s="12" t="s">
        <v>29</v>
      </c>
      <c r="B15" s="12" t="s">
        <v>49</v>
      </c>
      <c r="C15" s="12" t="s">
        <v>52</v>
      </c>
      <c r="D15" s="12" t="s">
        <v>54</v>
      </c>
      <c r="E15" s="12" t="s">
        <v>64</v>
      </c>
      <c r="F15" s="12">
        <v>0</v>
      </c>
      <c r="G15" s="12" t="s">
        <v>12</v>
      </c>
      <c r="H15" s="23">
        <v>43014</v>
      </c>
      <c r="I15" s="12">
        <v>1</v>
      </c>
      <c r="J15" s="12">
        <v>1</v>
      </c>
      <c r="K15" s="12">
        <f t="shared" si="0"/>
        <v>1</v>
      </c>
    </row>
    <row r="16" spans="1:11" x14ac:dyDescent="0.25">
      <c r="A16" s="12" t="s">
        <v>27</v>
      </c>
      <c r="B16" s="12" t="s">
        <v>49</v>
      </c>
      <c r="C16" s="12" t="s">
        <v>52</v>
      </c>
      <c r="D16" s="12" t="s">
        <v>54</v>
      </c>
      <c r="E16" s="12" t="s">
        <v>62</v>
      </c>
      <c r="F16" s="12">
        <v>0</v>
      </c>
      <c r="G16" s="12" t="s">
        <v>12</v>
      </c>
      <c r="H16" s="23">
        <v>42976</v>
      </c>
      <c r="I16" s="12">
        <v>1.0049999999999999</v>
      </c>
      <c r="J16" s="12">
        <v>1</v>
      </c>
      <c r="K16" s="12">
        <f t="shared" si="0"/>
        <v>1.0049999999999999</v>
      </c>
    </row>
    <row r="17" spans="1:11" x14ac:dyDescent="0.25">
      <c r="A17" s="12" t="s">
        <v>31</v>
      </c>
      <c r="B17" s="12" t="s">
        <v>49</v>
      </c>
      <c r="C17" s="12" t="s">
        <v>52</v>
      </c>
      <c r="D17" s="12" t="s">
        <v>54</v>
      </c>
      <c r="E17" s="12" t="s">
        <v>65</v>
      </c>
      <c r="F17" s="12">
        <v>0</v>
      </c>
      <c r="G17" s="12" t="s">
        <v>12</v>
      </c>
      <c r="H17" s="23">
        <v>42767</v>
      </c>
      <c r="I17" s="12">
        <v>2.11</v>
      </c>
      <c r="J17" s="12">
        <v>1</v>
      </c>
      <c r="K17" s="12">
        <f t="shared" si="0"/>
        <v>2.11</v>
      </c>
    </row>
    <row r="18" spans="1:11" x14ac:dyDescent="0.25">
      <c r="A18" s="12" t="s">
        <v>32</v>
      </c>
      <c r="B18" s="12" t="s">
        <v>49</v>
      </c>
      <c r="C18" s="12" t="s">
        <v>52</v>
      </c>
      <c r="D18" s="12" t="s">
        <v>54</v>
      </c>
      <c r="E18" s="12" t="s">
        <v>66</v>
      </c>
      <c r="F18" s="12">
        <v>0</v>
      </c>
      <c r="G18" s="12" t="s">
        <v>12</v>
      </c>
      <c r="H18" s="23">
        <v>43196</v>
      </c>
      <c r="I18" s="12">
        <v>0.41</v>
      </c>
      <c r="J18" s="12">
        <v>1</v>
      </c>
      <c r="K18" s="12">
        <f t="shared" si="0"/>
        <v>0.41</v>
      </c>
    </row>
    <row r="19" spans="1:11" x14ac:dyDescent="0.25">
      <c r="A19" s="12" t="s">
        <v>33</v>
      </c>
      <c r="B19" s="12" t="s">
        <v>49</v>
      </c>
      <c r="C19" s="12" t="s">
        <v>53</v>
      </c>
      <c r="D19" s="12" t="s">
        <v>54</v>
      </c>
      <c r="E19" s="12" t="s">
        <v>67</v>
      </c>
      <c r="F19" s="12">
        <v>0</v>
      </c>
      <c r="G19" s="12" t="s">
        <v>12</v>
      </c>
      <c r="H19" s="23">
        <v>43040</v>
      </c>
      <c r="I19" s="12">
        <v>14</v>
      </c>
      <c r="J19" s="12">
        <v>1</v>
      </c>
      <c r="K19" s="12">
        <f t="shared" si="0"/>
        <v>14</v>
      </c>
    </row>
    <row r="20" spans="1:11" x14ac:dyDescent="0.25">
      <c r="A20" s="12" t="s">
        <v>34</v>
      </c>
      <c r="B20" s="12" t="s">
        <v>49</v>
      </c>
      <c r="C20" s="12" t="s">
        <v>53</v>
      </c>
      <c r="D20" s="12" t="s">
        <v>54</v>
      </c>
      <c r="E20" s="12" t="s">
        <v>68</v>
      </c>
      <c r="F20" s="12">
        <v>0</v>
      </c>
      <c r="G20" s="12" t="s">
        <v>12</v>
      </c>
      <c r="H20" s="23">
        <v>43497</v>
      </c>
      <c r="I20" s="12">
        <v>1.47</v>
      </c>
      <c r="J20" s="12">
        <v>2</v>
      </c>
      <c r="K20" s="12">
        <f t="shared" si="0"/>
        <v>2.94</v>
      </c>
    </row>
    <row r="21" spans="1:11" x14ac:dyDescent="0.25">
      <c r="A21" s="12" t="s">
        <v>34</v>
      </c>
      <c r="B21" s="12" t="s">
        <v>49</v>
      </c>
      <c r="C21" s="12" t="s">
        <v>53</v>
      </c>
      <c r="D21" s="12" t="s">
        <v>54</v>
      </c>
      <c r="E21" s="12" t="s">
        <v>68</v>
      </c>
      <c r="F21" s="12">
        <v>0</v>
      </c>
      <c r="G21" s="12" t="s">
        <v>12</v>
      </c>
      <c r="H21" s="23">
        <v>43497</v>
      </c>
      <c r="I21" s="12">
        <v>1</v>
      </c>
      <c r="J21" s="12">
        <v>41</v>
      </c>
      <c r="K21" s="12">
        <f t="shared" si="0"/>
        <v>41</v>
      </c>
    </row>
    <row r="22" spans="1:11" x14ac:dyDescent="0.25">
      <c r="A22" s="12" t="s">
        <v>35</v>
      </c>
      <c r="B22" s="12" t="s">
        <v>49</v>
      </c>
      <c r="C22" s="12" t="s">
        <v>53</v>
      </c>
      <c r="D22" s="12" t="s">
        <v>54</v>
      </c>
      <c r="E22" s="12" t="s">
        <v>59</v>
      </c>
      <c r="F22" s="12">
        <v>0</v>
      </c>
      <c r="G22" s="12" t="s">
        <v>12</v>
      </c>
      <c r="H22" s="23">
        <v>43101</v>
      </c>
      <c r="I22" s="12">
        <v>0.75</v>
      </c>
      <c r="J22" s="12">
        <v>1</v>
      </c>
      <c r="K22" s="12">
        <f t="shared" si="0"/>
        <v>0.75</v>
      </c>
    </row>
    <row r="23" spans="1:11" x14ac:dyDescent="0.25">
      <c r="A23" s="12" t="s">
        <v>36</v>
      </c>
      <c r="B23" s="12" t="s">
        <v>49</v>
      </c>
      <c r="C23" s="12" t="s">
        <v>53</v>
      </c>
      <c r="D23" s="12" t="s">
        <v>54</v>
      </c>
      <c r="E23" s="12" t="s">
        <v>69</v>
      </c>
      <c r="F23" s="12">
        <v>0</v>
      </c>
      <c r="G23" s="12" t="s">
        <v>12</v>
      </c>
      <c r="H23" s="23">
        <v>43032</v>
      </c>
      <c r="I23" s="12">
        <v>2.13</v>
      </c>
      <c r="J23" s="12">
        <v>1</v>
      </c>
      <c r="K23" s="12">
        <f t="shared" si="0"/>
        <v>2.13</v>
      </c>
    </row>
    <row r="24" spans="1:11" x14ac:dyDescent="0.25">
      <c r="A24" s="12" t="s">
        <v>37</v>
      </c>
      <c r="B24" s="12" t="s">
        <v>49</v>
      </c>
      <c r="C24" s="12" t="s">
        <v>53</v>
      </c>
      <c r="D24" s="12" t="s">
        <v>54</v>
      </c>
      <c r="E24" s="12" t="s">
        <v>70</v>
      </c>
      <c r="F24" s="12">
        <v>0</v>
      </c>
      <c r="G24" s="12" t="s">
        <v>12</v>
      </c>
      <c r="H24" s="23">
        <v>43435</v>
      </c>
      <c r="I24" s="12">
        <v>17.12</v>
      </c>
      <c r="J24" s="12">
        <v>1</v>
      </c>
      <c r="K24" s="12">
        <f t="shared" si="0"/>
        <v>17.12</v>
      </c>
    </row>
    <row r="25" spans="1:11" x14ac:dyDescent="0.25">
      <c r="A25" s="12" t="s">
        <v>38</v>
      </c>
      <c r="B25" s="12" t="s">
        <v>49</v>
      </c>
      <c r="C25" s="12" t="s">
        <v>53</v>
      </c>
      <c r="D25" s="12" t="s">
        <v>54</v>
      </c>
      <c r="E25" s="12" t="s">
        <v>69</v>
      </c>
      <c r="F25" s="12">
        <v>0</v>
      </c>
      <c r="G25" s="12" t="s">
        <v>12</v>
      </c>
      <c r="H25" s="23">
        <v>43258</v>
      </c>
      <c r="I25" s="12">
        <v>9.3800000000000008</v>
      </c>
      <c r="J25" s="12">
        <v>1</v>
      </c>
      <c r="K25" s="12">
        <f t="shared" si="0"/>
        <v>9.3800000000000008</v>
      </c>
    </row>
    <row r="26" spans="1:11" x14ac:dyDescent="0.25">
      <c r="A26" s="12" t="s">
        <v>39</v>
      </c>
      <c r="B26" s="12" t="s">
        <v>49</v>
      </c>
      <c r="C26" s="12" t="s">
        <v>53</v>
      </c>
      <c r="D26" s="12" t="s">
        <v>54</v>
      </c>
      <c r="E26" s="12" t="s">
        <v>71</v>
      </c>
      <c r="F26" s="12">
        <v>0</v>
      </c>
      <c r="G26" s="12" t="s">
        <v>12</v>
      </c>
      <c r="H26" s="23">
        <v>43117</v>
      </c>
      <c r="I26" s="12">
        <v>1.44</v>
      </c>
      <c r="J26" s="12">
        <v>1</v>
      </c>
      <c r="K26" s="12">
        <f t="shared" si="0"/>
        <v>1.44</v>
      </c>
    </row>
    <row r="27" spans="1:11" x14ac:dyDescent="0.25">
      <c r="A27" s="12" t="s">
        <v>40</v>
      </c>
      <c r="B27" s="12" t="s">
        <v>49</v>
      </c>
      <c r="C27" s="12" t="s">
        <v>53</v>
      </c>
      <c r="D27" s="12" t="s">
        <v>54</v>
      </c>
      <c r="E27" s="12" t="s">
        <v>72</v>
      </c>
      <c r="F27" s="12">
        <v>0</v>
      </c>
      <c r="G27" s="12" t="s">
        <v>12</v>
      </c>
      <c r="H27" s="23">
        <v>43117</v>
      </c>
      <c r="I27" s="12">
        <v>1.635</v>
      </c>
      <c r="J27" s="12">
        <v>1</v>
      </c>
      <c r="K27" s="12">
        <f t="shared" si="0"/>
        <v>1.635</v>
      </c>
    </row>
    <row r="28" spans="1:11" x14ac:dyDescent="0.25">
      <c r="A28" s="12" t="s">
        <v>38</v>
      </c>
      <c r="B28" s="12" t="s">
        <v>49</v>
      </c>
      <c r="C28" s="12" t="s">
        <v>53</v>
      </c>
      <c r="D28" s="12" t="s">
        <v>54</v>
      </c>
      <c r="E28" s="12" t="s">
        <v>69</v>
      </c>
      <c r="F28" s="12">
        <v>0</v>
      </c>
      <c r="G28" s="12" t="s">
        <v>12</v>
      </c>
      <c r="H28" s="23">
        <v>43258</v>
      </c>
      <c r="I28" s="12">
        <v>9.3800000000000008</v>
      </c>
      <c r="J28" s="12">
        <v>1</v>
      </c>
      <c r="K28" s="12">
        <f t="shared" si="0"/>
        <v>9.3800000000000008</v>
      </c>
    </row>
    <row r="29" spans="1:11" x14ac:dyDescent="0.25">
      <c r="A29" s="12" t="s">
        <v>38</v>
      </c>
      <c r="B29" s="12" t="s">
        <v>49</v>
      </c>
      <c r="C29" s="12" t="s">
        <v>53</v>
      </c>
      <c r="D29" s="12" t="s">
        <v>54</v>
      </c>
      <c r="E29" s="12" t="s">
        <v>69</v>
      </c>
      <c r="F29" s="12">
        <v>0</v>
      </c>
      <c r="G29" s="12" t="s">
        <v>12</v>
      </c>
      <c r="H29" s="23">
        <v>43258</v>
      </c>
      <c r="I29" s="12">
        <v>9.3800000000000008</v>
      </c>
      <c r="J29" s="12">
        <v>1</v>
      </c>
      <c r="K29" s="12">
        <f t="shared" si="0"/>
        <v>9.3800000000000008</v>
      </c>
    </row>
    <row r="30" spans="1:11" x14ac:dyDescent="0.25">
      <c r="A30" s="12" t="s">
        <v>41</v>
      </c>
      <c r="B30" s="12" t="s">
        <v>49</v>
      </c>
      <c r="C30" s="12" t="s">
        <v>53</v>
      </c>
      <c r="D30" s="12" t="s">
        <v>54</v>
      </c>
      <c r="E30" s="12" t="s">
        <v>73</v>
      </c>
      <c r="F30" s="12">
        <v>0</v>
      </c>
      <c r="G30" s="12" t="s">
        <v>12</v>
      </c>
      <c r="H30" s="23">
        <v>43277</v>
      </c>
      <c r="I30" s="12">
        <v>20.75</v>
      </c>
      <c r="J30" s="12">
        <v>1</v>
      </c>
      <c r="K30" s="12">
        <f t="shared" si="0"/>
        <v>20.75</v>
      </c>
    </row>
    <row r="31" spans="1:11" x14ac:dyDescent="0.25">
      <c r="A31" s="12" t="s">
        <v>42</v>
      </c>
      <c r="B31" s="12" t="s">
        <v>49</v>
      </c>
      <c r="C31" s="12" t="s">
        <v>53</v>
      </c>
      <c r="D31" s="12" t="s">
        <v>54</v>
      </c>
      <c r="E31" s="12" t="s">
        <v>73</v>
      </c>
      <c r="F31" s="12">
        <v>0</v>
      </c>
      <c r="G31" s="12" t="s">
        <v>12</v>
      </c>
      <c r="H31" s="23">
        <v>43473</v>
      </c>
      <c r="I31" s="12">
        <v>17.72</v>
      </c>
      <c r="J31" s="12">
        <v>1</v>
      </c>
      <c r="K31" s="12">
        <f t="shared" si="0"/>
        <v>17.72</v>
      </c>
    </row>
    <row r="32" spans="1:11" x14ac:dyDescent="0.25">
      <c r="A32" s="12" t="s">
        <v>43</v>
      </c>
      <c r="B32" s="12" t="s">
        <v>49</v>
      </c>
      <c r="C32" s="12" t="s">
        <v>53</v>
      </c>
      <c r="D32" s="12" t="s">
        <v>54</v>
      </c>
      <c r="E32" s="12" t="s">
        <v>74</v>
      </c>
      <c r="F32" s="12">
        <v>0</v>
      </c>
      <c r="G32" s="12" t="s">
        <v>12</v>
      </c>
      <c r="H32" s="23">
        <v>43414</v>
      </c>
      <c r="I32" s="12">
        <v>16.600000000000001</v>
      </c>
      <c r="J32" s="12">
        <v>1</v>
      </c>
      <c r="K32" s="12">
        <f t="shared" si="0"/>
        <v>16.600000000000001</v>
      </c>
    </row>
    <row r="33" spans="1:11" x14ac:dyDescent="0.25">
      <c r="A33" s="12" t="s">
        <v>42</v>
      </c>
      <c r="B33" s="12" t="s">
        <v>49</v>
      </c>
      <c r="C33" s="12" t="s">
        <v>53</v>
      </c>
      <c r="D33" s="12" t="s">
        <v>54</v>
      </c>
      <c r="E33" s="12" t="s">
        <v>73</v>
      </c>
      <c r="F33" s="12">
        <v>0</v>
      </c>
      <c r="G33" s="12" t="s">
        <v>12</v>
      </c>
      <c r="H33" s="23">
        <v>43473</v>
      </c>
      <c r="I33" s="12">
        <v>17.72</v>
      </c>
      <c r="J33" s="12">
        <v>1</v>
      </c>
      <c r="K33" s="12">
        <f t="shared" si="0"/>
        <v>17.72</v>
      </c>
    </row>
    <row r="34" spans="1:11" x14ac:dyDescent="0.25">
      <c r="A34" s="12" t="s">
        <v>40</v>
      </c>
      <c r="B34" s="12" t="s">
        <v>49</v>
      </c>
      <c r="C34" s="12" t="s">
        <v>53</v>
      </c>
      <c r="D34" s="12" t="s">
        <v>54</v>
      </c>
      <c r="E34" s="12" t="s">
        <v>72</v>
      </c>
      <c r="F34" s="12">
        <v>0</v>
      </c>
      <c r="G34" s="12" t="s">
        <v>12</v>
      </c>
      <c r="H34" s="23">
        <v>43117</v>
      </c>
      <c r="I34" s="12">
        <v>1.635</v>
      </c>
      <c r="J34" s="12">
        <v>1</v>
      </c>
      <c r="K34" s="12">
        <f t="shared" ref="K34:K65" si="1">I34*J34</f>
        <v>1.635</v>
      </c>
    </row>
    <row r="35" spans="1:11" x14ac:dyDescent="0.25">
      <c r="A35" s="12" t="s">
        <v>39</v>
      </c>
      <c r="B35" s="12" t="s">
        <v>49</v>
      </c>
      <c r="C35" s="12" t="s">
        <v>53</v>
      </c>
      <c r="D35" s="12" t="s">
        <v>54</v>
      </c>
      <c r="E35" s="12" t="s">
        <v>71</v>
      </c>
      <c r="F35" s="12">
        <v>0</v>
      </c>
      <c r="G35" s="12" t="s">
        <v>12</v>
      </c>
      <c r="H35" s="23">
        <v>43117</v>
      </c>
      <c r="I35" s="12">
        <v>1.44</v>
      </c>
      <c r="J35" s="12">
        <v>1</v>
      </c>
      <c r="K35" s="12">
        <f t="shared" si="1"/>
        <v>1.44</v>
      </c>
    </row>
    <row r="36" spans="1:11" x14ac:dyDescent="0.25">
      <c r="A36" s="12" t="s">
        <v>44</v>
      </c>
      <c r="B36" s="12" t="s">
        <v>49</v>
      </c>
      <c r="C36" s="12" t="s">
        <v>53</v>
      </c>
      <c r="D36" s="12" t="s">
        <v>54</v>
      </c>
      <c r="E36" s="12" t="s">
        <v>67</v>
      </c>
      <c r="F36" s="12">
        <v>0</v>
      </c>
      <c r="G36" s="12" t="s">
        <v>12</v>
      </c>
      <c r="H36" s="23">
        <v>44378</v>
      </c>
      <c r="I36" s="12">
        <v>9.5489999999999995</v>
      </c>
      <c r="J36" s="12">
        <v>1</v>
      </c>
      <c r="K36" s="12">
        <f t="shared" si="1"/>
        <v>9.5489999999999995</v>
      </c>
    </row>
    <row r="37" spans="1:11" x14ac:dyDescent="0.25">
      <c r="A37" s="12" t="s">
        <v>45</v>
      </c>
      <c r="B37" s="12" t="s">
        <v>49</v>
      </c>
      <c r="C37" s="12" t="s">
        <v>53</v>
      </c>
      <c r="D37" s="12" t="s">
        <v>54</v>
      </c>
      <c r="E37" s="12" t="s">
        <v>75</v>
      </c>
      <c r="F37" s="12">
        <v>0</v>
      </c>
      <c r="G37" s="12" t="s">
        <v>12</v>
      </c>
      <c r="H37" s="23">
        <v>43101</v>
      </c>
      <c r="I37" s="12">
        <v>5.1189999999999998</v>
      </c>
      <c r="J37" s="12">
        <v>1</v>
      </c>
      <c r="K37" s="12">
        <f t="shared" si="1"/>
        <v>5.1189999999999998</v>
      </c>
    </row>
    <row r="38" spans="1:11" x14ac:dyDescent="0.25">
      <c r="A38" s="12" t="s">
        <v>46</v>
      </c>
      <c r="B38" s="12" t="s">
        <v>49</v>
      </c>
      <c r="C38" s="12" t="s">
        <v>53</v>
      </c>
      <c r="D38" s="12" t="s">
        <v>54</v>
      </c>
      <c r="E38" s="12" t="s">
        <v>75</v>
      </c>
      <c r="F38" s="12">
        <v>0</v>
      </c>
      <c r="G38" s="12" t="s">
        <v>12</v>
      </c>
      <c r="H38" s="23">
        <v>43159</v>
      </c>
      <c r="I38" s="12">
        <v>0.25</v>
      </c>
      <c r="J38" s="12">
        <v>1</v>
      </c>
      <c r="K38" s="12">
        <f t="shared" si="1"/>
        <v>0.25</v>
      </c>
    </row>
    <row r="39" spans="1:11" x14ac:dyDescent="0.25">
      <c r="A39" s="12" t="s">
        <v>47</v>
      </c>
      <c r="B39" s="12" t="s">
        <v>49</v>
      </c>
      <c r="C39" s="12" t="s">
        <v>53</v>
      </c>
      <c r="D39" s="12" t="s">
        <v>54</v>
      </c>
      <c r="E39" s="12" t="s">
        <v>75</v>
      </c>
      <c r="F39" s="12">
        <v>0</v>
      </c>
      <c r="G39" s="12" t="s">
        <v>12</v>
      </c>
      <c r="H39" s="23">
        <v>43159</v>
      </c>
      <c r="I39" s="12">
        <v>5.2750000000000004</v>
      </c>
      <c r="J39" s="12">
        <v>1</v>
      </c>
      <c r="K39" s="12">
        <f t="shared" si="1"/>
        <v>5.2750000000000004</v>
      </c>
    </row>
    <row r="40" spans="1:11" x14ac:dyDescent="0.25">
      <c r="A40" s="12" t="s">
        <v>48</v>
      </c>
      <c r="B40" s="12" t="s">
        <v>49</v>
      </c>
      <c r="C40" s="12" t="s">
        <v>53</v>
      </c>
      <c r="D40" s="12" t="s">
        <v>54</v>
      </c>
      <c r="E40" s="12" t="s">
        <v>76</v>
      </c>
      <c r="F40" s="12">
        <v>0</v>
      </c>
      <c r="G40" s="12" t="s">
        <v>12</v>
      </c>
      <c r="H40" s="23">
        <v>43435</v>
      </c>
      <c r="I40" s="12">
        <v>50</v>
      </c>
      <c r="J40" s="12">
        <v>1</v>
      </c>
      <c r="K40" s="12">
        <f t="shared" si="1"/>
        <v>50</v>
      </c>
    </row>
    <row r="41" spans="1:11" x14ac:dyDescent="0.25">
      <c r="A41" s="12" t="s">
        <v>136</v>
      </c>
      <c r="B41" s="12" t="s">
        <v>49</v>
      </c>
      <c r="C41" s="12" t="s">
        <v>53</v>
      </c>
      <c r="D41" s="12" t="s">
        <v>54</v>
      </c>
      <c r="E41" s="12" t="s">
        <v>137</v>
      </c>
      <c r="F41" s="12">
        <v>0</v>
      </c>
      <c r="G41" s="12" t="s">
        <v>12</v>
      </c>
      <c r="H41" s="23">
        <v>43101</v>
      </c>
      <c r="I41" s="12">
        <v>120</v>
      </c>
      <c r="J41" s="12">
        <v>1</v>
      </c>
      <c r="K41" s="12">
        <f t="shared" si="1"/>
        <v>120</v>
      </c>
    </row>
    <row r="42" spans="1:11" x14ac:dyDescent="0.25">
      <c r="A42" t="s">
        <v>86</v>
      </c>
      <c r="B42" t="s">
        <v>49</v>
      </c>
      <c r="C42" t="s">
        <v>177</v>
      </c>
      <c r="D42" t="s">
        <v>87</v>
      </c>
      <c r="E42" t="s">
        <v>54</v>
      </c>
      <c r="F42">
        <v>0</v>
      </c>
      <c r="G42" t="s">
        <v>12</v>
      </c>
      <c r="H42" s="25">
        <v>43048</v>
      </c>
      <c r="I42">
        <v>3.7350000000000003</v>
      </c>
      <c r="J42">
        <v>1</v>
      </c>
      <c r="K42">
        <f t="shared" si="1"/>
        <v>3.7350000000000003</v>
      </c>
    </row>
    <row r="43" spans="1:11" x14ac:dyDescent="0.25">
      <c r="A43" t="s">
        <v>86</v>
      </c>
      <c r="B43" t="s">
        <v>49</v>
      </c>
      <c r="C43" t="s">
        <v>177</v>
      </c>
      <c r="D43" t="s">
        <v>87</v>
      </c>
      <c r="E43" t="s">
        <v>54</v>
      </c>
      <c r="F43">
        <v>0</v>
      </c>
      <c r="G43" t="s">
        <v>12</v>
      </c>
      <c r="H43" s="25">
        <v>43048</v>
      </c>
      <c r="I43">
        <v>4.2050000000000001</v>
      </c>
      <c r="J43">
        <v>1</v>
      </c>
      <c r="K43">
        <f t="shared" si="1"/>
        <v>4.2050000000000001</v>
      </c>
    </row>
    <row r="44" spans="1:11" x14ac:dyDescent="0.25">
      <c r="A44" t="s">
        <v>88</v>
      </c>
      <c r="B44" t="s">
        <v>49</v>
      </c>
      <c r="C44" t="s">
        <v>177</v>
      </c>
      <c r="D44" t="s">
        <v>89</v>
      </c>
      <c r="E44" t="s">
        <v>59</v>
      </c>
      <c r="F44">
        <v>0</v>
      </c>
      <c r="G44" t="s">
        <v>12</v>
      </c>
      <c r="H44" s="25">
        <v>42935</v>
      </c>
      <c r="I44">
        <v>17.93</v>
      </c>
      <c r="J44">
        <v>1</v>
      </c>
      <c r="K44">
        <f t="shared" si="1"/>
        <v>17.93</v>
      </c>
    </row>
    <row r="45" spans="1:11" x14ac:dyDescent="0.25">
      <c r="A45" t="s">
        <v>90</v>
      </c>
      <c r="B45" t="s">
        <v>49</v>
      </c>
      <c r="C45" t="s">
        <v>177</v>
      </c>
      <c r="D45" t="s">
        <v>87</v>
      </c>
      <c r="E45" t="s">
        <v>54</v>
      </c>
      <c r="F45">
        <v>0</v>
      </c>
      <c r="G45" t="s">
        <v>12</v>
      </c>
      <c r="H45" s="25">
        <v>43342</v>
      </c>
      <c r="I45">
        <v>1</v>
      </c>
      <c r="J45">
        <v>1</v>
      </c>
      <c r="K45">
        <f t="shared" si="1"/>
        <v>1</v>
      </c>
    </row>
    <row r="46" spans="1:11" x14ac:dyDescent="0.25">
      <c r="A46" t="s">
        <v>91</v>
      </c>
      <c r="B46" t="s">
        <v>49</v>
      </c>
      <c r="C46" t="s">
        <v>177</v>
      </c>
      <c r="D46" t="s">
        <v>87</v>
      </c>
      <c r="E46" t="s">
        <v>54</v>
      </c>
      <c r="F46">
        <v>0</v>
      </c>
      <c r="G46" t="s">
        <v>12</v>
      </c>
      <c r="H46" s="25">
        <v>43061</v>
      </c>
      <c r="I46">
        <v>3.5550000000000002</v>
      </c>
      <c r="J46">
        <v>1</v>
      </c>
      <c r="K46">
        <f t="shared" si="1"/>
        <v>3.5550000000000002</v>
      </c>
    </row>
    <row r="47" spans="1:11" x14ac:dyDescent="0.25">
      <c r="A47" t="s">
        <v>92</v>
      </c>
      <c r="B47" t="s">
        <v>49</v>
      </c>
      <c r="C47" t="s">
        <v>177</v>
      </c>
      <c r="D47" t="s">
        <v>89</v>
      </c>
      <c r="E47" t="s">
        <v>59</v>
      </c>
      <c r="F47">
        <v>0</v>
      </c>
      <c r="G47" t="s">
        <v>12</v>
      </c>
      <c r="H47" s="25">
        <v>43110</v>
      </c>
      <c r="I47">
        <v>0.17</v>
      </c>
      <c r="J47">
        <v>1</v>
      </c>
      <c r="K47">
        <f t="shared" si="1"/>
        <v>0.17</v>
      </c>
    </row>
    <row r="48" spans="1:11" x14ac:dyDescent="0.25">
      <c r="A48" t="s">
        <v>92</v>
      </c>
      <c r="B48" t="s">
        <v>49</v>
      </c>
      <c r="C48" t="s">
        <v>177</v>
      </c>
      <c r="D48" t="s">
        <v>89</v>
      </c>
      <c r="E48" t="s">
        <v>59</v>
      </c>
      <c r="F48">
        <v>0</v>
      </c>
      <c r="G48" t="s">
        <v>12</v>
      </c>
      <c r="H48" s="25">
        <v>42967</v>
      </c>
      <c r="I48">
        <v>0.255</v>
      </c>
      <c r="J48">
        <v>1</v>
      </c>
      <c r="K48">
        <f t="shared" si="1"/>
        <v>0.255</v>
      </c>
    </row>
    <row r="49" spans="1:11" x14ac:dyDescent="0.25">
      <c r="A49" t="s">
        <v>92</v>
      </c>
      <c r="B49" t="s">
        <v>49</v>
      </c>
      <c r="C49" t="s">
        <v>177</v>
      </c>
      <c r="D49" t="s">
        <v>89</v>
      </c>
      <c r="E49" t="s">
        <v>59</v>
      </c>
      <c r="F49">
        <v>0</v>
      </c>
      <c r="G49" t="s">
        <v>12</v>
      </c>
      <c r="H49" s="25">
        <v>43332</v>
      </c>
      <c r="I49">
        <v>0.99499999999999988</v>
      </c>
      <c r="J49">
        <v>1</v>
      </c>
      <c r="K49">
        <f t="shared" si="1"/>
        <v>0.99499999999999988</v>
      </c>
    </row>
    <row r="50" spans="1:11" x14ac:dyDescent="0.25">
      <c r="A50" t="s">
        <v>92</v>
      </c>
      <c r="B50" t="s">
        <v>49</v>
      </c>
      <c r="C50" t="s">
        <v>177</v>
      </c>
      <c r="D50" t="s">
        <v>89</v>
      </c>
      <c r="E50" t="s">
        <v>59</v>
      </c>
      <c r="F50">
        <v>0</v>
      </c>
      <c r="G50" t="s">
        <v>12</v>
      </c>
      <c r="H50" s="25">
        <v>42967</v>
      </c>
      <c r="I50">
        <v>0.99</v>
      </c>
      <c r="J50">
        <v>1</v>
      </c>
      <c r="K50">
        <f t="shared" si="1"/>
        <v>0.99</v>
      </c>
    </row>
    <row r="51" spans="1:11" x14ac:dyDescent="0.25">
      <c r="A51" t="s">
        <v>92</v>
      </c>
      <c r="B51" t="s">
        <v>49</v>
      </c>
      <c r="C51" t="s">
        <v>177</v>
      </c>
      <c r="D51" t="s">
        <v>89</v>
      </c>
      <c r="E51" t="s">
        <v>59</v>
      </c>
      <c r="F51">
        <v>0</v>
      </c>
      <c r="G51" t="s">
        <v>12</v>
      </c>
      <c r="H51" s="25">
        <v>42967</v>
      </c>
      <c r="I51">
        <v>4.9999999999999996E-2</v>
      </c>
      <c r="J51">
        <v>1</v>
      </c>
      <c r="K51">
        <f t="shared" si="1"/>
        <v>4.9999999999999996E-2</v>
      </c>
    </row>
    <row r="52" spans="1:11" x14ac:dyDescent="0.25">
      <c r="A52" t="s">
        <v>93</v>
      </c>
      <c r="B52" t="s">
        <v>49</v>
      </c>
      <c r="C52" t="s">
        <v>177</v>
      </c>
      <c r="D52" t="s">
        <v>89</v>
      </c>
      <c r="E52" t="s">
        <v>59</v>
      </c>
      <c r="F52">
        <v>0</v>
      </c>
      <c r="G52" t="s">
        <v>12</v>
      </c>
      <c r="H52" s="25">
        <v>43110</v>
      </c>
      <c r="I52">
        <v>0.185</v>
      </c>
      <c r="J52">
        <v>1</v>
      </c>
      <c r="K52">
        <f t="shared" si="1"/>
        <v>0.185</v>
      </c>
    </row>
    <row r="53" spans="1:11" x14ac:dyDescent="0.25">
      <c r="A53" t="s">
        <v>94</v>
      </c>
      <c r="B53" t="s">
        <v>49</v>
      </c>
      <c r="C53" t="s">
        <v>177</v>
      </c>
      <c r="D53" t="s">
        <v>89</v>
      </c>
      <c r="E53" t="s">
        <v>59</v>
      </c>
      <c r="F53">
        <v>0</v>
      </c>
      <c r="G53" t="s">
        <v>12</v>
      </c>
      <c r="H53" s="25">
        <v>43018</v>
      </c>
      <c r="I53">
        <v>0.505</v>
      </c>
      <c r="J53">
        <v>1</v>
      </c>
      <c r="K53">
        <f t="shared" si="1"/>
        <v>0.505</v>
      </c>
    </row>
    <row r="54" spans="1:11" x14ac:dyDescent="0.25">
      <c r="A54" t="s">
        <v>95</v>
      </c>
      <c r="B54" t="s">
        <v>49</v>
      </c>
      <c r="C54" t="s">
        <v>177</v>
      </c>
      <c r="D54" t="s">
        <v>87</v>
      </c>
      <c r="E54" t="s">
        <v>54</v>
      </c>
      <c r="F54">
        <v>0</v>
      </c>
      <c r="G54" t="s">
        <v>12</v>
      </c>
      <c r="H54" s="25">
        <v>43012</v>
      </c>
      <c r="I54">
        <v>3.8350000000000004</v>
      </c>
      <c r="J54">
        <v>1</v>
      </c>
      <c r="K54">
        <f t="shared" si="1"/>
        <v>3.8350000000000004</v>
      </c>
    </row>
    <row r="55" spans="1:11" x14ac:dyDescent="0.25">
      <c r="A55" t="s">
        <v>95</v>
      </c>
      <c r="B55" t="s">
        <v>49</v>
      </c>
      <c r="C55" t="s">
        <v>177</v>
      </c>
      <c r="D55" t="s">
        <v>87</v>
      </c>
      <c r="E55" t="s">
        <v>54</v>
      </c>
      <c r="F55">
        <v>0</v>
      </c>
      <c r="G55" t="s">
        <v>12</v>
      </c>
      <c r="H55" s="25">
        <v>43012</v>
      </c>
      <c r="I55">
        <v>2.54</v>
      </c>
      <c r="J55">
        <v>1</v>
      </c>
      <c r="K55">
        <f t="shared" si="1"/>
        <v>2.54</v>
      </c>
    </row>
    <row r="56" spans="1:11" x14ac:dyDescent="0.25">
      <c r="A56" t="s">
        <v>96</v>
      </c>
      <c r="B56" t="s">
        <v>49</v>
      </c>
      <c r="C56" t="s">
        <v>177</v>
      </c>
      <c r="D56" t="s">
        <v>89</v>
      </c>
      <c r="E56" t="s">
        <v>59</v>
      </c>
      <c r="F56">
        <v>0</v>
      </c>
      <c r="G56" t="s">
        <v>12</v>
      </c>
      <c r="H56" s="25">
        <v>42967</v>
      </c>
      <c r="I56">
        <v>0.13500000000000001</v>
      </c>
      <c r="J56">
        <v>1</v>
      </c>
      <c r="K56">
        <f t="shared" si="1"/>
        <v>0.13500000000000001</v>
      </c>
    </row>
    <row r="57" spans="1:11" x14ac:dyDescent="0.25">
      <c r="A57" t="s">
        <v>96</v>
      </c>
      <c r="B57" t="s">
        <v>49</v>
      </c>
      <c r="C57" t="s">
        <v>177</v>
      </c>
      <c r="D57" t="s">
        <v>89</v>
      </c>
      <c r="E57" t="s">
        <v>59</v>
      </c>
      <c r="F57">
        <v>0</v>
      </c>
      <c r="G57" t="s">
        <v>12</v>
      </c>
      <c r="H57" s="25">
        <v>43110</v>
      </c>
      <c r="I57">
        <v>0.23000000000000004</v>
      </c>
      <c r="J57">
        <v>1</v>
      </c>
      <c r="K57">
        <f t="shared" si="1"/>
        <v>0.23000000000000004</v>
      </c>
    </row>
    <row r="58" spans="1:11" x14ac:dyDescent="0.25">
      <c r="A58" t="s">
        <v>97</v>
      </c>
      <c r="B58" t="s">
        <v>49</v>
      </c>
      <c r="C58" t="s">
        <v>177</v>
      </c>
      <c r="D58" t="s">
        <v>89</v>
      </c>
      <c r="E58" t="s">
        <v>59</v>
      </c>
      <c r="F58">
        <v>0</v>
      </c>
      <c r="G58" t="s">
        <v>12</v>
      </c>
      <c r="H58" s="25">
        <v>43018</v>
      </c>
      <c r="I58">
        <v>0.28500000000000003</v>
      </c>
      <c r="J58">
        <v>1</v>
      </c>
      <c r="K58">
        <f t="shared" si="1"/>
        <v>0.28500000000000003</v>
      </c>
    </row>
    <row r="59" spans="1:11" x14ac:dyDescent="0.25">
      <c r="A59" t="s">
        <v>98</v>
      </c>
      <c r="B59" t="s">
        <v>49</v>
      </c>
      <c r="C59" t="s">
        <v>177</v>
      </c>
      <c r="D59" t="s">
        <v>89</v>
      </c>
      <c r="E59" t="s">
        <v>59</v>
      </c>
      <c r="F59">
        <v>0</v>
      </c>
      <c r="G59" t="s">
        <v>12</v>
      </c>
      <c r="H59" s="25">
        <v>43018</v>
      </c>
      <c r="I59">
        <v>1.405</v>
      </c>
      <c r="J59">
        <v>1</v>
      </c>
      <c r="K59">
        <f t="shared" si="1"/>
        <v>1.405</v>
      </c>
    </row>
    <row r="60" spans="1:11" x14ac:dyDescent="0.25">
      <c r="A60" t="s">
        <v>98</v>
      </c>
      <c r="B60" t="s">
        <v>49</v>
      </c>
      <c r="C60" t="s">
        <v>177</v>
      </c>
      <c r="D60" t="s">
        <v>89</v>
      </c>
      <c r="E60" t="s">
        <v>59</v>
      </c>
      <c r="F60">
        <v>0</v>
      </c>
      <c r="G60" t="s">
        <v>12</v>
      </c>
      <c r="H60" s="25">
        <v>43018</v>
      </c>
      <c r="I60">
        <v>1.4</v>
      </c>
      <c r="J60">
        <v>1</v>
      </c>
      <c r="K60">
        <f t="shared" si="1"/>
        <v>1.4</v>
      </c>
    </row>
    <row r="61" spans="1:11" x14ac:dyDescent="0.25">
      <c r="A61" t="s">
        <v>98</v>
      </c>
      <c r="B61" t="s">
        <v>49</v>
      </c>
      <c r="C61" t="s">
        <v>177</v>
      </c>
      <c r="D61" t="s">
        <v>89</v>
      </c>
      <c r="E61" t="s">
        <v>59</v>
      </c>
      <c r="F61">
        <v>0</v>
      </c>
      <c r="G61" t="s">
        <v>12</v>
      </c>
      <c r="H61" s="25">
        <v>43018</v>
      </c>
      <c r="I61">
        <v>1.4</v>
      </c>
      <c r="J61">
        <v>1</v>
      </c>
      <c r="K61">
        <f t="shared" si="1"/>
        <v>1.4</v>
      </c>
    </row>
    <row r="62" spans="1:11" x14ac:dyDescent="0.25">
      <c r="A62" t="s">
        <v>98</v>
      </c>
      <c r="B62" t="s">
        <v>49</v>
      </c>
      <c r="C62" t="s">
        <v>177</v>
      </c>
      <c r="D62" t="s">
        <v>89</v>
      </c>
      <c r="E62" t="s">
        <v>59</v>
      </c>
      <c r="F62">
        <v>0</v>
      </c>
      <c r="G62" t="s">
        <v>12</v>
      </c>
      <c r="H62" s="25">
        <v>43005</v>
      </c>
      <c r="I62">
        <v>1.0049999999999999</v>
      </c>
      <c r="J62">
        <v>1</v>
      </c>
      <c r="K62">
        <f t="shared" si="1"/>
        <v>1.0049999999999999</v>
      </c>
    </row>
    <row r="63" spans="1:11" x14ac:dyDescent="0.25">
      <c r="A63" t="s">
        <v>98</v>
      </c>
      <c r="B63" t="s">
        <v>49</v>
      </c>
      <c r="C63" t="s">
        <v>177</v>
      </c>
      <c r="D63" t="s">
        <v>89</v>
      </c>
      <c r="E63" t="s">
        <v>59</v>
      </c>
      <c r="F63">
        <v>0</v>
      </c>
      <c r="G63" t="s">
        <v>12</v>
      </c>
      <c r="H63" s="25">
        <v>43018</v>
      </c>
      <c r="I63">
        <v>0.745</v>
      </c>
      <c r="J63">
        <v>1</v>
      </c>
      <c r="K63">
        <f t="shared" si="1"/>
        <v>0.745</v>
      </c>
    </row>
    <row r="64" spans="1:11" x14ac:dyDescent="0.25">
      <c r="A64" t="s">
        <v>98</v>
      </c>
      <c r="B64" t="s">
        <v>49</v>
      </c>
      <c r="C64" t="s">
        <v>177</v>
      </c>
      <c r="D64" t="s">
        <v>89</v>
      </c>
      <c r="E64" t="s">
        <v>59</v>
      </c>
      <c r="F64">
        <v>0</v>
      </c>
      <c r="G64" t="s">
        <v>12</v>
      </c>
      <c r="H64" s="25">
        <v>43018</v>
      </c>
      <c r="I64">
        <v>0.745</v>
      </c>
      <c r="J64">
        <v>1</v>
      </c>
      <c r="K64">
        <f t="shared" si="1"/>
        <v>0.745</v>
      </c>
    </row>
    <row r="65" spans="1:11" x14ac:dyDescent="0.25">
      <c r="A65" t="s">
        <v>98</v>
      </c>
      <c r="B65" t="s">
        <v>49</v>
      </c>
      <c r="C65" t="s">
        <v>177</v>
      </c>
      <c r="D65" t="s">
        <v>89</v>
      </c>
      <c r="E65" t="s">
        <v>59</v>
      </c>
      <c r="F65">
        <v>0</v>
      </c>
      <c r="G65" t="s">
        <v>12</v>
      </c>
      <c r="H65" s="25">
        <v>43005</v>
      </c>
      <c r="I65">
        <v>25</v>
      </c>
      <c r="J65">
        <v>1</v>
      </c>
      <c r="K65">
        <f t="shared" si="1"/>
        <v>25</v>
      </c>
    </row>
    <row r="66" spans="1:11" x14ac:dyDescent="0.25">
      <c r="A66" t="s">
        <v>98</v>
      </c>
      <c r="B66" t="s">
        <v>49</v>
      </c>
      <c r="C66" t="s">
        <v>177</v>
      </c>
      <c r="D66" t="s">
        <v>89</v>
      </c>
      <c r="E66" t="s">
        <v>59</v>
      </c>
      <c r="F66">
        <v>0</v>
      </c>
      <c r="G66" t="s">
        <v>12</v>
      </c>
      <c r="H66" s="25">
        <v>43005</v>
      </c>
      <c r="I66">
        <v>12.6</v>
      </c>
      <c r="J66">
        <v>1</v>
      </c>
      <c r="K66">
        <f t="shared" ref="K66:K97" si="2">I66*J66</f>
        <v>12.6</v>
      </c>
    </row>
    <row r="67" spans="1:11" x14ac:dyDescent="0.25">
      <c r="A67" t="s">
        <v>99</v>
      </c>
      <c r="B67" t="s">
        <v>49</v>
      </c>
      <c r="C67" t="s">
        <v>177</v>
      </c>
      <c r="D67" t="s">
        <v>89</v>
      </c>
      <c r="E67" t="s">
        <v>59</v>
      </c>
      <c r="F67">
        <v>0</v>
      </c>
      <c r="G67" t="s">
        <v>12</v>
      </c>
      <c r="H67" s="25">
        <v>42652</v>
      </c>
      <c r="I67">
        <v>0.1</v>
      </c>
      <c r="J67">
        <v>1</v>
      </c>
      <c r="K67">
        <f t="shared" si="2"/>
        <v>0.1</v>
      </c>
    </row>
    <row r="68" spans="1:11" x14ac:dyDescent="0.25">
      <c r="A68" t="s">
        <v>100</v>
      </c>
      <c r="B68" t="s">
        <v>49</v>
      </c>
      <c r="C68" t="s">
        <v>177</v>
      </c>
      <c r="D68" t="s">
        <v>89</v>
      </c>
      <c r="E68" t="s">
        <v>59</v>
      </c>
      <c r="F68">
        <v>0</v>
      </c>
      <c r="G68" t="s">
        <v>12</v>
      </c>
      <c r="H68" s="25">
        <v>43110</v>
      </c>
      <c r="I68">
        <v>2.5000000000000001E-2</v>
      </c>
      <c r="J68">
        <v>1</v>
      </c>
      <c r="K68">
        <f t="shared" si="2"/>
        <v>2.5000000000000001E-2</v>
      </c>
    </row>
    <row r="69" spans="1:11" x14ac:dyDescent="0.25">
      <c r="A69" t="s">
        <v>101</v>
      </c>
      <c r="B69" t="s">
        <v>49</v>
      </c>
      <c r="C69" t="s">
        <v>177</v>
      </c>
      <c r="D69" t="s">
        <v>87</v>
      </c>
      <c r="E69" t="s">
        <v>54</v>
      </c>
      <c r="F69">
        <v>0</v>
      </c>
      <c r="G69" t="s">
        <v>12</v>
      </c>
      <c r="H69" s="25">
        <v>43110</v>
      </c>
      <c r="I69">
        <v>4.0149999999999997</v>
      </c>
      <c r="J69">
        <v>1</v>
      </c>
      <c r="K69">
        <f t="shared" si="2"/>
        <v>4.0149999999999997</v>
      </c>
    </row>
    <row r="70" spans="1:11" x14ac:dyDescent="0.25">
      <c r="A70" t="s">
        <v>101</v>
      </c>
      <c r="B70" t="s">
        <v>49</v>
      </c>
      <c r="C70" t="s">
        <v>177</v>
      </c>
      <c r="D70" t="s">
        <v>87</v>
      </c>
      <c r="E70" t="s">
        <v>54</v>
      </c>
      <c r="F70">
        <v>0</v>
      </c>
      <c r="G70" t="s">
        <v>12</v>
      </c>
      <c r="H70" s="25">
        <v>43110</v>
      </c>
      <c r="I70">
        <v>3.9049999999999998</v>
      </c>
      <c r="J70">
        <v>1</v>
      </c>
      <c r="K70">
        <f t="shared" si="2"/>
        <v>3.9049999999999998</v>
      </c>
    </row>
    <row r="71" spans="1:11" x14ac:dyDescent="0.25">
      <c r="A71" t="s">
        <v>102</v>
      </c>
      <c r="B71" t="s">
        <v>49</v>
      </c>
      <c r="C71" t="s">
        <v>177</v>
      </c>
      <c r="D71" t="s">
        <v>89</v>
      </c>
      <c r="E71" t="s">
        <v>59</v>
      </c>
      <c r="F71">
        <v>0</v>
      </c>
      <c r="G71" t="s">
        <v>12</v>
      </c>
      <c r="H71" s="25">
        <v>42967</v>
      </c>
      <c r="I71">
        <v>1.0149999999999999</v>
      </c>
      <c r="J71">
        <v>1</v>
      </c>
      <c r="K71">
        <f t="shared" si="2"/>
        <v>1.0149999999999999</v>
      </c>
    </row>
    <row r="72" spans="1:11" x14ac:dyDescent="0.25">
      <c r="A72" t="s">
        <v>102</v>
      </c>
      <c r="B72" t="s">
        <v>49</v>
      </c>
      <c r="C72" t="s">
        <v>177</v>
      </c>
      <c r="D72" t="s">
        <v>89</v>
      </c>
      <c r="E72" t="s">
        <v>59</v>
      </c>
      <c r="F72">
        <v>0</v>
      </c>
      <c r="G72" t="s">
        <v>12</v>
      </c>
      <c r="H72" s="25">
        <v>42967</v>
      </c>
      <c r="I72">
        <v>1.0149999999999999</v>
      </c>
      <c r="J72">
        <v>1</v>
      </c>
      <c r="K72">
        <f t="shared" si="2"/>
        <v>1.0149999999999999</v>
      </c>
    </row>
    <row r="73" spans="1:11" x14ac:dyDescent="0.25">
      <c r="A73" t="s">
        <v>102</v>
      </c>
      <c r="B73" t="s">
        <v>49</v>
      </c>
      <c r="C73" t="s">
        <v>177</v>
      </c>
      <c r="D73" t="s">
        <v>89</v>
      </c>
      <c r="E73" t="s">
        <v>59</v>
      </c>
      <c r="F73">
        <v>0</v>
      </c>
      <c r="G73" t="s">
        <v>12</v>
      </c>
      <c r="H73" s="25">
        <v>42967</v>
      </c>
      <c r="I73">
        <v>1.0149999999999999</v>
      </c>
      <c r="J73">
        <v>1</v>
      </c>
      <c r="K73">
        <f t="shared" si="2"/>
        <v>1.0149999999999999</v>
      </c>
    </row>
    <row r="74" spans="1:11" x14ac:dyDescent="0.25">
      <c r="A74" t="s">
        <v>102</v>
      </c>
      <c r="B74" t="s">
        <v>49</v>
      </c>
      <c r="C74" t="s">
        <v>177</v>
      </c>
      <c r="D74" t="s">
        <v>89</v>
      </c>
      <c r="E74" t="s">
        <v>59</v>
      </c>
      <c r="F74">
        <v>0</v>
      </c>
      <c r="G74" t="s">
        <v>12</v>
      </c>
      <c r="H74" s="25">
        <v>42967</v>
      </c>
      <c r="I74">
        <v>4.9999999999999996E-2</v>
      </c>
      <c r="J74">
        <v>1</v>
      </c>
      <c r="K74">
        <f t="shared" si="2"/>
        <v>4.9999999999999996E-2</v>
      </c>
    </row>
    <row r="75" spans="1:11" x14ac:dyDescent="0.25">
      <c r="A75" t="s">
        <v>102</v>
      </c>
      <c r="B75" t="s">
        <v>49</v>
      </c>
      <c r="C75" t="s">
        <v>177</v>
      </c>
      <c r="D75" t="s">
        <v>89</v>
      </c>
      <c r="E75" t="s">
        <v>59</v>
      </c>
      <c r="F75">
        <v>0</v>
      </c>
      <c r="G75" t="s">
        <v>12</v>
      </c>
      <c r="H75" s="25">
        <v>42967</v>
      </c>
      <c r="I75">
        <v>4.9999999999999996E-2</v>
      </c>
      <c r="J75">
        <v>1</v>
      </c>
      <c r="K75">
        <f t="shared" si="2"/>
        <v>4.9999999999999996E-2</v>
      </c>
    </row>
    <row r="76" spans="1:11" x14ac:dyDescent="0.25">
      <c r="A76" t="s">
        <v>102</v>
      </c>
      <c r="B76" t="s">
        <v>49</v>
      </c>
      <c r="C76" t="s">
        <v>177</v>
      </c>
      <c r="D76" t="s">
        <v>89</v>
      </c>
      <c r="E76" t="s">
        <v>59</v>
      </c>
      <c r="F76">
        <v>0</v>
      </c>
      <c r="G76" t="s">
        <v>12</v>
      </c>
      <c r="H76" s="25">
        <v>42967</v>
      </c>
      <c r="I76">
        <v>4.9999999999999996E-2</v>
      </c>
      <c r="J76">
        <v>1</v>
      </c>
      <c r="K76">
        <f t="shared" si="2"/>
        <v>4.9999999999999996E-2</v>
      </c>
    </row>
    <row r="77" spans="1:11" x14ac:dyDescent="0.25">
      <c r="A77" t="s">
        <v>103</v>
      </c>
      <c r="B77" t="s">
        <v>49</v>
      </c>
      <c r="C77" t="s">
        <v>177</v>
      </c>
      <c r="D77" t="s">
        <v>87</v>
      </c>
      <c r="E77" t="s">
        <v>54</v>
      </c>
      <c r="F77">
        <v>0</v>
      </c>
      <c r="G77" t="s">
        <v>12</v>
      </c>
      <c r="H77" s="25">
        <v>43056</v>
      </c>
      <c r="I77">
        <v>1.74</v>
      </c>
      <c r="J77">
        <v>1</v>
      </c>
      <c r="K77">
        <f t="shared" si="2"/>
        <v>1.74</v>
      </c>
    </row>
    <row r="78" spans="1:11" x14ac:dyDescent="0.25">
      <c r="A78" t="s">
        <v>103</v>
      </c>
      <c r="B78" t="s">
        <v>49</v>
      </c>
      <c r="C78" t="s">
        <v>177</v>
      </c>
      <c r="D78" t="s">
        <v>87</v>
      </c>
      <c r="E78" t="s">
        <v>54</v>
      </c>
      <c r="F78">
        <v>0</v>
      </c>
      <c r="G78" t="s">
        <v>12</v>
      </c>
      <c r="H78" s="25">
        <v>43056</v>
      </c>
      <c r="I78">
        <v>3.9950000000000006</v>
      </c>
      <c r="J78">
        <v>1</v>
      </c>
      <c r="K78">
        <f t="shared" si="2"/>
        <v>3.9950000000000006</v>
      </c>
    </row>
    <row r="79" spans="1:11" x14ac:dyDescent="0.25">
      <c r="A79" t="s">
        <v>104</v>
      </c>
      <c r="B79" t="s">
        <v>49</v>
      </c>
      <c r="C79" t="s">
        <v>177</v>
      </c>
      <c r="D79" t="s">
        <v>87</v>
      </c>
      <c r="E79" t="s">
        <v>54</v>
      </c>
      <c r="F79">
        <v>0</v>
      </c>
      <c r="G79" t="s">
        <v>12</v>
      </c>
      <c r="H79" s="25">
        <v>43200</v>
      </c>
      <c r="I79">
        <v>4.4950000000000001</v>
      </c>
      <c r="J79">
        <v>1</v>
      </c>
      <c r="K79">
        <f t="shared" si="2"/>
        <v>4.4950000000000001</v>
      </c>
    </row>
    <row r="80" spans="1:11" x14ac:dyDescent="0.25">
      <c r="A80" t="s">
        <v>105</v>
      </c>
      <c r="B80" t="s">
        <v>49</v>
      </c>
      <c r="C80" t="s">
        <v>177</v>
      </c>
      <c r="D80" t="s">
        <v>87</v>
      </c>
      <c r="E80" t="s">
        <v>54</v>
      </c>
      <c r="F80">
        <v>0</v>
      </c>
      <c r="G80" t="s">
        <v>12</v>
      </c>
      <c r="H80" s="25">
        <v>43048</v>
      </c>
      <c r="I80">
        <v>4.1049999999999995</v>
      </c>
      <c r="J80">
        <v>1</v>
      </c>
      <c r="K80">
        <f t="shared" si="2"/>
        <v>4.1049999999999995</v>
      </c>
    </row>
    <row r="81" spans="1:11" x14ac:dyDescent="0.25">
      <c r="A81" t="s">
        <v>105</v>
      </c>
      <c r="B81" t="s">
        <v>49</v>
      </c>
      <c r="C81" t="s">
        <v>177</v>
      </c>
      <c r="D81" t="s">
        <v>87</v>
      </c>
      <c r="E81" t="s">
        <v>54</v>
      </c>
      <c r="F81">
        <v>0</v>
      </c>
      <c r="G81" t="s">
        <v>12</v>
      </c>
      <c r="H81" s="25">
        <v>43048</v>
      </c>
      <c r="I81">
        <v>3.3050000000000002</v>
      </c>
      <c r="J81">
        <v>1</v>
      </c>
      <c r="K81">
        <f t="shared" si="2"/>
        <v>3.3050000000000002</v>
      </c>
    </row>
    <row r="82" spans="1:11" x14ac:dyDescent="0.25">
      <c r="A82" t="s">
        <v>106</v>
      </c>
      <c r="B82" t="s">
        <v>49</v>
      </c>
      <c r="C82" t="s">
        <v>177</v>
      </c>
      <c r="D82" t="s">
        <v>87</v>
      </c>
      <c r="E82" t="s">
        <v>54</v>
      </c>
      <c r="F82">
        <v>0</v>
      </c>
      <c r="G82" t="s">
        <v>12</v>
      </c>
      <c r="H82" s="25">
        <v>43110</v>
      </c>
      <c r="I82">
        <v>1.8099999999999998</v>
      </c>
      <c r="J82">
        <v>1</v>
      </c>
      <c r="K82">
        <f t="shared" si="2"/>
        <v>1.8099999999999998</v>
      </c>
    </row>
    <row r="83" spans="1:11" x14ac:dyDescent="0.25">
      <c r="A83" t="s">
        <v>107</v>
      </c>
      <c r="B83" t="s">
        <v>49</v>
      </c>
      <c r="C83" t="s">
        <v>177</v>
      </c>
      <c r="D83" t="s">
        <v>89</v>
      </c>
      <c r="E83" t="s">
        <v>59</v>
      </c>
      <c r="F83">
        <v>0</v>
      </c>
      <c r="G83" t="s">
        <v>12</v>
      </c>
      <c r="H83" s="25">
        <v>43167</v>
      </c>
      <c r="I83">
        <v>0.32500000000000001</v>
      </c>
      <c r="J83">
        <v>1</v>
      </c>
      <c r="K83">
        <f t="shared" si="2"/>
        <v>0.32500000000000001</v>
      </c>
    </row>
    <row r="84" spans="1:11" x14ac:dyDescent="0.25">
      <c r="A84" t="s">
        <v>108</v>
      </c>
      <c r="B84" t="s">
        <v>49</v>
      </c>
      <c r="C84" t="s">
        <v>177</v>
      </c>
      <c r="D84" t="s">
        <v>87</v>
      </c>
      <c r="E84" t="s">
        <v>54</v>
      </c>
      <c r="F84">
        <v>0</v>
      </c>
      <c r="G84" t="s">
        <v>12</v>
      </c>
      <c r="H84" s="25">
        <v>43048</v>
      </c>
      <c r="I84">
        <v>3.77</v>
      </c>
      <c r="J84">
        <v>1</v>
      </c>
      <c r="K84">
        <f t="shared" si="2"/>
        <v>3.77</v>
      </c>
    </row>
    <row r="85" spans="1:11" x14ac:dyDescent="0.25">
      <c r="A85" t="s">
        <v>108</v>
      </c>
      <c r="B85" t="s">
        <v>49</v>
      </c>
      <c r="C85" t="s">
        <v>177</v>
      </c>
      <c r="D85" t="s">
        <v>87</v>
      </c>
      <c r="E85" t="s">
        <v>54</v>
      </c>
      <c r="F85">
        <v>0</v>
      </c>
      <c r="G85" t="s">
        <v>12</v>
      </c>
      <c r="H85" s="25">
        <v>43048</v>
      </c>
      <c r="I85">
        <v>4.0299999999999994</v>
      </c>
      <c r="J85">
        <v>1</v>
      </c>
      <c r="K85">
        <f t="shared" si="2"/>
        <v>4.0299999999999994</v>
      </c>
    </row>
    <row r="86" spans="1:11" x14ac:dyDescent="0.25">
      <c r="A86" t="s">
        <v>109</v>
      </c>
      <c r="B86" t="s">
        <v>49</v>
      </c>
      <c r="C86" t="s">
        <v>177</v>
      </c>
      <c r="D86" t="s">
        <v>89</v>
      </c>
      <c r="E86" t="s">
        <v>59</v>
      </c>
      <c r="F86">
        <v>0</v>
      </c>
      <c r="G86" t="s">
        <v>12</v>
      </c>
      <c r="H86" s="25">
        <v>43105</v>
      </c>
      <c r="I86">
        <v>0.5</v>
      </c>
      <c r="J86">
        <v>1</v>
      </c>
      <c r="K86">
        <f t="shared" si="2"/>
        <v>0.5</v>
      </c>
    </row>
    <row r="87" spans="1:11" x14ac:dyDescent="0.25">
      <c r="A87" t="s">
        <v>109</v>
      </c>
      <c r="B87" t="s">
        <v>49</v>
      </c>
      <c r="C87" t="s">
        <v>177</v>
      </c>
      <c r="D87" t="s">
        <v>89</v>
      </c>
      <c r="E87" t="s">
        <v>59</v>
      </c>
      <c r="F87">
        <v>0</v>
      </c>
      <c r="G87" t="s">
        <v>12</v>
      </c>
      <c r="H87" s="25">
        <v>43105</v>
      </c>
      <c r="I87">
        <v>0.13500000000000001</v>
      </c>
      <c r="J87">
        <v>1</v>
      </c>
      <c r="K87">
        <f t="shared" si="2"/>
        <v>0.13500000000000001</v>
      </c>
    </row>
    <row r="88" spans="1:11" x14ac:dyDescent="0.25">
      <c r="A88" t="s">
        <v>110</v>
      </c>
      <c r="B88" t="s">
        <v>49</v>
      </c>
      <c r="C88" t="s">
        <v>177</v>
      </c>
      <c r="D88" t="s">
        <v>87</v>
      </c>
      <c r="E88" t="s">
        <v>54</v>
      </c>
      <c r="F88">
        <v>0</v>
      </c>
      <c r="G88" t="s">
        <v>12</v>
      </c>
      <c r="H88" s="25">
        <v>43048</v>
      </c>
      <c r="I88">
        <v>4</v>
      </c>
      <c r="J88">
        <v>1</v>
      </c>
      <c r="K88">
        <f t="shared" si="2"/>
        <v>4</v>
      </c>
    </row>
    <row r="89" spans="1:11" x14ac:dyDescent="0.25">
      <c r="A89" t="s">
        <v>110</v>
      </c>
      <c r="B89" t="s">
        <v>49</v>
      </c>
      <c r="C89" t="s">
        <v>177</v>
      </c>
      <c r="D89" t="s">
        <v>87</v>
      </c>
      <c r="E89" t="s">
        <v>54</v>
      </c>
      <c r="F89">
        <v>0</v>
      </c>
      <c r="G89" t="s">
        <v>12</v>
      </c>
      <c r="H89" s="25">
        <v>43048</v>
      </c>
      <c r="I89">
        <v>2.91</v>
      </c>
      <c r="J89">
        <v>1</v>
      </c>
      <c r="K89">
        <f t="shared" si="2"/>
        <v>2.91</v>
      </c>
    </row>
    <row r="90" spans="1:11" x14ac:dyDescent="0.25">
      <c r="A90" t="s">
        <v>111</v>
      </c>
      <c r="B90" t="s">
        <v>49</v>
      </c>
      <c r="C90" t="s">
        <v>177</v>
      </c>
      <c r="D90" t="s">
        <v>89</v>
      </c>
      <c r="E90" t="s">
        <v>59</v>
      </c>
      <c r="F90">
        <v>0</v>
      </c>
      <c r="G90" t="s">
        <v>12</v>
      </c>
      <c r="H90" s="25">
        <v>43110</v>
      </c>
      <c r="I90">
        <v>0.63500000000000001</v>
      </c>
      <c r="J90">
        <v>1</v>
      </c>
      <c r="K90">
        <f t="shared" si="2"/>
        <v>0.63500000000000001</v>
      </c>
    </row>
    <row r="91" spans="1:11" x14ac:dyDescent="0.25">
      <c r="A91" t="s">
        <v>112</v>
      </c>
      <c r="B91" t="s">
        <v>49</v>
      </c>
      <c r="C91" t="s">
        <v>177</v>
      </c>
      <c r="D91" t="s">
        <v>89</v>
      </c>
      <c r="E91" t="s">
        <v>59</v>
      </c>
      <c r="F91">
        <v>0</v>
      </c>
      <c r="G91" t="s">
        <v>12</v>
      </c>
      <c r="H91" s="25">
        <v>43110</v>
      </c>
      <c r="I91">
        <v>0.745</v>
      </c>
      <c r="J91">
        <v>1</v>
      </c>
      <c r="K91">
        <f t="shared" si="2"/>
        <v>0.745</v>
      </c>
    </row>
    <row r="92" spans="1:11" x14ac:dyDescent="0.25">
      <c r="A92" t="s">
        <v>113</v>
      </c>
      <c r="B92" t="s">
        <v>49</v>
      </c>
      <c r="C92" t="s">
        <v>177</v>
      </c>
      <c r="D92" t="s">
        <v>87</v>
      </c>
      <c r="E92" t="s">
        <v>54</v>
      </c>
      <c r="F92">
        <v>0</v>
      </c>
      <c r="G92" t="s">
        <v>12</v>
      </c>
      <c r="H92" s="25">
        <v>43061</v>
      </c>
      <c r="I92">
        <v>4.0350000000000001</v>
      </c>
      <c r="J92">
        <v>1</v>
      </c>
      <c r="K92">
        <f t="shared" si="2"/>
        <v>4.0350000000000001</v>
      </c>
    </row>
    <row r="93" spans="1:11" x14ac:dyDescent="0.25">
      <c r="A93" t="s">
        <v>113</v>
      </c>
      <c r="B93" t="s">
        <v>49</v>
      </c>
      <c r="C93" t="s">
        <v>177</v>
      </c>
      <c r="D93" t="s">
        <v>87</v>
      </c>
      <c r="E93" t="s">
        <v>54</v>
      </c>
      <c r="F93">
        <v>0</v>
      </c>
      <c r="G93" t="s">
        <v>12</v>
      </c>
      <c r="H93" s="25">
        <v>43061</v>
      </c>
      <c r="I93">
        <v>2.4900000000000002</v>
      </c>
      <c r="J93">
        <v>1</v>
      </c>
      <c r="K93">
        <f t="shared" si="2"/>
        <v>2.4900000000000002</v>
      </c>
    </row>
    <row r="94" spans="1:11" x14ac:dyDescent="0.25">
      <c r="A94" t="s">
        <v>114</v>
      </c>
      <c r="B94" t="s">
        <v>49</v>
      </c>
      <c r="C94" t="s">
        <v>177</v>
      </c>
      <c r="D94" t="s">
        <v>87</v>
      </c>
      <c r="E94" t="s">
        <v>54</v>
      </c>
      <c r="F94">
        <v>0</v>
      </c>
      <c r="G94" t="s">
        <v>12</v>
      </c>
      <c r="H94" s="25">
        <v>42920</v>
      </c>
      <c r="I94">
        <v>1</v>
      </c>
      <c r="J94">
        <v>1</v>
      </c>
      <c r="K94">
        <f t="shared" si="2"/>
        <v>1</v>
      </c>
    </row>
    <row r="95" spans="1:11" x14ac:dyDescent="0.25">
      <c r="A95" t="s">
        <v>115</v>
      </c>
      <c r="B95" t="s">
        <v>49</v>
      </c>
      <c r="C95" t="s">
        <v>177</v>
      </c>
      <c r="D95" t="s">
        <v>89</v>
      </c>
      <c r="E95" t="s">
        <v>59</v>
      </c>
      <c r="F95">
        <v>0</v>
      </c>
      <c r="G95" t="s">
        <v>12</v>
      </c>
      <c r="H95" s="25">
        <v>42967</v>
      </c>
      <c r="I95">
        <v>0.88500000000000001</v>
      </c>
      <c r="J95">
        <v>1</v>
      </c>
      <c r="K95">
        <f t="shared" si="2"/>
        <v>0.88500000000000001</v>
      </c>
    </row>
    <row r="96" spans="1:11" x14ac:dyDescent="0.25">
      <c r="A96" t="s">
        <v>115</v>
      </c>
      <c r="B96" t="s">
        <v>49</v>
      </c>
      <c r="C96" t="s">
        <v>177</v>
      </c>
      <c r="D96" t="s">
        <v>89</v>
      </c>
      <c r="E96" t="s">
        <v>59</v>
      </c>
      <c r="F96">
        <v>0</v>
      </c>
      <c r="G96" t="s">
        <v>12</v>
      </c>
      <c r="H96" s="25">
        <v>42967</v>
      </c>
      <c r="I96">
        <v>0.73</v>
      </c>
      <c r="J96">
        <v>1</v>
      </c>
      <c r="K96">
        <f t="shared" si="2"/>
        <v>0.73</v>
      </c>
    </row>
    <row r="97" spans="1:11" x14ac:dyDescent="0.25">
      <c r="A97" t="s">
        <v>115</v>
      </c>
      <c r="B97" t="s">
        <v>49</v>
      </c>
      <c r="C97" t="s">
        <v>177</v>
      </c>
      <c r="D97" t="s">
        <v>89</v>
      </c>
      <c r="E97" t="s">
        <v>59</v>
      </c>
      <c r="F97">
        <v>0</v>
      </c>
      <c r="G97" t="s">
        <v>12</v>
      </c>
      <c r="H97" s="25">
        <v>42967</v>
      </c>
      <c r="I97">
        <v>1.01</v>
      </c>
      <c r="J97">
        <v>1</v>
      </c>
      <c r="K97">
        <f t="shared" si="2"/>
        <v>1.01</v>
      </c>
    </row>
    <row r="98" spans="1:11" x14ac:dyDescent="0.25">
      <c r="A98" t="s">
        <v>115</v>
      </c>
      <c r="B98" t="s">
        <v>49</v>
      </c>
      <c r="C98" t="s">
        <v>177</v>
      </c>
      <c r="D98" t="s">
        <v>89</v>
      </c>
      <c r="E98" t="s">
        <v>59</v>
      </c>
      <c r="F98">
        <v>0</v>
      </c>
      <c r="G98" t="s">
        <v>12</v>
      </c>
      <c r="H98" s="25">
        <v>42967</v>
      </c>
      <c r="I98">
        <v>1.0149999999999999</v>
      </c>
      <c r="J98">
        <v>1</v>
      </c>
      <c r="K98">
        <f t="shared" ref="K98:K103" si="3">I98*J98</f>
        <v>1.0149999999999999</v>
      </c>
    </row>
    <row r="99" spans="1:11" x14ac:dyDescent="0.25">
      <c r="A99" t="s">
        <v>115</v>
      </c>
      <c r="B99" t="s">
        <v>49</v>
      </c>
      <c r="C99" t="s">
        <v>177</v>
      </c>
      <c r="D99" t="s">
        <v>89</v>
      </c>
      <c r="E99" t="s">
        <v>59</v>
      </c>
      <c r="F99">
        <v>0</v>
      </c>
      <c r="G99" t="s">
        <v>12</v>
      </c>
      <c r="H99" s="25">
        <v>42967</v>
      </c>
      <c r="I99">
        <v>1.0149999999999999</v>
      </c>
      <c r="J99">
        <v>1</v>
      </c>
      <c r="K99">
        <f t="shared" si="3"/>
        <v>1.0149999999999999</v>
      </c>
    </row>
    <row r="100" spans="1:11" x14ac:dyDescent="0.25">
      <c r="A100" t="s">
        <v>115</v>
      </c>
      <c r="B100" t="s">
        <v>49</v>
      </c>
      <c r="C100" t="s">
        <v>177</v>
      </c>
      <c r="D100" t="s">
        <v>89</v>
      </c>
      <c r="E100" t="s">
        <v>59</v>
      </c>
      <c r="F100">
        <v>0</v>
      </c>
      <c r="G100" t="s">
        <v>12</v>
      </c>
      <c r="H100" s="25">
        <v>42967</v>
      </c>
      <c r="I100">
        <v>1.01</v>
      </c>
      <c r="J100">
        <v>1</v>
      </c>
      <c r="K100">
        <f t="shared" si="3"/>
        <v>1.01</v>
      </c>
    </row>
    <row r="101" spans="1:11" x14ac:dyDescent="0.25">
      <c r="A101" t="s">
        <v>115</v>
      </c>
      <c r="B101" t="s">
        <v>49</v>
      </c>
      <c r="C101" t="s">
        <v>177</v>
      </c>
      <c r="D101" t="s">
        <v>89</v>
      </c>
      <c r="E101" t="s">
        <v>59</v>
      </c>
      <c r="F101">
        <v>0</v>
      </c>
      <c r="G101" t="s">
        <v>12</v>
      </c>
      <c r="H101" s="25">
        <v>42967</v>
      </c>
      <c r="I101">
        <v>0.38</v>
      </c>
      <c r="J101">
        <v>1</v>
      </c>
      <c r="K101">
        <f t="shared" si="3"/>
        <v>0.38</v>
      </c>
    </row>
    <row r="102" spans="1:11" x14ac:dyDescent="0.25">
      <c r="A102" t="s">
        <v>116</v>
      </c>
      <c r="B102" t="s">
        <v>49</v>
      </c>
      <c r="C102" t="s">
        <v>177</v>
      </c>
      <c r="D102" t="s">
        <v>87</v>
      </c>
      <c r="E102" t="s">
        <v>54</v>
      </c>
      <c r="F102">
        <v>0</v>
      </c>
      <c r="G102" t="s">
        <v>12</v>
      </c>
      <c r="H102" s="25">
        <v>43048</v>
      </c>
      <c r="I102">
        <v>3.4650000000000003</v>
      </c>
      <c r="J102">
        <v>1</v>
      </c>
      <c r="K102">
        <f t="shared" si="3"/>
        <v>3.4650000000000003</v>
      </c>
    </row>
    <row r="103" spans="1:11" x14ac:dyDescent="0.25">
      <c r="A103" t="s">
        <v>116</v>
      </c>
      <c r="B103" t="s">
        <v>49</v>
      </c>
      <c r="C103" t="s">
        <v>177</v>
      </c>
      <c r="D103" t="s">
        <v>87</v>
      </c>
      <c r="E103" t="s">
        <v>54</v>
      </c>
      <c r="F103">
        <v>0</v>
      </c>
      <c r="G103" t="s">
        <v>12</v>
      </c>
      <c r="H103" s="25">
        <v>43048</v>
      </c>
      <c r="I103">
        <v>3.9849999999999999</v>
      </c>
      <c r="J103">
        <v>1</v>
      </c>
      <c r="K103">
        <f t="shared" si="3"/>
        <v>3.9849999999999999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5"/>
  <dimension ref="A1:F19"/>
  <sheetViews>
    <sheetView showGridLines="0" workbookViewId="0"/>
  </sheetViews>
  <sheetFormatPr defaultRowHeight="15" x14ac:dyDescent="0.25"/>
  <cols>
    <col min="1" max="1" width="53.5703125" bestFit="1" customWidth="1"/>
    <col min="2" max="2" width="21.42578125" bestFit="1" customWidth="1"/>
    <col min="3" max="3" width="14.5703125" bestFit="1" customWidth="1"/>
    <col min="4" max="4" width="6.85546875" bestFit="1" customWidth="1"/>
    <col min="5" max="5" width="12.42578125" bestFit="1" customWidth="1"/>
    <col min="6" max="6" width="13.140625" bestFit="1" customWidth="1"/>
  </cols>
  <sheetData>
    <row r="1" spans="1:6" x14ac:dyDescent="0.25">
      <c r="A1" s="19" t="s">
        <v>1</v>
      </c>
      <c r="B1" s="19" t="s">
        <v>3</v>
      </c>
      <c r="C1" s="19" t="s">
        <v>4</v>
      </c>
      <c r="D1" s="19" t="s">
        <v>14</v>
      </c>
      <c r="E1" s="19" t="s">
        <v>57</v>
      </c>
      <c r="F1" s="19" t="s">
        <v>2</v>
      </c>
    </row>
    <row r="2" spans="1:6" x14ac:dyDescent="0.25">
      <c r="A2" s="12" t="s">
        <v>165</v>
      </c>
      <c r="B2" s="12" t="s">
        <v>9</v>
      </c>
      <c r="C2" s="12" t="s">
        <v>10</v>
      </c>
      <c r="D2" s="12">
        <v>9.5</v>
      </c>
      <c r="E2" s="12" t="s">
        <v>13</v>
      </c>
      <c r="F2" s="12">
        <v>215</v>
      </c>
    </row>
    <row r="3" spans="1:6" x14ac:dyDescent="0.25">
      <c r="A3" s="12" t="s">
        <v>166</v>
      </c>
      <c r="B3" s="12" t="s">
        <v>9</v>
      </c>
      <c r="C3" s="12" t="s">
        <v>10</v>
      </c>
      <c r="D3" s="12">
        <v>9.5</v>
      </c>
      <c r="E3" s="12" t="s">
        <v>13</v>
      </c>
      <c r="F3" s="12">
        <v>74</v>
      </c>
    </row>
    <row r="4" spans="1:6" x14ac:dyDescent="0.25">
      <c r="A4" s="12" t="s">
        <v>167</v>
      </c>
      <c r="B4" s="12" t="s">
        <v>9</v>
      </c>
      <c r="C4" s="12" t="s">
        <v>10</v>
      </c>
      <c r="D4" s="12">
        <v>12.5</v>
      </c>
      <c r="E4" s="12" t="s">
        <v>13</v>
      </c>
      <c r="F4" s="12">
        <v>56</v>
      </c>
    </row>
    <row r="5" spans="1:6" x14ac:dyDescent="0.25">
      <c r="A5" s="12" t="s">
        <v>168</v>
      </c>
      <c r="B5" s="12" t="s">
        <v>9</v>
      </c>
      <c r="C5" s="12" t="s">
        <v>10</v>
      </c>
      <c r="D5" s="12">
        <v>12.5</v>
      </c>
      <c r="E5" s="12" t="s">
        <v>13</v>
      </c>
      <c r="F5" s="12">
        <v>96</v>
      </c>
    </row>
    <row r="6" spans="1:6" x14ac:dyDescent="0.25">
      <c r="A6" s="12" t="s">
        <v>169</v>
      </c>
      <c r="B6" s="12" t="s">
        <v>9</v>
      </c>
      <c r="C6" s="12" t="s">
        <v>11</v>
      </c>
      <c r="D6" s="12">
        <v>11.53</v>
      </c>
      <c r="E6" s="12" t="s">
        <v>13</v>
      </c>
      <c r="F6" s="12">
        <v>36</v>
      </c>
    </row>
    <row r="7" spans="1:6" x14ac:dyDescent="0.25">
      <c r="A7" s="12" t="s">
        <v>170</v>
      </c>
      <c r="B7" s="12" t="s">
        <v>9</v>
      </c>
      <c r="C7" s="12" t="s">
        <v>11</v>
      </c>
      <c r="D7" s="12">
        <v>11.53</v>
      </c>
      <c r="E7" s="12" t="s">
        <v>13</v>
      </c>
      <c r="F7" s="12">
        <v>132</v>
      </c>
    </row>
    <row r="8" spans="1:6" x14ac:dyDescent="0.25">
      <c r="A8" s="12" t="s">
        <v>171</v>
      </c>
      <c r="B8" s="12" t="s">
        <v>9</v>
      </c>
      <c r="C8" s="12" t="s">
        <v>11</v>
      </c>
      <c r="D8" s="12">
        <v>11.53</v>
      </c>
      <c r="E8" s="12" t="s">
        <v>13</v>
      </c>
      <c r="F8" s="12">
        <v>78</v>
      </c>
    </row>
    <row r="9" spans="1:6" x14ac:dyDescent="0.25">
      <c r="A9" s="12" t="s">
        <v>173</v>
      </c>
      <c r="B9" s="12" t="s">
        <v>9</v>
      </c>
      <c r="C9" s="12" t="s">
        <v>11</v>
      </c>
      <c r="D9" s="12">
        <v>11.53</v>
      </c>
      <c r="E9" s="12" t="s">
        <v>13</v>
      </c>
      <c r="F9" s="12">
        <v>24</v>
      </c>
    </row>
    <row r="10" spans="1:6" x14ac:dyDescent="0.25">
      <c r="A10" s="12" t="s">
        <v>174</v>
      </c>
      <c r="B10" s="12" t="s">
        <v>9</v>
      </c>
      <c r="C10" s="12" t="s">
        <v>11</v>
      </c>
      <c r="D10" s="12">
        <v>8.33</v>
      </c>
      <c r="E10" s="12" t="s">
        <v>13</v>
      </c>
      <c r="F10" s="12">
        <v>39</v>
      </c>
    </row>
    <row r="11" spans="1:6" x14ac:dyDescent="0.25">
      <c r="A11" s="12" t="s">
        <v>172</v>
      </c>
      <c r="B11" s="12" t="s">
        <v>9</v>
      </c>
      <c r="C11" s="12" t="s">
        <v>11</v>
      </c>
      <c r="D11" s="12">
        <v>44.1</v>
      </c>
      <c r="E11" s="12" t="s">
        <v>13</v>
      </c>
      <c r="F11" s="12">
        <v>2</v>
      </c>
    </row>
    <row r="12" spans="1:6" x14ac:dyDescent="0.25">
      <c r="A12" s="12" t="s">
        <v>139</v>
      </c>
      <c r="B12" s="12" t="s">
        <v>9</v>
      </c>
      <c r="C12" s="12" t="s">
        <v>11</v>
      </c>
      <c r="D12" s="12">
        <v>8.33</v>
      </c>
      <c r="E12" s="12" t="s">
        <v>13</v>
      </c>
      <c r="F12" s="12">
        <v>48</v>
      </c>
    </row>
    <row r="13" spans="1:6" x14ac:dyDescent="0.25">
      <c r="A13" s="12" t="s">
        <v>140</v>
      </c>
      <c r="B13" s="12" t="s">
        <v>9</v>
      </c>
      <c r="C13" s="12" t="s">
        <v>11</v>
      </c>
      <c r="D13" s="12">
        <v>8.33</v>
      </c>
      <c r="E13" s="12" t="s">
        <v>13</v>
      </c>
      <c r="F13" s="12">
        <v>24</v>
      </c>
    </row>
    <row r="14" spans="1:6" x14ac:dyDescent="0.25">
      <c r="A14" s="12" t="s">
        <v>141</v>
      </c>
      <c r="B14" s="12" t="s">
        <v>9</v>
      </c>
      <c r="C14" s="12" t="s">
        <v>11</v>
      </c>
      <c r="D14" s="12">
        <v>8.33</v>
      </c>
      <c r="E14" s="12" t="s">
        <v>13</v>
      </c>
      <c r="F14" s="12">
        <v>48</v>
      </c>
    </row>
    <row r="15" spans="1:6" x14ac:dyDescent="0.25">
      <c r="A15" s="12" t="s">
        <v>142</v>
      </c>
      <c r="B15" s="12" t="s">
        <v>9</v>
      </c>
      <c r="C15" s="12" t="s">
        <v>11</v>
      </c>
      <c r="D15" s="12">
        <v>8.33</v>
      </c>
      <c r="E15" s="12" t="s">
        <v>13</v>
      </c>
      <c r="F15" s="12">
        <v>84</v>
      </c>
    </row>
    <row r="16" spans="1:6" x14ac:dyDescent="0.25">
      <c r="A16" s="12" t="s">
        <v>143</v>
      </c>
      <c r="B16" s="12" t="s">
        <v>9</v>
      </c>
      <c r="C16" s="12" t="s">
        <v>11</v>
      </c>
      <c r="D16" s="12">
        <v>8.33</v>
      </c>
      <c r="E16" s="12" t="s">
        <v>13</v>
      </c>
      <c r="F16" s="12">
        <v>12</v>
      </c>
    </row>
    <row r="17" spans="1:6" x14ac:dyDescent="0.25">
      <c r="A17" s="12" t="s">
        <v>144</v>
      </c>
      <c r="B17" s="12" t="s">
        <v>9</v>
      </c>
      <c r="C17" s="12" t="s">
        <v>11</v>
      </c>
      <c r="D17" s="12">
        <v>0</v>
      </c>
      <c r="E17" s="12" t="s">
        <v>13</v>
      </c>
      <c r="F17" s="12">
        <v>141</v>
      </c>
    </row>
    <row r="18" spans="1:6" x14ac:dyDescent="0.25">
      <c r="A18" s="12" t="s">
        <v>145</v>
      </c>
      <c r="B18" s="12" t="s">
        <v>9</v>
      </c>
      <c r="C18" s="12" t="s">
        <v>11</v>
      </c>
      <c r="D18" s="12">
        <v>0</v>
      </c>
      <c r="E18" s="12" t="s">
        <v>13</v>
      </c>
      <c r="F18" s="12">
        <v>178</v>
      </c>
    </row>
    <row r="19" spans="1:6" x14ac:dyDescent="0.25">
      <c r="A19" s="12" t="s">
        <v>146</v>
      </c>
      <c r="B19" s="12" t="s">
        <v>9</v>
      </c>
      <c r="C19" s="12" t="s">
        <v>11</v>
      </c>
      <c r="D19" s="12">
        <v>0</v>
      </c>
      <c r="E19" s="12" t="s">
        <v>13</v>
      </c>
      <c r="F19" s="12">
        <v>274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6"/>
  <dimension ref="A1:H53"/>
  <sheetViews>
    <sheetView showGridLines="0" workbookViewId="0"/>
  </sheetViews>
  <sheetFormatPr defaultRowHeight="15" x14ac:dyDescent="0.25"/>
  <cols>
    <col min="1" max="1" width="45.140625" bestFit="1" customWidth="1"/>
    <col min="2" max="2" width="13.140625" bestFit="1" customWidth="1"/>
    <col min="3" max="3" width="22.5703125" bestFit="1" customWidth="1"/>
    <col min="4" max="4" width="11.5703125" bestFit="1" customWidth="1"/>
    <col min="6" max="6" width="14.5703125" bestFit="1" customWidth="1"/>
    <col min="7" max="7" width="12.5703125" style="22" bestFit="1" customWidth="1"/>
    <col min="8" max="8" width="15.140625" bestFit="1" customWidth="1"/>
  </cols>
  <sheetData>
    <row r="1" spans="1:8" x14ac:dyDescent="0.25">
      <c r="A1" s="19" t="s">
        <v>1</v>
      </c>
      <c r="B1" s="19" t="s">
        <v>3</v>
      </c>
      <c r="C1" s="19" t="s">
        <v>4</v>
      </c>
      <c r="D1" s="19" t="s">
        <v>58</v>
      </c>
      <c r="E1" s="19" t="s">
        <v>14</v>
      </c>
      <c r="F1" s="19" t="s">
        <v>57</v>
      </c>
      <c r="G1" s="21" t="s">
        <v>55</v>
      </c>
      <c r="H1" s="19" t="s">
        <v>2</v>
      </c>
    </row>
    <row r="2" spans="1:8" x14ac:dyDescent="0.25">
      <c r="A2" s="12" t="s">
        <v>147</v>
      </c>
      <c r="B2" s="12" t="s">
        <v>6</v>
      </c>
      <c r="C2" s="12" t="s">
        <v>7</v>
      </c>
      <c r="D2" s="12" t="s">
        <v>59</v>
      </c>
      <c r="E2" s="20">
        <v>0.37</v>
      </c>
      <c r="F2" s="12" t="s">
        <v>54</v>
      </c>
      <c r="G2" s="23" t="s">
        <v>54</v>
      </c>
      <c r="H2" s="24">
        <v>3594</v>
      </c>
    </row>
    <row r="3" spans="1:8" x14ac:dyDescent="0.25">
      <c r="A3" s="12" t="s">
        <v>148</v>
      </c>
      <c r="B3" s="12" t="s">
        <v>6</v>
      </c>
      <c r="C3" s="12" t="s">
        <v>7</v>
      </c>
      <c r="D3" s="12" t="s">
        <v>59</v>
      </c>
      <c r="E3" s="20">
        <v>0.37</v>
      </c>
      <c r="F3" s="12" t="s">
        <v>54</v>
      </c>
      <c r="G3" s="23" t="s">
        <v>54</v>
      </c>
      <c r="H3" s="24">
        <v>2990</v>
      </c>
    </row>
    <row r="4" spans="1:8" x14ac:dyDescent="0.25">
      <c r="A4" s="12" t="s">
        <v>149</v>
      </c>
      <c r="B4" s="12" t="s">
        <v>6</v>
      </c>
      <c r="C4" s="12" t="s">
        <v>7</v>
      </c>
      <c r="D4" s="12" t="s">
        <v>59</v>
      </c>
      <c r="E4" s="20">
        <v>0.37</v>
      </c>
      <c r="F4" s="12" t="s">
        <v>54</v>
      </c>
      <c r="G4" s="23" t="s">
        <v>54</v>
      </c>
      <c r="H4" s="24">
        <v>2773</v>
      </c>
    </row>
    <row r="5" spans="1:8" x14ac:dyDescent="0.25">
      <c r="A5" s="12" t="s">
        <v>150</v>
      </c>
      <c r="B5" s="12" t="s">
        <v>6</v>
      </c>
      <c r="C5" s="12" t="s">
        <v>7</v>
      </c>
      <c r="D5" s="12" t="s">
        <v>59</v>
      </c>
      <c r="E5" s="20">
        <v>0.37</v>
      </c>
      <c r="F5" s="12" t="s">
        <v>54</v>
      </c>
      <c r="G5" s="23" t="s">
        <v>54</v>
      </c>
      <c r="H5" s="24">
        <v>2526</v>
      </c>
    </row>
    <row r="6" spans="1:8" x14ac:dyDescent="0.25">
      <c r="A6" s="12" t="s">
        <v>151</v>
      </c>
      <c r="B6" s="12" t="s">
        <v>6</v>
      </c>
      <c r="C6" s="12" t="s">
        <v>7</v>
      </c>
      <c r="D6" s="12" t="s">
        <v>59</v>
      </c>
      <c r="E6" s="20">
        <v>0.37</v>
      </c>
      <c r="F6" s="12" t="s">
        <v>54</v>
      </c>
      <c r="G6" s="23" t="s">
        <v>54</v>
      </c>
      <c r="H6" s="24">
        <v>2413</v>
      </c>
    </row>
    <row r="7" spans="1:8" x14ac:dyDescent="0.25">
      <c r="A7" s="12" t="s">
        <v>152</v>
      </c>
      <c r="B7" s="12" t="s">
        <v>6</v>
      </c>
      <c r="C7" s="12" t="s">
        <v>7</v>
      </c>
      <c r="D7" s="12" t="s">
        <v>59</v>
      </c>
      <c r="E7" s="20">
        <v>0.37</v>
      </c>
      <c r="F7" s="12" t="s">
        <v>54</v>
      </c>
      <c r="G7" s="23" t="s">
        <v>54</v>
      </c>
      <c r="H7" s="24">
        <v>2795</v>
      </c>
    </row>
    <row r="8" spans="1:8" x14ac:dyDescent="0.25">
      <c r="A8" s="12" t="s">
        <v>153</v>
      </c>
      <c r="B8" s="12" t="s">
        <v>6</v>
      </c>
      <c r="C8" s="12" t="s">
        <v>7</v>
      </c>
      <c r="D8" s="12" t="s">
        <v>59</v>
      </c>
      <c r="E8" s="20">
        <v>0.37</v>
      </c>
      <c r="F8" s="12" t="s">
        <v>54</v>
      </c>
      <c r="G8" s="23" t="s">
        <v>54</v>
      </c>
      <c r="H8" s="24">
        <v>2396</v>
      </c>
    </row>
    <row r="9" spans="1:8" x14ac:dyDescent="0.25">
      <c r="A9" s="12" t="s">
        <v>154</v>
      </c>
      <c r="B9" s="12" t="s">
        <v>6</v>
      </c>
      <c r="C9" s="12" t="s">
        <v>7</v>
      </c>
      <c r="D9" s="12" t="s">
        <v>59</v>
      </c>
      <c r="E9" s="20">
        <v>0.37</v>
      </c>
      <c r="F9" s="12" t="s">
        <v>54</v>
      </c>
      <c r="G9" s="23" t="s">
        <v>54</v>
      </c>
      <c r="H9" s="24">
        <v>723</v>
      </c>
    </row>
    <row r="10" spans="1:8" x14ac:dyDescent="0.25">
      <c r="A10" s="12" t="s">
        <v>155</v>
      </c>
      <c r="B10" s="12" t="s">
        <v>6</v>
      </c>
      <c r="C10" s="12" t="s">
        <v>7</v>
      </c>
      <c r="D10" s="12" t="s">
        <v>59</v>
      </c>
      <c r="E10" s="20">
        <v>0.37</v>
      </c>
      <c r="F10" s="12" t="s">
        <v>54</v>
      </c>
      <c r="G10" s="23" t="s">
        <v>54</v>
      </c>
      <c r="H10" s="24">
        <v>689</v>
      </c>
    </row>
    <row r="11" spans="1:8" x14ac:dyDescent="0.25">
      <c r="A11" s="12" t="s">
        <v>156</v>
      </c>
      <c r="B11" s="12" t="s">
        <v>6</v>
      </c>
      <c r="C11" s="12" t="s">
        <v>7</v>
      </c>
      <c r="D11" s="12" t="s">
        <v>59</v>
      </c>
      <c r="E11" s="20">
        <v>0.37</v>
      </c>
      <c r="F11" s="12" t="s">
        <v>54</v>
      </c>
      <c r="G11" s="23" t="s">
        <v>54</v>
      </c>
      <c r="H11" s="24">
        <v>689</v>
      </c>
    </row>
    <row r="12" spans="1:8" x14ac:dyDescent="0.25">
      <c r="A12" s="12" t="s">
        <v>157</v>
      </c>
      <c r="B12" s="12" t="s">
        <v>6</v>
      </c>
      <c r="C12" s="12" t="s">
        <v>7</v>
      </c>
      <c r="D12" s="12" t="s">
        <v>59</v>
      </c>
      <c r="E12" s="20">
        <v>0.37</v>
      </c>
      <c r="F12" s="12" t="s">
        <v>54</v>
      </c>
      <c r="G12" s="23" t="s">
        <v>54</v>
      </c>
      <c r="H12" s="24">
        <v>557</v>
      </c>
    </row>
    <row r="13" spans="1:8" x14ac:dyDescent="0.25">
      <c r="A13" s="12" t="s">
        <v>158</v>
      </c>
      <c r="B13" s="12" t="s">
        <v>6</v>
      </c>
      <c r="C13" s="12" t="s">
        <v>7</v>
      </c>
      <c r="D13" s="12" t="s">
        <v>59</v>
      </c>
      <c r="E13" s="20">
        <v>0.37</v>
      </c>
      <c r="F13" s="12" t="s">
        <v>54</v>
      </c>
      <c r="G13" s="23" t="s">
        <v>54</v>
      </c>
      <c r="H13" s="24">
        <v>515</v>
      </c>
    </row>
    <row r="14" spans="1:8" x14ac:dyDescent="0.25">
      <c r="A14" s="12" t="s">
        <v>159</v>
      </c>
      <c r="B14" s="12" t="s">
        <v>6</v>
      </c>
      <c r="C14" s="12" t="s">
        <v>7</v>
      </c>
      <c r="D14" s="12" t="s">
        <v>59</v>
      </c>
      <c r="E14" s="20">
        <v>0.37</v>
      </c>
      <c r="F14" s="12" t="s">
        <v>54</v>
      </c>
      <c r="G14" s="23" t="s">
        <v>54</v>
      </c>
      <c r="H14" s="24">
        <v>4948</v>
      </c>
    </row>
    <row r="15" spans="1:8" x14ac:dyDescent="0.25">
      <c r="A15" s="12" t="s">
        <v>160</v>
      </c>
      <c r="B15" s="12" t="s">
        <v>6</v>
      </c>
      <c r="C15" s="12" t="s">
        <v>7</v>
      </c>
      <c r="D15" s="12" t="s">
        <v>59</v>
      </c>
      <c r="E15" s="20">
        <v>0.37</v>
      </c>
      <c r="F15" s="12" t="s">
        <v>54</v>
      </c>
      <c r="G15" s="23" t="s">
        <v>54</v>
      </c>
      <c r="H15" s="24">
        <v>0</v>
      </c>
    </row>
    <row r="16" spans="1:8" x14ac:dyDescent="0.25">
      <c r="A16" s="12" t="s">
        <v>161</v>
      </c>
      <c r="B16" s="12" t="s">
        <v>6</v>
      </c>
      <c r="C16" s="12" t="s">
        <v>8</v>
      </c>
      <c r="D16" s="12" t="s">
        <v>59</v>
      </c>
      <c r="E16" s="20">
        <v>0.21</v>
      </c>
      <c r="F16" s="12" t="s">
        <v>13</v>
      </c>
      <c r="G16" s="23" t="s">
        <v>54</v>
      </c>
      <c r="H16" s="24">
        <v>5992</v>
      </c>
    </row>
    <row r="17" spans="1:8" x14ac:dyDescent="0.25">
      <c r="A17" s="12" t="s">
        <v>162</v>
      </c>
      <c r="B17" s="12" t="s">
        <v>6</v>
      </c>
      <c r="C17" s="12" t="s">
        <v>8</v>
      </c>
      <c r="D17" s="12" t="s">
        <v>59</v>
      </c>
      <c r="E17" s="20">
        <v>0.21</v>
      </c>
      <c r="F17" s="12" t="s">
        <v>13</v>
      </c>
      <c r="G17" s="23" t="s">
        <v>54</v>
      </c>
      <c r="H17" s="24">
        <v>2000</v>
      </c>
    </row>
    <row r="18" spans="1:8" x14ac:dyDescent="0.25">
      <c r="A18" s="12" t="s">
        <v>163</v>
      </c>
      <c r="B18" s="12" t="s">
        <v>6</v>
      </c>
      <c r="C18" s="12" t="s">
        <v>8</v>
      </c>
      <c r="D18" s="12" t="s">
        <v>59</v>
      </c>
      <c r="E18" s="20">
        <v>0.21</v>
      </c>
      <c r="F18" s="12" t="s">
        <v>13</v>
      </c>
      <c r="G18" s="23" t="s">
        <v>54</v>
      </c>
      <c r="H18" s="24">
        <v>2000</v>
      </c>
    </row>
    <row r="19" spans="1:8" x14ac:dyDescent="0.25">
      <c r="A19" s="12" t="s">
        <v>164</v>
      </c>
      <c r="B19" s="12" t="s">
        <v>6</v>
      </c>
      <c r="C19" s="12" t="s">
        <v>8</v>
      </c>
      <c r="D19" s="12" t="s">
        <v>59</v>
      </c>
      <c r="E19" s="20">
        <v>0.21</v>
      </c>
      <c r="F19" s="12" t="s">
        <v>13</v>
      </c>
      <c r="G19" s="23" t="s">
        <v>54</v>
      </c>
      <c r="H19" s="24">
        <v>2000</v>
      </c>
    </row>
    <row r="20" spans="1:8" x14ac:dyDescent="0.25">
      <c r="A20" s="12" t="s">
        <v>118</v>
      </c>
      <c r="B20" s="12" t="s">
        <v>6</v>
      </c>
      <c r="C20" s="12" t="s">
        <v>117</v>
      </c>
      <c r="D20" s="12" t="s">
        <v>119</v>
      </c>
      <c r="E20" s="20">
        <v>0</v>
      </c>
      <c r="F20" s="12" t="s">
        <v>13</v>
      </c>
      <c r="G20" s="23" t="s">
        <v>54</v>
      </c>
      <c r="H20" s="24">
        <v>317</v>
      </c>
    </row>
    <row r="21" spans="1:8" x14ac:dyDescent="0.25">
      <c r="A21" s="12" t="s">
        <v>120</v>
      </c>
      <c r="B21" s="12" t="s">
        <v>6</v>
      </c>
      <c r="C21" s="12" t="s">
        <v>121</v>
      </c>
      <c r="D21" s="12" t="s">
        <v>119</v>
      </c>
      <c r="E21" s="20">
        <v>0</v>
      </c>
      <c r="F21" s="12" t="s">
        <v>13</v>
      </c>
      <c r="G21" s="23" t="s">
        <v>54</v>
      </c>
      <c r="H21" s="24">
        <v>404</v>
      </c>
    </row>
    <row r="22" spans="1:8" x14ac:dyDescent="0.25">
      <c r="A22" s="12" t="s">
        <v>122</v>
      </c>
      <c r="B22" s="12" t="s">
        <v>6</v>
      </c>
      <c r="C22" s="12" t="s">
        <v>117</v>
      </c>
      <c r="D22" s="12" t="s">
        <v>119</v>
      </c>
      <c r="E22" s="20">
        <v>0</v>
      </c>
      <c r="F22" s="12" t="s">
        <v>13</v>
      </c>
      <c r="G22" s="23" t="s">
        <v>54</v>
      </c>
      <c r="H22" s="24">
        <v>480</v>
      </c>
    </row>
    <row r="23" spans="1:8" x14ac:dyDescent="0.25">
      <c r="A23" s="12" t="s">
        <v>123</v>
      </c>
      <c r="B23" s="12" t="s">
        <v>6</v>
      </c>
      <c r="C23" s="12" t="s">
        <v>121</v>
      </c>
      <c r="D23" s="12" t="s">
        <v>119</v>
      </c>
      <c r="E23" s="20">
        <v>0</v>
      </c>
      <c r="F23" s="12" t="s">
        <v>13</v>
      </c>
      <c r="G23" s="23" t="s">
        <v>54</v>
      </c>
      <c r="H23" s="24">
        <v>480</v>
      </c>
    </row>
    <row r="24" spans="1:8" x14ac:dyDescent="0.25">
      <c r="A24" s="12" t="s">
        <v>125</v>
      </c>
      <c r="B24" s="12" t="s">
        <v>6</v>
      </c>
      <c r="C24" s="12" t="s">
        <v>124</v>
      </c>
      <c r="D24" s="12" t="s">
        <v>126</v>
      </c>
      <c r="E24" s="20">
        <v>0</v>
      </c>
      <c r="F24" s="12" t="s">
        <v>13</v>
      </c>
      <c r="G24" s="23" t="s">
        <v>54</v>
      </c>
      <c r="H24" s="24">
        <v>50</v>
      </c>
    </row>
    <row r="25" spans="1:8" x14ac:dyDescent="0.25">
      <c r="A25" s="12" t="s">
        <v>127</v>
      </c>
      <c r="B25" s="12" t="s">
        <v>6</v>
      </c>
      <c r="C25" s="12" t="s">
        <v>124</v>
      </c>
      <c r="D25" s="12" t="s">
        <v>126</v>
      </c>
      <c r="E25" s="20">
        <v>0</v>
      </c>
      <c r="F25" s="12" t="s">
        <v>13</v>
      </c>
      <c r="G25" s="23" t="s">
        <v>54</v>
      </c>
      <c r="H25" s="24">
        <v>24</v>
      </c>
    </row>
    <row r="26" spans="1:8" x14ac:dyDescent="0.25">
      <c r="A26" s="12" t="s">
        <v>128</v>
      </c>
      <c r="B26" s="12" t="s">
        <v>6</v>
      </c>
      <c r="C26" s="12" t="s">
        <v>124</v>
      </c>
      <c r="D26" s="12" t="s">
        <v>126</v>
      </c>
      <c r="E26" s="20">
        <v>0</v>
      </c>
      <c r="F26" s="12" t="s">
        <v>13</v>
      </c>
      <c r="G26" s="23" t="s">
        <v>54</v>
      </c>
      <c r="H26" s="24">
        <v>1</v>
      </c>
    </row>
    <row r="27" spans="1:8" x14ac:dyDescent="0.25">
      <c r="A27" s="12" t="s">
        <v>129</v>
      </c>
      <c r="B27" s="12" t="s">
        <v>6</v>
      </c>
      <c r="C27" s="12" t="s">
        <v>124</v>
      </c>
      <c r="D27" s="12" t="s">
        <v>126</v>
      </c>
      <c r="E27" s="20">
        <v>0</v>
      </c>
      <c r="F27" s="12" t="s">
        <v>13</v>
      </c>
      <c r="G27" s="23" t="s">
        <v>54</v>
      </c>
      <c r="H27" s="24">
        <v>1</v>
      </c>
    </row>
    <row r="28" spans="1:8" x14ac:dyDescent="0.25">
      <c r="A28" s="12" t="s">
        <v>130</v>
      </c>
      <c r="B28" s="12" t="s">
        <v>6</v>
      </c>
      <c r="C28" s="12" t="s">
        <v>117</v>
      </c>
      <c r="D28" s="12" t="s">
        <v>131</v>
      </c>
      <c r="E28" s="20">
        <v>0</v>
      </c>
      <c r="F28" s="12" t="s">
        <v>13</v>
      </c>
      <c r="G28" s="23" t="s">
        <v>54</v>
      </c>
      <c r="H28" s="24">
        <v>23</v>
      </c>
    </row>
    <row r="29" spans="1:8" x14ac:dyDescent="0.25">
      <c r="A29" s="12" t="s">
        <v>132</v>
      </c>
      <c r="B29" s="12" t="s">
        <v>6</v>
      </c>
      <c r="C29" s="12" t="s">
        <v>117</v>
      </c>
      <c r="D29" s="12" t="s">
        <v>131</v>
      </c>
      <c r="E29" s="20">
        <v>0</v>
      </c>
      <c r="F29" s="12" t="s">
        <v>13</v>
      </c>
      <c r="G29" s="23" t="s">
        <v>54</v>
      </c>
      <c r="H29" s="24">
        <v>23</v>
      </c>
    </row>
    <row r="30" spans="1:8" x14ac:dyDescent="0.25">
      <c r="A30" s="12" t="s">
        <v>133</v>
      </c>
      <c r="B30" s="12" t="s">
        <v>6</v>
      </c>
      <c r="C30" s="12" t="s">
        <v>134</v>
      </c>
      <c r="D30" s="12" t="s">
        <v>131</v>
      </c>
      <c r="E30" s="20">
        <v>0</v>
      </c>
      <c r="F30" s="12" t="s">
        <v>13</v>
      </c>
      <c r="G30" s="23" t="s">
        <v>54</v>
      </c>
      <c r="H30" s="24">
        <v>198</v>
      </c>
    </row>
    <row r="31" spans="1:8" x14ac:dyDescent="0.25">
      <c r="A31" s="12" t="s">
        <v>138</v>
      </c>
      <c r="B31" s="12" t="s">
        <v>6</v>
      </c>
      <c r="C31" s="12" t="s">
        <v>135</v>
      </c>
      <c r="D31" s="12" t="s">
        <v>131</v>
      </c>
      <c r="E31" s="20">
        <v>0</v>
      </c>
      <c r="F31" s="12" t="s">
        <v>13</v>
      </c>
      <c r="G31" s="23" t="s">
        <v>54</v>
      </c>
      <c r="H31" s="24">
        <v>228</v>
      </c>
    </row>
    <row r="32" spans="1:8" x14ac:dyDescent="0.25">
      <c r="A32" s="12" t="s">
        <v>152</v>
      </c>
      <c r="B32" s="12" t="s">
        <v>6</v>
      </c>
      <c r="C32" s="12" t="s">
        <v>7</v>
      </c>
      <c r="D32" s="12" t="s">
        <v>176</v>
      </c>
      <c r="E32" s="20">
        <v>0.37</v>
      </c>
      <c r="F32" s="12" t="s">
        <v>12</v>
      </c>
      <c r="G32" s="23">
        <v>43510</v>
      </c>
      <c r="H32" s="24">
        <v>49</v>
      </c>
    </row>
    <row r="33" spans="1:8" x14ac:dyDescent="0.25">
      <c r="A33" s="12" t="s">
        <v>151</v>
      </c>
      <c r="B33" s="12" t="s">
        <v>6</v>
      </c>
      <c r="C33" s="12" t="s">
        <v>7</v>
      </c>
      <c r="D33" s="12" t="s">
        <v>176</v>
      </c>
      <c r="E33" s="20">
        <v>0.37</v>
      </c>
      <c r="F33" s="12" t="s">
        <v>12</v>
      </c>
      <c r="G33" s="23">
        <v>43510</v>
      </c>
      <c r="H33" s="24">
        <v>6</v>
      </c>
    </row>
    <row r="34" spans="1:8" x14ac:dyDescent="0.25">
      <c r="A34" s="12" t="s">
        <v>159</v>
      </c>
      <c r="B34" s="12" t="s">
        <v>6</v>
      </c>
      <c r="C34" s="12" t="s">
        <v>7</v>
      </c>
      <c r="D34" s="12" t="s">
        <v>176</v>
      </c>
      <c r="E34" s="20">
        <v>0.37</v>
      </c>
      <c r="F34" s="12" t="s">
        <v>12</v>
      </c>
      <c r="G34" s="23">
        <v>43510</v>
      </c>
      <c r="H34" s="24">
        <v>302</v>
      </c>
    </row>
    <row r="35" spans="1:8" x14ac:dyDescent="0.25">
      <c r="A35" s="12" t="s">
        <v>150</v>
      </c>
      <c r="B35" s="12" t="s">
        <v>6</v>
      </c>
      <c r="C35" s="12" t="s">
        <v>7</v>
      </c>
      <c r="D35" s="12" t="s">
        <v>176</v>
      </c>
      <c r="E35" s="20">
        <v>0.37</v>
      </c>
      <c r="F35" s="12" t="s">
        <v>12</v>
      </c>
      <c r="G35" s="23">
        <v>43510</v>
      </c>
      <c r="H35" s="24">
        <v>35</v>
      </c>
    </row>
    <row r="36" spans="1:8" x14ac:dyDescent="0.25">
      <c r="A36" s="12" t="s">
        <v>153</v>
      </c>
      <c r="B36" s="12" t="s">
        <v>6</v>
      </c>
      <c r="C36" s="12" t="s">
        <v>7</v>
      </c>
      <c r="D36" s="12" t="s">
        <v>176</v>
      </c>
      <c r="E36" s="20">
        <v>0.37</v>
      </c>
      <c r="F36" s="12" t="s">
        <v>12</v>
      </c>
      <c r="G36" s="23">
        <v>43510</v>
      </c>
      <c r="H36" s="24">
        <v>1</v>
      </c>
    </row>
    <row r="37" spans="1:8" x14ac:dyDescent="0.25">
      <c r="A37" s="12" t="s">
        <v>147</v>
      </c>
      <c r="B37" s="12" t="s">
        <v>6</v>
      </c>
      <c r="C37" s="12" t="s">
        <v>7</v>
      </c>
      <c r="D37" s="12" t="s">
        <v>176</v>
      </c>
      <c r="E37" s="20">
        <v>0.37</v>
      </c>
      <c r="F37" s="12" t="s">
        <v>12</v>
      </c>
      <c r="G37" s="23">
        <v>43433</v>
      </c>
      <c r="H37" s="24">
        <v>199</v>
      </c>
    </row>
    <row r="38" spans="1:8" x14ac:dyDescent="0.25">
      <c r="A38" s="12" t="s">
        <v>152</v>
      </c>
      <c r="B38" s="12" t="s">
        <v>6</v>
      </c>
      <c r="C38" s="12" t="s">
        <v>7</v>
      </c>
      <c r="D38" s="12" t="s">
        <v>176</v>
      </c>
      <c r="E38" s="20">
        <v>0.37</v>
      </c>
      <c r="F38" s="12" t="s">
        <v>12</v>
      </c>
      <c r="G38" s="23">
        <v>43412</v>
      </c>
      <c r="H38" s="24">
        <v>60</v>
      </c>
    </row>
    <row r="39" spans="1:8" x14ac:dyDescent="0.25">
      <c r="A39" s="12" t="s">
        <v>159</v>
      </c>
      <c r="B39" s="12" t="s">
        <v>6</v>
      </c>
      <c r="C39" s="12" t="s">
        <v>7</v>
      </c>
      <c r="D39" s="12" t="s">
        <v>176</v>
      </c>
      <c r="E39" s="20">
        <v>0.37</v>
      </c>
      <c r="F39" s="12" t="s">
        <v>12</v>
      </c>
      <c r="G39" s="23">
        <v>43412</v>
      </c>
      <c r="H39" s="24">
        <v>316</v>
      </c>
    </row>
    <row r="40" spans="1:8" x14ac:dyDescent="0.25">
      <c r="A40" s="12" t="s">
        <v>160</v>
      </c>
      <c r="B40" s="12" t="s">
        <v>6</v>
      </c>
      <c r="C40" s="12" t="s">
        <v>7</v>
      </c>
      <c r="D40" s="12" t="s">
        <v>176</v>
      </c>
      <c r="E40" s="20">
        <v>0.37</v>
      </c>
      <c r="F40" s="12" t="s">
        <v>12</v>
      </c>
      <c r="G40" s="23">
        <v>43412</v>
      </c>
      <c r="H40" s="24">
        <v>225</v>
      </c>
    </row>
    <row r="41" spans="1:8" x14ac:dyDescent="0.25">
      <c r="A41" s="12" t="s">
        <v>149</v>
      </c>
      <c r="B41" s="12" t="s">
        <v>6</v>
      </c>
      <c r="C41" s="12" t="s">
        <v>7</v>
      </c>
      <c r="D41" s="12" t="s">
        <v>176</v>
      </c>
      <c r="E41" s="20">
        <v>0.37</v>
      </c>
      <c r="F41" s="12" t="s">
        <v>12</v>
      </c>
      <c r="G41" s="23">
        <v>43412</v>
      </c>
      <c r="H41" s="24">
        <v>12</v>
      </c>
    </row>
    <row r="42" spans="1:8" x14ac:dyDescent="0.25">
      <c r="A42" s="12" t="s">
        <v>153</v>
      </c>
      <c r="B42" s="12" t="s">
        <v>6</v>
      </c>
      <c r="C42" s="12" t="s">
        <v>7</v>
      </c>
      <c r="D42" s="12" t="s">
        <v>176</v>
      </c>
      <c r="E42" s="20">
        <v>0.37</v>
      </c>
      <c r="F42" s="12" t="s">
        <v>12</v>
      </c>
      <c r="G42" s="23">
        <v>43412</v>
      </c>
      <c r="H42" s="24">
        <v>54</v>
      </c>
    </row>
    <row r="43" spans="1:8" x14ac:dyDescent="0.25">
      <c r="A43" s="12" t="s">
        <v>147</v>
      </c>
      <c r="B43" s="12" t="s">
        <v>6</v>
      </c>
      <c r="C43" s="12" t="s">
        <v>7</v>
      </c>
      <c r="D43" s="12" t="s">
        <v>176</v>
      </c>
      <c r="E43" s="20">
        <v>0.37</v>
      </c>
      <c r="F43" s="12" t="s">
        <v>12</v>
      </c>
      <c r="G43" s="23">
        <v>43392</v>
      </c>
      <c r="H43" s="24">
        <v>9</v>
      </c>
    </row>
    <row r="44" spans="1:8" x14ac:dyDescent="0.25">
      <c r="A44" s="12" t="s">
        <v>148</v>
      </c>
      <c r="B44" s="12" t="s">
        <v>6</v>
      </c>
      <c r="C44" s="12" t="s">
        <v>7</v>
      </c>
      <c r="D44" s="12" t="s">
        <v>176</v>
      </c>
      <c r="E44" s="20">
        <v>0.37</v>
      </c>
      <c r="F44" s="12" t="s">
        <v>12</v>
      </c>
      <c r="G44" s="23">
        <v>43392</v>
      </c>
      <c r="H44" s="24">
        <v>31</v>
      </c>
    </row>
    <row r="45" spans="1:8" x14ac:dyDescent="0.25">
      <c r="A45" s="12" t="s">
        <v>159</v>
      </c>
      <c r="B45" s="12" t="s">
        <v>6</v>
      </c>
      <c r="C45" s="12" t="s">
        <v>7</v>
      </c>
      <c r="D45" s="12" t="s">
        <v>176</v>
      </c>
      <c r="E45" s="20">
        <v>0.37</v>
      </c>
      <c r="F45" s="12" t="s">
        <v>12</v>
      </c>
      <c r="G45" s="23">
        <v>43392</v>
      </c>
      <c r="H45" s="24">
        <v>9</v>
      </c>
    </row>
    <row r="46" spans="1:8" x14ac:dyDescent="0.25">
      <c r="A46" s="12" t="s">
        <v>153</v>
      </c>
      <c r="B46" s="12" t="s">
        <v>6</v>
      </c>
      <c r="C46" s="12" t="s">
        <v>7</v>
      </c>
      <c r="D46" s="12" t="s">
        <v>176</v>
      </c>
      <c r="E46" s="20">
        <v>0.37</v>
      </c>
      <c r="F46" s="12" t="s">
        <v>12</v>
      </c>
      <c r="G46" s="23">
        <v>43371</v>
      </c>
      <c r="H46" s="24">
        <v>2</v>
      </c>
    </row>
    <row r="47" spans="1:8" x14ac:dyDescent="0.25">
      <c r="A47" s="12" t="s">
        <v>158</v>
      </c>
      <c r="B47" s="12" t="s">
        <v>6</v>
      </c>
      <c r="C47" s="12" t="s">
        <v>7</v>
      </c>
      <c r="D47" s="12" t="s">
        <v>176</v>
      </c>
      <c r="E47" s="20">
        <v>0.37</v>
      </c>
      <c r="F47" s="12" t="s">
        <v>12</v>
      </c>
      <c r="G47" s="23">
        <v>43336</v>
      </c>
      <c r="H47" s="24">
        <v>4</v>
      </c>
    </row>
    <row r="48" spans="1:8" x14ac:dyDescent="0.25">
      <c r="A48" s="12" t="s">
        <v>152</v>
      </c>
      <c r="B48" s="12" t="s">
        <v>6</v>
      </c>
      <c r="C48" s="12" t="s">
        <v>7</v>
      </c>
      <c r="D48" s="12" t="s">
        <v>176</v>
      </c>
      <c r="E48" s="20">
        <v>0.37</v>
      </c>
      <c r="F48" s="12" t="s">
        <v>12</v>
      </c>
      <c r="G48" s="23">
        <v>43327</v>
      </c>
      <c r="H48" s="24">
        <v>1</v>
      </c>
    </row>
    <row r="49" spans="1:8" x14ac:dyDescent="0.25">
      <c r="A49" s="12" t="s">
        <v>157</v>
      </c>
      <c r="B49" s="12" t="s">
        <v>6</v>
      </c>
      <c r="C49" s="12" t="s">
        <v>7</v>
      </c>
      <c r="D49" s="12" t="s">
        <v>176</v>
      </c>
      <c r="E49" s="20">
        <v>0.37</v>
      </c>
      <c r="F49" s="12" t="s">
        <v>12</v>
      </c>
      <c r="G49" s="23">
        <v>43216</v>
      </c>
      <c r="H49" s="24">
        <v>13</v>
      </c>
    </row>
    <row r="50" spans="1:8" x14ac:dyDescent="0.25">
      <c r="A50" s="12" t="s">
        <v>154</v>
      </c>
      <c r="B50" s="12" t="s">
        <v>6</v>
      </c>
      <c r="C50" s="12" t="s">
        <v>7</v>
      </c>
      <c r="D50" s="12" t="s">
        <v>176</v>
      </c>
      <c r="E50" s="20">
        <v>0.37</v>
      </c>
      <c r="F50" s="12" t="s">
        <v>12</v>
      </c>
      <c r="G50" s="23">
        <v>43117</v>
      </c>
      <c r="H50" s="24">
        <v>11</v>
      </c>
    </row>
    <row r="51" spans="1:8" x14ac:dyDescent="0.25">
      <c r="A51" s="12" t="s">
        <v>156</v>
      </c>
      <c r="B51" s="12" t="s">
        <v>6</v>
      </c>
      <c r="C51" s="12" t="s">
        <v>7</v>
      </c>
      <c r="D51" s="12" t="s">
        <v>176</v>
      </c>
      <c r="E51" s="20">
        <v>0.37</v>
      </c>
      <c r="F51" s="12" t="s">
        <v>12</v>
      </c>
      <c r="G51" s="23">
        <v>43117</v>
      </c>
      <c r="H51" s="24">
        <v>3</v>
      </c>
    </row>
    <row r="52" spans="1:8" x14ac:dyDescent="0.25">
      <c r="A52" s="12" t="s">
        <v>154</v>
      </c>
      <c r="B52" s="12" t="s">
        <v>6</v>
      </c>
      <c r="C52" s="12" t="s">
        <v>7</v>
      </c>
      <c r="D52" s="12" t="s">
        <v>176</v>
      </c>
      <c r="E52" s="20">
        <v>0.37</v>
      </c>
      <c r="F52" s="12" t="s">
        <v>12</v>
      </c>
      <c r="G52" s="23">
        <v>43117</v>
      </c>
      <c r="H52" s="24">
        <v>8</v>
      </c>
    </row>
    <row r="53" spans="1:8" x14ac:dyDescent="0.25">
      <c r="A53" s="12" t="s">
        <v>156</v>
      </c>
      <c r="B53" s="12" t="s">
        <v>6</v>
      </c>
      <c r="C53" s="12" t="s">
        <v>7</v>
      </c>
      <c r="D53" s="12" t="s">
        <v>176</v>
      </c>
      <c r="E53" s="20">
        <v>0.37</v>
      </c>
      <c r="F53" s="12" t="s">
        <v>12</v>
      </c>
      <c r="G53" s="23">
        <v>43113</v>
      </c>
      <c r="H53" s="24">
        <v>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7D0FC4-1680-40FE-A376-368A7C8BA6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bdMP</vt:lpstr>
      <vt:lpstr>bdAromas&amp;Corantes</vt:lpstr>
      <vt:lpstr>bdCintasCData</vt:lpstr>
      <vt:lpstr>MENU</vt:lpstr>
      <vt:lpstr>Acrescentar</vt:lpstr>
      <vt:lpstr>Entrada de Estoque</vt:lpstr>
      <vt:lpstr>Saída de Estoque</vt:lpstr>
      <vt:lpstr>EstoqueConsolidado</vt:lpstr>
      <vt:lpstr>LogMovimentação</vt:lpstr>
      <vt:lpstr>CadastroWeb</vt:lpstr>
      <vt:lpstr>Impresso</vt:lpstr>
      <vt:lpstr>bdMatériaPrima</vt:lpstr>
      <vt:lpstr>bdPRODUTOTERMINADO</vt:lpstr>
      <vt:lpstr>bdEmbalagens</vt:lpstr>
      <vt:lpstr>Impresso!Area_de_impressao</vt:lpstr>
      <vt:lpstr>'Saída de Estoque'!PRODUTOS</vt:lpstr>
      <vt:lpstr>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cp:lastPrinted>2017-05-19T15:10:14Z</cp:lastPrinted>
  <dcterms:created xsi:type="dcterms:W3CDTF">2017-05-02T14:27:02Z</dcterms:created>
  <dcterms:modified xsi:type="dcterms:W3CDTF">2018-07-08T23:20:51Z</dcterms:modified>
</cp:coreProperties>
</file>