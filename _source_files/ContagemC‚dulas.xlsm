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2" codeName="{69DD9B16-574D-57BC-316C-8E62D1CF7918}"/>
  <workbookPr codeName="wbContagem" defaultThemeVersion="166925"/>
  <mc:AlternateContent xmlns:mc="http://schemas.openxmlformats.org/markup-compatibility/2006">
    <mc:Choice Requires="x15">
      <x15ac:absPath xmlns:x15ac="http://schemas.microsoft.com/office/spreadsheetml/2010/11/ac" url="D:\Junior &amp; Cris\Desktop\"/>
    </mc:Choice>
  </mc:AlternateContent>
  <xr:revisionPtr revIDLastSave="0" documentId="13_ncr:1_{44132FA4-7C67-4C32-807B-D455808860E6}" xr6:coauthVersionLast="34" xr6:coauthVersionMax="34" xr10:uidLastSave="{00000000-0000-0000-0000-000000000000}"/>
  <bookViews>
    <workbookView xWindow="0" yWindow="0" windowWidth="20490" windowHeight="7530" xr2:uid="{3B66D085-A7ED-4C31-953B-9C603A8FF4FB}"/>
  </bookViews>
  <sheets>
    <sheet name="Contagem" sheetId="3" r:id="rId1"/>
    <sheet name="Fechamentos" sheetId="5" r:id="rId2"/>
    <sheet name="Auxiliar" sheetId="4" r:id="rId3"/>
  </sheets>
  <functionGroups builtInGroupCount="19"/>
  <externalReferences>
    <externalReference r:id="rId4"/>
  </externalReferences>
  <definedNames>
    <definedName name="dPagamentos">'[1]Dimensões Apoio'!$B$6:$C$8</definedName>
    <definedName name="Imports">Auxiliar!$A$2:$A$12</definedName>
    <definedName name="nDESC" localSheetId="0">OFFSET('[1]Dimensões Apoio'!#REF!,1,0,COUNTA('[1]Dimensões Apoio'!#REF!)-1,1)</definedName>
    <definedName name="nDESC2" localSheetId="0">OFFSET('[1]Dimensões Apoio'!#REF!,1,0,COUNTA('[1]Dimensões Apoio'!#REF!)-2,1)</definedName>
    <definedName name="nLancs" localSheetId="0">OFFSET('[1]Dimensões Apoio'!#REF!,1,0,COUNTA('[1]Dimensões Apoio'!$A:$A)-1,1)</definedName>
    <definedName name="nPGTO" localSheetId="0">OFFSET('[1]Dimensões Apoio'!#REF!,1,0,COUNTA('[1]Dimensões Apoio'!$B:$B)-1,1)</definedName>
    <definedName name="Total">Contagem!$C$4</definedName>
    <definedName name="TotalCédula">Contagem!$C$3</definedName>
    <definedName name="TotalMoeda">Contagem!$C$2</definedName>
    <definedName name="Troco">Contagem!$C$5</definedName>
    <definedName name="Type">Contagem!$C$1</definedName>
    <definedName name="Venda">Contagem!$C$7</definedName>
  </definedNames>
  <calcPr calcId="179017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4" i="3" l="1"/>
  <c r="C7" i="3" s="1"/>
  <c r="C2" i="3" l="1" a="1"/>
  <c r="C2" i="3" s="1"/>
  <c r="C3" i="3" l="1" a="1"/>
  <c r="C3" i="3" s="1"/>
</calcChain>
</file>

<file path=xl/sharedStrings.xml><?xml version="1.0" encoding="utf-8"?>
<sst xmlns="http://schemas.openxmlformats.org/spreadsheetml/2006/main" count="15" uniqueCount="14">
  <si>
    <t>QUANTIDADE</t>
  </si>
  <si>
    <t>VENDA</t>
  </si>
  <si>
    <t>TROCO</t>
  </si>
  <si>
    <t>TOTAL</t>
  </si>
  <si>
    <t>CÉDULA</t>
  </si>
  <si>
    <t>MOEDA</t>
  </si>
  <si>
    <t>CONTROLE</t>
  </si>
  <si>
    <t>IMPORTÂNCIA</t>
  </si>
  <si>
    <t>Importâncias Aceitas</t>
  </si>
  <si>
    <t>Data</t>
  </si>
  <si>
    <t>Perda</t>
  </si>
  <si>
    <t>VendaReal</t>
  </si>
  <si>
    <t>VendaEsperada</t>
  </si>
  <si>
    <t>VENDA CARTÃO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</si>
</sst>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R$&quot;* #,##0.00_);_(&quot;R$&quot;* \(#,##0.00\);_(&quot;R$&quot;* &quot;-&quot;??_);_(@_)"/>
    <numFmt numFmtId="164" formatCode="_(&quot;R$&quot;* #,##0.00_);_(&quot;R$&quot;* \(#,##0.00\);_(&quot;R$&quot;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</fills>
  <borders count="3">
    <border>
      <left/>
      <right/>
      <top/>
      <bottom/>
      <diagonal/>
    </border>
    <border>
      <left/>
      <right/>
      <top style="medium">
        <color theme="1"/>
      </top>
      <bottom style="medium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8">
    <xf numFmtId="0" fontId="0" fillId="0" borderId="0" xfId="0"/>
    <xf numFmtId="0" fontId="1" fillId="0" borderId="0" xfId="0" applyFont="1"/>
    <xf numFmtId="164" fontId="1" fillId="0" borderId="0" xfId="0" applyNumberFormat="1" applyFont="1"/>
    <xf numFmtId="0" fontId="3" fillId="2" borderId="1" xfId="0" applyFont="1" applyFill="1" applyBorder="1" applyAlignment="1">
      <alignment horizontal="center"/>
    </xf>
    <xf numFmtId="164" fontId="4" fillId="0" borderId="2" xfId="0" applyNumberFormat="1" applyFont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0" fillId="0" borderId="0" xfId="0" applyFont="1"/>
    <xf numFmtId="44" fontId="3" fillId="2" borderId="0" xfId="1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44" fontId="1" fillId="0" borderId="0" xfId="0" applyNumberFormat="1" applyFont="1"/>
    <xf numFmtId="44" fontId="0" fillId="0" borderId="0" xfId="0" applyNumberFormat="1"/>
    <xf numFmtId="0" fontId="5" fillId="0" borderId="0" xfId="0" applyFont="1"/>
    <xf numFmtId="14" fontId="1" fillId="0" borderId="0" xfId="0" applyNumberFormat="1" applyFon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44" fontId="0" fillId="0" borderId="0" xfId="0" applyNumberFormat="1" applyAlignment="1">
      <alignment horizontal="center"/>
    </xf>
    <xf numFmtId="44" fontId="1" fillId="0" borderId="0" xfId="1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Moeda" xfId="1" builtinId="4"/>
    <cellStyle name="Normal" xfId="0" builtinId="0"/>
  </cellStyles>
  <dxfs count="12">
    <dxf>
      <numFmt numFmtId="34" formatCode="_(&quot;R$&quot;* #,##0.00_);_(&quot;R$&quot;* \(#,##0.00\);_(&quot;R$&quot;* &quot;-&quot;??_);_(@_)"/>
      <alignment horizontal="center" vertical="bottom" textRotation="0" wrapText="0" indent="0" justifyLastLine="0" shrinkToFit="0" readingOrder="0"/>
    </dxf>
    <dxf>
      <numFmt numFmtId="34" formatCode="_(&quot;R$&quot;* #,##0.00_);_(&quot;R$&quot;* \(#,##0.00\);_(&quot;R$&quot;* &quot;-&quot;??_);_(@_)"/>
      <alignment horizontal="center" vertical="bottom" textRotation="0" wrapText="0" indent="0" justifyLastLine="0" shrinkToFit="0" readingOrder="0"/>
    </dxf>
    <dxf>
      <numFmt numFmtId="34" formatCode="_(&quot;R$&quot;* #,##0.00_);_(&quot;R$&quot;* \(#,##0.00\);_(&quot;R$&quot;* &quot;-&quot;??_);_(@_)"/>
      <alignment horizontal="center" vertical="bottom" textRotation="0" wrapText="0" indent="0" justifyLastLine="0" shrinkToFit="0" readingOrder="0"/>
    </dxf>
    <dxf>
      <numFmt numFmtId="19" formatCode="m/d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FF0000"/>
      </font>
      <fill>
        <patternFill>
          <bgColor theme="5" tint="0.5999633777886288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NovoControl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ançamentos"/>
      <sheetName val="Pedidos"/>
      <sheetName val="Tabela_Cartões"/>
      <sheetName val="Dimensões Apoio"/>
      <sheetName val="Report"/>
    </sheetNames>
    <sheetDataSet>
      <sheetData sheetId="0"/>
      <sheetData sheetId="1"/>
      <sheetData sheetId="2"/>
      <sheetData sheetId="3">
        <row r="1">
          <cell r="A1" t="str">
            <v>ID</v>
          </cell>
          <cell r="B1" t="str">
            <v>Descrição</v>
          </cell>
        </row>
        <row r="2">
          <cell r="A2">
            <v>1</v>
          </cell>
          <cell r="B2" t="str">
            <v>RECEITA</v>
          </cell>
        </row>
        <row r="3">
          <cell r="A3">
            <v>2</v>
          </cell>
          <cell r="B3" t="str">
            <v>CUSTO</v>
          </cell>
        </row>
        <row r="5">
          <cell r="A5" t="str">
            <v>ID</v>
          </cell>
          <cell r="B5" t="str">
            <v>Pagamento</v>
          </cell>
        </row>
        <row r="6">
          <cell r="A6">
            <v>1</v>
          </cell>
          <cell r="B6" t="str">
            <v>DINHEIRO</v>
          </cell>
          <cell r="C6">
            <v>0</v>
          </cell>
        </row>
        <row r="7">
          <cell r="A7">
            <v>2</v>
          </cell>
          <cell r="B7" t="str">
            <v>CARTÃO DÉBITO</v>
          </cell>
          <cell r="C7">
            <v>2.29E-2</v>
          </cell>
        </row>
        <row r="8">
          <cell r="A8">
            <v>3</v>
          </cell>
          <cell r="B8" t="str">
            <v>CARTÃO CRÉDITO</v>
          </cell>
          <cell r="C8">
            <v>4.7399999999999998E-2</v>
          </cell>
        </row>
        <row r="10">
          <cell r="A10" t="str">
            <v>ID</v>
          </cell>
          <cell r="B10" t="str">
            <v>Descrição</v>
          </cell>
        </row>
        <row r="11">
          <cell r="A11">
            <v>1</v>
          </cell>
          <cell r="B11" t="str">
            <v>VENDA/35G</v>
          </cell>
        </row>
        <row r="12">
          <cell r="A12">
            <v>2</v>
          </cell>
          <cell r="B12" t="str">
            <v>VENDA/50G</v>
          </cell>
        </row>
        <row r="13">
          <cell r="A13">
            <v>3</v>
          </cell>
          <cell r="B13" t="str">
            <v>MANUTENÇÕES</v>
          </cell>
        </row>
        <row r="14">
          <cell r="A14">
            <v>4</v>
          </cell>
          <cell r="B14" t="str">
            <v>GÁS</v>
          </cell>
        </row>
        <row r="15">
          <cell r="A15">
            <v>5</v>
          </cell>
          <cell r="B15" t="str">
            <v>ENERGIA</v>
          </cell>
        </row>
        <row r="16">
          <cell r="A16">
            <v>6</v>
          </cell>
          <cell r="B16" t="str">
            <v>ALUGUEL</v>
          </cell>
        </row>
        <row r="17">
          <cell r="A17">
            <v>7</v>
          </cell>
          <cell r="B17" t="str">
            <v>EMBALAGENS</v>
          </cell>
        </row>
        <row r="19">
          <cell r="A19" t="str">
            <v>ID</v>
          </cell>
          <cell r="B19" t="str">
            <v>Descrição</v>
          </cell>
        </row>
        <row r="20">
          <cell r="A20">
            <v>1</v>
          </cell>
          <cell r="B20" t="str">
            <v>VAZAME</v>
          </cell>
        </row>
        <row r="21">
          <cell r="A21">
            <v>2</v>
          </cell>
          <cell r="B21" t="str">
            <v>TEREZA</v>
          </cell>
        </row>
        <row r="22">
          <cell r="A22">
            <v>3</v>
          </cell>
          <cell r="B22" t="str">
            <v>PIRAJUSSARA</v>
          </cell>
        </row>
      </sheetData>
      <sheetData sheetId="4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F42E235-309F-4534-9524-5A3020D8D67F}" name="tbContagem" displayName="tbContagem" ref="B9:C19" headerRowDxfId="11" headerRowBorderDxfId="10">
  <sortState xmlns:xlrd2="http://schemas.microsoft.com/office/spreadsheetml/2017/richdata2" ref="B10:C10">
    <sortCondition ref="B9:B10"/>
  </sortState>
  <tableColumns count="2">
    <tableColumn id="1" xr3:uid="{E7F4EB65-FE37-4D27-811A-B4601C51AF7A}" name="IMPORTÂNCIA" totalsRowLabel=" TOTAL " dataDxfId="9" dataCellStyle="Moeda"/>
    <tableColumn id="2" xr3:uid="{6D0C36B8-27EA-46F5-B8F2-A0F110BB2E3A}" name="QUANTIDADE" dataDxfId="8" totalsRowDxfId="7"/>
  </tableColumns>
  <tableStyleInfo name="TableStyleMedium1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AC045F9-FCCC-444A-9B60-7866569F32A3}" name="tbFechamentos" displayName="tbFechamentos" ref="A1:D2" totalsRowShown="0" headerRowDxfId="5" dataDxfId="4">
  <tableColumns count="4">
    <tableColumn id="1" xr3:uid="{193974E6-B7F9-49CF-B8E5-CAE21C2A9B58}" name="Data" dataDxfId="3"/>
    <tableColumn id="2" xr3:uid="{FE3F21BB-33AC-4EA4-A0D1-493BD8B7D5F0}" name="VendaReal" dataDxfId="2"/>
    <tableColumn id="4" xr3:uid="{EA1CB2FC-77F5-4FC5-B76B-4A097B514F62}" name="VendaEsperada" dataDxfId="1"/>
    <tableColumn id="5" xr3:uid="{F67FC45A-8207-4813-B1A0-AA41779B8293}" name="Perda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86AB4-CD8F-4794-BC09-A1ABF8890184}">
  <sheetPr codeName="wsMain">
    <tabColor theme="3" tint="-0.499984740745262"/>
  </sheetPr>
  <dimension ref="B1:O19"/>
  <sheetViews>
    <sheetView showGridLines="0" tabSelected="1" zoomScaleNormal="100" workbookViewId="0">
      <selection activeCell="C13" sqref="C13"/>
    </sheetView>
  </sheetViews>
  <sheetFormatPr defaultColWidth="9.140625" defaultRowHeight="15" x14ac:dyDescent="0.25"/>
  <cols>
    <col min="1" max="1" width="1.7109375" style="1" customWidth="1"/>
    <col min="2" max="2" width="21.140625" style="1" bestFit="1" customWidth="1"/>
    <col min="3" max="3" width="18.85546875" style="1" bestFit="1" customWidth="1"/>
    <col min="4" max="5" width="9.140625" style="1"/>
    <col min="6" max="6" width="9.5703125" style="1" bestFit="1" customWidth="1"/>
    <col min="7" max="9" width="10.5703125" style="1" bestFit="1" customWidth="1"/>
    <col min="10" max="10" width="33.42578125" style="1" bestFit="1" customWidth="1"/>
    <col min="11" max="11" width="10.7109375" style="1" bestFit="1" customWidth="1"/>
    <col min="12" max="12" width="9.140625" style="1"/>
    <col min="13" max="13" width="9.5703125" style="1" bestFit="1" customWidth="1"/>
    <col min="14" max="15" width="10.5703125" style="1" bestFit="1" customWidth="1"/>
    <col min="16" max="16384" width="9.140625" style="1"/>
  </cols>
  <sheetData>
    <row r="1" spans="2:15" ht="22.5" customHeight="1" x14ac:dyDescent="0.25">
      <c r="B1" s="5" t="s">
        <v>6</v>
      </c>
      <c r="C1" s="4" t="s">
        <v>1</v>
      </c>
    </row>
    <row r="2" spans="2:15" ht="22.5" customHeight="1" x14ac:dyDescent="0.25">
      <c r="B2" s="5" t="s">
        <v>5</v>
      </c>
      <c r="C2" s="4">
        <f t="array" ref="C2">IFERROR(SUMPRODUCT(--(IF(tbContagem[IMPORTÂNCIA]&lt;2,"MOEDA","CÉDULA")=B2),tbContagem[IMPORTÂNCIA],tbContagem[QUANTIDADE]),0)</f>
        <v>32.25</v>
      </c>
    </row>
    <row r="3" spans="2:15" ht="22.5" customHeight="1" x14ac:dyDescent="0.25">
      <c r="B3" s="5" t="s">
        <v>4</v>
      </c>
      <c r="C3" s="4">
        <f t="array" ref="C3">IFERROR(SUMPRODUCT(0+(IF(tbContagem[IMPORTÂNCIA]&lt;2,"MOEDA","CÉDULA")=B3),tbContagem[IMPORTÂNCIA],tbContagem[QUANTIDADE]),0)</f>
        <v>199</v>
      </c>
    </row>
    <row r="4" spans="2:15" ht="22.5" customHeight="1" x14ac:dyDescent="0.25">
      <c r="B4" s="5" t="s">
        <v>3</v>
      </c>
      <c r="C4" s="4">
        <f>IFERROR(SUMPRODUCT(tbContagem[IMPORTÂNCIA],tbContagem[QUANTIDADE]),0)</f>
        <v>231.25</v>
      </c>
      <c r="G4" s="2"/>
    </row>
    <row r="5" spans="2:15" ht="22.5" customHeight="1" x14ac:dyDescent="0.25">
      <c r="B5" s="5" t="s">
        <v>2</v>
      </c>
      <c r="C5" s="4">
        <v>89</v>
      </c>
      <c r="G5" s="9"/>
    </row>
    <row r="6" spans="2:15" ht="22.5" customHeight="1" x14ac:dyDescent="0.25">
      <c r="B6" s="5" t="s">
        <v>13</v>
      </c>
      <c r="C6" s="4">
        <v>9</v>
      </c>
      <c r="F6" s="9"/>
      <c r="G6" s="9"/>
    </row>
    <row r="7" spans="2:15" ht="21" customHeight="1" x14ac:dyDescent="0.25">
      <c r="B7" s="5" t="s">
        <v>1</v>
      </c>
      <c r="C7" s="4">
        <f>_xlfn.IFS(C4=0,0,C1="CONTAGEM",C4,C1="VENDA",(C4-C5) +C6)</f>
        <v>151.25</v>
      </c>
    </row>
    <row r="8" spans="2:15" ht="15.75" thickBot="1" x14ac:dyDescent="0.3">
      <c r="G8" s="9"/>
      <c r="I8" s="9"/>
    </row>
    <row r="9" spans="2:15" ht="16.5" thickBot="1" x14ac:dyDescent="0.3">
      <c r="B9" s="3" t="s">
        <v>7</v>
      </c>
      <c r="C9" s="3" t="s">
        <v>0</v>
      </c>
      <c r="G9" s="9"/>
    </row>
    <row r="10" spans="2:15" ht="15.75" x14ac:dyDescent="0.25">
      <c r="B10" s="7">
        <v>50</v>
      </c>
      <c r="C10" s="8">
        <v>1</v>
      </c>
    </row>
    <row r="11" spans="2:15" x14ac:dyDescent="0.25">
      <c r="B11" s="16">
        <v>20</v>
      </c>
      <c r="C11" s="17">
        <v>1</v>
      </c>
    </row>
    <row r="12" spans="2:15" x14ac:dyDescent="0.25">
      <c r="B12" s="16">
        <v>10</v>
      </c>
      <c r="C12" s="17">
        <v>6</v>
      </c>
      <c r="H12" s="6"/>
    </row>
    <row r="13" spans="2:15" x14ac:dyDescent="0.25">
      <c r="B13" s="16">
        <v>5</v>
      </c>
      <c r="C13" s="17">
        <v>5</v>
      </c>
      <c r="H13" s="6"/>
    </row>
    <row r="14" spans="2:15" x14ac:dyDescent="0.25">
      <c r="B14" s="16">
        <v>2</v>
      </c>
      <c r="C14" s="17">
        <v>22</v>
      </c>
      <c r="H14" s="6"/>
      <c r="K14" s="12"/>
      <c r="M14" s="9"/>
    </row>
    <row r="15" spans="2:15" x14ac:dyDescent="0.25">
      <c r="B15" s="16">
        <v>1</v>
      </c>
      <c r="C15" s="17">
        <v>20</v>
      </c>
      <c r="H15" s="6"/>
      <c r="K15" s="12"/>
    </row>
    <row r="16" spans="2:15" x14ac:dyDescent="0.25">
      <c r="B16" s="16">
        <v>0.25</v>
      </c>
      <c r="C16" s="17">
        <v>15</v>
      </c>
      <c r="H16" s="6"/>
      <c r="K16" s="12"/>
      <c r="N16" s="9"/>
      <c r="O16" s="9"/>
    </row>
    <row r="17" spans="2:8" x14ac:dyDescent="0.25">
      <c r="B17" s="16">
        <v>0.5</v>
      </c>
      <c r="C17" s="17">
        <v>14</v>
      </c>
      <c r="H17" s="6"/>
    </row>
    <row r="18" spans="2:8" x14ac:dyDescent="0.25">
      <c r="B18" s="16">
        <v>0.1</v>
      </c>
      <c r="C18" s="17">
        <v>11</v>
      </c>
      <c r="H18" s="6"/>
    </row>
    <row r="19" spans="2:8" x14ac:dyDescent="0.25">
      <c r="B19" s="16">
        <v>0.05</v>
      </c>
      <c r="C19" s="17">
        <v>8</v>
      </c>
      <c r="H19" s="6"/>
    </row>
  </sheetData>
  <dataValidations disablePrompts="1" count="1">
    <dataValidation type="list" allowBlank="1" showInputMessage="1" showErrorMessage="1" sqref="C1" xr:uid="{033F83B8-1D42-40B4-8372-055B844A12B8}">
      <formula1>"CONTAGEM,VENDA"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9E3AF-D09B-4ECA-9ECA-604941FAB2B2}">
  <sheetPr codeName="wsFechamentos">
    <tabColor theme="3" tint="-0.499984740745262"/>
  </sheetPr>
  <dimension ref="A1:D2"/>
  <sheetViews>
    <sheetView showGridLines="0" workbookViewId="0">
      <selection activeCell="D4" sqref="D4"/>
    </sheetView>
  </sheetViews>
  <sheetFormatPr defaultRowHeight="15" x14ac:dyDescent="0.25"/>
  <cols>
    <col min="1" max="1" width="10.7109375" bestFit="1" customWidth="1"/>
    <col min="2" max="2" width="11" bestFit="1" customWidth="1"/>
    <col min="3" max="3" width="15.28515625" bestFit="1" customWidth="1"/>
    <col min="4" max="4" width="10.7109375" bestFit="1" customWidth="1"/>
  </cols>
  <sheetData>
    <row r="1" spans="1:4" x14ac:dyDescent="0.25">
      <c r="A1" s="13" t="s">
        <v>9</v>
      </c>
      <c r="B1" s="13" t="s">
        <v>11</v>
      </c>
      <c r="C1" s="13" t="s">
        <v>12</v>
      </c>
      <c r="D1" s="13" t="s">
        <v>10</v>
      </c>
    </row>
    <row r="2" spans="1:4" x14ac:dyDescent="0.25">
      <c r="A2" s="14">
        <v>43252</v>
      </c>
      <c r="B2" s="15">
        <v>151.25</v>
      </c>
      <c r="C2" s="15">
        <v>156.80000000000001</v>
      </c>
      <c r="D2" s="15">
        <v>-5.5500000000000114</v>
      </c>
    </row>
  </sheetData>
  <conditionalFormatting sqref="D2">
    <cfRule type="cellIs" dxfId="6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DD4442-D9FF-492D-827F-8C656188AF99}">
  <sheetPr codeName="wsAux">
    <tabColor theme="3" tint="-0.499984740745262"/>
  </sheetPr>
  <dimension ref="A1:A12"/>
  <sheetViews>
    <sheetView workbookViewId="0">
      <selection activeCell="A2" sqref="A2"/>
    </sheetView>
  </sheetViews>
  <sheetFormatPr defaultRowHeight="15" x14ac:dyDescent="0.25"/>
  <cols>
    <col min="1" max="1" width="19.5703125" bestFit="1" customWidth="1"/>
    <col min="2" max="2" width="12.42578125" bestFit="1" customWidth="1"/>
  </cols>
  <sheetData>
    <row r="1" spans="1:1" x14ac:dyDescent="0.25">
      <c r="A1" s="11" t="s">
        <v>8</v>
      </c>
    </row>
    <row r="2" spans="1:1" x14ac:dyDescent="0.25">
      <c r="A2" s="10">
        <v>0.05</v>
      </c>
    </row>
    <row r="3" spans="1:1" x14ac:dyDescent="0.25">
      <c r="A3" s="10">
        <v>0.1</v>
      </c>
    </row>
    <row r="4" spans="1:1" x14ac:dyDescent="0.25">
      <c r="A4" s="10">
        <v>0.25</v>
      </c>
    </row>
    <row r="5" spans="1:1" x14ac:dyDescent="0.25">
      <c r="A5" s="10">
        <v>0.5</v>
      </c>
    </row>
    <row r="6" spans="1:1" x14ac:dyDescent="0.25">
      <c r="A6" s="10">
        <v>1</v>
      </c>
    </row>
    <row r="7" spans="1:1" x14ac:dyDescent="0.25">
      <c r="A7" s="10">
        <v>2</v>
      </c>
    </row>
    <row r="8" spans="1:1" x14ac:dyDescent="0.25">
      <c r="A8" s="10">
        <v>5</v>
      </c>
    </row>
    <row r="9" spans="1:1" x14ac:dyDescent="0.25">
      <c r="A9" s="10">
        <v>10</v>
      </c>
    </row>
    <row r="10" spans="1:1" x14ac:dyDescent="0.25">
      <c r="A10" s="10">
        <v>20</v>
      </c>
    </row>
    <row r="11" spans="1:1" x14ac:dyDescent="0.25">
      <c r="A11" s="10">
        <v>50</v>
      </c>
    </row>
    <row r="12" spans="1:1" x14ac:dyDescent="0.25">
      <c r="A12" s="10">
        <v>100</v>
      </c>
    </row>
  </sheetData>
  <pageMargins left="0.511811024" right="0.511811024" top="0.78740157499999996" bottom="0.78740157499999996" header="0.31496062000000002" footer="0.31496062000000002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7</vt:i4>
      </vt:variant>
    </vt:vector>
  </HeadingPairs>
  <TitlesOfParts>
    <vt:vector size="10" baseType="lpstr">
      <vt:lpstr>Contagem</vt:lpstr>
      <vt:lpstr>Fechamentos</vt:lpstr>
      <vt:lpstr>Auxiliar</vt:lpstr>
      <vt:lpstr>Imports</vt:lpstr>
      <vt:lpstr>Total</vt:lpstr>
      <vt:lpstr>TotalCédula</vt:lpstr>
      <vt:lpstr>TotalMoeda</vt:lpstr>
      <vt:lpstr>Troco</vt:lpstr>
      <vt:lpstr>Type</vt:lpstr>
      <vt:lpstr>Venda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Ivanildo Junior</dc:creator>
  <cp:lastModifiedBy>Ivanildo Junior</cp:lastModifiedBy>
  <dcterms:created xsi:type="dcterms:W3CDTF">2018-04-19T16:05:29Z</dcterms:created>
  <dcterms:modified xsi:type="dcterms:W3CDTF">2018-06-02T18:28:44Z</dcterms:modified>
</cp:coreProperties>
</file>